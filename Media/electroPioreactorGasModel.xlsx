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<sst xmlns="http://schemas.openxmlformats.org/spreadsheetml/2006/main" count="3953" uniqueCount="2838">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</sst>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0" x14ac:knownFonts="1">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54">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s">
        <v>1143</v>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66">
        <f>IF(AND(ISNUMBER($G$13),$G$13&gt;0),$G$13,IF(NOT(ISNUMBER(D13)),D13,'Mass Transfer'!$D$242))</f>
        <v>0.65</v>
      </c>
      <c r="E14" s="21"/>
      <c r="F14" s="22" t="s">
        <v>1712</v>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7.450071557247</v>
      </c>
      <c r="E15" s="24" t="str">
        <f>HYPERLINK("#'Mass Transfer'!D91","→ Mass")</f>
        <v>→ Mass</v>
      </c>
      <c r="F15" s="22" t="s">
        <v>1714</v>
      </c>
      <c r="G15" s="136"/>
    </row>
    <row r="16" spans="1:7" x14ac:dyDescent="0.2">
      <c r="A16" s="25" t="s">
        <v>1715</v>
      </c>
      <c r="B16" s="19" t="s">
        <v>1716</v>
      </c>
      <c r="C16" s="21" t="s">
        <v>61</v>
      </c>
      <c r="D16" s="66">
        <f>IF(AND(ISNUMBER($G$15),$G$15&gt;0),$G$15,IF(NOT(ISNUMBER(D15)),D15,ROUND(('Mass Transfer'!$D$408+'Mass Transfer'!$D$407*D14)/('Mass Transfer'!$D$102/60)/(60*'Mass Transfer'!$D$93),0)))</f>
        <v>7.0</v>
      </c>
      <c r="E16" s="67"/>
      <c r="F16" s="22" t="str">
        <f>"Interval to type in: the as-run pulse converted to delivered CO₂ (V₀ + Q·t, Mass Transfer D407–D408) at the optimised full-flow-equivalent duty (D93), rounded to whole minutes; "&amp;IF(ISNUMBER(D95),"rounding moves the CO₂ dose by "&amp;TEXT(D95-1,"+0.0%;-0.0%")&amp;" (row 95)","row 95 shows how far rounding moves the CO₂ dose")&amp;". An override in G15 wins."</f>
        <v>Interval to type in: the as-run pulse converted to delivered CO₂ (V₀ + Q·t, Mass Transfer D407–D408) at the optimised full-flow-equivalent duty (D93), rounded to whole minutes; rounding moves the CO₂ dose by +3.2% (row 95). An override in G15 wins.</v>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2.5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≈13 mg/L, above the 10.1 mg/L inhibition ceiling (peaks higher)</v>
      </c>
      <c r="E23" s="24" t="str">
        <f>HYPERLINK("#'Mass Transfer'!D113","→ Mass")</f>
        <v>→ Mass</v>
      </c>
      <c r="F23" s="22" t="s">
        <v>1727</v>
      </c>
    </row>
    <row r="24" spans="1:6" x14ac:dyDescent="0.2">
      <c r="A24" s="64" t="s">
        <v>1728</v>
      </c>
      <c r="B24" s="19" t="s">
        <v>1729</v>
      </c>
      <c r="C24" s="21"/>
      <c r="D24" s="70" t="str">
        <f>Biology!$D$44</f>
        <v>FLAMMABLE HEADSPACE (lag): H₂ 9% mean, 15% before each pulse; O₂ 5% mean, 8% before each pulse – until uptake starts, sparge every ≤2.4 min or sweep ≥0.9 mL/min N₂; vent to a hood; no ignition sources</v>
      </c>
      <c r="E24" s="24" t="str">
        <f>HYPERLINK("#Biology!D44","→ Biology")</f>
        <v>→ Biology</v>
      </c>
      <c r="F24" s="22" t="s">
        <v>1730</v>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×49.6 OK delivered; ×2.4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6.487893381735</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22" t="s">
        <v>1748</v>
      </c>
    </row>
    <row r="37" spans="1:6" ht="16" thickBot="1" x14ac:dyDescent="0.25">
      <c r="A37" s="77" t="s">
        <v>82</v>
      </c>
      <c r="B37" s="21"/>
      <c r="C37" s="21"/>
      <c r="D37" s="21"/>
      <c r="E37" s="21"/>
      <c r="F37" s="22"/>
    </row>
    <row r="38" spans="1:6" x14ac:dyDescent="0.2">
      <c r="A38" s="64" t="s">
        <v>1749</v>
      </c>
      <c r="B38" s="19" t="s">
        <v>1750</v>
      </c>
      <c r="C38" s="21" t="s">
        <v>83</v>
      </c>
      <c r="D38" s="65">
        <f>'Mass Transfer'!$D$108</f>
        <v>2.27518163832</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507.959765236247</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22"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22"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s">
        <v>1691</v>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7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f>Chemistry!$D$209</f>
        <v>-0.30390069301</v>
      </c>
      <c r="E87" s="24" t="str">
        <f>HYPERLINK("#Chemistry!D209","→ Chemistry")</f>
        <v>→ Chemistry</v>
      </c>
      <c r="F87" t="s">
        <v>1781</v>
      </c>
    </row>
    <row r="88" spans="1:6" x14ac:dyDescent="0.2">
      <c r="A88" t="s">
        <v>1449</v>
      </c>
      <c r="B88" s="19" t="s">
        <v>1782</v>
      </c>
      <c r="C88" s="20" t="s">
        <v>1445</v>
      </c>
      <c r="D88" s="23">
        <f>Chemistry!$D$211</f>
        <v>1.248872573638</v>
      </c>
      <c r="E88" s="24" t="str">
        <f>HYPERLINK("#Chemistry!D211","→ Chemistry")</f>
        <v>→ Chemistry</v>
      </c>
      <c r="F88" t="s">
        <v>1783</v>
      </c>
    </row>
    <row r="89" spans="1:6" x14ac:dyDescent="0.2">
      <c r="A89" t="s">
        <v>1468</v>
      </c>
      <c r="B89" s="19" t="s">
        <v>1784</v>
      </c>
      <c r="C89" s="20" t="s">
        <v>1140</v>
      </c>
      <c r="D89" s="23">
        <f>Chemistry!$D$220</f>
        <v>6.487893381735</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1.031743711429</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2.27518163832</v>
      </c>
      <c r="E114" s="24" t="str">
        <f>HYPERLINK("#'Mass Transfer'!D343","→ Mass Transfer")</f>
        <v>→ Mass Transfer</v>
      </c>
      <c r="F114" s="22" t="s">
        <v>1802</v>
      </c>
    </row>
    <row r="115" spans="1:6" x14ac:dyDescent="0.2">
      <c r="A115" s="64" t="s">
        <v>1803</v>
      </c>
      <c r="C115" s="21" t="s">
        <v>83</v>
      </c>
      <c r="D115" s="65">
        <f>'Mass Transfer'!$D$344</f>
        <v>2.461241182614</v>
      </c>
      <c r="E115" s="24" t="str">
        <f>HYPERLINK("#'Mass Transfer'!D344","→ Mass Transfer")</f>
        <v>→ Mass Transfer</v>
      </c>
      <c r="F115" s="22" t="s">
        <v>1804</v>
      </c>
    </row>
    <row r="116" spans="1:6" x14ac:dyDescent="0.2">
      <c r="A116" s="64" t="s">
        <v>1805</v>
      </c>
      <c r="C116" s="21" t="s">
        <v>83</v>
      </c>
      <c r="D116" s="65">
        <f>'Mass Transfer'!$D$364</f>
        <v>5.543911888859</v>
      </c>
      <c r="E116" s="24" t="str">
        <f>HYPERLINK("#'Mass Transfer'!D364","→ Mass Transfer")</f>
        <v>→ Mass Transfer</v>
      </c>
      <c r="F116" s="22" t="s">
        <v>1806</v>
      </c>
    </row>
    <row r="117" spans="1:6" x14ac:dyDescent="0.2">
      <c r="A117" s="64" t="s">
        <v>1807</v>
      </c>
      <c r="C117" s="21" t="s">
        <v>83</v>
      </c>
      <c r="D117" s="65">
        <f>'Mass Transfer'!$D$365</f>
        <v>5.915267968126</v>
      </c>
      <c r="E117" s="24" t="str">
        <f>HYPERLINK("#'Mass Transfer'!D365","→ Mass Transfer")</f>
        <v>→ Mass Transfer</v>
      </c>
      <c r="F117" s="22" t="s">
        <v>1808</v>
      </c>
    </row>
    <row r="118" spans="1:6" x14ac:dyDescent="0.2">
      <c r="A118" s="64" t="s">
        <v>1809</v>
      </c>
      <c r="D118" s="65" t="str">
        <f>'Mass Transfer'!$D$348</f>
        <v>peak 2.5 mg/L under the 10.1 mg/L ceiling</v>
      </c>
      <c r="E118" s="24" t="str">
        <f>HYPERLINK("#'Mass Transfer'!D348","→ Mass Transfer")</f>
        <v>→ Mass Transfer</v>
      </c>
      <c r="F118" s="22" t="s">
        <v>1810</v>
      </c>
    </row>
    <row r="119" spans="1:6" x14ac:dyDescent="0.2">
      <c r="A119" s="64" t="s">
        <v>1811</v>
      </c>
      <c r="D119" s="65" t="str">
        <f>'Mass Transfer'!$D$369</f>
        <v>peak 5.9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0.62× (raise kL_surf, lower the current, or accept a higher DO)</v>
      </c>
      <c r="E121" s="24" t="str">
        <f>HYPERLINK("#'Mass Transfer'!D368","→ Mass Transfer")</f>
        <v>→ Mass Transfer</v>
      </c>
      <c r="F121" s="22"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0.62×: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44.455069334556</v>
      </c>
      <c r="E123" s="24" t="str">
        <f>HYPERLINK("#'Mass Transfer'!D366","→ Mass Transfer")</f>
        <v>→ Mass Transfer</v>
      </c>
      <c r="F123" s="22" t="s">
        <v>1817</v>
      </c>
    </row>
    <row r="124" spans="1:6" x14ac:dyDescent="0.2">
      <c r="A124" s="64" t="s">
        <v>1819</v>
      </c>
      <c r="C124" s="21" t="s">
        <v>111</v>
      </c>
      <c r="D124" s="65">
        <f>'Mass Transfer'!$D$329</f>
        <v>0.027761802038</v>
      </c>
      <c r="E124" s="24" t="str">
        <f>HYPERLINK("#'Mass Transfer'!D329","→ Mass Transfer")</f>
        <v>→ Mass Transfer</v>
      </c>
      <c r="F124" s="22" t="s">
        <v>1820</v>
      </c>
    </row>
    <row r="125" spans="1:6" x14ac:dyDescent="0.2">
      <c r="A125" s="64" t="s">
        <v>1821</v>
      </c>
      <c r="C125" s="21" t="s">
        <v>111</v>
      </c>
      <c r="D125" s="65">
        <f>'Mass Transfer'!$D$351</f>
        <v>0.053679883871</v>
      </c>
      <c r="E125" s="24" t="str">
        <f>HYPERLINK("#'Mass Transfer'!D351","→ Mass Transfer")</f>
        <v>→ Mass Transfer</v>
      </c>
      <c r="F125" s="22" t="s">
        <v>1822</v>
      </c>
    </row>
    <row r="126" spans="1:6" x14ac:dyDescent="0.2">
      <c r="A126" s="64" t="s">
        <v>1823</v>
      </c>
      <c r="C126" s="21" t="s">
        <v>111</v>
      </c>
      <c r="D126" s="65">
        <f>'Mass Transfer'!$D$352</f>
        <v>0.093395436531</v>
      </c>
      <c r="E126" s="24" t="str">
        <f>HYPERLINK("#'Mass Transfer'!D352","→ Mass Transfer")</f>
        <v>→ Mass Transfer</v>
      </c>
      <c r="F126" s="22" t="s">
        <v>1824</v>
      </c>
    </row>
    <row r="127" spans="1:6" x14ac:dyDescent="0.2">
      <c r="A127" s="64" t="s">
        <v>1825</v>
      </c>
      <c r="C127" s="21" t="s">
        <v>111</v>
      </c>
      <c r="D127" s="65">
        <f>'Mass Transfer'!$D$381</f>
        <v>0.939820877487</v>
      </c>
      <c r="E127" s="24" t="str">
        <f>HYPERLINK("#'Mass Transfer'!D381","→ Mass Transfer")</f>
        <v>→ Mass Transfer</v>
      </c>
      <c r="F127" s="22" t="s">
        <v>1826</v>
      </c>
    </row>
    <row r="128" spans="1:6" x14ac:dyDescent="0.2">
      <c r="A128" s="64" t="s">
        <v>1827</v>
      </c>
      <c r="D128" s="65" t="str">
        <f>IF(ISNA('Mass Transfer'!$D$308+'Mass Transfer'!$D$317),"#N/A – check the selectors in D111/D112",IF(NOT(ISNUMBER('Mass Transfer'!$D$185)),"DO target unreachable on the sizing phase (rows 120–121) – the schedule is the legacy O₂ flush guard (Mass Transfer D89)",IF(OR(AND(ISNUMBER(override_spg_dur_s),override_spg_dur_s&gt;0),AND(ISNUMBER(override_spg_int_min),override_spg_int_min&gt;0)),"watch – override in use (G13/G15), not the optimised schedule: pH "&amp;TEXT(res_pH,"0.00")&amp;", cycle-mean DO "&amp;TEXT(res_DO_ss,"0.0")&amp;" mg/L against the "&amp;TEXT('Mass Transfer'!$D$179*'Mass Transfer'!$D$231,"0.0")&amp;" mg/L target; neither target is claimed",IF(AND(res_pH&gt;=cf_pH_lo,res_pH&lt;=cf_pH_hi),"yes – the schedule holds the DO target at pH "&amp;TEXT(res_pH,"0.00")&amp;", within the "&amp;TEXT(cf_pH_lo,"0.0")&amp;"–"&amp;TEXT(cf_pH_hi,"0.0")&amp;" band",IF(res_pH&gt;cf_pH_hi,"NO – pH "&amp;TEXT(res_pH,"0.00")&amp;" above the "&amp;TEXT(cf_pH_hi,"0.0")&amp;" band ceiling",IF('Mass Transfer'!$D$185&lt;='Mass Transfer'!$D$112,"NO – holding the DO target drives pH to "&amp;TEXT(res_pH,"0.00")&amp;", below the "&amp;TEXT(cf_pH_lo,"0.0")&amp;" band floor","NO – the carbon-limited interval (not the DO target) gives pH "&amp;TEXT(res_pH,"0.00")&amp;", below the "&amp;TEXT(cf_pH_lo,"0.0")&amp;" band floor"))))))</f>
        <v>NO – holding the DO target drives pH to 6.49, below the 6.5 band floor</v>
      </c>
      <c r="E128" s="24" t="str">
        <f>HYPERLINK("#Chemistry!D220","→ Chemistry")</f>
        <v>→ Chemistry</v>
      </c>
      <c r="F128" s="22" t="s">
        <v>1828</v>
      </c>
    </row>
    <row r="129" spans="1:6" x14ac:dyDescent="0.2">
      <c r="A129" s="64" t="s">
        <v>1829</v>
      </c>
      <c r="C129" s="21" t="s">
        <v>111</v>
      </c>
      <c r="D129" s="65">
        <f>'Mass Transfer'!$D$389</f>
        <v>0.047702404255</v>
      </c>
      <c r="E129" s="24" t="str">
        <f>HYPERLINK("#'Mass Transfer'!D389","→ Mass Transfer")</f>
        <v>→ Mass Transfer</v>
      </c>
      <c r="F129" s="22" t="s">
        <v>1830</v>
      </c>
    </row>
    <row r="130" spans="1:6" x14ac:dyDescent="0.2">
      <c r="A130" s="64" t="s">
        <v>1831</v>
      </c>
      <c r="D130" s="65" t="str">
        <f>'Mass Transfer'!$D$391</f>
        <v>n/a – the vent admits air (Open vent / Air exchange), so the headspace refills</v>
      </c>
      <c r="E130" s="24" t="str">
        <f>HYPERLINK("#'Mass Transfer'!D391","→ Mass Transfer")</f>
        <v>→ Mass Transfer</v>
      </c>
      <c r="F130" s="22" t="s">
        <v>1832</v>
      </c>
    </row>
    <row r="131" spans="1:6" x14ac:dyDescent="0.2">
      <c r="A131" s="64" t="s">
        <v>2691</v>
      </c>
      <c r="C131" s="21" t="s">
        <v>2692</v>
      </c>
      <c r="D131" s="65">
        <f>Chemistry!$D$308</f>
        <v>0.120777240215</v>
      </c>
      <c r="E131" s="24" t="str">
        <f>HYPERLINK("#Chemistry!D306","→ Chemistry")</f>
        <v>→ Chemistry</v>
      </c>
      <c r="F131" s="22" t="s">
        <v>2693</v>
      </c>
    </row>
    <row r="132" spans="1:6" x14ac:dyDescent="0.2">
      <c r="A132" s="64" t="s">
        <v>2694</v>
      </c>
      <c r="C132" s="21" t="s">
        <v>2695</v>
      </c>
      <c r="D132" s="65">
        <f>Chemistry!$D$306*1000</f>
        <v>1.437704479563</v>
      </c>
      <c r="E132" s="24" t="str">
        <f>HYPERLINK("#Chemistry!D306","→ Chemistry")</f>
        <v>→ Chemistry</v>
      </c>
      <c r="F132" s="22" t="s">
        <v>2696</v>
      </c>
    </row>
    <row r="135" spans="1:6" x14ac:dyDescent="0.2">
      <c r="A135" s="64" t="s">
        <v>1833</v>
      </c>
      <c r="B135" s="19" t="s">
        <v>1834</v>
      </c>
      <c r="C135" s="21" t="s">
        <v>87</v>
      </c>
      <c r="D135" s="65">
        <f>'Mass Transfer'!$D$417</f>
        <v>2.356485959356</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s">
        <v>2708</v>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s">
        <v>2713</v>
      </c>
      <c r="B154" s="21" t="s">
        <v>922</v>
      </c>
      <c r="C154" s="21" t="s">
        <v>923</v>
      </c>
      <c r="F154" s="22" t="inlineStr">
        <is>
          <t xml:space="preserve">Rows 131–132 give the NaHCO₃ for a target pH at first order (AMYBO03 already carries 40 mM; about 0.1 g/L more reaches the 6.5 floor). Still to do: an added-alkalinity input that feeds the charge balance, ionic strength and CO₂ storage.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s">
        <v>2719</v>
      </c>
      <c r="B157" s="21" t="s">
        <v>941</v>
      </c>
      <c r="C157" s="21" t="s">
        <v>926</v>
      </c>
      <c r="D157" s="33" t="str">
        <f>HYPERLINK("https://github.com/amy-bo/electroPioreactor/blob/AEP02/Media/protocols/electrode-mass-transfer.md","electrode-mass-transfer.md →")</f>
        <v>electrode-mass-transfer.md →</v>
      </c>
      <c r="F157" s="22" t="s">
        <v>2720</v>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21">
        <v>20</v>
      </c>
      <c r="D84" s="21">
        <v>55</v>
      </c>
      <c r="E84" s="21">
        <v>16</v>
      </c>
      <c r="F84" s="21">
        <v>20</v>
      </c>
      <c r="G84" s="21">
        <v>27.48</v>
      </c>
      <c r="H84" s="21">
        <v>12</v>
      </c>
      <c r="I84" s="21">
        <v>3</v>
      </c>
    </row>
    <row r="85" spans="1:9" x14ac:dyDescent="0.2">
      <c r="A85" s="21" t="s">
        <v>231</v>
      </c>
      <c r="B85" s="21" t="s">
        <v>254</v>
      </c>
      <c r="C85" s="21">
        <v>20</v>
      </c>
      <c r="D85" s="21">
        <v>55</v>
      </c>
      <c r="E85" s="21">
        <v>16</v>
      </c>
      <c r="F85" s="21">
        <v>20</v>
      </c>
      <c r="G85" s="21">
        <v>27.48</v>
      </c>
      <c r="H85" s="21">
        <v>12</v>
      </c>
      <c r="I85" s="21">
        <v>3</v>
      </c>
    </row>
    <row r="86" spans="1:9" x14ac:dyDescent="0.2">
      <c r="A86" s="21" t="s">
        <v>114</v>
      </c>
      <c r="B86" s="21" t="s">
        <v>255</v>
      </c>
      <c r="C86" s="21">
        <v>40</v>
      </c>
      <c r="D86" s="21">
        <v>95</v>
      </c>
      <c r="E86" s="21">
        <v>30</v>
      </c>
      <c r="F86" s="21">
        <v>42</v>
      </c>
      <c r="G86" s="21">
        <v>27.48</v>
      </c>
      <c r="H86" s="21">
        <v>15</v>
      </c>
      <c r="I86" s="21">
        <v>6</v>
      </c>
    </row>
    <row r="87" spans="1:9" x14ac:dyDescent="0.2">
      <c r="A87" s="21" t="s">
        <v>243</v>
      </c>
      <c r="B87" s="21" t="s">
        <v>255</v>
      </c>
      <c r="C87" s="21">
        <v>40</v>
      </c>
      <c r="D87" s="21">
        <v>95</v>
      </c>
      <c r="E87" s="21">
        <v>30</v>
      </c>
      <c r="F87" s="21">
        <v>42</v>
      </c>
      <c r="G87" s="21">
        <v>27.48</v>
      </c>
      <c r="H87" s="21">
        <v>15</v>
      </c>
      <c r="I87" s="21">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(gerrit_slope*intensity+gerrit_int)/1000</f>
        <v>0.00569</v>
      </c>
      <c r="E19" s="138" t="s">
        <v>301</v>
      </c>
      <c r="F19" s="21"/>
      <c r="G19" s="21"/>
      <c r="H19" s="21"/>
      <c r="I19" s="21"/>
    </row>
    <row r="20" spans="1:9" ht="24" customHeight="1" x14ac:dyDescent="0.2">
      <c r="A20" s="18" t="s">
        <v>302</v>
      </c>
      <c r="B20" s="19" t="s">
        <v>303</v>
      </c>
      <c r="C20" s="20" t="s">
        <v>111</v>
      </c>
      <c r="D20" s="45" t="str">
        <f>IF(AND(intensity&gt;=gerrit_min,intensity&lt;=gerrit_max),"OK","OUT")</f>
        <v>OK</v>
      </c>
      <c r="E20" s="138" t="s">
        <v>304</v>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21">
        <v>6</v>
      </c>
      <c r="D35" s="21" t="s">
        <v>343</v>
      </c>
      <c r="E35" s="21" t="s">
        <v>344</v>
      </c>
      <c r="F35" s="21" t="s">
        <v>345</v>
      </c>
      <c r="G35" s="21">
        <v>6</v>
      </c>
      <c r="H35" s="46" t="s">
        <v>346</v>
      </c>
      <c r="I35" s="21">
        <v>2</v>
      </c>
      <c r="J35" s="21" t="s">
        <v>1165</v>
      </c>
      <c r="K35" s="21">
        <v>100</v>
      </c>
      <c r="L35" s="21">
        <v>500</v>
      </c>
      <c r="M35" s="21" t="s">
        <v>1165</v>
      </c>
      <c r="N35" s="21" t="s">
        <v>1166</v>
      </c>
    </row>
    <row r="36" spans="1:14" x14ac:dyDescent="0.2">
      <c r="A36" s="21" t="s">
        <v>347</v>
      </c>
      <c r="B36" s="21" t="s">
        <v>348</v>
      </c>
      <c r="C36" s="21">
        <v>6</v>
      </c>
      <c r="D36" s="21" t="s">
        <v>343</v>
      </c>
      <c r="E36" s="21" t="s">
        <v>344</v>
      </c>
      <c r="F36" s="21" t="s">
        <v>345</v>
      </c>
      <c r="G36" s="21">
        <v>6</v>
      </c>
      <c r="H36" s="46" t="s">
        <v>346</v>
      </c>
      <c r="I36" s="21">
        <v>2</v>
      </c>
      <c r="J36" s="21" t="s">
        <v>1165</v>
      </c>
      <c r="K36" s="21">
        <v>50</v>
      </c>
      <c r="L36" s="21">
        <v>500</v>
      </c>
      <c r="M36" s="21" t="s">
        <v>1165</v>
      </c>
      <c r="N36" s="21" t="s">
        <v>1167</v>
      </c>
    </row>
    <row r="37" spans="1:14" x14ac:dyDescent="0.2">
      <c r="A37" s="21" t="s">
        <v>31</v>
      </c>
      <c r="B37" s="21" t="s">
        <v>348</v>
      </c>
      <c r="C37" s="21">
        <v>6</v>
      </c>
      <c r="D37" s="21" t="s">
        <v>349</v>
      </c>
      <c r="E37" s="46">
        <v>0</v>
      </c>
      <c r="F37" s="21" t="s">
        <v>345</v>
      </c>
      <c r="G37" s="21">
        <v>6</v>
      </c>
      <c r="H37" s="46" t="s">
        <v>346</v>
      </c>
      <c r="I37" s="21">
        <v>2</v>
      </c>
      <c r="J37" s="21" t="s">
        <v>1168</v>
      </c>
      <c r="K37" s="21">
        <v>10</v>
      </c>
      <c r="L37" s="21">
        <v>60</v>
      </c>
      <c r="M37" s="21" t="s">
        <v>1165</v>
      </c>
      <c r="N37" s="21" t="s">
        <v>1169</v>
      </c>
    </row>
    <row r="38" spans="1:14" x14ac:dyDescent="0.2">
      <c r="A38" s="21" t="s">
        <v>1170</v>
      </c>
      <c r="B38" s="21" t="s">
        <v>1171</v>
      </c>
      <c r="C38" s="21">
        <v>6</v>
      </c>
      <c r="D38" s="21" t="s">
        <v>343</v>
      </c>
      <c r="E38" s="21" t="s">
        <v>344</v>
      </c>
      <c r="F38" s="21" t="s">
        <v>345</v>
      </c>
      <c r="G38" s="21">
        <v>6</v>
      </c>
      <c r="H38" s="46" t="s">
        <v>346</v>
      </c>
      <c r="I38" s="21">
        <v>2</v>
      </c>
      <c r="J38" s="21" t="s">
        <v>1165</v>
      </c>
      <c r="K38" s="21">
        <v>35</v>
      </c>
      <c r="L38" s="21">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21">
        <v>2</v>
      </c>
      <c r="C66" s="21">
        <v>4</v>
      </c>
      <c r="D66" s="21" t="s">
        <v>926</v>
      </c>
      <c r="E66" s="87" t="s">
        <v>1244</v>
      </c>
    </row>
    <row r="67" spans="1:5" x14ac:dyDescent="0.2">
      <c r="A67" s="21" t="s">
        <v>468</v>
      </c>
      <c r="B67" s="21">
        <v>2</v>
      </c>
      <c r="C67" s="21">
        <v>4</v>
      </c>
      <c r="D67" s="21" t="s">
        <v>926</v>
      </c>
      <c r="E67" s="87" t="s">
        <v>1245</v>
      </c>
    </row>
    <row r="68" spans="1:5" x14ac:dyDescent="0.2">
      <c r="A68" s="21" t="s">
        <v>470</v>
      </c>
      <c r="B68" s="21">
        <v>2</v>
      </c>
      <c r="C68" s="21">
        <v>4</v>
      </c>
      <c r="D68" s="21" t="s">
        <v>926</v>
      </c>
      <c r="E68" s="87" t="s">
        <v>1245</v>
      </c>
    </row>
    <row r="69" spans="1:5" x14ac:dyDescent="0.2">
      <c r="A69" s="21" t="s">
        <v>472</v>
      </c>
      <c r="B69" s="21">
        <v>2</v>
      </c>
      <c r="C69" s="21">
        <v>4</v>
      </c>
      <c r="D69" s="21" t="s">
        <v>926</v>
      </c>
      <c r="E69" s="87" t="s">
        <v>1245</v>
      </c>
    </row>
    <row r="70" spans="1:5" x14ac:dyDescent="0.2">
      <c r="A70" s="21" t="s">
        <v>473</v>
      </c>
      <c r="B70" s="21">
        <v>2</v>
      </c>
      <c r="C70" s="21">
        <v>4</v>
      </c>
      <c r="D70" s="21" t="s">
        <v>926</v>
      </c>
      <c r="E70" s="87" t="s">
        <v>1246</v>
      </c>
    </row>
    <row r="71" spans="1:5" x14ac:dyDescent="0.2">
      <c r="A71" s="21" t="s">
        <v>474</v>
      </c>
      <c r="B71" s="21">
        <v>2.14</v>
      </c>
      <c r="C71" s="21">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30">
        <v>4.0000000000000001E-3</v>
      </c>
      <c r="E83" s="57" t="s">
        <v>1480</v>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0.833154224922</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6.52524470598</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7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51"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0.19400000000000001</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MIN(I_app/(n_ORR_eff*F_const)*3600,O2_cathode_ORR*DO_lag_ref/ec_DO_design)</f>
        <v>5.624573883267e-06</v>
      </c>
      <c r="E131" s="57" t="s">
        <v>1900</v>
      </c>
    </row>
    <row r="132" spans="1:5" ht="24" x14ac:dyDescent="0.2">
      <c r="A132" t="s">
        <v>1901</v>
      </c>
      <c r="B132" s="19" t="s">
        <v>1902</v>
      </c>
      <c r="C132" s="20" t="s">
        <v>307</v>
      </c>
      <c r="D132" s="111">
        <f>rO2_gen-O2_ORR_lag</f>
        <v>4.745085102827e-05</v>
      </c>
      <c r="E132" s="57" t="s">
        <v>1903</v>
      </c>
    </row>
    <row r="133" spans="1:5" ht="24" x14ac:dyDescent="0.2">
      <c r="A133" t="s">
        <v>1904</v>
      </c>
      <c r="B133" s="19" t="s">
        <v>1905</v>
      </c>
      <c r="C133" s="20" t="s">
        <v>307</v>
      </c>
      <c r="D133" s="111">
        <f>MAX(0,I_app-O2_ORR_lag/3600*n_ORR_eff*F_const)/(z_e_H2*F_const)*3600</f>
        <v>9.574538813904e-05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RE-ENTER DO_lag_ref (D129): the lag DO is now 0.173 mol/m³ (+12% off)</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0.173258075157</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r_H2O2*ec_DO_lag/ec_DO_design</f>
        <v>1.708629995252</v>
      </c>
      <c r="E152" s="51" t="s">
        <v>1947</v>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0.199715551957</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0.025542123443</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44">
        <v>4.4499999999999997E-7</v>
      </c>
      <c r="C13" s="44">
        <v>9.15</v>
      </c>
      <c r="D13" s="49">
        <f t="shared" ref="D13:D20" si="0">B13*EXP(-C13*1000/R_gas*(1/TKc-1/T_ref))</f>
        <v>4.729325907259e-07</v>
      </c>
      <c r="E13" s="60" t="s">
        <v>783</v>
      </c>
    </row>
    <row r="14" spans="1:6" x14ac:dyDescent="0.2">
      <c r="A14" s="18" t="s">
        <v>785</v>
      </c>
      <c r="B14" s="44">
        <v>4.6900000000000001E-11</v>
      </c>
      <c r="C14" s="44">
        <v>14.9</v>
      </c>
      <c r="D14" s="49">
        <f t="shared" si="0"/>
        <v>5.178773212274e-11</v>
      </c>
      <c r="E14" s="60" t="s">
        <v>783</v>
      </c>
    </row>
    <row r="15" spans="1:6" x14ac:dyDescent="0.2">
      <c r="A15" s="18" t="s">
        <v>786</v>
      </c>
      <c r="B15" s="44">
        <v>7.1000000000000004E-3</v>
      </c>
      <c r="C15" s="44">
        <v>-8</v>
      </c>
      <c r="D15" s="49">
        <f t="shared" si="0"/>
        <v>0.006731968577</v>
      </c>
      <c r="E15" s="60" t="s">
        <v>783</v>
      </c>
    </row>
    <row r="16" spans="1:6" x14ac:dyDescent="0.2">
      <c r="A16" s="18" t="s">
        <v>787</v>
      </c>
      <c r="B16" s="44">
        <v>6.3100000000000003E-8</v>
      </c>
      <c r="C16" s="44">
        <v>3.6</v>
      </c>
      <c r="D16" s="49">
        <f t="shared" si="0"/>
        <v>6.46296315581e-08</v>
      </c>
      <c r="E16" s="60" t="s">
        <v>783</v>
      </c>
    </row>
    <row r="17" spans="1:6" x14ac:dyDescent="0.2">
      <c r="A17" s="18" t="s">
        <v>915</v>
      </c>
      <c r="B17" s="44">
        <v>4.1999999999999998E-13</v>
      </c>
      <c r="C17" s="44">
        <v>16</v>
      </c>
      <c r="D17" s="49">
        <f t="shared" si="0"/>
        <v>4.671774023329e-13</v>
      </c>
      <c r="E17" s="60" t="s">
        <v>783</v>
      </c>
    </row>
    <row r="18" spans="1:6" x14ac:dyDescent="0.2">
      <c r="A18" s="18" t="s">
        <v>788</v>
      </c>
      <c r="B18" s="44">
        <v>5.6000000000000003E-10</v>
      </c>
      <c r="C18" s="44">
        <v>52.2</v>
      </c>
      <c r="D18" s="49">
        <f t="shared" si="0"/>
        <v>7.92540891973e-10</v>
      </c>
      <c r="E18" s="60" t="s">
        <v>783</v>
      </c>
    </row>
    <row r="19" spans="1:6" x14ac:dyDescent="0.2">
      <c r="A19" s="18" t="s">
        <v>789</v>
      </c>
      <c r="B19" s="44">
        <v>1E-14</v>
      </c>
      <c r="C19" s="44">
        <v>55.8</v>
      </c>
      <c r="D19" s="49">
        <f t="shared" si="0"/>
        <v>1.449559255234e-14</v>
      </c>
      <c r="E19" s="60" t="s">
        <v>783</v>
      </c>
    </row>
    <row r="20" spans="1:6" x14ac:dyDescent="0.2">
      <c r="A20" s="18" t="s">
        <v>790</v>
      </c>
      <c r="B20" s="44">
        <v>2.8840315031266057E-8</v>
      </c>
      <c r="C20" s="44">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44">
        <v>136.08600000000001</v>
      </c>
      <c r="C25" s="21">
        <v>0</v>
      </c>
      <c r="D25" s="116">
        <v>2.2999999999999998</v>
      </c>
      <c r="E25" s="138" t="s">
        <v>797</v>
      </c>
    </row>
    <row r="26" spans="1:6" x14ac:dyDescent="0.2">
      <c r="A26" s="18" t="s">
        <v>805</v>
      </c>
      <c r="B26" s="44">
        <v>141.96</v>
      </c>
      <c r="C26" s="44">
        <v>2.895</v>
      </c>
      <c r="D26" s="116">
        <v>2.9</v>
      </c>
      <c r="E26" s="138" t="s">
        <v>798</v>
      </c>
    </row>
    <row r="27" spans="1:6" x14ac:dyDescent="0.2">
      <c r="A27" s="18" t="s">
        <v>806</v>
      </c>
      <c r="B27" s="44">
        <v>156.01</v>
      </c>
      <c r="C27" s="44">
        <v>3.06</v>
      </c>
      <c r="D27" s="21">
        <v>0</v>
      </c>
      <c r="E27" s="138" t="s">
        <v>798</v>
      </c>
    </row>
    <row r="28" spans="1:6" x14ac:dyDescent="0.2">
      <c r="A28" s="18" t="s">
        <v>807</v>
      </c>
      <c r="B28" s="44">
        <v>84.007000000000005</v>
      </c>
      <c r="C28" s="21">
        <v>0</v>
      </c>
      <c r="D28" s="116">
        <v>1.05</v>
      </c>
      <c r="E28" s="138" t="s">
        <v>797</v>
      </c>
    </row>
    <row r="29" spans="1:6" x14ac:dyDescent="0.2">
      <c r="A29" s="18" t="s">
        <v>808</v>
      </c>
      <c r="B29" s="44">
        <v>174.26</v>
      </c>
      <c r="C29" s="44">
        <v>0.17</v>
      </c>
      <c r="D29" s="21">
        <v>0</v>
      </c>
      <c r="E29" s="138" t="s">
        <v>798</v>
      </c>
    </row>
    <row r="30" spans="1:6" x14ac:dyDescent="0.2">
      <c r="A30" s="18" t="s">
        <v>809</v>
      </c>
      <c r="B30" s="44">
        <v>172.17</v>
      </c>
      <c r="C30" s="44">
        <v>9.7000000000000003E-2</v>
      </c>
      <c r="D30" s="21">
        <v>0</v>
      </c>
      <c r="E30" s="138" t="s">
        <v>798</v>
      </c>
    </row>
    <row r="31" spans="1:6" x14ac:dyDescent="0.2">
      <c r="A31" s="18" t="s">
        <v>810</v>
      </c>
      <c r="B31" s="44">
        <v>246.48</v>
      </c>
      <c r="C31" s="44">
        <v>0.8</v>
      </c>
      <c r="D31" s="116">
        <v>0.5</v>
      </c>
      <c r="E31" s="138" t="s">
        <v>798</v>
      </c>
    </row>
    <row r="32" spans="1:6" x14ac:dyDescent="0.2">
      <c r="A32" s="18" t="s">
        <v>811</v>
      </c>
      <c r="B32" s="44">
        <v>132.13999999999999</v>
      </c>
      <c r="C32" s="44">
        <v>0.94299999999999995</v>
      </c>
      <c r="D32" s="116">
        <v>0.47</v>
      </c>
      <c r="E32" s="138" t="s">
        <v>798</v>
      </c>
    </row>
    <row r="33" spans="1:5" ht="24" x14ac:dyDescent="0.2">
      <c r="A33" s="18" t="s">
        <v>812</v>
      </c>
      <c r="B33" s="44">
        <v>110.98</v>
      </c>
      <c r="C33" s="21">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IF(media_sel=INDEX(MediaList,1),SID_mc02,IF(media_sel=INDEX(MediaList,2),SID_udg,IF(media_sel=INDEX(MediaList,3),AMYBO03!$D$55,NA())))</f>
        <v>0.115446909129</v>
      </c>
      <c r="E44" s="138" t="s">
        <v>848</v>
      </c>
    </row>
    <row r="45" spans="1:5" x14ac:dyDescent="0.2">
      <c r="A45" s="18" t="s">
        <v>849</v>
      </c>
      <c r="B45" s="19" t="s">
        <v>850</v>
      </c>
      <c r="C45" s="20" t="s">
        <v>851</v>
      </c>
      <c r="D45" s="119">
        <f>IF(media_sel=INDEX(MediaList,1),PT_mc02,IF(media_sel=INDEX(MediaList,2),PT_udg,IF(media_sel=INDEX(MediaList,3),AMYBO03!$D$54,NA())))</f>
        <v>0.060006530132</v>
      </c>
      <c r="E45" s="138" t="s">
        <v>852</v>
      </c>
    </row>
    <row r="46" spans="1:5" x14ac:dyDescent="0.2">
      <c r="A46" s="18" t="s">
        <v>853</v>
      </c>
      <c r="B46" s="19" t="s">
        <v>854</v>
      </c>
      <c r="C46" s="20" t="s">
        <v>855</v>
      </c>
      <c r="D46" s="119">
        <f>IF(media_sel=INDEX(MediaList,1),NT_mc02,IF(media_sel=INDEX(MediaList,2),NT_udg,IF(media_sel=INDEX(MediaList,3),AMYBO03!$D$56,NA())))</f>
        <v>0.014272741032</v>
      </c>
      <c r="E46" s="138" t="s">
        <v>856</v>
      </c>
    </row>
    <row r="47" spans="1:5" x14ac:dyDescent="0.2">
      <c r="A47" s="18" t="s">
        <v>857</v>
      </c>
      <c r="B47" s="19" t="s">
        <v>858</v>
      </c>
      <c r="C47" s="20" t="s">
        <v>859</v>
      </c>
      <c r="D47" s="119">
        <f>IF(media_sel=INDEX(MediaList,1),Cl_mc02,IF(media_sel=INDEX(MediaList,2),Cl_udg,IF(media_sel=INDEX(MediaList,3),AMYBO03!$D$57,NA())))</f>
        <v>0.0</v>
      </c>
      <c r="E47" s="138" t="s">
        <v>860</v>
      </c>
    </row>
    <row r="49" spans="1:3" x14ac:dyDescent="0.2">
      <c r="A49" s="17" t="s">
        <v>1669</v>
      </c>
      <c r="B49" s="17" t="s">
        <v>861</v>
      </c>
      <c r="C49" s="17" t="s">
        <v>862</v>
      </c>
    </row>
    <row r="50" spans="1:3" x14ac:dyDescent="0.2">
      <c r="A50" s="21">
        <v>4</v>
      </c>
      <c r="B50" s="49">
        <f t="shared" ref="B50:B81" si="1">pH_SID + pH_NT*(10^-A50)/((10^-A50)+KaN_c) + (10^-A50) - (pH_PT*Ka1p_c*(10^-A50)^2 + 2*pH_PT*Ka1p_c*Ka2p_c*(10^-A50) + 3*pH_PT*Ka1p_c*Ka2p_c*Ka3p_c)/((10^-A50)^3 + Ka1p_c*(10^-A50)^2 + Ka1p_c*Ka2p_c*(10^-A50) + Ka1p_c*Ka2p_c*Ka3p_c) - Ka1c_c*CO2aqc/(10^-A50) - 2*Ka1c_c*Ka2c_c*CO2aqc/(10^-A50)^2 - Kw_c/(10^-A50)</f>
        <v>0.069961208004</v>
      </c>
      <c r="C50" s="49">
        <f t="shared" ref="C50:C81" si="2">IF(AND(B50&gt;=0,B51&lt;0),A50+pH_step*B50/(B50-B51),0)</f>
        <v>0.0</v>
      </c>
    </row>
    <row r="51" spans="1:3" x14ac:dyDescent="0.2">
      <c r="A51" s="21">
        <v>4.0999999999999996</v>
      </c>
      <c r="B51" s="49">
        <f t="shared" si="1"/>
        <v>0.06975156695</v>
      </c>
      <c r="C51" s="49">
        <f t="shared" si="2"/>
        <v>0.0</v>
      </c>
    </row>
    <row r="52" spans="1:3" x14ac:dyDescent="0.2">
      <c r="A52" s="21">
        <v>4.2</v>
      </c>
      <c r="B52" s="49">
        <f t="shared" si="1"/>
        <v>0.069543628739</v>
      </c>
      <c r="C52" s="49">
        <f t="shared" si="2"/>
        <v>0.0</v>
      </c>
    </row>
    <row r="53" spans="1:3" x14ac:dyDescent="0.2">
      <c r="A53" s="21">
        <v>4.3</v>
      </c>
      <c r="B53" s="49">
        <f t="shared" si="1"/>
        <v>0.069326510002</v>
      </c>
      <c r="C53" s="49">
        <f t="shared" si="2"/>
        <v>0.0</v>
      </c>
    </row>
    <row r="54" spans="1:3" x14ac:dyDescent="0.2">
      <c r="A54" s="21">
        <v>4.4000000000000004</v>
      </c>
      <c r="B54" s="49">
        <f t="shared" si="1"/>
        <v>0.069088805882</v>
      </c>
      <c r="C54" s="49">
        <f t="shared" si="2"/>
        <v>0.0</v>
      </c>
    </row>
    <row r="55" spans="1:3" x14ac:dyDescent="0.2">
      <c r="A55" s="21">
        <v>4.5</v>
      </c>
      <c r="B55" s="49">
        <f t="shared" si="1"/>
        <v>0.068818015909</v>
      </c>
      <c r="C55" s="49">
        <f t="shared" si="2"/>
        <v>0.0</v>
      </c>
    </row>
    <row r="56" spans="1:3" x14ac:dyDescent="0.2">
      <c r="A56" s="21">
        <v>4.5999999999999996</v>
      </c>
      <c r="B56" s="49">
        <f t="shared" si="1"/>
        <v>0.068499911658</v>
      </c>
      <c r="C56" s="49">
        <f t="shared" si="2"/>
        <v>0.0</v>
      </c>
    </row>
    <row r="57" spans="1:3" x14ac:dyDescent="0.2">
      <c r="A57" s="21">
        <v>4.7</v>
      </c>
      <c r="B57" s="49">
        <f t="shared" si="1"/>
        <v>0.068117819329</v>
      </c>
      <c r="C57" s="49">
        <f t="shared" si="2"/>
        <v>0.0</v>
      </c>
    </row>
    <row r="58" spans="1:3" x14ac:dyDescent="0.2">
      <c r="A58" s="21">
        <v>4.8</v>
      </c>
      <c r="B58" s="49">
        <f t="shared" si="1"/>
        <v>0.067651787194</v>
      </c>
      <c r="C58" s="49">
        <f t="shared" si="2"/>
        <v>0.0</v>
      </c>
    </row>
    <row r="59" spans="1:3" x14ac:dyDescent="0.2">
      <c r="A59" s="21">
        <v>4.9000000000000004</v>
      </c>
      <c r="B59" s="49">
        <f t="shared" si="1"/>
        <v>0.067077604497</v>
      </c>
      <c r="C59" s="49">
        <f t="shared" si="2"/>
        <v>0.0</v>
      </c>
    </row>
    <row r="60" spans="1:3" x14ac:dyDescent="0.2">
      <c r="A60" s="21">
        <v>5</v>
      </c>
      <c r="B60" s="49">
        <f t="shared" si="1"/>
        <v>0.06636563522</v>
      </c>
      <c r="C60" s="49">
        <f t="shared" si="2"/>
        <v>0.0</v>
      </c>
    </row>
    <row r="61" spans="1:3" x14ac:dyDescent="0.2">
      <c r="A61" s="21">
        <v>5.0999999999999996</v>
      </c>
      <c r="B61" s="49">
        <f t="shared" si="1"/>
        <v>0.065479427437</v>
      </c>
      <c r="C61" s="49">
        <f t="shared" si="2"/>
        <v>0.0</v>
      </c>
    </row>
    <row r="62" spans="1:3" x14ac:dyDescent="0.2">
      <c r="A62" s="21">
        <v>5.2</v>
      </c>
      <c r="B62" s="49">
        <f t="shared" si="1"/>
        <v>0.06437405756</v>
      </c>
      <c r="C62" s="49">
        <f t="shared" si="2"/>
        <v>0.0</v>
      </c>
    </row>
    <row r="63" spans="1:3" x14ac:dyDescent="0.2">
      <c r="A63" s="21">
        <v>5.3</v>
      </c>
      <c r="B63" s="49">
        <f t="shared" si="1"/>
        <v>0.062994169269</v>
      </c>
      <c r="C63" s="49">
        <f t="shared" si="2"/>
        <v>0.0</v>
      </c>
    </row>
    <row r="64" spans="1:3" x14ac:dyDescent="0.2">
      <c r="A64" s="21">
        <v>5.4</v>
      </c>
      <c r="B64" s="49">
        <f t="shared" si="1"/>
        <v>0.06127167011</v>
      </c>
      <c r="C64" s="49">
        <f t="shared" si="2"/>
        <v>0.0</v>
      </c>
    </row>
    <row r="65" spans="1:3" x14ac:dyDescent="0.2">
      <c r="A65" s="21">
        <v>5.5</v>
      </c>
      <c r="B65" s="49">
        <f t="shared" si="1"/>
        <v>0.059123054466</v>
      </c>
      <c r="C65" s="49">
        <f t="shared" si="2"/>
        <v>0.0</v>
      </c>
    </row>
    <row r="66" spans="1:3" x14ac:dyDescent="0.2">
      <c r="A66" s="21">
        <v>5.6</v>
      </c>
      <c r="B66" s="49">
        <f t="shared" si="1"/>
        <v>0.056446328096</v>
      </c>
      <c r="C66" s="49">
        <f t="shared" si="2"/>
        <v>0.0</v>
      </c>
    </row>
    <row r="67" spans="1:3" x14ac:dyDescent="0.2">
      <c r="A67" s="21">
        <v>5.7</v>
      </c>
      <c r="B67" s="49">
        <f t="shared" si="1"/>
        <v>0.053117511059</v>
      </c>
      <c r="C67" s="49">
        <f t="shared" si="2"/>
        <v>0.0</v>
      </c>
    </row>
    <row r="68" spans="1:3" x14ac:dyDescent="0.2">
      <c r="A68" s="21">
        <v>5.8</v>
      </c>
      <c r="B68" s="49">
        <f t="shared" si="1"/>
        <v>0.048986680763</v>
      </c>
      <c r="C68" s="49">
        <f t="shared" si="2"/>
        <v>0.0</v>
      </c>
    </row>
    <row r="69" spans="1:3" x14ac:dyDescent="0.2">
      <c r="A69" s="21">
        <v>5.9</v>
      </c>
      <c r="B69" s="49">
        <f t="shared" si="1"/>
        <v>0.043873464183</v>
      </c>
      <c r="C69" s="49">
        <f t="shared" si="2"/>
        <v>0.0</v>
      </c>
    </row>
    <row r="70" spans="1:3" x14ac:dyDescent="0.2">
      <c r="A70" s="21">
        <v>6</v>
      </c>
      <c r="B70" s="49">
        <f t="shared" si="1"/>
        <v>0.037561767097</v>
      </c>
      <c r="C70" s="49">
        <f t="shared" si="2"/>
        <v>0.0</v>
      </c>
    </row>
    <row r="71" spans="1:3" x14ac:dyDescent="0.2">
      <c r="A71" s="21">
        <v>6.1</v>
      </c>
      <c r="B71" s="49">
        <f t="shared" si="1"/>
        <v>0.029793302153</v>
      </c>
      <c r="C71" s="49">
        <f t="shared" si="2"/>
        <v>0.0</v>
      </c>
    </row>
    <row r="72" spans="1:3" x14ac:dyDescent="0.2">
      <c r="A72" s="21">
        <v>6.2</v>
      </c>
      <c r="B72" s="49">
        <f t="shared" si="1"/>
        <v>0.020259119105</v>
      </c>
      <c r="C72" s="49">
        <f t="shared" si="2"/>
        <v>0.0</v>
      </c>
    </row>
    <row r="73" spans="1:3" x14ac:dyDescent="0.2">
      <c r="A73" s="21">
        <v>6.3</v>
      </c>
      <c r="B73" s="49">
        <f t="shared" si="1"/>
        <v>0.008587856904</v>
      </c>
      <c r="C73" s="49">
        <f t="shared" si="2"/>
        <v>6.360227804438</v>
      </c>
    </row>
    <row r="74" spans="1:3" x14ac:dyDescent="0.2">
      <c r="A74" s="21">
        <v>6.4</v>
      </c>
      <c r="B74" s="49">
        <f t="shared" si="1"/>
        <v>-0.005671100374</v>
      </c>
      <c r="C74" s="49">
        <f t="shared" si="2"/>
        <v>0.0</v>
      </c>
    </row>
    <row r="75" spans="1:3" x14ac:dyDescent="0.2">
      <c r="A75" s="21">
        <v>6.5</v>
      </c>
      <c r="B75" s="49">
        <f t="shared" si="1"/>
        <v>-0.023071830034</v>
      </c>
      <c r="C75" s="49">
        <f t="shared" si="2"/>
        <v>0.0</v>
      </c>
    </row>
    <row r="76" spans="1:3" x14ac:dyDescent="0.2">
      <c r="A76" s="21">
        <v>6.6</v>
      </c>
      <c r="B76" s="49">
        <f t="shared" si="1"/>
        <v>-0.044305894942</v>
      </c>
      <c r="C76" s="49">
        <f t="shared" si="2"/>
        <v>0.0</v>
      </c>
    </row>
    <row r="77" spans="1:3" x14ac:dyDescent="0.2">
      <c r="A77" s="21">
        <v>6.7</v>
      </c>
      <c r="B77" s="49">
        <f t="shared" si="1"/>
        <v>-0.070248485151</v>
      </c>
      <c r="C77" s="49">
        <f t="shared" si="2"/>
        <v>0.0</v>
      </c>
    </row>
    <row r="78" spans="1:3" x14ac:dyDescent="0.2">
      <c r="A78" s="21">
        <v>6.8</v>
      </c>
      <c r="B78" s="49">
        <f t="shared" si="1"/>
        <v>-0.102018603865</v>
      </c>
      <c r="C78" s="49">
        <f t="shared" si="2"/>
        <v>0.0</v>
      </c>
    </row>
    <row r="79" spans="1:3" x14ac:dyDescent="0.2">
      <c r="A79" s="21">
        <v>6.9</v>
      </c>
      <c r="B79" s="49">
        <f t="shared" si="1"/>
        <v>-0.141055008418</v>
      </c>
      <c r="C79" s="49">
        <f t="shared" si="2"/>
        <v>0.0</v>
      </c>
    </row>
    <row r="80" spans="1:3" x14ac:dyDescent="0.2">
      <c r="A80" s="21">
        <v>7</v>
      </c>
      <c r="B80" s="49">
        <f t="shared" si="1"/>
        <v>-0.189210043149</v>
      </c>
      <c r="C80" s="49">
        <f t="shared" si="2"/>
        <v>0.0</v>
      </c>
    </row>
    <row r="81" spans="1:3" x14ac:dyDescent="0.2">
      <c r="A81" s="21">
        <v>7.1</v>
      </c>
      <c r="B81" s="49">
        <f t="shared" si="1"/>
        <v>-0.248864922646</v>
      </c>
      <c r="C81" s="49">
        <f t="shared" si="2"/>
        <v>0.0</v>
      </c>
    </row>
    <row r="82" spans="1:3" x14ac:dyDescent="0.2">
      <c r="A82" s="21">
        <v>7.2</v>
      </c>
      <c r="B82" s="49">
        <f t="shared" ref="B82:B100" si="3">pH_SID + pH_NT*(10^-A82)/((10^-A82)+KaN_c) + (10^-A82) - (pH_PT*Ka1p_c*(10^-A82)^2 + 2*pH_PT*Ka1p_c*Ka2p_c*(10^-A82) + 3*pH_PT*Ka1p_c*Ka2p_c*Ka3p_c)/((10^-A82)^3 + Ka1p_c*(10^-A82)^2 + Ka1p_c*Ka2p_c*(10^-A82) + Ka1p_c*Ka2p_c*Ka3p_c) - Ka1c_c*CO2aqc/(10^-A82) - 2*Ka1c_c*Ka2c_c*CO2aqc/(10^-A82)^2 - Kw_c/(10^-A82)</f>
        <v>-0.323072497969</v>
      </c>
      <c r="C82" s="49">
        <f t="shared" ref="C82:C99" si="4">IF(AND(B82&gt;=0,B83&lt;0),A82+pH_step*B82/(B82-B83),0)</f>
        <v>0.0</v>
      </c>
    </row>
    <row r="83" spans="1:3" x14ac:dyDescent="0.2">
      <c r="A83" s="21">
        <v>7.3</v>
      </c>
      <c r="B83" s="49">
        <f t="shared" si="3"/>
        <v>-0.415736899954</v>
      </c>
      <c r="C83" s="49">
        <f t="shared" si="4"/>
        <v>0.0</v>
      </c>
    </row>
    <row r="84" spans="1:3" x14ac:dyDescent="0.2">
      <c r="A84" s="21">
        <v>7.4</v>
      </c>
      <c r="B84" s="49">
        <f t="shared" si="3"/>
        <v>-0.531843581218</v>
      </c>
      <c r="C84" s="49">
        <f t="shared" si="4"/>
        <v>0.0</v>
      </c>
    </row>
    <row r="85" spans="1:3" x14ac:dyDescent="0.2">
      <c r="A85" s="21">
        <v>7.5</v>
      </c>
      <c r="B85" s="49">
        <f t="shared" si="3"/>
        <v>-0.677758370306</v>
      </c>
      <c r="C85" s="49">
        <f t="shared" si="4"/>
        <v>0.0</v>
      </c>
    </row>
    <row r="86" spans="1:3" x14ac:dyDescent="0.2">
      <c r="A86" s="21">
        <v>7.6</v>
      </c>
      <c r="B86" s="49">
        <f t="shared" si="3"/>
        <v>-0.861620869308</v>
      </c>
      <c r="C86" s="49">
        <f t="shared" si="4"/>
        <v>0.0</v>
      </c>
    </row>
    <row r="87" spans="1:3" x14ac:dyDescent="0.2">
      <c r="A87" s="21">
        <v>7.7</v>
      </c>
      <c r="B87" s="49">
        <f t="shared" si="3"/>
        <v>-1.0938670348</v>
      </c>
      <c r="C87" s="49">
        <f t="shared" si="4"/>
        <v>0.0</v>
      </c>
    </row>
    <row r="88" spans="1:3" x14ac:dyDescent="0.2">
      <c r="A88" s="21">
        <v>7.8</v>
      </c>
      <c r="B88" s="49">
        <f t="shared" si="3"/>
        <v>-1.387929812121</v>
      </c>
      <c r="C88" s="49">
        <f t="shared" si="4"/>
        <v>0.0</v>
      </c>
    </row>
    <row r="89" spans="1:3" x14ac:dyDescent="0.2">
      <c r="A89" s="21">
        <v>7.9</v>
      </c>
      <c r="B89" s="49">
        <f t="shared" si="3"/>
        <v>-1.761187762627</v>
      </c>
      <c r="C89" s="49">
        <f t="shared" si="4"/>
        <v>0.0</v>
      </c>
    </row>
    <row r="90" spans="1:3" x14ac:dyDescent="0.2">
      <c r="A90" s="21">
        <v>8</v>
      </c>
      <c r="B90" s="49">
        <f t="shared" si="3"/>
        <v>-2.23626349732</v>
      </c>
      <c r="C90" s="49">
        <f t="shared" si="4"/>
        <v>0.0</v>
      </c>
    </row>
    <row r="91" spans="1:3" x14ac:dyDescent="0.2">
      <c r="A91" s="21">
        <v>8.1</v>
      </c>
      <c r="B91" s="49">
        <f t="shared" si="3"/>
        <v>-2.842822195742</v>
      </c>
      <c r="C91" s="49">
        <f t="shared" si="4"/>
        <v>0.0</v>
      </c>
    </row>
    <row r="92" spans="1:3" x14ac:dyDescent="0.2">
      <c r="A92" s="21">
        <v>8.1999999999999993</v>
      </c>
      <c r="B92" s="49">
        <f t="shared" si="3"/>
        <v>-3.620094577901</v>
      </c>
      <c r="C92" s="49">
        <f t="shared" si="4"/>
        <v>0.0</v>
      </c>
    </row>
    <row r="93" spans="1:3" x14ac:dyDescent="0.2">
      <c r="A93" s="21">
        <v>8.3000000000000007</v>
      </c>
      <c r="B93" s="49">
        <f t="shared" si="3"/>
        <v>-4.620462586028</v>
      </c>
      <c r="C93" s="49">
        <f t="shared" si="4"/>
        <v>0.0</v>
      </c>
    </row>
    <row r="94" spans="1:3" x14ac:dyDescent="0.2">
      <c r="A94" s="21">
        <v>8.4</v>
      </c>
      <c r="B94" s="49">
        <f t="shared" si="3"/>
        <v>-5.914622025451</v>
      </c>
      <c r="C94" s="49">
        <f t="shared" si="4"/>
        <v>0.0</v>
      </c>
    </row>
    <row r="95" spans="1:3" x14ac:dyDescent="0.2">
      <c r="A95" s="21">
        <v>8.5</v>
      </c>
      <c r="B95" s="49">
        <f t="shared" si="3"/>
        <v>-7.599109637773</v>
      </c>
      <c r="C95" s="49">
        <f t="shared" si="4"/>
        <v>0.0</v>
      </c>
    </row>
    <row r="96" spans="1:3" x14ac:dyDescent="0.2">
      <c r="A96" s="21">
        <v>8.6</v>
      </c>
      <c r="B96" s="49">
        <f t="shared" si="3"/>
        <v>-9.807407915847</v>
      </c>
      <c r="C96" s="49">
        <f t="shared" si="4"/>
        <v>0.0</v>
      </c>
    </row>
    <row r="97" spans="1:7" x14ac:dyDescent="0.2">
      <c r="A97" s="21">
        <v>8.6999999999999993</v>
      </c>
      <c r="B97" s="49">
        <f t="shared" si="3"/>
        <v>-12.72650680719</v>
      </c>
      <c r="C97" s="49">
        <f t="shared" si="4"/>
        <v>0.0</v>
      </c>
    </row>
    <row r="98" spans="1:7" x14ac:dyDescent="0.2">
      <c r="A98" s="21">
        <v>8.8000000000000007</v>
      </c>
      <c r="B98" s="49">
        <f t="shared" si="3"/>
        <v>-16.621845301131</v>
      </c>
      <c r="C98" s="49">
        <f t="shared" si="4"/>
        <v>0.0</v>
      </c>
    </row>
    <row r="99" spans="1:7" x14ac:dyDescent="0.2">
      <c r="A99" s="21">
        <v>8.9</v>
      </c>
      <c r="B99" s="49">
        <f t="shared" si="3"/>
        <v>-21.875195872484</v>
      </c>
      <c r="C99" s="49">
        <f t="shared" si="4"/>
        <v>0.0</v>
      </c>
    </row>
    <row r="100" spans="1:7" x14ac:dyDescent="0.2">
      <c r="A100" s="21">
        <v>9</v>
      </c>
      <c r="B100" s="49">
        <f t="shared" si="3"/>
        <v>-29.042635799684</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6.360227804438</v>
      </c>
      <c r="E103" s="138" t="s">
        <v>1670</v>
      </c>
      <c r="F103" s="75" t="s">
        <v>1967</v>
      </c>
    </row>
    <row r="104" spans="1:7" ht="36" x14ac:dyDescent="0.2">
      <c r="A104" s="18" t="s">
        <v>865</v>
      </c>
      <c r="B104" s="19" t="s">
        <v>866</v>
      </c>
      <c r="C104" s="20" t="s">
        <v>867</v>
      </c>
      <c r="D104" s="119">
        <f>1/(1+KaHOCl_c/10^-pH_op)</f>
        <v>0.884605723802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38" t="e">
        <f>"Naïve FE=1 upper bound (all anode current → Cl₂). Superseded by the mass-transport-limited chlorine current I_Cl (D133) and the production rate P_HOCl (D134). Kept only to show the overstatement ("&amp;TEXT(bleach_rate/(P_HOCl*M_HOCl*3600),"0")&amp;"× at the current operating point)."</f>
        <v>#DIV/0!</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AMYBO03!D54*1000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16">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2.588026171876e-05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6">
        <v>1</v>
      </c>
      <c r="E142" s="138" t="s">
        <v>1014</v>
      </c>
    </row>
    <row r="143" spans="1:5" ht="84" x14ac:dyDescent="0.2">
      <c r="A143" s="18" t="s">
        <v>1015</v>
      </c>
      <c r="B143" s="19" t="s">
        <v>1016</v>
      </c>
      <c r="C143" s="20" t="s">
        <v>990</v>
      </c>
      <c r="D143" s="119">
        <f>MIN(Cl_pool_mgL*(k_Cl_turn*tau_NH2Cl*3600)/(1+k_Cl_turn*tau_NH2Cl*3600),cl_per_N*NH3_N*M_HOCl/M_Cl2)</f>
        <v>0.0</v>
      </c>
      <c r="E143" s="138" t="s">
        <v>1972</v>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9">
        <f>MIN(Cl_pool_mgL*(k_Cl_turn*tau_NH2Cl_lo*3600)/(1+k_Cl_turn*tau_NH2Cl_lo*3600),cl_per_N*NH3_N*M_HOCl/M_Cl2)</f>
        <v>0.0</v>
      </c>
      <c r="E154" s="138" t="s">
        <v>1976</v>
      </c>
    </row>
    <row r="155" spans="1:5" ht="24" x14ac:dyDescent="0.2">
      <c r="A155" s="18" t="s">
        <v>1107</v>
      </c>
      <c r="B155" s="19" t="s">
        <v>1108</v>
      </c>
      <c r="C155" s="20" t="s">
        <v>1109</v>
      </c>
      <c r="D155" s="119">
        <f>MIN(Cl_pool_mgL*(k_Cl_turn*tau_NH2Cl_hi*3600)/(1+k_Cl_turn*tau_NH2Cl_hi*3600),cl_per_N*NH3_N*M_HOCl/M_Cl2)</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s">
        <v>1366</v>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IF(media_sel=INDEX(MediaList,1),kappa0_mc02,IF(media_sel=INDEX(MediaList,2),kappa0_udg,IF(media_sel=INDEX(MediaList,3),AMYBO03!$D$58,NA())))*kappa_fI*(1+kappa_TC*(TKc-T_ref))</f>
        <v>1.401288519775</v>
      </c>
      <c r="E180" s="51" t="s">
        <v>1373</v>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IF(media_sel=INDEX(MediaList,1),I_mc02,IF(media_sel=INDEX(MediaList,2),I_udg,IF(media_sel=INDEX(MediaList,3),AMYBO03!$D$59,NA())))</f>
        <v>0.200184197377</v>
      </c>
      <c r="E185" s="51" t="s">
        <v>860</v>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0.838743761258</v>
      </c>
      <c r="E206" s="74" t="s">
        <v>1438</v>
      </c>
    </row>
    <row r="207" spans="1:5" x14ac:dyDescent="0.2">
      <c r="A207" t="s">
        <v>1439</v>
      </c>
      <c r="B207" s="19" t="s">
        <v>1440</v>
      </c>
      <c r="C207" s="20" t="s">
        <v>1423</v>
      </c>
      <c r="D207" s="111">
        <f>E0_HER-nernst_slope*pH_meas</f>
        <v>-0.390256238742</v>
      </c>
      <c r="E207" s="74" t="s">
        <v>1441</v>
      </c>
    </row>
    <row r="208" spans="1:5" ht="24" x14ac:dyDescent="0.2">
      <c r="A208" t="s">
        <v>1978</v>
      </c>
      <c r="B208" s="19" t="s">
        <v>1442</v>
      </c>
      <c r="C208" s="20" t="s">
        <v>1423</v>
      </c>
      <c r="D208" s="111">
        <f>E0_Cl2+nernst_slope*(-LOG10(MAX(pH_Cl,Cl_floor_molL)))</f>
        <v>2.079817482095</v>
      </c>
      <c r="E208" s="51" t="s">
        <v>1443</v>
      </c>
    </row>
    <row r="209" spans="1:5" ht="48" x14ac:dyDescent="0.2">
      <c r="A209" t="s">
        <v>1979</v>
      </c>
      <c r="B209" s="19" t="s">
        <v>1444</v>
      </c>
      <c r="C209" s="20" t="s">
        <v>1445</v>
      </c>
      <c r="D209" s="111">
        <f>E_HOCl_Cl-E_anode_op</f>
        <v>-0.30390069301</v>
      </c>
      <c r="E209" s="51" t="s">
        <v>1980</v>
      </c>
    </row>
    <row r="210" spans="1:5" ht="48" x14ac:dyDescent="0.2">
      <c r="A210" t="s">
        <v>1446</v>
      </c>
      <c r="B210" s="19" t="s">
        <v>1447</v>
      </c>
      <c r="C210" s="20" t="s">
        <v>1423</v>
      </c>
      <c r="D210" s="111">
        <f>E0_ORR2-nernst_slope*pH_meas</f>
        <v>0.304743761258</v>
      </c>
      <c r="E210" s="51" t="s">
        <v>1448</v>
      </c>
    </row>
    <row r="211" spans="1:5" ht="48" x14ac:dyDescent="0.2">
      <c r="A211" t="s">
        <v>1981</v>
      </c>
      <c r="B211" s="19" t="s">
        <v>1450</v>
      </c>
      <c r="C211" s="20" t="s">
        <v>1445</v>
      </c>
      <c r="D211" s="111">
        <f>E_anode_op-E0_Cu</f>
        <v>1.248872573638</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16.462465768267</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0.199715551957</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6.487893381735</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0.049844265613</v>
      </c>
      <c r="E252" s="51" t="s">
        <v>2022</v>
      </c>
    </row>
    <row r="253" spans="1:5" ht="24" x14ac:dyDescent="0.2">
      <c r="A253" t="s">
        <v>2023</v>
      </c>
      <c r="B253" s="19" t="s">
        <v>2024</v>
      </c>
      <c r="C253" s="20" t="s">
        <v>429</v>
      </c>
      <c r="D253" s="111">
        <f>pH_PT/(1+10^(-LOG10(Ka2p_c)-pH_op))</f>
        <v>0.019464016532</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1.590772573638</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f>E0_HOCl+nernst_slope/2*(LOG10(MAX(HOCl_ss*f_local,0.000000000001))-pH_meas-LOG10(MAX(pH_Cl,0.000000000001)))</f>
        <v>1.286871880629</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1/(1+k_Cl_turn*tau_NH2Cl*3600)</f>
        <v>0.391224738169</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6.09</v>
      </c>
      <c r="E291" s="34" t="s">
        <v>2076</v>
      </c>
    </row>
    <row r="292" spans="1:5" x14ac:dyDescent="0.2">
      <c r="A292" t="s">
        <v>2077</v>
      </c>
      <c r="B292" s="19" t="s">
        <v>2078</v>
      </c>
      <c r="C292" s="20" t="s">
        <v>429</v>
      </c>
      <c r="D292" s="111">
        <f>10^-pH_ref_DIC</f>
        <v>8.128305161641e-07</v>
      </c>
      <c r="E292" s="60" t="s">
        <v>2079</v>
      </c>
    </row>
    <row r="293" spans="1:5" x14ac:dyDescent="0.2">
      <c r="A293" t="s">
        <v>2080</v>
      </c>
      <c r="B293" s="19" t="s">
        <v>2081</v>
      </c>
      <c r="C293" s="20" t="s">
        <v>111</v>
      </c>
      <c r="D293" s="111">
        <f>Ka1c_c/h_ref_DIC</f>
        <v>1.047442997582</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0.057385332923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0.022552516262</v>
      </c>
      <c r="E295" s="60" t="s">
        <v>2089</v>
      </c>
    </row>
    <row r="296" spans="1:5" ht="48" x14ac:dyDescent="0.2">
      <c r="A296" t="s">
        <v>2090</v>
      </c>
      <c r="B296" s="19" t="s">
        <v>2091</v>
      </c>
      <c r="C296" s="20" t="s">
        <v>111</v>
      </c>
      <c r="D296" s="111">
        <f>1+r_HCO3_ref*beta_nonC/(beta_nonC+LN(10)*HCO3_ref)</f>
        <v>1.152711317868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-0.00143770448</v>
      </c>
      <c r="E305" s="60" t="s">
        <v>2734</v>
      </c>
    </row>
    <row r="306" spans="1:5" x14ac:dyDescent="0.2">
      <c r="A306" t="s">
        <v>2735</v>
      </c>
      <c r="B306" s="19" t="s">
        <v>2736</v>
      </c>
      <c r="C306" s="20" t="s">
        <v>429</v>
      </c>
      <c r="D306" s="111">
        <f>MAX(0,-alk_resid_t)</f>
        <v>0.00143770448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0.120777240215</v>
      </c>
      <c r="E308" s="60" t="s">
        <v>2743</v>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88"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41" t="str">
        <f>IF(AND(y_H2_end_b&gt;=H2_LFL,y_O2_end_b&gt;=O2_LOC_H2*LOC_margin),"FLAMMABLE HEADSPACE (lag): H₂ "&amp;TEXT(y_H2_hs_lag,"0%")&amp;" mean, "&amp;TEXT(y_H2_end_b,"0%")&amp;" before each pulse; O₂ "&amp;TEXT(y_O2_hs_lag,"0%")&amp;" mean, "&amp;TEXT(y_O2_end_b,"0%")&amp;" before each pulse – until uptake starts, sparge every ≤"&amp;TEXT(spg_int_H2safe_saw,"0.0")&amp;" min or sweep ≥"&amp;TEXT(N2_sweep_H2safe,"0.0")&amp;" mL/min N₂; vent to a hood; no ignition sources","Below the H₂ LFL or under the O₂ LOC margin at every point of the cycle (lag): H₂ "&amp;TEXT(y_H2_end_b,"0%")&amp;", O₂ "&amp;TEXT(y_O2_end_b,"0%")&amp;" before each pulse ("&amp;TEXT(y_H2_hs_lag,"0%")&amp;" / "&amp;TEXT(y_O2_hs_lag,"0%")&amp;" mean)")</f>
        <v>FLAMMABLE HEADSPACE (lag): H₂ 9% mean, 15% before each pulse; O₂ 5% mean, 8% before each pulse – until uptake starts, sparge every ≤2.4 min or sweep ≥0.9 mL/min N₂; vent to a hood; no ignition sources</v>
      </c>
      <c r="E44" s="54" t="s">
        <v>2107</v>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21">
        <v>2.6</v>
      </c>
      <c r="D52" s="21">
        <v>3</v>
      </c>
      <c r="E52" s="21">
        <v>11.5</v>
      </c>
      <c r="F52" s="75" t="s">
        <v>467</v>
      </c>
    </row>
    <row r="53" spans="1:6" x14ac:dyDescent="0.2">
      <c r="A53" s="21" t="s">
        <v>468</v>
      </c>
      <c r="B53" s="46" t="s">
        <v>346</v>
      </c>
      <c r="C53" s="46" t="s">
        <v>346</v>
      </c>
      <c r="D53" s="46" t="s">
        <v>346</v>
      </c>
      <c r="E53" s="21">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0.0008457851714831</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0.0001431962391673</v>
      </c>
      <c r="E83" s="53" t="s">
        <v>2151</v>
      </c>
    </row>
    <row r="84" spans="1:5" ht="48" x14ac:dyDescent="0.2">
      <c r="A84" s="18" t="s">
        <v>2152</v>
      </c>
      <c r="B84" s="19" t="s">
        <v>2153</v>
      </c>
      <c r="C84" s="20" t="s">
        <v>111</v>
      </c>
      <c r="D84" s="41">
        <f>H2_src_l_b/(n_flamm_src+CO2_supply_b+F_vent_ex_b)</f>
        <v>0.093395436531</v>
      </c>
      <c r="E84" s="53" t="s">
        <v>2154</v>
      </c>
    </row>
    <row r="85" spans="1:5" ht="24" x14ac:dyDescent="0.2">
      <c r="A85" s="18" t="s">
        <v>2155</v>
      </c>
      <c r="B85" s="19" t="s">
        <v>2156</v>
      </c>
      <c r="C85" s="20" t="s">
        <v>111</v>
      </c>
      <c r="D85" s="41">
        <f>(O2_src_l_b+y_O2_air_b*F_vent_ex_b)/(n_flamm_src+CO2_supply_b+F_vent_ex_b)</f>
        <v>0.053679883871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0.003287756237</v>
      </c>
      <c r="E86" s="53" t="s">
        <v>2160</v>
      </c>
    </row>
    <row r="87" spans="1:5" ht="24" x14ac:dyDescent="0.2">
      <c r="A87" s="18" t="s">
        <v>2161</v>
      </c>
      <c r="B87" s="19" t="s">
        <v>2162</v>
      </c>
      <c r="C87" s="20" t="s">
        <v>61</v>
      </c>
      <c r="D87" s="41">
        <f>IF(duty_H2safe&gt;0,spg_dur_b/(60*duty_H2safe),NA())</f>
        <v>3.976942496757</v>
      </c>
      <c r="E87" s="53" t="s">
        <v>2163</v>
      </c>
    </row>
    <row r="88" spans="1:5" ht="24" x14ac:dyDescent="0.2">
      <c r="A88" s="18" t="s">
        <v>2164</v>
      </c>
      <c r="B88" s="19" t="s">
        <v>2165</v>
      </c>
      <c r="C88" s="20" t="s">
        <v>314</v>
      </c>
      <c r="D88" s="41">
        <f>MAX(0,H2_src_l_b/H2_LFL-n_flamm_src-F_vent_ex_b)/3600*R_gas_b*T_K/P_atm*1000000*60</f>
        <v>0.918020179803</v>
      </c>
      <c r="E88" s="53" t="s">
        <v>2166</v>
      </c>
    </row>
    <row r="89" spans="1:5" x14ac:dyDescent="0.2">
      <c r="A89" s="21" t="s">
        <v>2167</v>
      </c>
      <c r="B89" s="19" t="s">
        <v>2168</v>
      </c>
      <c r="C89" s="21" t="s">
        <v>12</v>
      </c>
      <c r="D89" s="120">
        <f>'Mass Transfer'!$D$90</f>
        <v>0.674076519917</v>
      </c>
      <c r="E89" s="140" t="s">
        <v>2169</v>
      </c>
    </row>
    <row r="90" spans="1:5" ht="48" x14ac:dyDescent="0.2">
      <c r="A90" s="18" t="s">
        <v>2170</v>
      </c>
      <c r="B90" s="19" t="s">
        <v>2171</v>
      </c>
      <c r="C90" s="20" t="s">
        <v>61</v>
      </c>
      <c r="D90" s="41">
        <f>IF(H2_src_l_b&gt;H2_LFL*F_gap_l_b,n_hs_gas_b/F_gap_l_b*LN((1-H2_LFL*F_gap_l_b/(H2_src_l_b)*flush_ret_opt_b)/(1-H2_LFL*F_gap_l_b/(H2_src_l_b)))*60,"none needed")</f>
        <v>1.754295192528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2.428028403314</v>
      </c>
      <c r="E91" s="53" t="s">
        <v>2175</v>
      </c>
    </row>
    <row r="92" spans="1:5" ht="24" x14ac:dyDescent="0.2">
      <c r="A92" s="18" t="s">
        <v>2176</v>
      </c>
      <c r="B92" s="19" t="s">
        <v>2177</v>
      </c>
      <c r="C92" s="20" t="s">
        <v>61</v>
      </c>
      <c r="D92" s="41">
        <f>IF(OR(ISTEXT(t_gap_H2_LFL),ISTEXT(t_gap_O2_LOC)),"any interval",MAX(t_gap_H2_LFL,t_gap_O2_LOC)+spg_dur_opt_b/60)</f>
        <v>2.439263011979</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25.397988261812</v>
      </c>
      <c r="E97" s="51" t="s">
        <v>2185</v>
      </c>
    </row>
    <row r="98" spans="1:5" ht="36" x14ac:dyDescent="0.2">
      <c r="A98" s="18" t="s">
        <v>2186</v>
      </c>
      <c r="B98" s="19" t="s">
        <v>2187</v>
      </c>
      <c r="C98" s="20" t="s">
        <v>87</v>
      </c>
      <c r="D98" s="41">
        <f>C_cycle_start_b*1000/Km_CO2</f>
        <v>507.959765236247</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9.574538813904e-05</v>
      </c>
      <c r="E113" s="140" t="s">
        <v>2198</v>
      </c>
    </row>
    <row r="114" spans="1:5" x14ac:dyDescent="0.2">
      <c r="A114" s="21" t="s">
        <v>2199</v>
      </c>
      <c r="B114" s="19" t="s">
        <v>2200</v>
      </c>
      <c r="C114" s="21" t="s">
        <v>111</v>
      </c>
      <c r="D114" s="120">
        <f>'Mass Transfer'!$D$388</f>
        <v>0.145040740595</v>
      </c>
      <c r="E114" s="140" t="s">
        <v>2201</v>
      </c>
    </row>
    <row r="115" spans="1:5" x14ac:dyDescent="0.2">
      <c r="A115" s="21" t="s">
        <v>2202</v>
      </c>
      <c r="B115" s="19" t="s">
        <v>2203</v>
      </c>
      <c r="C115" s="21" t="s">
        <v>307</v>
      </c>
      <c r="D115" s="120">
        <f>'Mass Transfer'!$D$310</f>
        <v>4.745085102827e-05</v>
      </c>
      <c r="E115" s="140" t="s">
        <v>2204</v>
      </c>
    </row>
    <row r="116" spans="1:5" x14ac:dyDescent="0.2">
      <c r="A116" s="21" t="s">
        <v>2205</v>
      </c>
      <c r="B116" s="19" t="s">
        <v>2206</v>
      </c>
      <c r="C116" s="21" t="s">
        <v>307</v>
      </c>
      <c r="D116" s="120">
        <f>'Mass Transfer'!$D$353</f>
        <v>0.0001793761393403</v>
      </c>
      <c r="E116" s="140" t="s">
        <v>2207</v>
      </c>
    </row>
    <row r="117" spans="1:5" x14ac:dyDescent="0.2">
      <c r="A117" s="21" t="s">
        <v>2208</v>
      </c>
      <c r="B117" s="19" t="s">
        <v>2209</v>
      </c>
      <c r="C117" s="21" t="s">
        <v>732</v>
      </c>
      <c r="D117" s="120">
        <f>'Mass Transfer'!$D$150</f>
        <v>0.0001050193341601</v>
      </c>
      <c r="E117" s="140" t="s">
        <v>2210</v>
      </c>
    </row>
    <row r="118" spans="1:5" x14ac:dyDescent="0.2">
      <c r="A118" s="21" t="s">
        <v>2211</v>
      </c>
      <c r="B118" s="19" t="s">
        <v>2212</v>
      </c>
      <c r="C118" s="21" t="s">
        <v>111</v>
      </c>
      <c r="D118" s="120">
        <f>'Mass Transfer'!$D$321</f>
        <v>0.367879441171</v>
      </c>
      <c r="E118" s="140" t="s">
        <v>2213</v>
      </c>
    </row>
    <row r="119" spans="1:5" x14ac:dyDescent="0.2">
      <c r="A119" s="21" t="s">
        <v>2214</v>
      </c>
      <c r="B119" s="19" t="s">
        <v>2215</v>
      </c>
      <c r="C119" s="21" t="s">
        <v>111</v>
      </c>
      <c r="D119" s="120">
        <f>'Mass Transfer'!$D$358</f>
        <v>0.08336349613</v>
      </c>
      <c r="E119" s="140" t="s">
        <v>2216</v>
      </c>
    </row>
    <row r="120" spans="1:5" x14ac:dyDescent="0.2">
      <c r="A120" s="6" t="s">
        <v>2217</v>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6.303155783939e-05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1.071291719445e-06</v>
      </c>
      <c r="E55" s="57" t="s">
        <v>587</v>
      </c>
      <c r="F55" s="21"/>
    </row>
    <row r="56" spans="1:6" x14ac:dyDescent="0.2">
      <c r="A56" s="86" t="s">
        <v>588</v>
      </c>
      <c r="B56" s="19" t="s">
        <v>589</v>
      </c>
      <c r="C56" s="20" t="s">
        <v>87</v>
      </c>
      <c r="D56" s="39">
        <f>IF(O2_excess&gt;0,strip_avg/O2_excess,NA())</f>
        <v>0.063386460696</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41">
        <f>O2_ceil_C*(V_charge/1000000)/O2_excess*60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17.894797160561</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7.450071557247</v>
      </c>
      <c r="E77" s="74" t="s">
        <v>2236</v>
      </c>
      <c r="F77" s="21"/>
    </row>
    <row r="78" spans="1:6" ht="26" customHeight="1" x14ac:dyDescent="0.2">
      <c r="A78" s="18" t="s">
        <v>638</v>
      </c>
      <c r="B78" s="19" t="s">
        <v>639</v>
      </c>
      <c r="C78" s="20" t="s">
        <v>87</v>
      </c>
      <c r="D78" s="41">
        <f>IF(O2_excess&gt;0,(strip_avg+surf_strip)/O2_excess,NA())</f>
        <v>7.746944444342</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7.450071557247</v>
      </c>
      <c r="E91" s="129" t="s">
        <v>2243</v>
      </c>
      <c r="F91" s="21"/>
    </row>
    <row r="92" spans="1:6" x14ac:dyDescent="0.2">
      <c r="A92" s="18" t="s">
        <v>670</v>
      </c>
      <c r="B92" s="19" t="s">
        <v>671</v>
      </c>
      <c r="C92" s="20" t="s">
        <v>12</v>
      </c>
      <c r="D92" s="41">
        <f>spg_int_opt*60</f>
        <v>447.004293434794</v>
      </c>
      <c r="E92" s="129" t="s">
        <v>672</v>
      </c>
      <c r="F92" s="21"/>
    </row>
    <row r="93" spans="1:6" ht="24" x14ac:dyDescent="0.2">
      <c r="A93" s="18" t="s">
        <v>2244</v>
      </c>
      <c r="B93" s="19" t="s">
        <v>673</v>
      </c>
      <c r="C93" s="20" t="s">
        <v>111</v>
      </c>
      <c r="D93" s="41">
        <f>spg_dur_eq_opt/(spg_int_opt*60)</f>
        <v>0.001755045894</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0.0008457851714831</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102" t="s">
        <v>688</v>
      </c>
      <c r="F104" s="21"/>
    </row>
    <row r="105" spans="1:6" x14ac:dyDescent="0.2">
      <c r="A105" s="21" t="s">
        <v>700</v>
      </c>
      <c r="B105" s="21" t="s">
        <v>701</v>
      </c>
      <c r="C105" s="21" t="s">
        <v>111</v>
      </c>
      <c r="D105" s="25">
        <f>spg_dur/(spg_int*60)</f>
        <v>0.001507986679</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2.27518163832</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21"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≈13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25">
        <f>IF(AND(ISNUMBER(override_spg_dur_s),override_spg_dur_s&gt;0),override_spg_dur_s,IF(sched_mode="Manual",spg_dur_man,IF(sched_mode="Optimal",spg_dur_opt,NA())))</f>
        <v>0.674076519917</v>
      </c>
      <c r="E121" s="21"/>
      <c r="F121" s="21"/>
    </row>
    <row r="122" spans="1:6" x14ac:dyDescent="0.2">
      <c r="A122" s="21" t="s">
        <v>728</v>
      </c>
      <c r="B122" s="21" t="s">
        <v>729</v>
      </c>
      <c r="C122" s="21" t="s">
        <v>61</v>
      </c>
      <c r="D122" s="25">
        <f>IF(AND(ISNUMBER(override_spg_int_min),override_spg_int_min&gt;0),override_spg_int_min,IF(sched_mode="Manual",spg_int_man,IF(sched_mode="Optimal",spg_int_opt,NA())))</f>
        <v>7.450071557247</v>
      </c>
      <c r="E122" s="21"/>
      <c r="F122" s="21"/>
    </row>
    <row r="123" spans="1:6" x14ac:dyDescent="0.2">
      <c r="A123" s="21" t="s">
        <v>730</v>
      </c>
      <c r="B123" s="21" t="s">
        <v>731</v>
      </c>
      <c r="C123" s="21" t="s">
        <v>732</v>
      </c>
      <c r="D123" s="25">
        <f>P_atm*(V_pulse/1000000)/(R_gas*T_K)</f>
        <v>0.0001050193341601</v>
      </c>
      <c r="E123" s="21" t="s">
        <v>2254</v>
      </c>
      <c r="F123" s="21"/>
    </row>
    <row r="124" spans="1:6" x14ac:dyDescent="0.2">
      <c r="A124" s="21" t="s">
        <v>733</v>
      </c>
      <c r="B124" s="21" t="s">
        <v>734</v>
      </c>
      <c r="C124" s="21" t="s">
        <v>735</v>
      </c>
      <c r="D124" s="25">
        <f>60/spg_int</f>
        <v>8.05361392021</v>
      </c>
      <c r="E124" s="21"/>
      <c r="F124" s="21"/>
    </row>
    <row r="125" spans="1:6" x14ac:dyDescent="0.2">
      <c r="A125" s="21" t="s">
        <v>736</v>
      </c>
      <c r="B125" s="21" t="s">
        <v>737</v>
      </c>
      <c r="C125" s="21" t="s">
        <v>738</v>
      </c>
      <c r="D125" s="25">
        <f>pulses_h*24</f>
        <v>193.286734085035</v>
      </c>
      <c r="E125" s="21"/>
      <c r="F125" s="21"/>
    </row>
    <row r="126" spans="1:6" x14ac:dyDescent="0.2">
      <c r="A126" s="21" t="s">
        <v>739</v>
      </c>
      <c r="B126" s="21" t="s">
        <v>740</v>
      </c>
      <c r="C126" s="21" t="s">
        <v>87</v>
      </c>
      <c r="D126" s="25">
        <f>IF(CO2_cons&gt;0,CO2_supply/CO2_cons,NA())</f>
        <v>49.589627400178</v>
      </c>
      <c r="E126" s="21"/>
      <c r="F126" s="21"/>
    </row>
    <row r="127" spans="1:6" x14ac:dyDescent="0.2">
      <c r="A127" s="21" t="s">
        <v>741</v>
      </c>
      <c r="B127" s="21" t="s">
        <v>742</v>
      </c>
      <c r="C127" s="21" t="s">
        <v>732</v>
      </c>
      <c r="D127" s="25">
        <f>O2_excess/60*spg_int</f>
        <v>2.098555401519e-06</v>
      </c>
      <c r="E127" s="21"/>
      <c r="F127" s="21"/>
    </row>
    <row r="128" spans="1:6" x14ac:dyDescent="0.2">
      <c r="A128" s="21" t="s">
        <v>743</v>
      </c>
      <c r="B128" s="21" t="s">
        <v>744</v>
      </c>
      <c r="C128" s="21" t="s">
        <v>732</v>
      </c>
      <c r="D128" s="25">
        <f>strip_sparge/3600*spg_dur</f>
        <v>1.330199994759e-07</v>
      </c>
      <c r="E128" s="21"/>
      <c r="F128" s="21"/>
    </row>
    <row r="129" spans="1:6" x14ac:dyDescent="0.2">
      <c r="A129" s="21" t="s">
        <v>745</v>
      </c>
      <c r="B129" s="21" t="s">
        <v>746</v>
      </c>
      <c r="C129" s="21" t="s">
        <v>87</v>
      </c>
      <c r="D129" s="25">
        <f>IF(O2_accum&gt;0,O2_strip_pulse/O2_accum,NA())</f>
        <v>0.063386460696</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0.071103870189</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7.5 min; confirm by measuring kL_surf</v>
      </c>
      <c r="E134" s="53" t="s">
        <v>2257</v>
      </c>
      <c r="F134" s="21"/>
    </row>
    <row r="135" spans="1:6" ht="48" x14ac:dyDescent="0.2">
      <c r="A135" s="21" t="s">
        <v>2258</v>
      </c>
      <c r="B135" s="21" t="s">
        <v>908</v>
      </c>
      <c r="C135" s="21" t="s">
        <v>909</v>
      </c>
      <c r="D135" s="25">
        <f>DO_avg_l</f>
        <v>0.173258075157</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9.569640057845e-05</v>
      </c>
      <c r="E143" s="51" t="s">
        <v>2263</v>
      </c>
      <c r="F143" s="21"/>
    </row>
    <row r="144" spans="1:6" ht="24" x14ac:dyDescent="0.2">
      <c r="A144" s="18" t="s">
        <v>1065</v>
      </c>
      <c r="B144" s="19" t="s">
        <v>1066</v>
      </c>
      <c r="C144" s="20" t="s">
        <v>61</v>
      </c>
      <c r="D144" s="41">
        <f>IF(k_vent&gt;0,1/k_vent/60,"none between pulses")</f>
        <v>174.161897061142</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41">
        <f>P_atm*headspace_V_m3/(R_gas*T_K)</f>
        <v>0.0001050193341601</v>
      </c>
      <c r="E150" s="51" t="s">
        <v>1076</v>
      </c>
      <c r="F150" s="21"/>
    </row>
    <row r="151" spans="1:6" x14ac:dyDescent="0.2">
      <c r="A151" s="18" t="s">
        <v>1046</v>
      </c>
      <c r="B151" s="19" t="s">
        <v>1047</v>
      </c>
      <c r="C151" s="20" t="s">
        <v>12</v>
      </c>
      <c r="D151" s="41">
        <f>spg_dur</f>
        <v>0.674076519917</v>
      </c>
      <c r="E151" s="51" t="s">
        <v>1077</v>
      </c>
      <c r="F151" s="21"/>
    </row>
    <row r="152" spans="1:6" x14ac:dyDescent="0.2">
      <c r="A152" s="18" t="s">
        <v>1048</v>
      </c>
      <c r="B152" s="19" t="s">
        <v>1049</v>
      </c>
      <c r="C152" s="20" t="s">
        <v>12</v>
      </c>
      <c r="D152" s="41">
        <f>MAX(0,spg_int*60-spg_dur)</f>
        <v>446.330216914877</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0.025542123443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0.115007545523</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0.001755045894</v>
      </c>
      <c r="E184" s="51" t="s">
        <v>2274</v>
      </c>
    </row>
    <row r="185" spans="1:5" ht="24" x14ac:dyDescent="0.2">
      <c r="A185" t="s">
        <v>1628</v>
      </c>
      <c r="B185" s="19" t="s">
        <v>1629</v>
      </c>
      <c r="C185" s="20" t="s">
        <v>873</v>
      </c>
      <c r="D185" s="111">
        <f>IF(ISNUMBER(duty_DO),IF(duty_DO&gt;0,spg_dur_eq_opt/(60*duty_DO),spg_int_carbon),NA())</f>
        <v>7.450071557247</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0.027761802038</v>
      </c>
      <c r="E187" s="51" t="s">
        <v>2276</v>
      </c>
    </row>
    <row r="188" spans="1:5" ht="36" x14ac:dyDescent="0.2">
      <c r="A188" t="s">
        <v>1635</v>
      </c>
      <c r="B188" s="19" t="s">
        <v>1636</v>
      </c>
      <c r="C188" s="20" t="s">
        <v>909</v>
      </c>
      <c r="D188" s="111">
        <f>IF(ISNUMBER(y_O2_actual),H_O2_T*y_O2_actual*P_dry,NA())</f>
        <v>0.027908265922</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0.828200405029</v>
      </c>
      <c r="E193" s="74" t="s">
        <v>2279</v>
      </c>
    </row>
    <row r="194" spans="1:5" ht="48" x14ac:dyDescent="0.2">
      <c r="A194" t="s">
        <v>2280</v>
      </c>
      <c r="B194" s="19" t="s">
        <v>1647</v>
      </c>
      <c r="C194" s="20" t="s">
        <v>909</v>
      </c>
      <c r="D194" s="111">
        <f>C_sat_CO2*(1-pool_a)*(1-flush_ret)</f>
        <v>3.046795495863</v>
      </c>
      <c r="E194" s="74" t="s">
        <v>2281</v>
      </c>
    </row>
    <row r="195" spans="1:5" ht="36" x14ac:dyDescent="0.2">
      <c r="A195" t="s">
        <v>1648</v>
      </c>
      <c r="B195" s="19" t="s">
        <v>1649</v>
      </c>
      <c r="C195" s="20" t="s">
        <v>577</v>
      </c>
      <c r="D195" s="111">
        <f>k_vent*Vg_CO2/(V_L_CO2+Vg_CO2)</f>
        <v>1.644060285952e-05</v>
      </c>
      <c r="E195" s="74" t="s">
        <v>2282</v>
      </c>
    </row>
    <row r="196" spans="1:5" ht="36" x14ac:dyDescent="0.2">
      <c r="A196" t="s">
        <v>1650</v>
      </c>
      <c r="B196" s="19" t="s">
        <v>1651</v>
      </c>
      <c r="C196" s="20" t="s">
        <v>87</v>
      </c>
      <c r="D196" s="111">
        <f>IF(k_vent&gt;0,(kLa_CO2_off*V_L_m3/Vg_CO2)/k_vent,"no turnover between pulses")</f>
        <v>328.605591411156</v>
      </c>
      <c r="E196" s="51" t="s">
        <v>2283</v>
      </c>
    </row>
    <row r="197" spans="1:5" x14ac:dyDescent="0.2">
      <c r="A197" t="s">
        <v>1652</v>
      </c>
      <c r="B197" s="19" t="s">
        <v>1653</v>
      </c>
      <c r="C197" s="20" t="s">
        <v>1140</v>
      </c>
      <c r="D197" s="111">
        <f>EXP(-k_eff_CO2*t_off_CO2)</f>
        <v>0.992688919094</v>
      </c>
      <c r="E197" s="74" t="s">
        <v>1654</v>
      </c>
    </row>
    <row r="198" spans="1:5" ht="36" x14ac:dyDescent="0.2">
      <c r="A198" t="s">
        <v>1655</v>
      </c>
      <c r="B198" s="19" t="s">
        <v>1656</v>
      </c>
      <c r="C198" s="20" t="s">
        <v>909</v>
      </c>
      <c r="D198" s="111">
        <f>(pool_D_gap+pool_b*pool_e)/(1-pool_ret*pool_e)</f>
        <v>25.397988261812</v>
      </c>
      <c r="E198" s="74" t="s">
        <v>2284</v>
      </c>
    </row>
    <row r="199" spans="1:5" ht="24" x14ac:dyDescent="0.2">
      <c r="A199" t="s">
        <v>1657</v>
      </c>
      <c r="B199" s="19" t="s">
        <v>1658</v>
      </c>
      <c r="C199" s="20" t="s">
        <v>909</v>
      </c>
      <c r="D199" s="111">
        <f>pool_ret*C_cycle_start+pool_b</f>
        <v>25.686611606656</v>
      </c>
      <c r="E199" s="74" t="s">
        <v>2285</v>
      </c>
    </row>
    <row r="200" spans="1:5" ht="36" x14ac:dyDescent="0.2">
      <c r="A200" t="s">
        <v>1659</v>
      </c>
      <c r="B200" s="19" t="s">
        <v>1660</v>
      </c>
      <c r="C200" s="20" t="s">
        <v>909</v>
      </c>
      <c r="D200" s="111">
        <f>C_cycle_peak*pool_phi+pool_D_raw*pool_psi</f>
        <v>25.542123442712</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0.42061159324</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3" t="s">
        <v>2346</v>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4.745085102827e-05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9.574538813904e-05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v>
      </c>
      <c r="E320" s="51" t="s">
        <v>2379</v>
      </c>
    </row>
    <row r="321" spans="1:5" ht="36" x14ac:dyDescent="0.2">
      <c r="A321" s="18" t="s">
        <v>2380</v>
      </c>
      <c r="B321" s="19" t="s">
        <v>2381</v>
      </c>
      <c r="C321" s="20" t="s">
        <v>111</v>
      </c>
      <c r="D321" s="41">
        <f>EXP(-flush_vol_opt)</f>
        <v>0.367879441171</v>
      </c>
      <c r="E321" s="52" t="s">
        <v>2382</v>
      </c>
    </row>
    <row r="322" spans="1:5" ht="60" x14ac:dyDescent="0.2">
      <c r="A322" s="18" t="s">
        <v>2383</v>
      </c>
      <c r="B322" s="19" t="s">
        <v>2384</v>
      </c>
      <c r="C322" s="20" t="s">
        <v>111</v>
      </c>
      <c r="D322" s="41">
        <f>flush_vol_opt*(1+flush_ret_opt)/(2*(1-flush_ret_opt))</f>
        <v>1.081976706869</v>
      </c>
      <c r="E322" s="52" t="s">
        <v>2385</v>
      </c>
    </row>
    <row r="323" spans="1:5" x14ac:dyDescent="0.2">
      <c r="A323" s="18" t="s">
        <v>2386</v>
      </c>
      <c r="B323" s="19" t="s">
        <v>2387</v>
      </c>
      <c r="C323" s="20" t="s">
        <v>111</v>
      </c>
      <c r="D323" s="41">
        <f>CO2_pulse/n_hs_gas</f>
        <v>1.0</v>
      </c>
      <c r="E323" s="51" t="s">
        <v>2388</v>
      </c>
    </row>
    <row r="324" spans="1:5" x14ac:dyDescent="0.2">
      <c r="A324" s="18" t="s">
        <v>2389</v>
      </c>
      <c r="B324" s="19" t="s">
        <v>2390</v>
      </c>
      <c r="C324" s="20" t="s">
        <v>111</v>
      </c>
      <c r="D324" s="41">
        <f>EXP(-flush_vol)</f>
        <v>0.367879441171</v>
      </c>
      <c r="E324" s="52" t="s">
        <v>2391</v>
      </c>
    </row>
    <row r="325" spans="1:5" x14ac:dyDescent="0.2">
      <c r="A325" s="18" t="s">
        <v>2392</v>
      </c>
      <c r="B325" s="19" t="s">
        <v>2393</v>
      </c>
      <c r="C325" s="20" t="s">
        <v>1013</v>
      </c>
      <c r="D325" s="41">
        <f>t_off_CO2/3600</f>
        <v>0.12398061581</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0.0008456304393138</v>
      </c>
      <c r="E328" s="51" t="s">
        <v>2403</v>
      </c>
    </row>
    <row r="329" spans="1:5" ht="36" x14ac:dyDescent="0.2">
      <c r="A329" s="18" t="s">
        <v>2404</v>
      </c>
      <c r="B329" s="19" t="s">
        <v>2405</v>
      </c>
      <c r="C329" s="20" t="s">
        <v>111</v>
      </c>
      <c r="D329" s="41">
        <f>IF(F_vent_ex+F_hs_net_g&gt;0,S_O2_g/(F_vent_ex+F_hs_net_g),NA())</f>
        <v>0.027761802038</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0.042712195228</v>
      </c>
      <c r="E332" s="51" t="s">
        <v>2415</v>
      </c>
    </row>
    <row r="333" spans="1:5" x14ac:dyDescent="0.2">
      <c r="A333" s="18" t="s">
        <v>2416</v>
      </c>
      <c r="B333" s="19" t="s">
        <v>2417</v>
      </c>
      <c r="C333" s="20" t="s">
        <v>111</v>
      </c>
      <c r="D333" s="41">
        <f>IF(x_hs_g&gt;0,(1-EXP(-x_hs_g))/x_hs_g,1)</f>
        <v>0.978944738478</v>
      </c>
      <c r="E333" s="51" t="s">
        <v>2418</v>
      </c>
    </row>
    <row r="334" spans="1:5" x14ac:dyDescent="0.2">
      <c r="A334" s="18" t="s">
        <v>2419</v>
      </c>
      <c r="B334" s="19" t="s">
        <v>2420</v>
      </c>
      <c r="C334" s="20" t="s">
        <v>111</v>
      </c>
      <c r="D334" s="41">
        <f>IF(x_hs_g&gt;0,(x_hs_g-1+EXP(-x_hs_g))/x_hs_g^2,1/2)</f>
        <v>0.492956669864</v>
      </c>
      <c r="E334" s="51" t="s">
        <v>2421</v>
      </c>
    </row>
    <row r="335" spans="1:5" x14ac:dyDescent="0.2">
      <c r="A335" s="18" t="s">
        <v>2422</v>
      </c>
      <c r="B335" s="19" t="s">
        <v>2423</v>
      </c>
      <c r="C335" s="20" t="s">
        <v>111</v>
      </c>
      <c r="D335" s="41">
        <f>S_O2_g*t_gap_h/n_hs_gas</f>
        <v>0.028900633895</v>
      </c>
      <c r="E335" s="51" t="s">
        <v>2424</v>
      </c>
    </row>
    <row r="336" spans="1:5" ht="24" x14ac:dyDescent="0.2">
      <c r="A336" s="18" t="s">
        <v>2425</v>
      </c>
      <c r="B336" s="19" t="s">
        <v>2426</v>
      </c>
      <c r="C336" s="20" t="s">
        <v>111</v>
      </c>
      <c r="D336" s="41">
        <f>dy_O2_g*phi_hs_g/(1-flush_ret*EXP(-x_hs_g))</f>
        <v>0.043694219894</v>
      </c>
      <c r="E336" s="52" t="s">
        <v>2427</v>
      </c>
    </row>
    <row r="337" spans="1:5" x14ac:dyDescent="0.2">
      <c r="A337" s="18" t="s">
        <v>2428</v>
      </c>
      <c r="B337" s="19" t="s">
        <v>2429</v>
      </c>
      <c r="C337" s="20" t="s">
        <v>111</v>
      </c>
      <c r="D337" s="41">
        <f>y_O2_end_g*flush_ret</f>
        <v>0.016074205197</v>
      </c>
      <c r="E337" s="52" t="s">
        <v>2430</v>
      </c>
    </row>
    <row r="338" spans="1:5" x14ac:dyDescent="0.2">
      <c r="A338" s="18" t="s">
        <v>2431</v>
      </c>
      <c r="B338" s="19" t="s">
        <v>2432</v>
      </c>
      <c r="C338" s="20" t="s">
        <v>111</v>
      </c>
      <c r="D338" s="41">
        <f>y_O2_post_g*phi_hs_g+dy_O2_g*psi_hs_g</f>
        <v>0.029982518845</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0.068871437472</v>
      </c>
      <c r="E340" s="51" t="s">
        <v>2439</v>
      </c>
    </row>
    <row r="341" spans="1:5" ht="24" x14ac:dyDescent="0.2">
      <c r="A341" s="18" t="s">
        <v>2440</v>
      </c>
      <c r="B341" s="19" t="s">
        <v>2441</v>
      </c>
      <c r="C341" s="20" t="s">
        <v>406</v>
      </c>
      <c r="D341" s="41">
        <f>DO_surf_excess_g+H_O2_T*P_dry*y_O2_avg_g</f>
        <v>0.071103870189</v>
      </c>
      <c r="E341" s="52" t="s">
        <v>2442</v>
      </c>
    </row>
    <row r="342" spans="1:5" ht="36" x14ac:dyDescent="0.2">
      <c r="A342" s="18" t="s">
        <v>2443</v>
      </c>
      <c r="B342" s="19" t="s">
        <v>2444</v>
      </c>
      <c r="C342" s="20" t="s">
        <v>406</v>
      </c>
      <c r="D342" s="41">
        <f>DO_surf_excess_g+H_O2_T*P_dry*MAX(y_O2_avg_g,y_O2_end_g-(S_O2_g-F_gap_g*y_O2_end_g)/n_hs_gas*tau_L_h)</f>
        <v>0.076918594369</v>
      </c>
      <c r="E342" s="52" t="s">
        <v>2445</v>
      </c>
    </row>
    <row r="343" spans="1:5" x14ac:dyDescent="0.2">
      <c r="A343" s="18" t="s">
        <v>2446</v>
      </c>
      <c r="B343" s="19" t="s">
        <v>2447</v>
      </c>
      <c r="C343" s="20" t="s">
        <v>83</v>
      </c>
      <c r="D343" s="41">
        <f>DO_avg_g*M_O2</f>
        <v>2.27518163832</v>
      </c>
      <c r="E343" s="52" t="s">
        <v>2448</v>
      </c>
    </row>
    <row r="344" spans="1:5" x14ac:dyDescent="0.2">
      <c r="A344" s="18" t="s">
        <v>2449</v>
      </c>
      <c r="B344" s="19" t="s">
        <v>2450</v>
      </c>
      <c r="C344" s="20" t="s">
        <v>83</v>
      </c>
      <c r="D344" s="41">
        <f>DO_peak_g*M_O2</f>
        <v>2.461241182614</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41">
        <f>kLa_surf_used/kLa_surf_req_g</f>
        <v>1.737152239781</v>
      </c>
      <c r="E346" s="51" t="s">
        <v>2456</v>
      </c>
    </row>
    <row r="347" spans="1:5" x14ac:dyDescent="0.2">
      <c r="A347" s="21" t="s">
        <v>1813</v>
      </c>
      <c r="B347" s="19" t="s">
        <v>2457</v>
      </c>
      <c r="C347" s="20" t="s">
        <v>111</v>
      </c>
      <c r="D347" s="25" t="str">
        <f>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2.5 mg/L under the 10.1 mg/L ceiling</v>
      </c>
      <c r="E348" s="51" t="s">
        <v>2461</v>
      </c>
    </row>
    <row r="349" spans="1:5" ht="24" x14ac:dyDescent="0.2">
      <c r="A349" s="18" t="s">
        <v>2462</v>
      </c>
      <c r="B349" s="19" t="s">
        <v>2463</v>
      </c>
      <c r="C349" s="20" t="s">
        <v>307</v>
      </c>
      <c r="D349" s="41">
        <f>O2_src_l+y_O2_air*F_vent_ex</f>
        <v>5.503054011451e-05</v>
      </c>
      <c r="E349" s="51" t="s">
        <v>2400</v>
      </c>
    </row>
    <row r="350" spans="1:5" ht="24" x14ac:dyDescent="0.2">
      <c r="A350" s="18" t="s">
        <v>2464</v>
      </c>
      <c r="B350" s="19" t="s">
        <v>2465</v>
      </c>
      <c r="C350" s="20" t="s">
        <v>307</v>
      </c>
      <c r="D350" s="41">
        <f>CO2_supply+O2_src_l+H2_src_l-CO2_fix_l</f>
        <v>0.0009889814106504</v>
      </c>
      <c r="E350" s="51" t="s">
        <v>2403</v>
      </c>
    </row>
    <row r="351" spans="1:5" ht="36" x14ac:dyDescent="0.2">
      <c r="A351" s="18" t="s">
        <v>2466</v>
      </c>
      <c r="B351" s="19" t="s">
        <v>2467</v>
      </c>
      <c r="C351" s="20" t="s">
        <v>111</v>
      </c>
      <c r="D351" s="41">
        <f>IF(F_vent_ex+F_hs_net_l&gt;0,S_O2_l/(F_vent_ex+F_hs_net_l),NA())</f>
        <v>0.053679883871</v>
      </c>
      <c r="E351" s="51" t="s">
        <v>2406</v>
      </c>
    </row>
    <row r="352" spans="1:5" x14ac:dyDescent="0.2">
      <c r="A352" s="18" t="s">
        <v>2468</v>
      </c>
      <c r="B352" s="19" t="s">
        <v>2469</v>
      </c>
      <c r="C352" s="20" t="s">
        <v>111</v>
      </c>
      <c r="D352" s="41">
        <f>IF(F_vent_ex+F_hs_net_l&gt;0,H2_src_l/(F_vent_ex+F_hs_net_l),NA())</f>
        <v>0.093395436531</v>
      </c>
      <c r="E352" s="51" t="s">
        <v>2409</v>
      </c>
    </row>
    <row r="353" spans="1:5" ht="36" x14ac:dyDescent="0.2">
      <c r="A353" s="18" t="s">
        <v>2470</v>
      </c>
      <c r="B353" s="19" t="s">
        <v>2471</v>
      </c>
      <c r="C353" s="20" t="s">
        <v>307</v>
      </c>
      <c r="D353" s="41">
        <f>F_vent_ex+MAX(0,O2_src_l+H2_src_l-CO2_fix_l)</f>
        <v>0.0001793761393403</v>
      </c>
      <c r="E353" s="51" t="s">
        <v>2412</v>
      </c>
    </row>
    <row r="354" spans="1:5" x14ac:dyDescent="0.2">
      <c r="A354" s="18" t="s">
        <v>2472</v>
      </c>
      <c r="B354" s="19" t="s">
        <v>2473</v>
      </c>
      <c r="C354" s="20" t="s">
        <v>111</v>
      </c>
      <c r="D354" s="41">
        <f>F_gap_l*t_gap_h/n_hs_gas</f>
        <v>0.2117625711</v>
      </c>
      <c r="E354" s="51" t="s">
        <v>2415</v>
      </c>
    </row>
    <row r="355" spans="1:5" x14ac:dyDescent="0.2">
      <c r="A355" s="18" t="s">
        <v>2474</v>
      </c>
      <c r="B355" s="19" t="s">
        <v>2475</v>
      </c>
      <c r="C355" s="20" t="s">
        <v>111</v>
      </c>
      <c r="D355" s="41">
        <f>IF(x_hs_l&gt;0,(1-EXP(-x_hs_l))/x_hs_l,1)</f>
        <v>0.901213122982</v>
      </c>
      <c r="E355" s="51" t="s">
        <v>2418</v>
      </c>
    </row>
    <row r="356" spans="1:5" x14ac:dyDescent="0.2">
      <c r="A356" s="18" t="s">
        <v>2476</v>
      </c>
      <c r="B356" s="19" t="s">
        <v>2477</v>
      </c>
      <c r="C356" s="20" t="s">
        <v>111</v>
      </c>
      <c r="D356" s="41">
        <f>IF(x_hs_l&gt;0,(x_hs_l-1+EXP(-x_hs_l))/x_hs_l^2,1/2)</f>
        <v>0.466498288648</v>
      </c>
      <c r="E356" s="51" t="s">
        <v>2421</v>
      </c>
    </row>
    <row r="357" spans="1:5" x14ac:dyDescent="0.2">
      <c r="A357" s="18" t="s">
        <v>2478</v>
      </c>
      <c r="B357" s="19" t="s">
        <v>2479</v>
      </c>
      <c r="C357" s="20" t="s">
        <v>111</v>
      </c>
      <c r="D357" s="41">
        <f>S_O2_l*t_gap_h/n_hs_gas</f>
        <v>0.064966325547</v>
      </c>
      <c r="E357" s="51" t="s">
        <v>2424</v>
      </c>
    </row>
    <row r="358" spans="1:5" ht="24" x14ac:dyDescent="0.2">
      <c r="A358" s="18" t="s">
        <v>2480</v>
      </c>
      <c r="B358" s="19" t="s">
        <v>2481</v>
      </c>
      <c r="C358" s="20" t="s">
        <v>111</v>
      </c>
      <c r="D358" s="41">
        <f>dy_O2_l*phi_hs_l/(1-flush_ret*EXP(-x_hs_l))</f>
        <v>0.08336349613</v>
      </c>
      <c r="E358" s="52" t="s">
        <v>2427</v>
      </c>
    </row>
    <row r="359" spans="1:5" x14ac:dyDescent="0.2">
      <c r="A359" s="18" t="s">
        <v>2482</v>
      </c>
      <c r="B359" s="19" t="s">
        <v>2483</v>
      </c>
      <c r="C359" s="20" t="s">
        <v>111</v>
      </c>
      <c r="D359" s="41">
        <f>y_O2_end_l*flush_ret</f>
        <v>0.03066771637</v>
      </c>
      <c r="E359" s="52" t="s">
        <v>2430</v>
      </c>
    </row>
    <row r="360" spans="1:5" x14ac:dyDescent="0.2">
      <c r="A360" s="18" t="s">
        <v>2484</v>
      </c>
      <c r="B360" s="19" t="s">
        <v>2485</v>
      </c>
      <c r="C360" s="20" t="s">
        <v>111</v>
      </c>
      <c r="D360" s="41">
        <f>y_O2_post_l*phi_hs_l+dy_O2_l*psi_hs_l</f>
        <v>0.057944828132</v>
      </c>
      <c r="E360" s="52" t="s">
        <v>2433</v>
      </c>
    </row>
    <row r="361" spans="1:5" ht="24" x14ac:dyDescent="0.2">
      <c r="A361" s="18" t="s">
        <v>2486</v>
      </c>
      <c r="B361" s="19" t="s">
        <v>2487</v>
      </c>
      <c r="C361" s="20" t="s">
        <v>406</v>
      </c>
      <c r="D361" s="41">
        <f>DO_surf_excess_lag+H_O2_T*P_dry*y_O2_mf_l</f>
        <v>0.168970630184</v>
      </c>
      <c r="E361" s="51" t="s">
        <v>2439</v>
      </c>
    </row>
    <row r="362" spans="1:5" ht="24" x14ac:dyDescent="0.2">
      <c r="A362" s="18" t="s">
        <v>2488</v>
      </c>
      <c r="B362" s="19" t="s">
        <v>2489</v>
      </c>
      <c r="C362" s="20" t="s">
        <v>406</v>
      </c>
      <c r="D362" s="41">
        <f>DO_surf_excess_lag+H_O2_T*P_dry*y_O2_avg_l</f>
        <v>0.173258075157</v>
      </c>
      <c r="E362" s="52" t="s">
        <v>2442</v>
      </c>
    </row>
    <row r="363" spans="1:5" ht="36" x14ac:dyDescent="0.2">
      <c r="A363" s="18" t="s">
        <v>2490</v>
      </c>
      <c r="B363" s="19" t="s">
        <v>2491</v>
      </c>
      <c r="C363" s="20" t="s">
        <v>406</v>
      </c>
      <c r="D363" s="41">
        <f>DO_surf_excess_lag+H_O2_T*P_dry*MAX(y_O2_avg_l,y_O2_end_l-(S_O2_l-F_gap_l*y_O2_end_l)/n_hs_gas*tau_L_h)</f>
        <v>0.184863677984</v>
      </c>
      <c r="E363" s="52" t="s">
        <v>2445</v>
      </c>
    </row>
    <row r="364" spans="1:5" x14ac:dyDescent="0.2">
      <c r="A364" s="18" t="s">
        <v>2492</v>
      </c>
      <c r="B364" s="19" t="s">
        <v>2493</v>
      </c>
      <c r="C364" s="20" t="s">
        <v>83</v>
      </c>
      <c r="D364" s="41">
        <f>DO_avg_l*M_O2</f>
        <v>5.543911888859</v>
      </c>
      <c r="E364" s="52" t="s">
        <v>2448</v>
      </c>
    </row>
    <row r="365" spans="1:5" x14ac:dyDescent="0.2">
      <c r="A365" s="18" t="s">
        <v>2494</v>
      </c>
      <c r="B365" s="19" t="s">
        <v>2495</v>
      </c>
      <c r="C365" s="20" t="s">
        <v>83</v>
      </c>
      <c r="D365" s="41">
        <f>DO_peak_l*M_O2</f>
        <v>5.915267968126</v>
      </c>
      <c r="E365" s="52" t="s">
        <v>2448</v>
      </c>
    </row>
    <row r="366" spans="1:5" x14ac:dyDescent="0.2">
      <c r="A366" s="18" t="s">
        <v>2496</v>
      </c>
      <c r="B366" s="19" t="s">
        <v>2497</v>
      </c>
      <c r="C366" s="20" t="s">
        <v>577</v>
      </c>
      <c r="D366" s="41">
        <f>O2_src_l/(DO_target*3600*V_L_m3)</f>
        <v>0.012348630371</v>
      </c>
      <c r="E366" s="51" t="s">
        <v>2453</v>
      </c>
    </row>
    <row r="367" spans="1:5" x14ac:dyDescent="0.2">
      <c r="A367" s="18" t="s">
        <v>2498</v>
      </c>
      <c r="B367" s="19" t="s">
        <v>2499</v>
      </c>
      <c r="C367" s="20" t="s">
        <v>87</v>
      </c>
      <c r="D367" s="41">
        <f>kLa_surf_used/kLa_surf_req_l</f>
        <v>0.618735621934</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0.62×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5.9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0.071103870189</v>
      </c>
      <c r="E372" s="52" t="s">
        <v>2508</v>
      </c>
    </row>
    <row r="373" spans="1:5" x14ac:dyDescent="0.2">
      <c r="A373" s="18" t="s">
        <v>2509</v>
      </c>
      <c r="B373" s="19" t="s">
        <v>2510</v>
      </c>
      <c r="C373" s="20" t="s">
        <v>406</v>
      </c>
      <c r="D373" s="41">
        <f>IF(O2_sizing_phase=phase_name_1,DO_peak_g,IF(O2_sizing_phase=phase_name_2,DO_peak_l,NA()))</f>
        <v>0.076918594369</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-0.101196830707</v>
      </c>
      <c r="E375" s="51" t="s">
        <v>2517</v>
      </c>
    </row>
    <row r="376" spans="1:5" x14ac:dyDescent="0.2">
      <c r="A376" s="18" t="s">
        <v>2518</v>
      </c>
      <c r="B376" s="19" t="s">
        <v>2519</v>
      </c>
      <c r="C376" s="20" t="s">
        <v>111</v>
      </c>
      <c r="D376" s="41">
        <f>k_eff_CO2*t_off_CO2</f>
        <v>0.007337937841</v>
      </c>
      <c r="E376" s="51" t="s">
        <v>2520</v>
      </c>
    </row>
    <row r="377" spans="1:5" ht="24" x14ac:dyDescent="0.2">
      <c r="A377" s="18" t="s">
        <v>2521</v>
      </c>
      <c r="B377" s="19" t="s">
        <v>2522</v>
      </c>
      <c r="C377" s="20" t="s">
        <v>111</v>
      </c>
      <c r="D377" s="41">
        <f>IF(pool_x&gt;0,(1-EXP(-pool_x))/pool_x,1)</f>
        <v>0.996339988863</v>
      </c>
      <c r="E377" s="51" t="s">
        <v>2523</v>
      </c>
    </row>
    <row r="378" spans="1:5" x14ac:dyDescent="0.2">
      <c r="A378" s="18" t="s">
        <v>2524</v>
      </c>
      <c r="B378" s="19" t="s">
        <v>2525</v>
      </c>
      <c r="C378" s="20" t="s">
        <v>111</v>
      </c>
      <c r="D378" s="41">
        <f>IF(pool_x&gt;0,(pool_x-1+EXP(-pool_x))/pool_x^2,1/2)</f>
        <v>0.498779250627</v>
      </c>
      <c r="E378" s="51" t="s">
        <v>2526</v>
      </c>
    </row>
    <row r="379" spans="1:5" x14ac:dyDescent="0.2">
      <c r="A379" s="18" t="s">
        <v>2527</v>
      </c>
      <c r="B379" s="19" t="s">
        <v>2528</v>
      </c>
      <c r="C379" s="20" t="s">
        <v>406</v>
      </c>
      <c r="D379" s="41">
        <f>pool_D_raw*pool_phi</f>
        <v>-0.10082644918</v>
      </c>
      <c r="E379" s="51" t="s">
        <v>2529</v>
      </c>
    </row>
    <row r="380" spans="1:5" ht="24" x14ac:dyDescent="0.2">
      <c r="A380" s="18" t="s">
        <v>2530</v>
      </c>
      <c r="B380" s="19" t="s">
        <v>2531</v>
      </c>
      <c r="C380" s="20" t="s">
        <v>111</v>
      </c>
      <c r="D380" s="41">
        <f>pool_a+(1-pool_a)*flush_ret</f>
        <v>0.891401944021</v>
      </c>
      <c r="E380" s="52" t="s">
        <v>2532</v>
      </c>
    </row>
    <row r="381" spans="1:5" ht="24" x14ac:dyDescent="0.2">
      <c r="A381" s="18" t="s">
        <v>2533</v>
      </c>
      <c r="B381" s="19" t="s">
        <v>2534</v>
      </c>
      <c r="C381" s="20" t="s">
        <v>111</v>
      </c>
      <c r="D381" s="41">
        <f>IF(F_vent_ex+CO2_supply+O2_src_sched+H2_src_sched-CO2_fix_sched&gt;0,(CO2_supply-CO2_fix_sched+pCO2_air/P_atm*F_vent_ex)/(F_vent_ex+CO2_supply+O2_src_sched+H2_src_sched-CO2_fix_sched),NA())</f>
        <v>0.939820877487</v>
      </c>
      <c r="E381" s="51" t="s">
        <v>2535</v>
      </c>
    </row>
    <row r="382" spans="1:5" x14ac:dyDescent="0.2">
      <c r="A382" s="18" t="s">
        <v>2536</v>
      </c>
      <c r="B382" s="19" t="s">
        <v>2537</v>
      </c>
      <c r="C382" s="20" t="s">
        <v>406</v>
      </c>
      <c r="D382" s="41">
        <f>y_CO2_mf*C_sat_CO2</f>
        <v>26.367341391371</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0.145040740595</v>
      </c>
      <c r="E388" s="52" t="s">
        <v>2553</v>
      </c>
    </row>
    <row r="389" spans="1:5" ht="48" x14ac:dyDescent="0.2">
      <c r="A389" s="18" t="s">
        <v>2554</v>
      </c>
      <c r="B389" s="19" t="s">
        <v>2555</v>
      </c>
      <c r="C389" s="20" t="s">
        <v>111</v>
      </c>
      <c r="D389" s="41">
        <f>(pool_a*(C_cycle_peak-C_cycle_start)*(V_L_CO2+Vg_CO2)+MAX(0,CO2_fix_sched-O2_src_sched-H2_src_sched)*t_gap_h)/n_hs_gas</f>
        <v>0.047702404255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25" t="str">
        <f>IF(F_vent_ex&gt;0,"n/a – the vent admits air (Open vent / Air exchange), so the headspace refills",IF(hs_sag&gt;hs_sag_max,"HEADSPACE SAGS "&amp;TEXT(hs_sag,"0%")&amp;" below 1 atm each cycle – a real cap will draw air back: use Open vent or Air exchange","OK – sag "&amp;TEXT(hs_sag,"0%")&amp;" per cycle, within what a sealed cap holds"))</f>
        <v>n/a – the vent admits air (Open vent / Air exchange), so the headspace refills</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4.745085102827e-05</v>
      </c>
      <c r="E394" s="140" t="s">
        <v>2570</v>
      </c>
    </row>
    <row r="395" spans="1:5" x14ac:dyDescent="0.2">
      <c r="A395" s="21" t="s">
        <v>2571</v>
      </c>
      <c r="B395" s="21" t="s">
        <v>2572</v>
      </c>
      <c r="C395" s="21" t="s">
        <v>307</v>
      </c>
      <c r="D395" s="112">
        <f>Electrochemistry!$D$133</f>
        <v>9.574538813904e-05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0.784513049825</v>
      </c>
      <c r="E410" s="102" t="s">
        <v>2606</v>
      </c>
    </row>
    <row r="411" spans="1:5" x14ac:dyDescent="0.2">
      <c r="A411" s="18" t="s">
        <v>2607</v>
      </c>
      <c r="B411" s="19" t="s">
        <v>2608</v>
      </c>
      <c r="C411" s="20" t="s">
        <v>52</v>
      </c>
      <c r="D411" s="25">
        <f>pulse_V0+Q_CO2_fit*spg_dur</f>
        <v>2.612428455917</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1.152711317868</v>
      </c>
      <c r="E415" s="140" t="s">
        <v>2620</v>
      </c>
    </row>
    <row r="416" spans="1:5" x14ac:dyDescent="0.2">
      <c r="A416" s="18" t="s">
        <v>2621</v>
      </c>
      <c r="B416" s="19" t="s">
        <v>2622</v>
      </c>
      <c r="C416" s="20" t="s">
        <v>1058</v>
      </c>
      <c r="D416" s="25">
        <f>V_L_m3*DIC_cap_mt</f>
        <v>1.729066976802e-05</v>
      </c>
      <c r="E416" s="102" t="s">
        <v>2623</v>
      </c>
    </row>
    <row r="417" spans="1:5" x14ac:dyDescent="0.2">
      <c r="A417" s="18" t="s">
        <v>2624</v>
      </c>
      <c r="B417" s="19" t="s">
        <v>2625</v>
      </c>
      <c r="C417" s="20" t="s">
        <v>87</v>
      </c>
      <c r="D417" s="25">
        <f>IF(CO2_cons&gt;0,(C_cycle_peak-C_cycle_start)*V_L_CO2*pulses_h/CO2_cons,NA())</f>
        <v>2.356485959356</v>
      </c>
      <c r="E417" s="102" t="s">
        <v>2626</v>
      </c>
    </row>
    <row r="418" spans="1:5" x14ac:dyDescent="0.2">
      <c r="A418" s="18" t="s">
        <v>2627</v>
      </c>
      <c r="B418" s="19" t="s">
        <v>2628</v>
      </c>
      <c r="C418" s="20" t="s">
        <v>57</v>
      </c>
      <c r="D418" s="25">
        <f>P_atm-p_sat_w</f>
        <v>97088.3497487</v>
      </c>
      <c r="E418" s="102" t="s">
        <v>2629</v>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0">
        <v>46190</v>
      </c>
      <c r="C4" s="4">
        <v>50</v>
      </c>
      <c r="D4" s="4">
        <v>0</v>
      </c>
      <c r="E4" s="4"/>
      <c r="F4" s="4"/>
      <c r="G4" s="4"/>
      <c r="H4" s="4"/>
      <c r="I4" s="4">
        <v>0.25</v>
      </c>
      <c r="J4" s="4">
        <v>3.33</v>
      </c>
      <c r="K4" s="4"/>
      <c r="L4" s="11" t="s">
        <v>15</v>
      </c>
      <c r="M4" s="4"/>
      <c r="N4" s="4"/>
      <c r="O4" s="12"/>
      <c r="P4" s="13"/>
      <c r="Q4" s="4"/>
    </row>
    <row r="5" spans="1:17" x14ac:dyDescent="0.2">
      <c r="A5" s="4" t="s">
        <v>14</v>
      </c>
      <c r="B5" s="10">
        <v>46190</v>
      </c>
      <c r="C5" s="4">
        <v>50</v>
      </c>
      <c r="D5" s="4">
        <v>50</v>
      </c>
      <c r="E5" s="9">
        <f>D5-D4</f>
        <v>50.0</v>
      </c>
      <c r="F5" s="9">
        <v>15</v>
      </c>
      <c r="G5" s="4">
        <f>E5/F5</f>
        <v>3.333333333333</v>
      </c>
      <c r="H5" s="4">
        <f>AVERAGE(G5)</f>
        <v>3.333333333333</v>
      </c>
      <c r="I5" s="4"/>
      <c r="J5" s="4"/>
      <c r="K5" s="4"/>
      <c r="L5" s="4"/>
      <c r="M5" s="4"/>
      <c r="N5" s="14"/>
      <c r="O5" s="4"/>
      <c r="P5" s="4"/>
      <c r="Q5" s="4"/>
    </row>
    <row r="6" spans="1:17" x14ac:dyDescent="0.2">
      <c r="A6" s="4" t="s">
        <v>14</v>
      </c>
      <c r="B6" s="10">
        <v>46190</v>
      </c>
      <c r="C6" s="4">
        <v>50</v>
      </c>
      <c r="D6" s="4">
        <v>0</v>
      </c>
      <c r="E6" s="4"/>
      <c r="F6" s="4"/>
      <c r="G6" s="4"/>
      <c r="H6" s="4"/>
      <c r="I6" s="4"/>
      <c r="J6" s="4"/>
      <c r="K6" s="8" t="s">
        <v>16</v>
      </c>
      <c r="L6" s="8" t="s">
        <v>17</v>
      </c>
      <c r="M6" s="4"/>
      <c r="N6" s="4"/>
      <c r="O6" s="4"/>
      <c r="P6" s="4"/>
      <c r="Q6" s="4"/>
    </row>
    <row r="7" spans="1:17" x14ac:dyDescent="0.2">
      <c r="A7" s="4" t="s">
        <v>14</v>
      </c>
      <c r="B7" s="10">
        <v>46190</v>
      </c>
      <c r="C7" s="4">
        <v>50</v>
      </c>
      <c r="D7" s="4">
        <v>12</v>
      </c>
      <c r="E7" s="4">
        <f>D7-D6</f>
        <v>12.0</v>
      </c>
      <c r="F7" s="4">
        <v>4</v>
      </c>
      <c r="G7" s="4">
        <f>E7/F7</f>
        <v>3.0</v>
      </c>
      <c r="H7" s="4">
        <f>AVERAGE(G7:G9)</f>
        <v>3.333333333333</v>
      </c>
      <c r="I7" s="4"/>
      <c r="J7" s="4"/>
      <c r="K7" s="4" t="s">
        <v>18</v>
      </c>
      <c r="L7" s="4" t="s">
        <v>2633</v>
      </c>
      <c r="M7" s="4"/>
      <c r="N7" s="7"/>
      <c r="O7" s="4"/>
      <c r="P7" s="4"/>
      <c r="Q7" s="4"/>
    </row>
    <row r="8" spans="1:17" x14ac:dyDescent="0.2">
      <c r="A8" s="4" t="s">
        <v>14</v>
      </c>
      <c r="B8" s="10">
        <v>46190</v>
      </c>
      <c r="C8" s="4">
        <v>50</v>
      </c>
      <c r="D8" s="4">
        <v>26</v>
      </c>
      <c r="E8" s="4">
        <f>D8-D7</f>
        <v>14.0</v>
      </c>
      <c r="F8" s="4">
        <v>4</v>
      </c>
      <c r="G8" s="4">
        <f>E8/F8</f>
        <v>3.5</v>
      </c>
      <c r="H8" s="4"/>
      <c r="I8" s="4"/>
      <c r="J8" s="4"/>
      <c r="K8" s="10">
        <v>46190</v>
      </c>
      <c r="L8" s="4" t="s">
        <v>19</v>
      </c>
      <c r="M8" s="4"/>
      <c r="N8" s="4"/>
      <c r="O8" s="4"/>
      <c r="P8" s="4"/>
      <c r="Q8" s="4"/>
    </row>
    <row r="9" spans="1:17" x14ac:dyDescent="0.2">
      <c r="A9" s="4" t="s">
        <v>14</v>
      </c>
      <c r="B9" s="10">
        <v>46190</v>
      </c>
      <c r="C9" s="4">
        <v>50</v>
      </c>
      <c r="D9" s="4">
        <v>40</v>
      </c>
      <c r="E9" s="4">
        <f>D9-D8</f>
        <v>14.0</v>
      </c>
      <c r="F9" s="4">
        <v>4</v>
      </c>
      <c r="G9" s="4">
        <f>E9/F9</f>
        <v>3.5</v>
      </c>
      <c r="H9" s="4"/>
      <c r="I9" s="4"/>
      <c r="J9" s="4"/>
      <c r="K9" s="10">
        <v>46190</v>
      </c>
      <c r="L9" s="4" t="s">
        <v>2634</v>
      </c>
      <c r="M9" s="4"/>
      <c r="N9" s="4"/>
      <c r="O9" s="4"/>
      <c r="P9" s="4"/>
      <c r="Q9" s="4"/>
    </row>
    <row r="10" spans="1:17" x14ac:dyDescent="0.2">
      <c r="A10" s="4" t="s">
        <v>14</v>
      </c>
      <c r="B10" s="10">
        <v>46190</v>
      </c>
      <c r="C10" s="4">
        <v>50</v>
      </c>
      <c r="D10" s="4">
        <v>0</v>
      </c>
      <c r="E10" s="4"/>
      <c r="F10" s="4"/>
      <c r="G10" s="4"/>
      <c r="H10" s="4"/>
      <c r="I10" s="4"/>
      <c r="J10" s="4"/>
      <c r="K10" s="4"/>
      <c r="L10" s="4" t="s">
        <v>2635</v>
      </c>
      <c r="M10" s="4"/>
      <c r="N10" s="4"/>
      <c r="O10" s="4"/>
      <c r="P10" s="4"/>
      <c r="Q10" s="4"/>
    </row>
    <row r="11" spans="1:17" x14ac:dyDescent="0.2">
      <c r="A11" s="4" t="s">
        <v>14</v>
      </c>
      <c r="B11" s="10">
        <v>46190</v>
      </c>
      <c r="C11" s="4">
        <v>50</v>
      </c>
      <c r="D11" s="4">
        <v>6</v>
      </c>
      <c r="E11" s="4">
        <f t="shared" ref="E11:E16" si="0">D11-D10</f>
        <v>6.0</v>
      </c>
      <c r="F11" s="4">
        <v>2</v>
      </c>
      <c r="G11" s="4">
        <f t="shared" ref="G11:G16" si="1">E11/F11</f>
        <v>3.0</v>
      </c>
      <c r="H11" s="4">
        <f>AVERAGE(G11:G16)</f>
        <v>3.75</v>
      </c>
      <c r="I11" s="4"/>
      <c r="J11" s="4"/>
      <c r="K11" s="4"/>
      <c r="L11" s="4" t="s">
        <v>2636</v>
      </c>
      <c r="M11" s="4"/>
      <c r="N11" s="4"/>
      <c r="O11" s="4"/>
      <c r="P11" s="4"/>
      <c r="Q11" s="4"/>
    </row>
    <row r="12" spans="1:17" x14ac:dyDescent="0.2">
      <c r="A12" s="4" t="s">
        <v>14</v>
      </c>
      <c r="B12" s="10">
        <v>46190</v>
      </c>
      <c r="C12" s="4">
        <v>50</v>
      </c>
      <c r="D12" s="4">
        <v>15</v>
      </c>
      <c r="E12" s="4">
        <f t="shared" si="0"/>
        <v>9.0</v>
      </c>
      <c r="F12" s="4">
        <v>2</v>
      </c>
      <c r="G12" s="4">
        <f t="shared" si="1"/>
        <v>4.5</v>
      </c>
      <c r="H12" s="4"/>
      <c r="I12" s="4"/>
      <c r="J12" s="4"/>
      <c r="K12" s="4"/>
      <c r="L12" s="4"/>
      <c r="M12" s="4"/>
      <c r="N12" s="4"/>
      <c r="O12" s="4"/>
      <c r="P12" s="4"/>
      <c r="Q12" s="4"/>
    </row>
    <row r="13" spans="1:17" x14ac:dyDescent="0.2">
      <c r="A13" s="4" t="s">
        <v>14</v>
      </c>
      <c r="B13" s="10">
        <v>46190</v>
      </c>
      <c r="C13" s="4">
        <v>50</v>
      </c>
      <c r="D13" s="4">
        <v>21</v>
      </c>
      <c r="E13" s="4">
        <f t="shared" si="0"/>
        <v>6.0</v>
      </c>
      <c r="F13" s="4">
        <v>2</v>
      </c>
      <c r="G13" s="4">
        <f t="shared" si="1"/>
        <v>3.0</v>
      </c>
      <c r="H13" s="4"/>
      <c r="I13" s="4"/>
      <c r="J13" s="4"/>
      <c r="K13" s="4"/>
      <c r="L13" s="4"/>
      <c r="M13" s="4"/>
      <c r="N13" s="4"/>
      <c r="O13" s="4"/>
      <c r="P13" s="4"/>
      <c r="Q13" s="4"/>
    </row>
    <row r="14" spans="1:17" x14ac:dyDescent="0.2">
      <c r="A14" s="4" t="s">
        <v>14</v>
      </c>
      <c r="B14" s="10">
        <v>46190</v>
      </c>
      <c r="C14" s="4">
        <v>50</v>
      </c>
      <c r="D14" s="4">
        <v>29</v>
      </c>
      <c r="E14" s="4">
        <f t="shared" si="0"/>
        <v>8.0</v>
      </c>
      <c r="F14" s="4">
        <v>2</v>
      </c>
      <c r="G14" s="4">
        <f t="shared" si="1"/>
        <v>4.0</v>
      </c>
      <c r="H14" s="4"/>
      <c r="I14" s="4"/>
      <c r="J14" s="4"/>
      <c r="K14" s="4"/>
      <c r="L14" s="4"/>
      <c r="M14" s="4"/>
      <c r="N14" s="4"/>
      <c r="O14" s="4"/>
      <c r="P14" s="4"/>
      <c r="Q14" s="4"/>
    </row>
    <row r="15" spans="1:17" x14ac:dyDescent="0.2">
      <c r="A15" s="4" t="s">
        <v>14</v>
      </c>
      <c r="B15" s="10">
        <v>46190</v>
      </c>
      <c r="C15" s="4">
        <v>50</v>
      </c>
      <c r="D15" s="4">
        <v>35</v>
      </c>
      <c r="E15" s="4">
        <f t="shared" si="0"/>
        <v>6.0</v>
      </c>
      <c r="F15" s="4">
        <v>2</v>
      </c>
      <c r="G15" s="4">
        <f t="shared" si="1"/>
        <v>3.0</v>
      </c>
      <c r="H15" s="4"/>
      <c r="I15" s="4"/>
      <c r="J15" s="4"/>
      <c r="K15" s="4"/>
      <c r="L15" s="4"/>
      <c r="M15" s="4"/>
      <c r="N15" s="4"/>
      <c r="O15" s="4"/>
      <c r="P15" s="4"/>
      <c r="Q15" s="4"/>
    </row>
    <row r="16" spans="1:17" x14ac:dyDescent="0.2">
      <c r="A16" s="4" t="s">
        <v>14</v>
      </c>
      <c r="B16" s="10">
        <v>46190</v>
      </c>
      <c r="C16" s="4">
        <v>50</v>
      </c>
      <c r="D16" s="4">
        <v>45</v>
      </c>
      <c r="E16" s="4">
        <f t="shared" si="0"/>
        <v>10.0</v>
      </c>
      <c r="F16" s="4">
        <v>2</v>
      </c>
      <c r="G16" s="4">
        <f t="shared" si="1"/>
        <v>5.0</v>
      </c>
      <c r="H16" s="4"/>
      <c r="I16" s="4"/>
      <c r="J16" s="4"/>
      <c r="K16" s="4"/>
      <c r="L16" s="4"/>
      <c r="M16" s="4"/>
      <c r="N16" s="4"/>
      <c r="O16" s="4"/>
      <c r="P16" s="4"/>
      <c r="Q16" s="4"/>
    </row>
    <row r="17" spans="1:17" x14ac:dyDescent="0.2">
      <c r="A17" s="4" t="s">
        <v>14</v>
      </c>
      <c r="B17" s="10">
        <v>46190</v>
      </c>
      <c r="C17" s="4">
        <v>50</v>
      </c>
      <c r="D17" s="4">
        <v>0</v>
      </c>
      <c r="E17" s="4"/>
      <c r="F17" s="4"/>
      <c r="G17" s="4"/>
      <c r="H17" s="4"/>
      <c r="I17" s="4"/>
      <c r="J17" s="4"/>
      <c r="K17" s="4"/>
      <c r="L17" s="4"/>
      <c r="M17" s="4"/>
      <c r="N17" s="4"/>
      <c r="O17" s="4"/>
      <c r="P17" s="4"/>
      <c r="Q17" s="4"/>
    </row>
    <row r="18" spans="1:17" x14ac:dyDescent="0.2">
      <c r="A18" s="4" t="s">
        <v>14</v>
      </c>
      <c r="B18" s="10">
        <v>46190</v>
      </c>
      <c r="C18" s="4">
        <v>50</v>
      </c>
      <c r="D18" s="4">
        <v>4</v>
      </c>
      <c r="E18" s="4">
        <f t="shared" ref="E18:E23" si="2">D18-D17</f>
        <v>4.0</v>
      </c>
      <c r="F18" s="4">
        <v>1</v>
      </c>
      <c r="G18" s="4">
        <f t="shared" ref="G18:G23" si="3">E18/F18</f>
        <v>4.0</v>
      </c>
      <c r="H18" s="4">
        <f>AVERAGE(G18:G23)</f>
        <v>3.833333333333</v>
      </c>
      <c r="I18" s="4"/>
      <c r="J18" s="4"/>
      <c r="K18" s="4"/>
      <c r="L18" s="4"/>
      <c r="M18" s="4"/>
      <c r="N18" s="4"/>
      <c r="O18" s="4"/>
      <c r="P18" s="4"/>
      <c r="Q18" s="4"/>
    </row>
    <row r="19" spans="1:17" x14ac:dyDescent="0.2">
      <c r="A19" s="4" t="s">
        <v>14</v>
      </c>
      <c r="B19" s="10">
        <v>46190</v>
      </c>
      <c r="C19" s="4">
        <v>50</v>
      </c>
      <c r="D19" s="4">
        <v>8</v>
      </c>
      <c r="E19" s="4">
        <f t="shared" si="2"/>
        <v>4.0</v>
      </c>
      <c r="F19" s="4">
        <v>1</v>
      </c>
      <c r="G19" s="4">
        <f t="shared" si="3"/>
        <v>4.0</v>
      </c>
      <c r="H19" s="4"/>
      <c r="I19" s="4"/>
      <c r="J19" s="4"/>
      <c r="K19" s="4"/>
      <c r="L19" s="4"/>
      <c r="M19" s="4"/>
      <c r="N19" s="4"/>
      <c r="O19" s="4"/>
      <c r="P19" s="4"/>
      <c r="Q19" s="4"/>
    </row>
    <row r="20" spans="1:17" x14ac:dyDescent="0.2">
      <c r="A20" s="4" t="s">
        <v>14</v>
      </c>
      <c r="B20" s="10">
        <v>46190</v>
      </c>
      <c r="C20" s="4">
        <v>50</v>
      </c>
      <c r="D20" s="4">
        <v>11</v>
      </c>
      <c r="E20" s="4">
        <f t="shared" si="2"/>
        <v>3.0</v>
      </c>
      <c r="F20" s="4">
        <v>1</v>
      </c>
      <c r="G20" s="4">
        <f t="shared" si="3"/>
        <v>3.0</v>
      </c>
      <c r="H20" s="4"/>
      <c r="I20" s="4"/>
      <c r="J20" s="4"/>
      <c r="K20" s="4"/>
      <c r="L20" s="4"/>
      <c r="M20" s="4"/>
      <c r="N20" s="4"/>
      <c r="O20" s="4"/>
      <c r="P20" s="4"/>
      <c r="Q20" s="4"/>
    </row>
    <row r="21" spans="1:17" x14ac:dyDescent="0.2">
      <c r="A21" s="4" t="s">
        <v>14</v>
      </c>
      <c r="B21" s="10">
        <v>46190</v>
      </c>
      <c r="C21" s="4">
        <v>50</v>
      </c>
      <c r="D21" s="4">
        <v>15</v>
      </c>
      <c r="E21" s="4">
        <f t="shared" si="2"/>
        <v>4.0</v>
      </c>
      <c r="F21" s="4">
        <v>1</v>
      </c>
      <c r="G21" s="4">
        <f t="shared" si="3"/>
        <v>4.0</v>
      </c>
      <c r="H21" s="4"/>
      <c r="I21" s="4"/>
      <c r="J21" s="4"/>
      <c r="K21" s="4"/>
      <c r="L21" s="4"/>
      <c r="M21" s="4"/>
      <c r="N21" s="4"/>
      <c r="O21" s="4"/>
      <c r="P21" s="4"/>
      <c r="Q21" s="4"/>
    </row>
    <row r="22" spans="1:17" x14ac:dyDescent="0.2">
      <c r="A22" s="4" t="s">
        <v>14</v>
      </c>
      <c r="B22" s="10">
        <v>46190</v>
      </c>
      <c r="C22" s="4">
        <v>50</v>
      </c>
      <c r="D22" s="4">
        <v>19</v>
      </c>
      <c r="E22" s="4">
        <f t="shared" si="2"/>
        <v>4.0</v>
      </c>
      <c r="F22" s="4">
        <v>1</v>
      </c>
      <c r="G22" s="4">
        <f t="shared" si="3"/>
        <v>4.0</v>
      </c>
      <c r="H22" s="4"/>
      <c r="I22" s="4"/>
      <c r="J22" s="4"/>
      <c r="K22" s="4"/>
      <c r="L22" s="4"/>
      <c r="M22" s="4"/>
      <c r="N22" s="4"/>
      <c r="O22" s="4"/>
      <c r="P22" s="4"/>
      <c r="Q22" s="4"/>
    </row>
    <row r="23" spans="1:17" x14ac:dyDescent="0.2">
      <c r="A23" s="4" t="s">
        <v>14</v>
      </c>
      <c r="B23" s="10">
        <v>46190</v>
      </c>
      <c r="C23" s="4">
        <v>50</v>
      </c>
      <c r="D23" s="4">
        <v>23</v>
      </c>
      <c r="E23" s="4">
        <f t="shared" si="2"/>
        <v>4.0</v>
      </c>
      <c r="F23" s="4">
        <v>1</v>
      </c>
      <c r="G23" s="4">
        <f t="shared" si="3"/>
        <v>4.0</v>
      </c>
      <c r="H23" s="4"/>
      <c r="I23" s="4"/>
      <c r="J23" s="4"/>
      <c r="K23" s="4"/>
      <c r="L23" s="4"/>
      <c r="M23" s="4"/>
      <c r="N23" s="4"/>
      <c r="O23" s="4"/>
      <c r="P23" s="4"/>
      <c r="Q23" s="4"/>
    </row>
    <row r="24" spans="1:17" x14ac:dyDescent="0.2">
      <c r="A24" s="4" t="s">
        <v>14</v>
      </c>
      <c r="B24" s="10">
        <v>46190</v>
      </c>
      <c r="C24" s="4">
        <v>50</v>
      </c>
      <c r="D24" s="4">
        <v>31</v>
      </c>
      <c r="E24" s="4"/>
      <c r="F24" s="4"/>
      <c r="G24" s="4"/>
      <c r="H24" s="4"/>
      <c r="I24" s="4"/>
      <c r="J24" s="4"/>
      <c r="K24" s="4"/>
      <c r="L24" s="4"/>
      <c r="M24" s="4"/>
      <c r="N24" s="4"/>
      <c r="O24" s="4"/>
      <c r="P24" s="4"/>
      <c r="Q24" s="4"/>
    </row>
    <row r="25" spans="1:17" x14ac:dyDescent="0.2">
      <c r="A25" s="4" t="s">
        <v>14</v>
      </c>
      <c r="B25" s="10">
        <v>46190</v>
      </c>
      <c r="C25" s="4">
        <v>50</v>
      </c>
      <c r="D25" s="4">
        <v>33</v>
      </c>
      <c r="E25" s="4">
        <f t="shared" ref="E25:E39" si="4">D25-D24</f>
        <v>2.0</v>
      </c>
      <c r="F25" s="4">
        <v>0.5</v>
      </c>
      <c r="G25" s="4">
        <f t="shared" ref="G25:G34" si="5">E25/F25</f>
        <v>4.0</v>
      </c>
      <c r="H25" s="4">
        <f>AVERAGE(G25:G29)</f>
        <v>4.0</v>
      </c>
      <c r="I25" s="4"/>
      <c r="J25" s="4"/>
      <c r="K25" s="4"/>
      <c r="L25" s="4"/>
      <c r="M25" s="4"/>
      <c r="N25" s="4"/>
      <c r="O25" s="4"/>
      <c r="P25" s="4"/>
      <c r="Q25" s="4"/>
    </row>
    <row r="26" spans="1:17" x14ac:dyDescent="0.2">
      <c r="A26" s="4" t="s">
        <v>14</v>
      </c>
      <c r="B26" s="10">
        <v>46190</v>
      </c>
      <c r="C26" s="4">
        <v>50</v>
      </c>
      <c r="D26" s="4">
        <v>35</v>
      </c>
      <c r="E26" s="4">
        <f t="shared" si="4"/>
        <v>2.0</v>
      </c>
      <c r="F26" s="4">
        <v>0.5</v>
      </c>
      <c r="G26" s="4">
        <f t="shared" si="5"/>
        <v>4.0</v>
      </c>
      <c r="H26" s="4"/>
      <c r="I26" s="4"/>
      <c r="J26" s="4"/>
      <c r="K26" s="4"/>
      <c r="L26" s="4"/>
      <c r="M26" s="4"/>
      <c r="N26" s="4"/>
      <c r="O26" s="4"/>
      <c r="P26" s="4"/>
      <c r="Q26" s="4"/>
    </row>
    <row r="27" spans="1:17" x14ac:dyDescent="0.2">
      <c r="A27" s="4" t="s">
        <v>14</v>
      </c>
      <c r="B27" s="10">
        <v>46190</v>
      </c>
      <c r="C27" s="4">
        <v>50</v>
      </c>
      <c r="D27" s="4">
        <v>37</v>
      </c>
      <c r="E27" s="4">
        <f t="shared" si="4"/>
        <v>2.0</v>
      </c>
      <c r="F27" s="4">
        <v>0.5</v>
      </c>
      <c r="G27" s="4">
        <f t="shared" si="5"/>
        <v>4.0</v>
      </c>
      <c r="H27" s="4"/>
      <c r="I27" s="4"/>
      <c r="J27" s="4"/>
      <c r="K27" s="4"/>
      <c r="L27" s="4"/>
      <c r="M27" s="4"/>
      <c r="N27" s="4"/>
      <c r="O27" s="4"/>
      <c r="P27" s="4"/>
      <c r="Q27" s="4"/>
    </row>
    <row r="28" spans="1:17" x14ac:dyDescent="0.2">
      <c r="A28" s="4" t="s">
        <v>14</v>
      </c>
      <c r="B28" s="10">
        <v>46190</v>
      </c>
      <c r="C28" s="4">
        <v>50</v>
      </c>
      <c r="D28" s="4">
        <v>39</v>
      </c>
      <c r="E28" s="4">
        <f t="shared" si="4"/>
        <v>2.0</v>
      </c>
      <c r="F28" s="4">
        <v>0.5</v>
      </c>
      <c r="G28" s="4">
        <f t="shared" si="5"/>
        <v>4.0</v>
      </c>
      <c r="H28" s="4"/>
      <c r="I28" s="4"/>
      <c r="J28" s="4"/>
      <c r="K28" s="4"/>
      <c r="L28" s="4"/>
      <c r="M28" s="4"/>
      <c r="N28" s="4"/>
      <c r="O28" s="4"/>
      <c r="P28" s="4"/>
      <c r="Q28" s="4"/>
    </row>
    <row r="29" spans="1:17" x14ac:dyDescent="0.2">
      <c r="A29" s="4" t="s">
        <v>14</v>
      </c>
      <c r="B29" s="10">
        <v>46190</v>
      </c>
      <c r="C29" s="4">
        <v>50</v>
      </c>
      <c r="D29" s="4">
        <v>41</v>
      </c>
      <c r="E29" s="4">
        <f t="shared" si="4"/>
        <v>2.0</v>
      </c>
      <c r="F29" s="4">
        <v>0.5</v>
      </c>
      <c r="G29" s="4">
        <f t="shared" si="5"/>
        <v>4.0</v>
      </c>
      <c r="H29" s="4"/>
      <c r="I29" s="4"/>
      <c r="J29" s="4"/>
      <c r="K29" s="4"/>
      <c r="L29" s="4"/>
      <c r="M29" s="4"/>
      <c r="N29" s="4"/>
      <c r="O29" s="4"/>
      <c r="P29" s="4"/>
      <c r="Q29" s="4"/>
    </row>
    <row r="30" spans="1:17" x14ac:dyDescent="0.2">
      <c r="A30" s="4" t="s">
        <v>14</v>
      </c>
      <c r="B30" s="10">
        <v>46190</v>
      </c>
      <c r="C30" s="4">
        <v>50</v>
      </c>
      <c r="D30" s="4">
        <v>42</v>
      </c>
      <c r="E30" s="4">
        <f t="shared" si="4"/>
        <v>1.0</v>
      </c>
      <c r="F30" s="4">
        <v>0.25</v>
      </c>
      <c r="G30" s="4">
        <f t="shared" si="5"/>
        <v>4.0</v>
      </c>
      <c r="H30" s="4">
        <f>AVERAGE(G30:G34)</f>
        <v>4.0</v>
      </c>
      <c r="I30" s="4"/>
      <c r="J30" s="4"/>
      <c r="K30" s="4"/>
      <c r="L30" s="4"/>
      <c r="M30" s="4"/>
      <c r="N30" s="4"/>
      <c r="O30" s="4"/>
      <c r="P30" s="4"/>
      <c r="Q30" s="4"/>
    </row>
    <row r="31" spans="1:17" x14ac:dyDescent="0.2">
      <c r="A31" s="4" t="s">
        <v>14</v>
      </c>
      <c r="B31" s="10">
        <v>46190</v>
      </c>
      <c r="C31" s="4">
        <v>50</v>
      </c>
      <c r="D31" s="4">
        <v>43</v>
      </c>
      <c r="E31" s="4">
        <f t="shared" si="4"/>
        <v>1.0</v>
      </c>
      <c r="F31" s="4">
        <v>0.25</v>
      </c>
      <c r="G31" s="4">
        <f t="shared" si="5"/>
        <v>4.0</v>
      </c>
      <c r="H31" s="4"/>
      <c r="I31" s="4"/>
      <c r="J31" s="4"/>
      <c r="K31" s="4"/>
      <c r="L31" s="4"/>
      <c r="M31" s="4"/>
      <c r="N31" s="4"/>
      <c r="O31" s="4"/>
      <c r="P31" s="4"/>
      <c r="Q31" s="4"/>
    </row>
    <row r="32" spans="1:17" x14ac:dyDescent="0.2">
      <c r="A32" s="4" t="s">
        <v>14</v>
      </c>
      <c r="B32" s="10">
        <v>46190</v>
      </c>
      <c r="C32" s="4">
        <v>50</v>
      </c>
      <c r="D32" s="4">
        <v>44</v>
      </c>
      <c r="E32" s="4">
        <f t="shared" si="4"/>
        <v>1.0</v>
      </c>
      <c r="F32" s="4">
        <v>0.25</v>
      </c>
      <c r="G32" s="4">
        <f t="shared" si="5"/>
        <v>4.0</v>
      </c>
      <c r="H32" s="4"/>
      <c r="I32" s="4"/>
      <c r="J32" s="4"/>
      <c r="K32" s="4"/>
      <c r="L32" s="4"/>
      <c r="M32" s="4"/>
      <c r="N32" s="4"/>
      <c r="O32" s="4"/>
      <c r="P32" s="4"/>
      <c r="Q32" s="4"/>
    </row>
    <row r="33" spans="1:17" x14ac:dyDescent="0.2">
      <c r="A33" s="4" t="s">
        <v>14</v>
      </c>
      <c r="B33" s="10">
        <v>46190</v>
      </c>
      <c r="C33" s="4">
        <v>50</v>
      </c>
      <c r="D33" s="4">
        <v>45</v>
      </c>
      <c r="E33" s="4">
        <f t="shared" si="4"/>
        <v>1.0</v>
      </c>
      <c r="F33" s="4">
        <v>0.25</v>
      </c>
      <c r="G33" s="4">
        <f t="shared" si="5"/>
        <v>4.0</v>
      </c>
      <c r="H33" s="4"/>
      <c r="I33" s="4"/>
      <c r="J33" s="4"/>
      <c r="K33" s="4"/>
      <c r="L33" s="4"/>
      <c r="M33" s="4"/>
      <c r="N33" s="4"/>
      <c r="O33" s="4"/>
      <c r="P33" s="4"/>
      <c r="Q33" s="4"/>
    </row>
    <row r="34" spans="1:17" x14ac:dyDescent="0.2">
      <c r="A34" s="4" t="s">
        <v>14</v>
      </c>
      <c r="B34" s="10">
        <v>46190</v>
      </c>
      <c r="C34" s="4">
        <v>50</v>
      </c>
      <c r="D34" s="4">
        <v>46</v>
      </c>
      <c r="E34" s="4">
        <f t="shared" si="4"/>
        <v>1.0</v>
      </c>
      <c r="F34" s="4">
        <v>0.25</v>
      </c>
      <c r="G34" s="4">
        <f t="shared" si="5"/>
        <v>4.0</v>
      </c>
      <c r="H34" s="4"/>
      <c r="I34" s="4"/>
      <c r="J34" s="4"/>
      <c r="K34" s="4"/>
      <c r="L34" s="4"/>
      <c r="M34" s="4"/>
      <c r="N34" s="4"/>
      <c r="O34" s="4"/>
      <c r="P34" s="4"/>
      <c r="Q34" s="4"/>
    </row>
    <row r="35" spans="1:17" x14ac:dyDescent="0.2">
      <c r="A35" s="4" t="s">
        <v>14</v>
      </c>
      <c r="B35" s="10">
        <v>46190</v>
      </c>
      <c r="C35" s="4">
        <v>10</v>
      </c>
      <c r="D35" s="4">
        <v>0</v>
      </c>
      <c r="E35" s="4">
        <f t="shared" si="4"/>
        <v>-46.0</v>
      </c>
      <c r="F35" s="4"/>
      <c r="G35" s="4"/>
      <c r="H35" s="4"/>
      <c r="I35" s="4"/>
      <c r="J35" s="4"/>
      <c r="K35" s="4"/>
      <c r="L35" s="4"/>
      <c r="M35" s="4"/>
      <c r="N35" s="4"/>
      <c r="O35" s="4"/>
      <c r="P35" s="4"/>
      <c r="Q35" s="4"/>
    </row>
    <row r="36" spans="1:17" x14ac:dyDescent="0.2">
      <c r="A36" s="4" t="s">
        <v>14</v>
      </c>
      <c r="B36" s="10">
        <v>46190</v>
      </c>
      <c r="C36" s="4">
        <v>10</v>
      </c>
      <c r="D36" s="4">
        <v>0.4</v>
      </c>
      <c r="E36" s="4">
        <f t="shared" si="4"/>
        <v>0.4</v>
      </c>
      <c r="F36" s="4">
        <v>0.2</v>
      </c>
      <c r="G36" s="11">
        <f>E36/F36</f>
        <v>2.0</v>
      </c>
      <c r="H36" s="4"/>
      <c r="I36" s="4"/>
      <c r="J36" s="4"/>
      <c r="K36" s="4"/>
      <c r="L36" s="4"/>
      <c r="M36" s="4"/>
      <c r="N36" s="4">
        <v>1</v>
      </c>
      <c r="O36" s="4"/>
      <c r="P36" s="4"/>
      <c r="Q36" s="4"/>
    </row>
    <row r="37" spans="1:17" x14ac:dyDescent="0.2">
      <c r="A37" s="4" t="s">
        <v>14</v>
      </c>
      <c r="B37" s="10">
        <v>46190</v>
      </c>
      <c r="C37" s="4">
        <v>10</v>
      </c>
      <c r="D37" s="4">
        <v>1.2</v>
      </c>
      <c r="E37" s="4">
        <f t="shared" si="4"/>
        <v>0.8</v>
      </c>
      <c r="F37" s="4">
        <v>0.2</v>
      </c>
      <c r="G37" s="4">
        <f>E37/F37</f>
        <v>4.0</v>
      </c>
      <c r="H37" s="4">
        <f>AVERAGE(G37:G39)</f>
        <v>4.333333333333</v>
      </c>
      <c r="I37" s="4"/>
      <c r="J37" s="4"/>
      <c r="K37" s="4"/>
      <c r="L37" s="4"/>
      <c r="M37" s="4"/>
      <c r="N37" s="4"/>
      <c r="O37" s="4"/>
      <c r="P37" s="4"/>
      <c r="Q37" s="4"/>
    </row>
    <row r="38" spans="1:17" x14ac:dyDescent="0.2">
      <c r="A38" s="4" t="s">
        <v>14</v>
      </c>
      <c r="B38" s="10">
        <v>46190</v>
      </c>
      <c r="C38" s="4">
        <v>10</v>
      </c>
      <c r="D38" s="4">
        <v>2.2000000000000002</v>
      </c>
      <c r="E38" s="4">
        <f t="shared" si="4"/>
        <v>1.0</v>
      </c>
      <c r="F38" s="4">
        <v>0.2</v>
      </c>
      <c r="G38" s="4">
        <f>E38/F38</f>
        <v>5.0</v>
      </c>
      <c r="H38" s="4"/>
      <c r="I38" s="4"/>
      <c r="J38" s="4"/>
      <c r="K38" s="4"/>
      <c r="L38" s="4"/>
      <c r="M38" s="4"/>
      <c r="N38" s="4"/>
      <c r="O38" s="4"/>
      <c r="P38" s="4"/>
      <c r="Q38" s="4"/>
    </row>
    <row r="39" spans="1:17" x14ac:dyDescent="0.2">
      <c r="A39" s="4" t="s">
        <v>14</v>
      </c>
      <c r="B39" s="10">
        <v>46190</v>
      </c>
      <c r="C39" s="4">
        <v>10</v>
      </c>
      <c r="D39" s="4">
        <v>3</v>
      </c>
      <c r="E39" s="4">
        <f t="shared" si="4"/>
        <v>0.8</v>
      </c>
      <c r="F39" s="4">
        <v>0.2</v>
      </c>
      <c r="G39" s="4">
        <f>E39/F39</f>
        <v>4.0</v>
      </c>
      <c r="H39" s="4"/>
      <c r="I39" s="4"/>
      <c r="J39" s="4"/>
      <c r="K39" s="4"/>
      <c r="L39" s="4"/>
      <c r="M39" s="4"/>
      <c r="N39" s="4"/>
      <c r="O39" s="4"/>
      <c r="P39" s="4"/>
      <c r="Q39" s="4"/>
    </row>
    <row r="40" spans="1:17" x14ac:dyDescent="0.2">
      <c r="A40" s="4" t="s">
        <v>14</v>
      </c>
      <c r="B40" s="10">
        <v>46190</v>
      </c>
      <c r="C40" s="4">
        <v>10</v>
      </c>
      <c r="D40" s="4">
        <v>0</v>
      </c>
      <c r="E40" s="4"/>
      <c r="F40" s="4"/>
      <c r="G40" s="4"/>
      <c r="H40" s="4"/>
      <c r="I40" s="4"/>
      <c r="J40" s="4"/>
      <c r="K40" s="4"/>
      <c r="L40" s="4"/>
      <c r="M40" s="4"/>
      <c r="N40" s="4"/>
      <c r="O40" s="4"/>
      <c r="P40" s="4"/>
      <c r="Q40" s="4"/>
    </row>
    <row r="41" spans="1:17" x14ac:dyDescent="0.2">
      <c r="A41" s="4" t="s">
        <v>14</v>
      </c>
      <c r="B41" s="10">
        <v>46190</v>
      </c>
      <c r="C41" s="4">
        <v>10</v>
      </c>
      <c r="D41" s="4">
        <v>0.4</v>
      </c>
      <c r="E41" s="4">
        <f t="shared" ref="E41:E46" si="6">D41-D40</f>
        <v>0.4</v>
      </c>
      <c r="F41" s="4">
        <v>0.1</v>
      </c>
      <c r="G41" s="4">
        <f t="shared" ref="G41:G46" si="7">E41/F41</f>
        <v>4.0</v>
      </c>
      <c r="H41" s="4">
        <f>AVERAGE(G41:G45)</f>
        <v>5.2</v>
      </c>
      <c r="I41" s="4"/>
      <c r="J41" s="4"/>
      <c r="K41" s="4"/>
      <c r="L41" s="4"/>
      <c r="M41" s="4"/>
      <c r="N41" s="4"/>
      <c r="O41" s="4"/>
      <c r="P41" s="4"/>
      <c r="Q41" s="4"/>
    </row>
    <row r="42" spans="1:17" x14ac:dyDescent="0.2">
      <c r="A42" s="4" t="s">
        <v>14</v>
      </c>
      <c r="B42" s="10">
        <v>46190</v>
      </c>
      <c r="C42" s="4">
        <v>10</v>
      </c>
      <c r="D42" s="4">
        <v>0.8</v>
      </c>
      <c r="E42" s="4">
        <f t="shared" si="6"/>
        <v>0.4</v>
      </c>
      <c r="F42" s="4">
        <v>0.1</v>
      </c>
      <c r="G42" s="4">
        <f t="shared" si="7"/>
        <v>4.0</v>
      </c>
      <c r="H42" s="4"/>
      <c r="I42" s="4"/>
      <c r="J42" s="4"/>
      <c r="K42" s="4"/>
      <c r="L42" s="4"/>
      <c r="M42" s="4"/>
      <c r="N42" s="4"/>
      <c r="O42" s="4"/>
      <c r="P42" s="4"/>
      <c r="Q42" s="4"/>
    </row>
    <row r="43" spans="1:17" x14ac:dyDescent="0.2">
      <c r="A43" s="4" t="s">
        <v>14</v>
      </c>
      <c r="B43" s="10">
        <v>46190</v>
      </c>
      <c r="C43" s="4">
        <v>10</v>
      </c>
      <c r="D43" s="4">
        <v>1.4</v>
      </c>
      <c r="E43" s="4">
        <f t="shared" si="6"/>
        <v>0.6</v>
      </c>
      <c r="F43" s="4">
        <v>0.1</v>
      </c>
      <c r="G43" s="4">
        <f t="shared" si="7"/>
        <v>6.0</v>
      </c>
      <c r="H43" s="4"/>
      <c r="I43" s="4"/>
      <c r="J43" s="4"/>
      <c r="K43" s="4"/>
      <c r="L43" s="4"/>
      <c r="M43" s="4"/>
      <c r="N43" s="4"/>
      <c r="O43" s="4"/>
      <c r="P43" s="4"/>
      <c r="Q43" s="4"/>
    </row>
    <row r="44" spans="1:17" x14ac:dyDescent="0.2">
      <c r="A44" s="4" t="s">
        <v>14</v>
      </c>
      <c r="B44" s="10">
        <v>46190</v>
      </c>
      <c r="C44" s="4">
        <v>10</v>
      </c>
      <c r="D44" s="4">
        <v>2</v>
      </c>
      <c r="E44" s="4">
        <f t="shared" si="6"/>
        <v>0.6</v>
      </c>
      <c r="F44" s="4">
        <v>0.1</v>
      </c>
      <c r="G44" s="4">
        <f t="shared" si="7"/>
        <v>6.0</v>
      </c>
      <c r="H44" s="4"/>
      <c r="I44" s="4"/>
      <c r="J44" s="4"/>
      <c r="K44" s="4"/>
      <c r="L44" s="4"/>
      <c r="M44" s="4"/>
      <c r="N44" s="4"/>
      <c r="O44" s="4"/>
      <c r="P44" s="4"/>
      <c r="Q44" s="4"/>
    </row>
    <row r="45" spans="1:17" x14ac:dyDescent="0.2">
      <c r="A45" s="4" t="s">
        <v>14</v>
      </c>
      <c r="B45" s="10">
        <v>46190</v>
      </c>
      <c r="C45" s="4">
        <v>10</v>
      </c>
      <c r="D45" s="4">
        <v>2.6</v>
      </c>
      <c r="E45" s="4">
        <f t="shared" si="6"/>
        <v>0.6</v>
      </c>
      <c r="F45" s="4">
        <v>0.1</v>
      </c>
      <c r="G45" s="4">
        <f t="shared" si="7"/>
        <v>6.0</v>
      </c>
      <c r="H45" s="4"/>
      <c r="I45" s="4"/>
      <c r="J45" s="4"/>
      <c r="K45" s="4"/>
      <c r="L45" s="4"/>
      <c r="M45" s="4"/>
      <c r="N45" s="4"/>
      <c r="O45" s="4"/>
      <c r="P45" s="4"/>
      <c r="Q45" s="4"/>
    </row>
    <row r="46" spans="1:17" x14ac:dyDescent="0.2">
      <c r="A46" s="4" t="s">
        <v>14</v>
      </c>
      <c r="B46" s="10">
        <v>46190</v>
      </c>
      <c r="C46" s="4">
        <v>10</v>
      </c>
      <c r="D46" s="4">
        <v>2.8</v>
      </c>
      <c r="E46" s="4">
        <f t="shared" si="6"/>
        <v>0.2</v>
      </c>
      <c r="F46" s="4">
        <v>0.1</v>
      </c>
      <c r="G46" s="11">
        <f t="shared" si="7"/>
        <v>2.0</v>
      </c>
      <c r="H46" s="4"/>
      <c r="I46" s="4"/>
      <c r="J46" s="4"/>
      <c r="K46" s="4"/>
      <c r="L46" s="4"/>
      <c r="M46" s="4"/>
      <c r="N46" s="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01" t="str">
        <f t="shared" si="12"/>
        <v/>
      </c>
      <c r="G82" s="93"/>
      <c r="H82" s="93"/>
      <c r="I82" s="72"/>
      <c r="J82" s="72"/>
      <c r="K82" s="72"/>
      <c r="L82" s="72"/>
      <c r="M82" s="72"/>
    </row>
    <row r="83" spans="1:13" x14ac:dyDescent="0.2">
      <c r="A83" s="93"/>
      <c r="B83" s="94"/>
      <c r="C83" s="93"/>
      <c r="D83" s="94"/>
      <c r="E83" s="100" t="str">
        <f t="shared" si="11"/>
        <v/>
      </c>
      <c r="F83" s="101" t="str">
        <f t="shared" si="12"/>
        <v/>
      </c>
      <c r="G83" s="93"/>
      <c r="H83" s="93"/>
      <c r="I83" s="72"/>
      <c r="J83" s="72"/>
      <c r="K83" s="72"/>
      <c r="L83" s="72"/>
      <c r="M83" s="72"/>
    </row>
    <row r="84" spans="1:13" x14ac:dyDescent="0.2">
      <c r="A84" s="93"/>
      <c r="B84" s="94"/>
      <c r="C84" s="93"/>
      <c r="D84" s="94"/>
      <c r="E84" s="100" t="str">
        <f t="shared" si="11"/>
        <v/>
      </c>
      <c r="F84" s="101" t="str">
        <f t="shared" si="12"/>
        <v/>
      </c>
      <c r="G84" s="93"/>
      <c r="H84" s="93"/>
      <c r="I84" s="72"/>
      <c r="J84" s="72"/>
      <c r="K84" s="72"/>
      <c r="L84" s="72"/>
      <c r="M84" s="72"/>
    </row>
    <row r="85" spans="1:13" x14ac:dyDescent="0.2">
      <c r="A85" s="93"/>
      <c r="B85" s="94"/>
      <c r="C85" s="93"/>
      <c r="D85" s="94"/>
      <c r="E85" s="100" t="str">
        <f t="shared" si="11"/>
        <v/>
      </c>
      <c r="F85" s="101"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62"/>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49">
        <v>4.26</v>
      </c>
      <c r="D6" s="149">
        <v>141.96</v>
      </c>
      <c r="E6" s="149">
        <f t="shared" ref="E6:E12" si="0">C6/D6*1000</f>
        <v>30.008453085376</v>
      </c>
      <c r="F6" s="149">
        <v>30</v>
      </c>
      <c r="G6" s="149"/>
      <c r="H6" s="149"/>
      <c r="I6" s="143"/>
    </row>
    <row r="7" spans="1:9" ht="24" customHeight="1" x14ac:dyDescent="0.2">
      <c r="A7" s="143" t="s">
        <v>2756</v>
      </c>
      <c r="B7" s="143" t="s">
        <v>2757</v>
      </c>
      <c r="C7" s="149">
        <v>4.68</v>
      </c>
      <c r="D7" s="149">
        <v>156.01</v>
      </c>
      <c r="E7" s="149">
        <f t="shared" si="0"/>
        <v>29.998077046343</v>
      </c>
      <c r="F7" s="149">
        <v>30</v>
      </c>
      <c r="G7" s="149"/>
      <c r="H7" s="149"/>
      <c r="I7" s="143"/>
    </row>
    <row r="8" spans="1:9" ht="24" customHeight="1" x14ac:dyDescent="0.2">
      <c r="A8" s="143" t="s">
        <v>2758</v>
      </c>
      <c r="B8" s="143" t="s">
        <v>2759</v>
      </c>
      <c r="C8" s="149">
        <v>0.17</v>
      </c>
      <c r="D8" s="149">
        <v>174.26</v>
      </c>
      <c r="E8" s="149">
        <f t="shared" si="0"/>
        <v>0.975553770228</v>
      </c>
      <c r="F8" s="149">
        <v>0.98</v>
      </c>
      <c r="G8" s="149"/>
      <c r="H8" s="149"/>
      <c r="I8" s="143"/>
    </row>
    <row r="9" spans="1:9" ht="24" customHeight="1" x14ac:dyDescent="0.2">
      <c r="A9" s="143" t="s">
        <v>2760</v>
      </c>
      <c r="B9" s="143" t="s">
        <v>2761</v>
      </c>
      <c r="C9" s="149">
        <v>9.7000000000000003E-2</v>
      </c>
      <c r="D9" s="149">
        <v>172.17</v>
      </c>
      <c r="E9" s="149">
        <f t="shared" si="0"/>
        <v>0.563396642853</v>
      </c>
      <c r="F9" s="149">
        <v>0.56000000000000005</v>
      </c>
      <c r="G9" s="149"/>
      <c r="H9" s="149"/>
      <c r="I9" s="143"/>
    </row>
    <row r="10" spans="1:9" ht="24" customHeight="1" x14ac:dyDescent="0.2">
      <c r="A10" s="143" t="s">
        <v>2762</v>
      </c>
      <c r="B10" s="143" t="s">
        <v>2763</v>
      </c>
      <c r="C10" s="149">
        <v>0.8</v>
      </c>
      <c r="D10" s="149">
        <v>246.48</v>
      </c>
      <c r="E10" s="149">
        <f t="shared" si="0"/>
        <v>3.245699448231</v>
      </c>
      <c r="F10" s="149">
        <v>3.25</v>
      </c>
      <c r="G10" s="149"/>
      <c r="H10" s="149"/>
      <c r="I10" s="143"/>
    </row>
    <row r="11" spans="1:9" ht="24" customHeight="1" x14ac:dyDescent="0.2">
      <c r="A11" s="143" t="s">
        <v>2764</v>
      </c>
      <c r="B11" s="143" t="s">
        <v>2765</v>
      </c>
      <c r="C11" s="149">
        <v>0.94299999999999995</v>
      </c>
      <c r="D11" s="149">
        <v>132.13999999999999</v>
      </c>
      <c r="E11" s="149">
        <f t="shared" si="0"/>
        <v>7.136370516119</v>
      </c>
      <c r="F11" s="149">
        <v>7.14</v>
      </c>
      <c r="G11" s="149"/>
      <c r="H11" s="149"/>
      <c r="I11" s="143"/>
    </row>
    <row r="12" spans="1:9" ht="24" customHeight="1" x14ac:dyDescent="0.2">
      <c r="A12" s="143" t="s">
        <v>2766</v>
      </c>
      <c r="B12" s="143" t="s">
        <v>2767</v>
      </c>
      <c r="C12" s="149">
        <v>3.36</v>
      </c>
      <c r="D12" s="149">
        <v>84.007000000000005</v>
      </c>
      <c r="E12" s="149">
        <f t="shared" si="0"/>
        <v>39.996666944421</v>
      </c>
      <c r="F12" s="149">
        <v>40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43">
        <v>0.68</v>
      </c>
      <c r="C15" s="149" t="s">
        <v>2772</v>
      </c>
      <c r="D15" s="149"/>
      <c r="E15" s="149"/>
      <c r="F15" s="149"/>
      <c r="G15" s="149"/>
      <c r="H15" s="149"/>
      <c r="I15" s="143"/>
    </row>
    <row r="16" spans="1:9" ht="24" customHeight="1" x14ac:dyDescent="0.2">
      <c r="A16" s="143" t="s">
        <v>2773</v>
      </c>
      <c r="B16" s="143">
        <v>0.05</v>
      </c>
      <c r="C16" s="149" t="s">
        <v>2772</v>
      </c>
      <c r="D16" s="149"/>
      <c r="E16" s="149"/>
      <c r="F16" s="149"/>
      <c r="G16" s="149"/>
      <c r="H16" s="149"/>
      <c r="I16" s="143"/>
    </row>
    <row r="17" spans="1:9" ht="24" customHeight="1" x14ac:dyDescent="0.2">
      <c r="A17" s="143" t="s">
        <v>2774</v>
      </c>
      <c r="B17" s="143">
        <v>50</v>
      </c>
      <c r="C17" s="149" t="s">
        <v>2775</v>
      </c>
      <c r="D17" s="149"/>
      <c r="E17" s="149"/>
      <c r="F17" s="149"/>
      <c r="G17" s="149"/>
      <c r="H17" s="149"/>
      <c r="I17" s="143"/>
    </row>
    <row r="18" spans="1:9" ht="24" customHeight="1" x14ac:dyDescent="0.2">
      <c r="A18" s="143" t="s">
        <v>2776</v>
      </c>
      <c r="B18" s="143">
        <v>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49">
        <v>15</v>
      </c>
      <c r="D21" s="149">
        <v>278.01</v>
      </c>
      <c r="E21" s="149">
        <f>C21/D21*1000</f>
        <v>53.954893708859</v>
      </c>
      <c r="F21" s="149">
        <f>$B$15</f>
        <v>0.68</v>
      </c>
      <c r="G21" s="149">
        <f>E21*F21</f>
        <v>36.689327722024</v>
      </c>
      <c r="H21" s="149">
        <v>36.700000000000003</v>
      </c>
      <c r="I21" s="144">
        <v>54</v>
      </c>
    </row>
    <row r="22" spans="1:9" ht="24" customHeight="1" x14ac:dyDescent="0.2">
      <c r="A22" s="143" t="s">
        <v>2786</v>
      </c>
      <c r="B22" s="143" t="s">
        <v>2787</v>
      </c>
      <c r="C22" s="149"/>
      <c r="D22" s="149">
        <v>98.078999999999994</v>
      </c>
      <c r="E22" s="149">
        <v>200</v>
      </c>
      <c r="F22" s="149">
        <f>$B$15</f>
        <v>0.68</v>
      </c>
      <c r="G22" s="149">
        <f>E22*F22</f>
        <v>136.0</v>
      </c>
      <c r="H22" s="149">
        <v>140</v>
      </c>
      <c r="I22" s="144">
        <v>200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49">
        <v>1.8</v>
      </c>
      <c r="D25" s="149">
        <v>241.95</v>
      </c>
      <c r="E25" s="149">
        <f t="shared" ref="E25:E30" si="1">C25/D25*1000</f>
        <v>7.439553626782</v>
      </c>
      <c r="F25" s="149">
        <f t="shared" ref="F25:F31" si="2">$B$16</f>
        <v>0.05</v>
      </c>
      <c r="G25" s="149">
        <f t="shared" ref="G25:G31" si="3">E25*F25</f>
        <v>0.371977681339</v>
      </c>
      <c r="H25" s="149">
        <v>0.37</v>
      </c>
      <c r="I25" s="144">
        <v>7.44</v>
      </c>
    </row>
    <row r="26" spans="1:9" ht="24" customHeight="1" x14ac:dyDescent="0.2">
      <c r="A26" s="143" t="s">
        <v>2791</v>
      </c>
      <c r="B26" s="143" t="s">
        <v>2792</v>
      </c>
      <c r="C26" s="149">
        <v>2.4</v>
      </c>
      <c r="D26" s="149">
        <v>287.54000000000002</v>
      </c>
      <c r="E26" s="149">
        <f t="shared" si="1"/>
        <v>8.346664811852</v>
      </c>
      <c r="F26" s="149">
        <f t="shared" si="2"/>
        <v>0.05</v>
      </c>
      <c r="G26" s="149">
        <f t="shared" si="3"/>
        <v>0.417333240593</v>
      </c>
      <c r="H26" s="149">
        <v>0.42</v>
      </c>
      <c r="I26" s="144">
        <v>8.35</v>
      </c>
    </row>
    <row r="27" spans="1:9" ht="24" customHeight="1" x14ac:dyDescent="0.2">
      <c r="A27" s="143" t="s">
        <v>2793</v>
      </c>
      <c r="B27" s="143" t="s">
        <v>2794</v>
      </c>
      <c r="C27" s="149">
        <v>2.4</v>
      </c>
      <c r="D27" s="149">
        <v>169.02</v>
      </c>
      <c r="E27" s="149">
        <f t="shared" si="1"/>
        <v>14.199503017394</v>
      </c>
      <c r="F27" s="149">
        <f t="shared" si="2"/>
        <v>0.05</v>
      </c>
      <c r="G27" s="149">
        <f t="shared" si="3"/>
        <v>0.70997515087</v>
      </c>
      <c r="H27" s="149">
        <v>0.71</v>
      </c>
      <c r="I27" s="144">
        <v>14.2</v>
      </c>
    </row>
    <row r="28" spans="1:9" ht="24" customHeight="1" x14ac:dyDescent="0.2">
      <c r="A28" s="143" t="s">
        <v>2795</v>
      </c>
      <c r="B28" s="143" t="s">
        <v>2796</v>
      </c>
      <c r="C28" s="149">
        <v>0.48</v>
      </c>
      <c r="D28" s="149">
        <v>249.68</v>
      </c>
      <c r="E28" s="149">
        <f t="shared" si="1"/>
        <v>1.92246074976</v>
      </c>
      <c r="F28" s="149">
        <f t="shared" si="2"/>
        <v>0.05</v>
      </c>
      <c r="G28" s="149">
        <f t="shared" si="3"/>
        <v>0.096123037488</v>
      </c>
      <c r="H28" s="149">
        <v>9.6000000000000002E-2</v>
      </c>
      <c r="I28" s="144">
        <v>1.92</v>
      </c>
    </row>
    <row r="29" spans="1:9" ht="24" customHeight="1" x14ac:dyDescent="0.2">
      <c r="A29" s="143" t="s">
        <v>2797</v>
      </c>
      <c r="B29" s="143" t="s">
        <v>2798</v>
      </c>
      <c r="C29" s="149">
        <v>1.5</v>
      </c>
      <c r="D29" s="149">
        <v>262.85000000000002</v>
      </c>
      <c r="E29" s="149">
        <f t="shared" si="1"/>
        <v>5.70667681187</v>
      </c>
      <c r="F29" s="149">
        <f t="shared" si="2"/>
        <v>0.05</v>
      </c>
      <c r="G29" s="149">
        <f t="shared" si="3"/>
        <v>0.285333840593</v>
      </c>
      <c r="H29" s="149">
        <v>0.28999999999999998</v>
      </c>
      <c r="I29" s="144">
        <v>5.71</v>
      </c>
    </row>
    <row r="30" spans="1:9" ht="24" customHeight="1" x14ac:dyDescent="0.2">
      <c r="A30" s="143" t="s">
        <v>2799</v>
      </c>
      <c r="B30" s="143" t="s">
        <v>2800</v>
      </c>
      <c r="C30" s="149">
        <v>4.02E-2</v>
      </c>
      <c r="D30" s="149">
        <v>281.10000000000002</v>
      </c>
      <c r="E30" s="149">
        <f t="shared" si="1"/>
        <v>0.143009605123</v>
      </c>
      <c r="F30" s="149">
        <f t="shared" si="2"/>
        <v>0.05</v>
      </c>
      <c r="G30" s="149">
        <f t="shared" si="3"/>
        <v>0.007150480256</v>
      </c>
      <c r="H30" s="149">
        <v>7.1999999999999998E-3</v>
      </c>
      <c r="I30" s="144">
        <v>0.14299999999999999</v>
      </c>
    </row>
    <row r="31" spans="1:9" ht="24" customHeight="1" x14ac:dyDescent="0.2">
      <c r="A31" s="143" t="s">
        <v>2786</v>
      </c>
      <c r="B31" s="143" t="s">
        <v>2787</v>
      </c>
      <c r="C31" s="149"/>
      <c r="D31" s="149">
        <v>98.078999999999994</v>
      </c>
      <c r="E31" s="149">
        <v>200</v>
      </c>
      <c r="F31" s="149">
        <f t="shared" si="2"/>
        <v>0.05</v>
      </c>
      <c r="G31" s="149">
        <f t="shared" si="3"/>
        <v>10.0</v>
      </c>
      <c r="H31" s="149">
        <v>10</v>
      </c>
      <c r="I31" s="144">
        <v>200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49">
        <v>100</v>
      </c>
      <c r="D34" s="149">
        <v>218.14</v>
      </c>
      <c r="E34" s="149">
        <f>C34/D34*1000</f>
        <v>458.421197396168</v>
      </c>
      <c r="F34" s="149">
        <f>B17</f>
        <v>50.0</v>
      </c>
      <c r="G34" s="149">
        <f>E34*F34/1000</f>
        <v>22.921059869808</v>
      </c>
      <c r="H34" s="149">
        <v>23</v>
      </c>
      <c r="I34" s="144">
        <v>460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c r="A54" s="143" t="s">
        <v>2824</v>
      </c>
      <c r="B54" s="143" t="s">
        <v>2825</v>
      </c>
      <c r="C54" s="143" t="s">
        <v>429</v>
      </c>
      <c r="D54" s="152">
        <f>SUM(E6:E7)/1000</f>
        <v>0.060006530132</v>
      </c>
      <c r="E54" s="143"/>
      <c r="F54" s="143"/>
      <c r="G54" s="143"/>
      <c r="H54" s="143"/>
      <c r="I54" s="143"/>
    </row>
    <row r="55" spans="1:9" x14ac:dyDescent="0.2">
      <c r="A55" s="143" t="s">
        <v>2826</v>
      </c>
      <c r="B55" s="143" t="s">
        <v>2827</v>
      </c>
      <c r="C55" s="143" t="s">
        <v>429</v>
      </c>
      <c r="D55" s="152">
        <f>(2*E6+E7+E12+2*E8+2*E9+2*E10)/1000-2*(E8+E9+E10+E11)/1000-2*(G22+G31)/1000000</f>
        <v>0.115446909129</v>
      </c>
      <c r="E55" s="143"/>
      <c r="F55" s="143"/>
      <c r="G55" s="143"/>
      <c r="H55" s="143"/>
      <c r="I55" s="143"/>
    </row>
    <row r="56" spans="1:9" x14ac:dyDescent="0.2">
      <c r="A56" s="143" t="s">
        <v>2828</v>
      </c>
      <c r="B56" s="143" t="s">
        <v>2829</v>
      </c>
      <c r="C56" s="143" t="s">
        <v>429</v>
      </c>
      <c r="D56" s="152">
        <f>2*E11/1000</f>
        <v>0.014272741032</v>
      </c>
      <c r="E56" s="143"/>
      <c r="F56" s="143"/>
      <c r="G56" s="143"/>
      <c r="H56" s="143"/>
      <c r="I56" s="143"/>
    </row>
    <row r="57" spans="1:9" x14ac:dyDescent="0.2">
      <c r="A57" s="143" t="s">
        <v>2830</v>
      </c>
      <c r="B57" s="143" t="s">
        <v>2831</v>
      </c>
      <c r="C57" s="143" t="s">
        <v>429</v>
      </c>
      <c r="D57" s="152">
        <f>0</f>
        <v>0.0</v>
      </c>
      <c r="E57" s="143"/>
      <c r="F57" s="143"/>
      <c r="G57" s="143"/>
      <c r="H57" s="143"/>
      <c r="I57" s="143"/>
    </row>
    <row r="58" spans="1:9" x14ac:dyDescent="0.2">
      <c r="A58" s="143" t="s">
        <v>2832</v>
      </c>
      <c r="B58" s="143" t="s">
        <v>2833</v>
      </c>
      <c r="C58" s="143" t="s">
        <v>1359</v>
      </c>
      <c r="D58" s="152">
        <f>((2*E6+E7+E12)/1000*Chemistry!D166+2*E8/1000*Chemistry!D167+2*E11/1000*Chemistry!D168+E10/1000*Chemistry!D169+E9/1000*Chemistry!D170+E6/1000*Chemistry!D172+E7/1000*Chemistry!D171+((SUM(E8:E11)/1000)+(G21+G22+SUM(G26:G31))/1000000)*Chemistry!D173+E12/1000*Chemistry!D174)/10</f>
        <v>1.633203403002</v>
      </c>
      <c r="E58" s="143"/>
      <c r="F58" s="143"/>
      <c r="G58" s="143"/>
      <c r="H58" s="143"/>
      <c r="I58" s="143"/>
    </row>
    <row r="59" spans="1:9" x14ac:dyDescent="0.2">
      <c r="A59" s="143" t="s">
        <v>2834</v>
      </c>
      <c r="B59" s="143" t="s">
        <v>2835</v>
      </c>
      <c r="C59" s="143" t="s">
        <v>429</v>
      </c>
      <c r="D59" s="152">
        <f>3*E6/1000+E7/1000+3*E8/1000+4*(E9+E10)/1000+3*E11/1000+E12/1000+4*(G21+SUM(G26:G30))/1000000+3*G25/1000000+3*(G22+G31)/1000000</f>
        <v>0.200184197377</v>
      </c>
      <c r="E59" s="143"/>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sheetData>
  <mergeCells count="17">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