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A48BDCA3-4265-4F46-8922-F25166A62F09}"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alk_pH_target" localSheetId="3">Chemistry!$D$303</definedName>
    <definedName name="alk_pH_target_c" localSheetId="3">Chemistry!$D$304</definedName>
    <definedName name="alk_resid_t" localSheetId="3">Chemistry!$D$305</definedName>
    <definedName name="alk_needed" localSheetId="3">Chemistry!$D$306</definedName>
    <definedName name="M_NaHCO3" localSheetId="3">Chemistry!$D$307</definedName>
    <definedName name="alk_NaHCO3_gL" localSheetId="3">Chemistry!$D$308</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<sst xmlns="http://schemas.openxmlformats.org/spreadsheetml/2006/main" count="3741" uniqueCount="2691">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</sst>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5" fillId="8" borderId="11"/>
    <xf numFmtId="0" fontId="26" fillId="10" borderId="11"/>
    <xf numFmtId="0" fontId="27" fillId="17" borderId="11"/>
  </cellStyleXfs>
  <cellXfs count="148">
    <xf numFmtId="0" fontId="0" fillId="0" borderId="0" xfId="0" applyBorder="1"/>
    <xf numFmtId="0" fontId="11" fillId="0" borderId="0" xfId="0" applyFont="1" applyBorder="1"/>
    <xf numFmtId="0" fontId="17" fillId="0" borderId="0" xfId="0" applyFont="1" applyBorder="1"/>
    <xf numFmtId="0" fontId="0" fillId="0" borderId="1" xfId="0" applyBorder="1"/>
    <xf numFmtId="0" fontId="8" fillId="0" borderId="1" xfId="0" applyFont="1" applyBorder="1"/>
    <xf numFmtId="0" fontId="9" fillId="12" borderId="1" xfId="0" applyFont="1" applyFill="1" applyBorder="1"/>
    <xf numFmtId="0" fontId="19" fillId="0" borderId="1" xfId="0" applyFont="1" applyBorder="1"/>
    <xf numFmtId="0" fontId="14" fillId="0" borderId="1" xfId="0" applyFont="1" applyBorder="1"/>
    <xf numFmtId="0" fontId="10" fillId="14" borderId="1" xfId="0" applyFont="1" applyFill="1" applyBorder="1"/>
    <xf numFmtId="14" fontId="0" fillId="0" borderId="1" xfId="0" applyNumberFormat="1" applyBorder="1"/>
    <xf numFmtId="0" fontId="10" fillId="13" borderId="1" xfId="0" applyFont="1" applyFill="1" applyBorder="1"/>
    <xf numFmtId="164" fontId="0" fillId="0" borderId="1" xfId="0" applyNumberFormat="1" applyBorder="1"/>
    <xf numFmtId="2" fontId="0" fillId="0" borderId="1" xfId="0" applyNumberFormat="1" applyBorder="1"/>
    <xf numFmtId="0" fontId="20" fillId="0" borderId="1" xfId="0" applyFont="1" applyBorder="1"/>
    <xf numFmtId="0" fontId="21" fillId="0" borderId="1" xfId="0" applyFont="1" applyBorder="1"/>
    <xf numFmtId="0" fontId="0" fillId="0" borderId="2" xfId="0" applyBorder="1"/>
    <xf numFmtId="0" fontId="9"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8" fillId="0" borderId="3" xfId="0" applyFont="1" applyBorder="1"/>
    <xf numFmtId="0" fontId="23" fillId="0" borderId="4" xfId="0" applyFont="1" applyBorder="1"/>
    <xf numFmtId="0" fontId="15" fillId="0" borderId="3" xfId="0" applyFont="1" applyBorder="1"/>
    <xf numFmtId="0" fontId="12" fillId="0" borderId="3" xfId="0" applyFont="1" applyBorder="1"/>
    <xf numFmtId="0" fontId="0" fillId="7" borderId="3" xfId="0" applyFill="1" applyBorder="1"/>
    <xf numFmtId="0" fontId="0" fillId="11" borderId="3" xfId="0" applyFill="1" applyBorder="1"/>
    <xf numFmtId="0" fontId="12" fillId="15" borderId="3" xfId="0" applyFont="1" applyFill="1" applyBorder="1"/>
    <xf numFmtId="0" fontId="12" fillId="10" borderId="3" xfId="0" applyFont="1" applyFill="1" applyBorder="1"/>
    <xf numFmtId="0" fontId="13" fillId="0" borderId="3" xfId="0" applyFont="1" applyBorder="1"/>
    <xf numFmtId="0" fontId="16" fillId="0" borderId="3" xfId="0" applyFont="1" applyBorder="1"/>
    <xf numFmtId="0" fontId="9" fillId="16" borderId="3" xfId="0" applyFont="1" applyFill="1" applyBorder="1"/>
    <xf numFmtId="0" fontId="22" fillId="0" borderId="3" xfId="0" applyFont="1" applyBorder="1"/>
    <xf numFmtId="0" fontId="4" fillId="3" borderId="3" xfId="0" applyFont="1" applyFill="1" applyBorder="1" applyAlignment="1">
      <alignment vertical="top" wrapText="1"/>
    </xf>
    <xf numFmtId="0" fontId="23" fillId="0" borderId="8" xfId="0" applyFont="1" applyBorder="1"/>
    <xf numFmtId="0" fontId="5" fillId="5" borderId="3" xfId="0" applyFont="1" applyFill="1" applyBorder="1" applyAlignment="1">
      <alignment vertical="top" wrapText="1"/>
    </xf>
    <xf numFmtId="0" fontId="4" fillId="5" borderId="3" xfId="0" applyFont="1" applyFill="1" applyBorder="1" applyAlignment="1">
      <alignment vertical="top" wrapText="1"/>
    </xf>
    <xf numFmtId="2" fontId="24" fillId="0" borderId="3" xfId="0" applyNumberFormat="1" applyFont="1" applyBorder="1"/>
    <xf numFmtId="165" fontId="24" fillId="0" borderId="3" xfId="0" applyNumberFormat="1" applyFont="1" applyBorder="1"/>
    <xf numFmtId="166" fontId="24" fillId="0" borderId="3" xfId="0" applyNumberFormat="1" applyFont="1" applyBorder="1"/>
    <xf numFmtId="167" fontId="24" fillId="0" borderId="3" xfId="0" applyNumberFormat="1" applyFont="1" applyBorder="1"/>
    <xf numFmtId="168" fontId="24"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0" fontId="5" fillId="6" borderId="3" xfId="0" applyFont="1" applyFill="1" applyBorder="1" applyAlignment="1">
      <alignment vertical="top" wrapText="1"/>
    </xf>
    <xf numFmtId="0" fontId="24"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3" fillId="0" borderId="8" xfId="0" applyNumberFormat="1" applyFont="1" applyBorder="1"/>
    <xf numFmtId="170" fontId="24"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5"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4" fillId="0" borderId="3" xfId="0" applyNumberFormat="1" applyFont="1" applyBorder="1"/>
    <xf numFmtId="0" fontId="0" fillId="9" borderId="3" xfId="0" applyFill="1" applyBorder="1"/>
    <xf numFmtId="0" fontId="28" fillId="8" borderId="3" xfId="1" applyFont="1" applyBorder="1"/>
    <xf numFmtId="0" fontId="28" fillId="17" borderId="3" xfId="3" applyFont="1" applyBorder="1"/>
    <xf numFmtId="0" fontId="0" fillId="18" borderId="3" xfId="0" applyFill="1" applyBorder="1"/>
    <xf numFmtId="0" fontId="29" fillId="0" borderId="3" xfId="0" applyFont="1" applyBorder="1"/>
    <xf numFmtId="0" fontId="30" fillId="0" borderId="3" xfId="0" applyFont="1" applyBorder="1"/>
    <xf numFmtId="0" fontId="30" fillId="0" borderId="10" xfId="0" applyFont="1" applyBorder="1"/>
    <xf numFmtId="0" fontId="30" fillId="0" borderId="11" xfId="0" applyFont="1"/>
    <xf numFmtId="0" fontId="31" fillId="0" borderId="3" xfId="0" applyFont="1" applyBorder="1"/>
    <xf numFmtId="0" fontId="31" fillId="0" borderId="11" xfId="0" applyFont="1"/>
    <xf numFmtId="0" fontId="30" fillId="0" borderId="12" xfId="0" applyFont="1" applyBorder="1"/>
    <xf numFmtId="0" fontId="30" fillId="0" borderId="13" xfId="0" applyFont="1" applyBorder="1"/>
    <xf numFmtId="0" fontId="30" fillId="0" borderId="14" xfId="0" applyFont="1" applyBorder="1"/>
    <xf numFmtId="0" fontId="0" fillId="0" borderId="11" xfId="0"/>
    <xf numFmtId="0" fontId="31" fillId="9" borderId="3" xfId="0" applyFont="1" applyFill="1" applyBorder="1"/>
    <xf numFmtId="0" fontId="4" fillId="18" borderId="3" xfId="0" applyFont="1" applyFill="1" applyBorder="1" applyAlignment="1">
      <alignment vertical="top" wrapText="1"/>
    </xf>
    <xf numFmtId="0" fontId="5" fillId="18" borderId="3" xfId="0" applyFont="1" applyFill="1" applyBorder="1" applyAlignment="1">
      <alignment vertical="top" wrapText="1"/>
    </xf>
    <xf numFmtId="0" fontId="33" fillId="0" borderId="3" xfId="0" applyFont="1" applyBorder="1"/>
    <xf numFmtId="0" fontId="32" fillId="0" borderId="3" xfId="0" applyFont="1" applyBorder="1"/>
    <xf numFmtId="0" fontId="34" fillId="0" borderId="3" xfId="0" applyFont="1" applyBorder="1"/>
    <xf numFmtId="0" fontId="35" fillId="0" borderId="3" xfId="0" applyFont="1" applyBorder="1"/>
    <xf numFmtId="0" fontId="36" fillId="0" borderId="3" xfId="0" applyFont="1" applyBorder="1"/>
    <xf numFmtId="165" fontId="36" fillId="0" borderId="3" xfId="0" applyNumberFormat="1" applyFont="1" applyBorder="1"/>
    <xf numFmtId="0" fontId="33" fillId="3" borderId="3" xfId="0" applyFont="1" applyFill="1" applyBorder="1" applyAlignment="1">
      <alignment vertical="top" wrapText="1"/>
    </xf>
    <xf numFmtId="0" fontId="33" fillId="2" borderId="3" xfId="0" applyFont="1" applyFill="1" applyBorder="1" applyAlignment="1">
      <alignment vertical="top" wrapText="1"/>
    </xf>
    <xf numFmtId="0" fontId="33" fillId="7" borderId="3" xfId="0" applyFont="1" applyFill="1" applyBorder="1" applyAlignment="1">
      <alignment vertical="top" wrapText="1"/>
    </xf>
    <xf numFmtId="0" fontId="33" fillId="5" borderId="3" xfId="0" applyFont="1" applyFill="1" applyBorder="1" applyAlignment="1">
      <alignment vertical="top" wrapText="1"/>
    </xf>
    <xf numFmtId="0" fontId="33" fillId="6" borderId="3" xfId="0" applyFont="1" applyFill="1" applyBorder="1" applyAlignment="1">
      <alignment vertical="top" wrapText="1"/>
    </xf>
    <xf numFmtId="0" fontId="37" fillId="0" borderId="3" xfId="0" applyFont="1" applyBorder="1"/>
    <xf numFmtId="0" fontId="33" fillId="9" borderId="3" xfId="0" applyFont="1" applyFill="1" applyBorder="1" applyAlignment="1">
      <alignment vertical="top" wrapText="1"/>
    </xf>
    <xf numFmtId="0" fontId="33" fillId="18" borderId="3" xfId="0" applyFont="1" applyFill="1" applyBorder="1" applyAlignment="1">
      <alignment vertical="top" wrapText="1"/>
    </xf>
    <xf numFmtId="0" fontId="33" fillId="4" borderId="3" xfId="0" applyFont="1" applyFill="1" applyBorder="1" applyAlignment="1">
      <alignment vertical="top" wrapText="1"/>
    </xf>
    <xf numFmtId="0" fontId="33" fillId="11" borderId="3" xfId="0" applyFont="1" applyFill="1" applyBorder="1" applyAlignment="1">
      <alignment vertical="top" wrapText="1"/>
    </xf>
    <xf numFmtId="170" fontId="24" fillId="0" borderId="11" xfId="0" applyNumberFormat="1" applyFont="1"/>
    <xf numFmtId="165" fontId="30" fillId="0" borderId="15" xfId="0" applyNumberFormat="1" applyFont="1" applyBorder="1"/>
    <xf numFmtId="1" fontId="23" fillId="0" borderId="11" xfId="0" applyNumberFormat="1" applyFont="1"/>
    <xf numFmtId="168" fontId="36" fillId="0" borderId="11" xfId="0" applyNumberFormat="1" applyFont="1"/>
    <xf numFmtId="168" fontId="24" fillId="0" borderId="11" xfId="0" applyNumberFormat="1" applyFont="1"/>
    <xf numFmtId="0" fontId="1" fillId="0" borderId="11" xfId="0" applyFont="1"/>
    <xf numFmtId="0" fontId="3" fillId="0" borderId="11" xfId="0" applyFont="1"/>
    <xf numFmtId="0" fontId="8" fillId="0" borderId="11" xfId="0" applyFont="1"/>
    <xf numFmtId="0" fontId="9" fillId="12" borderId="11" xfId="0" applyFont="1" applyFill="1"/>
    <xf numFmtId="168" fontId="24" fillId="19" borderId="11" xfId="0" applyNumberFormat="1" applyFont="1" applyFill="1"/>
    <xf numFmtId="0" fontId="0" fillId="19" borderId="11" xfId="0" applyFill="1"/>
    <xf numFmtId="0" fontId="38" fillId="0" borderId="3" xfId="0" applyFont="1" applyBorder="1"/>
    <xf numFmtId="0" fontId="0" fillId="8" borderId="3" xfId="0" applyFill="1" applyBorder="1"/>
    <xf numFmtId="0" fontId="28" fillId="20" borderId="3" xfId="2" applyFont="1" applyFill="1" applyBorder="1"/>
    <xf numFmtId="0" fontId="12" fillId="0" borderId="8" xfId="0" applyFont="1" applyBorder="1"/>
    <xf numFmtId="0" fontId="15" fillId="8" borderId="3" xfId="0" applyFont="1" applyFill="1" applyBorder="1"/>
    <xf numFmtId="0" fontId="39" fillId="0" borderId="3" xfId="0" applyFont="1" applyBorder="1"/>
    <xf numFmtId="2" fontId="39" fillId="0" borderId="3" xfId="0" applyNumberFormat="1" applyFont="1" applyBorder="1"/>
    <xf numFmtId="165" fontId="39"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0" fillId="0" borderId="3" xfId="0" applyNumberFormat="1" applyFont="1" applyBorder="1"/>
    <xf numFmtId="169" fontId="40" fillId="0" borderId="3" xfId="0" applyNumberFormat="1" applyFont="1" applyBorder="1"/>
    <xf numFmtId="0" fontId="40" fillId="0" borderId="3" xfId="0" applyFont="1" applyBorder="1"/>
    <xf numFmtId="0" fontId="33" fillId="8" borderId="3" xfId="0" applyFont="1" applyFill="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0" fillId="0" borderId="3" xfId="0" applyNumberFormat="1" applyFont="1" applyBorder="1"/>
    <xf numFmtId="168" fontId="12" fillId="0" borderId="5" xfId="0" applyNumberFormat="1" applyFont="1" applyBorder="1"/>
    <xf numFmtId="165" fontId="40" fillId="0" borderId="3" xfId="0" applyNumberFormat="1" applyFont="1" applyBorder="1"/>
    <xf numFmtId="2" fontId="40" fillId="0" borderId="3" xfId="0" applyNumberFormat="1" applyFont="1" applyBorder="1"/>
    <xf numFmtId="166" fontId="40"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numFmtId="0" fontId="41" fillId="0" borderId="3" xfId="0" applyFont="1" applyBorder="1"/>
    <xf numFmtId="0" fontId="12" fillId="0" borderId="9" xfId="0" applyFont="1" applyBorder="1"/>
    <xf numFmtId="0" fontId="42" fillId="0" borderId="11" xfId="0" applyFont="1"/>
    <xf numFmtId="0" fontId="43" fillId="0" borderId="11" xfId="0" applyFont="1"/>
    <xf numFmtId="0" fontId="0" fillId="8" borderId="11" xfId="0" applyFill="1"/>
    <xf numFmtId="0" fontId="44" fillId="0" borderId="3" xfId="0" applyFont="1" applyBorder="1"/>
    <xf numFmtId="0" fontId="45" fillId="0" borderId="3" xfId="0" applyFont="1" applyBorder="1"/>
    <xf numFmtId="0" fontId="46" fillId="5" borderId="3" xfId="0" applyFont="1" applyFill="1" applyBorder="1" applyAlignment="1">
      <alignment vertical="top" wrapText="1"/>
    </xf>
    <xf numFmtId="0" fontId="46" fillId="2" borderId="3" xfId="0" applyFont="1" applyFill="1" applyBorder="1" applyAlignment="1">
      <alignment vertical="top" wrapText="1"/>
    </xf>
    <xf numFmtId="0" fontId="46" fillId="18" borderId="3" xfId="0" applyFont="1" applyFill="1" applyBorder="1" applyAlignment="1">
      <alignment vertical="top" wrapText="1"/>
    </xf>
    <xf numFmtId="0" fontId="45" fillId="8" borderId="3" xfId="0" applyFont="1" applyFill="1" applyBorder="1"/>
    <xf numFmtId="0" fontId="46" fillId="6" borderId="3" xfId="0" applyFont="1" applyFill="1" applyBorder="1" applyAlignment="1">
      <alignment vertical="top" wrapText="1"/>
    </xf>
    <xf numFmtId="0" fontId="46" fillId="3" borderId="3" xfId="0" applyFont="1" applyFill="1" applyBorder="1" applyAlignment="1">
      <alignment vertical="top" wrapText="1"/>
    </xf>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43"/>
  <sheetViews>
    <sheetView tabSelected="1" topLeftCell="A41" zoomScale="116" workbookViewId="0">
      <selection activeCell="D8" sqref="D8"/>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20</v>
      </c>
      <c r="B1" s="16" t="s">
        <v>21</v>
      </c>
      <c r="C1" s="16" t="s">
        <v>22</v>
      </c>
      <c r="D1" s="16" t="s">
        <v>23</v>
      </c>
      <c r="E1" s="16" t="s">
        <v>24</v>
      </c>
      <c r="F1" s="16" t="s">
        <v>25</v>
      </c>
    </row>
    <row r="2" spans="1:7" ht="16" customHeight="1" thickBot="1" x14ac:dyDescent="0.25">
      <c r="A2" s="17" t="s">
        <v>1</v>
      </c>
      <c r="B2" s="18" t="s">
        <v>26</v>
      </c>
      <c r="C2" s="19"/>
      <c r="D2" s="135" t="s">
        <v>14</v>
      </c>
      <c r="E2" s="20" t="s">
        <v>27</v>
      </c>
      <c r="F2" s="21" t="s">
        <v>28</v>
      </c>
    </row>
    <row r="3" spans="1:7" ht="16" customHeight="1" thickBot="1" x14ac:dyDescent="0.25">
      <c r="A3" s="17" t="s">
        <v>29</v>
      </c>
      <c r="B3" s="18" t="s">
        <v>30</v>
      </c>
      <c r="C3" s="19"/>
      <c r="D3" s="135" t="s">
        <v>31</v>
      </c>
      <c r="E3" s="20" t="s">
        <v>27</v>
      </c>
      <c r="F3" s="21" t="s">
        <v>1708</v>
      </c>
    </row>
    <row r="4" spans="1:7" x14ac:dyDescent="0.2">
      <c r="A4" s="17" t="s">
        <v>32</v>
      </c>
      <c r="B4" s="18" t="s">
        <v>33</v>
      </c>
      <c r="C4" s="19"/>
      <c r="D4" s="135" t="s">
        <v>474</v>
      </c>
      <c r="E4" s="20" t="s">
        <v>27</v>
      </c>
      <c r="F4" s="21" t="s">
        <v>35</v>
      </c>
    </row>
    <row r="5" spans="1:7" x14ac:dyDescent="0.2">
      <c r="A5" s="20" t="s">
        <v>36</v>
      </c>
      <c r="B5" s="18" t="s">
        <v>37</v>
      </c>
      <c r="C5" s="20"/>
      <c r="D5" s="135" t="s">
        <v>891</v>
      </c>
      <c r="E5" s="20" t="s">
        <v>27</v>
      </c>
      <c r="F5" s="21" t="s">
        <v>38</v>
      </c>
    </row>
    <row r="6" spans="1:7" x14ac:dyDescent="0.2">
      <c r="A6" s="20" t="s">
        <v>1142</v>
      </c>
      <c r="B6" s="18" t="s">
        <v>39</v>
      </c>
      <c r="C6" s="20" t="s">
        <v>40</v>
      </c>
      <c r="D6" s="135">
        <v>3</v>
      </c>
      <c r="E6" s="20" t="s">
        <v>41</v>
      </c>
      <c r="F6" s="21" t="s">
        <v>1143</v>
      </c>
    </row>
    <row r="7" spans="1:7" x14ac:dyDescent="0.2">
      <c r="A7" s="20" t="s">
        <v>42</v>
      </c>
      <c r="B7" s="18" t="s">
        <v>43</v>
      </c>
      <c r="C7" s="20" t="s">
        <v>44</v>
      </c>
      <c r="D7" s="135">
        <v>1000</v>
      </c>
      <c r="E7" s="20" t="s">
        <v>41</v>
      </c>
      <c r="F7" s="21" t="s">
        <v>45</v>
      </c>
    </row>
    <row r="8" spans="1:7" x14ac:dyDescent="0.2">
      <c r="A8" s="20" t="s">
        <v>46</v>
      </c>
      <c r="B8" s="18" t="s">
        <v>47</v>
      </c>
      <c r="C8" s="20" t="s">
        <v>48</v>
      </c>
      <c r="D8" s="135">
        <v>25</v>
      </c>
      <c r="E8" s="20" t="s">
        <v>41</v>
      </c>
      <c r="F8" s="21" t="s">
        <v>49</v>
      </c>
    </row>
    <row r="9" spans="1:7" x14ac:dyDescent="0.2">
      <c r="A9" s="20" t="s">
        <v>50</v>
      </c>
      <c r="B9" s="18" t="s">
        <v>51</v>
      </c>
      <c r="C9" s="20" t="s">
        <v>52</v>
      </c>
      <c r="D9" s="140"/>
      <c r="E9" s="20" t="s">
        <v>53</v>
      </c>
      <c r="F9" s="21" t="s">
        <v>54</v>
      </c>
    </row>
    <row r="10" spans="1:7" ht="16" customHeight="1" x14ac:dyDescent="0.2">
      <c r="A10" s="20" t="s">
        <v>55</v>
      </c>
      <c r="B10" s="18" t="s">
        <v>56</v>
      </c>
      <c r="C10" s="20" t="s">
        <v>57</v>
      </c>
      <c r="D10" s="140"/>
      <c r="E10" s="20" t="s">
        <v>53</v>
      </c>
      <c r="F10" s="79" t="s">
        <v>58</v>
      </c>
    </row>
    <row r="11" spans="1:7" x14ac:dyDescent="0.2">
      <c r="A11" s="20"/>
      <c r="B11" s="20"/>
      <c r="C11" s="20"/>
      <c r="D11" s="80"/>
      <c r="E11" s="20"/>
      <c r="F11" s="21"/>
    </row>
    <row r="12" spans="1:7" ht="16" customHeight="1" thickBot="1" x14ac:dyDescent="0.25">
      <c r="A12" s="16" t="s">
        <v>59</v>
      </c>
      <c r="B12" s="16" t="s">
        <v>21</v>
      </c>
      <c r="C12" s="16" t="s">
        <v>22</v>
      </c>
      <c r="D12" s="16" t="s">
        <v>23</v>
      </c>
      <c r="E12" s="16" t="s">
        <v>24</v>
      </c>
      <c r="F12" s="16" t="s">
        <v>25</v>
      </c>
      <c r="G12" s="16" t="s">
        <v>1034</v>
      </c>
    </row>
    <row r="13" spans="1:7" ht="16" customHeight="1" thickBot="1" x14ac:dyDescent="0.25">
      <c r="A13" s="24" t="s">
        <v>961</v>
      </c>
      <c r="B13" s="18" t="s">
        <v>1709</v>
      </c>
      <c r="C13" s="20" t="s">
        <v>12</v>
      </c>
      <c r="D13" s="68">
        <f>IF('Mass Transfer'!$D$119=0,"calibrate this reactor first (CO₂ flow section of the Calibrations tab, or a CO2 flows row)",'Mass Transfer'!$D$90)</f>
        <v>0.674076519917</v>
      </c>
      <c r="E13" s="23" t="str">
        <f>HYPERLINK("#'Mass Transfer'!D90","→ Mass")</f>
        <v>→ Mass</v>
      </c>
      <c r="F13" s="21" t="s">
        <v>60</v>
      </c>
      <c r="G13" s="141"/>
    </row>
    <row r="14" spans="1:7" s="3" customFormat="1" ht="16" customHeight="1" thickBot="1" x14ac:dyDescent="0.25">
      <c r="A14" s="24" t="s">
        <v>1710</v>
      </c>
      <c r="B14" s="18" t="s">
        <v>1711</v>
      </c>
      <c r="C14" s="20" t="s">
        <v>12</v>
      </c>
      <c r="D14" s="69">
        <f>IF(AND(ISNUMBER($G$13),$G$13&gt;0),$G$13,IF(NOT(ISNUMBER(D13)),D13,'Mass Transfer'!$D$242))</f>
        <v>0.65</v>
      </c>
      <c r="E14" s="20"/>
      <c r="F14" s="21" t="s">
        <v>1712</v>
      </c>
    </row>
    <row r="15" spans="1:7" ht="16" customHeight="1" thickBot="1" x14ac:dyDescent="0.25">
      <c r="A15" s="67" t="str">
        <f>"CO₂ sparge interval ("&amp;vent_model_sel&amp;", sized on "&amp;O2_phase_sel&amp;")"</f>
        <v>CO₂ sparge interval (Open vent, sized on Growth)</v>
      </c>
      <c r="B15" s="18" t="s">
        <v>1713</v>
      </c>
      <c r="C15" s="20" t="s">
        <v>61</v>
      </c>
      <c r="D15" s="68">
        <f>IF('Mass Transfer'!$D$119=0,"calibrate this reactor first (CO₂ flow section of the Calibrations tab, or a CO2 flows row)",'Mass Transfer'!$D$91)</f>
        <v>8.905771730686</v>
      </c>
      <c r="E15" s="23" t="str">
        <f>HYPERLINK("#'Mass Transfer'!D91","→ Mass")</f>
        <v>→ Mass</v>
      </c>
      <c r="F15" s="21" t="s">
        <v>1714</v>
      </c>
      <c r="G15" s="141"/>
    </row>
    <row r="16" spans="1:7" x14ac:dyDescent="0.2">
      <c r="A16" s="24" t="s">
        <v>1715</v>
      </c>
      <c r="B16" s="18" t="s">
        <v>1716</v>
      </c>
      <c r="C16" s="20" t="s">
        <v>61</v>
      </c>
      <c r="D16" s="69">
        <f>IF(AND(ISNUMBER($G$15),$G$15&gt;0),$G$15,IF(NOT(ISNUMBER(D15)),D15,ROUND(('Mass Transfer'!$D$408+'Mass Transfer'!$D$407*D14)/('Mass Transfer'!$D$102/60)/(60*'Mass Transfer'!$D$93),0)))</f>
        <v>9.0</v>
      </c>
      <c r="E16" s="70"/>
      <c r="F16" s="21" t="str">
        <f>"Interval to type in: the as-run pulse converted to delivered CO₂ (V₀ + Q·t, Mass Transfer D407–D408) at the optimised full-flow-equivalent duty (D93), rounded to whole minutes; "&amp;IF(ISNUMBER(D95),"rounding moves the CO₂ dose by "&amp;TEXT(D95-1,"+0.0%;-0.0%")&amp;" (row 95)","row 95 shows how far rounding moves the CO₂ dose")&amp;". An override in G15 wins."</f>
        <v>Interval to type in: the as-run pulse converted to delivered CO₂ (V₀ + Q·t, Mass Transfer D407–D408) at the optimised full-flow-equivalent duty (D93), rounded to whole minutes; rounding moves the CO₂ dose by -4.1% (row 95). An override in G15 wins.</v>
      </c>
    </row>
    <row r="17" spans="1:6" s="3" customFormat="1" x14ac:dyDescent="0.2">
      <c r="A17" s="67"/>
      <c r="B17" s="20"/>
      <c r="C17" s="20"/>
      <c r="D17" s="71"/>
      <c r="E17" s="70"/>
      <c r="F17" s="21"/>
    </row>
    <row r="18" spans="1:6" x14ac:dyDescent="0.2">
      <c r="A18" s="16" t="s">
        <v>62</v>
      </c>
      <c r="B18" s="16"/>
      <c r="C18" s="16"/>
      <c r="D18" s="16" t="s">
        <v>23</v>
      </c>
      <c r="E18" s="16" t="s">
        <v>24</v>
      </c>
      <c r="F18" s="16" t="s">
        <v>25</v>
      </c>
    </row>
    <row r="19" spans="1:6" x14ac:dyDescent="0.2">
      <c r="A19" s="67" t="s">
        <v>63</v>
      </c>
      <c r="B19" s="18" t="s">
        <v>1717</v>
      </c>
      <c r="C19" s="20"/>
      <c r="D19" s="72" t="str">
        <f>Geometry!$D$90</f>
        <v>VIAL GEOMETRY INCONSISTENT - measure true fill volume &amp; bore depth</v>
      </c>
      <c r="E19" s="23" t="str">
        <f>HYPERLINK("#Geometry!D90","→ Geometry")</f>
        <v>→ Geometry</v>
      </c>
      <c r="F19" s="21" t="s">
        <v>1718</v>
      </c>
    </row>
    <row r="20" spans="1:6" x14ac:dyDescent="0.2">
      <c r="A20" s="67" t="s">
        <v>64</v>
      </c>
      <c r="B20" s="18" t="s">
        <v>1719</v>
      </c>
      <c r="C20" s="20"/>
      <c r="D20" s="68" t="str">
        <f>'Mass Transfer'!$D$120</f>
        <v>calibrated: ed04 (flow from CO2 flows)</v>
      </c>
      <c r="E20" s="23" t="str">
        <f>HYPERLINK("#'Mass Transfer'!D120","→ Mass")</f>
        <v>→ Mass</v>
      </c>
      <c r="F20" s="21" t="s">
        <v>1720</v>
      </c>
    </row>
    <row r="21" spans="1:6" x14ac:dyDescent="0.2">
      <c r="A21" s="67" t="s">
        <v>1721</v>
      </c>
      <c r="B21" s="18" t="s">
        <v>1722</v>
      </c>
      <c r="C21" s="20"/>
      <c r="D21" s="68" t="str">
        <f>'Mass Transfer'!$D$374</f>
        <v>organism band unknown – peak 2.8 mg/L is under the inhibition ceiling</v>
      </c>
      <c r="E21" s="23" t="str">
        <f>HYPERLINK("#'Mass Transfer'!D374","→ Mass Transfer")</f>
        <v>→ Mass Transfer</v>
      </c>
      <c r="F21" s="21" t="s">
        <v>1723</v>
      </c>
    </row>
    <row r="22" spans="1:6" x14ac:dyDescent="0.2">
      <c r="A22" s="67" t="s">
        <v>65</v>
      </c>
      <c r="B22" s="18" t="s">
        <v>1724</v>
      </c>
      <c r="C22" s="20"/>
      <c r="D22" s="68" t="str">
        <f>'Mass Transfer'!$D$110</f>
        <v>minimum DO unknown - measure</v>
      </c>
      <c r="E22" s="23" t="str">
        <f>HYPERLINK("#'Mass Transfer'!D110","→ Mass")</f>
        <v>→ Mass</v>
      </c>
      <c r="F22" s="21" t="s">
        <v>66</v>
      </c>
    </row>
    <row r="23" spans="1:6" x14ac:dyDescent="0.2">
      <c r="A23" s="67" t="s">
        <v>1725</v>
      </c>
      <c r="B23" s="18" t="s">
        <v>1726</v>
      </c>
      <c r="C23" s="20"/>
      <c r="D23" s="68" t="str">
        <f>'Mass Transfer'!$D$113</f>
        <v>Do NOT relax: at the carbon-limited interval (189 min) the cycle-mean DO would be ≈15 mg/L, above the 11.3 mg/L inhibition ceiling (peaks higher)</v>
      </c>
      <c r="E23" s="23" t="str">
        <f>HYPERLINK("#'Mass Transfer'!D113","→ Mass")</f>
        <v>→ Mass</v>
      </c>
      <c r="F23" s="21" t="s">
        <v>1727</v>
      </c>
    </row>
    <row r="24" spans="1:6" x14ac:dyDescent="0.2">
      <c r="A24" s="67" t="s">
        <v>1728</v>
      </c>
      <c r="B24" s="18" t="s">
        <v>1729</v>
      </c>
      <c r="C24" s="20"/>
      <c r="D24" s="73" t="str">
        <f>Biology!$D$44</f>
        <v>FLAMMABLE HEADSPACE (lag): H₂ 11% mean, 17% before each pulse; O₂ 6% mean, 9% before each pulse – until uptake starts, sparge every ≤2.5 min or sweep ≥0.9 mL/min N₂; vent to a hood; no ignition sources</v>
      </c>
      <c r="E24" s="23" t="str">
        <f>HYPERLINK("#Biology!D44","→ Biology")</f>
        <v>→ Biology</v>
      </c>
      <c r="F24" s="21" t="s">
        <v>1730</v>
      </c>
    </row>
    <row r="25" spans="1:6" x14ac:dyDescent="0.2">
      <c r="A25" s="67" t="s">
        <v>67</v>
      </c>
      <c r="B25" s="18" t="s">
        <v>1731</v>
      </c>
      <c r="C25" s="20"/>
      <c r="D25" s="68" t="str">
        <f>'Mass Transfer'!$D$64</f>
        <v>Dynamic</v>
      </c>
      <c r="E25" s="23" t="str">
        <f>HYPERLINK("#'Mass Transfer'!D64","→ Mass")</f>
        <v>→ Mass</v>
      </c>
      <c r="F25" s="21" t="s">
        <v>68</v>
      </c>
    </row>
    <row r="26" spans="1:6" x14ac:dyDescent="0.2">
      <c r="A26" s="67" t="s">
        <v>69</v>
      </c>
      <c r="B26" s="18" t="s">
        <v>1732</v>
      </c>
      <c r="C26" s="20"/>
      <c r="D26" s="68" t="str">
        <f>IFERROR("×"&amp;TEXT('Mass Transfer'!$D$126,"0.0")&amp;IF('Mass Transfer'!$D$126&gt;=1," OK"," SHORTFALL (CO2 &lt; demand)")&amp;" delivered; ×"&amp;TEXT('Mass Transfer'!$D$417,"0.0")&amp;" absorbed per pulse (row 135)","calibrate this reactor first")</f>
        <v>×42.4 OK delivered; ×2.4 absorbed per pulse (row 135)</v>
      </c>
      <c r="E26" s="23" t="str">
        <f>HYPERLINK("#'Mass Transfer'!D126","→ Mass")</f>
        <v>→ Mass</v>
      </c>
      <c r="F26" s="21" t="s">
        <v>1733</v>
      </c>
    </row>
    <row r="27" spans="1:6" x14ac:dyDescent="0.2">
      <c r="A27" s="67" t="s">
        <v>70</v>
      </c>
      <c r="B27" s="18" t="s">
        <v>1734</v>
      </c>
      <c r="C27" s="20"/>
      <c r="D27" s="68" t="str">
        <f>IFERROR('Mass Transfer'!$D$130,"calibrate this reactor first (CO₂ flow section of the Calibrations tab, or a CO2 flows row)")</f>
        <v>OK</v>
      </c>
      <c r="E27" s="23" t="str">
        <f>HYPERLINK("#'Mass Transfer'!D130","→ Mass")</f>
        <v>→ Mass</v>
      </c>
      <c r="F27" s="21" t="s">
        <v>1735</v>
      </c>
    </row>
    <row r="28" spans="1:6" x14ac:dyDescent="0.2">
      <c r="A28" s="67" t="s">
        <v>71</v>
      </c>
      <c r="B28" s="18" t="s">
        <v>1736</v>
      </c>
      <c r="C28" s="20"/>
      <c r="D28" s="68" t="str">
        <f>IFERROR('Mass Transfer'!$D$95,"calibrate this reactor first (CO₂ flow section of the Calibrations tab, or a CO2 flows row)")</f>
        <v>OK</v>
      </c>
      <c r="E28" s="23" t="str">
        <f>HYPERLINK("#'Mass Transfer'!D95","→ Mass")</f>
        <v>→ Mass</v>
      </c>
      <c r="F28" s="21" t="s">
        <v>72</v>
      </c>
    </row>
    <row r="29" spans="1:6" x14ac:dyDescent="0.2">
      <c r="A29" s="67" t="s">
        <v>73</v>
      </c>
      <c r="B29" s="18" t="s">
        <v>1737</v>
      </c>
      <c r="C29" s="20"/>
      <c r="D29" s="68" t="str">
        <f>'Mass Transfer'!$D$59</f>
        <v>not measured – record the max flow without carryover for ed04 in CO2 flows column M</v>
      </c>
      <c r="E29" s="23" t="str">
        <f>HYPERLINK("#'Mass Transfer'!D59","→ Mass")</f>
        <v>→ Mass</v>
      </c>
      <c r="F29" s="21" t="s">
        <v>1738</v>
      </c>
    </row>
    <row r="30" spans="1:6" x14ac:dyDescent="0.2">
      <c r="A30" s="67" t="s">
        <v>74</v>
      </c>
      <c r="B30" s="18" t="s">
        <v>1739</v>
      </c>
      <c r="C30" s="20"/>
      <c r="D30" s="68" t="str">
        <f>'Mass Transfer'!$D$111</f>
        <v>OK</v>
      </c>
      <c r="E30" s="23" t="str">
        <f>HYPERLINK("#'Mass Transfer'!D111","→ Mass")</f>
        <v>→ Mass</v>
      </c>
      <c r="F30" s="21" t="s">
        <v>75</v>
      </c>
    </row>
    <row r="31" spans="1:6" x14ac:dyDescent="0.2">
      <c r="A31" s="67" t="s">
        <v>76</v>
      </c>
      <c r="B31" s="18" t="s">
        <v>1740</v>
      </c>
      <c r="C31" s="20"/>
      <c r="D31" s="72" t="str">
        <f>Geometry!$D$54</f>
        <v>OK</v>
      </c>
      <c r="E31" s="23" t="str">
        <f>HYPERLINK("#Geometry!D54","→ Geometry")</f>
        <v>→ Geometry</v>
      </c>
      <c r="F31" s="21" t="s">
        <v>77</v>
      </c>
    </row>
    <row r="32" spans="1:6" x14ac:dyDescent="0.2">
      <c r="A32" s="67" t="s">
        <v>78</v>
      </c>
      <c r="B32" s="18" t="s">
        <v>1741</v>
      </c>
      <c r="C32" s="20"/>
      <c r="D32" s="72" t="str">
        <f>Geometry!$D$55</f>
        <v>OK</v>
      </c>
      <c r="E32" s="23" t="str">
        <f>HYPERLINK("#Geometry!D55","→ Geometry")</f>
        <v>→ Geometry</v>
      </c>
      <c r="F32" s="21" t="s">
        <v>79</v>
      </c>
    </row>
    <row r="33" spans="1:6" ht="16" thickBot="1" x14ac:dyDescent="0.25">
      <c r="A33" s="67" t="s">
        <v>80</v>
      </c>
      <c r="B33" s="18" t="s">
        <v>1742</v>
      </c>
      <c r="C33" s="20"/>
      <c r="D33" s="74" t="str">
        <f>Electrochemistry!$D$20</f>
        <v>OK</v>
      </c>
      <c r="E33" s="23" t="str">
        <f>HYPERLINK("#Electrochemistry!D20","→ Electrochemistry")</f>
        <v>→ Electrochemistry</v>
      </c>
      <c r="F33" s="21" t="s">
        <v>81</v>
      </c>
    </row>
    <row r="34" spans="1:6" ht="16" thickBot="1" x14ac:dyDescent="0.25">
      <c r="A34" s="67" t="s">
        <v>897</v>
      </c>
      <c r="B34" s="18" t="s">
        <v>1743</v>
      </c>
      <c r="C34" s="20"/>
      <c r="D34" s="72"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898</v>
      </c>
    </row>
    <row r="35" spans="1:6" ht="16" thickBot="1" x14ac:dyDescent="0.25">
      <c r="A35" s="67" t="s">
        <v>1744</v>
      </c>
      <c r="B35" s="18" t="s">
        <v>1745</v>
      </c>
      <c r="C35" s="20"/>
      <c r="D35" s="96">
        <f>Chemistry!$D$220</f>
        <v>6.199646785125</v>
      </c>
      <c r="E35" s="23" t="str">
        <f>HYPERLINK("#Chemistry!D220","→ Chemistry")</f>
        <v>→ Chemistry</v>
      </c>
      <c r="F35" s="21" t="s">
        <v>1746</v>
      </c>
    </row>
    <row r="36" spans="1:6" ht="16" thickBot="1" x14ac:dyDescent="0.25">
      <c r="A36" s="67" t="s">
        <v>1029</v>
      </c>
      <c r="B36" s="18" t="s">
        <v>1747</v>
      </c>
      <c r="C36" s="20" t="s">
        <v>83</v>
      </c>
      <c r="D36" s="96">
        <f>Chemistry!$D$226</f>
        <v>0.321470707378</v>
      </c>
      <c r="E36" s="23" t="str">
        <f>HYPERLINK("#Chemistry!D226","→ Chemistry")</f>
        <v>→ Chemistry</v>
      </c>
      <c r="F36" s="21" t="s">
        <v>1748</v>
      </c>
    </row>
    <row r="37" spans="1:6" ht="16" thickBot="1" x14ac:dyDescent="0.25">
      <c r="A37" s="81" t="s">
        <v>82</v>
      </c>
      <c r="B37" s="20"/>
      <c r="C37" s="20"/>
      <c r="D37" s="20"/>
      <c r="E37" s="20"/>
      <c r="F37" s="21"/>
    </row>
    <row r="38" spans="1:6" x14ac:dyDescent="0.2">
      <c r="A38" s="67" t="s">
        <v>1749</v>
      </c>
      <c r="B38" s="18" t="s">
        <v>1750</v>
      </c>
      <c r="C38" s="20" t="s">
        <v>83</v>
      </c>
      <c r="D38" s="68">
        <f>'Mass Transfer'!$D$108</f>
        <v>2.54368832103</v>
      </c>
      <c r="E38" s="23" t="str">
        <f>HYPERLINK("#'Mass Transfer'!D108","→ Mass")</f>
        <v>→ Mass</v>
      </c>
      <c r="F38" s="21" t="s">
        <v>1751</v>
      </c>
    </row>
    <row r="39" spans="1:6" x14ac:dyDescent="0.2">
      <c r="A39" s="67" t="s">
        <v>1752</v>
      </c>
      <c r="B39" s="18" t="s">
        <v>1753</v>
      </c>
      <c r="C39" s="20" t="s">
        <v>61</v>
      </c>
      <c r="D39" s="68">
        <f>'Mass Transfer'!$D$112</f>
        <v>188.655905904325</v>
      </c>
      <c r="E39" s="23" t="str">
        <f>HYPERLINK("#'Mass Transfer'!D112","→ Mass")</f>
        <v>→ Mass</v>
      </c>
      <c r="F39" s="21" t="s">
        <v>1754</v>
      </c>
    </row>
    <row r="40" spans="1:6" x14ac:dyDescent="0.2">
      <c r="A40" s="67" t="s">
        <v>84</v>
      </c>
      <c r="B40" s="18" t="s">
        <v>1755</v>
      </c>
      <c r="C40" s="20" t="s">
        <v>85</v>
      </c>
      <c r="D40" s="68">
        <f>'Mass Transfer'!$D$68</f>
        <v>0.628318530718</v>
      </c>
      <c r="E40" s="23" t="str">
        <f>HYPERLINK("#'Mass Transfer'!D68","→ Mass")</f>
        <v>→ Mass</v>
      </c>
      <c r="F40" s="21" t="s">
        <v>86</v>
      </c>
    </row>
    <row r="41" spans="1:6" x14ac:dyDescent="0.2">
      <c r="A41" s="67" t="s">
        <v>1756</v>
      </c>
      <c r="B41" s="18" t="s">
        <v>1757</v>
      </c>
      <c r="C41" s="20" t="s">
        <v>87</v>
      </c>
      <c r="D41" s="73">
        <f>Biology!$D$98</f>
        <v>576.12864938681</v>
      </c>
      <c r="E41" s="23" t="str">
        <f>HYPERLINK("#Biology!D98","→ Biology")</f>
        <v>→ Biology</v>
      </c>
      <c r="F41" s="21" t="s">
        <v>1758</v>
      </c>
    </row>
    <row r="42" spans="1:6" x14ac:dyDescent="0.2">
      <c r="A42" s="81" t="s">
        <v>1144</v>
      </c>
    </row>
    <row r="43" spans="1:6" x14ac:dyDescent="0.2">
      <c r="A43" s="67" t="s">
        <v>1145</v>
      </c>
      <c r="B43" s="18" t="s">
        <v>1759</v>
      </c>
      <c r="C43" s="20" t="s">
        <v>278</v>
      </c>
      <c r="D43" s="68">
        <f>Electrochemistry!$D$19*1000</f>
        <v>5.69</v>
      </c>
      <c r="E43" s="23" t="str">
        <f>HYPERLINK("#Electrochemistry!D19","→ Electrochemistry")</f>
        <v>→ Electrochemistry</v>
      </c>
      <c r="F43" s="21" t="s">
        <v>1146</v>
      </c>
    </row>
    <row r="44" spans="1:6" x14ac:dyDescent="0.2">
      <c r="A44" s="67" t="s">
        <v>1147</v>
      </c>
      <c r="B44" s="18" t="s">
        <v>1760</v>
      </c>
      <c r="C44" s="20" t="s">
        <v>1148</v>
      </c>
      <c r="D44" s="68">
        <f>Electrochemistry!$D$48</f>
        <v>3.287810437489</v>
      </c>
      <c r="E44" s="23" t="str">
        <f>HYPERLINK("#Electrochemistry!D48","→ Electrochemistry")</f>
        <v>→ Electrochemistry</v>
      </c>
      <c r="F44" s="21" t="s">
        <v>1149</v>
      </c>
    </row>
    <row r="45" spans="1:6" x14ac:dyDescent="0.2">
      <c r="A45" s="67" t="s">
        <v>1150</v>
      </c>
      <c r="B45" s="18" t="s">
        <v>1761</v>
      </c>
      <c r="D45" s="68" t="str">
        <f>Electrochemistry!$D$62</f>
        <v>watch - above optimum current density</v>
      </c>
      <c r="E45" s="23" t="str">
        <f>HYPERLINK("#Electrochemistry!D62","→ Electrochemistry")</f>
        <v>→ Electrochemistry</v>
      </c>
      <c r="F45" s="21" t="s">
        <v>1151</v>
      </c>
    </row>
    <row r="46" spans="1:6" x14ac:dyDescent="0.2">
      <c r="A46" s="67" t="s">
        <v>1152</v>
      </c>
      <c r="B46" s="18" t="s">
        <v>1762</v>
      </c>
      <c r="C46" s="20" t="s">
        <v>40</v>
      </c>
      <c r="D46" s="68">
        <f>Electrochemistry!$D$73</f>
        <v>10.0</v>
      </c>
      <c r="E46" s="23" t="str">
        <f>HYPERLINK("#Electrochemistry!D73","→ Electrochemistry")</f>
        <v>→ Electrochemistry</v>
      </c>
      <c r="F46" s="21" t="s">
        <v>1153</v>
      </c>
    </row>
    <row r="47" spans="1:6" x14ac:dyDescent="0.2">
      <c r="A47" s="67" t="s">
        <v>1154</v>
      </c>
      <c r="B47" s="18" t="s">
        <v>1763</v>
      </c>
      <c r="C47" s="20" t="s">
        <v>278</v>
      </c>
      <c r="D47" s="68">
        <f>Electrochemistry!$D$74</f>
        <v>12.9</v>
      </c>
      <c r="E47" s="23" t="str">
        <f>HYPERLINK("#Electrochemistry!D74","→ Electrochemistry")</f>
        <v>→ Electrochemistry</v>
      </c>
      <c r="F47" s="21" t="s">
        <v>1155</v>
      </c>
    </row>
    <row r="48" spans="1:6" x14ac:dyDescent="0.2">
      <c r="A48" s="67" t="s">
        <v>1156</v>
      </c>
      <c r="B48" s="18" t="s">
        <v>1764</v>
      </c>
      <c r="C48" s="20" t="s">
        <v>1148</v>
      </c>
      <c r="D48" s="68">
        <f>Electrochemistry!$D$75</f>
        <v>7.453911185169</v>
      </c>
      <c r="E48" s="23" t="str">
        <f>HYPERLINK("#Electrochemistry!D75","→ Electrochemistry")</f>
        <v>→ Electrochemistry</v>
      </c>
      <c r="F48" s="21" t="s">
        <v>1157</v>
      </c>
    </row>
    <row r="49" spans="1:6" x14ac:dyDescent="0.2">
      <c r="A49" s="67" t="s">
        <v>1158</v>
      </c>
      <c r="B49" s="18" t="s">
        <v>1765</v>
      </c>
      <c r="D49" s="68" t="str">
        <f>Electrochemistry!$D$76</f>
        <v>EXCEED - max current over a limit</v>
      </c>
      <c r="E49" s="23" t="str">
        <f>HYPERLINK("#Electrochemistry!D76","→ Electrochemistry")</f>
        <v>→ Electrochemistry</v>
      </c>
      <c r="F49" s="21" t="s">
        <v>1159</v>
      </c>
    </row>
    <row r="50" spans="1:6" x14ac:dyDescent="0.2">
      <c r="A50" s="20"/>
      <c r="B50" s="20"/>
      <c r="C50" s="20"/>
      <c r="D50" s="20"/>
      <c r="E50" s="20"/>
      <c r="F50" s="20"/>
    </row>
    <row r="51" spans="1:6" x14ac:dyDescent="0.2">
      <c r="A51" s="16" t="s">
        <v>88</v>
      </c>
      <c r="B51" s="16"/>
      <c r="C51" s="16"/>
      <c r="D51" s="16"/>
      <c r="E51" s="16"/>
      <c r="F51" s="16"/>
    </row>
    <row r="52" spans="1:6" x14ac:dyDescent="0.2">
      <c r="A52" s="107" t="s">
        <v>89</v>
      </c>
      <c r="B52" s="20"/>
      <c r="C52" s="20"/>
      <c r="D52" s="24"/>
      <c r="E52" s="20"/>
      <c r="F52" s="20"/>
    </row>
    <row r="53" spans="1:6" x14ac:dyDescent="0.2">
      <c r="A53" s="25" t="s">
        <v>90</v>
      </c>
      <c r="B53" s="20"/>
      <c r="C53" s="20"/>
      <c r="D53" s="24"/>
      <c r="E53" s="20"/>
      <c r="F53" s="20"/>
    </row>
    <row r="54" spans="1:6" x14ac:dyDescent="0.2">
      <c r="A54" s="76" t="s">
        <v>91</v>
      </c>
      <c r="B54" s="20"/>
      <c r="C54" s="20"/>
      <c r="D54" s="24"/>
      <c r="E54" s="20"/>
      <c r="F54" s="20"/>
    </row>
    <row r="55" spans="1:6" x14ac:dyDescent="0.2">
      <c r="A55" s="26" t="s">
        <v>92</v>
      </c>
      <c r="B55" s="20"/>
      <c r="C55" s="20"/>
      <c r="D55" s="24"/>
      <c r="E55" s="20"/>
      <c r="F55" s="20"/>
    </row>
    <row r="56" spans="1:6" x14ac:dyDescent="0.2">
      <c r="A56" s="27" t="s">
        <v>93</v>
      </c>
      <c r="B56" s="20"/>
      <c r="C56" s="20"/>
      <c r="D56" s="24"/>
      <c r="E56" s="70"/>
      <c r="F56" s="20"/>
    </row>
    <row r="57" spans="1:6" x14ac:dyDescent="0.2">
      <c r="A57" s="28" t="s">
        <v>94</v>
      </c>
      <c r="B57" s="20"/>
      <c r="C57" s="20"/>
      <c r="D57" s="24"/>
      <c r="E57" s="70"/>
      <c r="F57" s="20"/>
    </row>
    <row r="58" spans="1:6" x14ac:dyDescent="0.2">
      <c r="A58" s="66" t="s">
        <v>95</v>
      </c>
      <c r="B58" s="20"/>
      <c r="C58" s="20"/>
      <c r="D58" s="24"/>
      <c r="E58" s="70"/>
      <c r="F58" s="20"/>
    </row>
    <row r="59" spans="1:6" x14ac:dyDescent="0.2">
      <c r="A59" s="29" t="s">
        <v>96</v>
      </c>
      <c r="B59" s="20"/>
      <c r="C59" s="20"/>
      <c r="D59" s="20"/>
      <c r="E59" s="20"/>
      <c r="F59" s="20"/>
    </row>
    <row r="60" spans="1:6" x14ac:dyDescent="0.2">
      <c r="A60" s="30" t="s">
        <v>97</v>
      </c>
      <c r="B60" s="20"/>
      <c r="C60" s="20"/>
      <c r="D60" s="20"/>
      <c r="E60" s="20"/>
      <c r="F60" s="20"/>
    </row>
    <row r="61" spans="1:6" s="20" customFormat="1" x14ac:dyDescent="0.2">
      <c r="A61" s="63" t="s">
        <v>98</v>
      </c>
    </row>
    <row r="62" spans="1:6" s="20" customFormat="1" x14ac:dyDescent="0.2">
      <c r="A62" s="64" t="s">
        <v>99</v>
      </c>
    </row>
    <row r="63" spans="1:6" x14ac:dyDescent="0.2">
      <c r="A63" s="108" t="s">
        <v>100</v>
      </c>
      <c r="B63" s="20"/>
      <c r="C63" s="20"/>
      <c r="D63" s="20"/>
      <c r="E63" s="20"/>
      <c r="F63" s="20"/>
    </row>
    <row r="64" spans="1:6" x14ac:dyDescent="0.2">
      <c r="A64" s="20"/>
      <c r="B64" s="20"/>
      <c r="C64" s="20"/>
      <c r="D64" s="24"/>
      <c r="E64" s="70"/>
      <c r="F64" s="20"/>
    </row>
    <row r="65" spans="1:6" x14ac:dyDescent="0.2">
      <c r="A65" s="31" t="s">
        <v>101</v>
      </c>
      <c r="B65" s="31" t="s">
        <v>102</v>
      </c>
      <c r="C65" s="31" t="s">
        <v>103</v>
      </c>
      <c r="D65" s="31" t="s">
        <v>104</v>
      </c>
      <c r="E65" s="31"/>
      <c r="F65" s="31" t="s">
        <v>105</v>
      </c>
    </row>
    <row r="66" spans="1:6" x14ac:dyDescent="0.2">
      <c r="A66" s="20" t="s">
        <v>921</v>
      </c>
      <c r="B66" s="20" t="s">
        <v>922</v>
      </c>
      <c r="C66" s="20" t="s">
        <v>923</v>
      </c>
      <c r="D66" s="32" t="str">
        <f>HYPERLINK("https://github.com/amy-bo/electroPioreactor/blob/AEP02/Media/protocols/surface-kla.md","surface-kla.md →")</f>
        <v>surface-kla.md →</v>
      </c>
      <c r="E66" s="81"/>
      <c r="F66" s="21" t="s">
        <v>1766</v>
      </c>
    </row>
    <row r="67" spans="1:6" x14ac:dyDescent="0.2">
      <c r="A67" s="20" t="s">
        <v>924</v>
      </c>
      <c r="B67" s="20" t="s">
        <v>925</v>
      </c>
      <c r="C67" s="20" t="s">
        <v>926</v>
      </c>
      <c r="D67" s="32" t="str">
        <f>HYPERLINK("https://github.com/amy-bo/electroPioreactor/blob/AEP02/Media/protocols/vial-geometry.md","vial-geometry.md →")</f>
        <v>vial-geometry.md →</v>
      </c>
      <c r="E67" s="81"/>
      <c r="F67" s="21" t="s">
        <v>1767</v>
      </c>
    </row>
    <row r="68" spans="1:6" x14ac:dyDescent="0.2">
      <c r="A68" s="20" t="s">
        <v>927</v>
      </c>
      <c r="B68" s="20" t="s">
        <v>928</v>
      </c>
      <c r="C68" s="20" t="s">
        <v>929</v>
      </c>
      <c r="D68" s="32" t="str">
        <f>HYPERLINK("https://github.com/amy-bo/electroPioreactor/blob/AEP02/Media/protocols/faradaic-efficiency.md","faradaic-efficiency.md →")</f>
        <v>faradaic-efficiency.md →</v>
      </c>
      <c r="E68" s="81"/>
      <c r="F68" s="21" t="s">
        <v>1768</v>
      </c>
    </row>
    <row r="69" spans="1:6" x14ac:dyDescent="0.2">
      <c r="A69" s="20" t="s">
        <v>930</v>
      </c>
      <c r="B69" s="20" t="s">
        <v>931</v>
      </c>
      <c r="C69" s="20" t="s">
        <v>932</v>
      </c>
      <c r="D69" s="32" t="str">
        <f>HYPERLINK("https://github.com/amy-bo/electroPioreactor/blob/AEP02/Media/protocols/knallgas-stoichiometry.md","knallgas-stoichiometry.md →")</f>
        <v>knallgas-stoichiometry.md →</v>
      </c>
      <c r="E69" s="81"/>
      <c r="F69" s="21"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2.1 % (Biology E16); needs a growing culture.</v>
      </c>
    </row>
    <row r="70" spans="1:6" x14ac:dyDescent="0.2">
      <c r="A70" s="20" t="s">
        <v>933</v>
      </c>
      <c r="B70" s="20" t="s">
        <v>934</v>
      </c>
      <c r="C70" s="20" t="s">
        <v>935</v>
      </c>
      <c r="D70" s="32" t="str">
        <f>HYPERLINK("https://github.com/amy-bo/electroPioreactor/blob/AEP02/Media/protocols/faradaic-efficiency.md","faradaic-efficiency.md →")</f>
        <v>faradaic-efficiency.md →</v>
      </c>
      <c r="E70" s="81"/>
      <c r="F70" s="21" t="s">
        <v>1689</v>
      </c>
    </row>
    <row r="71" spans="1:6" x14ac:dyDescent="0.2">
      <c r="A71" s="20" t="s">
        <v>936</v>
      </c>
      <c r="B71" s="20" t="s">
        <v>937</v>
      </c>
      <c r="C71" s="20" t="s">
        <v>938</v>
      </c>
      <c r="D71" s="32" t="str">
        <f>HYPERLINK("https://github.com/amy-bo/electroPioreactor/blob/AEP02/Media/protocols/vial-geometry.md","vial-geometry.md →")</f>
        <v>vial-geometry.md →</v>
      </c>
      <c r="E71" s="81"/>
      <c r="F71" s="21" t="s">
        <v>939</v>
      </c>
    </row>
    <row r="72" spans="1:6" x14ac:dyDescent="0.2">
      <c r="A72" s="20" t="s">
        <v>940</v>
      </c>
      <c r="B72" s="20" t="s">
        <v>941</v>
      </c>
      <c r="C72" s="20" t="s">
        <v>942</v>
      </c>
      <c r="D72" s="32" t="str">
        <f>HYPERLINK("https://github.com/amy-bo/electroPioreactor/blob/AEP02/Media/protocols/flow-calibration.md","flow-calibration.md →")</f>
        <v>flow-calibration.md →</v>
      </c>
      <c r="E72" s="81"/>
      <c r="F72" s="21"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0" t="s">
        <v>943</v>
      </c>
      <c r="B73" s="20" t="s">
        <v>944</v>
      </c>
      <c r="C73" s="20" t="s">
        <v>945</v>
      </c>
      <c r="D73" s="32" t="str">
        <f>HYPERLINK("https://github.com/amy-bo/electroPioreactor/blob/AEP02/Media/protocols/dissolved-oxygen.md","dissolved-oxygen.md →")</f>
        <v>dissolved-oxygen.md →</v>
      </c>
      <c r="E73" s="81"/>
      <c r="F73" s="21" t="s">
        <v>946</v>
      </c>
    </row>
    <row r="74" spans="1:6" x14ac:dyDescent="0.2">
      <c r="A74" s="20" t="s">
        <v>947</v>
      </c>
      <c r="B74" s="20" t="s">
        <v>948</v>
      </c>
      <c r="C74" s="20" t="s">
        <v>949</v>
      </c>
      <c r="D74" s="32" t="str">
        <f>HYPERLINK("https://github.com/amy-bo/electroPioreactor/blob/AEP02/Media/protocols/flow-calibration.md","flow-calibration.md →")</f>
        <v>flow-calibration.md →</v>
      </c>
      <c r="E74" s="81"/>
      <c r="F74" s="21" t="s">
        <v>950</v>
      </c>
    </row>
    <row r="75" spans="1:6" x14ac:dyDescent="0.2">
      <c r="A75" s="20" t="s">
        <v>951</v>
      </c>
      <c r="B75" s="20" t="s">
        <v>952</v>
      </c>
      <c r="C75" s="20" t="s">
        <v>953</v>
      </c>
      <c r="D75" s="32" t="str">
        <f>HYPERLINK("https://github.com/amy-bo/electroPioreactor/blob/AEP02/Media/protocols/sinter-porosity.md","sinter-porosity.md →")</f>
        <v>sinter-porosity.md →</v>
      </c>
      <c r="E75" s="81"/>
      <c r="F75" s="21" t="s">
        <v>954</v>
      </c>
    </row>
    <row r="76" spans="1:6" x14ac:dyDescent="0.2">
      <c r="A76" s="20" t="s">
        <v>955</v>
      </c>
      <c r="B76" s="20" t="s">
        <v>956</v>
      </c>
      <c r="C76" s="20" t="s">
        <v>957</v>
      </c>
      <c r="D76" s="32" t="str">
        <f>HYPERLINK("https://github.com/amy-bo/electroPioreactor/blob/AEP02/Media/protocols/README.md","README.md →")</f>
        <v>README.md →</v>
      </c>
      <c r="E76" s="81"/>
      <c r="F76" s="21" t="s">
        <v>1769</v>
      </c>
    </row>
    <row r="77" spans="1:6" x14ac:dyDescent="0.2">
      <c r="A77" t="s">
        <v>1690</v>
      </c>
      <c r="B77" t="s">
        <v>928</v>
      </c>
      <c r="C77" t="s">
        <v>957</v>
      </c>
      <c r="D77" s="23" t="str">
        <f>HYPERLINK("https://github.com/amy-bo/electroPioreactor/blob/AEP02/Media/protocols/electrode-mass-transfer.md","electrode-mass-transfer.md →")</f>
        <v>electrode-mass-transfer.md →</v>
      </c>
      <c r="E77" s="20"/>
      <c r="F77" t="s">
        <v>1691</v>
      </c>
    </row>
    <row r="78" spans="1:6" x14ac:dyDescent="0.2">
      <c r="A78" t="s">
        <v>1692</v>
      </c>
      <c r="B78" t="s">
        <v>948</v>
      </c>
      <c r="C78" t="s">
        <v>957</v>
      </c>
      <c r="D78" s="23" t="str">
        <f>HYPERLINK("https://github.com/amy-bo/electroPioreactor/blob/AEP02/Media/protocols/vial-geometry.md","vial-geometry.md →")</f>
        <v>vial-geometry.md →</v>
      </c>
      <c r="E78" s="20"/>
      <c r="F78" t="s">
        <v>1693</v>
      </c>
    </row>
    <row r="79" spans="1:6" x14ac:dyDescent="0.2">
      <c r="A79" t="s">
        <v>1694</v>
      </c>
      <c r="B79" t="s">
        <v>928</v>
      </c>
      <c r="C79" t="s">
        <v>957</v>
      </c>
      <c r="D79" s="23" t="str">
        <f>HYPERLINK("https://github.com/amy-bo/electroPioreactor/blob/AEP02/Media/protocols/gerrit-current.md","gerrit-current.md →")</f>
        <v>gerrit-current.md →</v>
      </c>
      <c r="E79" s="20"/>
      <c r="F79" t="s">
        <v>1770</v>
      </c>
    </row>
    <row r="80" spans="1:6" x14ac:dyDescent="0.2">
      <c r="A80" t="s">
        <v>1695</v>
      </c>
      <c r="B80" t="s">
        <v>928</v>
      </c>
      <c r="C80" t="s">
        <v>935</v>
      </c>
      <c r="D80" s="23" t="str">
        <f>HYPERLINK("https://github.com/amy-bo/electroPioreactor/blob/AEP02/Media/protocols/README.md","README.md →")</f>
        <v>README.md →</v>
      </c>
      <c r="F80" t="s">
        <v>1771</v>
      </c>
    </row>
    <row r="81" spans="1:6" x14ac:dyDescent="0.2">
      <c r="A81" s="5" t="s">
        <v>1772</v>
      </c>
    </row>
    <row r="82" spans="1:6" x14ac:dyDescent="0.2">
      <c r="A82" t="s">
        <v>1490</v>
      </c>
      <c r="B82" s="18" t="s">
        <v>1773</v>
      </c>
      <c r="C82" s="19" t="s">
        <v>1140</v>
      </c>
      <c r="D82" s="22">
        <f>Electrochemistry!$D$88</f>
        <v>0.959777674745</v>
      </c>
      <c r="E82" s="23" t="str">
        <f>HYPERLINK("#Electrochemistry!D88","→ Electrochemistry")</f>
        <v>→ Electrochemistry</v>
      </c>
      <c r="F82" t="s">
        <v>1774</v>
      </c>
    </row>
    <row r="83" spans="1:6" x14ac:dyDescent="0.2">
      <c r="A83" t="s">
        <v>1572</v>
      </c>
      <c r="B83" s="18" t="s">
        <v>1775</v>
      </c>
      <c r="C83" s="19" t="s">
        <v>1445</v>
      </c>
      <c r="D83" s="22">
        <f>Electrochemistry!$D$119</f>
        <v>2.85559451238</v>
      </c>
      <c r="E83" s="23" t="str">
        <f>HYPERLINK("#Electrochemistry!D119","→ Electrochemistry")</f>
        <v>→ Electrochemistry</v>
      </c>
      <c r="F83" t="s">
        <v>1662</v>
      </c>
    </row>
    <row r="84" spans="1:6" x14ac:dyDescent="0.2">
      <c r="A84" t="s">
        <v>1581</v>
      </c>
      <c r="B84" s="18" t="s">
        <v>1776</v>
      </c>
      <c r="C84" s="19" t="s">
        <v>1140</v>
      </c>
      <c r="D84" s="22" t="str">
        <f>Electrochemistry!$D$122</f>
        <v>OK — 2.86 V estimated against a 5 V rail</v>
      </c>
      <c r="E84" s="23" t="str">
        <f>HYPERLINK("#Electrochemistry!D122","→ Electrochemistry")</f>
        <v>→ Electrochemistry</v>
      </c>
      <c r="F84" t="s">
        <v>1663</v>
      </c>
    </row>
    <row r="85" spans="1:6" x14ac:dyDescent="0.2">
      <c r="A85" t="s">
        <v>1517</v>
      </c>
      <c r="B85" s="18" t="s">
        <v>1777</v>
      </c>
      <c r="C85" s="19" t="s">
        <v>1140</v>
      </c>
      <c r="D85" s="22" t="str">
        <f>Electrochemistry!$D$99</f>
        <v>watch — steady growth is clear (0.053 mg/L) but LAG PHASE is not: peroxide passes the threshold in 6 min before biomass can scavenge it</v>
      </c>
      <c r="E85" s="23" t="str">
        <f>HYPERLINK("#Electrochemistry!D99","→ Electrochemistry")</f>
        <v>→ Electrochemistry</v>
      </c>
      <c r="F85" t="s">
        <v>1664</v>
      </c>
    </row>
    <row r="86" spans="1:6" x14ac:dyDescent="0.2">
      <c r="A86" t="s">
        <v>1665</v>
      </c>
      <c r="B86" s="18" t="s">
        <v>1778</v>
      </c>
      <c r="C86" s="19" t="s">
        <v>1140</v>
      </c>
      <c r="D86" s="22" t="str">
        <f>Chemistry!$D$219</f>
        <v>OK — buffer holds the electrode surfaces at the bulk pH</v>
      </c>
      <c r="E86" s="23" t="str">
        <f>HYPERLINK("#Chemistry!D219","→ Chemistry")</f>
        <v>→ Chemistry</v>
      </c>
      <c r="F86" t="s">
        <v>1666</v>
      </c>
    </row>
    <row r="87" spans="1:6" x14ac:dyDescent="0.2">
      <c r="A87" t="s">
        <v>1779</v>
      </c>
      <c r="B87" s="18" t="s">
        <v>1780</v>
      </c>
      <c r="C87" s="19" t="s">
        <v>1445</v>
      </c>
      <c r="D87" s="22">
        <f>Chemistry!$D$209</f>
        <v>-0.436104566006</v>
      </c>
      <c r="E87" s="23" t="str">
        <f>HYPERLINK("#Chemistry!D209","→ Chemistry")</f>
        <v>→ Chemistry</v>
      </c>
      <c r="F87" t="s">
        <v>1781</v>
      </c>
    </row>
    <row r="88" spans="1:6" x14ac:dyDescent="0.2">
      <c r="A88" t="s">
        <v>1449</v>
      </c>
      <c r="B88" s="18" t="s">
        <v>1782</v>
      </c>
      <c r="C88" s="19" t="s">
        <v>1445</v>
      </c>
      <c r="D88" s="22">
        <f>Chemistry!$D$211</f>
        <v>1.272361740292</v>
      </c>
      <c r="E88" s="23" t="str">
        <f>HYPERLINK("#Chemistry!D211","→ Chemistry")</f>
        <v>→ Chemistry</v>
      </c>
      <c r="F88" t="s">
        <v>1783</v>
      </c>
    </row>
    <row r="89" spans="1:6" x14ac:dyDescent="0.2">
      <c r="A89" t="s">
        <v>1468</v>
      </c>
      <c r="B89" s="18" t="s">
        <v>1784</v>
      </c>
      <c r="C89" s="19" t="s">
        <v>1140</v>
      </c>
      <c r="D89" s="22">
        <f>Chemistry!$D$220</f>
        <v>6.199646785125</v>
      </c>
      <c r="E89" s="23" t="str">
        <f>HYPERLINK("#Chemistry!D220","→ Chemistry")</f>
        <v>→ Chemistry</v>
      </c>
      <c r="F89" t="s">
        <v>1667</v>
      </c>
    </row>
    <row r="90" spans="1:6" x14ac:dyDescent="0.2">
      <c r="A90" t="s">
        <v>1668</v>
      </c>
      <c r="B90" s="18" t="s">
        <v>1785</v>
      </c>
      <c r="C90" s="19" t="s">
        <v>449</v>
      </c>
      <c r="D90" s="22">
        <f>'Mass Transfer'!$D$186*3600</f>
        <v>13.366189318618</v>
      </c>
      <c r="E90" s="23" t="str">
        <f>HYPERLINK("#'Mass Transfer'!D186","→ Mass Transfer")</f>
        <v>→ Mass Transfer</v>
      </c>
      <c r="F90" t="s">
        <v>1786</v>
      </c>
    </row>
    <row r="92" spans="1:6" x14ac:dyDescent="0.2">
      <c r="A92" s="81" t="s">
        <v>1787</v>
      </c>
    </row>
    <row r="93" spans="1:6" x14ac:dyDescent="0.2">
      <c r="A93" s="20"/>
      <c r="B93" s="18"/>
      <c r="C93" s="20"/>
      <c r="D93" s="135"/>
      <c r="E93" s="65"/>
      <c r="F93"/>
    </row>
    <row r="95" spans="1:6" x14ac:dyDescent="0.2">
      <c r="A95" s="67" t="s">
        <v>1788</v>
      </c>
      <c r="C95" s="20" t="s">
        <v>87</v>
      </c>
      <c r="D95" s="73">
        <f>IF(AND(ISNUMBER(D14),ISNUMBER(D16),ISNUMBER('Mass Transfer'!$D$93)),('Mass Transfer'!$D$408+'Mass Transfer'!$D$407*D14)/('Mass Transfer'!$D$102/60)/(60*D16)/'Mass Transfer'!$D$93,"calibrate this reactor first (CO₂ flow section of the Calibrations tab, or a CO2 flows row)")</f>
        <v>0.959264728842</v>
      </c>
      <c r="E95" s="23" t="str">
        <f>HYPERLINK("#'Mass Transfer'!D93","→ Mass")</f>
        <v>→ Mass</v>
      </c>
      <c r="F95" s="21" t="s">
        <v>1789</v>
      </c>
    </row>
    <row r="110" spans="1:6" x14ac:dyDescent="0.2">
      <c r="A110" s="81" t="s">
        <v>1790</v>
      </c>
    </row>
    <row r="111" spans="1:6" x14ac:dyDescent="0.2">
      <c r="A111" s="17" t="s">
        <v>1791</v>
      </c>
      <c r="B111" s="18" t="s">
        <v>1792</v>
      </c>
      <c r="C111" s="19" t="s">
        <v>111</v>
      </c>
      <c r="D111" s="135" t="s">
        <v>1793</v>
      </c>
      <c r="E111" s="20" t="s">
        <v>27</v>
      </c>
      <c r="F111" s="21" t="s">
        <v>1794</v>
      </c>
    </row>
    <row r="112" spans="1:6" x14ac:dyDescent="0.2">
      <c r="A112" s="17" t="s">
        <v>1795</v>
      </c>
      <c r="B112" s="18" t="s">
        <v>1796</v>
      </c>
      <c r="C112" s="19" t="s">
        <v>111</v>
      </c>
      <c r="D112" s="135" t="s">
        <v>1797</v>
      </c>
      <c r="E112" s="20" t="s">
        <v>27</v>
      </c>
      <c r="F112" s="21" t="s">
        <v>1798</v>
      </c>
    </row>
    <row r="113" spans="1:6" x14ac:dyDescent="0.2">
      <c r="A113" s="67" t="s">
        <v>1799</v>
      </c>
      <c r="C113" s="20" t="s">
        <v>314</v>
      </c>
      <c r="D113" s="68">
        <f>'Mass Transfer'!$D$386</f>
        <v>0.015</v>
      </c>
      <c r="E113" s="23" t="str">
        <f>HYPERLINK("#'Mass Transfer'!D386","→ Mass Transfer")</f>
        <v>→ Mass Transfer</v>
      </c>
      <c r="F113" s="21" t="s">
        <v>1800</v>
      </c>
    </row>
    <row r="114" spans="1:6" x14ac:dyDescent="0.2">
      <c r="A114" s="67" t="s">
        <v>1801</v>
      </c>
      <c r="C114" s="20" t="s">
        <v>83</v>
      </c>
      <c r="D114" s="68">
        <f>'Mass Transfer'!$D$343</f>
        <v>2.54368832103</v>
      </c>
      <c r="E114" s="23" t="str">
        <f>HYPERLINK("#'Mass Transfer'!D343","→ Mass Transfer")</f>
        <v>→ Mass Transfer</v>
      </c>
      <c r="F114" s="21" t="s">
        <v>1802</v>
      </c>
    </row>
    <row r="115" spans="1:6" x14ac:dyDescent="0.2">
      <c r="A115" s="67" t="s">
        <v>1803</v>
      </c>
      <c r="C115" s="20" t="s">
        <v>83</v>
      </c>
      <c r="D115" s="68">
        <f>'Mass Transfer'!$D$344</f>
        <v>2.817863720468</v>
      </c>
      <c r="E115" s="23" t="str">
        <f>HYPERLINK("#'Mass Transfer'!D344","→ Mass Transfer")</f>
        <v>→ Mass Transfer</v>
      </c>
      <c r="F115" s="21" t="s">
        <v>1804</v>
      </c>
    </row>
    <row r="116" spans="1:6" x14ac:dyDescent="0.2">
      <c r="A116" s="67" t="s">
        <v>1805</v>
      </c>
      <c r="C116" s="20" t="s">
        <v>83</v>
      </c>
      <c r="D116" s="68">
        <f>'Mass Transfer'!$D$364</f>
        <v>6.209255011111</v>
      </c>
      <c r="E116" s="23" t="str">
        <f>HYPERLINK("#'Mass Transfer'!D364","→ Mass Transfer")</f>
        <v>→ Mass Transfer</v>
      </c>
      <c r="F116" s="21" t="s">
        <v>1806</v>
      </c>
    </row>
    <row r="117" spans="1:6" x14ac:dyDescent="0.2">
      <c r="A117" s="67" t="s">
        <v>1807</v>
      </c>
      <c r="C117" s="20" t="s">
        <v>83</v>
      </c>
      <c r="D117" s="68">
        <f>'Mass Transfer'!$D$365</f>
        <v>6.747608824821</v>
      </c>
      <c r="E117" s="23" t="str">
        <f>HYPERLINK("#'Mass Transfer'!D365","→ Mass Transfer")</f>
        <v>→ Mass Transfer</v>
      </c>
      <c r="F117" s="21" t="s">
        <v>1808</v>
      </c>
    </row>
    <row r="118" spans="1:6" x14ac:dyDescent="0.2">
      <c r="A118" s="67" t="s">
        <v>1809</v>
      </c>
      <c r="D118" s="68" t="str">
        <f>'Mass Transfer'!$D$348</f>
        <v>peak 2.8 mg/L under the 11.3 mg/L ceiling</v>
      </c>
      <c r="E118" s="23" t="str">
        <f>HYPERLINK("#'Mass Transfer'!D348","→ Mass Transfer")</f>
        <v>→ Mass Transfer</v>
      </c>
      <c r="F118" s="21" t="s">
        <v>1810</v>
      </c>
    </row>
    <row r="119" spans="1:6" x14ac:dyDescent="0.2">
      <c r="A119" s="67" t="s">
        <v>1811</v>
      </c>
      <c r="D119" s="68" t="str">
        <f>'Mass Transfer'!$D$369</f>
        <v>peak 6.7 mg/L under the 11.3 mg/L ceiling</v>
      </c>
      <c r="E119" s="23" t="str">
        <f>HYPERLINK("#'Mass Transfer'!D369","→ Mass Transfer")</f>
        <v>→ Mass Transfer</v>
      </c>
      <c r="F119" s="21" t="s">
        <v>1812</v>
      </c>
    </row>
    <row r="120" spans="1:6" x14ac:dyDescent="0.2">
      <c r="A120" s="67" t="s">
        <v>1813</v>
      </c>
      <c r="D120" s="68" t="str">
        <f>'Mass Transfer'!$D$347</f>
        <v>reachable – kLa margin 1.94×</v>
      </c>
      <c r="E120" s="23" t="str">
        <f>HYPERLINK("#'Mass Transfer'!D347","→ Mass Transfer")</f>
        <v>→ Mass Transfer</v>
      </c>
      <c r="F120" s="21" t="s">
        <v>1814</v>
      </c>
    </row>
    <row r="121" spans="1:6" x14ac:dyDescent="0.2">
      <c r="A121" s="67" t="s">
        <v>1815</v>
      </c>
      <c r="D121" s="68" t="str">
        <f>'Mass Transfer'!$D$368</f>
        <v>UNREACHABLE at this surface kLa – margin 0.66×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0.66×: the target cannot be held during lag at the kLa in use, whatever the schedule — an owner decision (target the ceiling with a margin during lag?).</v>
      </c>
    </row>
    <row r="122" spans="1:6" x14ac:dyDescent="0.2">
      <c r="A122" s="67" t="s">
        <v>1816</v>
      </c>
      <c r="C122" s="20" t="s">
        <v>449</v>
      </c>
      <c r="D122" s="68">
        <f>'Mass Transfer'!$D$345*3600</f>
        <v>13.366189318618</v>
      </c>
      <c r="E122" s="23" t="str">
        <f>HYPERLINK("#'Mass Transfer'!D345","→ Mass Transfer")</f>
        <v>→ Mass Transfer</v>
      </c>
      <c r="F122" s="21" t="s">
        <v>1817</v>
      </c>
    </row>
    <row r="123" spans="1:6" x14ac:dyDescent="0.2">
      <c r="A123" s="67" t="s">
        <v>1818</v>
      </c>
      <c r="C123" s="20" t="s">
        <v>449</v>
      </c>
      <c r="D123" s="68">
        <f>'Mass Transfer'!$D$366*3600</f>
        <v>39.029903439238</v>
      </c>
      <c r="E123" s="23" t="str">
        <f>HYPERLINK("#'Mass Transfer'!D366","→ Mass Transfer")</f>
        <v>→ Mass Transfer</v>
      </c>
      <c r="F123" s="21" t="s">
        <v>1817</v>
      </c>
    </row>
    <row r="124" spans="1:6" x14ac:dyDescent="0.2">
      <c r="A124" s="67" t="s">
        <v>1819</v>
      </c>
      <c r="C124" s="20" t="s">
        <v>111</v>
      </c>
      <c r="D124" s="68">
        <f>'Mass Transfer'!$D$329</f>
        <v>0.031339618667</v>
      </c>
      <c r="E124" s="23" t="str">
        <f>HYPERLINK("#'Mass Transfer'!D329","→ Mass Transfer")</f>
        <v>→ Mass Transfer</v>
      </c>
      <c r="F124" s="21" t="s">
        <v>1820</v>
      </c>
    </row>
    <row r="125" spans="1:6" x14ac:dyDescent="0.2">
      <c r="A125" s="67" t="s">
        <v>1821</v>
      </c>
      <c r="C125" s="20" t="s">
        <v>111</v>
      </c>
      <c r="D125" s="68">
        <f>'Mass Transfer'!$D$351</f>
        <v>0.060443126812</v>
      </c>
      <c r="E125" s="23" t="str">
        <f>HYPERLINK("#'Mass Transfer'!D351","→ Mass Transfer")</f>
        <v>→ Mass Transfer</v>
      </c>
      <c r="F125" s="21" t="s">
        <v>1822</v>
      </c>
    </row>
    <row r="126" spans="1:6" x14ac:dyDescent="0.2">
      <c r="A126" s="67" t="s">
        <v>1823</v>
      </c>
      <c r="C126" s="20" t="s">
        <v>111</v>
      </c>
      <c r="D126" s="68">
        <f>'Mass Transfer'!$D$352</f>
        <v>0.106556886969</v>
      </c>
      <c r="E126" s="23" t="str">
        <f>HYPERLINK("#'Mass Transfer'!D352","→ Mass Transfer")</f>
        <v>→ Mass Transfer</v>
      </c>
      <c r="F126" s="21" t="s">
        <v>1824</v>
      </c>
    </row>
    <row r="127" spans="1:6" x14ac:dyDescent="0.2">
      <c r="A127" s="67" t="s">
        <v>1825</v>
      </c>
      <c r="C127" s="20" t="s">
        <v>111</v>
      </c>
      <c r="D127" s="68">
        <f>'Mass Transfer'!$D$381</f>
        <v>0.930171859967</v>
      </c>
      <c r="E127" s="23" t="str">
        <f>HYPERLINK("#'Mass Transfer'!D381","→ Mass Transfer")</f>
        <v>→ Mass Transfer</v>
      </c>
      <c r="F127" s="21" t="s">
        <v>1826</v>
      </c>
    </row>
    <row r="128" spans="1:6" x14ac:dyDescent="0.2">
      <c r="A128" s="67" t="s">
        <v>1827</v>
      </c>
      <c r="D128" s="68" t="str">
        <f>IF(ISNA('Mass Transfer'!$D$308+'Mass Transfer'!$D$317),"#N/A – check the selectors in D111/D112",IF(NOT(ISNUMBER('Mass Transfer'!$D$185)),"DO target unreachable on the sizing phase (rows 120–121) – the schedule is the legacy O₂ flush guard (Mass Transfer D89)",IF(OR(AND(ISNUMBER(override_spg_dur_s),override_spg_dur_s&gt;0),AND(ISNUMBER(override_spg_int_min),override_spg_int_min&gt;0)),"watch – override in use (G13/G15), not the optimised schedule: pH "&amp;TEXT(res_pH,"0.00")&amp;", cycle-mean DO "&amp;TEXT(res_DO_ss,"0.0")&amp;" mg/L against the "&amp;TEXT('Mass Transfer'!$D$179*'Mass Transfer'!$D$231,"0.0")&amp;" mg/L target; neither target is claimed",IF(AND(res_pH&gt;=cf_pH_lo,res_pH&lt;=cf_pH_hi),"yes – the schedule holds the DO target at pH "&amp;TEXT(res_pH,"0.00")&amp;", within the "&amp;TEXT(cf_pH_lo,"0.0")&amp;"–"&amp;TEXT(cf_pH_hi,"0.0")&amp;" band",IF(res_pH&gt;cf_pH_hi,"NO – pH "&amp;TEXT(res_pH,"0.00")&amp;" above the "&amp;TEXT(cf_pH_hi,"0.0")&amp;" band ceiling",IF('Mass Transfer'!$D$185&lt;='Mass Transfer'!$D$112,"NO – holding the DO target drives pH to "&amp;TEXT(res_pH,"0.00")&amp;", below the "&amp;TEXT(cf_pH_lo,"0.0")&amp;" band floor","NO – the carbon-limited interval (not the DO target) gives pH "&amp;TEXT(res_pH,"0.00")&amp;", below the "&amp;TEXT(cf_pH_lo,"0.0")&amp;" band floor"))))))</f>
        <v>NO – holding the DO target drives pH to 6.20, below the 6.5 band floor</v>
      </c>
      <c r="E128" s="23" t="str">
        <f>HYPERLINK("#Chemistry!D220","→ Chemistry")</f>
        <v>→ Chemistry</v>
      </c>
      <c r="F128" s="21" t="s">
        <v>1828</v>
      </c>
    </row>
    <row r="129" spans="1:6" x14ac:dyDescent="0.2">
      <c r="A129" s="67" t="s">
        <v>1829</v>
      </c>
      <c r="C129" s="20" t="s">
        <v>111</v>
      </c>
      <c r="D129" s="68">
        <f>'Mass Transfer'!$D$389</f>
        <v>0.058677569283</v>
      </c>
      <c r="E129" s="23" t="str">
        <f>HYPERLINK("#'Mass Transfer'!D389","→ Mass Transfer")</f>
        <v>→ Mass Transfer</v>
      </c>
      <c r="F129" s="21" t="s">
        <v>1830</v>
      </c>
    </row>
    <row r="130" spans="1:6" x14ac:dyDescent="0.2">
      <c r="A130" s="67" t="s">
        <v>1831</v>
      </c>
      <c r="D130" s="68" t="str">
        <f>'Mass Transfer'!$D$391</f>
        <v>n/a – the vent admits air (Open vent / Air exchange), so the headspace refills</v>
      </c>
      <c r="E130" s="23" t="str">
        <f>HYPERLINK("#'Mass Transfer'!D391","→ Mass Transfer")</f>
        <v>→ Mass Transfer</v>
      </c>
      <c r="F130" s="21" t="s">
        <v>1832</v>
      </c>
    </row>
    <row r="131">
      <c r="A131" s="67" t="inlineStr">
        <is>
          <t xml:space="preserve">NaHCO₃ to lift pH to the target (first-order)</t>
        </is>
      </c>
      <c r="C131" s="20" t="inlineStr">
        <is>
          <t xml:space="preserve">g/L</t>
        </is>
      </c>
      <c r="D131" s="68">
        <f>Chemistry!$D$308</f>
        <v>2.584020698787</v>
      </c>
      <c r="E131" s="23" t="str">
        <f>HYPERLINK("#Chemistry!D306","→ Chemistry")</f>
        <v>→ Chemistry</v>
      </c>
      <c r="F131" s="21" t="inlineStr">
        <is>
          <t xml:space="preserve">Alkalinity the medium would need for a probe pH of Chemistry D303 (the 6.5 band floor by default) at today’s dissolved CO₂. A media-design lever for row 128; not fed back into the model yet.</t>
        </is>
      </c>
    </row>
    <row r="132">
      <c r="A132" s="67" t="inlineStr">
        <is>
          <t xml:space="preserve">Same, as extra alkalinity</t>
        </is>
      </c>
      <c r="C132" s="20" t="inlineStr">
        <is>
          <t xml:space="preserve">mM</t>
        </is>
      </c>
      <c r="D132" s="68">
        <f>Chemistry!$D$306*1000</f>
        <v>30.759587877041</v>
      </c>
      <c r="E132" s="23" t="str">
        <f>HYPERLINK("#Chemistry!D306","→ Chemistry")</f>
        <v>→ Chemistry</v>
      </c>
      <c r="F132" s="21" t="inlineStr">
        <is>
          <t xml:space="preserve">Any strong base counts (NaHCO₃, KHCO₃, NaOH). Using nitrate or urea instead of NH₄⁺ also avoids the acid released as the culture takes up ammonium.</t>
        </is>
      </c>
    </row>
    <row r="135" spans="1:6" x14ac:dyDescent="0.2">
      <c r="A135" s="67" t="s">
        <v>1833</v>
      </c>
      <c r="B135" s="18" t="s">
        <v>1834</v>
      </c>
      <c r="C135" s="20" t="s">
        <v>87</v>
      </c>
      <c r="D135" s="68">
        <f>'Mass Transfer'!$D$417</f>
        <v>2.425986471423</v>
      </c>
      <c r="E135" s="23" t="str">
        <f>HYPERLINK("#'Mass Transfer'!D417","→ Mass Transfer")</f>
        <v>→ Mass Transfer</v>
      </c>
      <c r="F135" s="21" t="s">
        <v>1835</v>
      </c>
    </row>
    <row r="136" spans="1:6" x14ac:dyDescent="0.2">
      <c r="A136" s="67" t="s">
        <v>1836</v>
      </c>
      <c r="B136" s="18" t="s">
        <v>1837</v>
      </c>
      <c r="D136" s="68" t="str">
        <f>'Mass Transfer'!$D$414</f>
        <v>OK – 6.6 mm/s against the 50 mm/s rule of thumb</v>
      </c>
      <c r="E136" s="23" t="str">
        <f>HYPERLINK("#'Mass Transfer'!D414","→ Mass Transfer")</f>
        <v>→ Mass Transfer</v>
      </c>
      <c r="F136" s="21" t="s">
        <v>1838</v>
      </c>
    </row>
    <row r="137" spans="1:6" x14ac:dyDescent="0.2">
      <c r="A137" s="81" t="s">
        <v>1839</v>
      </c>
    </row>
    <row r="138" spans="1:6" x14ac:dyDescent="0.2">
      <c r="A138" s="67" t="s">
        <v>1840</v>
      </c>
      <c r="B138" s="18" t="s">
        <v>1841</v>
      </c>
      <c r="C138" s="20" t="s">
        <v>1842</v>
      </c>
      <c r="D138" s="68">
        <f>Chemistry!$D$299</f>
        <v>6.0</v>
      </c>
      <c r="E138" s="23" t="str">
        <f>HYPERLINK("#Chemistry!D299","→ Chemistry")</f>
        <v>→ Chemistry</v>
      </c>
      <c r="F138" s="21" t="s">
        <v>1843</v>
      </c>
    </row>
    <row r="139" spans="1:6" x14ac:dyDescent="0.2">
      <c r="A139" s="67" t="s">
        <v>1844</v>
      </c>
      <c r="B139" s="18" t="s">
        <v>1845</v>
      </c>
      <c r="C139" s="20" t="s">
        <v>1842</v>
      </c>
      <c r="D139" s="68">
        <f>Chemistry!$D$236</f>
        <v>6.5</v>
      </c>
      <c r="E139" s="23" t="str">
        <f>HYPERLINK("#Chemistry!D236","→ Chemistry")</f>
        <v>→ Chemistry</v>
      </c>
      <c r="F139" s="21" t="s">
        <v>1843</v>
      </c>
    </row>
    <row r="140" spans="1:6" x14ac:dyDescent="0.2">
      <c r="A140" s="67" t="s">
        <v>1846</v>
      </c>
      <c r="B140" s="18" t="s">
        <v>1847</v>
      </c>
      <c r="C140" s="20" t="s">
        <v>1842</v>
      </c>
      <c r="D140" s="68">
        <f>Chemistry!$D$237</f>
        <v>7.5</v>
      </c>
      <c r="E140" s="23" t="str">
        <f>HYPERLINK("#Chemistry!D237","→ Chemistry")</f>
        <v>→ Chemistry</v>
      </c>
      <c r="F140" s="21" t="s">
        <v>1843</v>
      </c>
    </row>
    <row r="141" spans="1:6" x14ac:dyDescent="0.2">
      <c r="A141" s="67" t="s">
        <v>1848</v>
      </c>
      <c r="B141" s="18" t="s">
        <v>1849</v>
      </c>
      <c r="C141" s="20" t="s">
        <v>1842</v>
      </c>
      <c r="D141" s="68">
        <f>Chemistry!$D$300</f>
        <v>8.0</v>
      </c>
      <c r="E141" s="23" t="str">
        <f>HYPERLINK("#Chemistry!D300","→ Chemistry")</f>
        <v>→ Chemistry</v>
      </c>
      <c r="F141" s="21" t="s">
        <v>1843</v>
      </c>
    </row>
    <row r="142" spans="1:6" x14ac:dyDescent="0.2">
      <c r="A142" s="67" t="s">
        <v>1850</v>
      </c>
      <c r="B142" s="18" t="s">
        <v>1851</v>
      </c>
      <c r="C142" s="20" t="s">
        <v>83</v>
      </c>
      <c r="D142" s="68">
        <f>Chemistry!$D$146</f>
        <v>0.1</v>
      </c>
      <c r="E142" s="23" t="str">
        <f>HYPERLINK("#Chemistry!D146","→ Chemistry")</f>
        <v>→ Chemistry</v>
      </c>
      <c r="F142" s="21" t="s">
        <v>1843</v>
      </c>
    </row>
    <row r="143" spans="1:6" x14ac:dyDescent="0.2">
      <c r="A143" s="67" t="s">
        <v>1852</v>
      </c>
      <c r="B143" s="18" t="s">
        <v>1853</v>
      </c>
      <c r="C143" s="20" t="s">
        <v>83</v>
      </c>
      <c r="D143" s="68">
        <f>Chemistry!$D$147</f>
        <v>2.0</v>
      </c>
      <c r="E143" s="23" t="str">
        <f>HYPERLINK("#Chemistry!D147","→ Chemistry")</f>
        <v>→ Chemistry</v>
      </c>
      <c r="F143" s="21" t="s">
        <v>1843</v>
      </c>
    </row>
    <row r="145">
      <c r="A145" s="81" t="inlineStr">
        <is>
          <t xml:space="preserve">TODO – open work: measurements not yet in the Improvements table, model extensions and owner decisions (also in Media/TODO.md)</t>
        </is>
      </c>
    </row>
    <row r="146">
      <c r="A146" s="31" t="inlineStr">
        <is>
          <t xml:space="preserve">TODO</t>
        </is>
      </c>
      <c r="B146" s="31" t="inlineStr">
        <is>
          <t xml:space="preserve">Impact</t>
        </is>
      </c>
      <c r="C146" s="31" t="inlineStr">
        <is>
          <t xml:space="preserve">Effort</t>
        </is>
      </c>
      <c r="D146" s="31" t="inlineStr">
        <is>
          <t xml:space="preserve">Protocol</t>
        </is>
      </c>
      <c r="F146" s="31" t="inlineStr">
        <is>
          <t xml:space="preserve">Why it matters</t>
        </is>
      </c>
    </row>
    <row r="147">
      <c r="A147" s="20" t="inlineStr">
        <is>
          <t xml:space="preserve">Measure: headspace vent</t>
        </is>
      </c>
      <c r="B147" s="20" t="inlineStr">
        <is>
          <t xml:space="preserve">HIGH</t>
        </is>
      </c>
      <c r="C147" s="20" t="inlineStr">
        <is>
          <t xml:space="preserve">med</t>
        </is>
      </c>
      <c r="D147" s="32" t="str">
        <f>HYPERLINK("https://github.com/amy-bo/electroPioreactor/blob/AEP02/Media/protocols/headspace-vent.md","headspace-vent.md →")</f>
        <v>headspace-vent.md →</v>
      </c>
      <c r="F147" s="21" t="inlineStr">
        <is>
          <t xml:space="preserve">Decides the vent model (D111), the single biggest input: across plausible vents the interval runs from about 0.9 to 12.7 min. Fix the cap leak noted on CO2 flows L8 first.</t>
        </is>
      </c>
    </row>
    <row r="148">
      <c r="A148" s="20" t="inlineStr">
        <is>
          <t xml:space="preserve">Measure: abiotic DO trace</t>
        </is>
      </c>
      <c r="B148" s="20" t="inlineStr">
        <is>
          <t xml:space="preserve">HIGH</t>
        </is>
      </c>
      <c r="C148" s="20" t="inlineStr">
        <is>
          <t xml:space="preserve">med</t>
        </is>
      </c>
      <c r="D148" s="32" t="str">
        <f>HYPERLINK("https://github.com/amy-bo/electroPioreactor/blob/AEP02/Media/protocols/abiotic-do-trace.md","abiotic-do-trace.md →")</f>
        <v>abiotic-do-trace.md →</v>
      </c>
      <c r="F148" s="21" t="inlineStr">
        <is>
          <t xml:space="preserve">One run with no cells at 3 % logging DO with an optical spot: tests the whole headspace balance against the lag-phase predictions (rows 116–117).</t>
        </is>
      </c>
    </row>
    <row r="149">
      <c r="A149" s="20" t="inlineStr">
        <is>
          <t xml:space="preserve">Measure: headspace H₂/O₂ (safety)</t>
        </is>
      </c>
      <c r="B149" s="20" t="inlineStr">
        <is>
          <t xml:space="preserve">HIGH</t>
        </is>
      </c>
      <c r="C149" s="20" t="inlineStr">
        <is>
          <t xml:space="preserve">med</t>
        </is>
      </c>
      <c r="D149" s="32" t="str">
        <f>HYPERLINK("https://github.com/amy-bo/electroPioreactor/blob/AEP02/Media/protocols/headspace-gas-safety.md","headspace-gas-safety.md →")</f>
        <v>headspace-gas-safety.md →</v>
      </c>
      <c r="F149" s="21" t="inlineStr">
        <is>
          <t xml:space="preserve">Safety. The model puts the lag-phase headspace at about 11 % H₂ (row 126), above the 4 % lower flammable limit, until the cells take up H₂.</t>
        </is>
      </c>
    </row>
    <row r="150">
      <c r="A150" s="20" t="inlineStr">
        <is>
          <t xml:space="preserve">Measure: off-gas H₂ at steady growth</t>
        </is>
      </c>
      <c r="B150" s="20" t="inlineStr">
        <is>
          <t xml:space="preserve">HIGH</t>
        </is>
      </c>
      <c r="C150" s="20" t="inlineStr">
        <is>
          <t xml:space="preserve">high</t>
        </is>
      </c>
      <c r="D150" s="32" t="str">
        <f>HYPERLINK("https://github.com/amy-bo/electroPioreactor/blob/AEP02/Media/protocols/knallgas-stoichiometry.md","knallgas-stoichiometry.md →")</f>
        <v>knallgas-stoichiometry.md →</v>
      </c>
      <c r="F150" s="21" t="inlineStr">
        <is>
          <t xml:space="preserve">H₂ fraction in the vent gas × vent flow, against the H₂ the current makes, gives the H₂ uptake fraction behind the growth O₂ surplus (up to ±200 % on the schedule). Row 69 measures the same ratio in sealed bottles.</t>
        </is>
      </c>
    </row>
    <row r="151">
      <c r="A151" s="20" t="inlineStr">
        <is>
          <t xml:space="preserve">Measure: free and combined chlorine (DPD)</t>
        </is>
      </c>
      <c r="B151" s="20" t="inlineStr">
        <is>
          <t xml:space="preserve">MED</t>
        </is>
      </c>
      <c r="C151" s="20" t="inlineStr">
        <is>
          <t xml:space="preserve">low</t>
        </is>
      </c>
      <c r="D151" s="32" t="str">
        <f>HYPERLINK("https://github.com/amy-bo/electroPioreactor/blob/AEP02/Media/protocols/chlorine-species.md","chlorine-species.md →")</f>
        <v>chlorine-species.md →</v>
      </c>
      <c r="F151" s="21" t="inlineStr">
        <is>
          <t xml:space="preserve">Settles the monochloramine lifetime (Chemistry D142), which moves the interval by about ±32 %. Also confirm the CaCl₂ hydrate state (−24 % on every chlorine figure).</t>
        </is>
      </c>
    </row>
    <row r="152">
      <c r="A152" s="20" t="inlineStr">
        <is>
          <t xml:space="preserve">Measure: sparger-attached flow check</t>
        </is>
      </c>
      <c r="B152" s="20" t="inlineStr">
        <is>
          <t xml:space="preserve">LOW</t>
        </is>
      </c>
      <c r="C152" s="20" t="inlineStr">
        <is>
          <t xml:space="preserve">low</t>
        </is>
      </c>
      <c r="D152" s="32" t="str">
        <f>HYPERLINK("https://github.com/amy-bo/electroPioreactor/blob/AEP02/Media/protocols/flow-calibration.md","flow-calibration.md →")</f>
        <v>flow-calibration.md →</v>
      </c>
      <c r="F152" s="21" t="inlineStr">
        <is>
          <t xml:space="preserve">Step 10: confirms the open-line calibration holds with the sinter and liquid back-pressure of the real setup.</t>
        </is>
      </c>
    </row>
    <row r="153">
      <c r="A153" s="20" t="inlineStr">
        <is>
          <t xml:space="preserve">Model: timed N₂ pulses</t>
        </is>
      </c>
      <c r="B153" s="20" t="inlineStr">
        <is>
          <t xml:space="preserve">HIGH</t>
        </is>
      </c>
      <c r="C153" s="20" t="inlineStr">
        <is>
          <t xml:space="preserve">high</t>
        </is>
      </c>
      <c r="F153" s="21" t="inlineStr">
        <is>
          <t xml:space="preserve">CO₂ alone cannot hold the DO target and the pH band together (row 128). N₂ pulsed between CO₂ pulses would dilute O₂ and H₂, leaving CO₂ for carbon and pH, so CO₂ pulse, interval and N₂ dose can be solved together. Needs: objective, N₂ hardware and flow.</t>
        </is>
      </c>
    </row>
    <row r="154">
      <c r="A154" s="20" t="inlineStr">
        <is>
          <t xml:space="preserve">Model: couple alkalinity into pH</t>
        </is>
      </c>
      <c r="B154" s="20" t="inlineStr">
        <is>
          <t xml:space="preserve">HIGH</t>
        </is>
      </c>
      <c r="C154" s="20" t="inlineStr">
        <is>
          <t xml:space="preserve">med</t>
        </is>
      </c>
      <c r="F154" s="21" t="inlineStr">
        <is>
          <t xml:space="preserve">Rows 131–132 now give the NaHCO₃ for a target pH at first order (about 2 g/L for the 6.5 floor). Still to do: an added-alkalinity input that feeds the charge balance, ionic strength and CO₂ storage, so the schedule and pH respond to it.</t>
        </is>
      </c>
    </row>
    <row r="155">
      <c r="A155" s="20" t="inlineStr">
        <is>
          <t xml:space="preserve">Model: pulse = shortest reliable</t>
        </is>
      </c>
      <c r="B155" s="20" t="inlineStr">
        <is>
          <t xml:space="preserve">MED</t>
        </is>
      </c>
      <c r="C155" s="20" t="inlineStr">
        <is>
          <t xml:space="preserve">low</t>
        </is>
      </c>
      <c r="F155" s="21" t="inlineStr">
        <is>
          <t xml:space="preserve">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is>
      </c>
    </row>
    <row r="156">
      <c r="A156" s="20" t="inlineStr">
        <is>
          <t xml:space="preserve">Model: start-up (lag) regime</t>
        </is>
      </c>
      <c r="B156" s="20" t="inlineStr">
        <is>
          <t xml:space="preserve">MED</t>
        </is>
      </c>
      <c r="C156" s="20" t="inlineStr">
        <is>
          <t xml:space="preserve">med</t>
        </is>
      </c>
      <c r="F156" s="21" t="inlineStr">
        <is>
          <t xml:space="preserve">The schedule is sized for growth (D112). Until the cells take up H₂ the headspace is flammable and DO peaks higher; ramping the electrolysis current with biomass, or N₂ during lag only, covers start-up.</t>
        </is>
      </c>
    </row>
    <row r="157">
      <c r="A157" s="20" t="inlineStr">
        <is>
          <t xml:space="preserve">Model: measured k_m as input</t>
        </is>
      </c>
      <c r="B157" s="20" t="inlineStr">
        <is>
          <t xml:space="preserve">LOW</t>
        </is>
      </c>
      <c r="C157" s="20" t="inlineStr">
        <is>
          <t xml:space="preserve">low</t>
        </is>
      </c>
      <c r="D157" s="32" t="str">
        <f>HYPERLINK("https://github.com/amy-bo/electroPioreactor/blob/AEP02/Media/protocols/electrode-mass-transfer.md","electrode-mass-transfer.md →")</f>
        <v>electrode-mass-transfer.md →</v>
      </c>
      <c r="F157" s="21" t="inlineStr">
        <is>
          <t xml:space="preserve">Today a measured ferricyanide k_m is compared by hand with Electrochemistry D84; feeding it in would replace the assumed swirl velocity everywhere.</t>
        </is>
      </c>
    </row>
    <row r="158">
      <c r="A158" s="20" t="inlineStr">
        <is>
          <t xml:space="preserve">Decide: run temperature 25 or 30 °C</t>
        </is>
      </c>
      <c r="B158" s="20" t="inlineStr">
        <is>
          <t xml:space="preserve">MED</t>
        </is>
      </c>
      <c r="C158" s="20" t="inlineStr">
        <is>
          <t xml:space="preserve">low</t>
        </is>
      </c>
      <c r="D158" s="32" t="str">
        <f>HYPERLINK("https://github.com/amy-bo/electroPioreactor/blob/AEP02/Media/protocols/README.md","README.md →")</f>
        <v>README.md →</v>
      </c>
      <c r="F158" s="21" t="inlineStr">
        <is>
          <t xml:space="preserve">The protocols assume 30 °C; the model runs at D8 = 25 °C. Temperature moves CO₂ and O₂ solubility.</t>
        </is>
      </c>
    </row>
    <row r="159">
      <c r="A159" s="20" t="inlineStr">
        <is>
          <t xml:space="preserve">Decide: M365 on MBA claude account</t>
        </is>
      </c>
      <c r="B159" s="20" t="inlineStr">
        <is>
          <t xml:space="preserve">LOW</t>
        </is>
      </c>
      <c r="C159" s="20" t="inlineStr">
        <is>
          <t xml:space="preserve">low</t>
        </is>
      </c>
      <c r="F159" s="21" t="inlineStr">
        <is>
          <t xml:space="preserve">Excel there is view-only: it recalculates for verification but cannot save.</t>
        </is>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82" t="s">
        <v>106</v>
      </c>
      <c r="B1" s="20"/>
      <c r="C1" s="20"/>
      <c r="D1" s="20"/>
      <c r="E1" s="20"/>
      <c r="F1" s="20"/>
      <c r="G1" s="20"/>
      <c r="H1" s="20"/>
      <c r="I1" s="20"/>
    </row>
    <row r="2" spans="1:9" x14ac:dyDescent="0.2">
      <c r="A2" s="16" t="s">
        <v>20</v>
      </c>
      <c r="B2" s="16" t="s">
        <v>21</v>
      </c>
      <c r="C2" s="16" t="s">
        <v>22</v>
      </c>
      <c r="D2" s="16" t="s">
        <v>23</v>
      </c>
      <c r="E2" s="16" t="s">
        <v>107</v>
      </c>
      <c r="F2" s="20"/>
      <c r="G2" s="20"/>
      <c r="H2" s="20"/>
      <c r="I2" s="20"/>
    </row>
    <row r="3" spans="1:9" x14ac:dyDescent="0.2">
      <c r="A3" s="17"/>
      <c r="B3" s="18"/>
      <c r="C3" s="19"/>
      <c r="D3" s="83"/>
      <c r="E3" s="33"/>
      <c r="F3" s="20"/>
      <c r="G3" s="20"/>
      <c r="H3" s="20"/>
      <c r="I3" s="20"/>
    </row>
    <row r="4" spans="1:9" ht="16" customHeight="1" x14ac:dyDescent="0.2">
      <c r="A4" s="82" t="s">
        <v>108</v>
      </c>
      <c r="B4" s="18"/>
      <c r="C4" s="19"/>
      <c r="D4" s="83"/>
      <c r="E4" s="33"/>
      <c r="F4" s="20"/>
      <c r="G4" s="20"/>
      <c r="H4" s="20"/>
      <c r="I4" s="20"/>
    </row>
    <row r="5" spans="1:9" x14ac:dyDescent="0.2">
      <c r="A5" s="20" t="s">
        <v>109</v>
      </c>
      <c r="B5" s="20" t="s">
        <v>110</v>
      </c>
      <c r="C5" s="20" t="s">
        <v>111</v>
      </c>
      <c r="D5" s="109" t="str">
        <f>Summary!$D$2</f>
        <v>ed04</v>
      </c>
      <c r="E5" s="110" t="str">
        <f>HYPERLINK("#Summary!D2","→ Summary")</f>
        <v>→ Summary</v>
      </c>
      <c r="F5" s="20"/>
      <c r="G5" s="20"/>
      <c r="H5" s="20"/>
      <c r="I5" s="20"/>
    </row>
    <row r="6" spans="1:9" x14ac:dyDescent="0.2">
      <c r="A6" s="20" t="s">
        <v>112</v>
      </c>
      <c r="B6" s="20" t="s">
        <v>51</v>
      </c>
      <c r="C6" s="20" t="s">
        <v>52</v>
      </c>
      <c r="D6" s="109">
        <f>Summary!$D$9</f>
        <v>0.0</v>
      </c>
      <c r="E6" s="110" t="str">
        <f>HYPERLINK("#Summary!D9","→ Summary")</f>
        <v>→ Summary</v>
      </c>
      <c r="F6" s="20"/>
      <c r="G6" s="20"/>
      <c r="H6" s="20"/>
      <c r="I6" s="20"/>
    </row>
    <row r="7" spans="1:9" x14ac:dyDescent="0.2">
      <c r="A7" s="17"/>
      <c r="B7" s="18"/>
      <c r="C7" s="19"/>
      <c r="D7" s="84"/>
      <c r="E7" s="142"/>
      <c r="F7" s="20"/>
      <c r="G7" s="20"/>
      <c r="H7" s="20"/>
      <c r="I7" s="20"/>
    </row>
    <row r="8" spans="1:9" ht="26" customHeight="1" x14ac:dyDescent="0.2">
      <c r="A8" s="17"/>
      <c r="B8" s="18"/>
      <c r="C8" s="19"/>
      <c r="D8" s="111"/>
      <c r="E8" s="85"/>
      <c r="F8" s="20"/>
      <c r="G8" s="20"/>
      <c r="H8" s="20"/>
      <c r="I8" s="20"/>
    </row>
    <row r="9" spans="1:9" x14ac:dyDescent="0.2">
      <c r="A9" s="17"/>
      <c r="B9" s="18"/>
      <c r="C9" s="19"/>
      <c r="D9" s="111"/>
      <c r="E9" s="85"/>
      <c r="F9" s="20"/>
      <c r="G9" s="20"/>
      <c r="H9" s="20"/>
      <c r="I9" s="20"/>
    </row>
    <row r="10" spans="1:9" ht="24" customHeight="1" x14ac:dyDescent="0.2">
      <c r="A10" s="17"/>
      <c r="B10" s="18"/>
      <c r="C10" s="19"/>
      <c r="D10" s="112"/>
      <c r="E10" s="86"/>
      <c r="F10" s="20"/>
      <c r="G10" s="20"/>
      <c r="H10" s="20"/>
      <c r="I10" s="20"/>
    </row>
    <row r="11" spans="1:9" x14ac:dyDescent="0.2">
      <c r="A11" s="17"/>
      <c r="B11" s="18"/>
      <c r="C11" s="19"/>
      <c r="D11" s="112"/>
      <c r="E11" s="87"/>
      <c r="F11" s="20"/>
      <c r="G11" s="20"/>
      <c r="H11" s="20"/>
      <c r="I11" s="20"/>
    </row>
    <row r="12" spans="1:9" x14ac:dyDescent="0.2">
      <c r="A12" s="17"/>
      <c r="B12" s="18"/>
      <c r="C12" s="19"/>
      <c r="D12" s="113"/>
      <c r="E12" s="88"/>
      <c r="F12" s="20"/>
      <c r="G12" s="20"/>
      <c r="H12" s="20"/>
      <c r="I12" s="20"/>
    </row>
    <row r="13" spans="1:9" x14ac:dyDescent="0.2">
      <c r="A13" s="17"/>
      <c r="B13" s="18"/>
      <c r="C13" s="19"/>
      <c r="D13" s="113"/>
      <c r="E13" s="88"/>
      <c r="F13" s="20"/>
      <c r="G13" s="20"/>
      <c r="H13" s="20"/>
      <c r="I13" s="20"/>
    </row>
    <row r="14" spans="1:9" ht="24" customHeight="1" x14ac:dyDescent="0.2">
      <c r="A14" s="17"/>
      <c r="B14" s="18"/>
      <c r="C14" s="19"/>
      <c r="D14" s="113"/>
      <c r="E14" s="86"/>
      <c r="F14" s="20"/>
      <c r="G14" s="20"/>
      <c r="H14" s="20"/>
      <c r="I14" s="20"/>
    </row>
    <row r="15" spans="1:9" ht="24" customHeight="1" x14ac:dyDescent="0.2">
      <c r="A15" s="17"/>
      <c r="B15" s="18"/>
      <c r="C15" s="19"/>
      <c r="D15" s="113"/>
      <c r="E15" s="86"/>
      <c r="F15" s="20"/>
      <c r="G15" s="20"/>
      <c r="H15" s="20"/>
      <c r="I15" s="20"/>
    </row>
    <row r="16" spans="1:9" x14ac:dyDescent="0.2">
      <c r="A16" s="17"/>
      <c r="B16" s="18"/>
      <c r="C16" s="19"/>
      <c r="D16" s="113"/>
      <c r="E16" s="89"/>
      <c r="F16" s="20"/>
      <c r="G16" s="20"/>
      <c r="H16" s="20"/>
      <c r="I16" s="20"/>
    </row>
    <row r="17" spans="1:9" x14ac:dyDescent="0.2">
      <c r="A17" s="17"/>
      <c r="B17" s="18"/>
      <c r="C17" s="19"/>
      <c r="D17" s="113"/>
      <c r="E17" s="89"/>
      <c r="F17" s="20"/>
      <c r="G17" s="20"/>
      <c r="H17" s="20"/>
      <c r="I17" s="20"/>
    </row>
    <row r="18" spans="1:9" x14ac:dyDescent="0.2">
      <c r="A18" s="17" t="s">
        <v>116</v>
      </c>
      <c r="B18" s="18" t="s">
        <v>117</v>
      </c>
      <c r="C18" s="19" t="s">
        <v>115</v>
      </c>
      <c r="D18" s="114">
        <f>VLOOKUP(rx_ver,$A$84:$I$87,MATCH("vial OD (mm)",$A$83:$I$83,0),FALSE)</f>
        <v>27.48</v>
      </c>
      <c r="E18" s="77" t="s">
        <v>118</v>
      </c>
      <c r="F18" s="20"/>
      <c r="G18" s="20"/>
      <c r="H18" s="20"/>
      <c r="I18" s="20"/>
    </row>
    <row r="19" spans="1:9" ht="24" customHeight="1" x14ac:dyDescent="0.2">
      <c r="A19" s="17" t="s">
        <v>119</v>
      </c>
      <c r="B19" s="18" t="s">
        <v>120</v>
      </c>
      <c r="C19" s="19" t="s">
        <v>115</v>
      </c>
      <c r="D19" s="135">
        <v>1.1000000000000001</v>
      </c>
      <c r="E19" s="36" t="s">
        <v>121</v>
      </c>
      <c r="F19" s="20"/>
      <c r="G19" s="20"/>
      <c r="H19" s="20"/>
      <c r="I19" s="20"/>
    </row>
    <row r="20" spans="1:9" x14ac:dyDescent="0.2">
      <c r="A20" s="17" t="s">
        <v>122</v>
      </c>
      <c r="B20" s="18" t="s">
        <v>123</v>
      </c>
      <c r="C20" s="19" t="s">
        <v>115</v>
      </c>
      <c r="D20" s="37">
        <f>vial_OD-2*vial_wall</f>
        <v>25.28</v>
      </c>
      <c r="E20" s="77" t="s">
        <v>124</v>
      </c>
      <c r="F20" s="20"/>
      <c r="G20" s="20"/>
      <c r="H20" s="20"/>
      <c r="I20" s="20"/>
    </row>
    <row r="21" spans="1:9" x14ac:dyDescent="0.2">
      <c r="A21" s="17" t="s">
        <v>125</v>
      </c>
      <c r="B21" s="18" t="s">
        <v>126</v>
      </c>
      <c r="C21" s="19" t="s">
        <v>127</v>
      </c>
      <c r="D21" s="38">
        <f>PI()/4*vial_ID^2</f>
        <v>501.93100162698</v>
      </c>
      <c r="E21" s="77" t="s">
        <v>128</v>
      </c>
      <c r="F21" s="20"/>
      <c r="G21" s="20"/>
      <c r="H21" s="20"/>
      <c r="I21" s="20"/>
    </row>
    <row r="22" spans="1:9" x14ac:dyDescent="0.2">
      <c r="A22" s="17" t="s">
        <v>129</v>
      </c>
      <c r="B22" s="18" t="s">
        <v>130</v>
      </c>
      <c r="C22" s="19" t="s">
        <v>115</v>
      </c>
      <c r="D22" s="115">
        <f>IF(ISNUMBER(cal_Dint),cal_Dint,VLOOKUP(rx_ver,$A$84:$I$87,MATCH("usable depth (mm)",$A$83:$I$83,0),FALSE))</f>
        <v>55.0</v>
      </c>
      <c r="E22" s="77" t="s">
        <v>131</v>
      </c>
      <c r="F22" s="20"/>
      <c r="G22" s="20"/>
      <c r="H22" s="20"/>
      <c r="I22" s="20"/>
    </row>
    <row r="23" spans="1:9" x14ac:dyDescent="0.2">
      <c r="A23" s="17" t="s">
        <v>132</v>
      </c>
      <c r="B23" s="18" t="s">
        <v>133</v>
      </c>
      <c r="C23" s="19" t="s">
        <v>52</v>
      </c>
      <c r="D23" s="115">
        <f>VLOOKUP(rx_ver,$A$84:$I$87,MATCH("max working (mL)",$A$83:$I$83,0),FALSE)</f>
        <v>16.0</v>
      </c>
      <c r="E23" s="77" t="s">
        <v>131</v>
      </c>
      <c r="F23" s="20"/>
      <c r="G23" s="20"/>
      <c r="H23" s="20"/>
      <c r="I23" s="20"/>
    </row>
    <row r="24" spans="1:9" x14ac:dyDescent="0.2">
      <c r="A24" s="17" t="s">
        <v>134</v>
      </c>
      <c r="B24" s="18" t="s">
        <v>135</v>
      </c>
      <c r="C24" s="19" t="s">
        <v>52</v>
      </c>
      <c r="D24" s="115">
        <f>IF(ISNUMBER(cal_Vtot),cal_Vtot,VLOOKUP(rx_ver,$A$84:$I$87,MATCH("total vial (mL)",$A$83:$I$83,0),FALSE))</f>
        <v>20.0</v>
      </c>
      <c r="E24" s="77" t="s">
        <v>131</v>
      </c>
      <c r="F24" s="20"/>
      <c r="G24" s="20"/>
      <c r="H24" s="20"/>
      <c r="I24" s="20"/>
    </row>
    <row r="25" spans="1:9" x14ac:dyDescent="0.2">
      <c r="A25" s="17" t="s">
        <v>136</v>
      </c>
      <c r="B25" s="18" t="s">
        <v>137</v>
      </c>
      <c r="C25" s="19" t="s">
        <v>115</v>
      </c>
      <c r="D25" s="37">
        <f>V_max*1000/A_x</f>
        <v>31.876891341911</v>
      </c>
      <c r="E25" s="77" t="s">
        <v>138</v>
      </c>
      <c r="F25" s="20"/>
      <c r="G25" s="20"/>
      <c r="H25" s="20"/>
      <c r="I25" s="20"/>
    </row>
    <row r="26" spans="1:9" x14ac:dyDescent="0.2">
      <c r="A26" s="17" t="s">
        <v>139</v>
      </c>
      <c r="B26" s="18" t="s">
        <v>140</v>
      </c>
      <c r="C26" s="19" t="s">
        <v>115</v>
      </c>
      <c r="D26" s="135">
        <v>6</v>
      </c>
      <c r="E26" s="33" t="s">
        <v>141</v>
      </c>
      <c r="F26" s="20"/>
      <c r="G26" s="20"/>
      <c r="H26" s="20"/>
      <c r="I26" s="20"/>
    </row>
    <row r="27" spans="1:9" x14ac:dyDescent="0.2">
      <c r="A27" s="17" t="s">
        <v>142</v>
      </c>
      <c r="B27" s="18" t="s">
        <v>143</v>
      </c>
      <c r="C27" s="19" t="s">
        <v>111</v>
      </c>
      <c r="D27" s="135">
        <v>2</v>
      </c>
      <c r="E27" s="77" t="s">
        <v>144</v>
      </c>
      <c r="F27" s="20"/>
      <c r="G27" s="20"/>
      <c r="H27" s="20"/>
      <c r="I27" s="20"/>
    </row>
    <row r="28" spans="1:9" x14ac:dyDescent="0.2">
      <c r="A28" s="17" t="s">
        <v>145</v>
      </c>
      <c r="B28" s="18" t="s">
        <v>146</v>
      </c>
      <c r="C28" s="19" t="s">
        <v>115</v>
      </c>
      <c r="D28" s="135">
        <v>22</v>
      </c>
      <c r="E28" s="33" t="s">
        <v>147</v>
      </c>
      <c r="F28" s="20"/>
      <c r="G28" s="20"/>
      <c r="H28" s="20"/>
      <c r="I28" s="20"/>
    </row>
    <row r="29" spans="1:9" x14ac:dyDescent="0.2">
      <c r="A29" s="90" t="s">
        <v>148</v>
      </c>
      <c r="B29" s="18" t="s">
        <v>149</v>
      </c>
      <c r="C29" s="19" t="s">
        <v>115</v>
      </c>
      <c r="D29" s="38">
        <f>D_int-elec_clear</f>
        <v>33.0</v>
      </c>
      <c r="E29" s="77" t="s">
        <v>150</v>
      </c>
      <c r="F29" s="20"/>
      <c r="G29" s="20"/>
      <c r="H29" s="20"/>
      <c r="I29" s="20"/>
    </row>
    <row r="30" spans="1:9" x14ac:dyDescent="0.2">
      <c r="A30" s="17" t="s">
        <v>151</v>
      </c>
      <c r="B30" s="18" t="s">
        <v>152</v>
      </c>
      <c r="C30" s="19" t="s">
        <v>115</v>
      </c>
      <c r="D30" s="135">
        <v>3.1749999999999998</v>
      </c>
      <c r="E30" s="77" t="s">
        <v>153</v>
      </c>
      <c r="F30" s="20"/>
      <c r="G30" s="20"/>
      <c r="H30" s="20"/>
      <c r="I30" s="20"/>
    </row>
    <row r="31" spans="1:9" x14ac:dyDescent="0.2">
      <c r="A31" s="17" t="s">
        <v>154</v>
      </c>
      <c r="B31" s="18" t="s">
        <v>155</v>
      </c>
      <c r="C31" s="19" t="s">
        <v>115</v>
      </c>
      <c r="D31" s="135">
        <v>1.5874999999999999</v>
      </c>
      <c r="E31" s="77" t="s">
        <v>156</v>
      </c>
      <c r="F31" s="20"/>
      <c r="G31" s="20"/>
      <c r="H31" s="20"/>
      <c r="I31" s="20"/>
    </row>
    <row r="32" spans="1:9" x14ac:dyDescent="0.2">
      <c r="A32" s="17" t="s">
        <v>157</v>
      </c>
      <c r="B32" s="18" t="s">
        <v>158</v>
      </c>
      <c r="C32" s="19" t="s">
        <v>115</v>
      </c>
      <c r="D32" s="38">
        <f>elec_clear</f>
        <v>22.0</v>
      </c>
      <c r="E32" s="33" t="s">
        <v>159</v>
      </c>
      <c r="F32" s="20"/>
      <c r="G32" s="20"/>
      <c r="H32" s="20"/>
      <c r="I32" s="20"/>
    </row>
    <row r="33" spans="1:9" x14ac:dyDescent="0.2">
      <c r="A33" s="17" t="s">
        <v>160</v>
      </c>
      <c r="B33" s="18" t="s">
        <v>161</v>
      </c>
      <c r="C33" s="19" t="s">
        <v>115</v>
      </c>
      <c r="D33" s="135">
        <v>3.1749999999999998</v>
      </c>
      <c r="E33" s="77" t="s">
        <v>153</v>
      </c>
      <c r="F33" s="20"/>
      <c r="G33" s="20"/>
      <c r="H33" s="20"/>
      <c r="I33" s="20"/>
    </row>
    <row r="34" spans="1:9" x14ac:dyDescent="0.2">
      <c r="A34" s="17" t="s">
        <v>162</v>
      </c>
      <c r="B34" s="18" t="s">
        <v>163</v>
      </c>
      <c r="C34" s="19" t="s">
        <v>115</v>
      </c>
      <c r="D34" s="135">
        <v>1.5874999999999999</v>
      </c>
      <c r="E34" s="77" t="s">
        <v>156</v>
      </c>
      <c r="F34" s="20"/>
      <c r="G34" s="20"/>
      <c r="H34" s="20"/>
      <c r="I34" s="20"/>
    </row>
    <row r="35" spans="1:9" x14ac:dyDescent="0.2">
      <c r="A35" s="17" t="s">
        <v>164</v>
      </c>
      <c r="B35" s="18" t="s">
        <v>165</v>
      </c>
      <c r="C35" s="19" t="s">
        <v>115</v>
      </c>
      <c r="D35" s="37">
        <f>MAX(0,h_datum-elec_clear)</f>
        <v>9.876891341911</v>
      </c>
      <c r="E35" s="77" t="s">
        <v>166</v>
      </c>
      <c r="F35" s="20"/>
      <c r="G35" s="20"/>
      <c r="H35" s="20"/>
      <c r="I35" s="20"/>
    </row>
    <row r="36" spans="1:9" x14ac:dyDescent="0.2">
      <c r="A36" s="17" t="s">
        <v>167</v>
      </c>
      <c r="B36" s="18" t="s">
        <v>168</v>
      </c>
      <c r="C36" s="19" t="s">
        <v>52</v>
      </c>
      <c r="D36" s="39">
        <f>rod_n*(PI()/4*rod_d^2)*elec_sub_L/1000</f>
        <v>0.558525047041</v>
      </c>
      <c r="E36" s="77" t="s">
        <v>169</v>
      </c>
      <c r="F36" s="20"/>
      <c r="G36" s="20"/>
      <c r="H36" s="20"/>
      <c r="I36" s="20"/>
    </row>
    <row r="37" spans="1:9" x14ac:dyDescent="0.2">
      <c r="A37" s="17" t="s">
        <v>170</v>
      </c>
      <c r="B37" s="18" t="s">
        <v>171</v>
      </c>
      <c r="C37" s="19" t="s">
        <v>52</v>
      </c>
      <c r="D37" s="39">
        <f>(PI()/4*spg_OD^2)*MAX(0,h_datum-spg_tip_h)/1000</f>
        <v>0.078198354893</v>
      </c>
      <c r="E37" s="77" t="s">
        <v>172</v>
      </c>
      <c r="F37" s="20"/>
      <c r="G37" s="20"/>
      <c r="H37" s="20"/>
      <c r="I37" s="20"/>
    </row>
    <row r="38" spans="1:9" x14ac:dyDescent="0.2">
      <c r="A38" s="17" t="s">
        <v>173</v>
      </c>
      <c r="B38" s="18" t="s">
        <v>174</v>
      </c>
      <c r="C38" s="19" t="s">
        <v>115</v>
      </c>
      <c r="D38" s="39">
        <f>(eff_OD+eff_ID)/2</f>
        <v>2.38125</v>
      </c>
      <c r="E38" s="33" t="s">
        <v>175</v>
      </c>
      <c r="F38" s="20"/>
      <c r="G38" s="20"/>
      <c r="H38" s="20"/>
      <c r="I38" s="20"/>
    </row>
    <row r="39" spans="1:9" x14ac:dyDescent="0.2">
      <c r="A39" s="17" t="s">
        <v>176</v>
      </c>
      <c r="B39" s="18" t="s">
        <v>177</v>
      </c>
      <c r="C39" s="19" t="s">
        <v>52</v>
      </c>
      <c r="D39" s="40">
        <f>(PI()/4*(eff_OD^2-eff_ID^2))*eff_sub_L/1000</f>
        <v>0.014139810757</v>
      </c>
      <c r="E39" s="33" t="s">
        <v>178</v>
      </c>
      <c r="F39" s="20"/>
      <c r="G39" s="20"/>
      <c r="H39" s="20"/>
      <c r="I39" s="20"/>
    </row>
    <row r="40" spans="1:9" x14ac:dyDescent="0.2">
      <c r="A40" s="17" t="s">
        <v>179</v>
      </c>
      <c r="B40" s="18" t="s">
        <v>180</v>
      </c>
      <c r="C40" s="19" t="s">
        <v>52</v>
      </c>
      <c r="D40" s="39">
        <f>elec_disp+spg_disp+eff_disp</f>
        <v>0.650863212691</v>
      </c>
      <c r="E40" s="77" t="s">
        <v>181</v>
      </c>
      <c r="F40" s="20"/>
      <c r="G40" s="20"/>
      <c r="H40" s="20"/>
      <c r="I40" s="20"/>
    </row>
    <row r="41" spans="1:9" x14ac:dyDescent="0.2">
      <c r="A41" s="90" t="s">
        <v>182</v>
      </c>
      <c r="B41" s="18" t="s">
        <v>183</v>
      </c>
      <c r="C41" s="19" t="s">
        <v>52</v>
      </c>
      <c r="D41" s="42">
        <f>IF(media_volume&gt;0,media_volume,ROUND(V_max-disp_tot,0))</f>
        <v>15.0</v>
      </c>
      <c r="E41" s="77" t="s">
        <v>184</v>
      </c>
      <c r="F41" s="20"/>
      <c r="G41" s="20"/>
      <c r="H41" s="20"/>
      <c r="I41" s="20"/>
    </row>
    <row r="42" spans="1:9" x14ac:dyDescent="0.2">
      <c r="A42" s="90" t="s">
        <v>185</v>
      </c>
      <c r="B42" s="18" t="s">
        <v>186</v>
      </c>
      <c r="C42" s="19" t="s">
        <v>115</v>
      </c>
      <c r="D42" s="37">
        <f>(V_charge+disp_tot)*1000/A_x</f>
        <v>31.18130412738</v>
      </c>
      <c r="E42" s="77" t="s">
        <v>187</v>
      </c>
      <c r="F42" s="20"/>
      <c r="G42" s="20"/>
      <c r="H42" s="20"/>
      <c r="I42" s="20"/>
    </row>
    <row r="43" spans="1:9" x14ac:dyDescent="0.2">
      <c r="A43" s="90" t="s">
        <v>188</v>
      </c>
      <c r="B43" s="18" t="s">
        <v>189</v>
      </c>
      <c r="C43" s="19" t="s">
        <v>115</v>
      </c>
      <c r="D43" s="37">
        <f>MAX(0,h_actual-spg_tip_h)</f>
        <v>9.18130412738</v>
      </c>
      <c r="E43" s="77" t="s">
        <v>190</v>
      </c>
      <c r="F43" s="20"/>
      <c r="G43" s="20"/>
      <c r="H43" s="20"/>
      <c r="I43" s="20"/>
    </row>
    <row r="44" spans="1:9" x14ac:dyDescent="0.2">
      <c r="A44" s="90" t="s">
        <v>191</v>
      </c>
      <c r="B44" s="18" t="s">
        <v>192</v>
      </c>
      <c r="C44" s="19" t="s">
        <v>127</v>
      </c>
      <c r="D44" s="38">
        <f>A_x-(rod_n*(PI()/4*rod_d^2)+(PI()/4*spg_OD^2)+(PI()/4*eff_OD^2))</f>
        <v>429.547725140567</v>
      </c>
      <c r="E44" s="33" t="s">
        <v>193</v>
      </c>
      <c r="F44" s="20"/>
      <c r="G44" s="20"/>
      <c r="H44" s="20"/>
      <c r="I44" s="20"/>
    </row>
    <row r="45" spans="1:9" x14ac:dyDescent="0.2">
      <c r="A45" s="17" t="s">
        <v>194</v>
      </c>
      <c r="B45" s="18" t="s">
        <v>195</v>
      </c>
      <c r="C45" s="19" t="s">
        <v>115</v>
      </c>
      <c r="D45" s="39">
        <f>eff_OD</f>
        <v>3.175</v>
      </c>
      <c r="E45" s="33" t="s">
        <v>196</v>
      </c>
      <c r="F45" s="20"/>
      <c r="G45" s="20"/>
      <c r="H45" s="20"/>
      <c r="I45" s="20"/>
    </row>
    <row r="46" spans="1:9" x14ac:dyDescent="0.2">
      <c r="A46" s="17" t="s">
        <v>197</v>
      </c>
      <c r="B46" s="18" t="s">
        <v>198</v>
      </c>
      <c r="C46" s="19" t="s">
        <v>111</v>
      </c>
      <c r="D46" s="135">
        <v>3</v>
      </c>
      <c r="E46" s="33" t="s">
        <v>199</v>
      </c>
      <c r="F46" s="20"/>
      <c r="G46" s="20"/>
      <c r="H46" s="20"/>
      <c r="I46" s="20"/>
    </row>
    <row r="47" spans="1:9" x14ac:dyDescent="0.2">
      <c r="A47" s="17" t="s">
        <v>200</v>
      </c>
      <c r="B47" s="18" t="s">
        <v>201</v>
      </c>
      <c r="C47" s="19" t="s">
        <v>115</v>
      </c>
      <c r="D47" s="135">
        <v>5</v>
      </c>
      <c r="E47" s="36" t="s">
        <v>202</v>
      </c>
      <c r="F47" s="20"/>
      <c r="G47" s="20"/>
      <c r="H47" s="20"/>
      <c r="I47" s="20"/>
    </row>
    <row r="48" spans="1:9" x14ac:dyDescent="0.2">
      <c r="A48" s="17" t="s">
        <v>203</v>
      </c>
      <c r="B48" s="18" t="s">
        <v>204</v>
      </c>
      <c r="C48" s="19" t="s">
        <v>52</v>
      </c>
      <c r="D48" s="39">
        <f>(rod_n*(PI()/4*rod_d^2)*elec_ins+(PI()/4*spg_OD^2)*spg_len+(PI()/4*(eff_OD^2-eff_ID^2))*(D_int-h_actual)+xtube_n*(PI()/4*xtube_OD^2)*xtube_pro)/1000</f>
        <v>2.387571544083</v>
      </c>
      <c r="E48" s="33" t="s">
        <v>205</v>
      </c>
      <c r="F48" s="20"/>
      <c r="G48" s="20"/>
      <c r="H48" s="20"/>
      <c r="I48" s="20"/>
    </row>
    <row r="49" spans="1:9" ht="36" x14ac:dyDescent="0.2">
      <c r="A49" s="90" t="s">
        <v>206</v>
      </c>
      <c r="B49" s="18" t="s">
        <v>207</v>
      </c>
      <c r="C49" s="19" t="s">
        <v>52</v>
      </c>
      <c r="D49" s="37">
        <f>IF(AND(ISNUMBER(cal_hs),ISNUMBER(cal_hs_fill)),cal_hs-(V_charge-cal_hs_fill),V_vial_total-V_charge-V_inserts)</f>
        <v>2.612428455917</v>
      </c>
      <c r="E49" s="33" t="s">
        <v>1854</v>
      </c>
      <c r="F49" s="20"/>
      <c r="G49" s="20"/>
      <c r="H49" s="20"/>
      <c r="I49" s="20"/>
    </row>
    <row r="50" spans="1:9" x14ac:dyDescent="0.2">
      <c r="A50" s="17" t="s">
        <v>208</v>
      </c>
      <c r="B50" s="18" t="s">
        <v>209</v>
      </c>
      <c r="C50" s="19" t="s">
        <v>115</v>
      </c>
      <c r="D50" s="41">
        <f>D_int-spg_tip_h</f>
        <v>33.0</v>
      </c>
      <c r="E50" s="77" t="s">
        <v>210</v>
      </c>
      <c r="F50" s="20"/>
      <c r="G50" s="20"/>
      <c r="H50" s="20"/>
      <c r="I50" s="20"/>
    </row>
    <row r="51" spans="1:9" x14ac:dyDescent="0.2">
      <c r="A51" s="20" t="s">
        <v>211</v>
      </c>
      <c r="B51" s="20" t="s">
        <v>212</v>
      </c>
      <c r="C51" s="20"/>
      <c r="D51" s="24" t="str">
        <f>VLOOKUP(reactor_sel,$A$59:$B$80,MATCH("Type",$A$58:$B$58,0),FALSE)</f>
        <v>MEP0.3</v>
      </c>
      <c r="E51" s="20"/>
      <c r="F51" s="20"/>
      <c r="G51" s="20"/>
      <c r="H51" s="20"/>
      <c r="I51" s="20"/>
    </row>
    <row r="52" spans="1:9" x14ac:dyDescent="0.2">
      <c r="A52" s="20" t="s">
        <v>213</v>
      </c>
      <c r="B52" s="20" t="s">
        <v>214</v>
      </c>
      <c r="C52" s="20"/>
      <c r="D52" s="24">
        <f>VLOOKUP(rx_ver,$A$84:$I$87,MATCH("stir bar L (mm)",$A$83:$I$83,0),FALSE)</f>
        <v>12.0</v>
      </c>
      <c r="E52" s="20"/>
      <c r="F52" s="20"/>
      <c r="G52" s="20"/>
      <c r="H52" s="20"/>
      <c r="I52" s="20"/>
    </row>
    <row r="53" spans="1:9" x14ac:dyDescent="0.2">
      <c r="A53" s="79" t="s">
        <v>215</v>
      </c>
      <c r="B53" s="20"/>
      <c r="C53" s="20"/>
      <c r="D53" s="20"/>
      <c r="E53" s="20"/>
      <c r="F53" s="20"/>
      <c r="G53" s="20"/>
      <c r="H53" s="20"/>
      <c r="I53" s="20"/>
    </row>
    <row r="54" spans="1:9" x14ac:dyDescent="0.2">
      <c r="A54" s="20" t="s">
        <v>216</v>
      </c>
      <c r="B54" s="20" t="s">
        <v>217</v>
      </c>
      <c r="C54" s="20"/>
      <c r="D54" s="24" t="str">
        <f>IF(V_charge&gt;V_max,"MEDIA &gt; MAX WORKING VOLUME","OK")</f>
        <v>OK</v>
      </c>
      <c r="E54" s="20"/>
      <c r="F54" s="20"/>
      <c r="G54" s="20"/>
      <c r="H54" s="20"/>
      <c r="I54" s="20"/>
    </row>
    <row r="55" spans="1:9" x14ac:dyDescent="0.2">
      <c r="A55" s="20" t="s">
        <v>218</v>
      </c>
      <c r="B55" s="20" t="s">
        <v>219</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81" t="s">
        <v>220</v>
      </c>
      <c r="B57" s="20"/>
      <c r="C57" s="20"/>
      <c r="D57" s="20"/>
      <c r="E57" s="20"/>
      <c r="F57" s="20"/>
      <c r="G57" s="20"/>
      <c r="H57" s="20"/>
      <c r="I57" s="20"/>
    </row>
    <row r="58" spans="1:9" x14ac:dyDescent="0.2">
      <c r="A58" s="81" t="s">
        <v>1</v>
      </c>
      <c r="B58" s="81" t="s">
        <v>221</v>
      </c>
      <c r="C58" s="20"/>
      <c r="D58" s="20"/>
      <c r="E58" s="20"/>
      <c r="F58" s="20"/>
      <c r="G58" s="20"/>
      <c r="H58" s="20"/>
      <c r="I58" s="20"/>
    </row>
    <row r="59" spans="1:9" x14ac:dyDescent="0.2">
      <c r="A59" s="20" t="s">
        <v>222</v>
      </c>
      <c r="B59" s="20" t="s">
        <v>113</v>
      </c>
      <c r="C59" s="20"/>
      <c r="D59" s="20"/>
      <c r="E59" s="20"/>
      <c r="F59" s="20"/>
      <c r="G59" s="20"/>
      <c r="H59" s="20"/>
      <c r="I59" s="20"/>
    </row>
    <row r="60" spans="1:9" x14ac:dyDescent="0.2">
      <c r="A60" s="20" t="s">
        <v>223</v>
      </c>
      <c r="B60" s="20" t="s">
        <v>113</v>
      </c>
      <c r="C60" s="20"/>
      <c r="D60" s="20"/>
      <c r="E60" s="20"/>
      <c r="F60" s="20"/>
      <c r="G60" s="20"/>
      <c r="H60" s="20"/>
      <c r="I60" s="20"/>
    </row>
    <row r="61" spans="1:9" x14ac:dyDescent="0.2">
      <c r="A61" s="20" t="s">
        <v>224</v>
      </c>
      <c r="B61" s="20" t="s">
        <v>113</v>
      </c>
      <c r="C61" s="20"/>
      <c r="D61" s="20"/>
      <c r="E61" s="20"/>
      <c r="F61" s="20"/>
      <c r="G61" s="20"/>
      <c r="H61" s="20"/>
      <c r="I61" s="20"/>
    </row>
    <row r="62" spans="1:9" x14ac:dyDescent="0.2">
      <c r="A62" s="20" t="s">
        <v>225</v>
      </c>
      <c r="B62" s="20" t="s">
        <v>113</v>
      </c>
      <c r="C62" s="20"/>
      <c r="D62" s="20"/>
      <c r="E62" s="20"/>
      <c r="F62" s="20"/>
      <c r="G62" s="20"/>
      <c r="H62" s="20"/>
      <c r="I62" s="20"/>
    </row>
    <row r="63" spans="1:9" x14ac:dyDescent="0.2">
      <c r="A63" s="20" t="s">
        <v>226</v>
      </c>
      <c r="B63" s="20" t="s">
        <v>113</v>
      </c>
      <c r="C63" s="20"/>
      <c r="D63" s="20"/>
      <c r="E63" s="20"/>
      <c r="F63" s="20"/>
      <c r="G63" s="20"/>
      <c r="H63" s="20"/>
      <c r="I63" s="20"/>
    </row>
    <row r="64" spans="1:9" x14ac:dyDescent="0.2">
      <c r="A64" s="20" t="s">
        <v>227</v>
      </c>
      <c r="B64" s="20" t="s">
        <v>113</v>
      </c>
      <c r="C64" s="20"/>
      <c r="D64" s="20"/>
      <c r="E64" s="20"/>
      <c r="F64" s="20"/>
      <c r="G64" s="20"/>
      <c r="H64" s="20"/>
      <c r="I64" s="20"/>
    </row>
    <row r="65" spans="1:9" x14ac:dyDescent="0.2">
      <c r="A65" s="20" t="s">
        <v>228</v>
      </c>
      <c r="B65" s="20" t="s">
        <v>113</v>
      </c>
      <c r="C65" s="20"/>
      <c r="D65" s="20"/>
      <c r="E65" s="20"/>
      <c r="F65" s="20"/>
      <c r="G65" s="20"/>
      <c r="H65" s="20"/>
      <c r="I65" s="20"/>
    </row>
    <row r="66" spans="1:9" x14ac:dyDescent="0.2">
      <c r="A66" s="20" t="s">
        <v>229</v>
      </c>
      <c r="B66" s="20" t="s">
        <v>113</v>
      </c>
      <c r="C66" s="20"/>
      <c r="D66" s="20"/>
      <c r="E66" s="20"/>
      <c r="F66" s="20"/>
      <c r="G66" s="20"/>
      <c r="H66" s="20"/>
      <c r="I66" s="20"/>
    </row>
    <row r="67" spans="1:9" x14ac:dyDescent="0.2">
      <c r="A67" s="20" t="s">
        <v>230</v>
      </c>
      <c r="B67" s="20" t="s">
        <v>113</v>
      </c>
      <c r="C67" s="20"/>
      <c r="D67" s="20"/>
      <c r="E67" s="20"/>
      <c r="F67" s="20"/>
      <c r="G67" s="20"/>
      <c r="H67" s="20"/>
      <c r="I67" s="20"/>
    </row>
    <row r="68" spans="1:9" x14ac:dyDescent="0.2">
      <c r="A68" s="20" t="s">
        <v>14</v>
      </c>
      <c r="B68" s="20" t="s">
        <v>231</v>
      </c>
      <c r="C68" s="20"/>
      <c r="D68" s="20"/>
      <c r="E68" s="20"/>
      <c r="F68" s="20"/>
      <c r="G68" s="20"/>
      <c r="H68" s="20"/>
      <c r="I68" s="20"/>
    </row>
    <row r="69" spans="1:9" x14ac:dyDescent="0.2">
      <c r="A69" s="20" t="s">
        <v>232</v>
      </c>
      <c r="B69" s="20" t="s">
        <v>231</v>
      </c>
      <c r="C69" s="20"/>
      <c r="D69" s="20"/>
      <c r="E69" s="20"/>
      <c r="F69" s="20"/>
      <c r="G69" s="20"/>
      <c r="H69" s="20"/>
      <c r="I69" s="20"/>
    </row>
    <row r="70" spans="1:9" x14ac:dyDescent="0.2">
      <c r="A70" s="20" t="s">
        <v>233</v>
      </c>
      <c r="B70" s="20" t="s">
        <v>114</v>
      </c>
      <c r="C70" s="20"/>
      <c r="D70" s="20"/>
      <c r="E70" s="20"/>
      <c r="F70" s="20"/>
      <c r="G70" s="20"/>
      <c r="H70" s="20"/>
      <c r="I70" s="20"/>
    </row>
    <row r="71" spans="1:9" x14ac:dyDescent="0.2">
      <c r="A71" s="20" t="s">
        <v>234</v>
      </c>
      <c r="B71" s="20" t="s">
        <v>114</v>
      </c>
      <c r="C71" s="20"/>
      <c r="D71" s="20"/>
      <c r="E71" s="20"/>
      <c r="F71" s="20"/>
      <c r="G71" s="20"/>
      <c r="H71" s="20"/>
      <c r="I71" s="20"/>
    </row>
    <row r="72" spans="1:9" x14ac:dyDescent="0.2">
      <c r="A72" s="20" t="s">
        <v>235</v>
      </c>
      <c r="B72" s="20" t="s">
        <v>114</v>
      </c>
      <c r="C72" s="20"/>
      <c r="D72" s="20"/>
      <c r="E72" s="20"/>
      <c r="F72" s="20"/>
      <c r="G72" s="20"/>
      <c r="H72" s="20"/>
      <c r="I72" s="20"/>
    </row>
    <row r="73" spans="1:9" x14ac:dyDescent="0.2">
      <c r="A73" s="20" t="s">
        <v>236</v>
      </c>
      <c r="B73" s="20" t="s">
        <v>114</v>
      </c>
      <c r="C73" s="20"/>
      <c r="D73" s="20"/>
      <c r="E73" s="20"/>
      <c r="F73" s="20"/>
      <c r="G73" s="20"/>
      <c r="H73" s="20"/>
      <c r="I73" s="20"/>
    </row>
    <row r="74" spans="1:9" x14ac:dyDescent="0.2">
      <c r="A74" s="20" t="s">
        <v>237</v>
      </c>
      <c r="B74" s="20" t="s">
        <v>114</v>
      </c>
      <c r="C74" s="20"/>
      <c r="D74" s="20"/>
      <c r="E74" s="20"/>
      <c r="F74" s="20"/>
      <c r="G74" s="20"/>
      <c r="H74" s="20"/>
      <c r="I74" s="20"/>
    </row>
    <row r="75" spans="1:9" x14ac:dyDescent="0.2">
      <c r="A75" s="20" t="s">
        <v>238</v>
      </c>
      <c r="B75" s="20" t="s">
        <v>114</v>
      </c>
      <c r="C75" s="20"/>
      <c r="D75" s="20"/>
      <c r="E75" s="20"/>
      <c r="F75" s="20"/>
      <c r="G75" s="20"/>
      <c r="H75" s="20"/>
      <c r="I75" s="20"/>
    </row>
    <row r="76" spans="1:9" x14ac:dyDescent="0.2">
      <c r="A76" s="20" t="s">
        <v>239</v>
      </c>
      <c r="B76" s="20" t="s">
        <v>114</v>
      </c>
      <c r="C76" s="20"/>
      <c r="D76" s="20"/>
      <c r="E76" s="20"/>
      <c r="F76" s="20"/>
      <c r="G76" s="20"/>
      <c r="H76" s="20"/>
      <c r="I76" s="20"/>
    </row>
    <row r="77" spans="1:9" x14ac:dyDescent="0.2">
      <c r="A77" s="20" t="s">
        <v>240</v>
      </c>
      <c r="B77" s="20" t="s">
        <v>114</v>
      </c>
      <c r="C77" s="20"/>
      <c r="D77" s="20"/>
      <c r="E77" s="20"/>
      <c r="F77" s="20"/>
      <c r="G77" s="20"/>
      <c r="H77" s="20"/>
      <c r="I77" s="20"/>
    </row>
    <row r="78" spans="1:9" x14ac:dyDescent="0.2">
      <c r="A78" s="20" t="s">
        <v>241</v>
      </c>
      <c r="B78" s="20" t="s">
        <v>114</v>
      </c>
      <c r="C78" s="20"/>
      <c r="D78" s="20"/>
      <c r="E78" s="20"/>
      <c r="F78" s="20"/>
      <c r="G78" s="20"/>
      <c r="H78" s="20"/>
      <c r="I78" s="20"/>
    </row>
    <row r="79" spans="1:9" x14ac:dyDescent="0.2">
      <c r="A79" s="20" t="s">
        <v>242</v>
      </c>
      <c r="B79" s="20" t="s">
        <v>243</v>
      </c>
      <c r="C79" s="20"/>
      <c r="D79" s="20"/>
      <c r="E79" s="20"/>
      <c r="F79" s="20"/>
      <c r="G79" s="20"/>
      <c r="H79" s="20"/>
      <c r="I79" s="20"/>
    </row>
    <row r="80" spans="1:9" x14ac:dyDescent="0.2">
      <c r="A80" s="20" t="s">
        <v>244</v>
      </c>
      <c r="B80" s="20" t="s">
        <v>114</v>
      </c>
      <c r="C80" s="20"/>
      <c r="D80" s="20"/>
      <c r="E80" s="20"/>
      <c r="F80" s="20"/>
      <c r="G80" s="20"/>
      <c r="H80" s="20"/>
      <c r="I80" s="20"/>
    </row>
    <row r="81" spans="1:9" x14ac:dyDescent="0.2">
      <c r="A81" s="20"/>
      <c r="B81" s="20"/>
      <c r="C81" s="20"/>
      <c r="D81" s="20"/>
      <c r="E81" s="20"/>
      <c r="F81" s="20"/>
      <c r="G81" s="20"/>
      <c r="H81" s="20"/>
      <c r="I81" s="20"/>
    </row>
    <row r="82" spans="1:9" x14ac:dyDescent="0.2">
      <c r="A82" s="81" t="s">
        <v>245</v>
      </c>
      <c r="B82" s="20"/>
      <c r="C82" s="20"/>
      <c r="D82" s="20"/>
      <c r="E82" s="20"/>
      <c r="F82" s="20"/>
      <c r="G82" s="20"/>
      <c r="H82" s="20"/>
      <c r="I82" s="20"/>
    </row>
    <row r="83" spans="1:9" x14ac:dyDescent="0.2">
      <c r="A83" s="81" t="s">
        <v>221</v>
      </c>
      <c r="B83" s="81" t="s">
        <v>246</v>
      </c>
      <c r="C83" s="81" t="s">
        <v>247</v>
      </c>
      <c r="D83" s="81" t="s">
        <v>248</v>
      </c>
      <c r="E83" s="81" t="s">
        <v>249</v>
      </c>
      <c r="F83" s="81" t="s">
        <v>250</v>
      </c>
      <c r="G83" s="81" t="s">
        <v>251</v>
      </c>
      <c r="H83" s="81" t="s">
        <v>252</v>
      </c>
      <c r="I83" s="81" t="s">
        <v>253</v>
      </c>
    </row>
    <row r="84" spans="1:9" x14ac:dyDescent="0.2">
      <c r="A84" s="20" t="s">
        <v>113</v>
      </c>
      <c r="B84" s="20" t="s">
        <v>254</v>
      </c>
      <c r="C84" s="20">
        <v>20</v>
      </c>
      <c r="D84" s="20">
        <v>55</v>
      </c>
      <c r="E84" s="20">
        <v>16</v>
      </c>
      <c r="F84" s="20">
        <v>20</v>
      </c>
      <c r="G84" s="20">
        <v>27.48</v>
      </c>
      <c r="H84" s="20">
        <v>12</v>
      </c>
      <c r="I84" s="20">
        <v>3</v>
      </c>
    </row>
    <row r="85" spans="1:9" x14ac:dyDescent="0.2">
      <c r="A85" s="20" t="s">
        <v>231</v>
      </c>
      <c r="B85" s="20" t="s">
        <v>254</v>
      </c>
      <c r="C85" s="20">
        <v>20</v>
      </c>
      <c r="D85" s="20">
        <v>55</v>
      </c>
      <c r="E85" s="20">
        <v>16</v>
      </c>
      <c r="F85" s="20">
        <v>20</v>
      </c>
      <c r="G85" s="20">
        <v>27.48</v>
      </c>
      <c r="H85" s="20">
        <v>12</v>
      </c>
      <c r="I85" s="20">
        <v>3</v>
      </c>
    </row>
    <row r="86" spans="1:9" x14ac:dyDescent="0.2">
      <c r="A86" s="20" t="s">
        <v>114</v>
      </c>
      <c r="B86" s="20" t="s">
        <v>255</v>
      </c>
      <c r="C86" s="20">
        <v>40</v>
      </c>
      <c r="D86" s="20">
        <v>95</v>
      </c>
      <c r="E86" s="20">
        <v>30</v>
      </c>
      <c r="F86" s="20">
        <v>42</v>
      </c>
      <c r="G86" s="20">
        <v>27.48</v>
      </c>
      <c r="H86" s="20">
        <v>15</v>
      </c>
      <c r="I86" s="20">
        <v>6</v>
      </c>
    </row>
    <row r="87" spans="1:9" x14ac:dyDescent="0.2">
      <c r="A87" s="20" t="s">
        <v>243</v>
      </c>
      <c r="B87" s="20" t="s">
        <v>255</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81" t="s">
        <v>256</v>
      </c>
      <c r="B89" s="20"/>
      <c r="C89" s="20"/>
      <c r="D89" s="20"/>
      <c r="E89" s="20"/>
      <c r="F89" s="20"/>
      <c r="G89" s="20"/>
      <c r="H89" s="20"/>
      <c r="I89" s="20"/>
    </row>
    <row r="90" spans="1:9" x14ac:dyDescent="0.2">
      <c r="A90" s="20" t="s">
        <v>257</v>
      </c>
      <c r="B90" s="20" t="s">
        <v>258</v>
      </c>
      <c r="C90" s="20"/>
      <c r="D90" s="24"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79" t="s">
        <v>1855</v>
      </c>
      <c r="G90" s="20"/>
      <c r="H90" s="20"/>
      <c r="I90" s="20"/>
    </row>
    <row r="91" spans="1:9" x14ac:dyDescent="0.2">
      <c r="A91" s="5" t="s">
        <v>1856</v>
      </c>
    </row>
    <row r="92" spans="1:9" ht="36" x14ac:dyDescent="0.2">
      <c r="A92" t="s">
        <v>1322</v>
      </c>
      <c r="B92" s="18" t="s">
        <v>1323</v>
      </c>
      <c r="C92" s="19" t="s">
        <v>115</v>
      </c>
      <c r="D92" s="135">
        <v>14</v>
      </c>
      <c r="E92" s="57" t="s">
        <v>1324</v>
      </c>
    </row>
    <row r="93" spans="1:9" ht="24" x14ac:dyDescent="0.2">
      <c r="A93" t="s">
        <v>1325</v>
      </c>
      <c r="B93" s="18" t="s">
        <v>1326</v>
      </c>
      <c r="C93" s="19" t="s">
        <v>115</v>
      </c>
      <c r="D93" s="116">
        <f>MAX(0,h_actual-elec_clear)</f>
        <v>9.18130412738</v>
      </c>
      <c r="E93" s="77" t="s">
        <v>1327</v>
      </c>
    </row>
    <row r="95" spans="1:9" x14ac:dyDescent="0.2">
      <c r="A95" s="81" t="s">
        <v>1857</v>
      </c>
    </row>
    <row r="96" spans="1:9" ht="24" x14ac:dyDescent="0.2">
      <c r="A96" s="17" t="s">
        <v>1858</v>
      </c>
      <c r="B96" s="18" t="s">
        <v>1859</v>
      </c>
      <c r="C96" s="19" t="s">
        <v>52</v>
      </c>
      <c r="D96" s="135">
        <v>3</v>
      </c>
      <c r="E96" s="33"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82" t="s">
        <v>259</v>
      </c>
      <c r="B1" s="20"/>
      <c r="C1" s="20"/>
      <c r="D1" s="20"/>
      <c r="E1" s="20"/>
      <c r="F1" s="20"/>
      <c r="G1" s="20"/>
      <c r="H1" s="20"/>
      <c r="I1" s="20"/>
    </row>
    <row r="2" spans="1:9" x14ac:dyDescent="0.2">
      <c r="A2" s="16" t="s">
        <v>20</v>
      </c>
      <c r="B2" s="16" t="s">
        <v>21</v>
      </c>
      <c r="C2" s="16" t="s">
        <v>22</v>
      </c>
      <c r="D2" s="16" t="s">
        <v>23</v>
      </c>
      <c r="E2" s="16" t="s">
        <v>107</v>
      </c>
      <c r="F2" s="20"/>
      <c r="G2" s="20"/>
      <c r="H2" s="20"/>
      <c r="I2" s="20"/>
    </row>
    <row r="3" spans="1:9" x14ac:dyDescent="0.2">
      <c r="A3" s="17"/>
      <c r="B3" s="18"/>
      <c r="C3" s="19"/>
      <c r="D3" s="42"/>
      <c r="E3" s="33"/>
      <c r="F3" s="20"/>
      <c r="G3" s="20"/>
      <c r="H3" s="20"/>
      <c r="I3" s="20"/>
    </row>
    <row r="4" spans="1:9" ht="16" customHeight="1" x14ac:dyDescent="0.2">
      <c r="A4" s="82" t="s">
        <v>108</v>
      </c>
      <c r="B4" s="18"/>
      <c r="C4" s="19"/>
      <c r="D4" s="43"/>
      <c r="E4" s="143"/>
      <c r="F4" s="20"/>
      <c r="G4" s="20"/>
      <c r="H4" s="20"/>
      <c r="I4" s="20"/>
    </row>
    <row r="5" spans="1:9" x14ac:dyDescent="0.2">
      <c r="A5" s="20" t="s">
        <v>260</v>
      </c>
      <c r="B5" s="20" t="s">
        <v>261</v>
      </c>
      <c r="C5" s="20" t="s">
        <v>262</v>
      </c>
      <c r="D5" s="117">
        <f>Biology!$D$18</f>
        <v>298.15</v>
      </c>
      <c r="E5" s="110" t="str">
        <f>HYPERLINK("#Biology!D18","→ Biology")</f>
        <v>→ Biology</v>
      </c>
      <c r="F5" s="20"/>
      <c r="G5" s="20"/>
      <c r="H5" s="20"/>
      <c r="I5" s="20"/>
    </row>
    <row r="6" spans="1:9" x14ac:dyDescent="0.2">
      <c r="A6" s="20" t="s">
        <v>263</v>
      </c>
      <c r="B6" s="20" t="s">
        <v>264</v>
      </c>
      <c r="C6" s="20" t="s">
        <v>57</v>
      </c>
      <c r="D6" s="117">
        <f>Biology!$D$19</f>
        <v>101325.0</v>
      </c>
      <c r="E6" s="110" t="str">
        <f>HYPERLINK("#Biology!D19","→ Biology")</f>
        <v>→ Biology</v>
      </c>
      <c r="F6" s="20"/>
      <c r="G6" s="20"/>
      <c r="H6" s="20"/>
      <c r="I6" s="20"/>
    </row>
    <row r="7" spans="1:9" x14ac:dyDescent="0.2">
      <c r="A7" s="20" t="s">
        <v>265</v>
      </c>
      <c r="B7" s="20" t="s">
        <v>266</v>
      </c>
      <c r="C7" s="20" t="s">
        <v>267</v>
      </c>
      <c r="D7" s="116">
        <f>'Mass Transfer'!$D$101</f>
        <v>8.314462618</v>
      </c>
      <c r="E7" s="110" t="str">
        <f>HYPERLINK("#'Mass Transfer'!D101","→ Mass Transfer")</f>
        <v>→ Mass Transfer</v>
      </c>
      <c r="F7" s="20"/>
      <c r="G7" s="20"/>
      <c r="H7" s="20"/>
      <c r="I7" s="20"/>
    </row>
    <row r="8" spans="1:9" x14ac:dyDescent="0.2">
      <c r="A8" s="20" t="s">
        <v>268</v>
      </c>
      <c r="B8" s="20" t="s">
        <v>30</v>
      </c>
      <c r="C8" s="20"/>
      <c r="D8" s="109" t="str">
        <f>Summary!$D$3</f>
        <v>MMO tube</v>
      </c>
      <c r="E8" s="110" t="str">
        <f>HYPERLINK("#Summary!D3","→ Summary")</f>
        <v>→ Summary</v>
      </c>
      <c r="F8" s="20"/>
      <c r="G8" s="20"/>
      <c r="H8" s="20"/>
      <c r="I8" s="20"/>
    </row>
    <row r="9" spans="1:9" x14ac:dyDescent="0.2">
      <c r="A9" s="17"/>
      <c r="B9" s="18"/>
      <c r="C9" s="19"/>
      <c r="D9" s="45"/>
      <c r="E9" s="77"/>
      <c r="F9" s="20"/>
      <c r="G9" s="20"/>
      <c r="H9" s="20"/>
      <c r="I9" s="20"/>
    </row>
    <row r="10" spans="1:9" x14ac:dyDescent="0.2">
      <c r="A10" s="17" t="s">
        <v>269</v>
      </c>
      <c r="B10" s="18" t="s">
        <v>270</v>
      </c>
      <c r="C10" s="19" t="s">
        <v>40</v>
      </c>
      <c r="D10" s="118">
        <f>Summary!$D$6</f>
        <v>3.0</v>
      </c>
      <c r="E10" s="33" t="s">
        <v>271</v>
      </c>
      <c r="F10" s="20"/>
      <c r="G10" s="20"/>
      <c r="H10" s="20"/>
      <c r="I10" s="20"/>
    </row>
    <row r="11" spans="1:9" ht="36" customHeight="1" x14ac:dyDescent="0.2">
      <c r="A11" s="17" t="s">
        <v>272</v>
      </c>
      <c r="B11" s="18" t="s">
        <v>273</v>
      </c>
      <c r="C11" s="19" t="s">
        <v>274</v>
      </c>
      <c r="D11" s="116">
        <f>IF(ISNUMBER(cal_gerrit_slope),cal_gerrit_slope,gerrit_slope_default)</f>
        <v>1.03</v>
      </c>
      <c r="E11" s="86" t="s">
        <v>275</v>
      </c>
      <c r="F11" s="20"/>
      <c r="G11" s="20"/>
      <c r="H11" s="20"/>
      <c r="I11" s="20"/>
    </row>
    <row r="12" spans="1:9" x14ac:dyDescent="0.2">
      <c r="A12" s="17" t="s">
        <v>276</v>
      </c>
      <c r="B12" s="18" t="s">
        <v>277</v>
      </c>
      <c r="C12" s="19" t="s">
        <v>278</v>
      </c>
      <c r="D12" s="116">
        <f>IF(ISNUMBER(cal_gerrit_int),cal_gerrit_int,gerrit_int_default)</f>
        <v>2.6</v>
      </c>
      <c r="E12" s="86" t="s">
        <v>279</v>
      </c>
      <c r="F12" s="20"/>
      <c r="G12" s="20"/>
      <c r="H12" s="20"/>
      <c r="I12" s="20"/>
    </row>
    <row r="13" spans="1:9" x14ac:dyDescent="0.2">
      <c r="A13" s="17" t="s">
        <v>280</v>
      </c>
      <c r="B13" s="18" t="s">
        <v>281</v>
      </c>
      <c r="C13" s="19" t="s">
        <v>40</v>
      </c>
      <c r="D13" s="119">
        <v>3</v>
      </c>
      <c r="E13" s="143" t="s">
        <v>282</v>
      </c>
      <c r="F13" s="20"/>
      <c r="G13" s="20"/>
      <c r="H13" s="20"/>
      <c r="I13" s="20"/>
    </row>
    <row r="14" spans="1:9" x14ac:dyDescent="0.2">
      <c r="A14" s="17" t="s">
        <v>283</v>
      </c>
      <c r="B14" s="18" t="s">
        <v>284</v>
      </c>
      <c r="C14" s="19" t="s">
        <v>40</v>
      </c>
      <c r="D14" s="119">
        <v>25</v>
      </c>
      <c r="E14" s="143" t="s">
        <v>285</v>
      </c>
      <c r="F14" s="20"/>
      <c r="G14" s="20"/>
      <c r="H14" s="20"/>
      <c r="I14" s="20"/>
    </row>
    <row r="15" spans="1:9" x14ac:dyDescent="0.2">
      <c r="A15" s="17" t="s">
        <v>286</v>
      </c>
      <c r="B15" s="18" t="s">
        <v>287</v>
      </c>
      <c r="C15" s="19" t="s">
        <v>288</v>
      </c>
      <c r="D15" s="120">
        <v>96485.332120000006</v>
      </c>
      <c r="E15" s="144" t="s">
        <v>289</v>
      </c>
      <c r="F15" s="20"/>
      <c r="G15" s="20"/>
      <c r="H15" s="20"/>
      <c r="I15" s="20"/>
    </row>
    <row r="16" spans="1:9" x14ac:dyDescent="0.2">
      <c r="A16" s="17" t="s">
        <v>290</v>
      </c>
      <c r="B16" s="18" t="s">
        <v>291</v>
      </c>
      <c r="C16" s="19" t="s">
        <v>111</v>
      </c>
      <c r="D16" s="121">
        <v>2</v>
      </c>
      <c r="E16" s="77" t="s">
        <v>292</v>
      </c>
      <c r="F16" s="20"/>
      <c r="G16" s="20"/>
      <c r="H16" s="20"/>
      <c r="I16" s="20"/>
    </row>
    <row r="17" spans="1:9" x14ac:dyDescent="0.2">
      <c r="A17" s="17" t="s">
        <v>293</v>
      </c>
      <c r="B17" s="18" t="s">
        <v>294</v>
      </c>
      <c r="C17" s="19" t="s">
        <v>111</v>
      </c>
      <c r="D17" s="121">
        <v>4</v>
      </c>
      <c r="E17" s="77" t="s">
        <v>295</v>
      </c>
      <c r="F17" s="20"/>
      <c r="G17" s="20"/>
      <c r="H17" s="20"/>
      <c r="I17" s="20"/>
    </row>
    <row r="18" spans="1:9" ht="24" customHeight="1" x14ac:dyDescent="0.2">
      <c r="A18" s="17" t="s">
        <v>296</v>
      </c>
      <c r="B18" s="18" t="s">
        <v>297</v>
      </c>
      <c r="C18" s="19" t="s">
        <v>111</v>
      </c>
      <c r="D18" s="37">
        <f>IF(ISNUMBER(cal_etaF),cal_etaF,etaF_calc)</f>
        <v>0.959777674745</v>
      </c>
      <c r="E18" s="54" t="s">
        <v>1861</v>
      </c>
      <c r="F18" s="20"/>
      <c r="G18" s="20"/>
      <c r="H18" s="20"/>
      <c r="I18" s="20"/>
    </row>
    <row r="19" spans="1:9" ht="24" customHeight="1" x14ac:dyDescent="0.2">
      <c r="A19" s="17" t="s">
        <v>298</v>
      </c>
      <c r="B19" s="18" t="s">
        <v>299</v>
      </c>
      <c r="C19" s="19" t="s">
        <v>300</v>
      </c>
      <c r="D19" s="40">
        <f>(gerrit_slope*intensity+gerrit_int)/1000</f>
        <v>0.00569</v>
      </c>
      <c r="E19" s="143" t="s">
        <v>301</v>
      </c>
      <c r="F19" s="20"/>
      <c r="G19" s="20"/>
      <c r="H19" s="20"/>
      <c r="I19" s="20"/>
    </row>
    <row r="20" spans="1:9" ht="24" customHeight="1" x14ac:dyDescent="0.2">
      <c r="A20" s="17" t="s">
        <v>302</v>
      </c>
      <c r="B20" s="18" t="s">
        <v>303</v>
      </c>
      <c r="C20" s="19" t="s">
        <v>111</v>
      </c>
      <c r="D20" s="47" t="str">
        <f>IF(AND(intensity&gt;=gerrit_min,intensity&lt;=gerrit_max),"OK","OUT")</f>
        <v>OK</v>
      </c>
      <c r="E20" s="143" t="s">
        <v>304</v>
      </c>
      <c r="F20" s="20"/>
      <c r="G20" s="20"/>
      <c r="H20" s="20"/>
      <c r="I20" s="20"/>
    </row>
    <row r="21" spans="1:9" x14ac:dyDescent="0.2">
      <c r="A21" s="17" t="s">
        <v>305</v>
      </c>
      <c r="B21" s="18" t="s">
        <v>306</v>
      </c>
      <c r="C21" s="19" t="s">
        <v>307</v>
      </c>
      <c r="D21" s="41">
        <f>I_app*etaF/(z_e_H2*F_const)*3600</f>
        <v>0.0001018812158154</v>
      </c>
      <c r="E21" s="77" t="s">
        <v>308</v>
      </c>
      <c r="F21" s="20"/>
      <c r="G21" s="20"/>
      <c r="H21" s="20"/>
      <c r="I21" s="20"/>
    </row>
    <row r="22" spans="1:9" x14ac:dyDescent="0.2">
      <c r="A22" s="17" t="s">
        <v>309</v>
      </c>
      <c r="B22" s="18" t="s">
        <v>310</v>
      </c>
      <c r="C22" s="19" t="s">
        <v>307</v>
      </c>
      <c r="D22" s="41">
        <f>I_app*etaF_OER/(z_e_O2*F_const)*3600</f>
        <v>5.222820547381e-05</v>
      </c>
      <c r="E22" s="77" t="s">
        <v>311</v>
      </c>
      <c r="F22" s="20"/>
      <c r="G22" s="20"/>
      <c r="H22" s="20"/>
      <c r="I22" s="20"/>
    </row>
    <row r="23" spans="1:9" x14ac:dyDescent="0.2">
      <c r="A23" s="17" t="s">
        <v>312</v>
      </c>
      <c r="B23" s="18" t="s">
        <v>313</v>
      </c>
      <c r="C23" s="19" t="s">
        <v>314</v>
      </c>
      <c r="D23" s="41">
        <f>rH2_gen/60*R_gas*T_K/P_atm*1000000</f>
        <v>0.041542751234</v>
      </c>
      <c r="E23" s="77" t="s">
        <v>315</v>
      </c>
      <c r="F23" s="20"/>
      <c r="G23" s="20"/>
      <c r="H23" s="20"/>
      <c r="I23" s="20"/>
    </row>
    <row r="24" spans="1:9" x14ac:dyDescent="0.2">
      <c r="A24" s="17" t="s">
        <v>316</v>
      </c>
      <c r="B24" s="18" t="s">
        <v>317</v>
      </c>
      <c r="C24" s="19" t="s">
        <v>314</v>
      </c>
      <c r="D24" s="41">
        <f>rO2_gen/60*R_gas*T_K/P_atm*1000000</f>
        <v>0.021296402188</v>
      </c>
      <c r="E24" s="77" t="s">
        <v>318</v>
      </c>
      <c r="F24" s="20"/>
      <c r="G24" s="20"/>
      <c r="H24" s="20"/>
      <c r="I24" s="20"/>
    </row>
    <row r="25" spans="1:9" ht="24" customHeight="1" x14ac:dyDescent="0.2">
      <c r="A25" s="17" t="s">
        <v>319</v>
      </c>
      <c r="B25" s="18" t="s">
        <v>320</v>
      </c>
      <c r="C25" s="19" t="s">
        <v>314</v>
      </c>
      <c r="D25" s="41">
        <f>V_H2_gen+V_O2_gen</f>
        <v>0.062839153421</v>
      </c>
      <c r="E25" s="77" t="s">
        <v>321</v>
      </c>
      <c r="F25" s="20"/>
      <c r="G25" s="20"/>
      <c r="H25" s="20"/>
      <c r="I25" s="20"/>
    </row>
    <row r="26" spans="1:9" ht="48" x14ac:dyDescent="0.2">
      <c r="A26" s="17" t="s">
        <v>322</v>
      </c>
      <c r="B26" s="18" t="s">
        <v>323</v>
      </c>
      <c r="C26" s="19" t="s">
        <v>111</v>
      </c>
      <c r="D26" s="37">
        <f>IF(ISNUMBER(cal_etaF_OER),cal_etaF_OER,etaF_OER_calc)</f>
        <v>0.984037444087</v>
      </c>
      <c r="E26" s="54" t="s">
        <v>1862</v>
      </c>
      <c r="F26" s="20"/>
      <c r="G26" s="20"/>
      <c r="H26" s="20"/>
      <c r="I26" s="20"/>
    </row>
    <row r="27" spans="1:9" ht="24" customHeight="1" x14ac:dyDescent="0.2">
      <c r="A27" s="17" t="s">
        <v>1863</v>
      </c>
      <c r="B27" s="18" t="s">
        <v>324</v>
      </c>
      <c r="C27" s="19" t="s">
        <v>111</v>
      </c>
      <c r="D27" s="114">
        <f>VLOOKUP(electrode_sel,$A$35:$N$38,MATCH("z_e_ORR",$A$34:$N$34,0),FALSE)</f>
        <v>2.0</v>
      </c>
      <c r="E27" s="91" t="s">
        <v>1864</v>
      </c>
      <c r="F27" s="20"/>
      <c r="G27" s="20"/>
      <c r="H27" s="20"/>
      <c r="I27" s="20"/>
    </row>
    <row r="28" spans="1:9" ht="36" x14ac:dyDescent="0.2">
      <c r="A28" s="17" t="s">
        <v>325</v>
      </c>
      <c r="B28" s="18" t="s">
        <v>326</v>
      </c>
      <c r="C28" s="19" t="s">
        <v>307</v>
      </c>
      <c r="D28" s="41">
        <f>I_app*(1-etaF)/(n_ORR_eff*F_const)*3600</f>
        <v>2.307910274443e-06</v>
      </c>
      <c r="E28" s="77" t="s">
        <v>1865</v>
      </c>
      <c r="F28" s="20"/>
      <c r="G28" s="20"/>
      <c r="H28" s="20"/>
      <c r="I28" s="20"/>
    </row>
    <row r="29" spans="1:9" ht="24" x14ac:dyDescent="0.2">
      <c r="A29" s="17" t="s">
        <v>327</v>
      </c>
      <c r="B29" s="18" t="s">
        <v>328</v>
      </c>
      <c r="C29" s="19" t="s">
        <v>307</v>
      </c>
      <c r="D29" s="41">
        <f>rO2_gen-O2_cathode_ORR</f>
        <v>4.992029519937e-05</v>
      </c>
      <c r="E29" s="77" t="s">
        <v>1866</v>
      </c>
      <c r="F29" s="20"/>
      <c r="G29" s="20"/>
      <c r="H29" s="20"/>
      <c r="I29" s="20"/>
    </row>
    <row r="30" spans="1:9" x14ac:dyDescent="0.2">
      <c r="A30" s="79" t="s">
        <v>1867</v>
      </c>
      <c r="B30" s="20"/>
      <c r="C30" s="20"/>
      <c r="D30" s="20"/>
      <c r="E30" s="20"/>
      <c r="F30" s="20"/>
      <c r="G30" s="20"/>
      <c r="H30" s="20"/>
      <c r="I30" s="20"/>
    </row>
    <row r="31" spans="1:9" x14ac:dyDescent="0.2">
      <c r="A31" s="20" t="s">
        <v>329</v>
      </c>
      <c r="B31" s="20" t="s">
        <v>330</v>
      </c>
      <c r="C31" s="20"/>
      <c r="D31" s="24" t="str">
        <f>VLOOKUP(electrode_sel,$A$35:$N$38,MATCH("sparger",$A$34:$N$34,0),FALSE)</f>
        <v>Sintered</v>
      </c>
      <c r="E31" s="20"/>
      <c r="F31" s="20"/>
      <c r="G31" s="20"/>
      <c r="H31" s="20"/>
      <c r="I31" s="20"/>
    </row>
    <row r="32" spans="1:9" x14ac:dyDescent="0.2">
      <c r="A32" s="20" t="s">
        <v>331</v>
      </c>
      <c r="B32" s="20" t="s">
        <v>332</v>
      </c>
      <c r="C32" s="20"/>
      <c r="D32" s="24">
        <f>IF(ISNUMBER(cal_sinter),cal_sinter,IF(ISNUMBER(VLOOKUP(electrode_sel,$A$35:$N$38,MATCH("sinter porosity",$A$34:$N$34,0),FALSE)),VLOOKUP(electrode_sel,$A$35:$N$38,MATCH("sinter porosity",$A$34:$N$34,0),FALSE),0))</f>
        <v>0.0</v>
      </c>
      <c r="E32" s="122" t="s">
        <v>333</v>
      </c>
      <c r="F32" s="20"/>
      <c r="G32" s="20"/>
      <c r="H32" s="48"/>
      <c r="I32" s="20"/>
    </row>
    <row r="33" spans="1:14" x14ac:dyDescent="0.2">
      <c r="A33" s="81" t="s">
        <v>334</v>
      </c>
      <c r="B33" s="20"/>
      <c r="C33" s="20"/>
      <c r="D33" s="20"/>
      <c r="E33" s="20"/>
      <c r="F33" s="20"/>
      <c r="G33" s="20"/>
      <c r="H33" s="20"/>
      <c r="I33" s="20"/>
    </row>
    <row r="34" spans="1:14" x14ac:dyDescent="0.2">
      <c r="A34" s="81" t="s">
        <v>29</v>
      </c>
      <c r="B34" s="81" t="s">
        <v>335</v>
      </c>
      <c r="C34" s="81" t="s">
        <v>336</v>
      </c>
      <c r="D34" s="81" t="s">
        <v>337</v>
      </c>
      <c r="E34" s="81" t="s">
        <v>338</v>
      </c>
      <c r="F34" s="81" t="s">
        <v>339</v>
      </c>
      <c r="G34" s="81" t="s">
        <v>340</v>
      </c>
      <c r="H34" s="81" t="s">
        <v>297</v>
      </c>
      <c r="I34" s="81" t="s">
        <v>324</v>
      </c>
      <c r="J34" s="81" t="s">
        <v>1160</v>
      </c>
      <c r="K34" s="81" t="s">
        <v>1161</v>
      </c>
      <c r="L34" s="81" t="s">
        <v>1162</v>
      </c>
      <c r="M34" s="81" t="s">
        <v>1163</v>
      </c>
      <c r="N34" s="81" t="s">
        <v>1164</v>
      </c>
    </row>
    <row r="35" spans="1:14" x14ac:dyDescent="0.2">
      <c r="A35" s="20" t="s">
        <v>341</v>
      </c>
      <c r="B35" s="20" t="s">
        <v>342</v>
      </c>
      <c r="C35" s="20">
        <v>6</v>
      </c>
      <c r="D35" s="20" t="s">
        <v>343</v>
      </c>
      <c r="E35" s="20" t="s">
        <v>344</v>
      </c>
      <c r="F35" s="20" t="s">
        <v>345</v>
      </c>
      <c r="G35" s="20">
        <v>6</v>
      </c>
      <c r="H35" s="48" t="s">
        <v>346</v>
      </c>
      <c r="I35" s="20">
        <v>2</v>
      </c>
      <c r="J35" s="20" t="s">
        <v>1165</v>
      </c>
      <c r="K35" s="20">
        <v>100</v>
      </c>
      <c r="L35" s="20">
        <v>500</v>
      </c>
      <c r="M35" s="20" t="s">
        <v>1165</v>
      </c>
      <c r="N35" s="20" t="s">
        <v>1166</v>
      </c>
    </row>
    <row r="36" spans="1:14" x14ac:dyDescent="0.2">
      <c r="A36" s="20" t="s">
        <v>347</v>
      </c>
      <c r="B36" s="20" t="s">
        <v>348</v>
      </c>
      <c r="C36" s="20">
        <v>6</v>
      </c>
      <c r="D36" s="20" t="s">
        <v>343</v>
      </c>
      <c r="E36" s="20" t="s">
        <v>344</v>
      </c>
      <c r="F36" s="20" t="s">
        <v>345</v>
      </c>
      <c r="G36" s="20">
        <v>6</v>
      </c>
      <c r="H36" s="48" t="s">
        <v>346</v>
      </c>
      <c r="I36" s="20">
        <v>2</v>
      </c>
      <c r="J36" s="20" t="s">
        <v>1165</v>
      </c>
      <c r="K36" s="20">
        <v>50</v>
      </c>
      <c r="L36" s="20">
        <v>500</v>
      </c>
      <c r="M36" s="20" t="s">
        <v>1165</v>
      </c>
      <c r="N36" s="20" t="s">
        <v>1167</v>
      </c>
    </row>
    <row r="37" spans="1:14" x14ac:dyDescent="0.2">
      <c r="A37" s="20" t="s">
        <v>31</v>
      </c>
      <c r="B37" s="20" t="s">
        <v>348</v>
      </c>
      <c r="C37" s="20">
        <v>6</v>
      </c>
      <c r="D37" s="20" t="s">
        <v>349</v>
      </c>
      <c r="E37" s="48">
        <v>0</v>
      </c>
      <c r="F37" s="20" t="s">
        <v>345</v>
      </c>
      <c r="G37" s="20">
        <v>6</v>
      </c>
      <c r="H37" s="48" t="s">
        <v>346</v>
      </c>
      <c r="I37" s="20">
        <v>2</v>
      </c>
      <c r="J37" s="20" t="s">
        <v>1168</v>
      </c>
      <c r="K37" s="20">
        <v>10</v>
      </c>
      <c r="L37" s="20">
        <v>60</v>
      </c>
      <c r="M37" s="20" t="s">
        <v>1165</v>
      </c>
      <c r="N37" s="20" t="s">
        <v>1169</v>
      </c>
    </row>
    <row r="38" spans="1:14" x14ac:dyDescent="0.2">
      <c r="A38" s="20" t="s">
        <v>1170</v>
      </c>
      <c r="B38" s="20" t="s">
        <v>1171</v>
      </c>
      <c r="C38" s="20">
        <v>6</v>
      </c>
      <c r="D38" s="20" t="s">
        <v>343</v>
      </c>
      <c r="E38" s="20" t="s">
        <v>344</v>
      </c>
      <c r="F38" s="20" t="s">
        <v>345</v>
      </c>
      <c r="G38" s="20">
        <v>6</v>
      </c>
      <c r="H38" s="48" t="s">
        <v>346</v>
      </c>
      <c r="I38" s="20">
        <v>2</v>
      </c>
      <c r="J38" s="20" t="s">
        <v>1165</v>
      </c>
      <c r="K38" s="20">
        <v>35</v>
      </c>
      <c r="L38" s="20">
        <v>50</v>
      </c>
      <c r="M38" s="20" t="s">
        <v>1165</v>
      </c>
      <c r="N38" s="20" t="s">
        <v>1172</v>
      </c>
    </row>
    <row r="39" spans="1:14" x14ac:dyDescent="0.2">
      <c r="A39" s="20"/>
      <c r="B39" s="20"/>
      <c r="C39" s="20"/>
      <c r="D39" s="24"/>
      <c r="E39" s="20"/>
      <c r="F39" s="20"/>
      <c r="G39" s="20"/>
      <c r="H39" s="20"/>
      <c r="I39" s="20"/>
    </row>
    <row r="40" spans="1:14" ht="16" x14ac:dyDescent="0.2">
      <c r="A40" s="82" t="s">
        <v>1173</v>
      </c>
    </row>
    <row r="41" spans="1:14" x14ac:dyDescent="0.2">
      <c r="A41" s="17" t="s">
        <v>1174</v>
      </c>
      <c r="B41" s="18" t="s">
        <v>1175</v>
      </c>
      <c r="C41" s="19" t="s">
        <v>111</v>
      </c>
      <c r="D41" s="41" t="str">
        <f>VLOOKUP(electrode_sel,$A$35:$N$38,MATCH("anode shape",$A$34:$N$34,0),FALSE)</f>
        <v>tube</v>
      </c>
      <c r="E41" s="77" t="s">
        <v>1176</v>
      </c>
    </row>
    <row r="42" spans="1:14" x14ac:dyDescent="0.2">
      <c r="A42" s="17" t="s">
        <v>1177</v>
      </c>
      <c r="B42" s="18" t="s">
        <v>1178</v>
      </c>
      <c r="C42" s="19" t="s">
        <v>115</v>
      </c>
      <c r="D42" s="41">
        <f>VLOOKUP(electrode_sel,$A$35:$N$38,MATCH("anode dia (mm)",$A$34:$N$34,0),FALSE)</f>
        <v>6.0</v>
      </c>
      <c r="E42" s="77" t="s">
        <v>1179</v>
      </c>
    </row>
    <row r="43" spans="1:14" x14ac:dyDescent="0.2">
      <c r="A43" s="17" t="s">
        <v>1180</v>
      </c>
      <c r="B43" s="18" t="s">
        <v>1181</v>
      </c>
      <c r="C43" s="19" t="s">
        <v>111</v>
      </c>
      <c r="D43" s="41" t="str">
        <f>VLOOKUP(electrode_sel,$A$35:$N$38,MATCH("cathode shape",$A$34:$N$34,0),FALSE)</f>
        <v>rod</v>
      </c>
      <c r="E43" s="77" t="s">
        <v>1182</v>
      </c>
    </row>
    <row r="44" spans="1:14" x14ac:dyDescent="0.2">
      <c r="A44" s="17" t="s">
        <v>1183</v>
      </c>
      <c r="B44" s="18" t="s">
        <v>1184</v>
      </c>
      <c r="C44" s="19" t="s">
        <v>115</v>
      </c>
      <c r="D44" s="41">
        <f>VLOOKUP(electrode_sel,$A$35:$N$38,MATCH("cathode dia (mm)",$A$34:$N$34,0),FALSE)</f>
        <v>6.0</v>
      </c>
      <c r="E44" s="77" t="s">
        <v>1179</v>
      </c>
    </row>
    <row r="45" spans="1:14" ht="36" x14ac:dyDescent="0.2">
      <c r="A45" s="17" t="s">
        <v>1185</v>
      </c>
      <c r="B45" s="18" t="s">
        <v>1186</v>
      </c>
      <c r="C45" s="19" t="s">
        <v>115</v>
      </c>
      <c r="D45" s="41">
        <f>Geometry!$D$93</f>
        <v>9.18130412738</v>
      </c>
      <c r="E45" s="77" t="s">
        <v>1868</v>
      </c>
    </row>
    <row r="46" spans="1:14" x14ac:dyDescent="0.2">
      <c r="A46" s="17" t="s">
        <v>973</v>
      </c>
      <c r="B46" s="18" t="s">
        <v>1187</v>
      </c>
      <c r="C46" s="19" t="s">
        <v>975</v>
      </c>
      <c r="D46" s="41">
        <f>(PI()*anode_dia*L_sub+IF(anode_shape="rod",PI()/4*anode_dia^2,0))/100</f>
        <v>1.730635055817</v>
      </c>
      <c r="E46" s="77" t="s">
        <v>1188</v>
      </c>
    </row>
    <row r="47" spans="1:14" x14ac:dyDescent="0.2">
      <c r="A47" s="17" t="s">
        <v>1189</v>
      </c>
      <c r="B47" s="18" t="s">
        <v>1190</v>
      </c>
      <c r="C47" s="19" t="s">
        <v>975</v>
      </c>
      <c r="D47" s="41">
        <f>(PI()*cathode_dia*L_sub+IF(cathode_shape="rod",PI()/4*cathode_dia^2,0))/100</f>
        <v>2.01337839464</v>
      </c>
      <c r="E47" s="77" t="s">
        <v>1191</v>
      </c>
    </row>
    <row r="48" spans="1:14" x14ac:dyDescent="0.2">
      <c r="A48" s="17" t="s">
        <v>1147</v>
      </c>
      <c r="B48" s="18" t="s">
        <v>1192</v>
      </c>
      <c r="C48" s="19" t="s">
        <v>1148</v>
      </c>
      <c r="D48" s="41">
        <f>I_app*1000/A_anode_wet</f>
        <v>3.287810437489</v>
      </c>
      <c r="E48" s="77" t="s">
        <v>1193</v>
      </c>
    </row>
    <row r="49" spans="1:5" x14ac:dyDescent="0.2">
      <c r="A49" s="17" t="s">
        <v>1194</v>
      </c>
      <c r="B49" s="18" t="s">
        <v>1195</v>
      </c>
      <c r="C49" s="19" t="s">
        <v>1148</v>
      </c>
      <c r="D49" s="41">
        <f>I_app*1000/A_cath_wet</f>
        <v>2.826095688296</v>
      </c>
      <c r="E49" s="77" t="s">
        <v>1196</v>
      </c>
    </row>
    <row r="50" spans="1:5" x14ac:dyDescent="0.2">
      <c r="A50" s="17" t="s">
        <v>1197</v>
      </c>
      <c r="B50" s="18" t="s">
        <v>1198</v>
      </c>
      <c r="C50" s="19" t="s">
        <v>1148</v>
      </c>
      <c r="D50" s="41">
        <f>VLOOKUP(electrode_sel,$A$35:$N$38,MATCH("anode j cont (mA/cm²)",$A$34:$N$34,0),FALSE)</f>
        <v>10.0</v>
      </c>
      <c r="E50" s="77" t="s">
        <v>1199</v>
      </c>
    </row>
    <row r="51" spans="1:5" x14ac:dyDescent="0.2">
      <c r="A51" s="17" t="s">
        <v>1200</v>
      </c>
      <c r="B51" s="18" t="s">
        <v>1201</v>
      </c>
      <c r="C51" s="19" t="s">
        <v>1148</v>
      </c>
      <c r="D51" s="41">
        <f>VLOOKUP(electrode_sel,$A$35:$N$38,MATCH("anode j max (mA/cm²)",$A$34:$N$34,0),FALSE)</f>
        <v>60.0</v>
      </c>
      <c r="E51" s="77" t="s">
        <v>1202</v>
      </c>
    </row>
    <row r="52" spans="1:5" x14ac:dyDescent="0.2">
      <c r="A52" s="17" t="s">
        <v>1203</v>
      </c>
      <c r="B52" s="18" t="s">
        <v>1204</v>
      </c>
      <c r="C52" s="19" t="s">
        <v>1148</v>
      </c>
      <c r="D52" s="121">
        <v>80</v>
      </c>
      <c r="E52" s="143" t="s">
        <v>1205</v>
      </c>
    </row>
    <row r="53" spans="1:5" x14ac:dyDescent="0.2">
      <c r="A53" s="17" t="s">
        <v>1206</v>
      </c>
      <c r="B53" s="18" t="s">
        <v>1207</v>
      </c>
      <c r="C53" s="19" t="s">
        <v>1148</v>
      </c>
      <c r="D53" s="121">
        <v>250</v>
      </c>
      <c r="E53" s="143" t="s">
        <v>1208</v>
      </c>
    </row>
    <row r="54" spans="1:5" x14ac:dyDescent="0.2">
      <c r="A54" s="17" t="s">
        <v>1209</v>
      </c>
      <c r="B54" s="18" t="s">
        <v>1210</v>
      </c>
      <c r="C54" s="19" t="s">
        <v>1148</v>
      </c>
      <c r="D54" s="121">
        <v>1</v>
      </c>
      <c r="E54" s="91" t="s">
        <v>1211</v>
      </c>
    </row>
    <row r="55" spans="1:5" x14ac:dyDescent="0.2">
      <c r="A55" s="17" t="s">
        <v>1212</v>
      </c>
      <c r="B55" s="18" t="s">
        <v>1213</v>
      </c>
      <c r="C55" s="19" t="s">
        <v>1148</v>
      </c>
      <c r="D55" s="121">
        <v>2</v>
      </c>
      <c r="E55" s="91" t="s">
        <v>1214</v>
      </c>
    </row>
    <row r="56" spans="1:5" x14ac:dyDescent="0.2">
      <c r="A56" s="17" t="s">
        <v>1215</v>
      </c>
      <c r="B56" s="18" t="s">
        <v>1216</v>
      </c>
      <c r="C56" s="19" t="s">
        <v>1148</v>
      </c>
      <c r="D56" s="41">
        <f>IF(ISNUMBER(cal_j_opt),cal_j_opt,IFERROR(VLOOKUP(organism_sel,$A$66:$E$71,MATCH("j_opt",$A$65:$E$65,0),FALSE),j_opt_default))</f>
        <v>2.14</v>
      </c>
      <c r="E56" s="77" t="s">
        <v>1217</v>
      </c>
    </row>
    <row r="57" spans="1:5" x14ac:dyDescent="0.2">
      <c r="A57" s="17" t="s">
        <v>1218</v>
      </c>
      <c r="B57" s="18" t="s">
        <v>1219</v>
      </c>
      <c r="C57" s="19" t="s">
        <v>1148</v>
      </c>
      <c r="D57" s="41">
        <f>IF(ISNUMBER(cal_j_ceiling),cal_j_ceiling,IFERROR(VLOOKUP(organism_sel,$A$66:$E$71,MATCH("j_ceiling",$A$65:$E$65,0),FALSE),j_ceiling_default))</f>
        <v>4.29</v>
      </c>
      <c r="E57" s="77" t="s">
        <v>1220</v>
      </c>
    </row>
    <row r="58" spans="1:5" x14ac:dyDescent="0.2">
      <c r="A58" s="17" t="s">
        <v>1221</v>
      </c>
      <c r="B58" s="18" t="s">
        <v>1222</v>
      </c>
      <c r="C58" s="19" t="s">
        <v>111</v>
      </c>
      <c r="D58" s="41" t="str">
        <f>IFERROR(VLOOKUP(organism_sel,$A$66:$E$71,MATCH("confidence",$A$65:$E$65,0),FALSE),"unknown")</f>
        <v>med</v>
      </c>
      <c r="E58" s="77" t="s">
        <v>1223</v>
      </c>
    </row>
    <row r="59" spans="1:5" x14ac:dyDescent="0.2">
      <c r="A59" s="17" t="s">
        <v>1224</v>
      </c>
      <c r="B59" s="18" t="s">
        <v>1225</v>
      </c>
      <c r="C59" s="19" t="s">
        <v>111</v>
      </c>
      <c r="D59" s="41" t="str">
        <f>IF(j_anode&lt;=j_opt_strain,"OK - at/below optimum",IF(j_anode&lt;=j_ceiling_strain,"watch - above optimum","EXCEED - over strain ceiling"))</f>
        <v>watch - above optimum</v>
      </c>
      <c r="E59" s="77" t="s">
        <v>1226</v>
      </c>
    </row>
    <row r="60" spans="1:5" x14ac:dyDescent="0.2">
      <c r="A60" s="17" t="s">
        <v>1227</v>
      </c>
      <c r="B60" s="18" t="s">
        <v>1228</v>
      </c>
      <c r="C60" s="19"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7" t="s">
        <v>1229</v>
      </c>
    </row>
    <row r="61" spans="1:5" x14ac:dyDescent="0.2">
      <c r="A61" s="17" t="s">
        <v>1230</v>
      </c>
      <c r="B61" s="18" t="s">
        <v>1231</v>
      </c>
      <c r="C61" s="19" t="s">
        <v>111</v>
      </c>
      <c r="D61" s="41" t="str">
        <f>IF(j_cathode&lt;=cath_j_cont,"OK - cathode within HER norm",IF(j_cathode&lt;=cath_j_max,"watch - high cathodic j","EXCEED - over SS HER norm"))</f>
        <v>OK - cathode within HER norm</v>
      </c>
      <c r="E61" s="77" t="s">
        <v>1232</v>
      </c>
    </row>
    <row r="62" spans="1:5" x14ac:dyDescent="0.2">
      <c r="A62" s="17" t="s">
        <v>1233</v>
      </c>
      <c r="B62" s="18" t="s">
        <v>1234</v>
      </c>
      <c r="C62" s="19"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7" t="s">
        <v>1235</v>
      </c>
    </row>
    <row r="63" spans="1:5" x14ac:dyDescent="0.2">
      <c r="A63" s="17" t="s">
        <v>1236</v>
      </c>
      <c r="B63" s="18" t="s">
        <v>1237</v>
      </c>
      <c r="C63" s="19" t="s">
        <v>111</v>
      </c>
      <c r="D63" s="41" t="str">
        <f>VLOOKUP(electrode_sel,$A$35:$N$38,MATCH("anode material",$A$34:$N$34,0),FALSE)</f>
        <v>MMO</v>
      </c>
      <c r="E63" s="77" t="s">
        <v>1238</v>
      </c>
    </row>
    <row r="64" spans="1:5" ht="16" x14ac:dyDescent="0.2">
      <c r="A64" s="82" t="s">
        <v>1239</v>
      </c>
    </row>
    <row r="65" spans="1:5" x14ac:dyDescent="0.2">
      <c r="A65" s="81" t="s">
        <v>1240</v>
      </c>
      <c r="B65" s="81" t="s">
        <v>1241</v>
      </c>
      <c r="C65" s="81" t="s">
        <v>1242</v>
      </c>
      <c r="D65" s="81" t="s">
        <v>1243</v>
      </c>
      <c r="E65" s="81" t="s">
        <v>466</v>
      </c>
    </row>
    <row r="66" spans="1:5" x14ac:dyDescent="0.2">
      <c r="A66" s="20" t="s">
        <v>34</v>
      </c>
      <c r="B66" s="20">
        <v>2</v>
      </c>
      <c r="C66" s="20">
        <v>4</v>
      </c>
      <c r="D66" s="20" t="s">
        <v>926</v>
      </c>
      <c r="E66" s="91" t="s">
        <v>1244</v>
      </c>
    </row>
    <row r="67" spans="1:5" x14ac:dyDescent="0.2">
      <c r="A67" s="20" t="s">
        <v>468</v>
      </c>
      <c r="B67" s="20">
        <v>2</v>
      </c>
      <c r="C67" s="20">
        <v>4</v>
      </c>
      <c r="D67" s="20" t="s">
        <v>926</v>
      </c>
      <c r="E67" s="91" t="s">
        <v>1245</v>
      </c>
    </row>
    <row r="68" spans="1:5" x14ac:dyDescent="0.2">
      <c r="A68" s="20" t="s">
        <v>470</v>
      </c>
      <c r="B68" s="20">
        <v>2</v>
      </c>
      <c r="C68" s="20">
        <v>4</v>
      </c>
      <c r="D68" s="20" t="s">
        <v>926</v>
      </c>
      <c r="E68" s="91" t="s">
        <v>1245</v>
      </c>
    </row>
    <row r="69" spans="1:5" x14ac:dyDescent="0.2">
      <c r="A69" s="20" t="s">
        <v>472</v>
      </c>
      <c r="B69" s="20">
        <v>2</v>
      </c>
      <c r="C69" s="20">
        <v>4</v>
      </c>
      <c r="D69" s="20" t="s">
        <v>926</v>
      </c>
      <c r="E69" s="91" t="s">
        <v>1245</v>
      </c>
    </row>
    <row r="70" spans="1:5" x14ac:dyDescent="0.2">
      <c r="A70" s="20" t="s">
        <v>473</v>
      </c>
      <c r="B70" s="20">
        <v>2</v>
      </c>
      <c r="C70" s="20">
        <v>4</v>
      </c>
      <c r="D70" s="20" t="s">
        <v>926</v>
      </c>
      <c r="E70" s="91" t="s">
        <v>1246</v>
      </c>
    </row>
    <row r="71" spans="1:5" x14ac:dyDescent="0.2">
      <c r="A71" s="20" t="s">
        <v>474</v>
      </c>
      <c r="B71" s="20">
        <v>2.14</v>
      </c>
      <c r="C71" s="20">
        <v>4.29</v>
      </c>
      <c r="D71" s="20" t="s">
        <v>923</v>
      </c>
      <c r="E71" s="143" t="s">
        <v>1247</v>
      </c>
    </row>
    <row r="72" spans="1:5" ht="16" x14ac:dyDescent="0.2">
      <c r="A72" s="82" t="s">
        <v>1248</v>
      </c>
    </row>
    <row r="73" spans="1:5" x14ac:dyDescent="0.2">
      <c r="A73" s="17" t="s">
        <v>1249</v>
      </c>
      <c r="B73" s="18" t="s">
        <v>1250</v>
      </c>
      <c r="C73" s="19" t="s">
        <v>40</v>
      </c>
      <c r="D73" s="121">
        <v>10</v>
      </c>
      <c r="E73" s="143" t="s">
        <v>1251</v>
      </c>
    </row>
    <row r="74" spans="1:5" x14ac:dyDescent="0.2">
      <c r="A74" s="17" t="s">
        <v>1154</v>
      </c>
      <c r="B74" s="18" t="s">
        <v>1252</v>
      </c>
      <c r="C74" s="19" t="s">
        <v>278</v>
      </c>
      <c r="D74" s="41">
        <f>gerrit_slope*power_max+gerrit_int</f>
        <v>12.9</v>
      </c>
      <c r="E74" s="77" t="s">
        <v>1253</v>
      </c>
    </row>
    <row r="75" spans="1:5" x14ac:dyDescent="0.2">
      <c r="A75" s="17" t="s">
        <v>1156</v>
      </c>
      <c r="B75" s="18" t="s">
        <v>1254</v>
      </c>
      <c r="C75" s="19" t="s">
        <v>1148</v>
      </c>
      <c r="D75" s="41">
        <f>I_max/A_anode_wet</f>
        <v>7.453911185169</v>
      </c>
      <c r="E75" s="77" t="s">
        <v>1157</v>
      </c>
    </row>
    <row r="76" spans="1:5" x14ac:dyDescent="0.2">
      <c r="A76" s="17" t="s">
        <v>1255</v>
      </c>
      <c r="B76" s="18" t="s">
        <v>1256</v>
      </c>
      <c r="C76" s="19" t="s">
        <v>111</v>
      </c>
      <c r="D76" s="41" t="str">
        <f>IF(OR(j_anode_max&gt;j_ceiling_strain,j_anode_max&gt;anode_j_max),"EXCEED - max current over a limit",IF(OR(j_anode_max&gt;j_opt_strain,j_anode_max&gt;anode_j_cont),"watch - max current above optimum","OK - max current in range"))</f>
        <v>EXCEED - max current over a limit</v>
      </c>
      <c r="E76" s="77" t="s">
        <v>1257</v>
      </c>
    </row>
    <row r="78" spans="1:5" x14ac:dyDescent="0.2">
      <c r="A78" s="5" t="s">
        <v>1869</v>
      </c>
    </row>
    <row r="79" spans="1:5" x14ac:dyDescent="0.2">
      <c r="B79" s="18"/>
      <c r="C79" s="19"/>
      <c r="D79" s="116"/>
      <c r="E79" s="54"/>
    </row>
    <row r="80" spans="1:5" x14ac:dyDescent="0.2">
      <c r="A80" t="s">
        <v>1471</v>
      </c>
      <c r="B80" s="18" t="s">
        <v>1472</v>
      </c>
      <c r="C80" s="19" t="s">
        <v>909</v>
      </c>
      <c r="D80" s="116">
        <f>Biology!$D$27</f>
        <v>0.352091480729</v>
      </c>
      <c r="E80" s="54" t="s">
        <v>1473</v>
      </c>
    </row>
    <row r="81" spans="1:5" x14ac:dyDescent="0.2">
      <c r="A81" t="s">
        <v>1474</v>
      </c>
      <c r="B81" s="18" t="s">
        <v>1475</v>
      </c>
      <c r="C81" s="19" t="s">
        <v>515</v>
      </c>
      <c r="D81" s="116">
        <f>'Mass Transfer'!$D$32</f>
        <v>1.997672318404e-09</v>
      </c>
      <c r="E81" s="54" t="s">
        <v>1476</v>
      </c>
    </row>
    <row r="82" spans="1:5" x14ac:dyDescent="0.2">
      <c r="A82" t="s">
        <v>1870</v>
      </c>
      <c r="B82" s="18" t="s">
        <v>1477</v>
      </c>
      <c r="C82" s="19" t="s">
        <v>772</v>
      </c>
      <c r="D82" s="116">
        <f>V_charge/1000</f>
        <v>0.015</v>
      </c>
      <c r="E82" s="54" t="s">
        <v>1871</v>
      </c>
    </row>
    <row r="83" spans="1:5" ht="60" x14ac:dyDescent="0.2">
      <c r="A83" t="s">
        <v>1478</v>
      </c>
      <c r="B83" s="18" t="s">
        <v>1479</v>
      </c>
      <c r="C83" s="19" t="s">
        <v>972</v>
      </c>
      <c r="D83" s="135">
        <v>4.0000000000000001E-3</v>
      </c>
      <c r="E83" s="60" t="s">
        <v>1480</v>
      </c>
    </row>
    <row r="84" spans="1:5" ht="24" x14ac:dyDescent="0.2">
      <c r="A84" t="s">
        <v>1481</v>
      </c>
      <c r="B84" s="18" t="s">
        <v>1482</v>
      </c>
      <c r="C84" s="19" t="s">
        <v>1140</v>
      </c>
      <c r="D84" s="121">
        <v>0.64400000000000002</v>
      </c>
      <c r="E84" s="77" t="s">
        <v>1483</v>
      </c>
    </row>
    <row r="85" spans="1:5" ht="60" x14ac:dyDescent="0.2">
      <c r="A85" t="s">
        <v>1872</v>
      </c>
      <c r="B85" s="18" t="s">
        <v>1484</v>
      </c>
      <c r="C85" s="19" t="s">
        <v>909</v>
      </c>
      <c r="D85" s="116">
        <f>'Mass Transfer'!$D$179</f>
        <v>0.079603291295</v>
      </c>
      <c r="E85" s="54" t="s">
        <v>1873</v>
      </c>
    </row>
    <row r="86" spans="1:5" ht="48" x14ac:dyDescent="0.2">
      <c r="A86" t="s">
        <v>1485</v>
      </c>
      <c r="B86" s="18" t="s">
        <v>1486</v>
      </c>
      <c r="C86" s="19" t="s">
        <v>978</v>
      </c>
      <c r="D86" s="116">
        <f>n_ORR_eff*F_const*(km_O2/100)*ec_DO_design*(A_cath_wet/10000)</f>
        <v>0.0002288650307031</v>
      </c>
      <c r="E86" s="54" t="s">
        <v>1874</v>
      </c>
    </row>
    <row r="87" spans="1:5" x14ac:dyDescent="0.2">
      <c r="A87" t="s">
        <v>1487</v>
      </c>
      <c r="B87" s="18" t="s">
        <v>1488</v>
      </c>
      <c r="C87" s="19" t="s">
        <v>978</v>
      </c>
      <c r="D87" s="116">
        <f>n_ORR_eff*F_const*(km_O2/100)*ec_O2_ceil*(A_cath_wet/10000)</f>
        <v>0.001012287636</v>
      </c>
      <c r="E87" s="54" t="s">
        <v>1489</v>
      </c>
    </row>
    <row r="88" spans="1:5" ht="24" x14ac:dyDescent="0.2">
      <c r="A88" t="s">
        <v>1490</v>
      </c>
      <c r="B88" s="18" t="s">
        <v>1491</v>
      </c>
      <c r="C88" s="19" t="s">
        <v>1140</v>
      </c>
      <c r="D88" s="116">
        <f>MAX(0,1-i_ORR_design/I_app)</f>
        <v>0.959777674745</v>
      </c>
      <c r="E88" s="54" t="s">
        <v>1875</v>
      </c>
    </row>
    <row r="89" spans="1:5" x14ac:dyDescent="0.2">
      <c r="A89" t="s">
        <v>1492</v>
      </c>
      <c r="B89" s="18" t="s">
        <v>1493</v>
      </c>
      <c r="C89" s="19" t="s">
        <v>1140</v>
      </c>
      <c r="D89" s="116">
        <f>MAX(0,1-i_ORR_ceiling/I_app)</f>
        <v>0.82209356137</v>
      </c>
      <c r="E89" s="54" t="s">
        <v>1494</v>
      </c>
    </row>
    <row r="90" spans="1:5" x14ac:dyDescent="0.2">
      <c r="A90" s="5" t="s">
        <v>1495</v>
      </c>
    </row>
    <row r="91" spans="1:5" ht="48" x14ac:dyDescent="0.2">
      <c r="A91" t="s">
        <v>1496</v>
      </c>
      <c r="B91" s="18" t="s">
        <v>1497</v>
      </c>
      <c r="C91" s="19" t="s">
        <v>1140</v>
      </c>
      <c r="D91" s="135">
        <v>0.15</v>
      </c>
      <c r="E91" s="60" t="s">
        <v>1498</v>
      </c>
    </row>
    <row r="92" spans="1:5" x14ac:dyDescent="0.2">
      <c r="A92" t="s">
        <v>1499</v>
      </c>
      <c r="B92" s="18" t="s">
        <v>1500</v>
      </c>
      <c r="C92" s="19" t="s">
        <v>1124</v>
      </c>
      <c r="D92" s="121">
        <v>34.014699999999998</v>
      </c>
      <c r="E92" s="77" t="s">
        <v>1501</v>
      </c>
    </row>
    <row r="93" spans="1:5" ht="24" x14ac:dyDescent="0.2">
      <c r="A93" t="s">
        <v>1502</v>
      </c>
      <c r="B93" s="18" t="s">
        <v>1503</v>
      </c>
      <c r="C93" s="19" t="s">
        <v>1132</v>
      </c>
      <c r="D93" s="116">
        <f>f_HOOH*I_app*(1-etaF)/(n_ORR_eff*F_const)*M_H2O2*1000*3600/ec_V_L</f>
        <v>0.785028756121</v>
      </c>
      <c r="E93" s="54" t="s">
        <v>1876</v>
      </c>
    </row>
    <row r="94" spans="1:5" ht="48" x14ac:dyDescent="0.2">
      <c r="A94" t="s">
        <v>1504</v>
      </c>
      <c r="B94" s="18" t="s">
        <v>1505</v>
      </c>
      <c r="C94" s="19" t="s">
        <v>577</v>
      </c>
      <c r="D94" s="135">
        <v>4.1000000000000003E-3</v>
      </c>
      <c r="E94" s="60" t="s">
        <v>1506</v>
      </c>
    </row>
    <row r="95" spans="1:5" ht="48" x14ac:dyDescent="0.2">
      <c r="A95" t="s">
        <v>1507</v>
      </c>
      <c r="B95" s="18" t="s">
        <v>1508</v>
      </c>
      <c r="C95" s="19" t="s">
        <v>1136</v>
      </c>
      <c r="D95" s="116">
        <f>r_H2O2/(k_cat_cells*3600)</f>
        <v>0.053186230089</v>
      </c>
      <c r="E95" s="54" t="s">
        <v>1509</v>
      </c>
    </row>
    <row r="96" spans="1:5" ht="24" x14ac:dyDescent="0.2">
      <c r="A96" t="s">
        <v>1510</v>
      </c>
      <c r="B96" s="18" t="s">
        <v>1511</v>
      </c>
      <c r="C96" s="19" t="s">
        <v>1136</v>
      </c>
      <c r="D96" s="116">
        <f>r_H2O2_lag/(k_H2O2_anode*3600)*(1-EXP(-k_H2O2_anode*3600))</f>
        <v>0.933143807087</v>
      </c>
      <c r="E96" s="54" t="s">
        <v>1877</v>
      </c>
    </row>
    <row r="97" spans="1:5" ht="60" x14ac:dyDescent="0.2">
      <c r="A97" t="s">
        <v>1512</v>
      </c>
      <c r="B97" s="18" t="s">
        <v>1513</v>
      </c>
      <c r="C97" s="19" t="s">
        <v>1136</v>
      </c>
      <c r="D97" s="121">
        <v>0.17</v>
      </c>
      <c r="E97" s="54" t="s">
        <v>1514</v>
      </c>
    </row>
    <row r="98" spans="1:5" ht="24" x14ac:dyDescent="0.2">
      <c r="A98" t="s">
        <v>1515</v>
      </c>
      <c r="B98" s="18" t="s">
        <v>1516</v>
      </c>
      <c r="C98" s="19" t="s">
        <v>873</v>
      </c>
      <c r="D98" s="116">
        <f>IF(r_H2O2_lag&gt;0,IF(1-H2O2_thresh*k_H2O2_anode*3600/r_H2O2_lag&gt;0,-LN(1-H2O2_thresh*k_H2O2_anode*3600/r_H2O2_lag)/k_H2O2_anode/60,NA()),NA())</f>
        <v>5.76690966439</v>
      </c>
      <c r="E98" s="54" t="s">
        <v>1878</v>
      </c>
    </row>
    <row r="99" spans="1:5" ht="48" x14ac:dyDescent="0.2">
      <c r="A99" t="s">
        <v>1517</v>
      </c>
      <c r="B99" s="18" t="s">
        <v>1518</v>
      </c>
      <c r="C99" s="19" t="s">
        <v>1140</v>
      </c>
      <c r="D99" s="116"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(0.053 mg/L) but LAG PHASE is not: peroxide passes the threshold in 6 min before biomass can scavenge it</v>
      </c>
      <c r="E99" s="54" t="s">
        <v>1519</v>
      </c>
    </row>
    <row r="100" spans="1:5" x14ac:dyDescent="0.2">
      <c r="A100" s="5" t="s">
        <v>1520</v>
      </c>
    </row>
    <row r="101" spans="1:5" x14ac:dyDescent="0.2">
      <c r="A101" t="s">
        <v>1521</v>
      </c>
      <c r="B101" s="18" t="s">
        <v>1522</v>
      </c>
      <c r="C101" s="19" t="s">
        <v>978</v>
      </c>
      <c r="D101" s="116">
        <f>Chemistry!$D$133</f>
        <v>9.08269431422e-05</v>
      </c>
      <c r="E101" s="54" t="s">
        <v>1523</v>
      </c>
    </row>
    <row r="102" spans="1:5" x14ac:dyDescent="0.2">
      <c r="A102" t="s">
        <v>1524</v>
      </c>
      <c r="B102" s="18" t="s">
        <v>1525</v>
      </c>
      <c r="C102" s="19" t="s">
        <v>1140</v>
      </c>
      <c r="D102" s="116">
        <f>Chemistry!$D$158</f>
        <v>0.0</v>
      </c>
      <c r="E102" s="57" t="s">
        <v>1526</v>
      </c>
    </row>
    <row r="103" spans="1:5" ht="36" x14ac:dyDescent="0.2">
      <c r="A103" t="s">
        <v>1527</v>
      </c>
      <c r="B103" s="18" t="s">
        <v>1528</v>
      </c>
      <c r="C103" s="19" t="s">
        <v>1140</v>
      </c>
      <c r="D103" s="116">
        <f>ec_I_Cl/I_app</f>
        <v>0.015962555913</v>
      </c>
      <c r="E103" s="54" t="s">
        <v>1879</v>
      </c>
    </row>
    <row r="104" spans="1:5" ht="36" x14ac:dyDescent="0.2">
      <c r="A104" t="s">
        <v>1529</v>
      </c>
      <c r="B104" s="18" t="s">
        <v>1530</v>
      </c>
      <c r="C104" s="19" t="s">
        <v>1140</v>
      </c>
      <c r="D104" s="116">
        <f>MAX(0,1-f_Cl_anode-IF(ISNUMBER(ec_corr_I),ec_corr_I,0)-IF(ISNUMBER(f_HOR_anode),f_HOR_anode,0))</f>
        <v>0.984037444087</v>
      </c>
      <c r="E104" s="54" t="s">
        <v>1880</v>
      </c>
    </row>
    <row r="105" spans="1:5" x14ac:dyDescent="0.2">
      <c r="A105" s="5" t="s">
        <v>1531</v>
      </c>
    </row>
    <row r="106" spans="1:5" ht="24" x14ac:dyDescent="0.2">
      <c r="A106" t="s">
        <v>1532</v>
      </c>
      <c r="B106" s="18" t="s">
        <v>1533</v>
      </c>
      <c r="C106" s="19" t="s">
        <v>1445</v>
      </c>
      <c r="D106" s="116">
        <f>Chemistry!$D$201</f>
        <v>1.229</v>
      </c>
      <c r="E106" s="77" t="s">
        <v>1534</v>
      </c>
    </row>
    <row r="107" spans="1:5" ht="48" x14ac:dyDescent="0.2">
      <c r="A107" t="s">
        <v>1535</v>
      </c>
      <c r="B107" s="18" t="s">
        <v>1536</v>
      </c>
      <c r="C107" s="19" t="s">
        <v>1537</v>
      </c>
      <c r="D107" s="135">
        <v>0.12</v>
      </c>
      <c r="E107" s="60" t="s">
        <v>1538</v>
      </c>
    </row>
    <row r="108" spans="1:5" ht="48" x14ac:dyDescent="0.2">
      <c r="A108" t="s">
        <v>1539</v>
      </c>
      <c r="B108" s="18" t="s">
        <v>1540</v>
      </c>
      <c r="C108" s="19" t="s">
        <v>1541</v>
      </c>
      <c r="D108" s="135">
        <v>1E-10</v>
      </c>
      <c r="E108" s="36" t="s">
        <v>1542</v>
      </c>
    </row>
    <row r="109" spans="1:5" ht="36" x14ac:dyDescent="0.2">
      <c r="A109" t="s">
        <v>1543</v>
      </c>
      <c r="B109" s="18" t="s">
        <v>1544</v>
      </c>
      <c r="C109" s="19" t="s">
        <v>1537</v>
      </c>
      <c r="D109" s="135">
        <v>0.14000000000000001</v>
      </c>
      <c r="E109" s="54" t="s">
        <v>1545</v>
      </c>
    </row>
    <row r="110" spans="1:5" ht="24" x14ac:dyDescent="0.2">
      <c r="A110" t="s">
        <v>1546</v>
      </c>
      <c r="B110" s="18" t="s">
        <v>1547</v>
      </c>
      <c r="C110" s="19" t="s">
        <v>1541</v>
      </c>
      <c r="D110" s="135">
        <v>1.5E-6</v>
      </c>
      <c r="E110" s="54" t="s">
        <v>1548</v>
      </c>
    </row>
    <row r="111" spans="1:5" x14ac:dyDescent="0.2">
      <c r="A111" t="s">
        <v>1549</v>
      </c>
      <c r="B111" s="18" t="s">
        <v>1550</v>
      </c>
      <c r="C111" s="19" t="s">
        <v>1445</v>
      </c>
      <c r="D111" s="116">
        <f>b_anode*LOG10(j_anode/1000/j0_anode)</f>
        <v>0.902028812381</v>
      </c>
      <c r="E111" s="54" t="s">
        <v>1551</v>
      </c>
    </row>
    <row r="112" spans="1:5" x14ac:dyDescent="0.2">
      <c r="A112" t="s">
        <v>1552</v>
      </c>
      <c r="B112" s="18" t="s">
        <v>1553</v>
      </c>
      <c r="C112" s="19" t="s">
        <v>1445</v>
      </c>
      <c r="D112" s="116">
        <f>b_cath*LOG10(j_cathode/1000/j0_cath)</f>
        <v>0.458513384477</v>
      </c>
      <c r="E112" s="54" t="s">
        <v>1554</v>
      </c>
    </row>
    <row r="113" spans="1:5" ht="72" x14ac:dyDescent="0.2">
      <c r="A113" t="s">
        <v>1555</v>
      </c>
      <c r="B113" s="18" t="s">
        <v>1556</v>
      </c>
      <c r="C113" s="19" t="s">
        <v>1445</v>
      </c>
      <c r="D113" s="135">
        <v>-0.15</v>
      </c>
      <c r="E113" s="60" t="s">
        <v>1881</v>
      </c>
    </row>
    <row r="114" spans="1:5" x14ac:dyDescent="0.2">
      <c r="A114" t="s">
        <v>1557</v>
      </c>
      <c r="B114" s="18" t="s">
        <v>1558</v>
      </c>
      <c r="C114" s="19" t="s">
        <v>1359</v>
      </c>
      <c r="D114" s="116">
        <f>Chemistry!$D$180</f>
        <v>0.706946657056</v>
      </c>
      <c r="E114" s="54" t="s">
        <v>1559</v>
      </c>
    </row>
    <row r="115" spans="1:5" x14ac:dyDescent="0.2">
      <c r="A115" t="s">
        <v>1560</v>
      </c>
      <c r="B115" s="18" t="s">
        <v>1561</v>
      </c>
      <c r="C115" s="19" t="s">
        <v>115</v>
      </c>
      <c r="D115" s="116">
        <f>Geometry!$D$92</f>
        <v>14.0</v>
      </c>
      <c r="E115" s="57" t="s">
        <v>1562</v>
      </c>
    </row>
    <row r="116" spans="1:5" ht="60" x14ac:dyDescent="0.2">
      <c r="A116" t="s">
        <v>1563</v>
      </c>
      <c r="B116" s="18" t="s">
        <v>1564</v>
      </c>
      <c r="C116" s="19" t="s">
        <v>1140</v>
      </c>
      <c r="D116" s="135">
        <v>1</v>
      </c>
      <c r="E116" s="60"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~1.08 by Gerrit’s Law holding linear to 25 % on a 5 V rail (D143–D144); that leaves only 0.16 V of headroom at 25 %, against the ±0.12 V j₀ uncertainty (E108), so the bound is soft. Measure with a conductivity standard.</v>
      </c>
    </row>
    <row r="117" spans="1:5" ht="24" x14ac:dyDescent="0.2">
      <c r="A117" t="s">
        <v>1565</v>
      </c>
      <c r="B117" s="18" t="s">
        <v>1566</v>
      </c>
      <c r="C117" s="19" t="s">
        <v>1567</v>
      </c>
      <c r="D117" s="116">
        <f>k_geom*ACOSH(ec_gap/anode_dia)/(PI()*ec_kappa*(L_sub/1000))</f>
        <v>73.119914854398</v>
      </c>
      <c r="E117" s="54" t="s">
        <v>1568</v>
      </c>
    </row>
    <row r="118" spans="1:5" ht="24" x14ac:dyDescent="0.2">
      <c r="A118" t="s">
        <v>1569</v>
      </c>
      <c r="B118" s="18" t="s">
        <v>1570</v>
      </c>
      <c r="C118" s="19" t="s">
        <v>1445</v>
      </c>
      <c r="D118" s="116">
        <f>I_app*R_cell</f>
        <v>0.416052315522</v>
      </c>
      <c r="E118" s="54" t="s">
        <v>1571</v>
      </c>
    </row>
    <row r="119" spans="1:5" ht="36" x14ac:dyDescent="0.2">
      <c r="A119" t="s">
        <v>1572</v>
      </c>
      <c r="B119" s="18" t="s">
        <v>1573</v>
      </c>
      <c r="C119" s="19" t="s">
        <v>1445</v>
      </c>
      <c r="D119" s="116">
        <f>ec_E_rev+eta_anode+eta_cath+pcet_credit_op+V_IR</f>
        <v>2.85559451238</v>
      </c>
      <c r="E119" s="54" t="s">
        <v>1574</v>
      </c>
    </row>
    <row r="120" spans="1:5" ht="24" x14ac:dyDescent="0.2">
      <c r="A120" t="s">
        <v>1575</v>
      </c>
      <c r="B120" s="18" t="s">
        <v>1576</v>
      </c>
      <c r="C120" s="19" t="s">
        <v>1445</v>
      </c>
      <c r="D120" s="121">
        <v>5</v>
      </c>
      <c r="E120" s="54" t="s">
        <v>1577</v>
      </c>
    </row>
    <row r="121" spans="1:5" x14ac:dyDescent="0.2">
      <c r="A121" t="s">
        <v>1578</v>
      </c>
      <c r="B121" s="18" t="s">
        <v>1579</v>
      </c>
      <c r="C121" s="19" t="s">
        <v>1445</v>
      </c>
      <c r="D121" s="116">
        <f>V_rail-V_cell_est</f>
        <v>2.14440548762</v>
      </c>
      <c r="E121" s="54" t="s">
        <v>1580</v>
      </c>
    </row>
    <row r="122" spans="1:5" ht="36" x14ac:dyDescent="0.2">
      <c r="A122" t="s">
        <v>1581</v>
      </c>
      <c r="B122" s="18" t="s">
        <v>1582</v>
      </c>
      <c r="C122" s="19" t="s">
        <v>1140</v>
      </c>
      <c r="D122" s="116"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2.86 V estimated against a 5 V rail</v>
      </c>
      <c r="E122" s="54"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4.84 V at 25 % with k_geom = 1.0).</v>
      </c>
    </row>
    <row r="124" spans="1:5" ht="16" x14ac:dyDescent="0.2">
      <c r="A124" s="82" t="s">
        <v>1882</v>
      </c>
    </row>
    <row r="125" spans="1:5" ht="26" x14ac:dyDescent="0.2">
      <c r="A125" s="17" t="s">
        <v>1883</v>
      </c>
      <c r="B125" s="18" t="s">
        <v>1884</v>
      </c>
      <c r="C125" s="19" t="s">
        <v>274</v>
      </c>
      <c r="D125" s="135">
        <v>1.03</v>
      </c>
      <c r="E125" s="86" t="s">
        <v>1885</v>
      </c>
    </row>
    <row r="126" spans="1:5" ht="26" x14ac:dyDescent="0.2">
      <c r="A126" s="17" t="s">
        <v>1886</v>
      </c>
      <c r="B126" s="18" t="s">
        <v>1887</v>
      </c>
      <c r="C126" s="19" t="s">
        <v>278</v>
      </c>
      <c r="D126" s="135">
        <v>2.6</v>
      </c>
      <c r="E126" s="86" t="s">
        <v>1885</v>
      </c>
    </row>
    <row r="127" spans="1:5" x14ac:dyDescent="0.2">
      <c r="A127" s="17" t="s">
        <v>1888</v>
      </c>
      <c r="B127" s="18" t="s">
        <v>1889</v>
      </c>
      <c r="C127" s="19" t="s">
        <v>1445</v>
      </c>
      <c r="D127" s="135">
        <v>1</v>
      </c>
      <c r="E127" s="91" t="s">
        <v>1890</v>
      </c>
    </row>
    <row r="128" spans="1:5" ht="16" x14ac:dyDescent="0.2">
      <c r="A128" s="82" t="s">
        <v>1891</v>
      </c>
    </row>
    <row r="129" spans="1:5" ht="48" x14ac:dyDescent="0.2">
      <c r="A129" t="s">
        <v>1892</v>
      </c>
      <c r="B129" s="18" t="s">
        <v>1893</v>
      </c>
      <c r="C129" s="19" t="s">
        <v>406</v>
      </c>
      <c r="D129" s="135">
        <v>0.19400000000000001</v>
      </c>
      <c r="E129" s="60" t="s">
        <v>1894</v>
      </c>
    </row>
    <row r="130" spans="1:5" ht="24" x14ac:dyDescent="0.2">
      <c r="A130" t="s">
        <v>1895</v>
      </c>
      <c r="B130" s="18" t="s">
        <v>1896</v>
      </c>
      <c r="C130" s="19" t="s">
        <v>111</v>
      </c>
      <c r="D130" s="135">
        <v>0.05</v>
      </c>
      <c r="E130" s="55" t="s">
        <v>1897</v>
      </c>
    </row>
    <row r="131" spans="1:5" ht="24" x14ac:dyDescent="0.2">
      <c r="A131" t="s">
        <v>1898</v>
      </c>
      <c r="B131" s="18" t="s">
        <v>1899</v>
      </c>
      <c r="C131" s="19" t="s">
        <v>307</v>
      </c>
      <c r="D131" s="116">
        <f>MIN(I_app/(n_ORR_eff*F_const)*3600,O2_cathode_ORR*DO_lag_ref/ec_DO_design)</f>
        <v>5.624573883267e-06</v>
      </c>
      <c r="E131" s="60" t="s">
        <v>1900</v>
      </c>
    </row>
    <row r="132" spans="1:5" ht="24" x14ac:dyDescent="0.2">
      <c r="A132" t="s">
        <v>1901</v>
      </c>
      <c r="B132" s="18" t="s">
        <v>1902</v>
      </c>
      <c r="C132" s="19" t="s">
        <v>307</v>
      </c>
      <c r="D132" s="116">
        <f>rO2_gen-O2_ORR_lag</f>
        <v>4.660363159054e-05</v>
      </c>
      <c r="E132" s="60" t="s">
        <v>1903</v>
      </c>
    </row>
    <row r="133" spans="1:5" ht="24" x14ac:dyDescent="0.2">
      <c r="A133" t="s">
        <v>1904</v>
      </c>
      <c r="B133" s="18" t="s">
        <v>1905</v>
      </c>
      <c r="C133" s="19" t="s">
        <v>307</v>
      </c>
      <c r="D133" s="116">
        <f>MAX(0,I_app-O2_ORR_lag/3600*n_ORR_eff*F_const)/(z_e_H2*F_const)*3600</f>
        <v>9.574538813904e-05</v>
      </c>
      <c r="E133" s="60" t="s">
        <v>1906</v>
      </c>
    </row>
    <row r="134" spans="1:5" ht="24" x14ac:dyDescent="0.2">
      <c r="A134" t="s">
        <v>1907</v>
      </c>
      <c r="B134" s="18" t="s">
        <v>1908</v>
      </c>
      <c r="C134" s="19" t="s">
        <v>111</v>
      </c>
      <c r="D134" s="116"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(0.194 mol/m³)</v>
      </c>
      <c r="E134" s="60" t="s">
        <v>1909</v>
      </c>
    </row>
    <row r="140" spans="1:5" ht="16" x14ac:dyDescent="0.2">
      <c r="A140" s="82" t="s">
        <v>1910</v>
      </c>
    </row>
    <row r="141" spans="1:5" ht="39" x14ac:dyDescent="0.2">
      <c r="A141" t="s">
        <v>1911</v>
      </c>
      <c r="B141" s="18" t="s">
        <v>1912</v>
      </c>
      <c r="C141" s="19" t="s">
        <v>1913</v>
      </c>
      <c r="D141" s="116">
        <f>z_e_ORR*f_HOOH+z_e_O2*(1-f_HOOH)</f>
        <v>3.7</v>
      </c>
      <c r="E141" s="91" t="s">
        <v>1914</v>
      </c>
    </row>
    <row r="142" spans="1:5" x14ac:dyDescent="0.2">
      <c r="A142" t="s">
        <v>1915</v>
      </c>
      <c r="B142" s="18" t="s">
        <v>1916</v>
      </c>
      <c r="C142" s="19" t="s">
        <v>300</v>
      </c>
      <c r="D142" s="116">
        <f>(gerrit_slope*gerrit_max+gerrit_int)/1000</f>
        <v>0.02835</v>
      </c>
      <c r="E142" s="54" t="s">
        <v>1917</v>
      </c>
    </row>
    <row r="143" spans="1:5" ht="24" x14ac:dyDescent="0.2">
      <c r="A143" t="s">
        <v>1918</v>
      </c>
      <c r="B143" s="18" t="s">
        <v>1919</v>
      </c>
      <c r="C143" s="19" t="s">
        <v>1445</v>
      </c>
      <c r="D143" s="116">
        <f>ec_E_rev+b_anode*LOG10(I_at_gerrit_max/A_anode_wet/j0_anode)+b_cath*LOG10(I_at_gerrit_max/A_cath_wet/j0_cath)+pcet_credit_gmax+I_at_gerrit_max*R_cell</f>
        <v>4.843826390157</v>
      </c>
      <c r="E143" s="60" t="s">
        <v>1920</v>
      </c>
    </row>
    <row r="144" spans="1:5" ht="24" x14ac:dyDescent="0.2">
      <c r="A144" t="s">
        <v>1921</v>
      </c>
      <c r="B144" s="18" t="s">
        <v>1922</v>
      </c>
      <c r="C144" s="19" t="s">
        <v>111</v>
      </c>
      <c r="D144" s="116"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4.84 V at 25 %, under the 5 V rail across the validated band</v>
      </c>
      <c r="E144" s="54" t="s">
        <v>1923</v>
      </c>
    </row>
    <row r="145" spans="1:5" ht="36" x14ac:dyDescent="0.2">
      <c r="A145" t="s">
        <v>1924</v>
      </c>
      <c r="B145" s="18" t="s">
        <v>1925</v>
      </c>
      <c r="C145" s="19" t="s">
        <v>111</v>
      </c>
      <c r="D145" s="135"/>
      <c r="E145" s="57" t="s">
        <v>1926</v>
      </c>
    </row>
    <row r="146" spans="1:5" x14ac:dyDescent="0.2">
      <c r="A146" t="s">
        <v>1927</v>
      </c>
      <c r="B146" s="18" t="s">
        <v>1928</v>
      </c>
      <c r="C146" s="19" t="s">
        <v>406</v>
      </c>
      <c r="D146" s="116">
        <f>Biology!$D$41</f>
        <v>0.790335</v>
      </c>
      <c r="E146" s="54" t="s">
        <v>1929</v>
      </c>
    </row>
    <row r="147" spans="1:5" ht="36" x14ac:dyDescent="0.2">
      <c r="A147" t="s">
        <v>1930</v>
      </c>
      <c r="B147" s="18" t="s">
        <v>1931</v>
      </c>
      <c r="C147" s="19" t="s">
        <v>300</v>
      </c>
      <c r="D147" s="116">
        <f>z_e_H2*F_const*(km_O2/100)*ec_C_H2_sat*(A_anode_wet/10000)</f>
        <v>0.001055766785</v>
      </c>
      <c r="E147" s="60" t="s">
        <v>1932</v>
      </c>
    </row>
    <row r="148" spans="1:5" x14ac:dyDescent="0.2">
      <c r="A148" t="s">
        <v>1933</v>
      </c>
      <c r="B148" s="18" t="s">
        <v>1934</v>
      </c>
      <c r="C148" s="19" t="s">
        <v>111</v>
      </c>
      <c r="D148" s="116">
        <f>i_HOR_lim/I_app</f>
        <v>0.185547765386</v>
      </c>
      <c r="E148" s="60" t="s">
        <v>1935</v>
      </c>
    </row>
    <row r="149" spans="1:5" ht="24" x14ac:dyDescent="0.2">
      <c r="A149" t="s">
        <v>1936</v>
      </c>
      <c r="B149" s="18" t="s">
        <v>1937</v>
      </c>
      <c r="C149" s="19" t="s">
        <v>307</v>
      </c>
      <c r="D149" s="116">
        <f>IF(ISNUMBER(f_HOR_anode),f_HOR_anode*I_app/(z_e_H2*F_const)*3600,0)</f>
        <v>0.0</v>
      </c>
      <c r="E149" s="54" t="s">
        <v>1938</v>
      </c>
    </row>
    <row r="150" spans="1:5" x14ac:dyDescent="0.2">
      <c r="A150" t="s">
        <v>1939</v>
      </c>
      <c r="B150" s="18" t="s">
        <v>1940</v>
      </c>
      <c r="C150" s="19" t="s">
        <v>406</v>
      </c>
      <c r="D150" s="116">
        <f>'Mass Transfer'!$D$135</f>
        <v>0.194051347306</v>
      </c>
      <c r="E150" s="54" t="s">
        <v>1941</v>
      </c>
    </row>
    <row r="151" spans="1:5" ht="36" x14ac:dyDescent="0.2">
      <c r="A151" t="s">
        <v>1942</v>
      </c>
      <c r="B151" s="18" t="s">
        <v>1943</v>
      </c>
      <c r="C151" s="19" t="s">
        <v>577</v>
      </c>
      <c r="D151" s="116">
        <f>(km_O2/100)*(A_anode_wet/10000)/(ec_V_L/1000)</f>
        <v>0.0004615026815512</v>
      </c>
      <c r="E151" s="60" t="s">
        <v>1944</v>
      </c>
    </row>
    <row r="152" spans="1:5" ht="36" x14ac:dyDescent="0.2">
      <c r="A152" t="s">
        <v>1945</v>
      </c>
      <c r="B152" s="18" t="s">
        <v>1946</v>
      </c>
      <c r="C152" s="19" t="s">
        <v>870</v>
      </c>
      <c r="D152" s="116">
        <f>r_H2O2*ec_DO_lag/ec_DO_design</f>
        <v>1.913688307615</v>
      </c>
      <c r="E152" s="54" t="s">
        <v>1947</v>
      </c>
    </row>
    <row r="153" spans="1:5" x14ac:dyDescent="0.2">
      <c r="A153" t="s">
        <v>1948</v>
      </c>
      <c r="B153" s="18" t="s">
        <v>183</v>
      </c>
      <c r="C153" s="19" t="s">
        <v>52</v>
      </c>
      <c r="D153" s="116">
        <f>Biology!$D$6</f>
        <v>15.0</v>
      </c>
      <c r="E153" s="54" t="s">
        <v>1949</v>
      </c>
    </row>
    <row r="154" spans="1:5" x14ac:dyDescent="0.2">
      <c r="A154" t="s">
        <v>1950</v>
      </c>
      <c r="B154" s="18" t="s">
        <v>33</v>
      </c>
      <c r="C154" s="19" t="s">
        <v>111</v>
      </c>
      <c r="D154" s="116" t="str">
        <f>Summary!$D$4</f>
        <v>UdG (mixed)</v>
      </c>
      <c r="E154" s="54" t="s">
        <v>1951</v>
      </c>
    </row>
    <row r="160" spans="1:5" ht="16" x14ac:dyDescent="0.2">
      <c r="A160" s="82" t="s">
        <v>1952</v>
      </c>
    </row>
    <row r="161" spans="1:5" x14ac:dyDescent="0.2">
      <c r="A161" t="s">
        <v>1953</v>
      </c>
      <c r="B161" s="18" t="s">
        <v>1954</v>
      </c>
      <c r="C161" s="19" t="s">
        <v>111</v>
      </c>
      <c r="D161" s="116">
        <f>Chemistry!$D$218</f>
        <v>0.382031445537</v>
      </c>
      <c r="E161" s="145" t="s">
        <v>1955</v>
      </c>
    </row>
    <row r="162" spans="1:5" ht="36" x14ac:dyDescent="0.2">
      <c r="A162" t="s">
        <v>1956</v>
      </c>
      <c r="B162" s="18" t="s">
        <v>1957</v>
      </c>
      <c r="C162" s="19" t="s">
        <v>1445</v>
      </c>
      <c r="D162" s="116">
        <f>IF(ec_jbuf_ratio&gt;1,0,pcet_credit)</f>
        <v>-0.15</v>
      </c>
      <c r="E162" s="60" t="s">
        <v>1958</v>
      </c>
    </row>
    <row r="163" spans="1:5" ht="24" x14ac:dyDescent="0.2">
      <c r="A163" t="s">
        <v>1959</v>
      </c>
      <c r="B163" s="18" t="s">
        <v>1960</v>
      </c>
      <c r="C163" s="19" t="s">
        <v>1445</v>
      </c>
      <c r="D163" s="116">
        <f>IF(ec_jbuf_ratio*I_at_gerrit_max/I_app&gt;1,0,pcet_credit)</f>
        <v>0.0</v>
      </c>
      <c r="E163" s="60"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0"/>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82" t="s">
        <v>750</v>
      </c>
    </row>
    <row r="2" spans="1:6" x14ac:dyDescent="0.2">
      <c r="A2" s="16" t="s">
        <v>751</v>
      </c>
      <c r="B2" s="16" t="s">
        <v>752</v>
      </c>
      <c r="C2" s="16" t="s">
        <v>753</v>
      </c>
      <c r="D2" s="16" t="s">
        <v>754</v>
      </c>
      <c r="E2" s="16" t="s">
        <v>755</v>
      </c>
    </row>
    <row r="3" spans="1:6" x14ac:dyDescent="0.2">
      <c r="A3" s="81" t="s">
        <v>756</v>
      </c>
    </row>
    <row r="4" spans="1:6" x14ac:dyDescent="0.2">
      <c r="A4" s="17" t="s">
        <v>757</v>
      </c>
      <c r="B4" s="18" t="s">
        <v>758</v>
      </c>
      <c r="C4" s="19" t="s">
        <v>759</v>
      </c>
      <c r="D4" s="52">
        <f>Biology!$D$18</f>
        <v>298.15</v>
      </c>
      <c r="E4" s="143" t="s">
        <v>760</v>
      </c>
    </row>
    <row r="5" spans="1:6" ht="36" x14ac:dyDescent="0.2">
      <c r="A5" s="17" t="s">
        <v>1962</v>
      </c>
      <c r="B5" s="18" t="s">
        <v>761</v>
      </c>
      <c r="C5" s="19" t="s">
        <v>762</v>
      </c>
      <c r="D5" s="52">
        <f>'Mass Transfer'!$D$162</f>
        <v>0.028982720788</v>
      </c>
      <c r="E5" s="143" t="s">
        <v>1963</v>
      </c>
    </row>
    <row r="6" spans="1:6" x14ac:dyDescent="0.2">
      <c r="A6" s="17" t="s">
        <v>763</v>
      </c>
      <c r="B6" s="18" t="s">
        <v>764</v>
      </c>
      <c r="C6" s="19" t="s">
        <v>765</v>
      </c>
      <c r="D6" s="52">
        <f>Electrochemistry!$D$19</f>
        <v>0.00569</v>
      </c>
      <c r="E6" s="143" t="s">
        <v>766</v>
      </c>
    </row>
    <row r="7" spans="1:6" x14ac:dyDescent="0.2">
      <c r="A7" s="17" t="s">
        <v>767</v>
      </c>
      <c r="B7" s="18" t="s">
        <v>768</v>
      </c>
      <c r="C7" s="19" t="s">
        <v>769</v>
      </c>
      <c r="D7" s="52">
        <f>Electrochemistry!$D$15</f>
        <v>96485.33212</v>
      </c>
      <c r="E7" s="143" t="s">
        <v>770</v>
      </c>
    </row>
    <row r="8" spans="1:6" x14ac:dyDescent="0.2">
      <c r="A8" s="17" t="s">
        <v>1870</v>
      </c>
      <c r="B8" s="18" t="s">
        <v>771</v>
      </c>
      <c r="C8" s="19" t="s">
        <v>772</v>
      </c>
      <c r="D8" s="52">
        <f>V_charge/1000</f>
        <v>0.015</v>
      </c>
      <c r="E8" s="143" t="s">
        <v>1964</v>
      </c>
    </row>
    <row r="9" spans="1:6" x14ac:dyDescent="0.2">
      <c r="A9" s="17" t="s">
        <v>773</v>
      </c>
      <c r="B9" s="18" t="s">
        <v>774</v>
      </c>
      <c r="C9" s="19" t="s">
        <v>775</v>
      </c>
      <c r="D9" s="123">
        <f>'Mass Transfer'!$D$101</f>
        <v>8.314462618</v>
      </c>
      <c r="E9" s="63" t="s">
        <v>1965</v>
      </c>
    </row>
    <row r="11" spans="1:6" ht="16" x14ac:dyDescent="0.2">
      <c r="A11" s="82" t="s">
        <v>776</v>
      </c>
      <c r="F11" s="79" t="s">
        <v>777</v>
      </c>
    </row>
    <row r="12" spans="1:6" x14ac:dyDescent="0.2">
      <c r="A12" s="16" t="s">
        <v>778</v>
      </c>
      <c r="B12" s="16" t="s">
        <v>779</v>
      </c>
      <c r="C12" s="16" t="s">
        <v>780</v>
      </c>
      <c r="D12" s="16" t="s">
        <v>781</v>
      </c>
      <c r="E12" s="16" t="s">
        <v>782</v>
      </c>
    </row>
    <row r="13" spans="1:6" x14ac:dyDescent="0.2">
      <c r="A13" s="17" t="s">
        <v>784</v>
      </c>
      <c r="B13" s="45">
        <v>4.4499999999999997E-7</v>
      </c>
      <c r="C13" s="45">
        <v>9.15</v>
      </c>
      <c r="D13" s="52">
        <f t="shared" ref="D13:D20" si="0">B13*EXP(-C13*1000/R_gas*(1/TKc-1/T_ref))</f>
        <v>4.45e-07</v>
      </c>
      <c r="E13" s="63" t="s">
        <v>783</v>
      </c>
    </row>
    <row r="14" spans="1:6" x14ac:dyDescent="0.2">
      <c r="A14" s="17" t="s">
        <v>785</v>
      </c>
      <c r="B14" s="45">
        <v>4.6900000000000001E-11</v>
      </c>
      <c r="C14" s="45">
        <v>14.9</v>
      </c>
      <c r="D14" s="52">
        <f t="shared" si="0"/>
        <v>4.69e-11</v>
      </c>
      <c r="E14" s="63" t="s">
        <v>783</v>
      </c>
    </row>
    <row r="15" spans="1:6" x14ac:dyDescent="0.2">
      <c r="A15" s="17" t="s">
        <v>786</v>
      </c>
      <c r="B15" s="45">
        <v>7.1000000000000004E-3</v>
      </c>
      <c r="C15" s="45">
        <v>-8</v>
      </c>
      <c r="D15" s="52">
        <f t="shared" si="0"/>
        <v>0.0071</v>
      </c>
      <c r="E15" s="63" t="s">
        <v>783</v>
      </c>
    </row>
    <row r="16" spans="1:6" x14ac:dyDescent="0.2">
      <c r="A16" s="17" t="s">
        <v>787</v>
      </c>
      <c r="B16" s="45">
        <v>6.3100000000000003E-8</v>
      </c>
      <c r="C16" s="45">
        <v>3.6</v>
      </c>
      <c r="D16" s="52">
        <f t="shared" si="0"/>
        <v>6.31e-08</v>
      </c>
      <c r="E16" s="63" t="s">
        <v>783</v>
      </c>
    </row>
    <row r="17" spans="1:6" x14ac:dyDescent="0.2">
      <c r="A17" s="17" t="s">
        <v>915</v>
      </c>
      <c r="B17" s="45">
        <v>4.1999999999999998E-13</v>
      </c>
      <c r="C17" s="45">
        <v>16</v>
      </c>
      <c r="D17" s="52">
        <f t="shared" si="0"/>
        <v>4.2e-13</v>
      </c>
      <c r="E17" s="63" t="s">
        <v>783</v>
      </c>
    </row>
    <row r="18" spans="1:6" x14ac:dyDescent="0.2">
      <c r="A18" s="17" t="s">
        <v>788</v>
      </c>
      <c r="B18" s="45">
        <v>5.6000000000000003E-10</v>
      </c>
      <c r="C18" s="45">
        <v>52.2</v>
      </c>
      <c r="D18" s="52">
        <f t="shared" si="0"/>
        <v>5.6e-10</v>
      </c>
      <c r="E18" s="63" t="s">
        <v>783</v>
      </c>
    </row>
    <row r="19" spans="1:6" x14ac:dyDescent="0.2">
      <c r="A19" s="17" t="s">
        <v>789</v>
      </c>
      <c r="B19" s="45">
        <v>1E-14</v>
      </c>
      <c r="C19" s="45">
        <v>55.8</v>
      </c>
      <c r="D19" s="52">
        <f t="shared" si="0"/>
        <v>1e-14</v>
      </c>
      <c r="E19" s="63" t="s">
        <v>783</v>
      </c>
    </row>
    <row r="20" spans="1:6" x14ac:dyDescent="0.2">
      <c r="A20" s="17" t="s">
        <v>790</v>
      </c>
      <c r="B20" s="45">
        <v>2.8840315031266057E-8</v>
      </c>
      <c r="C20" s="45">
        <v>13.8</v>
      </c>
      <c r="D20" s="52">
        <f t="shared" si="0"/>
        <v>2.884031503127e-08</v>
      </c>
      <c r="E20" s="63" t="s">
        <v>783</v>
      </c>
    </row>
    <row r="21" spans="1:6" x14ac:dyDescent="0.2">
      <c r="A21" s="17" t="s">
        <v>791</v>
      </c>
      <c r="B21" s="18" t="s">
        <v>792</v>
      </c>
      <c r="C21" s="19" t="s">
        <v>793</v>
      </c>
      <c r="D21" s="124">
        <f>-LOG10(Ka_HOCl)</f>
        <v>7.54</v>
      </c>
      <c r="E21" s="143" t="s">
        <v>794</v>
      </c>
    </row>
    <row r="23" spans="1:6" ht="16" x14ac:dyDescent="0.2">
      <c r="A23" s="82" t="s">
        <v>795</v>
      </c>
      <c r="F23" s="79" t="s">
        <v>796</v>
      </c>
    </row>
    <row r="24" spans="1:6" x14ac:dyDescent="0.2">
      <c r="A24" s="16" t="s">
        <v>799</v>
      </c>
      <c r="B24" s="16" t="s">
        <v>800</v>
      </c>
      <c r="C24" s="16" t="s">
        <v>801</v>
      </c>
      <c r="D24" s="16" t="s">
        <v>802</v>
      </c>
      <c r="E24" s="16" t="s">
        <v>803</v>
      </c>
    </row>
    <row r="25" spans="1:6" x14ac:dyDescent="0.2">
      <c r="A25" s="17" t="s">
        <v>804</v>
      </c>
      <c r="B25" s="45">
        <v>136.08600000000001</v>
      </c>
      <c r="C25" s="20">
        <v>0</v>
      </c>
      <c r="D25" s="121">
        <v>2.2999999999999998</v>
      </c>
      <c r="E25" s="143" t="s">
        <v>797</v>
      </c>
    </row>
    <row r="26" spans="1:6" x14ac:dyDescent="0.2">
      <c r="A26" s="17" t="s">
        <v>805</v>
      </c>
      <c r="B26" s="45">
        <v>141.96</v>
      </c>
      <c r="C26" s="45">
        <v>2.895</v>
      </c>
      <c r="D26" s="121">
        <v>2.9</v>
      </c>
      <c r="E26" s="143" t="s">
        <v>798</v>
      </c>
    </row>
    <row r="27" spans="1:6" x14ac:dyDescent="0.2">
      <c r="A27" s="17" t="s">
        <v>806</v>
      </c>
      <c r="B27" s="45">
        <v>156.01</v>
      </c>
      <c r="C27" s="45">
        <v>3.06</v>
      </c>
      <c r="D27" s="20">
        <v>0</v>
      </c>
      <c r="E27" s="143" t="s">
        <v>798</v>
      </c>
    </row>
    <row r="28" spans="1:6" x14ac:dyDescent="0.2">
      <c r="A28" s="17" t="s">
        <v>807</v>
      </c>
      <c r="B28" s="45">
        <v>84.007000000000005</v>
      </c>
      <c r="C28" s="20">
        <v>0</v>
      </c>
      <c r="D28" s="121">
        <v>1.05</v>
      </c>
      <c r="E28" s="143" t="s">
        <v>797</v>
      </c>
    </row>
    <row r="29" spans="1:6" x14ac:dyDescent="0.2">
      <c r="A29" s="17" t="s">
        <v>808</v>
      </c>
      <c r="B29" s="45">
        <v>174.26</v>
      </c>
      <c r="C29" s="45">
        <v>0.17</v>
      </c>
      <c r="D29" s="20">
        <v>0</v>
      </c>
      <c r="E29" s="143" t="s">
        <v>798</v>
      </c>
    </row>
    <row r="30" spans="1:6" x14ac:dyDescent="0.2">
      <c r="A30" s="17" t="s">
        <v>809</v>
      </c>
      <c r="B30" s="45">
        <v>172.17</v>
      </c>
      <c r="C30" s="45">
        <v>9.7000000000000003E-2</v>
      </c>
      <c r="D30" s="20">
        <v>0</v>
      </c>
      <c r="E30" s="143" t="s">
        <v>798</v>
      </c>
    </row>
    <row r="31" spans="1:6" x14ac:dyDescent="0.2">
      <c r="A31" s="17" t="s">
        <v>810</v>
      </c>
      <c r="B31" s="45">
        <v>246.48</v>
      </c>
      <c r="C31" s="45">
        <v>0.8</v>
      </c>
      <c r="D31" s="121">
        <v>0.5</v>
      </c>
      <c r="E31" s="143" t="s">
        <v>798</v>
      </c>
    </row>
    <row r="32" spans="1:6" x14ac:dyDescent="0.2">
      <c r="A32" s="17" t="s">
        <v>811</v>
      </c>
      <c r="B32" s="45">
        <v>132.13999999999999</v>
      </c>
      <c r="C32" s="45">
        <v>0.94299999999999995</v>
      </c>
      <c r="D32" s="121">
        <v>0.47</v>
      </c>
      <c r="E32" s="143" t="s">
        <v>798</v>
      </c>
    </row>
    <row r="33" spans="1:5" ht="24" x14ac:dyDescent="0.2">
      <c r="A33" s="17" t="s">
        <v>812</v>
      </c>
      <c r="B33" s="45">
        <v>110.98</v>
      </c>
      <c r="C33" s="20">
        <v>0</v>
      </c>
      <c r="D33" s="121">
        <v>0.01</v>
      </c>
      <c r="E33" s="143" t="s">
        <v>964</v>
      </c>
    </row>
    <row r="35" spans="1:5" x14ac:dyDescent="0.2">
      <c r="A35" s="17" t="s">
        <v>813</v>
      </c>
      <c r="B35" s="18" t="s">
        <v>814</v>
      </c>
      <c r="C35" s="19" t="s">
        <v>815</v>
      </c>
      <c r="D35" s="124">
        <f>mc_Na2HPO4/MW_Na2HPO4+mc_NaH2PO4_2H2O/MW_NaH2PO4_2H2O</f>
        <v>0.04000719577</v>
      </c>
      <c r="E35" s="143" t="s">
        <v>816</v>
      </c>
    </row>
    <row r="36" spans="1:5" x14ac:dyDescent="0.2">
      <c r="A36" s="17" t="s">
        <v>817</v>
      </c>
      <c r="B36" s="18" t="s">
        <v>818</v>
      </c>
      <c r="C36" s="19" t="s">
        <v>819</v>
      </c>
      <c r="D36" s="124">
        <f>(2*mc_Na2HPO4/MW_Na2HPO4+mc_NaH2PO4_2H2O/MW_NaH2PO4_2H2O+2*mc_K2SO4/MW_K2SO4+2*mc_MgSO4_7H2O/MW_MgSO4_7H2O+2*mc_CaSO4_2H2O/MW_CaSO4_2H2O)-2*(mc_NH42SO4/MW_NH42SO4+mc_MgSO4_7H2O/MW_MgSO4_7H2O+mc_K2SO4/MW_K2SO4+mc_CaSO4_2H2O/MW_CaSO4_2H2O)</f>
        <v>0.046127523207</v>
      </c>
      <c r="E36" s="143" t="s">
        <v>820</v>
      </c>
    </row>
    <row r="37" spans="1:5" x14ac:dyDescent="0.2">
      <c r="A37" s="17" t="s">
        <v>821</v>
      </c>
      <c r="B37" s="18" t="s">
        <v>822</v>
      </c>
      <c r="C37" s="19" t="s">
        <v>823</v>
      </c>
      <c r="D37" s="124">
        <f>2*mc_NH42SO4/MW_NH42SO4</f>
        <v>0.014272741032</v>
      </c>
      <c r="E37" s="143" t="s">
        <v>824</v>
      </c>
    </row>
    <row r="38" spans="1:5" x14ac:dyDescent="0.2">
      <c r="A38" s="17" t="s">
        <v>825</v>
      </c>
      <c r="B38" s="18" t="s">
        <v>826</v>
      </c>
      <c r="C38" s="19" t="s">
        <v>827</v>
      </c>
      <c r="D38" s="124">
        <f>0</f>
        <v>0.0</v>
      </c>
      <c r="E38" s="143" t="s">
        <v>828</v>
      </c>
    </row>
    <row r="39" spans="1:5" x14ac:dyDescent="0.2">
      <c r="A39" s="17" t="s">
        <v>829</v>
      </c>
      <c r="B39" s="18" t="s">
        <v>830</v>
      </c>
      <c r="C39" s="19" t="s">
        <v>831</v>
      </c>
      <c r="D39" s="124">
        <f>udg_KH2PO4/MW_KH2PO4+udg_Na2HPO4/MW_Na2HPO4</f>
        <v>0.037329366919</v>
      </c>
      <c r="E39" s="143" t="s">
        <v>832</v>
      </c>
    </row>
    <row r="40" spans="1:5" x14ac:dyDescent="0.2">
      <c r="A40" s="17" t="s">
        <v>833</v>
      </c>
      <c r="B40" s="18" t="s">
        <v>834</v>
      </c>
      <c r="C40" s="19" t="s">
        <v>835</v>
      </c>
      <c r="D40" s="124">
        <f>(udg_NaHCO3/MW_NaHCO3+2*udg_Na2HPO4/MW_Na2HPO4+udg_KH2PO4/MW_KH2PO4+2*udg_MgSO4_7H2O/MW_MgSO4_7H2O+2*udg_CaCl2/MW_CaCl2)-(2*(udg_NH42SO4/MW_NH42SO4+udg_MgSO4_7H2O/MW_MgSO4_7H2O)+2*udg_CaCl2/MW_CaCl2)</f>
        <v>0.063142947676</v>
      </c>
      <c r="E40" s="143" t="s">
        <v>836</v>
      </c>
    </row>
    <row r="41" spans="1:5" x14ac:dyDescent="0.2">
      <c r="A41" s="17" t="s">
        <v>837</v>
      </c>
      <c r="B41" s="18" t="s">
        <v>838</v>
      </c>
      <c r="C41" s="19" t="s">
        <v>839</v>
      </c>
      <c r="D41" s="124">
        <f>2*udg_NH42SO4/MW_NH42SO4</f>
        <v>0.007113667323</v>
      </c>
      <c r="E41" s="143" t="s">
        <v>840</v>
      </c>
    </row>
    <row r="42" spans="1:5" x14ac:dyDescent="0.2">
      <c r="A42" s="17" t="s">
        <v>841</v>
      </c>
      <c r="B42" s="18" t="s">
        <v>842</v>
      </c>
      <c r="C42" s="19" t="s">
        <v>843</v>
      </c>
      <c r="D42" s="124">
        <f>2*udg_CaCl2/MW_CaCl2</f>
        <v>0.0001802126509281</v>
      </c>
      <c r="E42" s="143" t="s">
        <v>844</v>
      </c>
    </row>
    <row r="44" spans="1:5" x14ac:dyDescent="0.2">
      <c r="A44" s="17" t="s">
        <v>845</v>
      </c>
      <c r="B44" s="18" t="s">
        <v>846</v>
      </c>
      <c r="C44" s="19" t="s">
        <v>847</v>
      </c>
      <c r="D44" s="124">
        <f>IF(media_sel=INDEX(MediaList,1),SID_mc02,IF(media_sel=INDEX(MediaList,2),SID_udg,NA()))</f>
        <v>0.063142947676</v>
      </c>
      <c r="E44" s="143" t="s">
        <v>848</v>
      </c>
    </row>
    <row r="45" spans="1:5" x14ac:dyDescent="0.2">
      <c r="A45" s="17" t="s">
        <v>849</v>
      </c>
      <c r="B45" s="18" t="s">
        <v>850</v>
      </c>
      <c r="C45" s="19" t="s">
        <v>851</v>
      </c>
      <c r="D45" s="124">
        <f>IF(media_sel=INDEX(MediaList,1),PT_mc02,IF(media_sel=INDEX(MediaList,2),PT_udg,NA()))</f>
        <v>0.037329366919</v>
      </c>
      <c r="E45" s="143" t="s">
        <v>852</v>
      </c>
    </row>
    <row r="46" spans="1:5" x14ac:dyDescent="0.2">
      <c r="A46" s="17" t="s">
        <v>853</v>
      </c>
      <c r="B46" s="18" t="s">
        <v>854</v>
      </c>
      <c r="C46" s="19" t="s">
        <v>855</v>
      </c>
      <c r="D46" s="124">
        <f>IF(media_sel=INDEX(MediaList,1),NT_mc02,IF(media_sel=INDEX(MediaList,2),NT_udg,NA()))</f>
        <v>0.007113667323</v>
      </c>
      <c r="E46" s="143" t="s">
        <v>856</v>
      </c>
    </row>
    <row r="47" spans="1:5" x14ac:dyDescent="0.2">
      <c r="A47" s="17" t="s">
        <v>857</v>
      </c>
      <c r="B47" s="18" t="s">
        <v>858</v>
      </c>
      <c r="C47" s="19" t="s">
        <v>859</v>
      </c>
      <c r="D47" s="124">
        <f>IF(media_sel=INDEX(MediaList,1),Cl_mc02,IF(media_sel=INDEX(MediaList,2),Cl_udg,NA()))</f>
        <v>0.0001802126509281</v>
      </c>
      <c r="E47" s="143" t="s">
        <v>860</v>
      </c>
    </row>
    <row r="49" spans="1:3" x14ac:dyDescent="0.2">
      <c r="A49" s="16" t="s">
        <v>1669</v>
      </c>
      <c r="B49" s="16" t="s">
        <v>861</v>
      </c>
      <c r="C49" s="16" t="s">
        <v>862</v>
      </c>
    </row>
    <row r="50" spans="1:3" x14ac:dyDescent="0.2">
      <c r="A50" s="20">
        <v>4</v>
      </c>
      <c r="B50" s="52">
        <f t="shared" ref="B50:B81" si="1">pH_SID + pH_NT*(10^-A50)/((10^-A50)+KaN_c) + (10^-A50) - (pH_PT*Ka1p_c*(10^-A50)^2 + 2*pH_PT*Ka1p_c*Ka2p_c*(10^-A50) + 3*pH_PT*Ka1p_c*Ka2p_c*Ka3p_c)/((10^-A50)^3 + Ka1p_c*(10^-A50)^2 + Ka1p_c*Ka2p_c*(10^-A50) + Ka1p_c*Ka2p_c*Ka3p_c) - Ka1c_c*CO2aqc/(10^-A50) - 2*Ka1c_c*Ka2c_c*CO2aqc/(10^-A50)^2 - Kw_c/(10^-A50)</f>
        <v>0.033063556183</v>
      </c>
      <c r="C50" s="52">
        <f t="shared" ref="C50:C81" si="2">IF(AND(B50&gt;=0,B51&lt;0),A50+pH_step*B50/(B50-B51),0)</f>
        <v>0.0</v>
      </c>
    </row>
    <row r="51" spans="1:3" x14ac:dyDescent="0.2">
      <c r="A51" s="20">
        <v>4.0999999999999996</v>
      </c>
      <c r="B51" s="52">
        <f t="shared" si="1"/>
        <v>0.03290668638</v>
      </c>
      <c r="C51" s="52">
        <f t="shared" si="2"/>
        <v>0.0</v>
      </c>
    </row>
    <row r="52" spans="1:3" x14ac:dyDescent="0.2">
      <c r="A52" s="20">
        <v>4.2</v>
      </c>
      <c r="B52" s="52">
        <f t="shared" si="1"/>
        <v>0.032748478487</v>
      </c>
      <c r="C52" s="52">
        <f t="shared" si="2"/>
        <v>0.0</v>
      </c>
    </row>
    <row r="53" spans="1:3" x14ac:dyDescent="0.2">
      <c r="A53" s="20">
        <v>4.3</v>
      </c>
      <c r="B53" s="52">
        <f t="shared" si="1"/>
        <v>0.032580623606</v>
      </c>
      <c r="C53" s="52">
        <f t="shared" si="2"/>
        <v>0.0</v>
      </c>
    </row>
    <row r="54" spans="1:3" x14ac:dyDescent="0.2">
      <c r="A54" s="20">
        <v>4.4000000000000004</v>
      </c>
      <c r="B54" s="52">
        <f t="shared" si="1"/>
        <v>0.032394272322</v>
      </c>
      <c r="C54" s="52">
        <f t="shared" si="2"/>
        <v>0.0</v>
      </c>
    </row>
    <row r="55" spans="1:3" x14ac:dyDescent="0.2">
      <c r="A55" s="20">
        <v>4.5</v>
      </c>
      <c r="B55" s="52">
        <f t="shared" si="1"/>
        <v>0.032179582312</v>
      </c>
      <c r="C55" s="52">
        <f t="shared" si="2"/>
        <v>0.0</v>
      </c>
    </row>
    <row r="56" spans="1:3" x14ac:dyDescent="0.2">
      <c r="A56" s="20">
        <v>4.5999999999999996</v>
      </c>
      <c r="B56" s="52">
        <f t="shared" si="1"/>
        <v>0.03192521145</v>
      </c>
      <c r="C56" s="52">
        <f t="shared" si="2"/>
        <v>0.0</v>
      </c>
    </row>
    <row r="57" spans="1:3" x14ac:dyDescent="0.2">
      <c r="A57" s="20">
        <v>4.7</v>
      </c>
      <c r="B57" s="52">
        <f t="shared" si="1"/>
        <v>0.031617732964</v>
      </c>
      <c r="C57" s="52">
        <f t="shared" si="2"/>
        <v>0.0</v>
      </c>
    </row>
    <row r="58" spans="1:3" x14ac:dyDescent="0.2">
      <c r="A58" s="20">
        <v>4.8</v>
      </c>
      <c r="B58" s="52">
        <f t="shared" si="1"/>
        <v>0.031240945405</v>
      </c>
      <c r="C58" s="52">
        <f t="shared" si="2"/>
        <v>0.0</v>
      </c>
    </row>
    <row r="59" spans="1:3" x14ac:dyDescent="0.2">
      <c r="A59" s="20">
        <v>4.9000000000000004</v>
      </c>
      <c r="B59" s="52">
        <f t="shared" si="1"/>
        <v>0.03077504572</v>
      </c>
      <c r="C59" s="52">
        <f t="shared" si="2"/>
        <v>0.0</v>
      </c>
    </row>
    <row r="60" spans="1:3" x14ac:dyDescent="0.2">
      <c r="A60" s="20">
        <v>5</v>
      </c>
      <c r="B60" s="52">
        <f t="shared" si="1"/>
        <v>0.030195628425</v>
      </c>
      <c r="C60" s="52">
        <f t="shared" si="2"/>
        <v>0.0</v>
      </c>
    </row>
    <row r="61" spans="1:3" x14ac:dyDescent="0.2">
      <c r="A61" s="20">
        <v>5.0999999999999996</v>
      </c>
      <c r="B61" s="52">
        <f t="shared" si="1"/>
        <v>0.029472467835</v>
      </c>
      <c r="C61" s="52">
        <f t="shared" si="2"/>
        <v>0.0</v>
      </c>
    </row>
    <row r="62" spans="1:3" x14ac:dyDescent="0.2">
      <c r="A62" s="20">
        <v>5.2</v>
      </c>
      <c r="B62" s="52">
        <f t="shared" si="1"/>
        <v>0.028568033604</v>
      </c>
      <c r="C62" s="52">
        <f t="shared" si="2"/>
        <v>0.0</v>
      </c>
    </row>
    <row r="63" spans="1:3" x14ac:dyDescent="0.2">
      <c r="A63" s="20">
        <v>5.3</v>
      </c>
      <c r="B63" s="52">
        <f t="shared" si="1"/>
        <v>0.027435682533</v>
      </c>
      <c r="C63" s="52">
        <f t="shared" si="2"/>
        <v>0.0</v>
      </c>
    </row>
    <row r="64" spans="1:3" x14ac:dyDescent="0.2">
      <c r="A64" s="20">
        <v>5.4</v>
      </c>
      <c r="B64" s="52">
        <f t="shared" si="1"/>
        <v>0.02601746199</v>
      </c>
      <c r="C64" s="52">
        <f t="shared" si="2"/>
        <v>0.0</v>
      </c>
    </row>
    <row r="65" spans="1:3" x14ac:dyDescent="0.2">
      <c r="A65" s="20">
        <v>5.5</v>
      </c>
      <c r="B65" s="52">
        <f t="shared" si="1"/>
        <v>0.024241452145</v>
      </c>
      <c r="C65" s="52">
        <f t="shared" si="2"/>
        <v>0.0</v>
      </c>
    </row>
    <row r="66" spans="1:3" x14ac:dyDescent="0.2">
      <c r="A66" s="20">
        <v>5.6</v>
      </c>
      <c r="B66" s="52">
        <f t="shared" si="1"/>
        <v>0.022018564891</v>
      </c>
      <c r="C66" s="52">
        <f t="shared" si="2"/>
        <v>0.0</v>
      </c>
    </row>
    <row r="67" spans="1:3" x14ac:dyDescent="0.2">
      <c r="A67" s="20">
        <v>5.7</v>
      </c>
      <c r="B67" s="52">
        <f t="shared" si="1"/>
        <v>0.019238704617</v>
      </c>
      <c r="C67" s="52">
        <f t="shared" si="2"/>
        <v>0.0</v>
      </c>
    </row>
    <row r="68" spans="1:3" x14ac:dyDescent="0.2">
      <c r="A68" s="20">
        <v>5.8</v>
      </c>
      <c r="B68" s="52">
        <f t="shared" si="1"/>
        <v>0.015766174973</v>
      </c>
      <c r="C68" s="52">
        <f t="shared" si="2"/>
        <v>0.0</v>
      </c>
    </row>
    <row r="69" spans="1:3" x14ac:dyDescent="0.2">
      <c r="A69" s="20">
        <v>5.9</v>
      </c>
      <c r="B69" s="52">
        <f t="shared" si="1"/>
        <v>0.011434176943</v>
      </c>
      <c r="C69" s="52">
        <f t="shared" si="2"/>
        <v>0.0</v>
      </c>
    </row>
    <row r="70" spans="1:3" x14ac:dyDescent="0.2">
      <c r="A70" s="20">
        <v>6</v>
      </c>
      <c r="B70" s="52">
        <f t="shared" si="1"/>
        <v>0.00603817143</v>
      </c>
      <c r="C70" s="52">
        <f t="shared" si="2"/>
        <v>6.089982026685</v>
      </c>
    </row>
    <row r="71" spans="1:3" x14ac:dyDescent="0.2">
      <c r="A71" s="20">
        <v>6.1</v>
      </c>
      <c r="B71" s="52">
        <f t="shared" si="1"/>
        <v>-0.0006722480309186</v>
      </c>
      <c r="C71" s="52">
        <f t="shared" si="2"/>
        <v>0.0</v>
      </c>
    </row>
    <row r="72" spans="1:3" x14ac:dyDescent="0.2">
      <c r="A72" s="20">
        <v>6.2</v>
      </c>
      <c r="B72" s="52">
        <f t="shared" si="1"/>
        <v>-0.009003534789</v>
      </c>
      <c r="C72" s="52">
        <f t="shared" si="2"/>
        <v>0.0</v>
      </c>
    </row>
    <row r="73" spans="1:3" x14ac:dyDescent="0.2">
      <c r="A73" s="20">
        <v>6.3</v>
      </c>
      <c r="B73" s="52">
        <f t="shared" si="1"/>
        <v>-0.019331289427</v>
      </c>
      <c r="C73" s="52">
        <f t="shared" si="2"/>
        <v>0.0</v>
      </c>
    </row>
    <row r="74" spans="1:3" x14ac:dyDescent="0.2">
      <c r="A74" s="20">
        <v>6.4</v>
      </c>
      <c r="B74" s="52">
        <f t="shared" si="1"/>
        <v>-0.032117547981</v>
      </c>
      <c r="C74" s="52">
        <f t="shared" si="2"/>
        <v>0.0</v>
      </c>
    </row>
    <row r="75" spans="1:3" x14ac:dyDescent="0.2">
      <c r="A75" s="20">
        <v>6.5</v>
      </c>
      <c r="B75" s="52">
        <f t="shared" si="1"/>
        <v>-0.047933968654</v>
      </c>
      <c r="C75" s="52">
        <f t="shared" si="2"/>
        <v>0.0</v>
      </c>
    </row>
    <row r="76" spans="1:3" x14ac:dyDescent="0.2">
      <c r="A76" s="20">
        <v>6.6</v>
      </c>
      <c r="B76" s="52">
        <f t="shared" si="1"/>
        <v>-0.067493028191</v>
      </c>
      <c r="C76" s="52">
        <f t="shared" si="2"/>
        <v>0.0</v>
      </c>
    </row>
    <row r="77" spans="1:3" x14ac:dyDescent="0.2">
      <c r="A77" s="20">
        <v>6.7</v>
      </c>
      <c r="B77" s="52">
        <f t="shared" si="1"/>
        <v>-0.091689604024</v>
      </c>
      <c r="C77" s="52">
        <f t="shared" si="2"/>
        <v>0.0</v>
      </c>
    </row>
    <row r="78" spans="1:3" x14ac:dyDescent="0.2">
      <c r="A78" s="20">
        <v>6.8</v>
      </c>
      <c r="B78" s="52">
        <f t="shared" si="1"/>
        <v>-0.121655425916</v>
      </c>
      <c r="C78" s="52">
        <f t="shared" si="2"/>
        <v>0.0</v>
      </c>
    </row>
    <row r="79" spans="1:3" x14ac:dyDescent="0.2">
      <c r="A79" s="20">
        <v>6.9</v>
      </c>
      <c r="B79" s="52">
        <f t="shared" si="1"/>
        <v>-0.158828956439</v>
      </c>
      <c r="C79" s="52">
        <f t="shared" si="2"/>
        <v>0.0</v>
      </c>
    </row>
    <row r="80" spans="1:3" x14ac:dyDescent="0.2">
      <c r="A80" s="20">
        <v>7</v>
      </c>
      <c r="B80" s="52">
        <f t="shared" si="1"/>
        <v>-0.205043582236</v>
      </c>
      <c r="C80" s="52">
        <f t="shared" si="2"/>
        <v>0.0</v>
      </c>
    </row>
    <row r="81" spans="1:3" x14ac:dyDescent="0.2">
      <c r="A81" s="20">
        <v>7.1</v>
      </c>
      <c r="B81" s="52">
        <f t="shared" si="1"/>
        <v>-0.262637901907</v>
      </c>
      <c r="C81" s="52">
        <f t="shared" si="2"/>
        <v>0.0</v>
      </c>
    </row>
    <row r="82" spans="1:3" x14ac:dyDescent="0.2">
      <c r="A82" s="20">
        <v>7.2</v>
      </c>
      <c r="B82" s="52">
        <f t="shared" ref="B82:B100" si="3">pH_SID + pH_NT*(10^-A82)/((10^-A82)+KaN_c) + (10^-A82) - (pH_PT*Ka1p_c*(10^-A82)^2 + 2*pH_PT*Ka1p_c*Ka2p_c*(10^-A82) + 3*pH_PT*Ka1p_c*Ka2p_c*Ka3p_c)/((10^-A82)^3 + Ka1p_c*(10^-A82)^2 + Ka1p_c*Ka2p_c*(10^-A82) + Ka1p_c*Ka2p_c*Ka3p_c) - Ka1c_c*CO2aqc/(10^-A82) - 2*Ka1c_c*Ka2c_c*CO2aqc/(10^-A82)^2 - Kw_c/(10^-A82)</f>
        <v>-0.334593622595</v>
      </c>
      <c r="C82" s="52">
        <f t="shared" ref="C82:C113" si="4">IF(AND(B82&gt;=0,B83&lt;0),A82+pH_step*B82/(B82-B83),0)</f>
        <v>0.0</v>
      </c>
    </row>
    <row r="83" spans="1:3" x14ac:dyDescent="0.2">
      <c r="A83" s="20">
        <v>7.3</v>
      </c>
      <c r="B83" s="52">
        <f t="shared" si="3"/>
        <v>-0.4247092016</v>
      </c>
      <c r="C83" s="52">
        <f t="shared" si="4"/>
        <v>0.0</v>
      </c>
    </row>
    <row r="84" spans="1:3" x14ac:dyDescent="0.2">
      <c r="A84" s="20">
        <v>7.4</v>
      </c>
      <c r="B84" s="52">
        <f t="shared" si="3"/>
        <v>-0.53782088534</v>
      </c>
      <c r="C84" s="52">
        <f t="shared" si="4"/>
        <v>0.0</v>
      </c>
    </row>
    <row r="85" spans="1:3" x14ac:dyDescent="0.2">
      <c r="A85" s="20">
        <v>7.5</v>
      </c>
      <c r="B85" s="52">
        <f t="shared" si="3"/>
        <v>-0.680087310495</v>
      </c>
      <c r="C85" s="52">
        <f t="shared" si="4"/>
        <v>0.0</v>
      </c>
    </row>
    <row r="86" spans="1:3" x14ac:dyDescent="0.2">
      <c r="A86" s="20">
        <v>7.6</v>
      </c>
      <c r="B86" s="52">
        <f t="shared" si="3"/>
        <v>-0.859359744298</v>
      </c>
      <c r="C86" s="52">
        <f t="shared" si="4"/>
        <v>0.0</v>
      </c>
    </row>
    <row r="87" spans="1:3" x14ac:dyDescent="0.2">
      <c r="A87" s="20">
        <v>7.7</v>
      </c>
      <c r="B87" s="52">
        <f t="shared" si="3"/>
        <v>-1.085668169751</v>
      </c>
      <c r="C87" s="52">
        <f t="shared" si="4"/>
        <v>0.0</v>
      </c>
    </row>
    <row r="88" spans="1:3" x14ac:dyDescent="0.2">
      <c r="A88" s="20">
        <v>7.8</v>
      </c>
      <c r="B88" s="52">
        <f t="shared" si="3"/>
        <v>-1.371865083008</v>
      </c>
      <c r="C88" s="52">
        <f t="shared" si="4"/>
        <v>0.0</v>
      </c>
    </row>
    <row r="89" spans="1:3" x14ac:dyDescent="0.2">
      <c r="A89" s="20">
        <v>7.9</v>
      </c>
      <c r="B89" s="52">
        <f t="shared" si="3"/>
        <v>-1.734486031719</v>
      </c>
      <c r="C89" s="52">
        <f t="shared" si="4"/>
        <v>0.0</v>
      </c>
    </row>
    <row r="90" spans="1:3" x14ac:dyDescent="0.2">
      <c r="A90" s="20">
        <v>8</v>
      </c>
      <c r="B90" s="52">
        <f t="shared" si="3"/>
        <v>-2.19491152318</v>
      </c>
      <c r="C90" s="52">
        <f t="shared" si="4"/>
        <v>0.0</v>
      </c>
    </row>
    <row r="91" spans="1:3" x14ac:dyDescent="0.2">
      <c r="A91" s="20">
        <v>8.1</v>
      </c>
      <c r="B91" s="52">
        <f t="shared" si="3"/>
        <v>-2.780953444899</v>
      </c>
      <c r="C91" s="52">
        <f t="shared" si="4"/>
        <v>0.0</v>
      </c>
    </row>
    <row r="92" spans="1:3" x14ac:dyDescent="0.2">
      <c r="A92" s="20">
        <v>8.1999999999999993</v>
      </c>
      <c r="B92" s="52">
        <f t="shared" si="3"/>
        <v>-3.529047498075</v>
      </c>
      <c r="C92" s="52">
        <f t="shared" si="4"/>
        <v>0.0</v>
      </c>
    </row>
    <row r="93" spans="1:3" x14ac:dyDescent="0.2">
      <c r="A93" s="20">
        <v>8.3000000000000007</v>
      </c>
      <c r="B93" s="52">
        <f t="shared" si="3"/>
        <v>-4.487322172897</v>
      </c>
      <c r="C93" s="52">
        <f t="shared" si="4"/>
        <v>0.0</v>
      </c>
    </row>
    <row r="94" spans="1:3" x14ac:dyDescent="0.2">
      <c r="A94" s="20">
        <v>8.4</v>
      </c>
      <c r="B94" s="52">
        <f t="shared" si="3"/>
        <v>-5.719951475615</v>
      </c>
      <c r="C94" s="52">
        <f t="shared" si="4"/>
        <v>0.0</v>
      </c>
    </row>
    <row r="95" spans="1:3" x14ac:dyDescent="0.2">
      <c r="A95" s="20">
        <v>8.5</v>
      </c>
      <c r="B95" s="52">
        <f t="shared" si="3"/>
        <v>-7.313409645429</v>
      </c>
      <c r="C95" s="52">
        <f t="shared" si="4"/>
        <v>0.0</v>
      </c>
    </row>
    <row r="96" spans="1:3" x14ac:dyDescent="0.2">
      <c r="A96" s="20">
        <v>8.6</v>
      </c>
      <c r="B96" s="52">
        <f t="shared" si="3"/>
        <v>-9.385573496791</v>
      </c>
      <c r="C96" s="52">
        <f t="shared" si="4"/>
        <v>0.0</v>
      </c>
    </row>
    <row r="97" spans="1:7" x14ac:dyDescent="0.2">
      <c r="A97" s="20">
        <v>8.6999999999999993</v>
      </c>
      <c r="B97" s="52">
        <f t="shared" si="3"/>
        <v>-12.099128022866</v>
      </c>
      <c r="C97" s="52">
        <f t="shared" si="4"/>
        <v>0.0</v>
      </c>
    </row>
    <row r="98" spans="1:7" x14ac:dyDescent="0.2">
      <c r="A98" s="20">
        <v>8.8000000000000007</v>
      </c>
      <c r="B98" s="52">
        <f t="shared" si="3"/>
        <v>-15.681527998472</v>
      </c>
      <c r="C98" s="52">
        <f t="shared" si="4"/>
        <v>0.0</v>
      </c>
    </row>
    <row r="99" spans="1:7" x14ac:dyDescent="0.2">
      <c r="A99" s="20">
        <v>8.9</v>
      </c>
      <c r="B99" s="52">
        <f t="shared" si="3"/>
        <v>-20.455017547693</v>
      </c>
      <c r="C99" s="52">
        <f t="shared" si="4"/>
        <v>0.0</v>
      </c>
    </row>
    <row r="100" spans="1:7" x14ac:dyDescent="0.2">
      <c r="A100" s="20">
        <v>9</v>
      </c>
      <c r="B100" s="52">
        <f t="shared" si="3"/>
        <v>-26.882171778471</v>
      </c>
      <c r="C100" s="52">
        <f>0</f>
        <v>0.0</v>
      </c>
    </row>
    <row r="101" spans="1:7" s="75" customFormat="1" x14ac:dyDescent="0.2">
      <c r="B101" s="95"/>
      <c r="C101" s="95"/>
    </row>
    <row r="102" spans="1:7" x14ac:dyDescent="0.2">
      <c r="A102" s="16" t="s">
        <v>20</v>
      </c>
      <c r="B102" s="16" t="s">
        <v>21</v>
      </c>
      <c r="C102" s="16" t="s">
        <v>22</v>
      </c>
      <c r="D102" s="16" t="s">
        <v>23</v>
      </c>
      <c r="E102" s="16" t="s">
        <v>107</v>
      </c>
    </row>
    <row r="103" spans="1:7" ht="48" x14ac:dyDescent="0.2">
      <c r="A103" s="17" t="s">
        <v>1966</v>
      </c>
      <c r="B103" s="18" t="s">
        <v>863</v>
      </c>
      <c r="C103" s="19" t="s">
        <v>864</v>
      </c>
      <c r="D103" s="124">
        <f>IF(n_cross=1,SUM(C50:C100),NA())</f>
        <v>6.089982026685</v>
      </c>
      <c r="E103" s="143" t="s">
        <v>1670</v>
      </c>
      <c r="F103" s="79" t="s">
        <v>1967</v>
      </c>
    </row>
    <row r="104" spans="1:7" ht="36" x14ac:dyDescent="0.2">
      <c r="A104" s="17" t="s">
        <v>865</v>
      </c>
      <c r="B104" s="18" t="s">
        <v>866</v>
      </c>
      <c r="C104" s="19" t="s">
        <v>867</v>
      </c>
      <c r="D104" s="124">
        <f>1/(1+KaHOCl_c/10^-pH_op)</f>
        <v>0.944473376695</v>
      </c>
      <c r="E104" s="143" t="s">
        <v>1968</v>
      </c>
    </row>
    <row r="105" spans="1:7" ht="36" x14ac:dyDescent="0.2">
      <c r="A105" s="17" t="s">
        <v>911</v>
      </c>
      <c r="B105" s="18" t="s">
        <v>912</v>
      </c>
      <c r="C105" s="19" t="s">
        <v>913</v>
      </c>
      <c r="D105" s="124">
        <f>SUMPRODUCT((B50:B99&gt;=0)*(B51:B100&lt;0))</f>
        <v>1.0</v>
      </c>
      <c r="E105" s="143" t="s">
        <v>914</v>
      </c>
      <c r="F105" s="20"/>
    </row>
    <row r="106" spans="1:7" ht="48" x14ac:dyDescent="0.2">
      <c r="A106" s="82" t="s">
        <v>868</v>
      </c>
      <c r="G106" s="56" t="s">
        <v>916</v>
      </c>
    </row>
    <row r="107" spans="1:7" ht="328" x14ac:dyDescent="0.2">
      <c r="A107" s="17" t="s">
        <v>962</v>
      </c>
      <c r="B107" s="18" t="s">
        <v>869</v>
      </c>
      <c r="C107" s="19" t="s">
        <v>870</v>
      </c>
      <c r="D107" s="124">
        <f>Iappc/(2*Fcc)*M_HOCl*3600/VLc</f>
        <v>371.244905447914</v>
      </c>
      <c r="E107" s="143" t="str">
        <f>"Naïve FE=1 upper bound (all anode current → Cl₂). Superseded by the mass-transport-limited chlorine current I_Cl (D133) and the production rate P_HOCl (D134). Kept only to show the overstatement ("&amp;TEXT(bleach_rate/(P_HOCl*M_HOCl*3600),"0")&amp;"× at the current operating point)."</f>
        <v>Naïve FE=1 upper bound (all anode current → Cl₂). Superseded by the mass-transport-limited chlorine current I_Cl (D133) and the production rate P_HOCl (D134). Kept only to show the overstatement (63× at the current operating point).</v>
      </c>
      <c r="G107" s="56" t="s">
        <v>917</v>
      </c>
    </row>
    <row r="108" spans="1:7" ht="284" x14ac:dyDescent="0.2">
      <c r="A108" s="17" t="s">
        <v>871</v>
      </c>
      <c r="B108" s="18" t="s">
        <v>872</v>
      </c>
      <c r="C108" s="19" t="s">
        <v>873</v>
      </c>
      <c r="D108" s="124">
        <f>1/(bleach_rate)*60</f>
        <v>0.161618379457</v>
      </c>
      <c r="E108" s="143" t="s">
        <v>874</v>
      </c>
      <c r="G108" s="56" t="s">
        <v>918</v>
      </c>
    </row>
    <row r="109" spans="1:7" ht="204" x14ac:dyDescent="0.2">
      <c r="A109" s="17" t="s">
        <v>875</v>
      </c>
      <c r="B109" s="18" t="s">
        <v>876</v>
      </c>
      <c r="C109" s="19" t="s">
        <v>877</v>
      </c>
      <c r="D109" s="52"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0.32 mg/L as Cl₂ (band 0.01-0.64); chloride-pool-bounded, cannot reach the kill threshold in this medium; does NOT explain the death - see metal_flag</v>
      </c>
      <c r="E109" s="143" t="s">
        <v>1028</v>
      </c>
      <c r="G109" s="56" t="s">
        <v>919</v>
      </c>
    </row>
    <row r="110" spans="1:7" ht="328" x14ac:dyDescent="0.2">
      <c r="A110" s="17" t="s">
        <v>878</v>
      </c>
      <c r="B110" s="18" t="s">
        <v>879</v>
      </c>
      <c r="C110" s="19" t="s">
        <v>880</v>
      </c>
      <c r="D110" s="52"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43" t="s">
        <v>1671</v>
      </c>
      <c r="G110" s="56" t="s">
        <v>920</v>
      </c>
    </row>
    <row r="112" spans="1:7" ht="16" x14ac:dyDescent="0.2">
      <c r="A112" s="82" t="s">
        <v>881</v>
      </c>
    </row>
    <row r="113" spans="1:5" x14ac:dyDescent="0.2">
      <c r="A113" s="16" t="s">
        <v>882</v>
      </c>
      <c r="B113" s="16" t="s">
        <v>883</v>
      </c>
      <c r="C113" s="16" t="s">
        <v>884</v>
      </c>
      <c r="D113" s="16" t="s">
        <v>885</v>
      </c>
      <c r="E113" s="16" t="s">
        <v>886</v>
      </c>
    </row>
    <row r="114" spans="1:5" x14ac:dyDescent="0.2">
      <c r="A114" s="20" t="s">
        <v>887</v>
      </c>
      <c r="B114" s="20" t="s">
        <v>888</v>
      </c>
      <c r="C114" s="51">
        <f>PT_mc02*1000</f>
        <v>40.007195769524</v>
      </c>
      <c r="D114" s="20" t="s">
        <v>889</v>
      </c>
      <c r="E114" s="20" t="s">
        <v>890</v>
      </c>
    </row>
    <row r="115" spans="1:5" x14ac:dyDescent="0.2">
      <c r="A115" s="20" t="s">
        <v>891</v>
      </c>
      <c r="B115" s="20" t="s">
        <v>892</v>
      </c>
      <c r="C115" s="51">
        <f>PT_udg*1000</f>
        <v>37.329366919027</v>
      </c>
      <c r="D115" s="20" t="s">
        <v>893</v>
      </c>
      <c r="E115" s="20" t="s">
        <v>894</v>
      </c>
    </row>
    <row r="123" spans="1:5" ht="16" x14ac:dyDescent="0.2">
      <c r="A123" s="82"/>
    </row>
    <row r="125" spans="1:5" ht="48" x14ac:dyDescent="0.2">
      <c r="A125" s="17" t="s">
        <v>963</v>
      </c>
      <c r="B125" s="18" t="s">
        <v>895</v>
      </c>
      <c r="C125" s="19" t="s">
        <v>896</v>
      </c>
      <c r="D125" s="124">
        <f>pH_Cl*pH_fHOCl*M_HOCl</f>
        <v>8.92900943259</v>
      </c>
      <c r="E125" s="143" t="s">
        <v>1320</v>
      </c>
    </row>
    <row r="127" spans="1:5" ht="16" x14ac:dyDescent="0.2">
      <c r="A127" s="82" t="s">
        <v>966</v>
      </c>
    </row>
    <row r="128" spans="1:5" ht="60" x14ac:dyDescent="0.2">
      <c r="A128" s="17" t="s">
        <v>967</v>
      </c>
      <c r="B128" s="18" t="s">
        <v>968</v>
      </c>
      <c r="C128" s="19" t="s">
        <v>969</v>
      </c>
      <c r="D128" s="121">
        <v>0.5</v>
      </c>
      <c r="E128" s="143" t="s">
        <v>1321</v>
      </c>
    </row>
    <row r="129" spans="1:5" ht="48" x14ac:dyDescent="0.2">
      <c r="A129" s="17" t="s">
        <v>970</v>
      </c>
      <c r="B129" s="18" t="s">
        <v>971</v>
      </c>
      <c r="C129" s="19" t="s">
        <v>972</v>
      </c>
      <c r="D129" s="121">
        <f>km_O2_c*(D_Cl/D_O2_c)^km_exp_c</f>
        <v>0.004044131217</v>
      </c>
      <c r="E129" s="143" t="s">
        <v>1969</v>
      </c>
    </row>
    <row r="130" spans="1:5" ht="24" x14ac:dyDescent="0.2">
      <c r="A130" s="17" t="s">
        <v>973</v>
      </c>
      <c r="B130" s="18" t="s">
        <v>974</v>
      </c>
      <c r="C130" s="19" t="s">
        <v>975</v>
      </c>
      <c r="D130" s="116">
        <f>Electrochemistry!$D$46</f>
        <v>1.730635055817</v>
      </c>
      <c r="E130" s="143" t="s">
        <v>1258</v>
      </c>
    </row>
    <row r="131" spans="1:5" x14ac:dyDescent="0.2">
      <c r="A131" s="17" t="s">
        <v>976</v>
      </c>
      <c r="B131" s="18" t="s">
        <v>977</v>
      </c>
      <c r="C131" s="19" t="s">
        <v>978</v>
      </c>
      <c r="D131" s="124">
        <f>Iappc*FE_CER</f>
        <v>0.002845</v>
      </c>
      <c r="E131" s="143" t="s">
        <v>979</v>
      </c>
    </row>
    <row r="132" spans="1:5" ht="96" x14ac:dyDescent="0.2">
      <c r="A132" s="17" t="s">
        <v>980</v>
      </c>
      <c r="B132" s="18" t="s">
        <v>981</v>
      </c>
      <c r="C132" s="19" t="s">
        <v>978</v>
      </c>
      <c r="D132" s="124">
        <f>n_e_Cl*Fcc*km_Cl*(pH_Cl*Cl_free_frac/1000)*A_anode</f>
        <v>9.08269431422e-05</v>
      </c>
      <c r="E132" s="60" t="s">
        <v>1970</v>
      </c>
    </row>
    <row r="133" spans="1:5" x14ac:dyDescent="0.2">
      <c r="A133" s="17" t="s">
        <v>982</v>
      </c>
      <c r="B133" s="18" t="s">
        <v>983</v>
      </c>
      <c r="C133" s="19" t="s">
        <v>978</v>
      </c>
      <c r="D133" s="124">
        <f>MIN(I_Cl_FE,I_Cl_mt)</f>
        <v>9.08269431422e-05</v>
      </c>
      <c r="E133" s="143" t="s">
        <v>984</v>
      </c>
    </row>
    <row r="134" spans="1:5" ht="36" x14ac:dyDescent="0.2">
      <c r="A134" s="17" t="s">
        <v>985</v>
      </c>
      <c r="B134" s="18" t="s">
        <v>986</v>
      </c>
      <c r="C134" s="19" t="s">
        <v>987</v>
      </c>
      <c r="D134" s="124">
        <f>I_Cl/(n_e_Cl*Fcc*VLc)</f>
        <v>3.137849769373e-08</v>
      </c>
      <c r="E134" s="143" t="s">
        <v>1971</v>
      </c>
    </row>
    <row r="135" spans="1:5" x14ac:dyDescent="0.2">
      <c r="A135" s="17" t="s">
        <v>988</v>
      </c>
      <c r="B135" s="18" t="s">
        <v>989</v>
      </c>
      <c r="C135" s="19" t="s">
        <v>990</v>
      </c>
      <c r="D135" s="124">
        <f>pH_NT*MW_N</f>
        <v>99.641138186772</v>
      </c>
      <c r="E135" s="143" t="s">
        <v>991</v>
      </c>
    </row>
    <row r="136" spans="1:5" ht="36" x14ac:dyDescent="0.2">
      <c r="A136" s="17" t="s">
        <v>992</v>
      </c>
      <c r="B136" s="18" t="s">
        <v>993</v>
      </c>
      <c r="C136" s="19" t="s">
        <v>994</v>
      </c>
      <c r="D136" s="121">
        <v>4200000</v>
      </c>
      <c r="E136" s="143" t="s">
        <v>995</v>
      </c>
    </row>
    <row r="137" spans="1:5" ht="48" x14ac:dyDescent="0.2">
      <c r="A137" s="17" t="s">
        <v>996</v>
      </c>
      <c r="B137" s="18" t="s">
        <v>997</v>
      </c>
      <c r="C137" s="19" t="s">
        <v>969</v>
      </c>
      <c r="D137" s="123">
        <f>-LOG10(Ka_NH4)</f>
        <v>9.251811972994</v>
      </c>
      <c r="E137" s="143" t="s">
        <v>1333</v>
      </c>
    </row>
    <row r="138" spans="1:5" ht="24" x14ac:dyDescent="0.2">
      <c r="A138" s="17" t="s">
        <v>998</v>
      </c>
      <c r="B138" s="18" t="s">
        <v>999</v>
      </c>
      <c r="C138" s="19" t="s">
        <v>1000</v>
      </c>
      <c r="D138" s="124">
        <f>pH_NT/(1+10^(pKa_NH4-pH_op))</f>
        <v>4.897388000616e-06</v>
      </c>
      <c r="E138" s="143" t="s">
        <v>1001</v>
      </c>
    </row>
    <row r="139" spans="1:5" ht="24" x14ac:dyDescent="0.2">
      <c r="A139" s="17" t="s">
        <v>1002</v>
      </c>
      <c r="B139" s="18" t="s">
        <v>1003</v>
      </c>
      <c r="C139" s="19" t="s">
        <v>1000</v>
      </c>
      <c r="D139" s="124">
        <f>P_HOCl/(k1_NH2Cl*NH3_free)</f>
        <v>1.525521538935e-09</v>
      </c>
      <c r="E139" s="143" t="s">
        <v>1004</v>
      </c>
    </row>
    <row r="140" spans="1:5" ht="24" x14ac:dyDescent="0.2">
      <c r="A140" s="17" t="s">
        <v>1005</v>
      </c>
      <c r="B140" s="18" t="s">
        <v>1006</v>
      </c>
      <c r="C140" s="19" t="s">
        <v>990</v>
      </c>
      <c r="D140" s="124">
        <f>HOCl_ss*M_HOCl</f>
        <v>8.002885993251e-05</v>
      </c>
      <c r="E140" s="143" t="s">
        <v>1007</v>
      </c>
    </row>
    <row r="141" spans="1:5" ht="48" x14ac:dyDescent="0.2">
      <c r="A141" s="17" t="s">
        <v>1008</v>
      </c>
      <c r="B141" s="18" t="s">
        <v>1009</v>
      </c>
      <c r="C141" s="19" t="s">
        <v>969</v>
      </c>
      <c r="D141" s="121">
        <v>10</v>
      </c>
      <c r="E141" s="143" t="s">
        <v>1010</v>
      </c>
    </row>
    <row r="142" spans="1:5" ht="36" x14ac:dyDescent="0.2">
      <c r="A142" s="17" t="s">
        <v>1011</v>
      </c>
      <c r="B142" s="18" t="s">
        <v>1012</v>
      </c>
      <c r="C142" s="19" t="s">
        <v>1013</v>
      </c>
      <c r="D142" s="121">
        <v>1</v>
      </c>
      <c r="E142" s="143" t="s">
        <v>1014</v>
      </c>
    </row>
    <row r="143" spans="1:5" ht="84" x14ac:dyDescent="0.2">
      <c r="A143" s="17" t="s">
        <v>1015</v>
      </c>
      <c r="B143" s="18" t="s">
        <v>1016</v>
      </c>
      <c r="C143" s="19" t="s">
        <v>990</v>
      </c>
      <c r="D143" s="124">
        <f>MIN(Cl_pool_mgL*(k_Cl_turn*tau_NH2Cl*3600)/(1+k_Cl_turn*tau_NH2Cl*3600),cl_per_N*NH3_N*M_HOCl/M_Cl2)</f>
        <v>5.926017560448</v>
      </c>
      <c r="E143" s="143" t="s">
        <v>1972</v>
      </c>
    </row>
    <row r="144" spans="1:5" ht="36" x14ac:dyDescent="0.2">
      <c r="A144" s="17" t="s">
        <v>1017</v>
      </c>
      <c r="B144" s="18" t="s">
        <v>1018</v>
      </c>
      <c r="C144" s="19" t="s">
        <v>969</v>
      </c>
      <c r="D144" s="121">
        <v>25</v>
      </c>
      <c r="E144" s="143" t="s">
        <v>1019</v>
      </c>
    </row>
    <row r="145" spans="1:5" ht="60" x14ac:dyDescent="0.2">
      <c r="A145" s="17" t="s">
        <v>1020</v>
      </c>
      <c r="B145" s="18" t="s">
        <v>1021</v>
      </c>
      <c r="C145" s="19" t="s">
        <v>990</v>
      </c>
      <c r="D145" s="124">
        <f>f_local*HOCl_ss_mgL+NH2Cl_mgL/R_chloramine</f>
        <v>0.237840991017</v>
      </c>
      <c r="E145" s="143" t="s">
        <v>1973</v>
      </c>
    </row>
    <row r="146" spans="1:5" ht="36" x14ac:dyDescent="0.2">
      <c r="A146" s="17" t="s">
        <v>1022</v>
      </c>
      <c r="B146" s="18" t="s">
        <v>1023</v>
      </c>
      <c r="C146" s="19" t="s">
        <v>990</v>
      </c>
      <c r="D146" s="121">
        <v>0.1</v>
      </c>
      <c r="E146" s="143" t="s">
        <v>1024</v>
      </c>
    </row>
    <row r="147" spans="1:5" ht="24" x14ac:dyDescent="0.2">
      <c r="A147" s="17" t="s">
        <v>1025</v>
      </c>
      <c r="B147" s="18" t="s">
        <v>1026</v>
      </c>
      <c r="C147" s="19" t="s">
        <v>990</v>
      </c>
      <c r="D147" s="121">
        <v>2</v>
      </c>
      <c r="E147" s="143" t="s">
        <v>1027</v>
      </c>
    </row>
    <row r="148" spans="1:5" ht="72" x14ac:dyDescent="0.2">
      <c r="A148" s="17" t="s">
        <v>1082</v>
      </c>
      <c r="B148" s="18" t="s">
        <v>1083</v>
      </c>
      <c r="C148" s="19" t="s">
        <v>1084</v>
      </c>
      <c r="D148" s="124">
        <f>2</f>
        <v>2.0</v>
      </c>
      <c r="E148" s="143" t="s">
        <v>1974</v>
      </c>
    </row>
    <row r="149" spans="1:5" ht="48" x14ac:dyDescent="0.2">
      <c r="A149" s="17" t="s">
        <v>1085</v>
      </c>
      <c r="B149" s="18" t="s">
        <v>1086</v>
      </c>
      <c r="C149" s="19" t="s">
        <v>1087</v>
      </c>
      <c r="D149" s="124">
        <f>pH_Cl*M_HOCl</f>
        <v>9.453955667688</v>
      </c>
      <c r="E149" s="143" t="s">
        <v>1975</v>
      </c>
    </row>
    <row r="150" spans="1:5" ht="24" x14ac:dyDescent="0.2">
      <c r="A150" s="17" t="s">
        <v>1088</v>
      </c>
      <c r="B150" s="18" t="s">
        <v>1089</v>
      </c>
      <c r="C150" s="19" t="s">
        <v>1090</v>
      </c>
      <c r="D150" s="121">
        <v>1.6666666666666666E-2</v>
      </c>
      <c r="E150" s="60" t="s">
        <v>1091</v>
      </c>
    </row>
    <row r="151" spans="1:5" ht="24" x14ac:dyDescent="0.2">
      <c r="A151" s="17" t="s">
        <v>1092</v>
      </c>
      <c r="B151" s="18" t="s">
        <v>1093</v>
      </c>
      <c r="C151" s="19" t="s">
        <v>1094</v>
      </c>
      <c r="D151" s="121">
        <v>5</v>
      </c>
      <c r="E151" s="60" t="s">
        <v>1095</v>
      </c>
    </row>
    <row r="152" spans="1:5" ht="24" x14ac:dyDescent="0.2">
      <c r="A152" s="17" t="s">
        <v>1096</v>
      </c>
      <c r="B152" s="18" t="s">
        <v>1097</v>
      </c>
      <c r="C152" s="19" t="s">
        <v>1098</v>
      </c>
      <c r="D152" s="121">
        <v>18</v>
      </c>
      <c r="E152" s="60" t="s">
        <v>1099</v>
      </c>
    </row>
    <row r="153" spans="1:5" x14ac:dyDescent="0.2">
      <c r="A153" s="17" t="s">
        <v>1100</v>
      </c>
      <c r="B153" s="18" t="s">
        <v>1101</v>
      </c>
      <c r="C153" s="19" t="s">
        <v>1102</v>
      </c>
      <c r="D153" s="121">
        <v>70</v>
      </c>
      <c r="E153" s="60" t="s">
        <v>1103</v>
      </c>
    </row>
    <row r="154" spans="1:5" ht="24" x14ac:dyDescent="0.2">
      <c r="A154" s="17" t="s">
        <v>1104</v>
      </c>
      <c r="B154" s="18" t="s">
        <v>1105</v>
      </c>
      <c r="C154" s="19" t="s">
        <v>1106</v>
      </c>
      <c r="D154" s="124">
        <f>MIN(Cl_pool_mgL*(k_Cl_turn*tau_NH2Cl_lo*3600)/(1+k_Cl_turn*tau_NH2Cl_lo*3600),cl_per_N*NH3_N*M_HOCl/M_Cl2)</f>
        <v>0.257461921468</v>
      </c>
      <c r="E154" s="143" t="s">
        <v>1976</v>
      </c>
    </row>
    <row r="155" spans="1:5" ht="24" x14ac:dyDescent="0.2">
      <c r="A155" s="17" t="s">
        <v>1107</v>
      </c>
      <c r="B155" s="18" t="s">
        <v>1108</v>
      </c>
      <c r="C155" s="19" t="s">
        <v>1109</v>
      </c>
      <c r="D155" s="124">
        <f>MIN(Cl_pool_mgL*(k_Cl_turn*tau_NH2Cl_hi*3600)/(1+k_Cl_turn*tau_NH2Cl_hi*3600),cl_per_N*NH3_N*M_HOCl/M_Cl2)</f>
        <v>8.448076410725</v>
      </c>
      <c r="E155" s="143" t="s">
        <v>1977</v>
      </c>
    </row>
    <row r="156" spans="1:5" x14ac:dyDescent="0.2">
      <c r="A156" s="17" t="s">
        <v>1110</v>
      </c>
      <c r="B156" s="18" t="s">
        <v>1111</v>
      </c>
      <c r="C156" s="19" t="s">
        <v>1112</v>
      </c>
      <c r="D156" s="124">
        <f>f_local*HOCl_ss_mgL+NH2Cl_lo/R_chloramine_hi</f>
        <v>0.004478316049</v>
      </c>
      <c r="E156" s="143" t="s">
        <v>1113</v>
      </c>
    </row>
    <row r="157" spans="1:5" ht="24" x14ac:dyDescent="0.2">
      <c r="A157" s="17" t="s">
        <v>1114</v>
      </c>
      <c r="B157" s="18" t="s">
        <v>1115</v>
      </c>
      <c r="C157" s="19" t="s">
        <v>1116</v>
      </c>
      <c r="D157" s="124">
        <f>f_local*HOCl_ss_mgL+NH2Cl_hi/R_chloramine_lo</f>
        <v>0.470137866973</v>
      </c>
      <c r="E157" s="143" t="s">
        <v>1117</v>
      </c>
    </row>
    <row r="158" spans="1:5" ht="24" x14ac:dyDescent="0.2">
      <c r="A158" s="17" t="s">
        <v>1118</v>
      </c>
      <c r="B158" s="18" t="s">
        <v>1119</v>
      </c>
      <c r="C158" s="19" t="s">
        <v>1120</v>
      </c>
      <c r="D158" s="45"/>
      <c r="E158" s="146" t="s">
        <v>1121</v>
      </c>
    </row>
    <row r="159" spans="1:5" x14ac:dyDescent="0.2">
      <c r="A159" s="17" t="s">
        <v>1122</v>
      </c>
      <c r="B159" s="18" t="s">
        <v>1123</v>
      </c>
      <c r="C159" s="19" t="s">
        <v>1124</v>
      </c>
      <c r="D159" s="121">
        <v>63.55</v>
      </c>
      <c r="E159" s="143" t="s">
        <v>1125</v>
      </c>
    </row>
    <row r="160" spans="1:5" x14ac:dyDescent="0.2">
      <c r="A160" s="17" t="s">
        <v>1126</v>
      </c>
      <c r="B160" s="18" t="s">
        <v>1127</v>
      </c>
      <c r="C160" s="19" t="s">
        <v>1128</v>
      </c>
      <c r="D160" s="121">
        <v>2</v>
      </c>
      <c r="E160" s="143" t="s">
        <v>1129</v>
      </c>
    </row>
    <row r="161" spans="1:5" ht="24" x14ac:dyDescent="0.2">
      <c r="A161" s="17" t="s">
        <v>1130</v>
      </c>
      <c r="B161" s="18" t="s">
        <v>1131</v>
      </c>
      <c r="C161" s="19" t="s">
        <v>1132</v>
      </c>
      <c r="D161" s="124" t="e">
        <f>IF(ISNUMBER(corr_I_frac),corr_I_frac*Iappc/(metal_z*Fcc)*metal_MW*1000*3600/VLc,NA())</f>
        <v>#N/A</v>
      </c>
      <c r="E161" s="146" t="s">
        <v>1133</v>
      </c>
    </row>
    <row r="162" spans="1:5" ht="24" x14ac:dyDescent="0.2">
      <c r="A162" s="17" t="s">
        <v>1134</v>
      </c>
      <c r="B162" s="18" t="s">
        <v>1135</v>
      </c>
      <c r="C162" s="19" t="s">
        <v>1136</v>
      </c>
      <c r="D162" s="121">
        <v>0.5</v>
      </c>
      <c r="E162" s="143" t="s">
        <v>1137</v>
      </c>
    </row>
    <row r="163" spans="1:5" x14ac:dyDescent="0.2">
      <c r="A163" s="17" t="s">
        <v>1138</v>
      </c>
      <c r="B163" s="18" t="s">
        <v>1139</v>
      </c>
      <c r="C163" s="19" t="s">
        <v>1140</v>
      </c>
      <c r="D163" s="52"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6" t="s">
        <v>1141</v>
      </c>
    </row>
    <row r="165" spans="1:5" x14ac:dyDescent="0.2">
      <c r="A165" s="5" t="s">
        <v>1334</v>
      </c>
    </row>
    <row r="166" spans="1:5" ht="36" x14ac:dyDescent="0.2">
      <c r="A166" t="s">
        <v>1335</v>
      </c>
      <c r="B166" s="18" t="s">
        <v>1336</v>
      </c>
      <c r="C166" s="19" t="s">
        <v>1337</v>
      </c>
      <c r="D166" s="121">
        <v>50.08</v>
      </c>
      <c r="E166" s="77" t="s">
        <v>1338</v>
      </c>
    </row>
    <row r="167" spans="1:5" ht="36" x14ac:dyDescent="0.2">
      <c r="A167" t="s">
        <v>1339</v>
      </c>
      <c r="B167" s="18" t="s">
        <v>1340</v>
      </c>
      <c r="C167" s="19" t="s">
        <v>1337</v>
      </c>
      <c r="D167" s="121">
        <v>73.48</v>
      </c>
      <c r="E167" s="77" t="s">
        <v>1338</v>
      </c>
    </row>
    <row r="168" spans="1:5" ht="36" x14ac:dyDescent="0.2">
      <c r="A168" t="s">
        <v>1341</v>
      </c>
      <c r="B168" s="18" t="s">
        <v>1342</v>
      </c>
      <c r="C168" s="19" t="s">
        <v>1337</v>
      </c>
      <c r="D168" s="121">
        <v>73.5</v>
      </c>
      <c r="E168" s="77" t="s">
        <v>1338</v>
      </c>
    </row>
    <row r="169" spans="1:5" ht="36" x14ac:dyDescent="0.2">
      <c r="A169" t="s">
        <v>1343</v>
      </c>
      <c r="B169" s="18" t="s">
        <v>1344</v>
      </c>
      <c r="C169" s="19" t="s">
        <v>1337</v>
      </c>
      <c r="D169" s="121">
        <v>106</v>
      </c>
      <c r="E169" s="77" t="s">
        <v>1338</v>
      </c>
    </row>
    <row r="170" spans="1:5" ht="36" x14ac:dyDescent="0.2">
      <c r="A170" t="s">
        <v>1345</v>
      </c>
      <c r="B170" s="18" t="s">
        <v>1346</v>
      </c>
      <c r="C170" s="19" t="s">
        <v>1337</v>
      </c>
      <c r="D170" s="121">
        <v>118.94</v>
      </c>
      <c r="E170" s="77" t="s">
        <v>1338</v>
      </c>
    </row>
    <row r="171" spans="1:5" ht="36" x14ac:dyDescent="0.2">
      <c r="A171" t="s">
        <v>1347</v>
      </c>
      <c r="B171" s="18" t="s">
        <v>1348</v>
      </c>
      <c r="C171" s="19" t="s">
        <v>1337</v>
      </c>
      <c r="D171" s="121">
        <v>36</v>
      </c>
      <c r="E171" s="77" t="s">
        <v>1338</v>
      </c>
    </row>
    <row r="172" spans="1:5" ht="36" x14ac:dyDescent="0.2">
      <c r="A172" t="s">
        <v>1349</v>
      </c>
      <c r="B172" s="18" t="s">
        <v>1350</v>
      </c>
      <c r="C172" s="19" t="s">
        <v>1337</v>
      </c>
      <c r="D172" s="121">
        <v>114</v>
      </c>
      <c r="E172" s="77" t="s">
        <v>1338</v>
      </c>
    </row>
    <row r="173" spans="1:5" ht="36" x14ac:dyDescent="0.2">
      <c r="A173" t="s">
        <v>1351</v>
      </c>
      <c r="B173" s="18" t="s">
        <v>1352</v>
      </c>
      <c r="C173" s="19" t="s">
        <v>1337</v>
      </c>
      <c r="D173" s="121">
        <v>160</v>
      </c>
      <c r="E173" s="77" t="s">
        <v>1338</v>
      </c>
    </row>
    <row r="174" spans="1:5" ht="36" x14ac:dyDescent="0.2">
      <c r="A174" t="s">
        <v>1353</v>
      </c>
      <c r="B174" s="18" t="s">
        <v>1354</v>
      </c>
      <c r="C174" s="19" t="s">
        <v>1337</v>
      </c>
      <c r="D174" s="121">
        <v>44.5</v>
      </c>
      <c r="E174" s="77" t="s">
        <v>1338</v>
      </c>
    </row>
    <row r="175" spans="1:5" ht="36" x14ac:dyDescent="0.2">
      <c r="A175" t="s">
        <v>1355</v>
      </c>
      <c r="B175" s="18" t="s">
        <v>1356</v>
      </c>
      <c r="C175" s="19" t="s">
        <v>1337</v>
      </c>
      <c r="D175" s="121">
        <v>76.31</v>
      </c>
      <c r="E175" s="77" t="s">
        <v>1338</v>
      </c>
    </row>
    <row r="176" spans="1:5" ht="36" x14ac:dyDescent="0.2">
      <c r="A176" t="s">
        <v>1357</v>
      </c>
      <c r="B176" s="18" t="s">
        <v>1358</v>
      </c>
      <c r="C176" s="19" t="s">
        <v>1359</v>
      </c>
      <c r="D176" s="116">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4" t="s">
        <v>1360</v>
      </c>
    </row>
    <row r="177" spans="1:5" x14ac:dyDescent="0.2">
      <c r="A177" t="s">
        <v>1361</v>
      </c>
      <c r="B177" s="18" t="s">
        <v>1362</v>
      </c>
      <c r="C177" s="19" t="s">
        <v>1359</v>
      </c>
      <c r="D177" s="116">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4" t="s">
        <v>1363</v>
      </c>
    </row>
    <row r="178" spans="1:5" ht="72" x14ac:dyDescent="0.2">
      <c r="A178" t="s">
        <v>1364</v>
      </c>
      <c r="B178" s="18" t="s">
        <v>1365</v>
      </c>
      <c r="C178" s="19" t="s">
        <v>1140</v>
      </c>
      <c r="D178" s="121">
        <v>0.78</v>
      </c>
      <c r="E178" s="60" t="s">
        <v>1366</v>
      </c>
    </row>
    <row r="179" spans="1:5" ht="48" x14ac:dyDescent="0.2">
      <c r="A179" t="s">
        <v>1367</v>
      </c>
      <c r="B179" s="18" t="s">
        <v>1368</v>
      </c>
      <c r="C179" s="19" t="s">
        <v>1369</v>
      </c>
      <c r="D179" s="121">
        <v>0.02</v>
      </c>
      <c r="E179" s="54" t="s">
        <v>1370</v>
      </c>
    </row>
    <row r="180" spans="1:5" ht="36" x14ac:dyDescent="0.2">
      <c r="A180" t="s">
        <v>1371</v>
      </c>
      <c r="B180" s="18" t="s">
        <v>1372</v>
      </c>
      <c r="C180" s="19" t="s">
        <v>1359</v>
      </c>
      <c r="D180" s="116">
        <f>IF(media_sel=INDEX(MediaList,1),kappa0_mc02,IF(media_sel=INDEX(MediaList,2),kappa0_udg,NA()))*kappa_fI*(1+kappa_TC*(TKc-T_ref))</f>
        <v>0.706946657056</v>
      </c>
      <c r="E180" s="54" t="s">
        <v>1373</v>
      </c>
    </row>
    <row r="182" spans="1:5" x14ac:dyDescent="0.2">
      <c r="A182" s="5" t="s">
        <v>1374</v>
      </c>
    </row>
    <row r="183" spans="1:5" ht="36" x14ac:dyDescent="0.2">
      <c r="A183" t="s">
        <v>1375</v>
      </c>
      <c r="B183" s="18" t="s">
        <v>1376</v>
      </c>
      <c r="C183" s="19" t="s">
        <v>1000</v>
      </c>
      <c r="D183" s="116">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4" t="s">
        <v>1377</v>
      </c>
    </row>
    <row r="184" spans="1:5" x14ac:dyDescent="0.2">
      <c r="A184" t="s">
        <v>1378</v>
      </c>
      <c r="B184" s="18" t="s">
        <v>1379</v>
      </c>
      <c r="C184" s="19" t="s">
        <v>1000</v>
      </c>
      <c r="D184" s="116">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4" t="s">
        <v>1363</v>
      </c>
    </row>
    <row r="185" spans="1:5" x14ac:dyDescent="0.2">
      <c r="A185" t="s">
        <v>1380</v>
      </c>
      <c r="B185" s="18" t="s">
        <v>1381</v>
      </c>
      <c r="C185" s="19" t="s">
        <v>1000</v>
      </c>
      <c r="D185" s="116">
        <f>IF(media_sel=INDEX(MediaList,1),I_mc02,IF(media_sel=INDEX(MediaList,2),I_udg,NA()))</f>
        <v>0.109739973238</v>
      </c>
      <c r="E185" s="54" t="s">
        <v>860</v>
      </c>
    </row>
    <row r="186" spans="1:5" ht="36" x14ac:dyDescent="0.2">
      <c r="A186" t="s">
        <v>1382</v>
      </c>
      <c r="B186" s="18" t="s">
        <v>1383</v>
      </c>
      <c r="C186" s="19" t="s">
        <v>1140</v>
      </c>
      <c r="D186" s="116">
        <f>DH_const*(eps_water_298*(T_ref/TKc)^eps_T_exp)^-1.5*TKc^-1.5</f>
        <v>0.507905390447</v>
      </c>
      <c r="E186" s="54" t="s">
        <v>1384</v>
      </c>
    </row>
    <row r="187" spans="1:5" ht="36" x14ac:dyDescent="0.2">
      <c r="A187" t="s">
        <v>1385</v>
      </c>
      <c r="B187" s="18" t="s">
        <v>1386</v>
      </c>
      <c r="C187" s="19" t="s">
        <v>1140</v>
      </c>
      <c r="D187" s="116">
        <f>10^(-A_DH*1*(SQRT(I_ionic)/(1+SQRT(I_ionic))-davies_c*I_ionic))</f>
        <v>0.776846550354</v>
      </c>
      <c r="E187" s="54" t="s">
        <v>1387</v>
      </c>
    </row>
    <row r="188" spans="1:5" ht="36" x14ac:dyDescent="0.2">
      <c r="A188" t="s">
        <v>1388</v>
      </c>
      <c r="B188" s="18" t="s">
        <v>1389</v>
      </c>
      <c r="C188" s="19" t="s">
        <v>1140</v>
      </c>
      <c r="D188" s="116">
        <f>10^(-A_DH*4*(SQRT(I_ionic)/(1+SQRT(I_ionic))-davies_c*I_ionic))</f>
        <v>0.364200859384</v>
      </c>
      <c r="E188" s="54" t="s">
        <v>1387</v>
      </c>
    </row>
    <row r="189" spans="1:5" ht="36" x14ac:dyDescent="0.2">
      <c r="A189" t="s">
        <v>1390</v>
      </c>
      <c r="B189" s="18" t="s">
        <v>1391</v>
      </c>
      <c r="C189" s="19" t="s">
        <v>1140</v>
      </c>
      <c r="D189" s="116">
        <f>10^(-A_DH*9*(SQRT(I_ionic)/(1+SQRT(I_ionic))-davies_c*I_ionic))</f>
        <v>0.103042686755</v>
      </c>
      <c r="E189" s="54" t="s">
        <v>1387</v>
      </c>
    </row>
    <row r="190" spans="1:5" ht="36" x14ac:dyDescent="0.2">
      <c r="A190" t="s">
        <v>1392</v>
      </c>
      <c r="B190" s="18" t="s">
        <v>1393</v>
      </c>
      <c r="C190" s="19" t="s">
        <v>1000</v>
      </c>
      <c r="D190" s="116">
        <f>Ka1c/gamma_1^2</f>
        <v>7.373768993803e-07</v>
      </c>
      <c r="E190" s="54" t="s">
        <v>1394</v>
      </c>
    </row>
    <row r="191" spans="1:5" ht="36" x14ac:dyDescent="0.2">
      <c r="A191" t="s">
        <v>1395</v>
      </c>
      <c r="B191" s="18" t="s">
        <v>1396</v>
      </c>
      <c r="C191" s="19" t="s">
        <v>1000</v>
      </c>
      <c r="D191" s="116">
        <f>Ka2c/gamma_2</f>
        <v>1.287750942688e-10</v>
      </c>
      <c r="E191" s="54" t="s">
        <v>1397</v>
      </c>
    </row>
    <row r="192" spans="1:5" ht="36" x14ac:dyDescent="0.2">
      <c r="A192" t="s">
        <v>1398</v>
      </c>
      <c r="B192" s="18" t="s">
        <v>1399</v>
      </c>
      <c r="C192" s="19" t="s">
        <v>1000</v>
      </c>
      <c r="D192" s="116">
        <f>Ka1p/gamma_1^2</f>
        <v>0.011764889855</v>
      </c>
      <c r="E192" s="54" t="s">
        <v>1400</v>
      </c>
    </row>
    <row r="193" spans="1:5" ht="60" x14ac:dyDescent="0.2">
      <c r="A193" t="s">
        <v>1401</v>
      </c>
      <c r="B193" s="18" t="s">
        <v>1402</v>
      </c>
      <c r="C193" s="19" t="s">
        <v>1000</v>
      </c>
      <c r="D193" s="116">
        <f>Ka2p/gamma_2</f>
        <v>1.732560436751e-07</v>
      </c>
      <c r="E193" s="54" t="s">
        <v>1403</v>
      </c>
    </row>
    <row r="194" spans="1:5" ht="36" x14ac:dyDescent="0.2">
      <c r="A194" t="s">
        <v>1404</v>
      </c>
      <c r="B194" s="18" t="s">
        <v>1405</v>
      </c>
      <c r="C194" s="19" t="s">
        <v>1000</v>
      </c>
      <c r="D194" s="116">
        <f>Ka3p*gamma_2/(gamma_1*gamma_3)</f>
        <v>1.910899474681e-12</v>
      </c>
      <c r="E194" s="54" t="s">
        <v>1406</v>
      </c>
    </row>
    <row r="195" spans="1:5" ht="24" x14ac:dyDescent="0.2">
      <c r="A195" t="s">
        <v>1407</v>
      </c>
      <c r="B195" s="18" t="s">
        <v>1408</v>
      </c>
      <c r="C195" s="19" t="s">
        <v>1000</v>
      </c>
      <c r="D195" s="116">
        <f>Kw_w/gamma_1^2</f>
        <v>1.65702674018e-14</v>
      </c>
      <c r="E195" s="54" t="s">
        <v>1409</v>
      </c>
    </row>
    <row r="196" spans="1:5" ht="36" x14ac:dyDescent="0.2">
      <c r="A196" t="s">
        <v>1410</v>
      </c>
      <c r="B196" s="18" t="s">
        <v>1411</v>
      </c>
      <c r="C196" s="19" t="s">
        <v>1000</v>
      </c>
      <c r="D196" s="116">
        <f>Ka_HOCl/gamma_1^2</f>
        <v>4.778917320203e-08</v>
      </c>
      <c r="E196" s="54" t="s">
        <v>1412</v>
      </c>
    </row>
    <row r="197" spans="1:5" ht="36" x14ac:dyDescent="0.2">
      <c r="A197" t="s">
        <v>1413</v>
      </c>
      <c r="B197" s="18" t="s">
        <v>1414</v>
      </c>
      <c r="C197" s="19" t="s">
        <v>1000</v>
      </c>
      <c r="D197" s="116">
        <f>Ka_NH4</f>
        <v>5.6e-10</v>
      </c>
      <c r="E197" s="77" t="s">
        <v>1415</v>
      </c>
    </row>
    <row r="199" spans="1:5" x14ac:dyDescent="0.2">
      <c r="A199" s="5" t="s">
        <v>1416</v>
      </c>
    </row>
    <row r="200" spans="1:5" x14ac:dyDescent="0.2">
      <c r="A200" t="s">
        <v>1417</v>
      </c>
      <c r="B200" s="18" t="s">
        <v>1418</v>
      </c>
      <c r="C200" s="19" t="s">
        <v>1419</v>
      </c>
      <c r="D200" s="116">
        <f>R_gas*TKc/Fcc*LN(10)</f>
        <v>0.059159349686</v>
      </c>
      <c r="E200" s="77" t="s">
        <v>1420</v>
      </c>
    </row>
    <row r="201" spans="1:5" ht="36" x14ac:dyDescent="0.2">
      <c r="A201" t="s">
        <v>1421</v>
      </c>
      <c r="B201" s="18" t="s">
        <v>1422</v>
      </c>
      <c r="C201" s="19" t="s">
        <v>1423</v>
      </c>
      <c r="D201" s="121">
        <v>1.2290000000000001</v>
      </c>
      <c r="E201" s="77" t="s">
        <v>1424</v>
      </c>
    </row>
    <row r="202" spans="1:5" ht="24" x14ac:dyDescent="0.2">
      <c r="A202" t="s">
        <v>1425</v>
      </c>
      <c r="B202" s="18" t="s">
        <v>1426</v>
      </c>
      <c r="C202" s="19" t="s">
        <v>1423</v>
      </c>
      <c r="D202" s="121">
        <v>0</v>
      </c>
      <c r="E202" s="77" t="s">
        <v>1427</v>
      </c>
    </row>
    <row r="203" spans="1:5" x14ac:dyDescent="0.2">
      <c r="A203" t="s">
        <v>1428</v>
      </c>
      <c r="B203" s="18" t="s">
        <v>1429</v>
      </c>
      <c r="C203" s="19" t="s">
        <v>1423</v>
      </c>
      <c r="D203" s="121">
        <v>1.3580000000000001</v>
      </c>
      <c r="E203" s="77" t="s">
        <v>1430</v>
      </c>
    </row>
    <row r="204" spans="1:5" x14ac:dyDescent="0.2">
      <c r="A204" t="s">
        <v>1431</v>
      </c>
      <c r="B204" s="18" t="s">
        <v>1432</v>
      </c>
      <c r="C204" s="19" t="s">
        <v>1423</v>
      </c>
      <c r="D204" s="121">
        <v>0.69499999999999995</v>
      </c>
      <c r="E204" s="77" t="s">
        <v>1433</v>
      </c>
    </row>
    <row r="205" spans="1:5" x14ac:dyDescent="0.2">
      <c r="A205" t="s">
        <v>1434</v>
      </c>
      <c r="B205" s="18" t="s">
        <v>1435</v>
      </c>
      <c r="C205" s="19" t="s">
        <v>1423</v>
      </c>
      <c r="D205" s="121">
        <v>0.34189999999999998</v>
      </c>
      <c r="E205" s="77" t="s">
        <v>1430</v>
      </c>
    </row>
    <row r="206" spans="1:5" ht="24" x14ac:dyDescent="0.2">
      <c r="A206" t="s">
        <v>1436</v>
      </c>
      <c r="B206" s="18" t="s">
        <v>1437</v>
      </c>
      <c r="C206" s="19" t="s">
        <v>1423</v>
      </c>
      <c r="D206" s="116">
        <f>E0_OER-nernst_slope*pH_meas</f>
        <v>0.862232927911</v>
      </c>
      <c r="E206" s="77" t="s">
        <v>1438</v>
      </c>
    </row>
    <row r="207" spans="1:5" x14ac:dyDescent="0.2">
      <c r="A207" t="s">
        <v>1439</v>
      </c>
      <c r="B207" s="18" t="s">
        <v>1440</v>
      </c>
      <c r="C207" s="19" t="s">
        <v>1423</v>
      </c>
      <c r="D207" s="116">
        <f>E0_HER-nernst_slope*pH_meas</f>
        <v>-0.366767072089</v>
      </c>
      <c r="E207" s="77" t="s">
        <v>1441</v>
      </c>
    </row>
    <row r="208" spans="1:5" ht="24" x14ac:dyDescent="0.2">
      <c r="A208" t="s">
        <v>1978</v>
      </c>
      <c r="B208" s="18" t="s">
        <v>1442</v>
      </c>
      <c r="C208" s="19" t="s">
        <v>1423</v>
      </c>
      <c r="D208" s="116">
        <f>E0_Cl2+nernst_slope*(-LOG10(MAX(pH_Cl,Cl_floor_molL)))</f>
        <v>1.579505308204</v>
      </c>
      <c r="E208" s="54" t="s">
        <v>1443</v>
      </c>
    </row>
    <row r="209" spans="1:5" ht="48" x14ac:dyDescent="0.2">
      <c r="A209" t="s">
        <v>1979</v>
      </c>
      <c r="B209" s="18" t="s">
        <v>1444</v>
      </c>
      <c r="C209" s="19" t="s">
        <v>1445</v>
      </c>
      <c r="D209" s="116">
        <f>E_HOCl_Cl-E_anode_op</f>
        <v>-0.436104566006</v>
      </c>
      <c r="E209" s="54" t="s">
        <v>1980</v>
      </c>
    </row>
    <row r="210" spans="1:5" ht="48" x14ac:dyDescent="0.2">
      <c r="A210" t="s">
        <v>1446</v>
      </c>
      <c r="B210" s="18" t="s">
        <v>1447</v>
      </c>
      <c r="C210" s="19" t="s">
        <v>1423</v>
      </c>
      <c r="D210" s="116">
        <f>E0_ORR2-nernst_slope*pH_meas</f>
        <v>0.328232927911</v>
      </c>
      <c r="E210" s="54" t="s">
        <v>1448</v>
      </c>
    </row>
    <row r="211" spans="1:5" ht="48" x14ac:dyDescent="0.2">
      <c r="A211" t="s">
        <v>1981</v>
      </c>
      <c r="B211" s="18" t="s">
        <v>1450</v>
      </c>
      <c r="C211" s="19" t="s">
        <v>1445</v>
      </c>
      <c r="D211" s="116">
        <f>E_anode_op-E0_Cu</f>
        <v>1.272361740292</v>
      </c>
      <c r="E211" s="54" t="s">
        <v>1451</v>
      </c>
    </row>
    <row r="213" spans="1:5" x14ac:dyDescent="0.2">
      <c r="A213" s="5" t="s">
        <v>1452</v>
      </c>
    </row>
    <row r="214" spans="1:5" ht="24" x14ac:dyDescent="0.2">
      <c r="A214" t="s">
        <v>1453</v>
      </c>
      <c r="B214" s="18" t="s">
        <v>1454</v>
      </c>
      <c r="C214" s="19" t="s">
        <v>515</v>
      </c>
      <c r="D214" s="121">
        <v>7.5899999999999996E-10</v>
      </c>
      <c r="E214" s="77" t="s">
        <v>1455</v>
      </c>
    </row>
    <row r="215" spans="1:5" ht="36" x14ac:dyDescent="0.2">
      <c r="A215" t="s">
        <v>1982</v>
      </c>
      <c r="B215" s="18" t="s">
        <v>1456</v>
      </c>
      <c r="C215" s="19" t="s">
        <v>518</v>
      </c>
      <c r="D215" s="116">
        <f>D_O2_c/(km_O2_c/100)*1000000</f>
        <v>49.941807960105</v>
      </c>
      <c r="E215" s="54" t="s">
        <v>1983</v>
      </c>
    </row>
    <row r="216" spans="1:5" ht="84" x14ac:dyDescent="0.2">
      <c r="A216" t="s">
        <v>1457</v>
      </c>
      <c r="B216" s="18" t="s">
        <v>1458</v>
      </c>
      <c r="C216" s="19" t="s">
        <v>1148</v>
      </c>
      <c r="D216" s="116">
        <f>Fcc*((km_HPO4/100)*HPO4_op+(km_HCO3/100)*HCO3_op)*1000/10</f>
        <v>8.606125165599</v>
      </c>
      <c r="E216" s="54" t="s">
        <v>1984</v>
      </c>
    </row>
    <row r="217" spans="1:5" x14ac:dyDescent="0.2">
      <c r="A217" t="s">
        <v>1459</v>
      </c>
      <c r="B217" s="18" t="s">
        <v>1460</v>
      </c>
      <c r="C217" s="19" t="s">
        <v>1148</v>
      </c>
      <c r="D217" s="116">
        <f>Electrochemistry!$D$48</f>
        <v>3.287810437489</v>
      </c>
      <c r="E217" s="54" t="s">
        <v>1461</v>
      </c>
    </row>
    <row r="218" spans="1:5" ht="48" x14ac:dyDescent="0.2">
      <c r="A218" t="s">
        <v>1462</v>
      </c>
      <c r="B218" s="18" t="s">
        <v>1463</v>
      </c>
      <c r="C218" s="19" t="s">
        <v>1140</v>
      </c>
      <c r="D218" s="116">
        <f>j_anode_c/j_buffer_lim</f>
        <v>0.382031445537</v>
      </c>
      <c r="E218" s="54" t="s">
        <v>1464</v>
      </c>
    </row>
    <row r="219" spans="1:5" ht="48" x14ac:dyDescent="0.2">
      <c r="A219" t="s">
        <v>1465</v>
      </c>
      <c r="B219" s="18" t="s">
        <v>1466</v>
      </c>
      <c r="C219" s="19" t="s">
        <v>1140</v>
      </c>
      <c r="D219" s="116"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4" t="s">
        <v>1467</v>
      </c>
    </row>
    <row r="220" spans="1:5" ht="60" x14ac:dyDescent="0.2">
      <c r="A220" t="s">
        <v>1468</v>
      </c>
      <c r="B220" s="18" t="s">
        <v>1469</v>
      </c>
      <c r="C220" s="19" t="s">
        <v>1140</v>
      </c>
      <c r="D220" s="116">
        <f>pH_op-LOG10(gamma_1)</f>
        <v>6.199646785125</v>
      </c>
      <c r="E220" s="54" t="s">
        <v>1470</v>
      </c>
    </row>
    <row r="221" spans="1:5" x14ac:dyDescent="0.2">
      <c r="A221" s="5" t="s">
        <v>1985</v>
      </c>
    </row>
    <row r="222" spans="1:5" ht="48" x14ac:dyDescent="0.2">
      <c r="A222" t="s">
        <v>1672</v>
      </c>
      <c r="B222" s="18" t="s">
        <v>1673</v>
      </c>
      <c r="C222" s="19" t="s">
        <v>1674</v>
      </c>
      <c r="D222" s="121">
        <v>52460</v>
      </c>
      <c r="E222" s="77" t="s">
        <v>1675</v>
      </c>
    </row>
    <row r="223" spans="1:5" x14ac:dyDescent="0.2">
      <c r="A223" t="s">
        <v>1676</v>
      </c>
      <c r="B223" s="18" t="s">
        <v>1677</v>
      </c>
      <c r="C223" s="19" t="s">
        <v>1674</v>
      </c>
      <c r="D223" s="121">
        <v>70906</v>
      </c>
      <c r="E223" s="77" t="s">
        <v>1678</v>
      </c>
    </row>
    <row r="224" spans="1:5" ht="48" x14ac:dyDescent="0.2">
      <c r="A224" t="s">
        <v>1679</v>
      </c>
      <c r="B224" s="18" t="s">
        <v>1680</v>
      </c>
      <c r="C224" s="19" t="s">
        <v>1681</v>
      </c>
      <c r="D224" s="121">
        <v>5.0599999999999996</v>
      </c>
      <c r="E224" s="54" t="s">
        <v>1682</v>
      </c>
    </row>
    <row r="225" spans="1:5" x14ac:dyDescent="0.2">
      <c r="A225" t="s">
        <v>1683</v>
      </c>
      <c r="B225" s="18" t="s">
        <v>1684</v>
      </c>
      <c r="C225" s="19" t="s">
        <v>1674</v>
      </c>
      <c r="D225" s="121">
        <v>14007</v>
      </c>
      <c r="E225" s="77" t="s">
        <v>1685</v>
      </c>
    </row>
    <row r="226" spans="1:5" ht="48" x14ac:dyDescent="0.2">
      <c r="A226" t="s">
        <v>1686</v>
      </c>
      <c r="B226" s="18" t="s">
        <v>1687</v>
      </c>
      <c r="C226" s="19" t="s">
        <v>1136</v>
      </c>
      <c r="D226" s="116">
        <f>C_eff*M_Cl2/M_HOCl</f>
        <v>0.321470707378</v>
      </c>
      <c r="E226" s="54" t="s">
        <v>1688</v>
      </c>
    </row>
    <row r="228" spans="1:5" ht="16" x14ac:dyDescent="0.2">
      <c r="A228" s="82" t="s">
        <v>1986</v>
      </c>
    </row>
    <row r="229" spans="1:5" x14ac:dyDescent="0.2">
      <c r="A229" s="17" t="s">
        <v>1987</v>
      </c>
      <c r="B229" s="18" t="s">
        <v>393</v>
      </c>
      <c r="C229" s="19" t="s">
        <v>262</v>
      </c>
      <c r="D229" s="116">
        <f>Biology!$D$23</f>
        <v>298.15</v>
      </c>
      <c r="E229" s="143" t="s">
        <v>1988</v>
      </c>
    </row>
    <row r="230" spans="1:5" x14ac:dyDescent="0.2">
      <c r="A230" s="17" t="s">
        <v>1989</v>
      </c>
      <c r="B230" s="18" t="s">
        <v>1990</v>
      </c>
      <c r="C230" s="19" t="s">
        <v>1991</v>
      </c>
      <c r="D230" s="135">
        <v>1820000</v>
      </c>
      <c r="E230" s="63" t="s">
        <v>1992</v>
      </c>
    </row>
    <row r="231" spans="1:5" x14ac:dyDescent="0.2">
      <c r="A231" s="17" t="s">
        <v>1993</v>
      </c>
      <c r="B231" s="18" t="s">
        <v>1994</v>
      </c>
      <c r="C231" s="19" t="s">
        <v>111</v>
      </c>
      <c r="D231" s="135">
        <v>78.540000000000006</v>
      </c>
      <c r="E231" s="63" t="s">
        <v>1995</v>
      </c>
    </row>
    <row r="232" spans="1:5" ht="24" x14ac:dyDescent="0.2">
      <c r="A232" s="17" t="s">
        <v>1996</v>
      </c>
      <c r="B232" s="18" t="s">
        <v>1997</v>
      </c>
      <c r="C232" s="19" t="s">
        <v>111</v>
      </c>
      <c r="D232" s="135">
        <v>1.3680000000000001</v>
      </c>
      <c r="E232" s="54" t="s">
        <v>1998</v>
      </c>
    </row>
    <row r="233" spans="1:5" x14ac:dyDescent="0.2">
      <c r="A233" s="17" t="s">
        <v>1999</v>
      </c>
      <c r="B233" s="18" t="s">
        <v>2000</v>
      </c>
      <c r="C233" s="19" t="s">
        <v>111</v>
      </c>
      <c r="D233" s="135">
        <v>0.3</v>
      </c>
      <c r="E233" s="63" t="s">
        <v>2001</v>
      </c>
    </row>
    <row r="234" spans="1:5" x14ac:dyDescent="0.2">
      <c r="A234" s="17" t="s">
        <v>2002</v>
      </c>
      <c r="B234" s="18" t="s">
        <v>2003</v>
      </c>
      <c r="C234" s="19" t="s">
        <v>429</v>
      </c>
      <c r="D234" s="135">
        <v>9.9999999999999998E-13</v>
      </c>
      <c r="E234" s="63" t="s">
        <v>2004</v>
      </c>
    </row>
    <row r="235" spans="1:5" x14ac:dyDescent="0.2">
      <c r="A235" s="17" t="s">
        <v>2005</v>
      </c>
      <c r="B235" s="18" t="s">
        <v>2006</v>
      </c>
      <c r="C235" s="19" t="s">
        <v>1842</v>
      </c>
      <c r="D235" s="135">
        <v>0.1</v>
      </c>
      <c r="E235" s="63" t="s">
        <v>2007</v>
      </c>
    </row>
    <row r="236" spans="1:5" x14ac:dyDescent="0.2">
      <c r="A236" s="17" t="s">
        <v>2008</v>
      </c>
      <c r="B236" s="18" t="s">
        <v>2009</v>
      </c>
      <c r="C236" s="19" t="s">
        <v>1842</v>
      </c>
      <c r="D236" s="135">
        <v>6.5</v>
      </c>
      <c r="E236" s="54" t="s">
        <v>2010</v>
      </c>
    </row>
    <row r="237" spans="1:5" x14ac:dyDescent="0.2">
      <c r="A237" s="17" t="s">
        <v>2011</v>
      </c>
      <c r="B237" s="18" t="s">
        <v>2012</v>
      </c>
      <c r="C237" s="19" t="s">
        <v>1842</v>
      </c>
      <c r="D237" s="135">
        <v>7.5</v>
      </c>
      <c r="E237" s="54" t="s">
        <v>2010</v>
      </c>
    </row>
    <row r="238" spans="1:5" ht="24" x14ac:dyDescent="0.2">
      <c r="A238" s="17" t="s">
        <v>2013</v>
      </c>
      <c r="B238" s="18" t="s">
        <v>2014</v>
      </c>
      <c r="C238" s="19" t="s">
        <v>111</v>
      </c>
      <c r="D238" s="135">
        <v>0.5</v>
      </c>
      <c r="E238" s="60" t="s">
        <v>2015</v>
      </c>
    </row>
    <row r="250" spans="1:5" x14ac:dyDescent="0.2">
      <c r="A250" s="5" t="s">
        <v>2016</v>
      </c>
    </row>
    <row r="251" spans="1:5" ht="24" x14ac:dyDescent="0.2">
      <c r="A251" t="s">
        <v>2017</v>
      </c>
      <c r="B251" s="18" t="s">
        <v>2018</v>
      </c>
      <c r="C251" s="19" t="s">
        <v>515</v>
      </c>
      <c r="D251" s="121">
        <v>1.1849999999999999E-9</v>
      </c>
      <c r="E251" s="77" t="s">
        <v>2019</v>
      </c>
    </row>
    <row r="252" spans="1:5" ht="24" x14ac:dyDescent="0.2">
      <c r="A252" t="s">
        <v>2020</v>
      </c>
      <c r="B252" s="18" t="s">
        <v>2021</v>
      </c>
      <c r="C252" s="19" t="s">
        <v>429</v>
      </c>
      <c r="D252" s="116">
        <f>Ka1c_c*CO2aqc/10^-pH_op</f>
        <v>0.026291218077</v>
      </c>
      <c r="E252" s="54" t="s">
        <v>2022</v>
      </c>
    </row>
    <row r="253" spans="1:5" ht="24" x14ac:dyDescent="0.2">
      <c r="A253" t="s">
        <v>2023</v>
      </c>
      <c r="B253" s="18" t="s">
        <v>2024</v>
      </c>
      <c r="C253" s="19" t="s">
        <v>429</v>
      </c>
      <c r="D253" s="116">
        <f>pH_PT/(1+10^(-LOG10(Ka2p_c)-pH_op))</f>
        <v>0.006558570069</v>
      </c>
      <c r="E253" s="54" t="s">
        <v>2025</v>
      </c>
    </row>
    <row r="254" spans="1:5" ht="24" x14ac:dyDescent="0.2">
      <c r="A254" t="s">
        <v>2026</v>
      </c>
      <c r="B254" s="18" t="s">
        <v>2027</v>
      </c>
      <c r="C254" s="19" t="s">
        <v>1445</v>
      </c>
      <c r="D254" s="116">
        <f>Electrochemistry!$D$111</f>
        <v>0.902028812381</v>
      </c>
      <c r="E254" s="54" t="s">
        <v>2028</v>
      </c>
    </row>
    <row r="255" spans="1:5" ht="24" x14ac:dyDescent="0.2">
      <c r="A255" t="s">
        <v>2029</v>
      </c>
      <c r="B255" s="18" t="s">
        <v>2030</v>
      </c>
      <c r="C255" s="19" t="s">
        <v>1445</v>
      </c>
      <c r="D255" s="116">
        <f>Electrochemistry!$D$162</f>
        <v>-0.15</v>
      </c>
      <c r="E255" s="54" t="s">
        <v>2031</v>
      </c>
    </row>
    <row r="256" spans="1:5" ht="36" x14ac:dyDescent="0.2">
      <c r="A256" t="s">
        <v>2032</v>
      </c>
      <c r="B256" s="18" t="s">
        <v>2033</v>
      </c>
      <c r="C256" s="19" t="s">
        <v>1423</v>
      </c>
      <c r="D256" s="116">
        <f>E_OER+eta_anode_c+pcet_credit_c</f>
        <v>1.614261740292</v>
      </c>
      <c r="E256" s="54" t="s">
        <v>2034</v>
      </c>
    </row>
    <row r="257" spans="1:5" x14ac:dyDescent="0.2">
      <c r="A257" t="s">
        <v>2035</v>
      </c>
      <c r="B257" s="18" t="s">
        <v>2036</v>
      </c>
      <c r="C257" s="19" t="s">
        <v>1445</v>
      </c>
      <c r="D257" s="121">
        <v>1.482</v>
      </c>
      <c r="E257" s="77" t="s">
        <v>2037</v>
      </c>
    </row>
    <row r="258" spans="1:5" ht="36" x14ac:dyDescent="0.2">
      <c r="A258" t="s">
        <v>2038</v>
      </c>
      <c r="B258" s="18" t="s">
        <v>2039</v>
      </c>
      <c r="C258" s="19" t="s">
        <v>1423</v>
      </c>
      <c r="D258" s="116">
        <f>E0_HOCl+nernst_slope/2*(LOG10(MAX(HOCl_ss*f_local,0.000000000001))-pH_meas-LOG10(MAX(pH_Cl,0.000000000001)))</f>
        <v>1.178157174286</v>
      </c>
      <c r="E258" s="54" t="s">
        <v>2040</v>
      </c>
    </row>
    <row r="259" spans="1:5" x14ac:dyDescent="0.2">
      <c r="A259" t="s">
        <v>2041</v>
      </c>
      <c r="B259" s="18" t="s">
        <v>2042</v>
      </c>
      <c r="C259" s="19" t="s">
        <v>83</v>
      </c>
      <c r="D259" s="116">
        <f>C_eff_lo*M_Cl2/M_HOCl</f>
        <v>0.006052982801</v>
      </c>
      <c r="E259" s="54" t="s">
        <v>2043</v>
      </c>
    </row>
    <row r="260" spans="1:5" x14ac:dyDescent="0.2">
      <c r="A260" t="s">
        <v>2044</v>
      </c>
      <c r="B260" s="18" t="s">
        <v>2045</v>
      </c>
      <c r="C260" s="19" t="s">
        <v>83</v>
      </c>
      <c r="D260" s="116">
        <f>C_eff_hi*M_Cl2/M_HOCl</f>
        <v>0.635447876393</v>
      </c>
      <c r="E260" s="54" t="s">
        <v>2046</v>
      </c>
    </row>
    <row r="270" spans="1:5" x14ac:dyDescent="0.2">
      <c r="A270" s="5" t="s">
        <v>2047</v>
      </c>
    </row>
    <row r="271" spans="1:5" ht="36" x14ac:dyDescent="0.2">
      <c r="A271" t="s">
        <v>2048</v>
      </c>
      <c r="B271" s="18" t="s">
        <v>2049</v>
      </c>
      <c r="C271" s="19" t="s">
        <v>577</v>
      </c>
      <c r="D271" s="116">
        <f>km_Cl*A_anode/1000/VLc</f>
        <v>0.0004665943502907</v>
      </c>
      <c r="E271" s="60" t="s">
        <v>2050</v>
      </c>
    </row>
    <row r="272" spans="1:5" ht="24" x14ac:dyDescent="0.2">
      <c r="A272" t="s">
        <v>2051</v>
      </c>
      <c r="B272" s="18" t="s">
        <v>2052</v>
      </c>
      <c r="C272" s="19" t="s">
        <v>972</v>
      </c>
      <c r="D272" s="116">
        <f>Electrochemistry!$D$83</f>
        <v>0.004</v>
      </c>
      <c r="E272" s="54" t="s">
        <v>2053</v>
      </c>
    </row>
    <row r="273" spans="1:5" x14ac:dyDescent="0.2">
      <c r="A273" t="s">
        <v>2054</v>
      </c>
      <c r="B273" s="18" t="s">
        <v>2055</v>
      </c>
      <c r="C273" s="19" t="s">
        <v>111</v>
      </c>
      <c r="D273" s="116">
        <f>Electrochemistry!$D$84</f>
        <v>0.644</v>
      </c>
      <c r="E273" s="54" t="s">
        <v>2056</v>
      </c>
    </row>
    <row r="274" spans="1:5" x14ac:dyDescent="0.2">
      <c r="A274" t="s">
        <v>1474</v>
      </c>
      <c r="B274" s="18" t="s">
        <v>2057</v>
      </c>
      <c r="C274" s="19" t="s">
        <v>515</v>
      </c>
      <c r="D274" s="116">
        <f>Electrochemistry!$D$81</f>
        <v>1.997672318404e-09</v>
      </c>
      <c r="E274" s="54" t="s">
        <v>2058</v>
      </c>
    </row>
    <row r="275" spans="1:5" ht="24" x14ac:dyDescent="0.2">
      <c r="A275" t="s">
        <v>2059</v>
      </c>
      <c r="B275" s="18" t="s">
        <v>2060</v>
      </c>
      <c r="C275" s="19" t="s">
        <v>972</v>
      </c>
      <c r="D275" s="116">
        <f>km_O2_c*(D_HPO4/D_O2_c)^km_exp_c</f>
        <v>0.002144855688</v>
      </c>
      <c r="E275" s="60" t="s">
        <v>2061</v>
      </c>
    </row>
    <row r="276" spans="1:5" x14ac:dyDescent="0.2">
      <c r="A276" t="s">
        <v>2062</v>
      </c>
      <c r="B276" s="18" t="s">
        <v>2063</v>
      </c>
      <c r="C276" s="19" t="s">
        <v>972</v>
      </c>
      <c r="D276" s="116">
        <f>km_O2_c*(D_HCO3/D_O2_c)^km_exp_c</f>
        <v>0.002857570744</v>
      </c>
      <c r="E276" s="60" t="s">
        <v>2064</v>
      </c>
    </row>
    <row r="277" spans="1:5" ht="24" x14ac:dyDescent="0.2">
      <c r="A277" t="s">
        <v>2065</v>
      </c>
      <c r="B277" s="18" t="s">
        <v>2066</v>
      </c>
      <c r="C277" s="19" t="s">
        <v>515</v>
      </c>
      <c r="D277" s="121">
        <v>2.032E-9</v>
      </c>
      <c r="E277" s="77" t="s">
        <v>2067</v>
      </c>
    </row>
    <row r="278" spans="1:5" ht="24" x14ac:dyDescent="0.2">
      <c r="A278" t="s">
        <v>2068</v>
      </c>
      <c r="B278" s="18" t="s">
        <v>2069</v>
      </c>
      <c r="C278" s="19" t="s">
        <v>111</v>
      </c>
      <c r="D278" s="116">
        <f>1/(1+k_Cl_turn*tau_NH2Cl*3600)</f>
        <v>0.373170578671</v>
      </c>
      <c r="E278" s="54" t="s">
        <v>2070</v>
      </c>
    </row>
    <row r="279" spans="1:5" x14ac:dyDescent="0.2">
      <c r="A279" t="s">
        <v>1948</v>
      </c>
      <c r="B279" s="18" t="s">
        <v>183</v>
      </c>
      <c r="C279" s="19" t="s">
        <v>52</v>
      </c>
      <c r="D279" s="116">
        <f>Biology!$D$6</f>
        <v>15.0</v>
      </c>
      <c r="E279" s="54" t="s">
        <v>1949</v>
      </c>
    </row>
    <row r="280" spans="1:5" x14ac:dyDescent="0.2">
      <c r="A280" t="s">
        <v>2071</v>
      </c>
      <c r="B280" s="18" t="s">
        <v>37</v>
      </c>
      <c r="C280" s="19" t="s">
        <v>111</v>
      </c>
      <c r="D280" s="116" t="str">
        <f>Summary!$D$5</f>
        <v>UdG phosphate</v>
      </c>
      <c r="E280" s="54" t="s">
        <v>2072</v>
      </c>
    </row>
    <row r="290" spans="1:5" x14ac:dyDescent="0.2">
      <c r="A290" s="5" t="s">
        <v>2073</v>
      </c>
    </row>
    <row r="291" spans="1:5" ht="36" x14ac:dyDescent="0.2">
      <c r="A291" t="s">
        <v>2074</v>
      </c>
      <c r="B291" s="18" t="s">
        <v>2075</v>
      </c>
      <c r="C291" s="19" t="s">
        <v>1842</v>
      </c>
      <c r="D291" s="135">
        <v>6.09</v>
      </c>
      <c r="E291" s="33" t="s">
        <v>2076</v>
      </c>
    </row>
    <row r="292" spans="1:5" x14ac:dyDescent="0.2">
      <c r="A292" t="s">
        <v>2077</v>
      </c>
      <c r="B292" s="18" t="s">
        <v>2078</v>
      </c>
      <c r="C292" s="19" t="s">
        <v>429</v>
      </c>
      <c r="D292" s="116">
        <f>10^-pH_ref_DIC</f>
        <v>8.128305161641e-07</v>
      </c>
      <c r="E292" s="63" t="s">
        <v>2079</v>
      </c>
    </row>
    <row r="293" spans="1:5" x14ac:dyDescent="0.2">
      <c r="A293" t="s">
        <v>2080</v>
      </c>
      <c r="B293" s="18" t="s">
        <v>2081</v>
      </c>
      <c r="C293" s="19" t="s">
        <v>111</v>
      </c>
      <c r="D293" s="116">
        <f>Ka1c_c/h_ref_DIC</f>
        <v>0.907171771626</v>
      </c>
      <c r="E293" s="63" t="s">
        <v>2082</v>
      </c>
    </row>
    <row r="294" spans="1:5" x14ac:dyDescent="0.2">
      <c r="A294" t="s">
        <v>2083</v>
      </c>
      <c r="B294" s="18" t="s">
        <v>2084</v>
      </c>
      <c r="C294" s="19" t="s">
        <v>429</v>
      </c>
      <c r="D294" s="116">
        <f>(pH_SID+pH_NT*h_ref_DIC/(h_ref_DIC+KaN_c)+h_ref_DIC-(pH_PT*Ka1p_c*h_ref_DIC^2+2*pH_PT*Ka1p_c*Ka2p_c*h_ref_DIC+3*pH_PT*Ka1p_c*Ka2p_c*Ka3p_c)/(h_ref_DIC^3+Ka1p_c*h_ref_DIC^2+Ka1p_c*Ka2p_c*h_ref_DIC+Ka1p_c*Ka2p_c*Ka3p_c)-Kw_c/h_ref_DIC)/(1+2*Ka2c_c/h_ref_DIC)</f>
        <v>0.026358468464</v>
      </c>
      <c r="E294" s="63" t="s">
        <v>2085</v>
      </c>
    </row>
    <row r="295" spans="1:5" x14ac:dyDescent="0.2">
      <c r="A295" t="s">
        <v>2086</v>
      </c>
      <c r="B295" s="18" t="s">
        <v>2087</v>
      </c>
      <c r="C295" s="19" t="s">
        <v>2088</v>
      </c>
      <c r="D295" s="116">
        <f>LN(10)*(pH_PT*Ka1p_c*h_ref_DIC/(Ka1p_c+h_ref_DIC)^2+pH_PT*Ka2p_c*h_ref_DIC/(Ka2p_c+h_ref_DIC)^2+pH_NT*KaN_c*h_ref_DIC/(KaN_c+h_ref_DIC)^2+h_ref_DIC+Kw_c/h_ref_DIC)</f>
        <v>0.012467843562</v>
      </c>
      <c r="E295" s="63" t="s">
        <v>2089</v>
      </c>
    </row>
    <row r="296" spans="1:5" ht="48" x14ac:dyDescent="0.2">
      <c r="A296" t="s">
        <v>2090</v>
      </c>
      <c r="B296" s="18" t="s">
        <v>2091</v>
      </c>
      <c r="C296" s="19" t="s">
        <v>111</v>
      </c>
      <c r="D296" s="116">
        <f>1+r_HCO3_ref*beta_nonC/(beta_nonC+LN(10)*HCO3_ref)</f>
        <v>1.154598203915</v>
      </c>
      <c r="E296" s="54" t="s">
        <v>2092</v>
      </c>
    </row>
    <row r="298" spans="1:5" x14ac:dyDescent="0.2">
      <c r="A298" s="5" t="s">
        <v>2093</v>
      </c>
    </row>
    <row r="299" spans="1:5" ht="36" x14ac:dyDescent="0.2">
      <c r="A299" t="s">
        <v>2094</v>
      </c>
      <c r="B299" s="18" t="s">
        <v>2095</v>
      </c>
      <c r="C299" s="19" t="s">
        <v>1842</v>
      </c>
      <c r="D299" s="135">
        <v>6</v>
      </c>
      <c r="E299" s="33" t="s">
        <v>2096</v>
      </c>
    </row>
    <row r="300" spans="1:5" x14ac:dyDescent="0.2">
      <c r="A300" t="s">
        <v>2097</v>
      </c>
      <c r="B300" s="18" t="s">
        <v>2098</v>
      </c>
      <c r="C300" s="19" t="s">
        <v>1842</v>
      </c>
      <c r="D300" s="135">
        <v>8</v>
      </c>
      <c r="E300" s="33" t="s">
        <v>2099</v>
      </c>
    </row>
    <row r="302">
      <c r="A302" s="5" t="inlineStr">
        <is>
          <t xml:space="preserve">ALKALINITY NEEDED FOR A TARGET pH (first-order: dissolved CO₂ and activity coefficients held at the schedule in use)</t>
        </is>
      </c>
    </row>
    <row r="303">
      <c r="A303" t="inlineStr">
        <is>
          <t xml:space="preserve">Target pH a probe should read</t>
        </is>
      </c>
      <c r="B303" s="18" t="inlineStr">
        <is>
          <t xml:space="preserve">alk_pH_target</t>
        </is>
      </c>
      <c r="C303" s="19" t="inlineStr">
        <is>
          <t xml:space="preserve">pH</t>
        </is>
      </c>
      <c r="D303" s="116">
        <f>pH_band_lo</f>
        <v>6.5</v>
      </c>
      <c r="E303" s="63" t="inlineStr">
        <is>
          <t xml:space="preserve">Defaults to the HOB band floor (D236). Type a number (e.g. 7.0) to size for another target.</t>
        </is>
      </c>
    </row>
    <row r="304">
      <c r="A304" t="inlineStr">
        <is>
          <t xml:space="preserve">Target pH on the concentration scale</t>
        </is>
      </c>
      <c r="B304" s="18" t="inlineStr">
        <is>
          <t xml:space="preserve">alk_pH_target_c</t>
        </is>
      </c>
      <c r="C304" s="19" t="inlineStr">
        <is>
          <t xml:space="preserve">pH</t>
        </is>
      </c>
      <c r="D304" s="116">
        <f>alk_pH_target+LOG10(gamma_1)</f>
        <v>6.39033524156</v>
      </c>
      <c r="E304" s="63" t="inlineStr">
        <is>
          <t xml:space="preserve">Probe (activity) pH to the concentration scale the charge balance solves on: the inverse of D220.</t>
        </is>
      </c>
    </row>
    <row r="305">
      <c r="A305" t="inlineStr">
        <is>
          <t xml:space="preserve">Charge-balance residual at the target pH</t>
        </is>
      </c>
      <c r="B305" s="18" t="inlineStr">
        <is>
          <t xml:space="preserve">alk_resid_t</t>
        </is>
      </c>
      <c r="C305" s="19" t="inlineStr">
        <is>
          <t xml:space="preserve">mol/L</t>
        </is>
      </c>
      <c r="D305" s="116">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-0.030759587877</v>
      </c>
      <c r="E305" s="63" t="inlineStr">
        <is>
          <t xml:space="preserve">Same residual as the pH grid (B50), at the target. Negative = the medium lacks that much strong cation (alkalinity) to sit at the target pH.</t>
        </is>
      </c>
    </row>
    <row r="306">
      <c r="A306" t="inlineStr">
        <is>
          <t xml:space="preserve">Extra alkalinity needed for the target pH</t>
        </is>
      </c>
      <c r="B306" s="18" t="inlineStr">
        <is>
          <t xml:space="preserve">alk_needed</t>
        </is>
      </c>
      <c r="C306" s="19" t="inlineStr">
        <is>
          <t xml:space="preserve">mol/L</t>
        </is>
      </c>
      <c r="D306" s="116">
        <f>MAX(0,-alk_resid_t)</f>
        <v>0.030759587877</v>
      </c>
      <c r="E306" s="63" t="inlineStr">
        <is>
          <t xml:space="preserve">Strong base (Na⁺ or K⁺ added as bicarbonate or hydroxide) that zeroes the residual at the target, holding dissolved CO₂ (D5) and γ fixed. 0 = the target is already met.</t>
        </is>
      </c>
    </row>
    <row r="307">
      <c r="A307" t="inlineStr">
        <is>
          <t xml:space="preserve">Molar mass of NaHCO₃</t>
        </is>
      </c>
      <c r="B307" s="18" t="inlineStr">
        <is>
          <t xml:space="preserve">M_NaHCO3</t>
        </is>
      </c>
      <c r="C307" s="19" t="inlineStr">
        <is>
          <t xml:space="preserve">g/mol</t>
        </is>
      </c>
      <c r="D307" s="135">
        <v>84.007</v>
      </c>
      <c r="E307" s="33" t="inlineStr">
        <is>
          <t xml:space="preserve">IUPAC standard atomic weights (Na 22.990, H 1.008, C 12.011, O 15.999).</t>
        </is>
      </c>
    </row>
    <row r="308">
      <c r="A308" t="inlineStr">
        <is>
          <t xml:space="preserve">NaHCO₃ to add for the target pH</t>
        </is>
      </c>
      <c r="B308" s="18" t="inlineStr">
        <is>
          <t xml:space="preserve">alk_NaHCO3_gL</t>
        </is>
      </c>
      <c r="C308" s="19" t="inlineStr">
        <is>
          <t xml:space="preserve">g/L</t>
        </is>
      </c>
      <c r="D308" s="116">
        <f>alk_needed*M_NaHCO3</f>
        <v>2.584020698787</v>
      </c>
      <c r="E308" s="63" t="inlineStr">
        <is>
          <t xml:space="preserve">First-order: added Na⁺ raises ionic strength a little and the extra bicarbonate enlarges the CO₂ storage (D296), neither fed back here. Full coupling is on the Summary TODO.</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82" t="s">
        <v>350</v>
      </c>
      <c r="B1" s="20"/>
      <c r="C1" s="20"/>
      <c r="D1" s="20"/>
      <c r="E1" s="20"/>
      <c r="F1" s="20"/>
    </row>
    <row r="2" spans="1:6" x14ac:dyDescent="0.2">
      <c r="A2" s="16" t="s">
        <v>20</v>
      </c>
      <c r="B2" s="16" t="s">
        <v>21</v>
      </c>
      <c r="C2" s="16" t="s">
        <v>22</v>
      </c>
      <c r="D2" s="16" t="s">
        <v>23</v>
      </c>
      <c r="E2" s="16" t="s">
        <v>107</v>
      </c>
      <c r="F2" s="20"/>
    </row>
    <row r="3" spans="1:6" ht="16" customHeight="1" x14ac:dyDescent="0.2">
      <c r="A3" s="82" t="s">
        <v>108</v>
      </c>
      <c r="B3" s="18"/>
      <c r="C3" s="19"/>
      <c r="D3" s="83"/>
      <c r="E3" s="20"/>
      <c r="F3" s="20"/>
    </row>
    <row r="4" spans="1:6" x14ac:dyDescent="0.2">
      <c r="A4" s="20" t="s">
        <v>351</v>
      </c>
      <c r="B4" s="18" t="s">
        <v>306</v>
      </c>
      <c r="C4" s="20" t="s">
        <v>307</v>
      </c>
      <c r="D4" s="125">
        <f>Electrochemistry!$D$21</f>
        <v>0.0001018812158154</v>
      </c>
      <c r="E4" s="110" t="str">
        <f>HYPERLINK("#Electrochemistry!D21","→ Electrochemistry")</f>
        <v>→ Electrochemistry</v>
      </c>
      <c r="F4" s="20"/>
    </row>
    <row r="5" spans="1:6" x14ac:dyDescent="0.2">
      <c r="A5" s="20" t="s">
        <v>352</v>
      </c>
      <c r="B5" s="18" t="s">
        <v>328</v>
      </c>
      <c r="C5" s="20" t="s">
        <v>307</v>
      </c>
      <c r="D5" s="125">
        <f>Electrochemistry!$D$29</f>
        <v>4.992029519937e-05</v>
      </c>
      <c r="E5" s="110" t="str">
        <f>HYPERLINK("#Electrochemistry!D29","→ Electrochemistry")</f>
        <v>→ Electrochemistry</v>
      </c>
      <c r="F5" s="20"/>
    </row>
    <row r="6" spans="1:6" x14ac:dyDescent="0.2">
      <c r="A6" s="20" t="s">
        <v>353</v>
      </c>
      <c r="B6" s="18" t="s">
        <v>183</v>
      </c>
      <c r="C6" s="20" t="s">
        <v>52</v>
      </c>
      <c r="D6" s="126">
        <f>Geometry!$D$41</f>
        <v>15.0</v>
      </c>
      <c r="E6" s="110" t="str">
        <f>HYPERLINK("#Geometry!D41","→ Geometry")</f>
        <v>→ Geometry</v>
      </c>
      <c r="F6" s="20"/>
    </row>
    <row r="7" spans="1:6" x14ac:dyDescent="0.2">
      <c r="A7" s="20" t="s">
        <v>354</v>
      </c>
      <c r="B7" s="18" t="s">
        <v>33</v>
      </c>
      <c r="C7" s="20"/>
      <c r="D7" s="109" t="str">
        <f>Summary!$D$4</f>
        <v>UdG (mixed)</v>
      </c>
      <c r="E7" s="110" t="str">
        <f>HYPERLINK("#Summary!D4","→ Summary")</f>
        <v>→ Summary</v>
      </c>
      <c r="F7" s="20"/>
    </row>
    <row r="8" spans="1:6" s="15" customFormat="1" x14ac:dyDescent="0.2">
      <c r="A8" s="20"/>
      <c r="B8" s="18"/>
      <c r="C8" s="20"/>
      <c r="D8" s="34"/>
      <c r="E8" s="141"/>
      <c r="F8" s="20"/>
    </row>
    <row r="9" spans="1:6" x14ac:dyDescent="0.2">
      <c r="A9" s="90"/>
      <c r="B9" s="18"/>
      <c r="C9" s="19"/>
      <c r="D9" s="49"/>
      <c r="E9" s="20"/>
      <c r="F9" s="20"/>
    </row>
    <row r="10" spans="1:6" ht="36" customHeight="1" x14ac:dyDescent="0.2">
      <c r="A10" s="17" t="s">
        <v>355</v>
      </c>
      <c r="B10" s="18" t="s">
        <v>356</v>
      </c>
      <c r="C10" s="19" t="s">
        <v>111</v>
      </c>
      <c r="D10" s="47">
        <f>IF(ISNUMBER(cal_knall_H2),cal_knall_H2,knall_H2_default)</f>
        <v>6.0</v>
      </c>
      <c r="E10" s="147" t="s">
        <v>357</v>
      </c>
      <c r="F10" s="20"/>
    </row>
    <row r="11" spans="1:6" x14ac:dyDescent="0.2">
      <c r="A11" s="17" t="s">
        <v>358</v>
      </c>
      <c r="B11" s="18" t="s">
        <v>359</v>
      </c>
      <c r="C11" s="19" t="s">
        <v>111</v>
      </c>
      <c r="D11" s="47">
        <f>IF(ISNUMBER(cal_knall_O2),cal_knall_O2,knall_O2_default)</f>
        <v>2.0</v>
      </c>
      <c r="E11" s="147" t="s">
        <v>360</v>
      </c>
      <c r="F11" s="20"/>
    </row>
    <row r="12" spans="1:6" x14ac:dyDescent="0.2">
      <c r="A12" s="17" t="s">
        <v>361</v>
      </c>
      <c r="B12" s="18" t="s">
        <v>362</v>
      </c>
      <c r="C12" s="19" t="s">
        <v>111</v>
      </c>
      <c r="D12" s="47">
        <f>IF(ISNUMBER(cal_knall_CO2),cal_knall_CO2,knall_CO2_default)</f>
        <v>1.0</v>
      </c>
      <c r="E12" s="147" t="s">
        <v>363</v>
      </c>
      <c r="F12" s="20"/>
    </row>
    <row r="13" spans="1:6" ht="24" x14ac:dyDescent="0.2">
      <c r="A13" s="17" t="s">
        <v>364</v>
      </c>
      <c r="B13" s="18" t="s">
        <v>365</v>
      </c>
      <c r="C13" s="19" t="s">
        <v>307</v>
      </c>
      <c r="D13" s="41">
        <f>MAX(0,rH2_gen-H2_HOR_b)</f>
        <v>0.0001018812158154</v>
      </c>
      <c r="E13" s="33" t="s">
        <v>2100</v>
      </c>
      <c r="F13" s="20"/>
    </row>
    <row r="14" spans="1:6" ht="26" customHeight="1" x14ac:dyDescent="0.2">
      <c r="A14" s="17" t="s">
        <v>366</v>
      </c>
      <c r="B14" s="18" t="s">
        <v>367</v>
      </c>
      <c r="C14" s="19" t="s">
        <v>307</v>
      </c>
      <c r="D14" s="41">
        <f>H2_cons*bio_O2/bio_H2</f>
        <v>3.396040527179e-05</v>
      </c>
      <c r="E14" s="85" t="s">
        <v>368</v>
      </c>
      <c r="F14" s="20"/>
    </row>
    <row r="15" spans="1:6" x14ac:dyDescent="0.2">
      <c r="A15" s="17" t="s">
        <v>369</v>
      </c>
      <c r="B15" s="18" t="s">
        <v>370</v>
      </c>
      <c r="C15" s="19" t="s">
        <v>307</v>
      </c>
      <c r="D15" s="41">
        <f>H2_cons*bio_CO2/bio_H2</f>
        <v>1.698020263589e-05</v>
      </c>
      <c r="E15" s="33" t="s">
        <v>371</v>
      </c>
      <c r="F15" s="20"/>
    </row>
    <row r="16" spans="1:6" ht="78" x14ac:dyDescent="0.2">
      <c r="A16" s="90" t="s">
        <v>372</v>
      </c>
      <c r="B16" s="18" t="s">
        <v>373</v>
      </c>
      <c r="C16" s="19" t="s">
        <v>307</v>
      </c>
      <c r="D16" s="41">
        <f>MAX(0,O2_net_gen-O2_cons)</f>
        <v>1.595988992758e-05</v>
      </c>
      <c r="E16" s="92"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×2.1). Sensitive: each 1 % on bio_O2 moves it 2.1 % the other way (linear, so symmetric).</v>
      </c>
      <c r="F16" s="20"/>
    </row>
    <row r="17" spans="1:6" x14ac:dyDescent="0.2">
      <c r="A17" s="17" t="s">
        <v>374</v>
      </c>
      <c r="B17" s="18" t="s">
        <v>375</v>
      </c>
      <c r="C17" s="19" t="s">
        <v>48</v>
      </c>
      <c r="D17" s="124">
        <f>Summary!$D$8</f>
        <v>25.0</v>
      </c>
      <c r="E17" s="33" t="s">
        <v>376</v>
      </c>
      <c r="F17" s="20"/>
    </row>
    <row r="18" spans="1:6" ht="24" customHeight="1" x14ac:dyDescent="0.2">
      <c r="A18" s="17" t="s">
        <v>377</v>
      </c>
      <c r="B18" s="18" t="s">
        <v>261</v>
      </c>
      <c r="C18" s="19" t="s">
        <v>262</v>
      </c>
      <c r="D18" s="37">
        <f>T_C+T_zero_C</f>
        <v>298.15</v>
      </c>
      <c r="E18" s="77" t="s">
        <v>378</v>
      </c>
      <c r="F18" s="20"/>
    </row>
    <row r="19" spans="1:6" x14ac:dyDescent="0.2">
      <c r="A19" s="17" t="s">
        <v>379</v>
      </c>
      <c r="B19" s="18" t="s">
        <v>264</v>
      </c>
      <c r="C19" s="19" t="s">
        <v>57</v>
      </c>
      <c r="D19" s="109">
        <f>IF(P_atm_set&gt;0,P_atm_set,Pa_per_atm)</f>
        <v>101325.0</v>
      </c>
      <c r="E19" s="33" t="s">
        <v>380</v>
      </c>
      <c r="F19" s="20"/>
    </row>
    <row r="20" spans="1:6" x14ac:dyDescent="0.2">
      <c r="A20" s="17" t="s">
        <v>381</v>
      </c>
      <c r="B20" s="18" t="s">
        <v>382</v>
      </c>
      <c r="C20" s="19" t="s">
        <v>383</v>
      </c>
      <c r="D20" s="121">
        <v>101325</v>
      </c>
      <c r="E20" s="77" t="s">
        <v>384</v>
      </c>
      <c r="F20" s="20"/>
    </row>
    <row r="21" spans="1:6" x14ac:dyDescent="0.2">
      <c r="A21" s="17" t="s">
        <v>385</v>
      </c>
      <c r="B21" s="18" t="s">
        <v>386</v>
      </c>
      <c r="C21" s="19" t="s">
        <v>387</v>
      </c>
      <c r="D21" s="121">
        <v>1.2E-5</v>
      </c>
      <c r="E21" s="143" t="s">
        <v>388</v>
      </c>
      <c r="F21" s="20"/>
    </row>
    <row r="22" spans="1:6" x14ac:dyDescent="0.2">
      <c r="A22" s="17" t="s">
        <v>389</v>
      </c>
      <c r="B22" s="18" t="s">
        <v>390</v>
      </c>
      <c r="C22" s="19" t="s">
        <v>262</v>
      </c>
      <c r="D22" s="121">
        <v>1500</v>
      </c>
      <c r="E22" s="143" t="s">
        <v>391</v>
      </c>
      <c r="F22" s="20"/>
    </row>
    <row r="23" spans="1:6" x14ac:dyDescent="0.2">
      <c r="A23" s="17" t="s">
        <v>392</v>
      </c>
      <c r="B23" s="18" t="s">
        <v>393</v>
      </c>
      <c r="C23" s="19" t="s">
        <v>262</v>
      </c>
      <c r="D23" s="121">
        <v>298.14999999999998</v>
      </c>
      <c r="E23" s="77" t="s">
        <v>394</v>
      </c>
      <c r="F23" s="20"/>
    </row>
    <row r="24" spans="1:6" ht="24" x14ac:dyDescent="0.2">
      <c r="A24" s="17" t="s">
        <v>395</v>
      </c>
      <c r="B24" s="18" t="s">
        <v>396</v>
      </c>
      <c r="C24" s="19" t="s">
        <v>387</v>
      </c>
      <c r="D24" s="52">
        <f>H_O2ref*EXP(H_O2T*(1/T_K-1/T_ref))*f_salt_O2</f>
        <v>1.158290914481e-05</v>
      </c>
      <c r="E24" s="77" t="s">
        <v>2101</v>
      </c>
      <c r="F24" s="20"/>
    </row>
    <row r="25" spans="1:6" ht="24" customHeight="1" x14ac:dyDescent="0.2">
      <c r="A25" s="17" t="s">
        <v>397</v>
      </c>
      <c r="B25" s="18" t="s">
        <v>398</v>
      </c>
      <c r="C25" s="19" t="s">
        <v>399</v>
      </c>
      <c r="D25" s="121">
        <v>0.3</v>
      </c>
      <c r="E25" s="143" t="s">
        <v>400</v>
      </c>
      <c r="F25" s="20"/>
    </row>
    <row r="26" spans="1:6" x14ac:dyDescent="0.2">
      <c r="A26" s="17" t="s">
        <v>401</v>
      </c>
      <c r="B26" s="18" t="s">
        <v>402</v>
      </c>
      <c r="C26" s="19" t="s">
        <v>57</v>
      </c>
      <c r="D26" s="38">
        <f>O2_ceil_atm*Pa_per_atm</f>
        <v>30397.5</v>
      </c>
      <c r="E26" s="77" t="s">
        <v>403</v>
      </c>
      <c r="F26" s="20"/>
    </row>
    <row r="27" spans="1:6" x14ac:dyDescent="0.2">
      <c r="A27" s="17" t="s">
        <v>404</v>
      </c>
      <c r="B27" s="18" t="s">
        <v>405</v>
      </c>
      <c r="C27" s="19" t="s">
        <v>406</v>
      </c>
      <c r="D27" s="40">
        <f>H_O2_T*O2_ceil_Pa</f>
        <v>0.352091480729</v>
      </c>
      <c r="E27" s="77" t="s">
        <v>407</v>
      </c>
      <c r="F27" s="20"/>
    </row>
    <row r="28" spans="1:6" x14ac:dyDescent="0.2">
      <c r="A28" s="90" t="s">
        <v>404</v>
      </c>
      <c r="B28" s="18" t="s">
        <v>408</v>
      </c>
      <c r="C28" s="19" t="s">
        <v>409</v>
      </c>
      <c r="D28" s="38">
        <f>O2_ceil_C*1000</f>
        <v>352.091480729401</v>
      </c>
      <c r="E28" s="53" t="s">
        <v>410</v>
      </c>
      <c r="F28" s="20"/>
    </row>
    <row r="29" spans="1:6" x14ac:dyDescent="0.2">
      <c r="A29" s="17" t="s">
        <v>411</v>
      </c>
      <c r="B29" s="18" t="s">
        <v>412</v>
      </c>
      <c r="C29" s="19" t="s">
        <v>387</v>
      </c>
      <c r="D29" s="127">
        <v>3.3E-4</v>
      </c>
      <c r="E29" s="54" t="s">
        <v>958</v>
      </c>
      <c r="F29" s="20"/>
    </row>
    <row r="30" spans="1:6" ht="24" customHeight="1" x14ac:dyDescent="0.2">
      <c r="A30" s="17" t="s">
        <v>413</v>
      </c>
      <c r="B30" s="18" t="s">
        <v>414</v>
      </c>
      <c r="C30" s="19" t="s">
        <v>262</v>
      </c>
      <c r="D30" s="127">
        <v>2400</v>
      </c>
      <c r="E30" s="54" t="s">
        <v>415</v>
      </c>
      <c r="F30" s="20"/>
    </row>
    <row r="31" spans="1:6" x14ac:dyDescent="0.2">
      <c r="A31" s="17" t="s">
        <v>416</v>
      </c>
      <c r="B31" s="18" t="s">
        <v>417</v>
      </c>
      <c r="C31" s="19" t="s">
        <v>387</v>
      </c>
      <c r="D31" s="41">
        <f>H_CO2ref*EXP(H_CO2T*(1/T_K-1/T_ref))</f>
        <v>0.00033</v>
      </c>
      <c r="E31" s="77" t="s">
        <v>418</v>
      </c>
      <c r="F31" s="20"/>
    </row>
    <row r="32" spans="1:6" x14ac:dyDescent="0.2">
      <c r="A32" s="17" t="s">
        <v>2102</v>
      </c>
      <c r="B32" s="18" t="s">
        <v>419</v>
      </c>
      <c r="C32" s="19" t="s">
        <v>57</v>
      </c>
      <c r="D32" s="41">
        <f>'Mass Transfer'!$D$418</f>
        <v>98163.2639643</v>
      </c>
      <c r="E32" s="145" t="s">
        <v>2103</v>
      </c>
      <c r="F32" s="20"/>
    </row>
    <row r="33" spans="1:6" ht="24" x14ac:dyDescent="0.2">
      <c r="A33" s="17" t="s">
        <v>420</v>
      </c>
      <c r="B33" s="18" t="s">
        <v>421</v>
      </c>
      <c r="C33" s="19" t="s">
        <v>406</v>
      </c>
      <c r="D33" s="41">
        <f>H_CO2_T*p_CO2_sparge</f>
        <v>32.39387710822</v>
      </c>
      <c r="E33" s="77" t="s">
        <v>2104</v>
      </c>
      <c r="F33" s="20"/>
    </row>
    <row r="34" spans="1:6" x14ac:dyDescent="0.2">
      <c r="A34" s="17" t="s">
        <v>422</v>
      </c>
      <c r="B34" s="18" t="s">
        <v>423</v>
      </c>
      <c r="C34" s="19" t="s">
        <v>409</v>
      </c>
      <c r="D34" s="111">
        <v>50</v>
      </c>
      <c r="E34" s="56" t="s">
        <v>424</v>
      </c>
      <c r="F34" s="20"/>
    </row>
    <row r="35" spans="1:6" ht="24" customHeight="1" x14ac:dyDescent="0.2">
      <c r="A35" s="17" t="s">
        <v>425</v>
      </c>
      <c r="B35" s="18" t="s">
        <v>426</v>
      </c>
      <c r="C35" s="19" t="s">
        <v>87</v>
      </c>
      <c r="D35" s="41">
        <f>CO2_diss*1000/Km_CO2</f>
        <v>647.877542164402</v>
      </c>
      <c r="E35" s="77" t="s">
        <v>2105</v>
      </c>
      <c r="F35" s="20"/>
    </row>
    <row r="36" spans="1:6" x14ac:dyDescent="0.2">
      <c r="A36" s="17" t="s">
        <v>427</v>
      </c>
      <c r="B36" s="18" t="s">
        <v>428</v>
      </c>
      <c r="C36" s="19" t="s">
        <v>429</v>
      </c>
      <c r="D36" s="127">
        <v>4.4499999999999997E-7</v>
      </c>
      <c r="E36" s="54" t="s">
        <v>430</v>
      </c>
      <c r="F36" s="20"/>
    </row>
    <row r="37" spans="1:6" ht="24" customHeight="1" x14ac:dyDescent="0.2">
      <c r="A37" s="17" t="s">
        <v>431</v>
      </c>
      <c r="B37" s="18" t="s">
        <v>432</v>
      </c>
      <c r="C37" s="19" t="s">
        <v>111</v>
      </c>
      <c r="D37" s="41">
        <f>-LOG10(SQRT(Ka1_carb*(CO2_diss/1000)))</f>
        <v>3.920588529366</v>
      </c>
      <c r="E37" s="56" t="s">
        <v>433</v>
      </c>
      <c r="F37" s="20"/>
    </row>
    <row r="38" spans="1:6" x14ac:dyDescent="0.2">
      <c r="A38" s="17" t="s">
        <v>434</v>
      </c>
      <c r="B38" s="18" t="s">
        <v>435</v>
      </c>
      <c r="C38" s="19" t="s">
        <v>387</v>
      </c>
      <c r="D38" s="127">
        <v>7.7999999999999999E-6</v>
      </c>
      <c r="E38" s="54" t="s">
        <v>959</v>
      </c>
      <c r="F38" s="20"/>
    </row>
    <row r="39" spans="1:6" x14ac:dyDescent="0.2">
      <c r="A39" s="17" t="s">
        <v>436</v>
      </c>
      <c r="B39" s="18" t="s">
        <v>437</v>
      </c>
      <c r="C39" s="19" t="s">
        <v>262</v>
      </c>
      <c r="D39" s="127">
        <v>500</v>
      </c>
      <c r="E39" s="54" t="s">
        <v>438</v>
      </c>
      <c r="F39" s="20"/>
    </row>
    <row r="40" spans="1:6" x14ac:dyDescent="0.2">
      <c r="A40" s="17" t="s">
        <v>439</v>
      </c>
      <c r="B40" s="18" t="s">
        <v>440</v>
      </c>
      <c r="C40" s="19" t="s">
        <v>387</v>
      </c>
      <c r="D40" s="41">
        <f>H_H2ref*EXP(H_H2T*(1/T_K-1/T_ref))</f>
        <v>7.8e-06</v>
      </c>
      <c r="E40" s="77" t="s">
        <v>418</v>
      </c>
      <c r="F40" s="20"/>
    </row>
    <row r="41" spans="1:6" x14ac:dyDescent="0.2">
      <c r="A41" s="17" t="s">
        <v>441</v>
      </c>
      <c r="B41" s="18" t="s">
        <v>442</v>
      </c>
      <c r="C41" s="19" t="s">
        <v>406</v>
      </c>
      <c r="D41" s="41">
        <f>H_H2_T*P_atm</f>
        <v>0.790335</v>
      </c>
      <c r="E41" s="77" t="s">
        <v>443</v>
      </c>
      <c r="F41" s="20"/>
    </row>
    <row r="42" spans="1:6" ht="24" customHeight="1" x14ac:dyDescent="0.2">
      <c r="A42" s="17" t="s">
        <v>444</v>
      </c>
      <c r="B42" s="18" t="s">
        <v>445</v>
      </c>
      <c r="C42" s="19" t="s">
        <v>61</v>
      </c>
      <c r="D42" s="41">
        <f>C_H2_sat*(V_charge/1000000)/rH2_gen*60</f>
        <v>6.981674632634</v>
      </c>
      <c r="E42" s="77" t="s">
        <v>446</v>
      </c>
      <c r="F42" s="20"/>
    </row>
    <row r="43" spans="1:6" x14ac:dyDescent="0.2">
      <c r="A43" s="17" t="s">
        <v>447</v>
      </c>
      <c r="B43" s="18" t="s">
        <v>448</v>
      </c>
      <c r="C43" s="19" t="s">
        <v>449</v>
      </c>
      <c r="D43" s="41">
        <f>rH2_gen/(V_charge/1000000)/C_H2_sat</f>
        <v>8.593926694829</v>
      </c>
      <c r="E43" s="56" t="s">
        <v>450</v>
      </c>
      <c r="F43" s="20"/>
    </row>
    <row r="44" spans="1:6" ht="24" customHeight="1" x14ac:dyDescent="0.2">
      <c r="A44" s="17" t="s">
        <v>2106</v>
      </c>
      <c r="B44" s="18" t="s">
        <v>451</v>
      </c>
      <c r="C44" s="19" t="s">
        <v>111</v>
      </c>
      <c r="D44" s="41" t="str">
        <f>IF(AND(y_H2_end_b&gt;=H2_LFL,y_O2_end_b&gt;=O2_LOC_H2*LOC_margin),"FLAMMABLE HEADSPACE (lag): H₂ "&amp;TEXT(y_H2_hs_lag,"0%")&amp;" mean, "&amp;TEXT(y_H2_end_b,"0%")&amp;" before each pulse; O₂ "&amp;TEXT(y_O2_hs_lag,"0%")&amp;" mean, "&amp;TEXT(y_O2_end_b,"0%")&amp;" before each pulse – until uptake starts, sparge every ≤"&amp;TEXT(spg_int_H2safe_saw,"0.0")&amp;" min or sweep ≥"&amp;TEXT(N2_sweep_H2safe,"0.0")&amp;"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11% mean, 17% before each pulse; O₂ 6% mean, 9% before each pulse – until uptake starts, sparge every ≤2.5 min or sweep ≥0.9 mL/min N₂; vent to a hood; no ignition sources</v>
      </c>
      <c r="E44" s="57" t="s">
        <v>2107</v>
      </c>
      <c r="F44" s="79" t="s">
        <v>2108</v>
      </c>
    </row>
    <row r="45" spans="1:6" x14ac:dyDescent="0.2">
      <c r="A45" s="20" t="s">
        <v>452</v>
      </c>
      <c r="B45" s="20" t="s">
        <v>453</v>
      </c>
      <c r="C45" s="20" t="s">
        <v>83</v>
      </c>
      <c r="D45" s="28" t="e">
        <f>IF(ISNUMBER(cal_DO_min),cal_DO_min,IF(ISNUMBER(VLOOKUP(organism_sel,$A$52:$F$57,MATCH("minimum DO",$A$51:$F$51,0),FALSE)),VLOOKUP(organism_sel,$A$52:$F$57,MATCH("minimum DO",$A$51:$F$51,0),FALSE),NA()))</f>
        <v>#N/A</v>
      </c>
      <c r="E45" s="20"/>
      <c r="F45" s="20"/>
    </row>
    <row r="46" spans="1:6" x14ac:dyDescent="0.2">
      <c r="A46" s="20" t="s">
        <v>454</v>
      </c>
      <c r="B46" s="20" t="s">
        <v>455</v>
      </c>
      <c r="C46" s="20" t="s">
        <v>83</v>
      </c>
      <c r="D46" s="24" t="e">
        <f>IF(ISNUMBER(cal_DO_opt),cal_DO_opt,IF(ISNUMBER(VLOOKUP(organism_sel,$A$52:$F$57,MATCH("optimum DO",$A$51:$F$51,0),FALSE)),VLOOKUP(organism_sel,$A$52:$F$57,MATCH("optimum DO",$A$51:$F$51,0),FALSE),NA()))</f>
        <v>#N/A</v>
      </c>
      <c r="E46" s="20"/>
      <c r="F46" s="20"/>
    </row>
    <row r="47" spans="1:6" x14ac:dyDescent="0.2">
      <c r="A47" s="20" t="s">
        <v>456</v>
      </c>
      <c r="B47" s="20" t="s">
        <v>457</v>
      </c>
      <c r="C47" s="20" t="s">
        <v>83</v>
      </c>
      <c r="D47" s="24" t="e">
        <f>IF(ISNUMBER(cal_DO_impair),cal_DO_impair,IF(ISNUMBER(VLOOKUP(organism_sel,$A$52:$F$57,MATCH("impairment DO",$A$51:$F$51,0),FALSE)),VLOOKUP(organism_sel,$A$52:$F$57,MATCH("impairment DO",$A$51:$F$51,0),FALSE),NA()))</f>
        <v>#N/A</v>
      </c>
      <c r="E47" s="20"/>
      <c r="F47" s="20"/>
    </row>
    <row r="48" spans="1:6" x14ac:dyDescent="0.2">
      <c r="A48" s="20" t="s">
        <v>458</v>
      </c>
      <c r="B48" s="20" t="s">
        <v>459</v>
      </c>
      <c r="C48" s="20" t="s">
        <v>83</v>
      </c>
      <c r="D48" s="24" t="e">
        <f>IF(ISNUMBER(cal_DO_toxic),cal_DO_toxic,IF(ISNUMBER(VLOOKUP(organism_sel,$A$52:$F$57,MATCH("toxic DO",$A$51:$F$51,0),FALSE)),VLOOKUP(organism_sel,$A$52:$F$57,MATCH("toxic DO",$A$51:$F$51,0),FALSE),NA()))</f>
        <v>#N/A</v>
      </c>
      <c r="E48" s="20"/>
      <c r="F48" s="20"/>
    </row>
    <row r="49" spans="1:6" x14ac:dyDescent="0.2">
      <c r="A49" s="20"/>
      <c r="B49" s="48"/>
      <c r="C49" s="48"/>
      <c r="D49" s="48"/>
      <c r="E49" s="48"/>
      <c r="F49" s="20"/>
    </row>
    <row r="50" spans="1:6" x14ac:dyDescent="0.2">
      <c r="A50" s="81" t="s">
        <v>460</v>
      </c>
      <c r="B50" s="20"/>
      <c r="C50" s="20"/>
      <c r="D50" s="20"/>
      <c r="E50" s="20"/>
      <c r="F50" s="20"/>
    </row>
    <row r="51" spans="1:6" x14ac:dyDescent="0.2">
      <c r="A51" s="81" t="s">
        <v>461</v>
      </c>
      <c r="B51" s="81" t="s">
        <v>462</v>
      </c>
      <c r="C51" s="81" t="s">
        <v>463</v>
      </c>
      <c r="D51" s="81" t="s">
        <v>464</v>
      </c>
      <c r="E51" s="81" t="s">
        <v>465</v>
      </c>
      <c r="F51" s="81" t="s">
        <v>466</v>
      </c>
    </row>
    <row r="52" spans="1:6" x14ac:dyDescent="0.2">
      <c r="A52" s="20" t="s">
        <v>34</v>
      </c>
      <c r="B52" s="48" t="s">
        <v>346</v>
      </c>
      <c r="C52" s="20">
        <v>2.6</v>
      </c>
      <c r="D52" s="20">
        <v>3</v>
      </c>
      <c r="E52" s="20">
        <v>11.5</v>
      </c>
      <c r="F52" s="79" t="s">
        <v>467</v>
      </c>
    </row>
    <row r="53" spans="1:6" x14ac:dyDescent="0.2">
      <c r="A53" s="20" t="s">
        <v>468</v>
      </c>
      <c r="B53" s="48" t="s">
        <v>346</v>
      </c>
      <c r="C53" s="48" t="s">
        <v>346</v>
      </c>
      <c r="D53" s="48" t="s">
        <v>346</v>
      </c>
      <c r="E53" s="20">
        <v>11.5</v>
      </c>
      <c r="F53" s="20" t="s">
        <v>469</v>
      </c>
    </row>
    <row r="54" spans="1:6" x14ac:dyDescent="0.2">
      <c r="A54" s="20" t="s">
        <v>470</v>
      </c>
      <c r="B54" s="48" t="s">
        <v>346</v>
      </c>
      <c r="C54" s="48" t="s">
        <v>346</v>
      </c>
      <c r="D54" s="48" t="s">
        <v>346</v>
      </c>
      <c r="E54" s="48" t="s">
        <v>346</v>
      </c>
      <c r="F54" s="20" t="s">
        <v>471</v>
      </c>
    </row>
    <row r="55" spans="1:6" x14ac:dyDescent="0.2">
      <c r="A55" s="20" t="s">
        <v>472</v>
      </c>
      <c r="B55" s="48" t="s">
        <v>346</v>
      </c>
      <c r="C55" s="48" t="s">
        <v>346</v>
      </c>
      <c r="D55" s="48" t="s">
        <v>346</v>
      </c>
      <c r="E55" s="48" t="s">
        <v>346</v>
      </c>
      <c r="F55" s="20" t="s">
        <v>471</v>
      </c>
    </row>
    <row r="56" spans="1:6" x14ac:dyDescent="0.2">
      <c r="A56" s="20" t="s">
        <v>473</v>
      </c>
      <c r="B56" s="48" t="s">
        <v>346</v>
      </c>
      <c r="C56" s="48" t="s">
        <v>346</v>
      </c>
      <c r="D56" s="48" t="s">
        <v>346</v>
      </c>
      <c r="E56" s="48" t="s">
        <v>346</v>
      </c>
      <c r="F56" s="20" t="s">
        <v>471</v>
      </c>
    </row>
    <row r="57" spans="1:6" x14ac:dyDescent="0.2">
      <c r="A57" s="20" t="s">
        <v>474</v>
      </c>
      <c r="B57" s="48" t="s">
        <v>346</v>
      </c>
      <c r="C57" s="48" t="s">
        <v>346</v>
      </c>
      <c r="D57" s="48" t="s">
        <v>346</v>
      </c>
      <c r="E57" s="48" t="s">
        <v>346</v>
      </c>
      <c r="F57" s="20" t="s">
        <v>475</v>
      </c>
    </row>
    <row r="58" spans="1:6" x14ac:dyDescent="0.2">
      <c r="A58" s="20"/>
      <c r="B58" s="20"/>
      <c r="C58" s="20"/>
      <c r="D58" s="28"/>
      <c r="E58" s="20"/>
      <c r="F58" s="20"/>
    </row>
    <row r="59" spans="1:6" x14ac:dyDescent="0.2">
      <c r="A59" s="5" t="s">
        <v>2109</v>
      </c>
    </row>
    <row r="60" spans="1:6" ht="24" x14ac:dyDescent="0.2">
      <c r="A60" t="s">
        <v>1328</v>
      </c>
      <c r="B60" s="18" t="s">
        <v>1329</v>
      </c>
      <c r="C60" s="19" t="s">
        <v>1140</v>
      </c>
      <c r="D60" s="116">
        <f>IF(AND(ISNUMBER(DO_opt),ISNUMBER(DO_toxic)),DO_opt/DO_toxic,DO_frac_fallback)</f>
        <v>0.226086956522</v>
      </c>
      <c r="E60" s="54" t="s">
        <v>1330</v>
      </c>
    </row>
    <row r="61" spans="1:6" ht="36" x14ac:dyDescent="0.2">
      <c r="A61" t="s">
        <v>1331</v>
      </c>
      <c r="B61" s="18" t="s">
        <v>1332</v>
      </c>
      <c r="C61" s="19" t="s">
        <v>1140</v>
      </c>
      <c r="D61" s="121">
        <v>0.22608695652173899</v>
      </c>
      <c r="E61" s="55" t="s">
        <v>2110</v>
      </c>
    </row>
    <row r="62" spans="1:6" x14ac:dyDescent="0.2">
      <c r="A62" s="5" t="s">
        <v>2111</v>
      </c>
    </row>
    <row r="63" spans="1:6" ht="24" x14ac:dyDescent="0.2">
      <c r="A63" s="17" t="s">
        <v>2112</v>
      </c>
      <c r="B63" s="18" t="s">
        <v>2113</v>
      </c>
      <c r="C63" s="19" t="s">
        <v>111</v>
      </c>
      <c r="D63" s="111">
        <v>6</v>
      </c>
      <c r="E63" s="147" t="s">
        <v>2114</v>
      </c>
    </row>
    <row r="64" spans="1:6" x14ac:dyDescent="0.2">
      <c r="A64" s="17" t="s">
        <v>2115</v>
      </c>
      <c r="B64" s="18" t="s">
        <v>2116</v>
      </c>
      <c r="C64" s="19" t="s">
        <v>111</v>
      </c>
      <c r="D64" s="111">
        <v>2</v>
      </c>
      <c r="E64" s="147" t="s">
        <v>2117</v>
      </c>
    </row>
    <row r="65" spans="1:5" x14ac:dyDescent="0.2">
      <c r="A65" s="17" t="s">
        <v>2118</v>
      </c>
      <c r="B65" s="18" t="s">
        <v>2119</v>
      </c>
      <c r="C65" s="19" t="s">
        <v>111</v>
      </c>
      <c r="D65" s="111">
        <v>1</v>
      </c>
      <c r="E65" s="147" t="s">
        <v>2120</v>
      </c>
    </row>
    <row r="66" spans="1:5" x14ac:dyDescent="0.2">
      <c r="A66" s="17" t="s">
        <v>2121</v>
      </c>
      <c r="B66" s="18" t="s">
        <v>2122</v>
      </c>
      <c r="C66" s="19" t="s">
        <v>262</v>
      </c>
      <c r="D66" s="111">
        <v>273.14999999999998</v>
      </c>
      <c r="E66" s="77" t="s">
        <v>2123</v>
      </c>
    </row>
    <row r="67" spans="1:5" x14ac:dyDescent="0.2">
      <c r="A67" s="20" t="s">
        <v>2124</v>
      </c>
      <c r="B67" s="18" t="s">
        <v>56</v>
      </c>
      <c r="C67" s="20" t="s">
        <v>57</v>
      </c>
      <c r="D67" s="126">
        <f>Summary!$D$10</f>
        <v>0.0</v>
      </c>
      <c r="E67" s="145" t="s">
        <v>2125</v>
      </c>
    </row>
    <row r="75" spans="1:5" x14ac:dyDescent="0.2">
      <c r="A75" s="5" t="s">
        <v>2126</v>
      </c>
    </row>
    <row r="76" spans="1:5" x14ac:dyDescent="0.2">
      <c r="A76" s="20" t="s">
        <v>2127</v>
      </c>
      <c r="B76" s="18" t="s">
        <v>2128</v>
      </c>
      <c r="C76" s="20" t="s">
        <v>307</v>
      </c>
      <c r="D76" s="125">
        <f>'Mass Transfer'!$D$100</f>
        <v>0.0007194021152992</v>
      </c>
      <c r="E76" s="145" t="s">
        <v>2129</v>
      </c>
    </row>
    <row r="77" spans="1:5" x14ac:dyDescent="0.2">
      <c r="A77" s="20" t="s">
        <v>2130</v>
      </c>
      <c r="B77" s="18" t="s">
        <v>2131</v>
      </c>
      <c r="C77" s="20" t="s">
        <v>307</v>
      </c>
      <c r="D77" s="125">
        <f>'Mass Transfer'!$D$178</f>
        <v>0.489998045758</v>
      </c>
      <c r="E77" s="145" t="s">
        <v>2132</v>
      </c>
    </row>
    <row r="78" spans="1:5" x14ac:dyDescent="0.2">
      <c r="A78" s="20" t="s">
        <v>2133</v>
      </c>
      <c r="B78" s="18" t="s">
        <v>2134</v>
      </c>
      <c r="C78" s="20" t="s">
        <v>12</v>
      </c>
      <c r="D78" s="125">
        <f>'Mass Transfer'!$D$409</f>
        <v>0.784513049825</v>
      </c>
      <c r="E78" s="145" t="s">
        <v>2135</v>
      </c>
    </row>
    <row r="79" spans="1:5" x14ac:dyDescent="0.2">
      <c r="A79" s="20" t="s">
        <v>2136</v>
      </c>
      <c r="B79" s="18" t="s">
        <v>2137</v>
      </c>
      <c r="C79" s="20" t="s">
        <v>2138</v>
      </c>
      <c r="D79" s="125">
        <f>'Mass Transfer'!$D$101</f>
        <v>8.314462618</v>
      </c>
      <c r="E79" s="145" t="s">
        <v>2139</v>
      </c>
    </row>
    <row r="80" spans="1:5" x14ac:dyDescent="0.2">
      <c r="A80" s="17" t="s">
        <v>2140</v>
      </c>
      <c r="B80" s="18" t="s">
        <v>2141</v>
      </c>
      <c r="C80" s="19" t="s">
        <v>111</v>
      </c>
      <c r="D80" s="121">
        <v>0.04</v>
      </c>
      <c r="E80" s="77" t="s">
        <v>2142</v>
      </c>
    </row>
    <row r="81" spans="1:5" x14ac:dyDescent="0.2">
      <c r="A81" s="17" t="s">
        <v>2143</v>
      </c>
      <c r="B81" s="18" t="s">
        <v>2144</v>
      </c>
      <c r="C81" s="19" t="s">
        <v>111</v>
      </c>
      <c r="D81" s="121">
        <v>5.1999999999999998E-2</v>
      </c>
      <c r="E81" s="77" t="s">
        <v>2145</v>
      </c>
    </row>
    <row r="82" spans="1:5" ht="24" x14ac:dyDescent="0.2">
      <c r="A82" s="17" t="s">
        <v>2146</v>
      </c>
      <c r="B82" s="18" t="s">
        <v>2147</v>
      </c>
      <c r="C82" s="19" t="s">
        <v>111</v>
      </c>
      <c r="D82" s="121">
        <v>0.6</v>
      </c>
      <c r="E82" s="77" t="s">
        <v>2148</v>
      </c>
    </row>
    <row r="83" spans="1:5" ht="24" x14ac:dyDescent="0.2">
      <c r="A83" s="17" t="s">
        <v>2149</v>
      </c>
      <c r="B83" s="18" t="s">
        <v>2150</v>
      </c>
      <c r="C83" s="19" t="s">
        <v>307</v>
      </c>
      <c r="D83" s="41">
        <f>H2_src_l_b+O2_src_l_b</f>
        <v>0.0001423490197296</v>
      </c>
      <c r="E83" s="56" t="s">
        <v>2151</v>
      </c>
    </row>
    <row r="84" spans="1:5" ht="48" x14ac:dyDescent="0.2">
      <c r="A84" s="17" t="s">
        <v>2152</v>
      </c>
      <c r="B84" s="18" t="s">
        <v>2153</v>
      </c>
      <c r="C84" s="19" t="s">
        <v>111</v>
      </c>
      <c r="D84" s="41">
        <f>H2_src_l_b/(n_flamm_src+CO2_supply_b+F_vent_ex_b)</f>
        <v>0.106556886969</v>
      </c>
      <c r="E84" s="56" t="s">
        <v>2154</v>
      </c>
    </row>
    <row r="85" spans="1:5" ht="24" x14ac:dyDescent="0.2">
      <c r="A85" s="17" t="s">
        <v>2155</v>
      </c>
      <c r="B85" s="18" t="s">
        <v>2156</v>
      </c>
      <c r="C85" s="19" t="s">
        <v>111</v>
      </c>
      <c r="D85" s="41">
        <f>(O2_src_l_b+y_O2_air_b*F_vent_ex_b)/(n_flamm_src+CO2_supply_b+F_vent_ex_b)</f>
        <v>0.060443126812</v>
      </c>
      <c r="E85" s="56" t="s">
        <v>2157</v>
      </c>
    </row>
    <row r="86" spans="1:5" ht="36" x14ac:dyDescent="0.2">
      <c r="A86" s="17" t="s">
        <v>2158</v>
      </c>
      <c r="B86" s="18" t="s">
        <v>2159</v>
      </c>
      <c r="C86" s="19" t="s">
        <v>111</v>
      </c>
      <c r="D86" s="41">
        <f>MAX(0,MIN(H2_src_l_b/H2_LFL-n_flamm_src-F_vent_ex_b,(O2_src_l_b+y_O2_air_b*F_vent_ex_b)/(O2_LOC_H2*LOC_margin)-n_flamm_src-F_vent_ex_b))/CO2_rate_full_b</f>
        <v>0.003186917479</v>
      </c>
      <c r="E86" s="56" t="s">
        <v>2160</v>
      </c>
    </row>
    <row r="87" spans="1:5" ht="24" x14ac:dyDescent="0.2">
      <c r="A87" s="17" t="s">
        <v>2161</v>
      </c>
      <c r="B87" s="18" t="s">
        <v>2162</v>
      </c>
      <c r="C87" s="19" t="s">
        <v>61</v>
      </c>
      <c r="D87" s="41">
        <f>IF(duty_H2safe&gt;0,spg_dur_b/(60*duty_H2safe),NA())</f>
        <v>4.102778808882</v>
      </c>
      <c r="E87" s="56" t="s">
        <v>2163</v>
      </c>
    </row>
    <row r="88" spans="1:5" ht="24" x14ac:dyDescent="0.2">
      <c r="A88" s="17" t="s">
        <v>2164</v>
      </c>
      <c r="B88" s="18" t="s">
        <v>2165</v>
      </c>
      <c r="C88" s="19" t="s">
        <v>314</v>
      </c>
      <c r="D88" s="41">
        <f>MAX(0,H2_src_l_b/H2_LFL-n_flamm_src-F_vent_ex_b)/3600*R_gas_b*T_K/P_atm*1000000*60</f>
        <v>0.90297688482</v>
      </c>
      <c r="E88" s="56" t="s">
        <v>2166</v>
      </c>
    </row>
    <row r="89" spans="1:5" x14ac:dyDescent="0.2">
      <c r="A89" s="20" t="s">
        <v>2167</v>
      </c>
      <c r="B89" s="18" t="s">
        <v>2168</v>
      </c>
      <c r="C89" s="20" t="s">
        <v>12</v>
      </c>
      <c r="D89" s="125">
        <f>'Mass Transfer'!$D$90</f>
        <v>0.674076519917</v>
      </c>
      <c r="E89" s="145" t="s">
        <v>2169</v>
      </c>
    </row>
    <row r="90" spans="1:5" ht="48" x14ac:dyDescent="0.2">
      <c r="A90" s="17" t="s">
        <v>2170</v>
      </c>
      <c r="B90" s="18" t="s">
        <v>2171</v>
      </c>
      <c r="C90" s="19" t="s">
        <v>61</v>
      </c>
      <c r="D90" s="41">
        <f>IF(H2_src_l_b&gt;H2_LFL*F_gap_l_b,n_hs_gas_b/F_gap_l_b*LN((1-H2_LFL*F_gap_l_b/(H2_src_l_b)*flush_ret_opt_b)/(1-H2_LFL*F_gap_l_b/(H2_src_l_b)))*60,"none needed")</f>
        <v>1.783584644109</v>
      </c>
      <c r="E90" s="56" t="s">
        <v>2172</v>
      </c>
    </row>
    <row r="91" spans="1:5" x14ac:dyDescent="0.2">
      <c r="A91" s="17" t="s">
        <v>2173</v>
      </c>
      <c r="B91" s="18" t="s">
        <v>2174</v>
      </c>
      <c r="C91" s="19" t="s">
        <v>61</v>
      </c>
      <c r="D91" s="41">
        <f>IF(O2_src_l_b+y_O2_air_b*F_vent_ex_b&gt;O2_LOC_H2*LOC_margin*F_gap_l_b,n_hs_gas_b/F_gap_l_b*LN((1-O2_LOC_H2*LOC_margin*F_gap_l_b/(O2_src_l_b+y_O2_air_b*F_vent_ex_b)*flush_ret_opt_b)/(1-O2_LOC_H2*LOC_margin*F_gap_l_b/(O2_src_l_b+y_O2_air_b*F_vent_ex_b)))*60,"none needed")</f>
        <v>2.503733087829</v>
      </c>
      <c r="E91" s="56" t="s">
        <v>2175</v>
      </c>
    </row>
    <row r="92" spans="1:5" ht="24" x14ac:dyDescent="0.2">
      <c r="A92" s="17" t="s">
        <v>2176</v>
      </c>
      <c r="B92" s="18" t="s">
        <v>2177</v>
      </c>
      <c r="C92" s="19" t="s">
        <v>61</v>
      </c>
      <c r="D92" s="41">
        <f>IF(OR(ISTEXT(t_gap_H2_LFL),ISTEXT(t_gap_O2_LOC)),"any interval",MAX(t_gap_H2_LFL,t_gap_O2_LOC)+spg_dur_opt_b/60)</f>
        <v>2.514967696494</v>
      </c>
      <c r="E92" s="56" t="s">
        <v>2178</v>
      </c>
    </row>
    <row r="95" spans="1:5" x14ac:dyDescent="0.2">
      <c r="A95" s="5" t="s">
        <v>2179</v>
      </c>
    </row>
    <row r="96" spans="1:5" x14ac:dyDescent="0.2">
      <c r="A96" s="17" t="s">
        <v>2180</v>
      </c>
      <c r="B96" s="18" t="s">
        <v>2181</v>
      </c>
      <c r="C96" s="19" t="s">
        <v>307</v>
      </c>
      <c r="D96" s="41">
        <f>Electrochemistry!$D$149</f>
        <v>0.0</v>
      </c>
      <c r="E96" s="54" t="s">
        <v>2182</v>
      </c>
    </row>
    <row r="97" spans="1:5" x14ac:dyDescent="0.2">
      <c r="A97" s="17" t="s">
        <v>2183</v>
      </c>
      <c r="B97" s="18" t="s">
        <v>2184</v>
      </c>
      <c r="C97" s="19" t="s">
        <v>406</v>
      </c>
      <c r="D97" s="41">
        <f>'Mass Transfer'!$D$198</f>
        <v>28.806432469341</v>
      </c>
      <c r="E97" s="54" t="s">
        <v>2185</v>
      </c>
    </row>
    <row r="98" spans="1:5" ht="36" x14ac:dyDescent="0.2">
      <c r="A98" s="17" t="s">
        <v>2186</v>
      </c>
      <c r="B98" s="18" t="s">
        <v>2187</v>
      </c>
      <c r="C98" s="19" t="s">
        <v>87</v>
      </c>
      <c r="D98" s="41">
        <f>C_cycle_start_b*1000/Km_CO2</f>
        <v>576.12864938681</v>
      </c>
      <c r="E98" s="56" t="s">
        <v>2188</v>
      </c>
    </row>
    <row r="110" spans="1:5" x14ac:dyDescent="0.2">
      <c r="A110" s="5" t="s">
        <v>2189</v>
      </c>
    </row>
    <row r="111" spans="1:5" x14ac:dyDescent="0.2">
      <c r="A111" s="20" t="s">
        <v>2190</v>
      </c>
      <c r="B111" s="18" t="s">
        <v>2191</v>
      </c>
      <c r="C111" s="20" t="s">
        <v>307</v>
      </c>
      <c r="D111" s="125">
        <f>'Mass Transfer'!$D$308</f>
        <v>3.67866400719e-05</v>
      </c>
      <c r="E111" s="145" t="s">
        <v>2192</v>
      </c>
    </row>
    <row r="112" spans="1:5" x14ac:dyDescent="0.2">
      <c r="A112" s="20" t="s">
        <v>2193</v>
      </c>
      <c r="B112" s="18" t="s">
        <v>2194</v>
      </c>
      <c r="C112" s="20" t="s">
        <v>111</v>
      </c>
      <c r="D112" s="125">
        <f>'Mass Transfer'!$D$307</f>
        <v>0.2095</v>
      </c>
      <c r="E112" s="145" t="s">
        <v>2195</v>
      </c>
    </row>
    <row r="113" spans="1:5" x14ac:dyDescent="0.2">
      <c r="A113" s="20" t="s">
        <v>2196</v>
      </c>
      <c r="B113" s="18" t="s">
        <v>2197</v>
      </c>
      <c r="C113" s="20" t="s">
        <v>307</v>
      </c>
      <c r="D113" s="125">
        <f>'Mass Transfer'!$D$314</f>
        <v>9.574538813904e-05</v>
      </c>
      <c r="E113" s="145" t="s">
        <v>2198</v>
      </c>
    </row>
    <row r="114" spans="1:5" x14ac:dyDescent="0.2">
      <c r="A114" s="20" t="s">
        <v>2199</v>
      </c>
      <c r="B114" s="18" t="s">
        <v>2200</v>
      </c>
      <c r="C114" s="20" t="s">
        <v>111</v>
      </c>
      <c r="D114" s="125">
        <f>'Mass Transfer'!$D$388</f>
        <v>0.165025457949</v>
      </c>
      <c r="E114" s="145" t="s">
        <v>2201</v>
      </c>
    </row>
    <row r="115" spans="1:5" x14ac:dyDescent="0.2">
      <c r="A115" s="20" t="s">
        <v>2202</v>
      </c>
      <c r="B115" s="18" t="s">
        <v>2203</v>
      </c>
      <c r="C115" s="20" t="s">
        <v>307</v>
      </c>
      <c r="D115" s="125">
        <f>'Mass Transfer'!$D$310</f>
        <v>4.660363159054e-05</v>
      </c>
      <c r="E115" s="145" t="s">
        <v>2204</v>
      </c>
    </row>
    <row r="116" spans="1:5" x14ac:dyDescent="0.2">
      <c r="A116" s="20" t="s">
        <v>2205</v>
      </c>
      <c r="B116" s="18" t="s">
        <v>2206</v>
      </c>
      <c r="C116" s="20" t="s">
        <v>307</v>
      </c>
      <c r="D116" s="125">
        <f>'Mass Transfer'!$D$353</f>
        <v>0.0001791356598015</v>
      </c>
      <c r="E116" s="145" t="s">
        <v>2207</v>
      </c>
    </row>
    <row r="117" spans="1:5" x14ac:dyDescent="0.2">
      <c r="A117" s="20" t="s">
        <v>2208</v>
      </c>
      <c r="B117" s="18" t="s">
        <v>2209</v>
      </c>
      <c r="C117" s="20" t="s">
        <v>732</v>
      </c>
      <c r="D117" s="125">
        <f>'Mass Transfer'!$D$150</f>
        <v>0.0001067805170238</v>
      </c>
      <c r="E117" s="145" t="s">
        <v>2210</v>
      </c>
    </row>
    <row r="118" spans="1:5" x14ac:dyDescent="0.2">
      <c r="A118" s="20" t="s">
        <v>2211</v>
      </c>
      <c r="B118" s="18" t="s">
        <v>2212</v>
      </c>
      <c r="C118" s="20" t="s">
        <v>111</v>
      </c>
      <c r="D118" s="125">
        <f>'Mass Transfer'!$D$321</f>
        <v>0.367879441171</v>
      </c>
      <c r="E118" s="145" t="s">
        <v>2213</v>
      </c>
    </row>
    <row r="119" spans="1:5" x14ac:dyDescent="0.2">
      <c r="A119" s="20" t="s">
        <v>2214</v>
      </c>
      <c r="B119" s="18" t="s">
        <v>2215</v>
      </c>
      <c r="C119" s="20" t="s">
        <v>111</v>
      </c>
      <c r="D119" s="125">
        <f>'Mass Transfer'!$D$358</f>
        <v>0.093608728311</v>
      </c>
      <c r="E119" s="145" t="s">
        <v>2216</v>
      </c>
    </row>
    <row r="120" spans="1:5" x14ac:dyDescent="0.2">
      <c r="A120" s="5" t="s">
        <v>2217</v>
      </c>
    </row>
    <row r="121" spans="1:5" x14ac:dyDescent="0.2">
      <c r="A121" s="20" t="s">
        <v>2218</v>
      </c>
      <c r="B121" s="18" t="s">
        <v>2219</v>
      </c>
      <c r="C121" s="20" t="s">
        <v>429</v>
      </c>
      <c r="D121" s="125">
        <f>Chemistry!$D$185</f>
        <v>0.109739973238</v>
      </c>
      <c r="E121" s="145" t="s">
        <v>2220</v>
      </c>
    </row>
    <row r="122" spans="1:5" ht="48" x14ac:dyDescent="0.2">
      <c r="A122" s="20" t="s">
        <v>2221</v>
      </c>
      <c r="B122" s="18" t="s">
        <v>2222</v>
      </c>
      <c r="C122" s="20" t="s">
        <v>2223</v>
      </c>
      <c r="D122" s="111">
        <v>0.14000000000000001</v>
      </c>
      <c r="E122" s="33" t="s">
        <v>2224</v>
      </c>
    </row>
    <row r="123" spans="1:5" x14ac:dyDescent="0.2">
      <c r="A123" s="20" t="s">
        <v>2225</v>
      </c>
      <c r="B123" s="18" t="s">
        <v>2226</v>
      </c>
      <c r="C123" s="20" t="s">
        <v>111</v>
      </c>
      <c r="D123" s="125">
        <f>10^(-ks_O2*I_ionic_b)</f>
        <v>0.965242428734</v>
      </c>
      <c r="E123" s="53"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82" t="s">
        <v>476</v>
      </c>
      <c r="B1" s="20"/>
      <c r="C1" s="20"/>
      <c r="D1" s="20"/>
      <c r="E1" s="20"/>
      <c r="F1" s="20"/>
    </row>
    <row r="2" spans="1:6" x14ac:dyDescent="0.2">
      <c r="A2" s="16" t="s">
        <v>20</v>
      </c>
      <c r="B2" s="16" t="s">
        <v>21</v>
      </c>
      <c r="C2" s="16" t="s">
        <v>22</v>
      </c>
      <c r="D2" s="16" t="s">
        <v>23</v>
      </c>
      <c r="E2" s="16" t="s">
        <v>107</v>
      </c>
      <c r="F2" s="20"/>
    </row>
    <row r="3" spans="1:6" x14ac:dyDescent="0.2">
      <c r="A3" s="17"/>
      <c r="B3" s="18"/>
      <c r="C3" s="19"/>
      <c r="D3" s="83"/>
      <c r="E3" s="33"/>
      <c r="F3" s="20"/>
    </row>
    <row r="4" spans="1:6" ht="16" customHeight="1" x14ac:dyDescent="0.2">
      <c r="A4" s="82" t="s">
        <v>108</v>
      </c>
      <c r="B4" s="18"/>
      <c r="C4" s="19"/>
      <c r="D4" s="83"/>
      <c r="E4" s="33"/>
      <c r="F4" s="20"/>
    </row>
    <row r="5" spans="1:6" x14ac:dyDescent="0.2">
      <c r="A5" s="17" t="s">
        <v>477</v>
      </c>
      <c r="B5" s="18" t="s">
        <v>478</v>
      </c>
      <c r="C5" s="19" t="s">
        <v>115</v>
      </c>
      <c r="D5" s="128">
        <f>Geometry!$D$52</f>
        <v>12.0</v>
      </c>
      <c r="E5" s="58" t="str">
        <f>HYPERLINK("#Geometry!D52","→ Geometry")</f>
        <v>→ Geometry</v>
      </c>
      <c r="F5" s="79" t="s">
        <v>2228</v>
      </c>
    </row>
    <row r="6" spans="1:6" x14ac:dyDescent="0.2">
      <c r="A6" s="20" t="s">
        <v>479</v>
      </c>
      <c r="B6" s="20" t="s">
        <v>405</v>
      </c>
      <c r="C6" s="20" t="s">
        <v>406</v>
      </c>
      <c r="D6" s="117">
        <f>Biology!$D$27</f>
        <v>0.352091480729</v>
      </c>
      <c r="E6" s="110" t="str">
        <f>HYPERLINK("#Biology!D27","→ Biology")</f>
        <v>→ Biology</v>
      </c>
      <c r="F6" s="20"/>
    </row>
    <row r="7" spans="1:6" x14ac:dyDescent="0.2">
      <c r="A7" s="20" t="s">
        <v>480</v>
      </c>
      <c r="B7" s="20" t="s">
        <v>402</v>
      </c>
      <c r="C7" s="20" t="s">
        <v>57</v>
      </c>
      <c r="D7" s="117">
        <f>Biology!$D$26</f>
        <v>30397.5</v>
      </c>
      <c r="E7" s="110" t="str">
        <f>HYPERLINK("#Biology!D26","→ Biology")</f>
        <v>→ Biology</v>
      </c>
      <c r="F7" s="20"/>
    </row>
    <row r="8" spans="1:6" ht="24" customHeight="1" x14ac:dyDescent="0.2">
      <c r="A8" s="20" t="s">
        <v>260</v>
      </c>
      <c r="B8" s="20" t="s">
        <v>261</v>
      </c>
      <c r="C8" s="20" t="s">
        <v>262</v>
      </c>
      <c r="D8" s="117">
        <f>Biology!$D$18</f>
        <v>298.15</v>
      </c>
      <c r="E8" s="110" t="str">
        <f>HYPERLINK("#Biology!D18","→ Biology")</f>
        <v>→ Biology</v>
      </c>
      <c r="F8" s="20"/>
    </row>
    <row r="9" spans="1:6" x14ac:dyDescent="0.2">
      <c r="A9" s="20" t="s">
        <v>263</v>
      </c>
      <c r="B9" s="20" t="s">
        <v>264</v>
      </c>
      <c r="C9" s="20" t="s">
        <v>57</v>
      </c>
      <c r="D9" s="117">
        <f>Biology!$D$19</f>
        <v>101325.0</v>
      </c>
      <c r="E9" s="110" t="str">
        <f>HYPERLINK("#Biology!D19","→ Biology")</f>
        <v>→ Biology</v>
      </c>
      <c r="F9" s="20"/>
    </row>
    <row r="10" spans="1:6" x14ac:dyDescent="0.2">
      <c r="A10" s="20" t="s">
        <v>481</v>
      </c>
      <c r="B10" s="20" t="s">
        <v>370</v>
      </c>
      <c r="C10" s="20" t="s">
        <v>307</v>
      </c>
      <c r="D10" s="117">
        <f>Biology!$D$15</f>
        <v>1.698020263589e-05</v>
      </c>
      <c r="E10" s="110" t="str">
        <f>HYPERLINK("#Biology!D15","→ Biology")</f>
        <v>→ Biology</v>
      </c>
      <c r="F10" s="20"/>
    </row>
    <row r="11" spans="1:6" x14ac:dyDescent="0.2">
      <c r="A11" s="20" t="s">
        <v>482</v>
      </c>
      <c r="B11" s="20" t="s">
        <v>373</v>
      </c>
      <c r="C11" s="20" t="s">
        <v>307</v>
      </c>
      <c r="D11" s="117">
        <f>Biology!$D$16</f>
        <v>1.595988992758e-05</v>
      </c>
      <c r="E11" s="110" t="str">
        <f>HYPERLINK("#Biology!D16","→ Biology")</f>
        <v>→ Biology</v>
      </c>
      <c r="F11" s="20"/>
    </row>
    <row r="12" spans="1:6" x14ac:dyDescent="0.2">
      <c r="A12" s="20" t="s">
        <v>483</v>
      </c>
      <c r="B12" s="20" t="s">
        <v>396</v>
      </c>
      <c r="C12" s="20" t="s">
        <v>387</v>
      </c>
      <c r="D12" s="117">
        <f>Biology!$D$24</f>
        <v>1.158290914481e-05</v>
      </c>
      <c r="E12" s="110" t="str">
        <f>HYPERLINK("#Biology!D24","→ Biology")</f>
        <v>→ Biology</v>
      </c>
      <c r="F12" s="20"/>
    </row>
    <row r="13" spans="1:6" x14ac:dyDescent="0.2">
      <c r="A13" s="20" t="s">
        <v>352</v>
      </c>
      <c r="B13" s="20" t="s">
        <v>328</v>
      </c>
      <c r="C13" s="20" t="s">
        <v>307</v>
      </c>
      <c r="D13" s="125">
        <f>Electrochemistry!$D$29</f>
        <v>4.992029519937e-05</v>
      </c>
      <c r="E13" s="110" t="str">
        <f>HYPERLINK("#Electrochemistry!D29","→ Electrochemistry")</f>
        <v>→ Electrochemistry</v>
      </c>
      <c r="F13" s="20"/>
    </row>
    <row r="14" spans="1:6" x14ac:dyDescent="0.2">
      <c r="A14" s="20" t="s">
        <v>484</v>
      </c>
      <c r="B14" s="20" t="s">
        <v>192</v>
      </c>
      <c r="C14" s="20" t="s">
        <v>127</v>
      </c>
      <c r="D14" s="126">
        <f>Geometry!$D$44</f>
        <v>429.547725140567</v>
      </c>
      <c r="E14" s="110" t="str">
        <f>HYPERLINK("#Geometry!D44","→ Geometry")</f>
        <v>→ Geometry</v>
      </c>
      <c r="F14" s="20"/>
    </row>
    <row r="15" spans="1:6" x14ac:dyDescent="0.2">
      <c r="A15" s="20" t="s">
        <v>485</v>
      </c>
      <c r="B15" s="20" t="s">
        <v>123</v>
      </c>
      <c r="C15" s="20" t="s">
        <v>115</v>
      </c>
      <c r="D15" s="126">
        <f>Geometry!$D$20</f>
        <v>25.28</v>
      </c>
      <c r="E15" s="110" t="str">
        <f>HYPERLINK("#Geometry!D20","→ Geometry")</f>
        <v>→ Geometry</v>
      </c>
      <c r="F15" s="20"/>
    </row>
    <row r="16" spans="1:6" x14ac:dyDescent="0.2">
      <c r="A16" s="20" t="s">
        <v>353</v>
      </c>
      <c r="B16" s="20" t="s">
        <v>183</v>
      </c>
      <c r="C16" s="20" t="s">
        <v>52</v>
      </c>
      <c r="D16" s="126">
        <f>Geometry!$D$41</f>
        <v>15.0</v>
      </c>
      <c r="E16" s="110" t="str">
        <f>HYPERLINK("#Geometry!D41","→ Geometry")</f>
        <v>→ Geometry</v>
      </c>
      <c r="F16" s="20"/>
    </row>
    <row r="17" spans="1:6" x14ac:dyDescent="0.2">
      <c r="A17" s="20" t="s">
        <v>486</v>
      </c>
      <c r="B17" s="20" t="s">
        <v>126</v>
      </c>
      <c r="C17" s="20" t="s">
        <v>127</v>
      </c>
      <c r="D17" s="126">
        <f>Geometry!$D$21</f>
        <v>501.93100162698</v>
      </c>
      <c r="E17" s="110" t="str">
        <f>HYPERLINK("#Geometry!D21","→ Geometry")</f>
        <v>→ Geometry</v>
      </c>
      <c r="F17" s="20"/>
    </row>
    <row r="18" spans="1:6" ht="24" customHeight="1" x14ac:dyDescent="0.2">
      <c r="A18" s="20" t="s">
        <v>487</v>
      </c>
      <c r="B18" s="20" t="s">
        <v>155</v>
      </c>
      <c r="C18" s="20" t="s">
        <v>115</v>
      </c>
      <c r="D18" s="126">
        <f>Geometry!$D$31</f>
        <v>1.5875</v>
      </c>
      <c r="E18" s="110" t="str">
        <f>HYPERLINK("#Geometry!D31","→ Geometry")</f>
        <v>→ Geometry</v>
      </c>
      <c r="F18" s="20"/>
    </row>
    <row r="19" spans="1:6" x14ac:dyDescent="0.2">
      <c r="A19" s="20" t="s">
        <v>488</v>
      </c>
      <c r="B19" s="20" t="s">
        <v>207</v>
      </c>
      <c r="C19" s="20" t="s">
        <v>52</v>
      </c>
      <c r="D19" s="126">
        <f>Geometry!$D$49</f>
        <v>2.612428455917</v>
      </c>
      <c r="E19" s="110" t="str">
        <f>HYPERLINK("#Geometry!D49","→ Geometry")</f>
        <v>→ Geometry</v>
      </c>
      <c r="F19" s="20"/>
    </row>
    <row r="20" spans="1:6" x14ac:dyDescent="0.2">
      <c r="A20" s="20" t="s">
        <v>489</v>
      </c>
      <c r="B20" s="20" t="s">
        <v>490</v>
      </c>
      <c r="C20" s="20" t="s">
        <v>491</v>
      </c>
      <c r="D20" s="125">
        <f>Electrochemistry!$D$32</f>
        <v>0.0</v>
      </c>
      <c r="E20" s="110" t="str">
        <f>HYPERLINK("#Electrochemistry!D32","→ Electrochemistry")</f>
        <v>→ Electrochemistry</v>
      </c>
      <c r="F20" s="20"/>
    </row>
    <row r="21" spans="1:6" x14ac:dyDescent="0.2">
      <c r="A21" s="20" t="s">
        <v>492</v>
      </c>
      <c r="B21" s="20" t="s">
        <v>337</v>
      </c>
      <c r="C21" s="20" t="s">
        <v>111</v>
      </c>
      <c r="D21" s="125" t="str">
        <f>Electrochemistry!$D$31</f>
        <v>Sintered</v>
      </c>
      <c r="E21" s="110" t="str">
        <f>HYPERLINK("#Electrochemistry!D31","→ Electrochemistry")</f>
        <v>→ Electrochemistry</v>
      </c>
      <c r="F21" s="20"/>
    </row>
    <row r="22" spans="1:6" ht="36" customHeight="1" x14ac:dyDescent="0.2">
      <c r="A22" s="20" t="s">
        <v>493</v>
      </c>
      <c r="B22" s="20" t="s">
        <v>455</v>
      </c>
      <c r="C22" s="20"/>
      <c r="D22" s="117" t="e">
        <f>Biology!$D$46</f>
        <v>#N/A</v>
      </c>
      <c r="E22" s="110" t="str">
        <f>HYPERLINK("#Biology!D46","→ Biology")</f>
        <v>→ Biology</v>
      </c>
      <c r="F22" s="20"/>
    </row>
    <row r="23" spans="1:6" x14ac:dyDescent="0.2">
      <c r="A23" s="20" t="s">
        <v>494</v>
      </c>
      <c r="B23" s="20" t="s">
        <v>457</v>
      </c>
      <c r="C23" s="20"/>
      <c r="D23" s="117" t="e">
        <f>Biology!$D$47</f>
        <v>#N/A</v>
      </c>
      <c r="E23" s="110" t="str">
        <f>HYPERLINK("#Biology!D47","→ Biology")</f>
        <v>→ Biology</v>
      </c>
      <c r="F23" s="20"/>
    </row>
    <row r="24" spans="1:6" x14ac:dyDescent="0.2">
      <c r="A24" s="20" t="s">
        <v>495</v>
      </c>
      <c r="B24" s="20" t="s">
        <v>459</v>
      </c>
      <c r="C24" s="20"/>
      <c r="D24" s="117" t="e">
        <f>Biology!$D$48</f>
        <v>#N/A</v>
      </c>
      <c r="E24" s="110" t="str">
        <f>HYPERLINK("#Biology!D48","→ Biology")</f>
        <v>→ Biology</v>
      </c>
      <c r="F24" s="20"/>
    </row>
    <row r="25" spans="1:6" x14ac:dyDescent="0.2">
      <c r="A25" s="20" t="s">
        <v>496</v>
      </c>
      <c r="B25" s="20" t="s">
        <v>453</v>
      </c>
      <c r="C25" s="20"/>
      <c r="D25" s="117" t="e">
        <f>Biology!$D$45</f>
        <v>#N/A</v>
      </c>
      <c r="E25" s="110" t="str">
        <f>HYPERLINK("#Biology!D45","→ Biology")</f>
        <v>→ Biology</v>
      </c>
      <c r="F25" s="20"/>
    </row>
    <row r="26" spans="1:6" x14ac:dyDescent="0.2">
      <c r="A26" s="17"/>
      <c r="B26" s="18"/>
      <c r="C26" s="19"/>
      <c r="D26" s="59"/>
      <c r="E26" s="60"/>
      <c r="F26" s="20"/>
    </row>
    <row r="27" spans="1:6" x14ac:dyDescent="0.2">
      <c r="A27" s="17" t="s">
        <v>497</v>
      </c>
      <c r="B27" s="18" t="s">
        <v>498</v>
      </c>
      <c r="C27" s="19" t="s">
        <v>111</v>
      </c>
      <c r="D27" s="111" t="s">
        <v>343</v>
      </c>
      <c r="E27" s="33" t="s">
        <v>499</v>
      </c>
      <c r="F27" s="20"/>
    </row>
    <row r="28" spans="1:6" x14ac:dyDescent="0.2">
      <c r="A28" s="17" t="s">
        <v>500</v>
      </c>
      <c r="B28" s="18" t="s">
        <v>501</v>
      </c>
      <c r="C28" s="19" t="s">
        <v>111</v>
      </c>
      <c r="D28" s="111" t="s">
        <v>349</v>
      </c>
      <c r="E28" s="33" t="s">
        <v>502</v>
      </c>
      <c r="F28" s="20"/>
    </row>
    <row r="29" spans="1:6" ht="24" x14ac:dyDescent="0.2">
      <c r="A29" s="17" t="s">
        <v>503</v>
      </c>
      <c r="B29" s="18" t="s">
        <v>504</v>
      </c>
      <c r="C29" s="19" t="s">
        <v>505</v>
      </c>
      <c r="D29" s="116">
        <f>sigma_0+sigma_k*(T_K-T_zero_C)</f>
        <v>0.071965</v>
      </c>
      <c r="E29" s="143" t="s">
        <v>2229</v>
      </c>
      <c r="F29" s="20"/>
    </row>
    <row r="30" spans="1:6" ht="24" customHeight="1" x14ac:dyDescent="0.2">
      <c r="A30" s="17" t="s">
        <v>506</v>
      </c>
      <c r="B30" s="18" t="s">
        <v>507</v>
      </c>
      <c r="C30" s="19" t="s">
        <v>508</v>
      </c>
      <c r="D30" s="116">
        <f>rho_0+rho_k*(T_K-T_zero_C)</f>
        <v>996.94</v>
      </c>
      <c r="E30" s="143" t="s">
        <v>1609</v>
      </c>
      <c r="F30" s="20"/>
    </row>
    <row r="31" spans="1:6" x14ac:dyDescent="0.2">
      <c r="A31" s="17" t="s">
        <v>509</v>
      </c>
      <c r="B31" s="18" t="s">
        <v>510</v>
      </c>
      <c r="C31" s="19" t="s">
        <v>511</v>
      </c>
      <c r="D31" s="120">
        <v>9.8066499999999994</v>
      </c>
      <c r="E31" s="144" t="s">
        <v>512</v>
      </c>
      <c r="F31" s="20"/>
    </row>
    <row r="32" spans="1:6" ht="24" customHeight="1" x14ac:dyDescent="0.2">
      <c r="A32" s="17" t="s">
        <v>513</v>
      </c>
      <c r="B32" s="18" t="s">
        <v>514</v>
      </c>
      <c r="C32" s="19" t="s">
        <v>515</v>
      </c>
      <c r="D32" s="116">
        <f>10^(HB_a+HB_b/T_K-(HB_c/T_K)^2)/10000</f>
        <v>1.997672318404e-09</v>
      </c>
      <c r="E32" s="33" t="s">
        <v>2230</v>
      </c>
      <c r="F32" s="20"/>
    </row>
    <row r="33" spans="1:6" x14ac:dyDescent="0.2">
      <c r="A33" s="17" t="s">
        <v>516</v>
      </c>
      <c r="B33" s="18" t="s">
        <v>517</v>
      </c>
      <c r="C33" s="19" t="s">
        <v>518</v>
      </c>
      <c r="D33" s="121">
        <v>205</v>
      </c>
      <c r="E33" s="143" t="s">
        <v>519</v>
      </c>
      <c r="F33" s="20"/>
    </row>
    <row r="34" spans="1:6" ht="24" customHeight="1" x14ac:dyDescent="0.2">
      <c r="A34" s="17" t="s">
        <v>520</v>
      </c>
      <c r="B34" s="18" t="s">
        <v>521</v>
      </c>
      <c r="C34" s="19" t="s">
        <v>518</v>
      </c>
      <c r="D34" s="121">
        <v>130</v>
      </c>
      <c r="E34" s="143" t="s">
        <v>522</v>
      </c>
      <c r="F34" s="20"/>
    </row>
    <row r="35" spans="1:6" x14ac:dyDescent="0.2">
      <c r="A35" s="17" t="s">
        <v>523</v>
      </c>
      <c r="B35" s="18" t="s">
        <v>524</v>
      </c>
      <c r="C35" s="19" t="s">
        <v>518</v>
      </c>
      <c r="D35" s="121">
        <v>70</v>
      </c>
      <c r="E35" s="143" t="s">
        <v>525</v>
      </c>
      <c r="F35" s="20"/>
    </row>
    <row r="36" spans="1:6" x14ac:dyDescent="0.2">
      <c r="A36" s="17" t="s">
        <v>526</v>
      </c>
      <c r="B36" s="18" t="s">
        <v>527</v>
      </c>
      <c r="C36" s="19" t="s">
        <v>518</v>
      </c>
      <c r="D36" s="121">
        <v>28</v>
      </c>
      <c r="E36" s="143" t="s">
        <v>528</v>
      </c>
      <c r="F36" s="20"/>
    </row>
    <row r="37" spans="1:6" x14ac:dyDescent="0.2">
      <c r="A37" s="17" t="s">
        <v>529</v>
      </c>
      <c r="B37" s="18" t="s">
        <v>530</v>
      </c>
      <c r="C37" s="19" t="s">
        <v>518</v>
      </c>
      <c r="D37" s="121">
        <v>13</v>
      </c>
      <c r="E37" s="143" t="s">
        <v>531</v>
      </c>
      <c r="F37" s="20"/>
    </row>
    <row r="38" spans="1:6" x14ac:dyDescent="0.2">
      <c r="A38" s="17" t="s">
        <v>532</v>
      </c>
      <c r="B38" s="18" t="s">
        <v>533</v>
      </c>
      <c r="C38" s="19" t="s">
        <v>518</v>
      </c>
      <c r="D38" s="129">
        <v>1.3</v>
      </c>
      <c r="E38" s="143" t="s">
        <v>534</v>
      </c>
      <c r="F38" s="20"/>
    </row>
    <row r="39" spans="1:6" x14ac:dyDescent="0.2">
      <c r="A39" s="17" t="s">
        <v>535</v>
      </c>
      <c r="B39" s="18" t="s">
        <v>536</v>
      </c>
      <c r="C39" s="19" t="s">
        <v>537</v>
      </c>
      <c r="D39" s="61">
        <f>CHOOSE(por_grade+1,por0_um,por1_um,por2_um,por3_um,por4_um,por5_um)/1000000</f>
        <v>0.000205</v>
      </c>
      <c r="E39" s="77" t="s">
        <v>538</v>
      </c>
      <c r="F39" s="20"/>
    </row>
    <row r="40" spans="1:6" ht="24" customHeight="1" x14ac:dyDescent="0.2">
      <c r="A40" s="17" t="s">
        <v>539</v>
      </c>
      <c r="B40" s="18" t="s">
        <v>540</v>
      </c>
      <c r="C40" s="19" t="s">
        <v>537</v>
      </c>
      <c r="D40" s="61">
        <f>spg_ID/1000</f>
        <v>0.0015875</v>
      </c>
      <c r="E40" s="77" t="s">
        <v>541</v>
      </c>
      <c r="F40" s="20"/>
    </row>
    <row r="41" spans="1:6" x14ac:dyDescent="0.2">
      <c r="A41" s="17" t="s">
        <v>542</v>
      </c>
      <c r="B41" s="18" t="s">
        <v>543</v>
      </c>
      <c r="C41" s="19" t="s">
        <v>537</v>
      </c>
      <c r="D41" s="61">
        <f>IF(sparger=spg_name_1,tube_d_m,IF(sparger=spg_name_2,por_pore,NA()))</f>
        <v>0.000205</v>
      </c>
      <c r="E41" s="77" t="s">
        <v>544</v>
      </c>
      <c r="F41" s="20"/>
    </row>
    <row r="42" spans="1:6" ht="24" customHeight="1" x14ac:dyDescent="0.2">
      <c r="A42" s="90" t="s">
        <v>545</v>
      </c>
      <c r="B42" s="18" t="s">
        <v>546</v>
      </c>
      <c r="C42" s="19" t="s">
        <v>537</v>
      </c>
      <c r="D42" s="41">
        <f>(6*d_orifice*sigma/(rho_L*g_const))^(1/3)</f>
        <v>0.002084229705</v>
      </c>
      <c r="E42" s="60" t="s">
        <v>547</v>
      </c>
      <c r="F42" s="20"/>
    </row>
    <row r="43" spans="1:6" x14ac:dyDescent="0.2">
      <c r="A43" s="90" t="s">
        <v>548</v>
      </c>
      <c r="B43" s="18" t="s">
        <v>549</v>
      </c>
      <c r="C43" s="19" t="s">
        <v>115</v>
      </c>
      <c r="D43" s="39">
        <f>d_bubble*1000</f>
        <v>2.084229705455</v>
      </c>
      <c r="E43" s="60"/>
      <c r="F43" s="20"/>
    </row>
    <row r="44" spans="1:6" x14ac:dyDescent="0.2">
      <c r="A44" s="17" t="s">
        <v>550</v>
      </c>
      <c r="B44" s="18" t="s">
        <v>551</v>
      </c>
      <c r="C44" s="19" t="s">
        <v>111</v>
      </c>
      <c r="D44" s="130">
        <v>2.14</v>
      </c>
      <c r="E44" s="60" t="s">
        <v>552</v>
      </c>
      <c r="F44" s="20"/>
    </row>
    <row r="45" spans="1:6" x14ac:dyDescent="0.2">
      <c r="A45" s="17" t="s">
        <v>553</v>
      </c>
      <c r="B45" s="18" t="s">
        <v>554</v>
      </c>
      <c r="C45" s="19" t="s">
        <v>111</v>
      </c>
      <c r="D45" s="131">
        <v>0.505</v>
      </c>
      <c r="E45" s="60" t="s">
        <v>555</v>
      </c>
      <c r="F45" s="20"/>
    </row>
    <row r="46" spans="1:6" ht="36" customHeight="1" x14ac:dyDescent="0.2">
      <c r="A46" s="17" t="s">
        <v>556</v>
      </c>
      <c r="B46" s="18" t="s">
        <v>557</v>
      </c>
      <c r="C46" s="19" t="s">
        <v>85</v>
      </c>
      <c r="D46" s="40">
        <f>SQRT(mend_a*sigma/(rho_L*d_bubble)+mend_b*g_const*d_bubble)</f>
        <v>0.290584424047</v>
      </c>
      <c r="E46" s="60" t="s">
        <v>558</v>
      </c>
      <c r="F46" s="20"/>
    </row>
    <row r="47" spans="1:6" x14ac:dyDescent="0.2">
      <c r="A47" s="17" t="s">
        <v>559</v>
      </c>
      <c r="B47" s="18" t="s">
        <v>560</v>
      </c>
      <c r="C47" s="19" t="s">
        <v>85</v>
      </c>
      <c r="D47" s="41">
        <f>(Q_CO2/1000000/60)/(A_x/1000000)</f>
        <v>0.006634378011</v>
      </c>
      <c r="E47" s="77" t="s">
        <v>561</v>
      </c>
      <c r="F47" s="20"/>
    </row>
    <row r="48" spans="1:6" x14ac:dyDescent="0.2">
      <c r="A48" s="17" t="s">
        <v>562</v>
      </c>
      <c r="B48" s="18" t="s">
        <v>563</v>
      </c>
      <c r="C48" s="19" t="s">
        <v>111</v>
      </c>
      <c r="D48" s="41">
        <f>u_sg/u_rise</f>
        <v>0.022831154947</v>
      </c>
      <c r="E48" s="60" t="s">
        <v>564</v>
      </c>
      <c r="F48" s="20"/>
    </row>
    <row r="49" spans="1:6" x14ac:dyDescent="0.2">
      <c r="A49" s="17" t="s">
        <v>565</v>
      </c>
      <c r="B49" s="18" t="s">
        <v>566</v>
      </c>
      <c r="C49" s="19" t="s">
        <v>567</v>
      </c>
      <c r="D49" s="37">
        <f>6*holdup/d_bubble</f>
        <v>65.725447306644</v>
      </c>
      <c r="E49" s="60" t="s">
        <v>568</v>
      </c>
      <c r="F49" s="20"/>
    </row>
    <row r="50" spans="1:6" x14ac:dyDescent="0.2">
      <c r="A50" s="17" t="s">
        <v>569</v>
      </c>
      <c r="B50" s="18" t="s">
        <v>570</v>
      </c>
      <c r="C50" s="19" t="s">
        <v>12</v>
      </c>
      <c r="D50" s="40">
        <f>d_bubble/u_rise</f>
        <v>0.007172544476</v>
      </c>
      <c r="E50" s="60" t="s">
        <v>571</v>
      </c>
      <c r="F50" s="20"/>
    </row>
    <row r="51" spans="1:6" x14ac:dyDescent="0.2">
      <c r="A51" s="17" t="s">
        <v>572</v>
      </c>
      <c r="B51" s="18" t="s">
        <v>573</v>
      </c>
      <c r="C51" s="19" t="s">
        <v>85</v>
      </c>
      <c r="D51" s="41">
        <f>2*SQRT(D_O2/(PI()*t_contact))</f>
        <v>0.0005954983468591</v>
      </c>
      <c r="E51" s="60" t="s">
        <v>574</v>
      </c>
      <c r="F51" s="20"/>
    </row>
    <row r="52" spans="1:6" x14ac:dyDescent="0.2">
      <c r="A52" s="90" t="s">
        <v>575</v>
      </c>
      <c r="B52" s="18" t="s">
        <v>576</v>
      </c>
      <c r="C52" s="19" t="s">
        <v>577</v>
      </c>
      <c r="D52" s="41">
        <f>kL*a_int</f>
        <v>0.039139395218</v>
      </c>
      <c r="E52" s="60" t="s">
        <v>578</v>
      </c>
      <c r="F52" s="20"/>
    </row>
    <row r="53" spans="1:6" x14ac:dyDescent="0.2">
      <c r="A53" s="17" t="s">
        <v>579</v>
      </c>
      <c r="B53" s="18" t="s">
        <v>580</v>
      </c>
      <c r="C53" s="19" t="s">
        <v>577</v>
      </c>
      <c r="D53" s="52">
        <f>kLa_sparge*duty</f>
        <v>4.937424874156e-05</v>
      </c>
      <c r="E53" s="93" t="s">
        <v>581</v>
      </c>
      <c r="F53" s="20"/>
    </row>
    <row r="54" spans="1:6" ht="24" customHeight="1" x14ac:dyDescent="0.2">
      <c r="A54" s="17" t="s">
        <v>582</v>
      </c>
      <c r="B54" s="18" t="s">
        <v>583</v>
      </c>
      <c r="C54" s="19" t="s">
        <v>307</v>
      </c>
      <c r="D54" s="41">
        <f>IF(d_bubble&lt;d_bubble_min_m,0,kLa_sparge*(V_charge/1000000)*O2_ceil_C*3600)</f>
        <v>0.0007441549713205</v>
      </c>
      <c r="E54" s="60" t="s">
        <v>584</v>
      </c>
      <c r="F54" s="20"/>
    </row>
    <row r="55" spans="1:6" ht="24" customHeight="1" x14ac:dyDescent="0.2">
      <c r="A55" s="90" t="s">
        <v>585</v>
      </c>
      <c r="B55" s="18" t="s">
        <v>586</v>
      </c>
      <c r="C55" s="19" t="s">
        <v>307</v>
      </c>
      <c r="D55" s="41">
        <f>strip_sparge*duty</f>
        <v>9.387496268632e-07</v>
      </c>
      <c r="E55" s="60" t="s">
        <v>587</v>
      </c>
      <c r="F55" s="20"/>
    </row>
    <row r="56" spans="1:6" x14ac:dyDescent="0.2">
      <c r="A56" s="90" t="s">
        <v>588</v>
      </c>
      <c r="B56" s="18" t="s">
        <v>589</v>
      </c>
      <c r="C56" s="19" t="s">
        <v>87</v>
      </c>
      <c r="D56" s="39">
        <f>IF(O2_excess&gt;0,strip_avg/O2_excess,NA())</f>
        <v>0.058819304589</v>
      </c>
      <c r="E56" s="60" t="s">
        <v>590</v>
      </c>
      <c r="F56" s="20"/>
    </row>
    <row r="57" spans="1:6" ht="36" customHeight="1" x14ac:dyDescent="0.2">
      <c r="A57" s="17" t="s">
        <v>591</v>
      </c>
      <c r="B57" s="18" t="s">
        <v>592</v>
      </c>
      <c r="C57" s="19" t="s">
        <v>577</v>
      </c>
      <c r="D57" s="41">
        <f>IF(O2_excess&gt;0,O2_excess/3600/((V_charge/1000000)*O2_ceil_C),NA())</f>
        <v>0.0008394225175943</v>
      </c>
      <c r="E57" s="60" t="s">
        <v>593</v>
      </c>
      <c r="F57" s="20"/>
    </row>
    <row r="58" spans="1:6" ht="24" customHeight="1" x14ac:dyDescent="0.2">
      <c r="A58" s="17" t="s">
        <v>594</v>
      </c>
      <c r="B58" s="18" t="s">
        <v>595</v>
      </c>
      <c r="C58" s="19" t="s">
        <v>85</v>
      </c>
      <c r="D58" s="111">
        <v>0.05</v>
      </c>
      <c r="E58" s="60" t="s">
        <v>596</v>
      </c>
      <c r="F58" s="20"/>
    </row>
    <row r="59" spans="1:6" ht="36" x14ac:dyDescent="0.2">
      <c r="A59" s="90" t="s">
        <v>597</v>
      </c>
      <c r="B59" s="18" t="s">
        <v>598</v>
      </c>
      <c r="C59" s="19" t="s">
        <v>111</v>
      </c>
      <c r="D59" s="47"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60" t="s">
        <v>2231</v>
      </c>
      <c r="F59" s="20"/>
    </row>
    <row r="60" spans="1:6" x14ac:dyDescent="0.2">
      <c r="A60" s="17" t="s">
        <v>599</v>
      </c>
      <c r="B60" s="18" t="s">
        <v>600</v>
      </c>
      <c r="C60" s="19" t="s">
        <v>508</v>
      </c>
      <c r="D60" s="41">
        <f>P_atm*(M_CO2/1000)/(R_gas*T_K)</f>
        <v>1.798846262493</v>
      </c>
      <c r="E60" s="77" t="s">
        <v>601</v>
      </c>
      <c r="F60" s="20"/>
    </row>
    <row r="61" spans="1:6" x14ac:dyDescent="0.2">
      <c r="A61" s="17" t="s">
        <v>602</v>
      </c>
      <c r="B61" s="18" t="s">
        <v>603</v>
      </c>
      <c r="C61" s="19" t="s">
        <v>111</v>
      </c>
      <c r="D61" s="111">
        <v>1</v>
      </c>
      <c r="E61" s="57" t="s">
        <v>604</v>
      </c>
      <c r="F61" s="20"/>
    </row>
    <row r="62" spans="1:6" x14ac:dyDescent="0.2">
      <c r="A62" s="17" t="s">
        <v>605</v>
      </c>
      <c r="B62" s="18" t="s">
        <v>606</v>
      </c>
      <c r="C62" s="19" t="s">
        <v>85</v>
      </c>
      <c r="D62" s="41">
        <f>(Q_CO2/1000000/60)/(n_pores_active*(PI()/4*d_orifice^2))</f>
        <v>100.889653396028</v>
      </c>
      <c r="E62" s="92" t="s">
        <v>581</v>
      </c>
      <c r="F62" s="20"/>
    </row>
    <row r="63" spans="1:6" x14ac:dyDescent="0.2">
      <c r="A63" s="17" t="s">
        <v>607</v>
      </c>
      <c r="B63" s="18" t="s">
        <v>608</v>
      </c>
      <c r="C63" s="19" t="s">
        <v>111</v>
      </c>
      <c r="D63" s="41">
        <f>rho_CO2*v_orifice^2*d_orifice/sigma</f>
        <v>52.157869038306</v>
      </c>
      <c r="E63" s="92" t="s">
        <v>581</v>
      </c>
      <c r="F63" s="20"/>
    </row>
    <row r="64" spans="1:6" ht="24" customHeight="1" x14ac:dyDescent="0.2">
      <c r="A64" s="17" t="s">
        <v>609</v>
      </c>
      <c r="B64" s="18" t="s">
        <v>610</v>
      </c>
      <c r="C64" s="19" t="s">
        <v>111</v>
      </c>
      <c r="D64" s="41" t="str">
        <f>IF(d_bubble&lt;d_bubble_min_m,"Sinter OOR – add fine-bubble model",IF(We_orifice&lt;We_static_max,"Static","Dynamic"))</f>
        <v>Dynamic</v>
      </c>
      <c r="E64" s="77" t="s">
        <v>611</v>
      </c>
      <c r="F64" s="20"/>
    </row>
    <row r="65" spans="1:6" ht="24" customHeight="1" x14ac:dyDescent="0.2">
      <c r="A65" s="17" t="s">
        <v>612</v>
      </c>
      <c r="B65" s="18" t="s">
        <v>613</v>
      </c>
      <c r="C65" s="19" t="s">
        <v>61</v>
      </c>
      <c r="D65" s="41">
        <f>O2_ceil_C*(V_charge/1000000)/O2_excess*60</f>
        <v>19.854919682678</v>
      </c>
      <c r="E65" s="77" t="s">
        <v>2232</v>
      </c>
      <c r="F65" s="20"/>
    </row>
    <row r="66" spans="1:6" ht="24" customHeight="1" x14ac:dyDescent="0.2">
      <c r="A66" s="17" t="s">
        <v>614</v>
      </c>
      <c r="B66" s="18" t="s">
        <v>615</v>
      </c>
      <c r="C66" s="19" t="s">
        <v>61</v>
      </c>
      <c r="D66" s="41">
        <f>IF(O2_excess-strip_avg&gt;0,O2_ceil_C*(V_charge/1000000)/(O2_excess-strip_avg)*60,"never (strip ≥ source)")</f>
        <v>21.095757466652</v>
      </c>
      <c r="E66" s="77" t="s">
        <v>2233</v>
      </c>
      <c r="F66" s="20"/>
    </row>
    <row r="67" spans="1:6" x14ac:dyDescent="0.2">
      <c r="A67" s="17" t="s">
        <v>2234</v>
      </c>
      <c r="B67" s="18" t="s">
        <v>616</v>
      </c>
      <c r="C67" s="19" t="s">
        <v>617</v>
      </c>
      <c r="D67" s="132">
        <f>Summary!$D$7</f>
        <v>1000.0</v>
      </c>
      <c r="E67" s="55" t="s">
        <v>2235</v>
      </c>
      <c r="F67" s="20"/>
    </row>
    <row r="68" spans="1:6" ht="24" customHeight="1" x14ac:dyDescent="0.2">
      <c r="A68" s="17" t="s">
        <v>84</v>
      </c>
      <c r="B68" s="18" t="s">
        <v>618</v>
      </c>
      <c r="C68" s="19" t="s">
        <v>85</v>
      </c>
      <c r="D68" s="41">
        <f>PI()*(stir_len/1000)*stir_rpm/60</f>
        <v>0.628318530718</v>
      </c>
      <c r="E68" s="77" t="s">
        <v>619</v>
      </c>
      <c r="F68" s="20"/>
    </row>
    <row r="69" spans="1:6" x14ac:dyDescent="0.2">
      <c r="A69" s="17" t="s">
        <v>620</v>
      </c>
      <c r="B69" s="18" t="s">
        <v>621</v>
      </c>
      <c r="C69" s="19" t="s">
        <v>577</v>
      </c>
      <c r="D69" s="41">
        <f>tip_speed/(vial_ID/1000)</f>
        <v>24.854372259413</v>
      </c>
      <c r="E69" s="56" t="s">
        <v>622</v>
      </c>
      <c r="F69" s="20"/>
    </row>
    <row r="70" spans="1:6" ht="24" x14ac:dyDescent="0.2">
      <c r="A70" s="17" t="s">
        <v>623</v>
      </c>
      <c r="B70" s="18" t="s">
        <v>624</v>
      </c>
      <c r="C70" s="19" t="s">
        <v>85</v>
      </c>
      <c r="D70" s="41">
        <f>2*SQRT(D_O2*s_renew/PI())</f>
        <v>0.0002514308621282</v>
      </c>
      <c r="E70" s="56" t="s">
        <v>960</v>
      </c>
      <c r="F70" s="20"/>
    </row>
    <row r="71" spans="1:6" x14ac:dyDescent="0.2">
      <c r="A71" s="17" t="s">
        <v>625</v>
      </c>
      <c r="B71" s="18" t="s">
        <v>626</v>
      </c>
      <c r="C71" s="19" t="s">
        <v>567</v>
      </c>
      <c r="D71" s="41">
        <f>interface_A/V_charge</f>
        <v>28.636515009371</v>
      </c>
      <c r="E71" s="77" t="s">
        <v>627</v>
      </c>
      <c r="F71" s="20"/>
    </row>
    <row r="72" spans="1:6" x14ac:dyDescent="0.2">
      <c r="A72" s="17" t="s">
        <v>628</v>
      </c>
      <c r="B72" s="18" t="s">
        <v>629</v>
      </c>
      <c r="C72" s="19" t="s">
        <v>577</v>
      </c>
      <c r="D72" s="41">
        <f>kL_surf*a_surf</f>
        <v>0.007200103657</v>
      </c>
      <c r="E72" s="56" t="s">
        <v>630</v>
      </c>
      <c r="F72" s="20"/>
    </row>
    <row r="73" spans="1:6" ht="36" customHeight="1" x14ac:dyDescent="0.2">
      <c r="A73" s="17" t="s">
        <v>631</v>
      </c>
      <c r="B73" s="18" t="s">
        <v>632</v>
      </c>
      <c r="C73" s="19" t="s">
        <v>307</v>
      </c>
      <c r="D73" s="41">
        <f>kLa_surf_used*(V_charge/1000000)*O2_ceil_C*3600</f>
        <v>0.0001368951385348</v>
      </c>
      <c r="E73" s="56" t="s">
        <v>910</v>
      </c>
      <c r="F73" s="20"/>
    </row>
    <row r="74" spans="1:6" ht="24" customHeight="1" x14ac:dyDescent="0.2">
      <c r="A74" s="17" t="s">
        <v>633</v>
      </c>
      <c r="B74" s="18" t="s">
        <v>634</v>
      </c>
      <c r="C74" s="19" t="s">
        <v>87</v>
      </c>
      <c r="D74" s="41">
        <f>IF(O2_excess&gt;0,surf_strip/O2_excess,NA())</f>
        <v>8.577448789183</v>
      </c>
      <c r="E74" s="56" t="s">
        <v>635</v>
      </c>
      <c r="F74" s="20"/>
    </row>
    <row r="75" spans="1:6" ht="24" customHeight="1" x14ac:dyDescent="0.2">
      <c r="A75" s="17"/>
      <c r="B75" s="18"/>
      <c r="C75" s="19"/>
      <c r="D75" s="41"/>
      <c r="E75" s="77"/>
      <c r="F75" s="20"/>
    </row>
    <row r="76" spans="1:6" x14ac:dyDescent="0.2">
      <c r="A76" s="17"/>
      <c r="B76" s="18"/>
      <c r="C76" s="19"/>
      <c r="D76" s="41"/>
      <c r="E76" s="56"/>
      <c r="F76" s="20"/>
    </row>
    <row r="77" spans="1:6" x14ac:dyDescent="0.2">
      <c r="A77" s="17" t="s">
        <v>636</v>
      </c>
      <c r="B77" s="18" t="s">
        <v>637</v>
      </c>
      <c r="C77" s="19" t="s">
        <v>61</v>
      </c>
      <c r="D77" s="41">
        <f>headspace_V*spg_int/V_pulse</f>
        <v>8.905771730686</v>
      </c>
      <c r="E77" s="77" t="s">
        <v>2236</v>
      </c>
      <c r="F77" s="20"/>
    </row>
    <row r="78" spans="1:6" ht="26" customHeight="1" x14ac:dyDescent="0.2">
      <c r="A78" s="17" t="s">
        <v>638</v>
      </c>
      <c r="B78" s="18" t="s">
        <v>639</v>
      </c>
      <c r="C78" s="19" t="s">
        <v>87</v>
      </c>
      <c r="D78" s="41">
        <f>IF(O2_excess&gt;0,(strip_avg+surf_strip)/O2_excess,NA())</f>
        <v>8.636268093772</v>
      </c>
      <c r="E78" s="94" t="s">
        <v>640</v>
      </c>
      <c r="F78" s="20"/>
    </row>
    <row r="79" spans="1:6" x14ac:dyDescent="0.2">
      <c r="A79" s="17" t="s">
        <v>641</v>
      </c>
      <c r="B79" s="18" t="s">
        <v>642</v>
      </c>
      <c r="C79" s="19" t="s">
        <v>61</v>
      </c>
      <c r="D79" s="41">
        <f>O2_ceil_C*(V_charge/1000000)/O2_net_gen*60</f>
        <v>6.347765600963</v>
      </c>
      <c r="E79" s="77" t="s">
        <v>643</v>
      </c>
      <c r="F79" s="20"/>
    </row>
    <row r="80" spans="1:6" ht="36" customHeight="1" x14ac:dyDescent="0.2">
      <c r="A80" s="17" t="s">
        <v>644</v>
      </c>
      <c r="B80" s="18" t="s">
        <v>645</v>
      </c>
      <c r="C80" s="19" t="s">
        <v>61</v>
      </c>
      <c r="D80" s="41" t="str">
        <f>IF(O2_net_gen-strip_avg-surf_strip&gt;0,O2_ceil_C*(V_charge/1000000)/(O2_net_gen-strip_avg-surf_strip)*60,"never (removal ≥ source)")</f>
        <v>never (removal ≥ source)</v>
      </c>
      <c r="E80" s="56" t="s">
        <v>2237</v>
      </c>
      <c r="F80" s="20"/>
    </row>
    <row r="81" spans="1:6" ht="24" customHeight="1" x14ac:dyDescent="0.2">
      <c r="A81" s="17" t="s">
        <v>646</v>
      </c>
      <c r="B81" s="18" t="s">
        <v>647</v>
      </c>
      <c r="C81" s="19" t="s">
        <v>111</v>
      </c>
      <c r="D81" s="111" t="s">
        <v>648</v>
      </c>
      <c r="E81" s="55" t="s">
        <v>1030</v>
      </c>
      <c r="F81" s="20"/>
    </row>
    <row r="82" spans="1:6" ht="24" x14ac:dyDescent="0.2">
      <c r="A82" s="17" t="s">
        <v>649</v>
      </c>
      <c r="B82" s="18" t="s">
        <v>650</v>
      </c>
      <c r="C82" s="19" t="s">
        <v>12</v>
      </c>
      <c r="D82" s="111">
        <v>1</v>
      </c>
      <c r="E82" s="55" t="s">
        <v>1031</v>
      </c>
      <c r="F82" s="20"/>
    </row>
    <row r="83" spans="1:6" ht="24" x14ac:dyDescent="0.2">
      <c r="A83" s="17" t="s">
        <v>651</v>
      </c>
      <c r="B83" s="18" t="s">
        <v>652</v>
      </c>
      <c r="C83" s="19" t="s">
        <v>61</v>
      </c>
      <c r="D83" s="111">
        <v>1</v>
      </c>
      <c r="E83" s="55" t="s">
        <v>1032</v>
      </c>
      <c r="F83" s="20"/>
    </row>
    <row r="84" spans="1:6" ht="24" x14ac:dyDescent="0.2">
      <c r="A84" s="17" t="s">
        <v>653</v>
      </c>
      <c r="B84" s="18" t="s">
        <v>654</v>
      </c>
      <c r="C84" s="19" t="s">
        <v>111</v>
      </c>
      <c r="D84" s="133">
        <f>Biology!$D$60</f>
        <v>0.226086956522</v>
      </c>
      <c r="E84" s="55" t="s">
        <v>2238</v>
      </c>
      <c r="F84" s="20"/>
    </row>
    <row r="85" spans="1:6" x14ac:dyDescent="0.2">
      <c r="A85" s="17" t="s">
        <v>655</v>
      </c>
      <c r="B85" s="18" t="s">
        <v>656</v>
      </c>
      <c r="C85" s="19" t="s">
        <v>111</v>
      </c>
      <c r="D85" s="111">
        <v>2</v>
      </c>
      <c r="E85" s="55" t="s">
        <v>657</v>
      </c>
      <c r="F85" s="20"/>
    </row>
    <row r="86" spans="1:6" x14ac:dyDescent="0.2">
      <c r="A86" s="17" t="s">
        <v>658</v>
      </c>
      <c r="B86" s="18" t="s">
        <v>659</v>
      </c>
      <c r="C86" s="19" t="s">
        <v>111</v>
      </c>
      <c r="D86" s="41">
        <f>carbon_margin_min*CO2_cons/(nCO2_rate*3600)</f>
        <v>6.930722594878e-05</v>
      </c>
      <c r="E86" s="77" t="s">
        <v>660</v>
      </c>
      <c r="F86" s="20"/>
    </row>
    <row r="87" spans="1:6" ht="24" customHeight="1" x14ac:dyDescent="0.2">
      <c r="A87" s="17" t="s">
        <v>661</v>
      </c>
      <c r="B87" s="18" t="s">
        <v>662</v>
      </c>
      <c r="C87" s="19" t="s">
        <v>111</v>
      </c>
      <c r="D87" s="41">
        <f>O2_src_guard/(target_DO_frac*(O2_ceil_Pa/P_atm))/(nCO2_rate*3600)</f>
        <v>0.001502055689</v>
      </c>
      <c r="E87" s="77" t="s">
        <v>965</v>
      </c>
      <c r="F87" s="20"/>
    </row>
    <row r="88" spans="1:6" ht="24" customHeight="1" x14ac:dyDescent="0.2">
      <c r="A88" s="17" t="s">
        <v>663</v>
      </c>
      <c r="B88" s="18" t="s">
        <v>664</v>
      </c>
      <c r="C88" s="19" t="s">
        <v>111</v>
      </c>
      <c r="D88" s="41">
        <f>MAX(duty_carbon,duty_O2vent)</f>
        <v>0.001502055689</v>
      </c>
      <c r="E88" s="56" t="s">
        <v>2239</v>
      </c>
      <c r="F88" s="20"/>
    </row>
    <row r="89" spans="1:6" ht="60" x14ac:dyDescent="0.2">
      <c r="A89" s="17" t="s">
        <v>2240</v>
      </c>
      <c r="B89" s="18" t="s">
        <v>665</v>
      </c>
      <c r="C89" s="19" t="s">
        <v>61</v>
      </c>
      <c r="D89" s="41">
        <f>target_DO_frac*O2_ceil_C*(V_charge/1000000)/O2_src_guard*60</f>
        <v>1.435147005435</v>
      </c>
      <c r="E89" s="77" t="s">
        <v>2241</v>
      </c>
      <c r="F89" s="20"/>
    </row>
    <row r="90" spans="1:6" ht="24" x14ac:dyDescent="0.2">
      <c r="A90" s="17" t="s">
        <v>666</v>
      </c>
      <c r="B90" s="18" t="s">
        <v>667</v>
      </c>
      <c r="C90" s="19" t="s">
        <v>12</v>
      </c>
      <c r="D90" s="41">
        <f>MAX(pulse_floor,(flush_factor*headspace_V-pulse_V0)/Q_CO2_fit)</f>
        <v>0.674076519917</v>
      </c>
      <c r="E90" s="134" t="s">
        <v>2242</v>
      </c>
      <c r="F90" s="20"/>
    </row>
    <row r="91" spans="1:6" ht="24" customHeight="1" x14ac:dyDescent="0.2">
      <c r="A91" s="17" t="s">
        <v>668</v>
      </c>
      <c r="B91" s="18" t="s">
        <v>669</v>
      </c>
      <c r="C91" s="19" t="s">
        <v>61</v>
      </c>
      <c r="D91" s="41">
        <f>IF(ISNA(F_vent_ex+O2_src_sched),NA(),IF(ISNUMBER(spg_int_DO),MIN(spg_int_carbon,spg_int_DO),MIN(spg_int_carbon,spg_int_max)))</f>
        <v>8.905771730686</v>
      </c>
      <c r="E91" s="134" t="s">
        <v>2243</v>
      </c>
      <c r="F91" s="20"/>
    </row>
    <row r="92" spans="1:6" x14ac:dyDescent="0.2">
      <c r="A92" s="17" t="s">
        <v>670</v>
      </c>
      <c r="B92" s="18" t="s">
        <v>671</v>
      </c>
      <c r="C92" s="19" t="s">
        <v>12</v>
      </c>
      <c r="D92" s="41">
        <f>spg_int_opt*60</f>
        <v>534.34630384116</v>
      </c>
      <c r="E92" s="134" t="s">
        <v>672</v>
      </c>
      <c r="F92" s="20"/>
    </row>
    <row r="93" spans="1:6" ht="24" x14ac:dyDescent="0.2">
      <c r="A93" s="17" t="s">
        <v>2244</v>
      </c>
      <c r="B93" s="18" t="s">
        <v>673</v>
      </c>
      <c r="C93" s="19" t="s">
        <v>111</v>
      </c>
      <c r="D93" s="41">
        <f>spg_dur_eq_opt/(spg_int_opt*60)</f>
        <v>0.001468173438</v>
      </c>
      <c r="E93" s="77" t="s">
        <v>2245</v>
      </c>
      <c r="F93" s="20"/>
    </row>
    <row r="94" spans="1:6" ht="36" x14ac:dyDescent="0.2">
      <c r="A94" s="17" t="s">
        <v>674</v>
      </c>
      <c r="B94" s="18" t="s">
        <v>675</v>
      </c>
      <c r="C94" s="19"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7" t="s">
        <v>1638</v>
      </c>
      <c r="F94" s="20"/>
    </row>
    <row r="95" spans="1:6" ht="24" x14ac:dyDescent="0.2">
      <c r="A95" s="17" t="s">
        <v>676</v>
      </c>
      <c r="B95" s="18" t="s">
        <v>677</v>
      </c>
      <c r="C95" s="19" t="s">
        <v>111</v>
      </c>
      <c r="D95" s="41" t="str">
        <f>IF(spg_int*60-spg_dur&gt;=od_gap_min_s,"OK","TIGHT")</f>
        <v>OK</v>
      </c>
      <c r="E95" s="77" t="s">
        <v>1033</v>
      </c>
      <c r="F95" s="20"/>
    </row>
    <row r="96" spans="1:6" ht="36" customHeight="1" x14ac:dyDescent="0.2">
      <c r="A96" s="17" t="s">
        <v>678</v>
      </c>
      <c r="B96" s="18" t="s">
        <v>679</v>
      </c>
      <c r="C96" s="19" t="s">
        <v>111</v>
      </c>
      <c r="D96" s="41" t="str">
        <f>"see note →"</f>
        <v>see note →</v>
      </c>
      <c r="E96" s="56" t="s">
        <v>680</v>
      </c>
      <c r="F96" s="20"/>
    </row>
    <row r="97" spans="1:6" ht="24" customHeight="1" x14ac:dyDescent="0.2">
      <c r="A97" s="17" t="s">
        <v>681</v>
      </c>
      <c r="B97" s="18" t="s">
        <v>682</v>
      </c>
      <c r="C97" s="19" t="s">
        <v>449</v>
      </c>
      <c r="D97" s="41">
        <f>IF(ISNUMBER(cal_kLa),cal_kLa,0)</f>
        <v>0.0</v>
      </c>
      <c r="E97" s="56" t="s">
        <v>683</v>
      </c>
      <c r="F97" s="20"/>
    </row>
    <row r="98" spans="1:6" ht="24" customHeight="1" x14ac:dyDescent="0.2">
      <c r="A98" s="17" t="s">
        <v>684</v>
      </c>
      <c r="B98" s="18" t="s">
        <v>685</v>
      </c>
      <c r="C98" s="19" t="s">
        <v>577</v>
      </c>
      <c r="D98" s="41">
        <f>IF(AND(ISNUMBER(kLa_meas),kLa_meas&gt;0),kLa_meas/3600,kLa_surf)</f>
        <v>0.007200103657</v>
      </c>
      <c r="E98" s="77" t="s">
        <v>1707</v>
      </c>
      <c r="F98" s="20"/>
    </row>
    <row r="99" spans="1:6" x14ac:dyDescent="0.2">
      <c r="A99" s="20" t="s">
        <v>686</v>
      </c>
      <c r="B99" s="20" t="s">
        <v>687</v>
      </c>
      <c r="C99" s="20" t="s">
        <v>12</v>
      </c>
      <c r="D99" s="24">
        <f>min_sparge_cal</f>
        <v>0.25</v>
      </c>
      <c r="E99" s="107" t="s">
        <v>2246</v>
      </c>
      <c r="F99" s="20"/>
    </row>
    <row r="100" spans="1:6" x14ac:dyDescent="0.2">
      <c r="A100" s="20" t="s">
        <v>689</v>
      </c>
      <c r="B100" s="20" t="s">
        <v>690</v>
      </c>
      <c r="C100" s="20" t="s">
        <v>307</v>
      </c>
      <c r="D100" s="24">
        <f>CO2_pulse*pulses_h</f>
        <v>0.0007194021152992</v>
      </c>
      <c r="E100" s="107" t="s">
        <v>688</v>
      </c>
      <c r="F100" s="20"/>
    </row>
    <row r="101" spans="1:6" x14ac:dyDescent="0.2">
      <c r="A101" s="20" t="s">
        <v>691</v>
      </c>
      <c r="B101" s="20" t="s">
        <v>266</v>
      </c>
      <c r="C101" s="20" t="s">
        <v>267</v>
      </c>
      <c r="D101" s="135">
        <v>8.3144626180000003</v>
      </c>
      <c r="E101" s="20" t="s">
        <v>688</v>
      </c>
      <c r="F101" s="20"/>
    </row>
    <row r="102" spans="1:6" x14ac:dyDescent="0.2">
      <c r="A102" s="20" t="s">
        <v>692</v>
      </c>
      <c r="B102" s="20" t="s">
        <v>693</v>
      </c>
      <c r="C102" s="20" t="s">
        <v>314</v>
      </c>
      <c r="D102" s="24">
        <f>IF(has_cal&gt;0,flowrate_cal*60,NA())</f>
        <v>199.8</v>
      </c>
      <c r="E102" s="107" t="s">
        <v>688</v>
      </c>
      <c r="F102" s="20"/>
    </row>
    <row r="103" spans="1:6" x14ac:dyDescent="0.2">
      <c r="A103" s="20" t="s">
        <v>694</v>
      </c>
      <c r="B103" s="20" t="s">
        <v>695</v>
      </c>
      <c r="C103" s="20" t="s">
        <v>696</v>
      </c>
      <c r="D103" s="135">
        <v>44.009500000000003</v>
      </c>
      <c r="E103" s="20" t="s">
        <v>688</v>
      </c>
      <c r="F103" s="20"/>
    </row>
    <row r="104" spans="1:6" x14ac:dyDescent="0.2">
      <c r="A104" s="20" t="s">
        <v>697</v>
      </c>
      <c r="B104" s="20" t="s">
        <v>698</v>
      </c>
      <c r="C104" s="20" t="s">
        <v>699</v>
      </c>
      <c r="D104" s="24">
        <f>P_atm*(Q_CO2/1000000/60)/(R_gas*T_K)</f>
        <v>0.000136110568266</v>
      </c>
      <c r="E104" s="107" t="s">
        <v>688</v>
      </c>
      <c r="F104" s="20"/>
    </row>
    <row r="105" spans="1:6" x14ac:dyDescent="0.2">
      <c r="A105" s="20" t="s">
        <v>700</v>
      </c>
      <c r="B105" s="20" t="s">
        <v>701</v>
      </c>
      <c r="C105" s="20" t="s">
        <v>111</v>
      </c>
      <c r="D105" s="24">
        <f>spg_dur/(spg_int*60)</f>
        <v>0.001261497488</v>
      </c>
      <c r="E105" s="107" t="s">
        <v>688</v>
      </c>
      <c r="F105" s="20"/>
    </row>
    <row r="106" spans="1:6" x14ac:dyDescent="0.2">
      <c r="A106" s="20" t="s">
        <v>702</v>
      </c>
      <c r="B106" s="20" t="s">
        <v>703</v>
      </c>
      <c r="C106" s="20" t="s">
        <v>111</v>
      </c>
      <c r="D106" s="135">
        <v>1</v>
      </c>
      <c r="E106" s="20" t="s">
        <v>688</v>
      </c>
      <c r="F106" s="20"/>
    </row>
    <row r="107" spans="1:6" x14ac:dyDescent="0.2">
      <c r="A107" s="81" t="s">
        <v>704</v>
      </c>
      <c r="B107" s="20"/>
      <c r="C107" s="20"/>
      <c r="D107" s="20"/>
      <c r="E107" s="20"/>
      <c r="F107" s="20"/>
    </row>
    <row r="108" spans="1:6" x14ac:dyDescent="0.2">
      <c r="A108" s="20" t="s">
        <v>2247</v>
      </c>
      <c r="B108" s="20" t="s">
        <v>705</v>
      </c>
      <c r="C108" s="20" t="s">
        <v>83</v>
      </c>
      <c r="D108" s="24">
        <f>DO_avg_sched*M_O2</f>
        <v>2.54368832103</v>
      </c>
      <c r="E108" s="107" t="s">
        <v>2248</v>
      </c>
      <c r="F108" s="20"/>
    </row>
    <row r="109" spans="1:6" x14ac:dyDescent="0.2">
      <c r="A109" s="20"/>
      <c r="B109" s="20"/>
      <c r="C109" s="20"/>
      <c r="D109" s="24"/>
      <c r="E109" s="20"/>
      <c r="F109" s="20"/>
    </row>
    <row r="110" spans="1:6" x14ac:dyDescent="0.2">
      <c r="A110" s="20" t="s">
        <v>706</v>
      </c>
      <c r="B110" s="20" t="s">
        <v>707</v>
      </c>
      <c r="C110" s="20"/>
      <c r="D110" s="24"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708</v>
      </c>
      <c r="C111" s="20"/>
      <c r="D111" s="24" t="str">
        <f>IF(tip_speed&gt;tip_speed_max,"TIP SPEED &gt; "&amp;TEXT(tip_speed_max,"0.0")&amp;" m/s","OK")</f>
        <v>OK</v>
      </c>
      <c r="E111" s="62" t="s">
        <v>709</v>
      </c>
      <c r="F111" s="20"/>
    </row>
    <row r="112" spans="1:6" x14ac:dyDescent="0.2">
      <c r="A112" s="20" t="s">
        <v>710</v>
      </c>
      <c r="B112" s="20" t="s">
        <v>711</v>
      </c>
      <c r="C112" s="20" t="s">
        <v>61</v>
      </c>
      <c r="D112" s="24">
        <f>spg_dur_eq_opt/(60*duty_carbon)</f>
        <v>188.655905904325</v>
      </c>
      <c r="E112" s="20"/>
      <c r="F112" s="20"/>
    </row>
    <row r="113" spans="1:6" x14ac:dyDescent="0.2">
      <c r="A113" s="20" t="s">
        <v>712</v>
      </c>
      <c r="B113" s="20" t="s">
        <v>713</v>
      </c>
      <c r="C113" s="20"/>
      <c r="D113" s="24"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≈15 mg/L, above the 11.3 mg/L inhibition ceiling (peaks higher)</v>
      </c>
      <c r="E113" s="62" t="s">
        <v>2249</v>
      </c>
      <c r="F113" s="20"/>
    </row>
    <row r="114" spans="1:6" x14ac:dyDescent="0.2">
      <c r="A114" s="81" t="s">
        <v>2250</v>
      </c>
      <c r="B114" s="20"/>
      <c r="C114" s="20"/>
      <c r="D114" s="20"/>
      <c r="E114" s="20"/>
      <c r="F114" s="20"/>
    </row>
    <row r="115" spans="1:6" x14ac:dyDescent="0.2">
      <c r="A115" s="20" t="s">
        <v>714</v>
      </c>
      <c r="B115" s="20" t="s">
        <v>1</v>
      </c>
      <c r="C115" s="20"/>
      <c r="D115" s="109" t="str">
        <f>Summary!$D$2</f>
        <v>ed04</v>
      </c>
      <c r="E115" s="20"/>
      <c r="F115" s="20"/>
    </row>
    <row r="116" spans="1:6" x14ac:dyDescent="0.2">
      <c r="A116" s="20" t="s">
        <v>715</v>
      </c>
      <c r="B116" s="20" t="s">
        <v>716</v>
      </c>
      <c r="C116" s="20"/>
      <c r="D116" s="136">
        <f>SUMPRODUCT(MAX(('CO2 flows'!$A$4:$A$201=Reactor)*('CO2 flows'!$J$4:$J$201&gt;0)*'CO2 flows'!$B$4:$B$201))</f>
        <v>46190.0</v>
      </c>
      <c r="E116" s="20"/>
      <c r="F116" s="20"/>
    </row>
    <row r="117" spans="1:6" x14ac:dyDescent="0.2">
      <c r="A117" s="20" t="s">
        <v>717</v>
      </c>
      <c r="B117" s="20" t="s">
        <v>718</v>
      </c>
      <c r="C117" s="20" t="s">
        <v>1286</v>
      </c>
      <c r="D117" s="136">
        <f>IF(ISNUMBER(cal_flow),cal_flow,SUMPRODUCT(('CO2 flows'!$A$4:$A$201=Reactor)*('CO2 flows'!$B$4:$B$201=latest_date)*'CO2 flows'!$J$4:$J$201)/MAX(1,SUMPRODUCT(('CO2 flows'!$A$4:$A$201=Reactor)*('CO2 flows'!$B$4:$B$201=latest_date)*('CO2 flows'!$J$4:$J$201&gt;0)*1)))</f>
        <v>3.33</v>
      </c>
      <c r="E117" s="107" t="s">
        <v>2251</v>
      </c>
      <c r="F117" s="20"/>
    </row>
    <row r="118" spans="1:6" x14ac:dyDescent="0.2">
      <c r="A118" s="20" t="s">
        <v>719</v>
      </c>
      <c r="B118" s="20" t="s">
        <v>720</v>
      </c>
      <c r="C118" s="20" t="s">
        <v>12</v>
      </c>
      <c r="D118" s="136">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7" t="s">
        <v>2252</v>
      </c>
      <c r="F118" s="20"/>
    </row>
    <row r="119" spans="1:6" x14ac:dyDescent="0.2">
      <c r="A119" s="20" t="s">
        <v>721</v>
      </c>
      <c r="B119" s="20" t="s">
        <v>722</v>
      </c>
      <c r="C119" s="20" t="s">
        <v>723</v>
      </c>
      <c r="D119" s="136">
        <f>SUMPRODUCT(('CO2 flows'!$A$4:$A$201=Reactor)*('CO2 flows'!$J$4:$J$201&gt;0)*1)+IF(ISNUMBER(cal_flow),1,0)</f>
        <v>1.0</v>
      </c>
      <c r="E119" s="107" t="s">
        <v>2253</v>
      </c>
      <c r="F119" s="20"/>
    </row>
    <row r="120" spans="1:6" x14ac:dyDescent="0.2">
      <c r="A120" s="20" t="s">
        <v>724</v>
      </c>
      <c r="B120" s="20" t="s">
        <v>725</v>
      </c>
      <c r="C120" s="20"/>
      <c r="D120" s="24"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0"/>
      <c r="F120" s="20"/>
    </row>
    <row r="121" spans="1:6" x14ac:dyDescent="0.2">
      <c r="A121" s="20" t="s">
        <v>726</v>
      </c>
      <c r="B121" s="20" t="s">
        <v>727</v>
      </c>
      <c r="C121" s="20" t="s">
        <v>12</v>
      </c>
      <c r="D121" s="24">
        <f>IF(AND(ISNUMBER(override_spg_dur_s),override_spg_dur_s&gt;0),override_spg_dur_s,IF(sched_mode="Manual",spg_dur_man,IF(sched_mode="Optimal",spg_dur_opt,NA())))</f>
        <v>0.674076519917</v>
      </c>
      <c r="E121" s="20"/>
      <c r="F121" s="20"/>
    </row>
    <row r="122" spans="1:6" x14ac:dyDescent="0.2">
      <c r="A122" s="20" t="s">
        <v>728</v>
      </c>
      <c r="B122" s="20" t="s">
        <v>729</v>
      </c>
      <c r="C122" s="20" t="s">
        <v>61</v>
      </c>
      <c r="D122" s="24">
        <f>IF(AND(ISNUMBER(override_spg_int_min),override_spg_int_min&gt;0),override_spg_int_min,IF(sched_mode="Manual",spg_int_man,IF(sched_mode="Optimal",spg_int_opt,NA())))</f>
        <v>8.905771730686</v>
      </c>
      <c r="E122" s="20"/>
      <c r="F122" s="20"/>
    </row>
    <row r="123" spans="1:6" x14ac:dyDescent="0.2">
      <c r="A123" s="20" t="s">
        <v>730</v>
      </c>
      <c r="B123" s="20" t="s">
        <v>731</v>
      </c>
      <c r="C123" s="20" t="s">
        <v>732</v>
      </c>
      <c r="D123" s="24">
        <f>P_atm*(V_pulse/1000000)/(R_gas*T_K)</f>
        <v>0.0001067805170238</v>
      </c>
      <c r="E123" s="20" t="s">
        <v>2254</v>
      </c>
      <c r="F123" s="20"/>
    </row>
    <row r="124" spans="1:6" x14ac:dyDescent="0.2">
      <c r="A124" s="20" t="s">
        <v>733</v>
      </c>
      <c r="B124" s="20" t="s">
        <v>734</v>
      </c>
      <c r="C124" s="20" t="s">
        <v>735</v>
      </c>
      <c r="D124" s="24">
        <f>60/spg_int</f>
        <v>6.737203895903</v>
      </c>
      <c r="E124" s="20"/>
      <c r="F124" s="20"/>
    </row>
    <row r="125" spans="1:6" x14ac:dyDescent="0.2">
      <c r="A125" s="20" t="s">
        <v>736</v>
      </c>
      <c r="B125" s="20" t="s">
        <v>737</v>
      </c>
      <c r="C125" s="20" t="s">
        <v>738</v>
      </c>
      <c r="D125" s="24">
        <f>pulses_h*24</f>
        <v>161.69289350167</v>
      </c>
      <c r="E125" s="20"/>
      <c r="F125" s="20"/>
    </row>
    <row r="126" spans="1:6" x14ac:dyDescent="0.2">
      <c r="A126" s="20" t="s">
        <v>739</v>
      </c>
      <c r="B126" s="20" t="s">
        <v>740</v>
      </c>
      <c r="C126" s="20" t="s">
        <v>87</v>
      </c>
      <c r="D126" s="24">
        <f>IF(CO2_cons&gt;0,CO2_supply/CO2_cons,NA())</f>
        <v>42.367110141457</v>
      </c>
      <c r="E126" s="20"/>
      <c r="F126" s="20"/>
    </row>
    <row r="127" spans="1:6" x14ac:dyDescent="0.2">
      <c r="A127" s="20" t="s">
        <v>741</v>
      </c>
      <c r="B127" s="20" t="s">
        <v>742</v>
      </c>
      <c r="C127" s="20" t="s">
        <v>732</v>
      </c>
      <c r="D127" s="24">
        <f>O2_excess/60*spg_int</f>
        <v>2.368918942365e-06</v>
      </c>
      <c r="E127" s="20"/>
      <c r="F127" s="20"/>
    </row>
    <row r="128" spans="1:6" x14ac:dyDescent="0.2">
      <c r="A128" s="20" t="s">
        <v>743</v>
      </c>
      <c r="B128" s="20" t="s">
        <v>744</v>
      </c>
      <c r="C128" s="20" t="s">
        <v>732</v>
      </c>
      <c r="D128" s="24">
        <f>strip_sparge/3600*spg_dur</f>
        <v>1.393381648185e-07</v>
      </c>
      <c r="E128" s="20"/>
      <c r="F128" s="20"/>
    </row>
    <row r="129" spans="1:6" x14ac:dyDescent="0.2">
      <c r="A129" s="20" t="s">
        <v>745</v>
      </c>
      <c r="B129" s="20" t="s">
        <v>746</v>
      </c>
      <c r="C129" s="20" t="s">
        <v>87</v>
      </c>
      <c r="D129" s="24">
        <f>IF(O2_accum&gt;0,O2_strip_pulse/O2_accum,NA())</f>
        <v>0.058819304589</v>
      </c>
      <c r="E129" s="20"/>
      <c r="F129" s="20"/>
    </row>
    <row r="130" spans="1:6" x14ac:dyDescent="0.2">
      <c r="A130" s="20" t="s">
        <v>747</v>
      </c>
      <c r="B130" s="20" t="s">
        <v>748</v>
      </c>
      <c r="C130" s="20"/>
      <c r="D130" s="24" t="str">
        <f>IF(spg_dur&gt;=pulse_floor,"OK","LOW")</f>
        <v>OK</v>
      </c>
      <c r="E130" s="20"/>
      <c r="F130" s="20"/>
    </row>
    <row r="131" spans="1:6" x14ac:dyDescent="0.2">
      <c r="A131" s="20" t="s">
        <v>2255</v>
      </c>
      <c r="B131" s="20" t="s">
        <v>749</v>
      </c>
      <c r="C131" s="20" t="s">
        <v>85</v>
      </c>
      <c r="D131" s="24">
        <f>kLa_surf_req/a_surf</f>
        <v>0.0001296537083883</v>
      </c>
      <c r="E131" s="122" t="s">
        <v>1637</v>
      </c>
      <c r="F131" s="20"/>
    </row>
    <row r="132" spans="1:6" ht="24" x14ac:dyDescent="0.2">
      <c r="A132" s="17" t="s">
        <v>899</v>
      </c>
      <c r="B132" s="18" t="s">
        <v>900</v>
      </c>
      <c r="C132" s="19" t="s">
        <v>901</v>
      </c>
      <c r="D132" s="24">
        <f>O2_net_gen</f>
        <v>4.992029519937e-05</v>
      </c>
      <c r="E132" s="56" t="s">
        <v>902</v>
      </c>
      <c r="F132" s="20"/>
    </row>
    <row r="133" spans="1:6" ht="36" x14ac:dyDescent="0.2">
      <c r="A133" s="17" t="s">
        <v>1749</v>
      </c>
      <c r="B133" s="18" t="s">
        <v>903</v>
      </c>
      <c r="C133" s="19" t="s">
        <v>904</v>
      </c>
      <c r="D133" s="24">
        <f>DO_avg_sched</f>
        <v>0.079495228484</v>
      </c>
      <c r="E133" s="56" t="s">
        <v>2256</v>
      </c>
      <c r="F133" s="20"/>
    </row>
    <row r="134" spans="1:6" ht="24" x14ac:dyDescent="0.2">
      <c r="A134" s="20" t="s">
        <v>905</v>
      </c>
      <c r="B134" s="20" t="s">
        <v>906</v>
      </c>
      <c r="C134" s="20" t="s">
        <v>907</v>
      </c>
      <c r="D134" s="24"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8.9 min; confirm by measuring kL_surf</v>
      </c>
      <c r="E134" s="56" t="s">
        <v>2257</v>
      </c>
      <c r="F134" s="20"/>
    </row>
    <row r="135" spans="1:6" ht="48" x14ac:dyDescent="0.2">
      <c r="A135" s="20" t="s">
        <v>2258</v>
      </c>
      <c r="B135" s="20" t="s">
        <v>908</v>
      </c>
      <c r="C135" s="20" t="s">
        <v>909</v>
      </c>
      <c r="D135" s="24">
        <f>DO_avg_l</f>
        <v>0.194051347306</v>
      </c>
      <c r="E135" s="56" t="s">
        <v>2259</v>
      </c>
      <c r="F135" s="20"/>
    </row>
    <row r="137" spans="1:6" x14ac:dyDescent="0.2">
      <c r="A137" s="20" t="s">
        <v>1035</v>
      </c>
      <c r="B137" s="20"/>
      <c r="C137" s="20"/>
      <c r="D137" s="20"/>
      <c r="E137" s="20" t="s">
        <v>1036</v>
      </c>
      <c r="F137" s="20"/>
    </row>
    <row r="138" spans="1:6" x14ac:dyDescent="0.2">
      <c r="A138" s="17" t="s">
        <v>1037</v>
      </c>
      <c r="B138" s="18" t="s">
        <v>1038</v>
      </c>
      <c r="C138" s="19" t="s">
        <v>515</v>
      </c>
      <c r="D138" s="116">
        <f>D_CO2_ref*EXP(-Ea_D_CO2/R_gas*(1/T_K-1/T_ref))</f>
        <v>1.92e-09</v>
      </c>
      <c r="E138" s="54" t="s">
        <v>1610</v>
      </c>
      <c r="F138" s="20"/>
    </row>
    <row r="139" spans="1:6" x14ac:dyDescent="0.2">
      <c r="A139" s="17" t="s">
        <v>1054</v>
      </c>
      <c r="B139" s="18" t="s">
        <v>1039</v>
      </c>
      <c r="C139" s="19" t="s">
        <v>57</v>
      </c>
      <c r="D139" s="111">
        <v>40</v>
      </c>
      <c r="E139" s="54" t="s">
        <v>1055</v>
      </c>
      <c r="F139" s="20"/>
    </row>
    <row r="140" spans="1:6" x14ac:dyDescent="0.2">
      <c r="A140" s="17" t="s">
        <v>1056</v>
      </c>
      <c r="B140" s="18" t="s">
        <v>1057</v>
      </c>
      <c r="C140" s="19" t="s">
        <v>1058</v>
      </c>
      <c r="D140" s="41">
        <f>headspace_V/1000000</f>
        <v>2.612428455917e-06</v>
      </c>
      <c r="E140" s="54" t="s">
        <v>1059</v>
      </c>
      <c r="F140" s="20"/>
    </row>
    <row r="141" spans="1:6" x14ac:dyDescent="0.2">
      <c r="A141" s="17" t="s">
        <v>1060</v>
      </c>
      <c r="B141" s="18" t="s">
        <v>1061</v>
      </c>
      <c r="C141" s="19" t="s">
        <v>1058</v>
      </c>
      <c r="D141" s="41">
        <f>V_charge/1000000</f>
        <v>1.5e-05</v>
      </c>
      <c r="E141" s="54" t="s">
        <v>1062</v>
      </c>
      <c r="F141" s="20"/>
    </row>
    <row r="142" spans="1:6" ht="60" x14ac:dyDescent="0.2">
      <c r="A142" s="17" t="s">
        <v>2260</v>
      </c>
      <c r="B142" s="18" t="s">
        <v>1063</v>
      </c>
      <c r="C142" s="19" t="s">
        <v>314</v>
      </c>
      <c r="D142" s="111">
        <v>0.5</v>
      </c>
      <c r="E142" s="56" t="s">
        <v>2261</v>
      </c>
      <c r="F142" s="20"/>
    </row>
    <row r="143" spans="1:6" ht="36" x14ac:dyDescent="0.2">
      <c r="A143" s="17" t="s">
        <v>2262</v>
      </c>
      <c r="B143" s="18" t="s">
        <v>1064</v>
      </c>
      <c r="C143" s="19" t="s">
        <v>577</v>
      </c>
      <c r="D143" s="41">
        <f>F_gap_sched/3600/n_hs_gas</f>
        <v>9.569640057845e-05</v>
      </c>
      <c r="E143" s="54" t="s">
        <v>2263</v>
      </c>
      <c r="F143" s="20"/>
    </row>
    <row r="144" spans="1:6" ht="24" x14ac:dyDescent="0.2">
      <c r="A144" s="17" t="s">
        <v>1065</v>
      </c>
      <c r="B144" s="18" t="s">
        <v>1066</v>
      </c>
      <c r="C144" s="19" t="s">
        <v>61</v>
      </c>
      <c r="D144" s="41">
        <f>IF(k_vent&gt;0,1/k_vent/60,"none between pulses")</f>
        <v>174.161897061142</v>
      </c>
      <c r="E144" s="54" t="s">
        <v>2264</v>
      </c>
      <c r="F144" s="20"/>
    </row>
    <row r="145" spans="1:6" x14ac:dyDescent="0.2">
      <c r="A145" s="17" t="s">
        <v>1040</v>
      </c>
      <c r="B145" s="18" t="s">
        <v>1041</v>
      </c>
      <c r="C145" s="19" t="s">
        <v>406</v>
      </c>
      <c r="D145" s="41">
        <f>hs_H_CO2*P_dry</f>
        <v>32.39387710822</v>
      </c>
      <c r="E145" s="54" t="s">
        <v>2265</v>
      </c>
      <c r="F145" s="20"/>
    </row>
    <row r="146" spans="1:6" x14ac:dyDescent="0.2">
      <c r="A146" s="17" t="s">
        <v>1042</v>
      </c>
      <c r="B146" s="18" t="s">
        <v>1043</v>
      </c>
      <c r="C146" s="19" t="s">
        <v>406</v>
      </c>
      <c r="D146" s="41">
        <f>hs_H_CO2*pCO2_air</f>
        <v>0.0132</v>
      </c>
      <c r="E146" s="54" t="s">
        <v>1067</v>
      </c>
      <c r="F146" s="20"/>
    </row>
    <row r="147" spans="1:6" x14ac:dyDescent="0.2">
      <c r="A147" s="17" t="s">
        <v>1068</v>
      </c>
      <c r="B147" s="18" t="s">
        <v>1044</v>
      </c>
      <c r="C147" s="19" t="s">
        <v>111</v>
      </c>
      <c r="D147" s="41">
        <f>SQRT(D_CO2/D_O2)</f>
        <v>0.9803665585</v>
      </c>
      <c r="E147" s="54" t="s">
        <v>1069</v>
      </c>
      <c r="F147" s="20"/>
    </row>
    <row r="148" spans="1:6" ht="24" x14ac:dyDescent="0.2">
      <c r="A148" s="17" t="s">
        <v>1070</v>
      </c>
      <c r="B148" s="18" t="s">
        <v>1045</v>
      </c>
      <c r="C148" s="19" t="s">
        <v>577</v>
      </c>
      <c r="D148" s="41">
        <f>kLa_surf_used*sqrtD_CO2</f>
        <v>0.007058740843</v>
      </c>
      <c r="E148" s="54" t="s">
        <v>2266</v>
      </c>
      <c r="F148" s="20"/>
    </row>
    <row r="149" spans="1:6" x14ac:dyDescent="0.2">
      <c r="A149" s="17" t="s">
        <v>1071</v>
      </c>
      <c r="B149" s="18" t="s">
        <v>1072</v>
      </c>
      <c r="C149" s="19" t="s">
        <v>61</v>
      </c>
      <c r="D149" s="41">
        <f>1/kLa_CO2_off/60</f>
        <v>2.361138769205</v>
      </c>
      <c r="E149" s="54" t="s">
        <v>1073</v>
      </c>
      <c r="F149" s="20"/>
    </row>
    <row r="150" spans="1:6" x14ac:dyDescent="0.2">
      <c r="A150" s="17" t="s">
        <v>1074</v>
      </c>
      <c r="B150" s="18" t="s">
        <v>1075</v>
      </c>
      <c r="C150" s="19" t="s">
        <v>732</v>
      </c>
      <c r="D150" s="41">
        <f>P_atm*headspace_V_m3/(R_gas*T_K)</f>
        <v>0.0001067805170238</v>
      </c>
      <c r="E150" s="54" t="s">
        <v>1076</v>
      </c>
      <c r="F150" s="20"/>
    </row>
    <row r="151" spans="1:6" x14ac:dyDescent="0.2">
      <c r="A151" s="17" t="s">
        <v>1046</v>
      </c>
      <c r="B151" s="18" t="s">
        <v>1047</v>
      </c>
      <c r="C151" s="19" t="s">
        <v>12</v>
      </c>
      <c r="D151" s="41">
        <f>spg_dur</f>
        <v>0.674076519917</v>
      </c>
      <c r="E151" s="54" t="s">
        <v>1077</v>
      </c>
      <c r="F151" s="20"/>
    </row>
    <row r="152" spans="1:6" x14ac:dyDescent="0.2">
      <c r="A152" s="17" t="s">
        <v>1048</v>
      </c>
      <c r="B152" s="18" t="s">
        <v>1049</v>
      </c>
      <c r="C152" s="19" t="s">
        <v>12</v>
      </c>
      <c r="D152" s="41">
        <f>MAX(0,spg_int*60-spg_dur)</f>
        <v>533.672227321243</v>
      </c>
      <c r="E152" s="54" t="s">
        <v>1078</v>
      </c>
      <c r="F152" s="20"/>
    </row>
    <row r="153" spans="1:6" x14ac:dyDescent="0.2">
      <c r="A153" s="17"/>
      <c r="B153" s="18"/>
      <c r="C153" s="19"/>
      <c r="D153" s="41"/>
      <c r="E153" s="54"/>
      <c r="F153" s="20"/>
    </row>
    <row r="154" spans="1:6" x14ac:dyDescent="0.2">
      <c r="A154" s="17"/>
      <c r="B154" s="18"/>
      <c r="C154" s="19"/>
      <c r="D154" s="41"/>
      <c r="E154" s="54"/>
      <c r="F154" s="20"/>
    </row>
    <row r="155" spans="1:6" x14ac:dyDescent="0.2">
      <c r="A155" s="17"/>
      <c r="B155" s="18"/>
      <c r="C155" s="19"/>
      <c r="D155" s="41"/>
      <c r="E155" s="54"/>
      <c r="F155" s="20"/>
    </row>
    <row r="156" spans="1:6" x14ac:dyDescent="0.2">
      <c r="A156" s="17"/>
      <c r="B156" s="18"/>
      <c r="C156" s="19"/>
      <c r="D156" s="41"/>
      <c r="E156" s="54"/>
      <c r="F156" s="20"/>
    </row>
    <row r="157" spans="1:6" x14ac:dyDescent="0.2">
      <c r="A157" s="17"/>
      <c r="B157" s="18"/>
      <c r="C157" s="19"/>
      <c r="D157" s="41"/>
      <c r="E157" s="54"/>
      <c r="F157" s="20"/>
    </row>
    <row r="158" spans="1:6" x14ac:dyDescent="0.2">
      <c r="A158" s="17"/>
      <c r="B158" s="18"/>
      <c r="C158" s="19"/>
      <c r="D158" s="41"/>
      <c r="E158" s="54"/>
      <c r="F158" s="20"/>
    </row>
    <row r="159" spans="1:6" x14ac:dyDescent="0.2">
      <c r="A159" s="17"/>
      <c r="B159" s="18"/>
      <c r="C159" s="19"/>
      <c r="D159" s="41"/>
      <c r="E159" s="54"/>
      <c r="F159" s="20"/>
    </row>
    <row r="160" spans="1:6" x14ac:dyDescent="0.2">
      <c r="A160" s="17"/>
      <c r="B160" s="18"/>
      <c r="C160" s="19"/>
      <c r="D160" s="41"/>
      <c r="E160" s="54"/>
      <c r="F160" s="20"/>
    </row>
    <row r="161" spans="1:6" x14ac:dyDescent="0.2">
      <c r="A161" s="17"/>
      <c r="B161" s="18"/>
      <c r="C161" s="19"/>
      <c r="D161" s="41"/>
      <c r="E161" s="54"/>
      <c r="F161" s="20"/>
    </row>
    <row r="162" spans="1:6" ht="24" x14ac:dyDescent="0.2">
      <c r="A162" s="17" t="s">
        <v>1050</v>
      </c>
      <c r="B162" s="18" t="s">
        <v>1051</v>
      </c>
      <c r="C162" s="19" t="s">
        <v>429</v>
      </c>
      <c r="D162" s="41">
        <f>MIN(C_sat_CO2,MAX(C_air_CO2,CO2_cyc_avg_new))/1000</f>
        <v>0.028982720788</v>
      </c>
      <c r="E162" s="54" t="s">
        <v>1661</v>
      </c>
      <c r="F162" s="20"/>
    </row>
    <row r="163" spans="1:6" ht="24" x14ac:dyDescent="0.2">
      <c r="A163" s="17" t="s">
        <v>1079</v>
      </c>
      <c r="B163" s="18" t="s">
        <v>1080</v>
      </c>
      <c r="C163" s="19"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4" t="s">
        <v>2267</v>
      </c>
      <c r="F163" s="20"/>
    </row>
    <row r="164" spans="1:6" x14ac:dyDescent="0.2">
      <c r="A164" s="17" t="s">
        <v>1052</v>
      </c>
      <c r="B164" s="18" t="s">
        <v>1053</v>
      </c>
      <c r="C164" s="19" t="s">
        <v>111</v>
      </c>
      <c r="D164" s="41" t="str">
        <f>IF(spg_int*60&gt;=spg_dur,"OK","INVALID: interval &lt; pulse")</f>
        <v>OK</v>
      </c>
      <c r="E164" s="54" t="s">
        <v>1081</v>
      </c>
      <c r="F164" s="20"/>
    </row>
    <row r="166" spans="1:6" x14ac:dyDescent="0.2">
      <c r="A166" s="5" t="s">
        <v>2268</v>
      </c>
    </row>
    <row r="167" spans="1:6" ht="24" x14ac:dyDescent="0.2">
      <c r="A167" t="s">
        <v>1583</v>
      </c>
      <c r="B167" s="18" t="s">
        <v>1584</v>
      </c>
      <c r="C167" s="19" t="s">
        <v>505</v>
      </c>
      <c r="D167" s="121">
        <v>7.5889999999999999E-2</v>
      </c>
      <c r="E167" s="77" t="s">
        <v>1585</v>
      </c>
    </row>
    <row r="168" spans="1:6" x14ac:dyDescent="0.2">
      <c r="A168" t="s">
        <v>1586</v>
      </c>
      <c r="B168" s="18" t="s">
        <v>1587</v>
      </c>
      <c r="C168" s="19" t="s">
        <v>1588</v>
      </c>
      <c r="D168" s="121">
        <v>-1.5699999999999999E-4</v>
      </c>
      <c r="E168" s="77" t="s">
        <v>1589</v>
      </c>
    </row>
    <row r="169" spans="1:6" x14ac:dyDescent="0.2">
      <c r="A169" t="s">
        <v>1590</v>
      </c>
      <c r="B169" s="18" t="s">
        <v>1591</v>
      </c>
      <c r="C169" s="19" t="s">
        <v>508</v>
      </c>
      <c r="D169" s="121">
        <v>1003.33</v>
      </c>
      <c r="E169" s="77" t="s">
        <v>1592</v>
      </c>
    </row>
    <row r="170" spans="1:6" x14ac:dyDescent="0.2">
      <c r="A170" t="s">
        <v>1593</v>
      </c>
      <c r="B170" s="18" t="s">
        <v>1594</v>
      </c>
      <c r="C170" s="19" t="s">
        <v>1595</v>
      </c>
      <c r="D170" s="121">
        <v>-0.25559999999999999</v>
      </c>
      <c r="E170" s="77" t="s">
        <v>1589</v>
      </c>
    </row>
    <row r="171" spans="1:6" x14ac:dyDescent="0.2">
      <c r="A171" t="s">
        <v>1596</v>
      </c>
      <c r="B171" s="18" t="s">
        <v>1597</v>
      </c>
      <c r="C171" s="19" t="s">
        <v>1140</v>
      </c>
      <c r="D171" s="121">
        <v>-4.41</v>
      </c>
      <c r="E171" s="77" t="s">
        <v>2269</v>
      </c>
    </row>
    <row r="172" spans="1:6" x14ac:dyDescent="0.2">
      <c r="A172" t="s">
        <v>1598</v>
      </c>
      <c r="B172" s="18" t="s">
        <v>1599</v>
      </c>
      <c r="C172" s="19" t="s">
        <v>759</v>
      </c>
      <c r="D172" s="121">
        <v>773.8</v>
      </c>
      <c r="E172" s="77" t="s">
        <v>1589</v>
      </c>
    </row>
    <row r="173" spans="1:6" x14ac:dyDescent="0.2">
      <c r="A173" t="s">
        <v>1600</v>
      </c>
      <c r="B173" s="18" t="s">
        <v>1601</v>
      </c>
      <c r="C173" s="19" t="s">
        <v>759</v>
      </c>
      <c r="D173" s="121">
        <v>506.4</v>
      </c>
      <c r="E173" s="77" t="s">
        <v>1589</v>
      </c>
    </row>
    <row r="174" spans="1:6" x14ac:dyDescent="0.2">
      <c r="A174" t="s">
        <v>1602</v>
      </c>
      <c r="B174" s="18" t="s">
        <v>1603</v>
      </c>
      <c r="C174" s="19" t="s">
        <v>515</v>
      </c>
      <c r="D174" s="121">
        <v>1.92E-9</v>
      </c>
      <c r="E174" s="54" t="s">
        <v>1604</v>
      </c>
    </row>
    <row r="175" spans="1:6" ht="24" x14ac:dyDescent="0.2">
      <c r="A175" t="s">
        <v>1605</v>
      </c>
      <c r="B175" s="18" t="s">
        <v>1606</v>
      </c>
      <c r="C175" s="19" t="s">
        <v>1607</v>
      </c>
      <c r="D175" s="121">
        <v>19000</v>
      </c>
      <c r="E175" s="54" t="s">
        <v>1608</v>
      </c>
    </row>
    <row r="177" spans="1:5" x14ac:dyDescent="0.2">
      <c r="A177" s="5" t="s">
        <v>2270</v>
      </c>
    </row>
    <row r="178" spans="1:5" ht="24" x14ac:dyDescent="0.2">
      <c r="A178" t="s">
        <v>1611</v>
      </c>
      <c r="B178" s="18" t="s">
        <v>1612</v>
      </c>
      <c r="C178" s="19" t="s">
        <v>901</v>
      </c>
      <c r="D178" s="116">
        <f>nCO2_rate*3600</f>
        <v>0.489998045758</v>
      </c>
      <c r="E178" s="77" t="s">
        <v>1613</v>
      </c>
    </row>
    <row r="179" spans="1:5" ht="36" x14ac:dyDescent="0.2">
      <c r="A179" t="s">
        <v>1614</v>
      </c>
      <c r="B179" s="18" t="s">
        <v>1615</v>
      </c>
      <c r="C179" s="19" t="s">
        <v>909</v>
      </c>
      <c r="D179" s="116">
        <f>IF(ISNUMBER(DO_opt),DO_opt/M_O2,target_DO_frac*O2_ceil_C)</f>
        <v>0.079603291295</v>
      </c>
      <c r="E179" s="77" t="s">
        <v>2271</v>
      </c>
    </row>
    <row r="180" spans="1:5" ht="48" x14ac:dyDescent="0.2">
      <c r="A180" t="s">
        <v>1616</v>
      </c>
      <c r="B180" s="18" t="s">
        <v>1617</v>
      </c>
      <c r="C180" s="19" t="s">
        <v>909</v>
      </c>
      <c r="D180" s="116">
        <f>O2_src_sched/(kLa_surf_used*3600*(V_charge/1000000))</f>
        <v>0.04104850864</v>
      </c>
      <c r="E180" s="54" t="s">
        <v>2272</v>
      </c>
    </row>
    <row r="181" spans="1:5" ht="24" x14ac:dyDescent="0.2">
      <c r="A181" t="s">
        <v>1618</v>
      </c>
      <c r="B181" s="18" t="s">
        <v>1619</v>
      </c>
      <c r="C181" s="19" t="s">
        <v>909</v>
      </c>
      <c r="D181" s="116">
        <f>O2_src_l/(kLa_surf_used*3600*(V_charge/1000000))</f>
        <v>0.119863581934</v>
      </c>
      <c r="E181" s="54" t="s">
        <v>2273</v>
      </c>
    </row>
    <row r="182" spans="1:5" ht="36" x14ac:dyDescent="0.2">
      <c r="A182" t="s">
        <v>1620</v>
      </c>
      <c r="B182" s="18" t="s">
        <v>1621</v>
      </c>
      <c r="C182" s="19" t="s">
        <v>909</v>
      </c>
      <c r="D182" s="116">
        <f>DO_target-DO_surf_excess</f>
        <v>0.038554782656</v>
      </c>
      <c r="E182" s="54" t="s">
        <v>1622</v>
      </c>
    </row>
    <row r="183" spans="1:5" ht="24" x14ac:dyDescent="0.2">
      <c r="A183" t="s">
        <v>1623</v>
      </c>
      <c r="B183" s="18" t="s">
        <v>1624</v>
      </c>
      <c r="C183" s="19" t="s">
        <v>1140</v>
      </c>
      <c r="D183" s="116">
        <f>IF(hs_O2_allow&gt;0,hs_O2_allow/(H_O2_T*P_dry),NA())</f>
        <v>0.0339087374</v>
      </c>
      <c r="E183" s="54" t="s">
        <v>1625</v>
      </c>
    </row>
    <row r="184" spans="1:5" ht="60" x14ac:dyDescent="0.2">
      <c r="A184" t="s">
        <v>1626</v>
      </c>
      <c r="B184" s="18" t="s">
        <v>1627</v>
      </c>
      <c r="C184" s="19" t="s">
        <v>1140</v>
      </c>
      <c r="D184" s="116">
        <f>IF(ISNUMBER(y_O2_star),MAX(0,((O2_src_sched+y_O2_air*F_vent_ex)*saw_factor/y_O2_star-F_vent_ex-O2_src_sched-H2_src_sched+CO2_fix_sched)/CO2_rate_full),NA())</f>
        <v>0.001468173438</v>
      </c>
      <c r="E184" s="54" t="s">
        <v>2274</v>
      </c>
    </row>
    <row r="185" spans="1:5" ht="24" x14ac:dyDescent="0.2">
      <c r="A185" t="s">
        <v>1628</v>
      </c>
      <c r="B185" s="18" t="s">
        <v>1629</v>
      </c>
      <c r="C185" s="19" t="s">
        <v>873</v>
      </c>
      <c r="D185" s="116">
        <f>IF(ISNUMBER(duty_DO),IF(duty_DO&gt;0,spg_dur_eq_opt/(60*duty_DO),spg_int_carbon),NA())</f>
        <v>8.905771730686</v>
      </c>
      <c r="E185" s="54" t="s">
        <v>1630</v>
      </c>
    </row>
    <row r="186" spans="1:5" ht="48" x14ac:dyDescent="0.2">
      <c r="A186" t="s">
        <v>1631</v>
      </c>
      <c r="B186" s="18" t="s">
        <v>1632</v>
      </c>
      <c r="C186" s="19" t="s">
        <v>577</v>
      </c>
      <c r="D186" s="116">
        <f>O2_src_sched/(DO_target*3600*(V_charge/1000000))</f>
        <v>0.003712830366</v>
      </c>
      <c r="E186" s="54" t="s">
        <v>2275</v>
      </c>
    </row>
    <row r="187" spans="1:5" ht="36" x14ac:dyDescent="0.2">
      <c r="A187" t="s">
        <v>1633</v>
      </c>
      <c r="B187" s="18" t="s">
        <v>1634</v>
      </c>
      <c r="C187" s="19" t="s">
        <v>1140</v>
      </c>
      <c r="D187" s="116">
        <f>IF(O2_sizing_phase=phase_name_1,y_O2_mf_g,IF(O2_sizing_phase=phase_name_2,y_O2_mf_l,NA()))</f>
        <v>0.031339618667</v>
      </c>
      <c r="E187" s="54" t="s">
        <v>2276</v>
      </c>
    </row>
    <row r="188" spans="1:5" ht="36" x14ac:dyDescent="0.2">
      <c r="A188" t="s">
        <v>1635</v>
      </c>
      <c r="B188" s="18" t="s">
        <v>1636</v>
      </c>
      <c r="C188" s="19" t="s">
        <v>909</v>
      </c>
      <c r="D188" s="116">
        <f>IF(ISNUMBER(y_O2_actual),H_O2_T*y_O2_actual*P_dry,NA())</f>
        <v>0.035633653119</v>
      </c>
      <c r="E188" s="54" t="s">
        <v>2277</v>
      </c>
    </row>
    <row r="190" spans="1:5" x14ac:dyDescent="0.2">
      <c r="A190" s="5" t="s">
        <v>2278</v>
      </c>
    </row>
    <row r="191" spans="1:5" x14ac:dyDescent="0.2">
      <c r="A191" t="s">
        <v>1639</v>
      </c>
      <c r="B191" s="18" t="s">
        <v>1640</v>
      </c>
      <c r="C191" s="19" t="s">
        <v>387</v>
      </c>
      <c r="D191" s="116">
        <f>Biology!$D$31</f>
        <v>0.00033</v>
      </c>
      <c r="E191" s="54" t="s">
        <v>1641</v>
      </c>
    </row>
    <row r="192" spans="1:5" ht="24" x14ac:dyDescent="0.2">
      <c r="A192" t="s">
        <v>1642</v>
      </c>
      <c r="B192" s="18" t="s">
        <v>1643</v>
      </c>
      <c r="C192" s="19" t="s">
        <v>1058</v>
      </c>
      <c r="D192" s="116">
        <f>headspace_V_m3/(hs_H_CO2*R_gas*T_K)</f>
        <v>3.193459899477e-06</v>
      </c>
      <c r="E192" s="77" t="s">
        <v>1644</v>
      </c>
    </row>
    <row r="193" spans="1:5" ht="24" x14ac:dyDescent="0.2">
      <c r="A193" t="s">
        <v>1645</v>
      </c>
      <c r="B193" s="18" t="s">
        <v>1646</v>
      </c>
      <c r="C193" s="19" t="s">
        <v>1140</v>
      </c>
      <c r="D193" s="116">
        <f>V_L_CO2/(V_L_CO2+Vg_CO2)</f>
        <v>0.844315888516</v>
      </c>
      <c r="E193" s="77" t="s">
        <v>2279</v>
      </c>
    </row>
    <row r="194" spans="1:5" ht="48" x14ac:dyDescent="0.2">
      <c r="A194" t="s">
        <v>2280</v>
      </c>
      <c r="B194" s="18" t="s">
        <v>1647</v>
      </c>
      <c r="C194" s="19" t="s">
        <v>909</v>
      </c>
      <c r="D194" s="116">
        <f>C_sat_CO2*(1-pool_a)*(1-flush_ret)</f>
        <v>3.187917972005</v>
      </c>
      <c r="E194" s="77" t="s">
        <v>2281</v>
      </c>
    </row>
    <row r="195" spans="1:5" ht="36" x14ac:dyDescent="0.2">
      <c r="A195" t="s">
        <v>1648</v>
      </c>
      <c r="B195" s="18" t="s">
        <v>1649</v>
      </c>
      <c r="C195" s="19" t="s">
        <v>577</v>
      </c>
      <c r="D195" s="116">
        <f>k_vent*Vg_CO2/(V_L_CO2+Vg_CO2)</f>
        <v>1.489840909629e-05</v>
      </c>
      <c r="E195" s="77" t="s">
        <v>2282</v>
      </c>
    </row>
    <row r="196" spans="1:5" ht="36" x14ac:dyDescent="0.2">
      <c r="A196" t="s">
        <v>1650</v>
      </c>
      <c r="B196" s="18" t="s">
        <v>1651</v>
      </c>
      <c r="C196" s="19" t="s">
        <v>87</v>
      </c>
      <c r="D196" s="116">
        <f>IF(k_vent&gt;0,(kLa_CO2_off*V_L_m3/Vg_CO2)/k_vent,"no turnover between pulses")</f>
        <v>346.46664161513</v>
      </c>
      <c r="E196" s="54" t="s">
        <v>2283</v>
      </c>
    </row>
    <row r="197" spans="1:5" x14ac:dyDescent="0.2">
      <c r="A197" t="s">
        <v>1652</v>
      </c>
      <c r="B197" s="18" t="s">
        <v>1653</v>
      </c>
      <c r="C197" s="19" t="s">
        <v>1140</v>
      </c>
      <c r="D197" s="116">
        <f>EXP(-k_eff_CO2*t_off_CO2)</f>
        <v>0.992080657374</v>
      </c>
      <c r="E197" s="77" t="s">
        <v>1654</v>
      </c>
    </row>
    <row r="198" spans="1:5" ht="36" x14ac:dyDescent="0.2">
      <c r="A198" t="s">
        <v>1655</v>
      </c>
      <c r="B198" s="18" t="s">
        <v>1656</v>
      </c>
      <c r="C198" s="19" t="s">
        <v>909</v>
      </c>
      <c r="D198" s="116">
        <f>(pool_D_gap+pool_b*pool_e)/(1-pool_ret*pool_e)</f>
        <v>28.806432469341</v>
      </c>
      <c r="E198" s="77" t="s">
        <v>2284</v>
      </c>
    </row>
    <row r="199" spans="1:5" ht="24" x14ac:dyDescent="0.2">
      <c r="A199" t="s">
        <v>1657</v>
      </c>
      <c r="B199" s="18" t="s">
        <v>1658</v>
      </c>
      <c r="C199" s="19" t="s">
        <v>909</v>
      </c>
      <c r="D199" s="116">
        <f>pool_ret*C_cycle_start+pool_b</f>
        <v>29.159476941283</v>
      </c>
      <c r="E199" s="77" t="s">
        <v>2285</v>
      </c>
    </row>
    <row r="200" spans="1:5" ht="36" x14ac:dyDescent="0.2">
      <c r="A200" t="s">
        <v>1659</v>
      </c>
      <c r="B200" s="18" t="s">
        <v>1660</v>
      </c>
      <c r="C200" s="19" t="s">
        <v>909</v>
      </c>
      <c r="D200" s="116">
        <f>C_cycle_peak*pool_phi+pool_D_raw*pool_psi</f>
        <v>28.982720788083</v>
      </c>
      <c r="E200" s="77" t="s">
        <v>2286</v>
      </c>
    </row>
    <row r="202" spans="1:5" x14ac:dyDescent="0.2">
      <c r="A202" s="5" t="s">
        <v>1696</v>
      </c>
    </row>
    <row r="203" spans="1:5" ht="24" x14ac:dyDescent="0.2">
      <c r="A203" t="s">
        <v>1697</v>
      </c>
      <c r="B203" s="18" t="s">
        <v>1698</v>
      </c>
      <c r="C203" s="19" t="s">
        <v>57</v>
      </c>
      <c r="D203" s="121">
        <v>610.94000000000005</v>
      </c>
      <c r="E203" s="77" t="s">
        <v>1699</v>
      </c>
    </row>
    <row r="204" spans="1:5" x14ac:dyDescent="0.2">
      <c r="A204" t="s">
        <v>1700</v>
      </c>
      <c r="B204" s="18" t="s">
        <v>1701</v>
      </c>
      <c r="C204" s="19" t="s">
        <v>1140</v>
      </c>
      <c r="D204" s="121">
        <v>17.625</v>
      </c>
      <c r="E204" s="77" t="s">
        <v>1589</v>
      </c>
    </row>
    <row r="205" spans="1:5" x14ac:dyDescent="0.2">
      <c r="A205" t="s">
        <v>1702</v>
      </c>
      <c r="B205" s="18" t="s">
        <v>1703</v>
      </c>
      <c r="C205" s="19" t="s">
        <v>48</v>
      </c>
      <c r="D205" s="121">
        <v>243.04</v>
      </c>
      <c r="E205" s="77" t="s">
        <v>1589</v>
      </c>
    </row>
    <row r="206" spans="1:5" ht="24" x14ac:dyDescent="0.2">
      <c r="A206" t="s">
        <v>1704</v>
      </c>
      <c r="B206" s="18" t="s">
        <v>1705</v>
      </c>
      <c r="C206" s="19" t="s">
        <v>57</v>
      </c>
      <c r="D206" s="116">
        <f>pw_A*EXP(pw_B*(T_K-T_zero_C)/((T_K-T_zero_C)+pw_C))</f>
        <v>3161.736035696692</v>
      </c>
      <c r="E206" s="77" t="s">
        <v>2287</v>
      </c>
    </row>
    <row r="208" spans="1:5" x14ac:dyDescent="0.2">
      <c r="A208" s="81" t="s">
        <v>1986</v>
      </c>
    </row>
    <row r="209" spans="1:5" x14ac:dyDescent="0.2">
      <c r="A209" s="20" t="s">
        <v>1987</v>
      </c>
      <c r="B209" s="20" t="s">
        <v>393</v>
      </c>
      <c r="C209" s="20" t="s">
        <v>262</v>
      </c>
      <c r="D209" s="117">
        <f>Biology!$D$23</f>
        <v>298.15</v>
      </c>
      <c r="E209" s="145" t="s">
        <v>1988</v>
      </c>
    </row>
    <row r="210" spans="1:5" x14ac:dyDescent="0.2">
      <c r="A210" s="20" t="s">
        <v>2288</v>
      </c>
      <c r="B210" s="20" t="s">
        <v>2122</v>
      </c>
      <c r="C210" s="20" t="s">
        <v>262</v>
      </c>
      <c r="D210" s="117">
        <f>Biology!$D$66</f>
        <v>273.15</v>
      </c>
      <c r="E210" s="145" t="s">
        <v>2289</v>
      </c>
    </row>
    <row r="211" spans="1:5" x14ac:dyDescent="0.2">
      <c r="A211" s="17" t="s">
        <v>2290</v>
      </c>
      <c r="B211" s="18" t="s">
        <v>2291</v>
      </c>
      <c r="C211" s="19" t="s">
        <v>537</v>
      </c>
      <c r="D211" s="111">
        <v>1E-3</v>
      </c>
      <c r="E211" s="54" t="s">
        <v>2292</v>
      </c>
    </row>
    <row r="212" spans="1:5" x14ac:dyDescent="0.2">
      <c r="A212" s="17" t="s">
        <v>2293</v>
      </c>
      <c r="B212" s="18" t="s">
        <v>2294</v>
      </c>
      <c r="C212" s="19" t="s">
        <v>111</v>
      </c>
      <c r="D212" s="111">
        <v>2</v>
      </c>
      <c r="E212" s="54" t="s">
        <v>2295</v>
      </c>
    </row>
    <row r="213" spans="1:5" x14ac:dyDescent="0.2">
      <c r="A213" s="17" t="s">
        <v>2296</v>
      </c>
      <c r="B213" s="18" t="s">
        <v>2297</v>
      </c>
      <c r="C213" s="19" t="s">
        <v>61</v>
      </c>
      <c r="D213" s="111">
        <v>9999</v>
      </c>
      <c r="E213" s="77" t="s">
        <v>2298</v>
      </c>
    </row>
    <row r="214" spans="1:5" x14ac:dyDescent="0.2">
      <c r="A214" s="17" t="s">
        <v>2299</v>
      </c>
      <c r="B214" s="18" t="s">
        <v>2300</v>
      </c>
      <c r="C214" s="19" t="s">
        <v>12</v>
      </c>
      <c r="D214" s="111">
        <v>5</v>
      </c>
      <c r="E214" s="55" t="s">
        <v>2301</v>
      </c>
    </row>
    <row r="216" spans="1:5" x14ac:dyDescent="0.2">
      <c r="A216" s="17" t="s">
        <v>2302</v>
      </c>
      <c r="B216" s="18" t="s">
        <v>2303</v>
      </c>
      <c r="C216" s="19" t="s">
        <v>85</v>
      </c>
      <c r="D216" s="111">
        <v>1.5</v>
      </c>
      <c r="E216" s="62" t="s">
        <v>2304</v>
      </c>
    </row>
    <row r="230" spans="1:5" x14ac:dyDescent="0.2">
      <c r="A230" s="5" t="s">
        <v>2305</v>
      </c>
    </row>
    <row r="231" spans="1:5" x14ac:dyDescent="0.2">
      <c r="A231" t="s">
        <v>2306</v>
      </c>
      <c r="B231" s="18" t="s">
        <v>2307</v>
      </c>
      <c r="C231" s="19" t="s">
        <v>696</v>
      </c>
      <c r="D231" s="121">
        <v>31.998000000000001</v>
      </c>
      <c r="E231" s="77" t="s">
        <v>2308</v>
      </c>
    </row>
    <row r="232" spans="1:5" ht="84" x14ac:dyDescent="0.2">
      <c r="A232" t="s">
        <v>2309</v>
      </c>
      <c r="B232" s="18" t="s">
        <v>2310</v>
      </c>
      <c r="C232" s="19" t="s">
        <v>406</v>
      </c>
      <c r="D232" s="116">
        <f>IF(F_vent_ex+CO2_rate_full*duty_carbon+O2_src_sched+H2_src_sched-CO2_fix_sched&gt;0,DO_surf_excess+H_O2_T*P_dry*MIN(1,saw_factor*(O2_src_sched+y_O2_air*F_vent_ex)/(F_vent_ex+CO2_rate_full*duty_carbon+O2_src_sched+H2_src_sched-CO2_fix_sched)),DO_surf_excess+H_O2_T*P_dry)</f>
        <v>0.458612247464</v>
      </c>
      <c r="E232" s="77" t="s">
        <v>2311</v>
      </c>
    </row>
    <row r="240" spans="1:5" x14ac:dyDescent="0.2">
      <c r="A240" s="5" t="s">
        <v>2312</v>
      </c>
    </row>
    <row r="241" spans="1:5" ht="24" x14ac:dyDescent="0.2">
      <c r="A241" t="s">
        <v>2313</v>
      </c>
      <c r="B241" s="18" t="s">
        <v>2314</v>
      </c>
      <c r="C241" s="19" t="s">
        <v>12</v>
      </c>
      <c r="D241" s="121">
        <v>0.05</v>
      </c>
      <c r="E241" s="55" t="s">
        <v>2315</v>
      </c>
    </row>
    <row r="242" spans="1:5" x14ac:dyDescent="0.2">
      <c r="A242" t="s">
        <v>2316</v>
      </c>
      <c r="B242" s="18" t="s">
        <v>2317</v>
      </c>
      <c r="C242" s="19" t="s">
        <v>12</v>
      </c>
      <c r="D242" s="116">
        <f>MAX(pulse_floor,MROUND(spg_dur_opt,pulse_res))</f>
        <v>0.65</v>
      </c>
      <c r="E242" s="54" t="s">
        <v>2318</v>
      </c>
    </row>
    <row r="300" spans="1:5" x14ac:dyDescent="0.2">
      <c r="A300" s="5" t="s">
        <v>2319</v>
      </c>
    </row>
    <row r="301" spans="1:5" x14ac:dyDescent="0.2">
      <c r="A301" s="20" t="s">
        <v>2320</v>
      </c>
      <c r="B301" s="20" t="s">
        <v>2321</v>
      </c>
      <c r="C301" s="20" t="s">
        <v>111</v>
      </c>
      <c r="D301" s="109" t="str">
        <f>Summary!$D$111</f>
        <v>Open vent</v>
      </c>
      <c r="E301" s="145" t="s">
        <v>2322</v>
      </c>
    </row>
    <row r="302" spans="1:5" ht="36" x14ac:dyDescent="0.2">
      <c r="A302" s="17" t="s">
        <v>2323</v>
      </c>
      <c r="B302" s="18" t="s">
        <v>2324</v>
      </c>
      <c r="C302" s="19" t="s">
        <v>111</v>
      </c>
      <c r="D302" s="111" t="s">
        <v>2325</v>
      </c>
      <c r="E302" s="33" t="s">
        <v>2326</v>
      </c>
    </row>
    <row r="303" spans="1:5" ht="24" x14ac:dyDescent="0.2">
      <c r="A303" s="17" t="s">
        <v>2327</v>
      </c>
      <c r="B303" s="18" t="s">
        <v>2328</v>
      </c>
      <c r="C303" s="19" t="s">
        <v>111</v>
      </c>
      <c r="D303" s="111" t="s">
        <v>2329</v>
      </c>
      <c r="E303" s="33" t="s">
        <v>2330</v>
      </c>
    </row>
    <row r="304" spans="1:5" x14ac:dyDescent="0.2">
      <c r="A304" s="20" t="s">
        <v>2331</v>
      </c>
      <c r="B304" s="20" t="s">
        <v>2332</v>
      </c>
      <c r="C304" s="20" t="s">
        <v>111</v>
      </c>
      <c r="D304" s="109" t="str">
        <f>Summary!$D$112</f>
        <v>Growth</v>
      </c>
      <c r="E304" s="145" t="s">
        <v>2333</v>
      </c>
    </row>
    <row r="305" spans="1:5" ht="24" x14ac:dyDescent="0.2">
      <c r="A305" s="17" t="s">
        <v>2334</v>
      </c>
      <c r="B305" s="18" t="s">
        <v>2335</v>
      </c>
      <c r="C305" s="19" t="s">
        <v>111</v>
      </c>
      <c r="D305" s="111" t="s">
        <v>1797</v>
      </c>
      <c r="E305" s="33" t="s">
        <v>2336</v>
      </c>
    </row>
    <row r="306" spans="1:5" ht="24" x14ac:dyDescent="0.2">
      <c r="A306" s="17" t="s">
        <v>2337</v>
      </c>
      <c r="B306" s="18" t="s">
        <v>2338</v>
      </c>
      <c r="C306" s="19" t="s">
        <v>111</v>
      </c>
      <c r="D306" s="111" t="s">
        <v>2339</v>
      </c>
      <c r="E306" s="33" t="s">
        <v>2340</v>
      </c>
    </row>
    <row r="307" spans="1:5" x14ac:dyDescent="0.2">
      <c r="A307" s="17" t="s">
        <v>2341</v>
      </c>
      <c r="B307" s="18" t="s">
        <v>2342</v>
      </c>
      <c r="C307" s="19" t="s">
        <v>111</v>
      </c>
      <c r="D307" s="111">
        <v>0.20949999999999999</v>
      </c>
      <c r="E307" s="107" t="s">
        <v>2343</v>
      </c>
    </row>
    <row r="308" spans="1:5" ht="36" x14ac:dyDescent="0.2">
      <c r="A308" s="17" t="s">
        <v>2344</v>
      </c>
      <c r="B308" s="18" t="s">
        <v>2345</v>
      </c>
      <c r="C308" s="19" t="s">
        <v>307</v>
      </c>
      <c r="D308" s="41">
        <f>P_atm*(Q_vent_used/1000000/60)/(R_gas*T_K)*3600</f>
        <v>3.67866400719e-05</v>
      </c>
      <c r="E308" s="56" t="s">
        <v>2346</v>
      </c>
    </row>
    <row r="309" spans="1:5" ht="24" x14ac:dyDescent="0.2">
      <c r="A309" s="17" t="s">
        <v>2347</v>
      </c>
      <c r="B309" s="18" t="s">
        <v>2348</v>
      </c>
      <c r="C309" s="19" t="s">
        <v>307</v>
      </c>
      <c r="D309" s="41">
        <f>O2_excess</f>
        <v>1.595988992758e-05</v>
      </c>
      <c r="E309" s="54" t="s">
        <v>2349</v>
      </c>
    </row>
    <row r="310" spans="1:5" ht="36" x14ac:dyDescent="0.2">
      <c r="A310" s="17" t="s">
        <v>2350</v>
      </c>
      <c r="B310" s="18" t="s">
        <v>2351</v>
      </c>
      <c r="C310" s="19" t="s">
        <v>307</v>
      </c>
      <c r="D310" s="41">
        <f>O2_net_lag_mt</f>
        <v>4.660363159054e-05</v>
      </c>
      <c r="E310" s="54" t="s">
        <v>2352</v>
      </c>
    </row>
    <row r="311" spans="1:5" x14ac:dyDescent="0.2">
      <c r="A311" s="20" t="s">
        <v>351</v>
      </c>
      <c r="B311" s="20" t="s">
        <v>306</v>
      </c>
      <c r="C311" s="20" t="s">
        <v>307</v>
      </c>
      <c r="D311" s="117">
        <f>Electrochemistry!$D$21</f>
        <v>0.0001018812158154</v>
      </c>
      <c r="E311" s="145" t="s">
        <v>2353</v>
      </c>
    </row>
    <row r="312" spans="1:5" x14ac:dyDescent="0.2">
      <c r="A312" s="20" t="s">
        <v>2354</v>
      </c>
      <c r="B312" s="20" t="s">
        <v>365</v>
      </c>
      <c r="C312" s="20" t="s">
        <v>307</v>
      </c>
      <c r="D312" s="117">
        <f>Biology!$D$13</f>
        <v>0.0001018812158154</v>
      </c>
      <c r="E312" s="145" t="s">
        <v>2355</v>
      </c>
    </row>
    <row r="313" spans="1:5" ht="36" x14ac:dyDescent="0.2">
      <c r="A313" s="17" t="s">
        <v>2356</v>
      </c>
      <c r="B313" s="18" t="s">
        <v>2357</v>
      </c>
      <c r="C313" s="19" t="s">
        <v>307</v>
      </c>
      <c r="D313" s="41">
        <f>MAX(0,rH2_gen-H2_HOR_mt-H2_cons)</f>
        <v>0.0</v>
      </c>
      <c r="E313" s="54" t="s">
        <v>2358</v>
      </c>
    </row>
    <row r="314" spans="1:5" ht="24" x14ac:dyDescent="0.2">
      <c r="A314" s="17" t="s">
        <v>2359</v>
      </c>
      <c r="B314" s="18" t="s">
        <v>2360</v>
      </c>
      <c r="C314" s="19" t="s">
        <v>307</v>
      </c>
      <c r="D314" s="41">
        <f>MAX(0,rH2_lag_mt-H2_HOR_mt)</f>
        <v>9.574538813904e-05</v>
      </c>
      <c r="E314" s="54" t="s">
        <v>2361</v>
      </c>
    </row>
    <row r="315" spans="1:5" ht="24" x14ac:dyDescent="0.2">
      <c r="A315" s="17" t="s">
        <v>2362</v>
      </c>
      <c r="B315" s="18" t="s">
        <v>2363</v>
      </c>
      <c r="C315" s="19" t="s">
        <v>307</v>
      </c>
      <c r="D315" s="41">
        <f>CO2_cons</f>
        <v>1.698020263589e-05</v>
      </c>
      <c r="E315" s="54" t="s">
        <v>2364</v>
      </c>
    </row>
    <row r="316" spans="1:5" x14ac:dyDescent="0.2">
      <c r="A316" s="17" t="s">
        <v>2365</v>
      </c>
      <c r="B316" s="18" t="s">
        <v>2366</v>
      </c>
      <c r="C316" s="19" t="s">
        <v>307</v>
      </c>
      <c r="D316" s="111">
        <v>0</v>
      </c>
      <c r="E316" s="107" t="s">
        <v>2367</v>
      </c>
    </row>
    <row r="317" spans="1:5" x14ac:dyDescent="0.2">
      <c r="A317" s="17" t="s">
        <v>2368</v>
      </c>
      <c r="B317" s="18" t="s">
        <v>2369</v>
      </c>
      <c r="C317" s="19" t="s">
        <v>307</v>
      </c>
      <c r="D317" s="41">
        <f>IF(O2_sizing_phase=phase_name_1,O2_src_g,IF(O2_sizing_phase=phase_name_2,O2_src_l,NA()))</f>
        <v>1.595988992758e-05</v>
      </c>
      <c r="E317" s="54" t="s">
        <v>2370</v>
      </c>
    </row>
    <row r="318" spans="1:5" x14ac:dyDescent="0.2">
      <c r="A318" s="17" t="s">
        <v>2371</v>
      </c>
      <c r="B318" s="18" t="s">
        <v>2372</v>
      </c>
      <c r="C318" s="19" t="s">
        <v>307</v>
      </c>
      <c r="D318" s="41">
        <f>IF(O2_sizing_phase=phase_name_1,H2_src_g,IF(O2_sizing_phase=phase_name_2,H2_src_l,NA()))</f>
        <v>0.0</v>
      </c>
      <c r="E318" s="54" t="s">
        <v>2373</v>
      </c>
    </row>
    <row r="319" spans="1:5" x14ac:dyDescent="0.2">
      <c r="A319" s="17" t="s">
        <v>2374</v>
      </c>
      <c r="B319" s="18" t="s">
        <v>2375</v>
      </c>
      <c r="C319" s="19" t="s">
        <v>307</v>
      </c>
      <c r="D319" s="41">
        <f>IF(O2_sizing_phase=phase_name_1,CO2_fix_g,IF(O2_sizing_phase=phase_name_2,CO2_fix_l,NA()))</f>
        <v>1.698020263589e-05</v>
      </c>
      <c r="E319" s="54" t="s">
        <v>2376</v>
      </c>
    </row>
    <row r="320" spans="1:5" ht="24" x14ac:dyDescent="0.2">
      <c r="A320" s="17" t="s">
        <v>2377</v>
      </c>
      <c r="B320" s="18" t="s">
        <v>2378</v>
      </c>
      <c r="C320" s="19" t="s">
        <v>111</v>
      </c>
      <c r="D320" s="41">
        <f>nCO2_rate*spg_dur_eq_opt/n_hs_gas</f>
        <v>1.0</v>
      </c>
      <c r="E320" s="54" t="s">
        <v>2379</v>
      </c>
    </row>
    <row r="321" spans="1:5" ht="36" x14ac:dyDescent="0.2">
      <c r="A321" s="17" t="s">
        <v>2380</v>
      </c>
      <c r="B321" s="18" t="s">
        <v>2381</v>
      </c>
      <c r="C321" s="19" t="s">
        <v>111</v>
      </c>
      <c r="D321" s="41">
        <f>EXP(-flush_vol_opt)</f>
        <v>0.367879441171</v>
      </c>
      <c r="E321" s="55" t="s">
        <v>2382</v>
      </c>
    </row>
    <row r="322" spans="1:5" ht="60" x14ac:dyDescent="0.2">
      <c r="A322" s="17" t="s">
        <v>2383</v>
      </c>
      <c r="B322" s="18" t="s">
        <v>2384</v>
      </c>
      <c r="C322" s="19" t="s">
        <v>111</v>
      </c>
      <c r="D322" s="41">
        <f>flush_vol_opt*(1+flush_ret_opt)/(2*(1-flush_ret_opt))</f>
        <v>1.081976706869</v>
      </c>
      <c r="E322" s="55" t="s">
        <v>2385</v>
      </c>
    </row>
    <row r="323" spans="1:5" x14ac:dyDescent="0.2">
      <c r="A323" s="17" t="s">
        <v>2386</v>
      </c>
      <c r="B323" s="18" t="s">
        <v>2387</v>
      </c>
      <c r="C323" s="19" t="s">
        <v>111</v>
      </c>
      <c r="D323" s="41">
        <f>CO2_pulse/n_hs_gas</f>
        <v>1.0</v>
      </c>
      <c r="E323" s="54" t="s">
        <v>2388</v>
      </c>
    </row>
    <row r="324" spans="1:5" x14ac:dyDescent="0.2">
      <c r="A324" s="17" t="s">
        <v>2389</v>
      </c>
      <c r="B324" s="18" t="s">
        <v>2390</v>
      </c>
      <c r="C324" s="19" t="s">
        <v>111</v>
      </c>
      <c r="D324" s="41">
        <f>EXP(-flush_vol)</f>
        <v>0.367879441171</v>
      </c>
      <c r="E324" s="55" t="s">
        <v>2391</v>
      </c>
    </row>
    <row r="325" spans="1:5" x14ac:dyDescent="0.2">
      <c r="A325" s="17" t="s">
        <v>2392</v>
      </c>
      <c r="B325" s="18" t="s">
        <v>2393</v>
      </c>
      <c r="C325" s="19" t="s">
        <v>1013</v>
      </c>
      <c r="D325" s="41">
        <f>t_off_CO2/3600</f>
        <v>0.148242285367</v>
      </c>
      <c r="E325" s="54" t="s">
        <v>2394</v>
      </c>
    </row>
    <row r="326" spans="1:5" x14ac:dyDescent="0.2">
      <c r="A326" s="17" t="s">
        <v>2395</v>
      </c>
      <c r="B326" s="18" t="s">
        <v>2396</v>
      </c>
      <c r="C326" s="19" t="s">
        <v>1013</v>
      </c>
      <c r="D326" s="41">
        <f>1/(kLa_surf_used*3600)</f>
        <v>0.038579691488</v>
      </c>
      <c r="E326" s="54" t="s">
        <v>2397</v>
      </c>
    </row>
    <row r="327" spans="1:5" ht="24" x14ac:dyDescent="0.2">
      <c r="A327" s="17" t="s">
        <v>2398</v>
      </c>
      <c r="B327" s="18" t="s">
        <v>2399</v>
      </c>
      <c r="C327" s="19" t="s">
        <v>307</v>
      </c>
      <c r="D327" s="41">
        <f>O2_src_g+y_O2_air*F_vent_ex</f>
        <v>2.366669102264e-05</v>
      </c>
      <c r="E327" s="54" t="s">
        <v>2400</v>
      </c>
    </row>
    <row r="328" spans="1:5" ht="24" x14ac:dyDescent="0.2">
      <c r="A328" s="17" t="s">
        <v>2401</v>
      </c>
      <c r="B328" s="18" t="s">
        <v>2402</v>
      </c>
      <c r="C328" s="19" t="s">
        <v>307</v>
      </c>
      <c r="D328" s="41">
        <f>CO2_supply+O2_src_g+H2_src_g-CO2_fix_g</f>
        <v>0.0007183818025908</v>
      </c>
      <c r="E328" s="54" t="s">
        <v>2403</v>
      </c>
    </row>
    <row r="329" spans="1:5" ht="36" x14ac:dyDescent="0.2">
      <c r="A329" s="17" t="s">
        <v>2404</v>
      </c>
      <c r="B329" s="18" t="s">
        <v>2405</v>
      </c>
      <c r="C329" s="19" t="s">
        <v>111</v>
      </c>
      <c r="D329" s="41">
        <f>IF(F_vent_ex+F_hs_net_g&gt;0,S_O2_g/(F_vent_ex+F_hs_net_g),NA())</f>
        <v>0.031339618667</v>
      </c>
      <c r="E329" s="54" t="s">
        <v>2406</v>
      </c>
    </row>
    <row r="330" spans="1:5" x14ac:dyDescent="0.2">
      <c r="A330" s="17" t="s">
        <v>2407</v>
      </c>
      <c r="B330" s="18" t="s">
        <v>2408</v>
      </c>
      <c r="C330" s="19" t="s">
        <v>111</v>
      </c>
      <c r="D330" s="41">
        <f>IF(F_vent_ex+F_hs_net_g&gt;0,H2_src_g/(F_vent_ex+F_hs_net_g),NA())</f>
        <v>0.0</v>
      </c>
      <c r="E330" s="54" t="s">
        <v>2409</v>
      </c>
    </row>
    <row r="331" spans="1:5" ht="36" x14ac:dyDescent="0.2">
      <c r="A331" s="17" t="s">
        <v>2410</v>
      </c>
      <c r="B331" s="18" t="s">
        <v>2411</v>
      </c>
      <c r="C331" s="19" t="s">
        <v>307</v>
      </c>
      <c r="D331" s="41">
        <f>F_vent_ex+MAX(0,O2_src_g+H2_src_g-CO2_fix_g)</f>
        <v>3.67866400719e-05</v>
      </c>
      <c r="E331" s="54" t="s">
        <v>2412</v>
      </c>
    </row>
    <row r="332" spans="1:5" x14ac:dyDescent="0.2">
      <c r="A332" s="17" t="s">
        <v>2413</v>
      </c>
      <c r="B332" s="18" t="s">
        <v>2414</v>
      </c>
      <c r="C332" s="19" t="s">
        <v>111</v>
      </c>
      <c r="D332" s="41">
        <f>F_gap_g*t_gap_h/n_hs_gas</f>
        <v>0.051070511243</v>
      </c>
      <c r="E332" s="54" t="s">
        <v>2415</v>
      </c>
    </row>
    <row r="333" spans="1:5" x14ac:dyDescent="0.2">
      <c r="A333" s="17" t="s">
        <v>2416</v>
      </c>
      <c r="B333" s="18" t="s">
        <v>2417</v>
      </c>
      <c r="C333" s="19" t="s">
        <v>111</v>
      </c>
      <c r="D333" s="41">
        <f>IF(x_hs_g&gt;0,(1-EXP(-x_hs_g))/x_hs_g,1)</f>
        <v>0.974893950027</v>
      </c>
      <c r="E333" s="54" t="s">
        <v>2418</v>
      </c>
    </row>
    <row r="334" spans="1:5" x14ac:dyDescent="0.2">
      <c r="A334" s="17" t="s">
        <v>2419</v>
      </c>
      <c r="B334" s="18" t="s">
        <v>2420</v>
      </c>
      <c r="C334" s="19" t="s">
        <v>111</v>
      </c>
      <c r="D334" s="41">
        <f>IF(x_hs_g&gt;0,(x_hs_g-1+EXP(-x_hs_g))/x_hs_g^2,1/2)</f>
        <v>0.491595822369</v>
      </c>
      <c r="E334" s="54" t="s">
        <v>2421</v>
      </c>
    </row>
    <row r="335" spans="1:5" x14ac:dyDescent="0.2">
      <c r="A335" s="17" t="s">
        <v>2422</v>
      </c>
      <c r="B335" s="18" t="s">
        <v>2423</v>
      </c>
      <c r="C335" s="19" t="s">
        <v>111</v>
      </c>
      <c r="D335" s="41">
        <f>S_O2_g*t_gap_h/n_hs_gas</f>
        <v>0.032856221922</v>
      </c>
      <c r="E335" s="54" t="s">
        <v>2424</v>
      </c>
    </row>
    <row r="336" spans="1:5" ht="24" x14ac:dyDescent="0.2">
      <c r="A336" s="17" t="s">
        <v>2425</v>
      </c>
      <c r="B336" s="18" t="s">
        <v>2426</v>
      </c>
      <c r="C336" s="19" t="s">
        <v>111</v>
      </c>
      <c r="D336" s="41">
        <f>dy_O2_g*phi_hs_g/(1-flush_ret*EXP(-x_hs_g))</f>
        <v>0.049245889427</v>
      </c>
      <c r="E336" s="55" t="s">
        <v>2427</v>
      </c>
    </row>
    <row r="337" spans="1:5" x14ac:dyDescent="0.2">
      <c r="A337" s="17" t="s">
        <v>2428</v>
      </c>
      <c r="B337" s="18" t="s">
        <v>2429</v>
      </c>
      <c r="C337" s="19" t="s">
        <v>111</v>
      </c>
      <c r="D337" s="41">
        <f>y_O2_end_g*flush_ret</f>
        <v>0.018116550282</v>
      </c>
      <c r="E337" s="55" t="s">
        <v>2430</v>
      </c>
    </row>
    <row r="338" spans="1:5" x14ac:dyDescent="0.2">
      <c r="A338" s="17" t="s">
        <v>2431</v>
      </c>
      <c r="B338" s="18" t="s">
        <v>2432</v>
      </c>
      <c r="C338" s="19" t="s">
        <v>111</v>
      </c>
      <c r="D338" s="41">
        <f>y_O2_post_g*phi_hs_g+dy_O2_g*psi_hs_g</f>
        <v>0.033813696701</v>
      </c>
      <c r="E338" s="55" t="s">
        <v>2433</v>
      </c>
    </row>
    <row r="339" spans="1:5" x14ac:dyDescent="0.2">
      <c r="A339" s="17" t="s">
        <v>2434</v>
      </c>
      <c r="B339" s="18" t="s">
        <v>2435</v>
      </c>
      <c r="C339" s="19" t="s">
        <v>406</v>
      </c>
      <c r="D339" s="41">
        <f>O2_src_g/(kLa_surf_used*3600*V_L_m3)</f>
        <v>0.04104850864</v>
      </c>
      <c r="E339" s="54" t="s">
        <v>2436</v>
      </c>
    </row>
    <row r="340" spans="1:5" ht="24" x14ac:dyDescent="0.2">
      <c r="A340" s="17" t="s">
        <v>2437</v>
      </c>
      <c r="B340" s="18" t="s">
        <v>2438</v>
      </c>
      <c r="C340" s="19" t="s">
        <v>406</v>
      </c>
      <c r="D340" s="41">
        <f>DO_surf_excess_g+H_O2_T*P_dry*y_O2_mf_g</f>
        <v>0.076682161759</v>
      </c>
      <c r="E340" s="54" t="s">
        <v>2439</v>
      </c>
    </row>
    <row r="341" spans="1:5" ht="24" x14ac:dyDescent="0.2">
      <c r="A341" s="17" t="s">
        <v>2440</v>
      </c>
      <c r="B341" s="18" t="s">
        <v>2441</v>
      </c>
      <c r="C341" s="19" t="s">
        <v>406</v>
      </c>
      <c r="D341" s="41">
        <f>DO_surf_excess_g+H_O2_T*P_dry*y_O2_avg_g</f>
        <v>0.079495228484</v>
      </c>
      <c r="E341" s="55" t="s">
        <v>2442</v>
      </c>
    </row>
    <row r="342" spans="1:5" ht="36" x14ac:dyDescent="0.2">
      <c r="A342" s="17" t="s">
        <v>2443</v>
      </c>
      <c r="B342" s="18" t="s">
        <v>2444</v>
      </c>
      <c r="C342" s="19" t="s">
        <v>406</v>
      </c>
      <c r="D342" s="41">
        <f>DO_surf_excess_g+H_O2_T*P_dry*MAX(y_O2_avg_g,y_O2_end_g-(S_O2_g-F_gap_g*y_O2_end_g)/n_hs_gas*tau_L_h)</f>
        <v>0.088063745249</v>
      </c>
      <c r="E342" s="55" t="s">
        <v>2445</v>
      </c>
    </row>
    <row r="343" spans="1:5" x14ac:dyDescent="0.2">
      <c r="A343" s="17" t="s">
        <v>2446</v>
      </c>
      <c r="B343" s="18" t="s">
        <v>2447</v>
      </c>
      <c r="C343" s="19" t="s">
        <v>83</v>
      </c>
      <c r="D343" s="41">
        <f>DO_avg_g*M_O2</f>
        <v>2.54368832103</v>
      </c>
      <c r="E343" s="55" t="s">
        <v>2448</v>
      </c>
    </row>
    <row r="344" spans="1:5" x14ac:dyDescent="0.2">
      <c r="A344" s="17" t="s">
        <v>2449</v>
      </c>
      <c r="B344" s="18" t="s">
        <v>2450</v>
      </c>
      <c r="C344" s="19" t="s">
        <v>83</v>
      </c>
      <c r="D344" s="41">
        <f>DO_peak_g*M_O2</f>
        <v>2.817863720468</v>
      </c>
      <c r="E344" s="55" t="s">
        <v>2448</v>
      </c>
    </row>
    <row r="345" spans="1:5" x14ac:dyDescent="0.2">
      <c r="A345" s="17" t="s">
        <v>2451</v>
      </c>
      <c r="B345" s="18" t="s">
        <v>2452</v>
      </c>
      <c r="C345" s="19" t="s">
        <v>577</v>
      </c>
      <c r="D345" s="41">
        <f>O2_src_g/(DO_target*3600*V_L_m3)</f>
        <v>0.003712830366</v>
      </c>
      <c r="E345" s="54" t="s">
        <v>2453</v>
      </c>
    </row>
    <row r="346" spans="1:5" x14ac:dyDescent="0.2">
      <c r="A346" s="17" t="s">
        <v>2454</v>
      </c>
      <c r="B346" s="18" t="s">
        <v>2455</v>
      </c>
      <c r="C346" s="19" t="s">
        <v>87</v>
      </c>
      <c r="D346" s="41">
        <f>kLa_surf_used/kLa_surf_req_g</f>
        <v>1.939249291467</v>
      </c>
      <c r="E346" s="54" t="s">
        <v>2456</v>
      </c>
    </row>
    <row r="347" spans="1:5" x14ac:dyDescent="0.2">
      <c r="A347" s="20" t="s">
        <v>1813</v>
      </c>
      <c r="B347" s="18" t="s">
        <v>2457</v>
      </c>
      <c r="C347" s="19" t="s">
        <v>111</v>
      </c>
      <c r="D347" s="24" t="str">
        <f>IF(kLa_margin_g&gt;=1,"reachable – kLa margin "&amp;TEXT(kLa_margin_g,"0.00")&amp;"×","UNREACHABLE at this surface kLa – margin "&amp;TEXT(kLa_margin_g,"0.00")&amp;"× (raise kL_surf, lower the current, or accept a higher DO)")</f>
        <v>reachable – kLa margin 1.94×</v>
      </c>
      <c r="E347" s="54" t="s">
        <v>2458</v>
      </c>
    </row>
    <row r="348" spans="1:5" ht="24" x14ac:dyDescent="0.2">
      <c r="A348" s="20" t="s">
        <v>2459</v>
      </c>
      <c r="B348" s="18" t="s">
        <v>2460</v>
      </c>
      <c r="C348" s="19" t="s">
        <v>111</v>
      </c>
      <c r="D348" s="24" t="str">
        <f>IF(DO_peak_g&lt;=O2_ceil_C,"peak "&amp;TEXT(DO_peak_g_mgL,"0.0")&amp;" mg/L under the "&amp;TEXT(O2_ceil_C*M_O2,"0.0")&amp;" mg/L ceiling","PEAK "&amp;TEXT(DO_peak_g_mgL,"0.0")&amp;" mg/L OVER THE "&amp;TEXT(O2_ceil_C*M_O2,"0.0")&amp;" mg/L INHIBITION CEILING")</f>
        <v>peak 2.8 mg/L under the 11.3 mg/L ceiling</v>
      </c>
      <c r="E348" s="54" t="s">
        <v>2461</v>
      </c>
    </row>
    <row r="349" spans="1:5" ht="24" x14ac:dyDescent="0.2">
      <c r="A349" s="17" t="s">
        <v>2462</v>
      </c>
      <c r="B349" s="18" t="s">
        <v>2463</v>
      </c>
      <c r="C349" s="19" t="s">
        <v>307</v>
      </c>
      <c r="D349" s="41">
        <f>O2_src_l+y_O2_air*F_vent_ex</f>
        <v>5.43104326856e-05</v>
      </c>
      <c r="E349" s="54" t="s">
        <v>2400</v>
      </c>
    </row>
    <row r="350" spans="1:5" ht="24" x14ac:dyDescent="0.2">
      <c r="A350" s="17" t="s">
        <v>2464</v>
      </c>
      <c r="B350" s="18" t="s">
        <v>2465</v>
      </c>
      <c r="C350" s="19" t="s">
        <v>307</v>
      </c>
      <c r="D350" s="41">
        <f>CO2_supply+O2_src_l+H2_src_l-CO2_fix_l</f>
        <v>0.0008617511350287</v>
      </c>
      <c r="E350" s="54" t="s">
        <v>2403</v>
      </c>
    </row>
    <row r="351" spans="1:5" ht="36" x14ac:dyDescent="0.2">
      <c r="A351" s="17" t="s">
        <v>2466</v>
      </c>
      <c r="B351" s="18" t="s">
        <v>2467</v>
      </c>
      <c r="C351" s="19" t="s">
        <v>111</v>
      </c>
      <c r="D351" s="41">
        <f>IF(F_vent_ex+F_hs_net_l&gt;0,S_O2_l/(F_vent_ex+F_hs_net_l),NA())</f>
        <v>0.060443126812</v>
      </c>
      <c r="E351" s="54" t="s">
        <v>2406</v>
      </c>
    </row>
    <row r="352" spans="1:5" x14ac:dyDescent="0.2">
      <c r="A352" s="17" t="s">
        <v>2468</v>
      </c>
      <c r="B352" s="18" t="s">
        <v>2469</v>
      </c>
      <c r="C352" s="19" t="s">
        <v>111</v>
      </c>
      <c r="D352" s="41">
        <f>IF(F_vent_ex+F_hs_net_l&gt;0,H2_src_l/(F_vent_ex+F_hs_net_l),NA())</f>
        <v>0.106556886969</v>
      </c>
      <c r="E352" s="54" t="s">
        <v>2409</v>
      </c>
    </row>
    <row r="353" spans="1:5" ht="36" x14ac:dyDescent="0.2">
      <c r="A353" s="17" t="s">
        <v>2470</v>
      </c>
      <c r="B353" s="18" t="s">
        <v>2471</v>
      </c>
      <c r="C353" s="19" t="s">
        <v>307</v>
      </c>
      <c r="D353" s="41">
        <f>F_vent_ex+MAX(0,O2_src_l+H2_src_l-CO2_fix_l)</f>
        <v>0.0001791356598015</v>
      </c>
      <c r="E353" s="54" t="s">
        <v>2412</v>
      </c>
    </row>
    <row r="354" spans="1:5" x14ac:dyDescent="0.2">
      <c r="A354" s="17" t="s">
        <v>2472</v>
      </c>
      <c r="B354" s="18" t="s">
        <v>2473</v>
      </c>
      <c r="C354" s="19" t="s">
        <v>111</v>
      </c>
      <c r="D354" s="41">
        <f>F_gap_l*t_gap_h/n_hs_gas</f>
        <v>0.24869218037</v>
      </c>
      <c r="E354" s="54" t="s">
        <v>2415</v>
      </c>
    </row>
    <row r="355" spans="1:5" x14ac:dyDescent="0.2">
      <c r="A355" s="17" t="s">
        <v>2474</v>
      </c>
      <c r="B355" s="18" t="s">
        <v>2475</v>
      </c>
      <c r="C355" s="19" t="s">
        <v>111</v>
      </c>
      <c r="D355" s="41">
        <f>IF(x_hs_l&gt;0,(1-EXP(-x_hs_l))/x_hs_l,1)</f>
        <v>0.88535159944</v>
      </c>
      <c r="E355" s="54" t="s">
        <v>2418</v>
      </c>
    </row>
    <row r="356" spans="1:5" x14ac:dyDescent="0.2">
      <c r="A356" s="17" t="s">
        <v>2476</v>
      </c>
      <c r="B356" s="18" t="s">
        <v>2477</v>
      </c>
      <c r="C356" s="19" t="s">
        <v>111</v>
      </c>
      <c r="D356" s="41">
        <f>IF(x_hs_l&gt;0,(x_hs_l-1+EXP(-x_hs_l))/x_hs_l^2,1/2)</f>
        <v>0.461005249097</v>
      </c>
      <c r="E356" s="54" t="s">
        <v>2421</v>
      </c>
    </row>
    <row r="357" spans="1:5" x14ac:dyDescent="0.2">
      <c r="A357" s="17" t="s">
        <v>2478</v>
      </c>
      <c r="B357" s="18" t="s">
        <v>2479</v>
      </c>
      <c r="C357" s="19" t="s">
        <v>111</v>
      </c>
      <c r="D357" s="41">
        <f>S_O2_l*t_gap_h/n_hs_gas</f>
        <v>0.075398610954</v>
      </c>
      <c r="E357" s="54" t="s">
        <v>2424</v>
      </c>
    </row>
    <row r="358" spans="1:5" ht="24" x14ac:dyDescent="0.2">
      <c r="A358" s="17" t="s">
        <v>2480</v>
      </c>
      <c r="B358" s="18" t="s">
        <v>2481</v>
      </c>
      <c r="C358" s="19" t="s">
        <v>111</v>
      </c>
      <c r="D358" s="41">
        <f>dy_O2_l*phi_hs_l/(1-flush_ret*EXP(-x_hs_l))</f>
        <v>0.093608728311</v>
      </c>
      <c r="E358" s="55" t="s">
        <v>2427</v>
      </c>
    </row>
    <row r="359" spans="1:5" x14ac:dyDescent="0.2">
      <c r="A359" s="17" t="s">
        <v>2482</v>
      </c>
      <c r="B359" s="18" t="s">
        <v>2483</v>
      </c>
      <c r="C359" s="19" t="s">
        <v>111</v>
      </c>
      <c r="D359" s="41">
        <f>y_O2_end_l*flush_ret</f>
        <v>0.03443672666</v>
      </c>
      <c r="E359" s="55" t="s">
        <v>2430</v>
      </c>
    </row>
    <row r="360" spans="1:5" x14ac:dyDescent="0.2">
      <c r="A360" s="17" t="s">
        <v>2484</v>
      </c>
      <c r="B360" s="18" t="s">
        <v>2485</v>
      </c>
      <c r="C360" s="19" t="s">
        <v>111</v>
      </c>
      <c r="D360" s="41">
        <f>y_O2_post_l*phi_hs_l+dy_O2_l*psi_hs_l</f>
        <v>0.065247766452</v>
      </c>
      <c r="E360" s="55" t="s">
        <v>2433</v>
      </c>
    </row>
    <row r="361" spans="1:5" ht="24" x14ac:dyDescent="0.2">
      <c r="A361" s="17" t="s">
        <v>2486</v>
      </c>
      <c r="B361" s="18" t="s">
        <v>2487</v>
      </c>
      <c r="C361" s="19" t="s">
        <v>406</v>
      </c>
      <c r="D361" s="41">
        <f>DO_surf_excess_lag+H_O2_T*P_dry*y_O2_mf_l</f>
        <v>0.188588394354</v>
      </c>
      <c r="E361" s="54" t="s">
        <v>2439</v>
      </c>
    </row>
    <row r="362" spans="1:5" ht="24" x14ac:dyDescent="0.2">
      <c r="A362" s="17" t="s">
        <v>2488</v>
      </c>
      <c r="B362" s="18" t="s">
        <v>2489</v>
      </c>
      <c r="C362" s="19" t="s">
        <v>406</v>
      </c>
      <c r="D362" s="41">
        <f>DO_surf_excess_lag+H_O2_T*P_dry*y_O2_avg_l</f>
        <v>0.194051347306</v>
      </c>
      <c r="E362" s="55" t="s">
        <v>2442</v>
      </c>
    </row>
    <row r="363" spans="1:5" ht="36" x14ac:dyDescent="0.2">
      <c r="A363" s="17" t="s">
        <v>2490</v>
      </c>
      <c r="B363" s="18" t="s">
        <v>2491</v>
      </c>
      <c r="C363" s="19" t="s">
        <v>406</v>
      </c>
      <c r="D363" s="41">
        <f>DO_surf_excess_lag+H_O2_T*P_dry*MAX(y_O2_avg_l,y_O2_end_l-(S_O2_l-F_gap_l*y_O2_end_l)/n_hs_gas*tau_L_h)</f>
        <v>0.210875955523</v>
      </c>
      <c r="E363" s="55" t="s">
        <v>2445</v>
      </c>
    </row>
    <row r="364" spans="1:5" x14ac:dyDescent="0.2">
      <c r="A364" s="17" t="s">
        <v>2492</v>
      </c>
      <c r="B364" s="18" t="s">
        <v>2493</v>
      </c>
      <c r="C364" s="19" t="s">
        <v>83</v>
      </c>
      <c r="D364" s="41">
        <f>DO_avg_l*M_O2</f>
        <v>6.209255011111</v>
      </c>
      <c r="E364" s="55" t="s">
        <v>2448</v>
      </c>
    </row>
    <row r="365" spans="1:5" x14ac:dyDescent="0.2">
      <c r="A365" s="17" t="s">
        <v>2494</v>
      </c>
      <c r="B365" s="18" t="s">
        <v>2495</v>
      </c>
      <c r="C365" s="19" t="s">
        <v>83</v>
      </c>
      <c r="D365" s="41">
        <f>DO_peak_l*M_O2</f>
        <v>6.747608824821</v>
      </c>
      <c r="E365" s="55" t="s">
        <v>2448</v>
      </c>
    </row>
    <row r="366" spans="1:5" x14ac:dyDescent="0.2">
      <c r="A366" s="17" t="s">
        <v>2496</v>
      </c>
      <c r="B366" s="18" t="s">
        <v>2497</v>
      </c>
      <c r="C366" s="19" t="s">
        <v>577</v>
      </c>
      <c r="D366" s="41">
        <f>O2_src_l/(DO_target*3600*V_L_m3)</f>
        <v>0.010841639844</v>
      </c>
      <c r="E366" s="54" t="s">
        <v>2453</v>
      </c>
    </row>
    <row r="367" spans="1:5" x14ac:dyDescent="0.2">
      <c r="A367" s="17" t="s">
        <v>2498</v>
      </c>
      <c r="B367" s="18" t="s">
        <v>2499</v>
      </c>
      <c r="C367" s="19" t="s">
        <v>87</v>
      </c>
      <c r="D367" s="41">
        <f>kLa_surf_used/kLa_surf_req_l</f>
        <v>0.664115739003</v>
      </c>
      <c r="E367" s="54" t="s">
        <v>2456</v>
      </c>
    </row>
    <row r="368" spans="1:5" x14ac:dyDescent="0.2">
      <c r="A368" s="20" t="s">
        <v>1815</v>
      </c>
      <c r="B368" s="18" t="s">
        <v>2500</v>
      </c>
      <c r="C368" s="19" t="s">
        <v>111</v>
      </c>
      <c r="D368" s="24" t="str">
        <f>IF(kLa_margin_l&gt;=1,"reachable – kLa margin "&amp;TEXT(kLa_margin_l,"0.00")&amp;"×","UNREACHABLE at this surface kLa – margin "&amp;TEXT(kLa_margin_l,"0.00")&amp;"× (raise kL_surf, lower the current, or accept a higher DO)")</f>
        <v>UNREACHABLE at this surface kLa – margin 0.66× (raise kL_surf, lower the current, or accept a higher DO)</v>
      </c>
      <c r="E368" s="54" t="s">
        <v>2458</v>
      </c>
    </row>
    <row r="369" spans="1:5" ht="24" x14ac:dyDescent="0.2">
      <c r="A369" s="20" t="s">
        <v>2501</v>
      </c>
      <c r="B369" s="18" t="s">
        <v>2502</v>
      </c>
      <c r="C369" s="19" t="s">
        <v>111</v>
      </c>
      <c r="D369" s="24" t="str">
        <f>IF(DO_peak_l&lt;=O2_ceil_C,"peak "&amp;TEXT(DO_peak_l_mgL,"0.0")&amp;" mg/L under the "&amp;TEXT(O2_ceil_C*M_O2,"0.0")&amp;" mg/L ceiling","PEAK "&amp;TEXT(DO_peak_l_mgL,"0.0")&amp;" mg/L OVER THE "&amp;TEXT(O2_ceil_C*M_O2,"0.0")&amp;" mg/L INHIBITION CEILING")</f>
        <v>peak 6.7 mg/L under the 11.3 mg/L ceiling</v>
      </c>
      <c r="E369" s="54" t="s">
        <v>2461</v>
      </c>
    </row>
    <row r="371" spans="1:5" x14ac:dyDescent="0.2">
      <c r="A371" s="17" t="s">
        <v>2503</v>
      </c>
      <c r="B371" s="18" t="s">
        <v>2504</v>
      </c>
      <c r="C371" s="19" t="s">
        <v>307</v>
      </c>
      <c r="D371" s="41">
        <f>IF(O2_sizing_phase=phase_name_1,F_gap_g,IF(O2_sizing_phase=phase_name_2,F_gap_l,NA()))</f>
        <v>3.67866400719e-05</v>
      </c>
      <c r="E371" s="54" t="s">
        <v>2505</v>
      </c>
    </row>
    <row r="372" spans="1:5" x14ac:dyDescent="0.2">
      <c r="A372" s="17" t="s">
        <v>2506</v>
      </c>
      <c r="B372" s="18" t="s">
        <v>2507</v>
      </c>
      <c r="C372" s="19" t="s">
        <v>406</v>
      </c>
      <c r="D372" s="41">
        <f>IF(O2_sizing_phase=phase_name_1,DO_avg_g,IF(O2_sizing_phase=phase_name_2,DO_avg_l,NA()))</f>
        <v>0.079495228484</v>
      </c>
      <c r="E372" s="55" t="s">
        <v>2508</v>
      </c>
    </row>
    <row r="373" spans="1:5" x14ac:dyDescent="0.2">
      <c r="A373" s="17" t="s">
        <v>2509</v>
      </c>
      <c r="B373" s="18" t="s">
        <v>2510</v>
      </c>
      <c r="C373" s="19" t="s">
        <v>406</v>
      </c>
      <c r="D373" s="41">
        <f>IF(O2_sizing_phase=phase_name_1,DO_peak_g,IF(O2_sizing_phase=phase_name_2,DO_peak_l,NA()))</f>
        <v>0.088063745249</v>
      </c>
      <c r="E373" s="55" t="s">
        <v>2511</v>
      </c>
    </row>
    <row r="374" spans="1:5" ht="60" x14ac:dyDescent="0.2">
      <c r="A374" s="20" t="s">
        <v>2512</v>
      </c>
      <c r="B374" s="18" t="s">
        <v>2513</v>
      </c>
      <c r="C374" s="19" t="s">
        <v>111</v>
      </c>
      <c r="D374" s="24"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2.8 mg/L is under the inhibition ceiling</v>
      </c>
      <c r="E374" s="54" t="s">
        <v>2514</v>
      </c>
    </row>
    <row r="375" spans="1:5" ht="36" x14ac:dyDescent="0.2">
      <c r="A375" s="17" t="s">
        <v>2515</v>
      </c>
      <c r="B375" s="18" t="s">
        <v>2516</v>
      </c>
      <c r="C375" s="19" t="s">
        <v>406</v>
      </c>
      <c r="D375" s="41">
        <f>(C_air_CO2/C_sat_CO2*F_vent_ex-CO2_fix_sched)*t_gap_h/(V_L_CO2+Vg_CO2)</f>
        <v>-0.122606708849</v>
      </c>
      <c r="E375" s="54" t="s">
        <v>2517</v>
      </c>
    </row>
    <row r="376" spans="1:5" x14ac:dyDescent="0.2">
      <c r="A376" s="17" t="s">
        <v>2518</v>
      </c>
      <c r="B376" s="18" t="s">
        <v>2519</v>
      </c>
      <c r="C376" s="19" t="s">
        <v>111</v>
      </c>
      <c r="D376" s="41">
        <f>k_eff_CO2*t_off_CO2</f>
        <v>0.007950867166</v>
      </c>
      <c r="E376" s="54" t="s">
        <v>2520</v>
      </c>
    </row>
    <row r="377" spans="1:5" ht="24" x14ac:dyDescent="0.2">
      <c r="A377" s="17" t="s">
        <v>2521</v>
      </c>
      <c r="B377" s="18" t="s">
        <v>2522</v>
      </c>
      <c r="C377" s="19" t="s">
        <v>111</v>
      </c>
      <c r="D377" s="41">
        <f>IF(pool_x&gt;0,(1-EXP(-pool_x))/pool_x,1)</f>
        <v>0.996035081556</v>
      </c>
      <c r="E377" s="54" t="s">
        <v>2523</v>
      </c>
    </row>
    <row r="378" spans="1:5" x14ac:dyDescent="0.2">
      <c r="A378" s="17" t="s">
        <v>2524</v>
      </c>
      <c r="B378" s="18" t="s">
        <v>2525</v>
      </c>
      <c r="C378" s="19" t="s">
        <v>111</v>
      </c>
      <c r="D378" s="41">
        <f>IF(pool_x&gt;0,(pool_x-1+EXP(-pool_x))/pool_x^2,1/2)</f>
        <v>0.498677485302</v>
      </c>
      <c r="E378" s="54" t="s">
        <v>2526</v>
      </c>
    </row>
    <row r="379" spans="1:5" x14ac:dyDescent="0.2">
      <c r="A379" s="17" t="s">
        <v>2527</v>
      </c>
      <c r="B379" s="18" t="s">
        <v>2528</v>
      </c>
      <c r="C379" s="19" t="s">
        <v>406</v>
      </c>
      <c r="D379" s="41">
        <f>pool_D_raw*pool_phi</f>
        <v>-0.122120583247</v>
      </c>
      <c r="E379" s="54" t="s">
        <v>2529</v>
      </c>
    </row>
    <row r="380" spans="1:5" ht="24" x14ac:dyDescent="0.2">
      <c r="A380" s="17" t="s">
        <v>2530</v>
      </c>
      <c r="B380" s="18" t="s">
        <v>2531</v>
      </c>
      <c r="C380" s="19" t="s">
        <v>111</v>
      </c>
      <c r="D380" s="41">
        <f>pool_a+(1-pool_a)*flush_ret</f>
        <v>0.901588872448</v>
      </c>
      <c r="E380" s="55" t="s">
        <v>2532</v>
      </c>
    </row>
    <row r="381" spans="1:5" ht="24" x14ac:dyDescent="0.2">
      <c r="A381" s="17" t="s">
        <v>2533</v>
      </c>
      <c r="B381" s="18" t="s">
        <v>2534</v>
      </c>
      <c r="C381" s="19" t="s">
        <v>111</v>
      </c>
      <c r="D381" s="41">
        <f>IF(F_vent_ex+CO2_supply+O2_src_sched+H2_src_sched-CO2_fix_sched&gt;0,(CO2_supply-CO2_fix_sched+pCO2_air/P_atm*F_vent_ex)/(F_vent_ex+CO2_supply+O2_src_sched+H2_src_sched-CO2_fix_sched),NA())</f>
        <v>0.930171859967</v>
      </c>
      <c r="E381" s="54" t="s">
        <v>2535</v>
      </c>
    </row>
    <row r="382" spans="1:5" x14ac:dyDescent="0.2">
      <c r="A382" s="17" t="s">
        <v>2536</v>
      </c>
      <c r="B382" s="18" t="s">
        <v>2537</v>
      </c>
      <c r="C382" s="19" t="s">
        <v>406</v>
      </c>
      <c r="D382" s="41">
        <f>y_CO2_mf*C_sat_CO2</f>
        <v>30.131872921282</v>
      </c>
      <c r="E382" s="54" t="s">
        <v>2538</v>
      </c>
    </row>
    <row r="383" spans="1:5" x14ac:dyDescent="0.2">
      <c r="A383" s="5" t="s">
        <v>2539</v>
      </c>
    </row>
    <row r="384" spans="1:5" ht="36" x14ac:dyDescent="0.2">
      <c r="A384" s="17" t="s">
        <v>2540</v>
      </c>
      <c r="B384" s="18" t="s">
        <v>2541</v>
      </c>
      <c r="C384" s="19" t="s">
        <v>111</v>
      </c>
      <c r="D384" s="111" t="s">
        <v>1793</v>
      </c>
      <c r="E384" s="33" t="s">
        <v>2542</v>
      </c>
    </row>
    <row r="385" spans="1:5" ht="36" x14ac:dyDescent="0.2">
      <c r="A385" s="17" t="s">
        <v>2543</v>
      </c>
      <c r="B385" s="18" t="s">
        <v>2544</v>
      </c>
      <c r="C385" s="19" t="s">
        <v>314</v>
      </c>
      <c r="D385" s="111">
        <v>1.4999999999999999E-2</v>
      </c>
      <c r="E385" s="56" t="s">
        <v>2545</v>
      </c>
    </row>
    <row r="386" spans="1:5" ht="36" x14ac:dyDescent="0.2">
      <c r="A386" s="17" t="s">
        <v>2546</v>
      </c>
      <c r="B386" s="18" t="s">
        <v>2547</v>
      </c>
      <c r="C386" s="19" t="s">
        <v>314</v>
      </c>
      <c r="D386" s="41">
        <f>IF(vent_model=vent_name_1,0,IF(vent_model=vent_name_3,Q_backdraw,IF(vent_model=vent_name_2,Q_vent,NA())))</f>
        <v>0.015</v>
      </c>
      <c r="E386" s="56" t="s">
        <v>2548</v>
      </c>
    </row>
    <row r="387" spans="1:5" x14ac:dyDescent="0.2">
      <c r="A387" s="20" t="s">
        <v>2180</v>
      </c>
      <c r="B387" s="20" t="s">
        <v>2549</v>
      </c>
      <c r="C387" s="20" t="s">
        <v>307</v>
      </c>
      <c r="D387" s="117">
        <f>Electrochemistry!$D$149</f>
        <v>0.0</v>
      </c>
      <c r="E387" s="145" t="s">
        <v>2550</v>
      </c>
    </row>
    <row r="388" spans="1:5" ht="36" x14ac:dyDescent="0.2">
      <c r="A388" s="17" t="s">
        <v>2551</v>
      </c>
      <c r="B388" s="18" t="s">
        <v>2552</v>
      </c>
      <c r="C388" s="19" t="s">
        <v>111</v>
      </c>
      <c r="D388" s="41">
        <f>H2_src_l*t_gap_h/n_hs_gas*phi_hs_l/(1-flush_ret*EXP(-x_hs_l))</f>
        <v>0.165025457949</v>
      </c>
      <c r="E388" s="55" t="s">
        <v>2553</v>
      </c>
    </row>
    <row r="389" spans="1:5" ht="48" x14ac:dyDescent="0.2">
      <c r="A389" s="17" t="s">
        <v>2554</v>
      </c>
      <c r="B389" s="18" t="s">
        <v>2555</v>
      </c>
      <c r="C389" s="19" t="s">
        <v>111</v>
      </c>
      <c r="D389" s="41">
        <f>(pool_a*(C_cycle_peak-C_cycle_start)*(V_L_CO2+Vg_CO2)+MAX(0,CO2_fix_sched-O2_src_sched-H2_src_sched)*t_gap_h)/n_hs_gas</f>
        <v>0.058677569283</v>
      </c>
      <c r="E389" s="55" t="s">
        <v>2556</v>
      </c>
    </row>
    <row r="390" spans="1:5" ht="24" x14ac:dyDescent="0.2">
      <c r="A390" s="17" t="s">
        <v>2557</v>
      </c>
      <c r="B390" s="18" t="s">
        <v>2558</v>
      </c>
      <c r="C390" s="19" t="s">
        <v>111</v>
      </c>
      <c r="D390" s="111">
        <v>0.05</v>
      </c>
      <c r="E390" s="55" t="s">
        <v>2559</v>
      </c>
    </row>
    <row r="391" spans="1:5" ht="24" x14ac:dyDescent="0.2">
      <c r="A391" s="20" t="s">
        <v>1831</v>
      </c>
      <c r="B391" s="18" t="s">
        <v>2560</v>
      </c>
      <c r="C391" s="19" t="s">
        <v>111</v>
      </c>
      <c r="D391" s="24"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54" t="s">
        <v>2561</v>
      </c>
    </row>
    <row r="392" spans="1:5" x14ac:dyDescent="0.2">
      <c r="A392" s="20" t="s">
        <v>2562</v>
      </c>
      <c r="B392" s="20" t="s">
        <v>2563</v>
      </c>
      <c r="C392" s="20" t="s">
        <v>12</v>
      </c>
      <c r="D392" s="117">
        <f>Summary!$G$13</f>
        <v>0.0</v>
      </c>
      <c r="E392" s="145" t="s">
        <v>2564</v>
      </c>
    </row>
    <row r="393" spans="1:5" x14ac:dyDescent="0.2">
      <c r="A393" s="20" t="s">
        <v>2565</v>
      </c>
      <c r="B393" s="20" t="s">
        <v>2566</v>
      </c>
      <c r="C393" s="20" t="s">
        <v>61</v>
      </c>
      <c r="D393" s="117">
        <f>Summary!$G$15</f>
        <v>0.0</v>
      </c>
      <c r="E393" s="145" t="s">
        <v>2567</v>
      </c>
    </row>
    <row r="394" spans="1:5" x14ac:dyDescent="0.2">
      <c r="A394" s="20" t="s">
        <v>2568</v>
      </c>
      <c r="B394" s="20" t="s">
        <v>2569</v>
      </c>
      <c r="C394" s="20" t="s">
        <v>307</v>
      </c>
      <c r="D394" s="117">
        <f>Electrochemistry!$D$132</f>
        <v>4.660363159054e-05</v>
      </c>
      <c r="E394" s="145" t="s">
        <v>2570</v>
      </c>
    </row>
    <row r="395" spans="1:5" x14ac:dyDescent="0.2">
      <c r="A395" s="20" t="s">
        <v>2571</v>
      </c>
      <c r="B395" s="20" t="s">
        <v>2572</v>
      </c>
      <c r="C395" s="20" t="s">
        <v>307</v>
      </c>
      <c r="D395" s="117">
        <f>Electrochemistry!$D$133</f>
        <v>9.574538813904e-05</v>
      </c>
      <c r="E395" s="145" t="s">
        <v>2573</v>
      </c>
    </row>
    <row r="396" spans="1:5" ht="36" x14ac:dyDescent="0.2">
      <c r="A396" s="17" t="s">
        <v>2574</v>
      </c>
      <c r="B396" s="18" t="s">
        <v>2575</v>
      </c>
      <c r="C396" s="19" t="s">
        <v>12</v>
      </c>
      <c r="D396" s="111">
        <v>0.25</v>
      </c>
      <c r="E396" s="56" t="s">
        <v>2576</v>
      </c>
    </row>
    <row r="400" spans="1:5" x14ac:dyDescent="0.2">
      <c r="A400" s="5" t="s">
        <v>2577</v>
      </c>
    </row>
    <row r="401" spans="1:5" x14ac:dyDescent="0.2">
      <c r="A401" s="17" t="s">
        <v>2578</v>
      </c>
      <c r="B401" s="18" t="s">
        <v>2579</v>
      </c>
      <c r="C401" s="19" t="s">
        <v>723</v>
      </c>
      <c r="D401" s="24">
        <f>SUMPRODUCT(('CO2 flows'!$A$4:$A$201=Reactor)*('CO2 flows'!$F$4:$F$201&gt;0)*('CO2 flows'!$N$4:$N$201&lt;&gt;1)*1)</f>
        <v>34.0</v>
      </c>
      <c r="E401" s="107" t="s">
        <v>2580</v>
      </c>
    </row>
    <row r="402" spans="1:5" x14ac:dyDescent="0.2">
      <c r="A402" s="17" t="s">
        <v>2581</v>
      </c>
      <c r="B402" s="18" t="s">
        <v>2582</v>
      </c>
      <c r="C402" s="19" t="s">
        <v>12</v>
      </c>
      <c r="D402" s="24">
        <f>SUMPRODUCT(('CO2 flows'!$A$4:$A$201=Reactor)*('CO2 flows'!$F$4:$F$201&gt;0)*('CO2 flows'!$N$4:$N$201&lt;&gt;1)*'CO2 flows'!$F$4:$F$201)</f>
        <v>49.85</v>
      </c>
      <c r="E402" s="107" t="s">
        <v>2583</v>
      </c>
    </row>
    <row r="403" spans="1:5" x14ac:dyDescent="0.2">
      <c r="A403" s="17" t="s">
        <v>2584</v>
      </c>
      <c r="B403" s="18" t="s">
        <v>2585</v>
      </c>
      <c r="C403" s="19" t="s">
        <v>52</v>
      </c>
      <c r="D403" s="24">
        <f>SUMPRODUCT(('CO2 flows'!$A$4:$A$201=Reactor)*('CO2 flows'!$F$4:$F$201&gt;0)*('CO2 flows'!$N$4:$N$201&lt;&gt;1)*'CO2 flows'!$E$4:$E$201)</f>
        <v>178.2</v>
      </c>
      <c r="E403" s="107" t="s">
        <v>1589</v>
      </c>
    </row>
    <row r="404" spans="1:5" x14ac:dyDescent="0.2">
      <c r="A404" s="17" t="s">
        <v>2586</v>
      </c>
      <c r="B404" s="18" t="s">
        <v>2587</v>
      </c>
      <c r="C404" s="19" t="s">
        <v>2588</v>
      </c>
      <c r="D404" s="24">
        <f>SUMPRODUCT(('CO2 flows'!$A$4:$A$201=Reactor)*('CO2 flows'!$F$4:$F$201&gt;0)*('CO2 flows'!$N$4:$N$201&lt;&gt;1)*'CO2 flows'!$F$4:$F$201^2)</f>
        <v>304.7325</v>
      </c>
      <c r="E404" s="107" t="s">
        <v>1589</v>
      </c>
    </row>
    <row r="405" spans="1:5" x14ac:dyDescent="0.2">
      <c r="A405" s="17" t="s">
        <v>2589</v>
      </c>
      <c r="B405" s="18" t="s">
        <v>2590</v>
      </c>
      <c r="C405" s="19" t="s">
        <v>2591</v>
      </c>
      <c r="D405" s="24">
        <f>SUMPRODUCT(('CO2 flows'!$A$4:$A$201=Reactor)*('CO2 flows'!$F$4:$F$201&gt;0)*('CO2 flows'!$N$4:$N$201&lt;&gt;1)*'CO2 flows'!$F$4:$F$201*'CO2 flows'!$E$4:$E$201)</f>
        <v>1030.03</v>
      </c>
      <c r="E405" s="107" t="s">
        <v>1589</v>
      </c>
    </row>
    <row r="406" spans="1:5" ht="24" x14ac:dyDescent="0.2">
      <c r="A406" s="17" t="s">
        <v>2592</v>
      </c>
      <c r="B406" s="18" t="s">
        <v>2593</v>
      </c>
      <c r="C406" s="19" t="s">
        <v>723</v>
      </c>
      <c r="D406" s="111">
        <v>3</v>
      </c>
      <c r="E406" s="55" t="s">
        <v>2594</v>
      </c>
    </row>
    <row r="407" spans="1:5" ht="48" x14ac:dyDescent="0.2">
      <c r="A407" s="17" t="s">
        <v>2595</v>
      </c>
      <c r="B407" s="18" t="s">
        <v>2596</v>
      </c>
      <c r="C407" s="19" t="s">
        <v>1286</v>
      </c>
      <c r="D407" s="24">
        <f>IF(ISNUMBER(cal_flow),cal_flow,IF(AND(fit_n&gt;=fit_n_min,fit_n*fit_Stt-fit_St^2&gt;0),(fit_n*fit_StV-fit_St*fit_SV)/(fit_n*fit_Stt-fit_St^2),Q_CO2/60))</f>
        <v>3.318707459132</v>
      </c>
      <c r="E407" s="54" t="s">
        <v>2597</v>
      </c>
    </row>
    <row r="408" spans="1:5" ht="48" x14ac:dyDescent="0.2">
      <c r="A408" s="17" t="s">
        <v>2598</v>
      </c>
      <c r="B408" s="18" t="s">
        <v>2599</v>
      </c>
      <c r="C408" s="19" t="s">
        <v>52</v>
      </c>
      <c r="D408" s="24">
        <f>IF(ISNUMBER(cal_flow),0,IF(AND(fit_n&gt;=fit_n_min,fit_n*fit_Stt-fit_St^2&gt;0),(fit_SV-Q_CO2_fit*fit_St)/fit_n,0))</f>
        <v>0.375365681243</v>
      </c>
      <c r="E408" s="56" t="s">
        <v>2600</v>
      </c>
    </row>
    <row r="409" spans="1:5" x14ac:dyDescent="0.2">
      <c r="A409" s="17" t="s">
        <v>2601</v>
      </c>
      <c r="B409" s="18" t="s">
        <v>2602</v>
      </c>
      <c r="C409" s="19" t="s">
        <v>12</v>
      </c>
      <c r="D409" s="24">
        <f>(pulse_V0+Q_CO2_fit*spg_dur_opt)/(Q_CO2/60)</f>
        <v>0.784513049825</v>
      </c>
      <c r="E409" s="107" t="s">
        <v>2603</v>
      </c>
    </row>
    <row r="410" spans="1:5" x14ac:dyDescent="0.2">
      <c r="A410" s="17" t="s">
        <v>2604</v>
      </c>
      <c r="B410" s="18" t="s">
        <v>2605</v>
      </c>
      <c r="C410" s="19" t="s">
        <v>12</v>
      </c>
      <c r="D410" s="24">
        <f>(pulse_V0+Q_CO2_fit*spg_dur)/(Q_CO2/60)</f>
        <v>0.784513049825</v>
      </c>
      <c r="E410" s="107" t="s">
        <v>2606</v>
      </c>
    </row>
    <row r="411" spans="1:5" x14ac:dyDescent="0.2">
      <c r="A411" s="17" t="s">
        <v>2607</v>
      </c>
      <c r="B411" s="18" t="s">
        <v>2608</v>
      </c>
      <c r="C411" s="19" t="s">
        <v>52</v>
      </c>
      <c r="D411" s="24">
        <f>pulse_V0+Q_CO2_fit*spg_dur</f>
        <v>2.612428455917</v>
      </c>
      <c r="E411" s="107" t="s">
        <v>2609</v>
      </c>
    </row>
    <row r="412" spans="1:5" x14ac:dyDescent="0.2">
      <c r="A412" s="17" t="s">
        <v>2610</v>
      </c>
      <c r="B412" s="18" t="s">
        <v>2611</v>
      </c>
      <c r="C412" s="19" t="s">
        <v>723</v>
      </c>
      <c r="D412" s="24">
        <f>SUMPRODUCT(('CO2 flows'!$A$4:$A$201=Reactor)*('CO2 flows'!$M$4:$M$201&gt;0)*1)</f>
        <v>0.0</v>
      </c>
      <c r="E412" s="107" t="s">
        <v>2612</v>
      </c>
    </row>
    <row r="413" spans="1:5" ht="36" x14ac:dyDescent="0.2">
      <c r="A413" s="17" t="s">
        <v>2613</v>
      </c>
      <c r="B413" s="18" t="s">
        <v>2614</v>
      </c>
      <c r="C413" s="19" t="s">
        <v>1286</v>
      </c>
      <c r="D413" s="24" t="str">
        <f>IF(carry_n&gt;0,SUMPRODUCT(MIN(('CO2 flows'!$A$4:$A$201=Reactor)*('CO2 flows'!$M$4:$M$201&gt;0)*'CO2 flows'!$M$4:$M$201+(1-('CO2 flows'!$A$4:$A$201=Reactor)*('CO2 flows'!$M$4:$M$201&gt;0))*MAX('CO2 flows'!$M$4:$M$201))),"not measured")</f>
        <v>not measured</v>
      </c>
      <c r="E413" s="57" t="s">
        <v>2615</v>
      </c>
    </row>
    <row r="414" spans="1:5" ht="24" x14ac:dyDescent="0.2">
      <c r="A414" s="17" t="s">
        <v>1836</v>
      </c>
      <c r="B414" s="18" t="s">
        <v>2616</v>
      </c>
      <c r="C414" s="19" t="s">
        <v>111</v>
      </c>
      <c r="D414" s="24" t="str">
        <f>IF(u_sg&gt;u_g_max,"RISK – "&amp;TEXT(u_sg*1000,"0.0")&amp;" mm/s superficial gas velocity over the "&amp;TEXT(u_g_max*1000,"0")&amp;" mm/s rule of thumb","OK – "&amp;TEXT(u_sg*1000,"0.0")&amp;" mm/s against the "&amp;TEXT(u_g_max*1000,"0")&amp;" mm/s rule of thumb")</f>
        <v>OK – 6.6 mm/s against the 50 mm/s rule of thumb</v>
      </c>
      <c r="E414" s="56" t="s">
        <v>2617</v>
      </c>
    </row>
    <row r="415" spans="1:5" x14ac:dyDescent="0.2">
      <c r="A415" s="17" t="s">
        <v>2618</v>
      </c>
      <c r="B415" s="18" t="s">
        <v>2619</v>
      </c>
      <c r="C415" s="19" t="s">
        <v>111</v>
      </c>
      <c r="D415" s="24">
        <f>Chemistry!$D$296</f>
        <v>1.154598203915</v>
      </c>
      <c r="E415" s="145" t="s">
        <v>2620</v>
      </c>
    </row>
    <row r="416" spans="1:5" x14ac:dyDescent="0.2">
      <c r="A416" s="17" t="s">
        <v>2621</v>
      </c>
      <c r="B416" s="18" t="s">
        <v>2622</v>
      </c>
      <c r="C416" s="19" t="s">
        <v>1058</v>
      </c>
      <c r="D416" s="24">
        <f>V_L_m3*DIC_cap_mt</f>
        <v>1.731897305873e-05</v>
      </c>
      <c r="E416" s="107" t="s">
        <v>2623</v>
      </c>
    </row>
    <row r="417" spans="1:5" x14ac:dyDescent="0.2">
      <c r="A417" s="17" t="s">
        <v>2624</v>
      </c>
      <c r="B417" s="18" t="s">
        <v>2625</v>
      </c>
      <c r="C417" s="19" t="s">
        <v>87</v>
      </c>
      <c r="D417" s="24">
        <f>IF(CO2_cons&gt;0,(C_cycle_peak-C_cycle_start)*V_L_CO2*pulses_h/CO2_cons,NA())</f>
        <v>2.425986471423</v>
      </c>
      <c r="E417" s="107" t="s">
        <v>2626</v>
      </c>
    </row>
    <row r="418" spans="1:5" x14ac:dyDescent="0.2">
      <c r="A418" s="17" t="s">
        <v>2627</v>
      </c>
      <c r="B418" s="18" t="s">
        <v>2628</v>
      </c>
      <c r="C418" s="19" t="s">
        <v>57</v>
      </c>
      <c r="D418" s="24">
        <f>P_atm-p_sat_w</f>
        <v>98163.2639643</v>
      </c>
      <c r="E418" s="107" t="s">
        <v>2629</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5" t="s">
        <v>2630</v>
      </c>
      <c r="N2" s="5" t="s">
        <v>2631</v>
      </c>
      <c r="O2" s="3"/>
      <c r="P2" s="3"/>
      <c r="Q2" s="3"/>
    </row>
    <row r="3" spans="1:17" x14ac:dyDescent="0.2">
      <c r="A3" s="5"/>
      <c r="B3" s="5"/>
      <c r="C3" s="5" t="s">
        <v>52</v>
      </c>
      <c r="D3" s="5" t="s">
        <v>52</v>
      </c>
      <c r="E3" s="5" t="s">
        <v>52</v>
      </c>
      <c r="F3" s="5" t="s">
        <v>12</v>
      </c>
      <c r="G3" s="5" t="s">
        <v>1286</v>
      </c>
      <c r="H3" s="5" t="s">
        <v>1286</v>
      </c>
      <c r="I3" s="5" t="s">
        <v>12</v>
      </c>
      <c r="J3" s="5" t="s">
        <v>1286</v>
      </c>
      <c r="K3" s="3"/>
      <c r="L3" s="8" t="s">
        <v>13</v>
      </c>
      <c r="M3" s="5" t="s">
        <v>1286</v>
      </c>
      <c r="N3" s="5" t="s">
        <v>2632</v>
      </c>
      <c r="O3" s="6"/>
      <c r="P3" s="6"/>
      <c r="Q3" s="6"/>
    </row>
    <row r="4" spans="1:17" x14ac:dyDescent="0.2">
      <c r="A4" s="3" t="s">
        <v>14</v>
      </c>
      <c r="B4" s="9">
        <v>46190</v>
      </c>
      <c r="C4" s="3">
        <v>50</v>
      </c>
      <c r="D4" s="3">
        <v>0</v>
      </c>
      <c r="E4" s="3"/>
      <c r="F4" s="3"/>
      <c r="G4" s="3"/>
      <c r="H4" s="3"/>
      <c r="I4" s="3">
        <v>0.25</v>
      </c>
      <c r="J4" s="3">
        <v>3.33</v>
      </c>
      <c r="K4" s="3"/>
      <c r="L4" s="10" t="s">
        <v>15</v>
      </c>
      <c r="M4" s="3"/>
      <c r="N4" s="3"/>
      <c r="O4" s="11"/>
      <c r="P4" s="12"/>
      <c r="Q4" s="3"/>
    </row>
    <row r="5" spans="1:17" x14ac:dyDescent="0.2">
      <c r="A5" s="3" t="s">
        <v>14</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14</v>
      </c>
      <c r="B6" s="9">
        <v>46190</v>
      </c>
      <c r="C6" s="3">
        <v>50</v>
      </c>
      <c r="D6" s="3">
        <v>0</v>
      </c>
      <c r="E6" s="3"/>
      <c r="F6" s="3"/>
      <c r="G6" s="3"/>
      <c r="H6" s="3"/>
      <c r="I6" s="3"/>
      <c r="J6" s="3"/>
      <c r="K6" s="7" t="s">
        <v>16</v>
      </c>
      <c r="L6" s="7" t="s">
        <v>17</v>
      </c>
      <c r="M6" s="3"/>
      <c r="N6" s="3"/>
      <c r="O6" s="3"/>
      <c r="P6" s="3"/>
      <c r="Q6" s="3"/>
    </row>
    <row r="7" spans="1:17" x14ac:dyDescent="0.2">
      <c r="A7" s="3" t="s">
        <v>14</v>
      </c>
      <c r="B7" s="9">
        <v>46190</v>
      </c>
      <c r="C7" s="3">
        <v>50</v>
      </c>
      <c r="D7" s="3">
        <v>12</v>
      </c>
      <c r="E7" s="3">
        <f>D7-D6</f>
        <v>12.0</v>
      </c>
      <c r="F7" s="3">
        <v>4</v>
      </c>
      <c r="G7" s="3">
        <f>E7/F7</f>
        <v>3.0</v>
      </c>
      <c r="H7" s="3">
        <f>AVERAGE(G7:G9)</f>
        <v>3.333333333333</v>
      </c>
      <c r="I7" s="3"/>
      <c r="J7" s="3"/>
      <c r="K7" s="3" t="s">
        <v>18</v>
      </c>
      <c r="L7" s="3" t="s">
        <v>2633</v>
      </c>
      <c r="M7" s="3"/>
      <c r="N7" s="6"/>
      <c r="O7" s="3"/>
      <c r="P7" s="3"/>
      <c r="Q7" s="3"/>
    </row>
    <row r="8" spans="1:17" x14ac:dyDescent="0.2">
      <c r="A8" s="3" t="s">
        <v>14</v>
      </c>
      <c r="B8" s="9">
        <v>46190</v>
      </c>
      <c r="C8" s="3">
        <v>50</v>
      </c>
      <c r="D8" s="3">
        <v>26</v>
      </c>
      <c r="E8" s="3">
        <f>D8-D7</f>
        <v>14.0</v>
      </c>
      <c r="F8" s="3">
        <v>4</v>
      </c>
      <c r="G8" s="3">
        <f>E8/F8</f>
        <v>3.5</v>
      </c>
      <c r="H8" s="3"/>
      <c r="I8" s="3"/>
      <c r="J8" s="3"/>
      <c r="K8" s="9">
        <v>46190</v>
      </c>
      <c r="L8" s="3" t="s">
        <v>19</v>
      </c>
      <c r="M8" s="3"/>
      <c r="N8" s="3"/>
      <c r="O8" s="3"/>
      <c r="P8" s="3"/>
      <c r="Q8" s="3"/>
    </row>
    <row r="9" spans="1:17" x14ac:dyDescent="0.2">
      <c r="A9" s="3" t="s">
        <v>14</v>
      </c>
      <c r="B9" s="9">
        <v>46190</v>
      </c>
      <c r="C9" s="3">
        <v>50</v>
      </c>
      <c r="D9" s="3">
        <v>40</v>
      </c>
      <c r="E9" s="3">
        <f>D9-D8</f>
        <v>14.0</v>
      </c>
      <c r="F9" s="3">
        <v>4</v>
      </c>
      <c r="G9" s="3">
        <f>E9/F9</f>
        <v>3.5</v>
      </c>
      <c r="H9" s="3"/>
      <c r="I9" s="3"/>
      <c r="J9" s="3"/>
      <c r="K9" s="9">
        <v>46190</v>
      </c>
      <c r="L9" s="3" t="s">
        <v>2634</v>
      </c>
      <c r="M9" s="3"/>
      <c r="N9" s="3"/>
      <c r="O9" s="3"/>
      <c r="P9" s="3"/>
      <c r="Q9" s="3"/>
    </row>
    <row r="10" spans="1:17" x14ac:dyDescent="0.2">
      <c r="A10" s="3" t="s">
        <v>14</v>
      </c>
      <c r="B10" s="9">
        <v>46190</v>
      </c>
      <c r="C10" s="3">
        <v>50</v>
      </c>
      <c r="D10" s="3">
        <v>0</v>
      </c>
      <c r="E10" s="3"/>
      <c r="F10" s="3"/>
      <c r="G10" s="3"/>
      <c r="H10" s="3"/>
      <c r="I10" s="3"/>
      <c r="J10" s="3"/>
      <c r="K10" s="3"/>
      <c r="L10" s="3" t="s">
        <v>2635</v>
      </c>
      <c r="M10" s="3"/>
      <c r="N10" s="3"/>
      <c r="O10" s="3"/>
      <c r="P10" s="3"/>
      <c r="Q10" s="3"/>
    </row>
    <row r="11" spans="1:17" x14ac:dyDescent="0.2">
      <c r="A11" s="3" t="s">
        <v>14</v>
      </c>
      <c r="B11" s="9">
        <v>46190</v>
      </c>
      <c r="C11" s="3">
        <v>50</v>
      </c>
      <c r="D11" s="3">
        <v>6</v>
      </c>
      <c r="E11" s="3">
        <f t="shared" ref="E11:E16" si="0">D11-D10</f>
        <v>6.0</v>
      </c>
      <c r="F11" s="3">
        <v>2</v>
      </c>
      <c r="G11" s="3">
        <f t="shared" ref="G11:G16" si="1">E11/F11</f>
        <v>3.0</v>
      </c>
      <c r="H11" s="3">
        <f>AVERAGE(G11:G16)</f>
        <v>3.75</v>
      </c>
      <c r="I11" s="3"/>
      <c r="J11" s="3"/>
      <c r="K11" s="3"/>
      <c r="L11" s="3" t="s">
        <v>2636</v>
      </c>
      <c r="M11" s="3"/>
      <c r="N11" s="3"/>
      <c r="O11" s="3"/>
      <c r="P11" s="3"/>
      <c r="Q11" s="3"/>
    </row>
    <row r="12" spans="1:17" x14ac:dyDescent="0.2">
      <c r="A12" s="3" t="s">
        <v>14</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14</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14</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14</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14</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14</v>
      </c>
      <c r="B17" s="9">
        <v>46190</v>
      </c>
      <c r="C17" s="3">
        <v>50</v>
      </c>
      <c r="D17" s="3">
        <v>0</v>
      </c>
      <c r="E17" s="3"/>
      <c r="F17" s="3"/>
      <c r="G17" s="3"/>
      <c r="H17" s="3"/>
      <c r="I17" s="3"/>
      <c r="J17" s="3"/>
      <c r="K17" s="3"/>
      <c r="L17" s="3"/>
      <c r="M17" s="3"/>
      <c r="N17" s="3"/>
      <c r="O17" s="3"/>
      <c r="P17" s="3"/>
      <c r="Q17" s="3"/>
    </row>
    <row r="18" spans="1:17" x14ac:dyDescent="0.2">
      <c r="A18" s="3" t="s">
        <v>14</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14</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14</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14</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14</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14</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14</v>
      </c>
      <c r="B24" s="9">
        <v>46190</v>
      </c>
      <c r="C24" s="3">
        <v>50</v>
      </c>
      <c r="D24" s="3">
        <v>31</v>
      </c>
      <c r="E24" s="3"/>
      <c r="F24" s="3"/>
      <c r="G24" s="3"/>
      <c r="H24" s="3"/>
      <c r="I24" s="3"/>
      <c r="J24" s="3"/>
      <c r="K24" s="3"/>
      <c r="L24" s="3"/>
      <c r="M24" s="3"/>
      <c r="N24" s="3"/>
      <c r="O24" s="3"/>
      <c r="P24" s="3"/>
      <c r="Q24" s="3"/>
    </row>
    <row r="25" spans="1:17" x14ac:dyDescent="0.2">
      <c r="A25" s="3" t="s">
        <v>14</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14</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14</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14</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14</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14</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14</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14</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14</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14</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14</v>
      </c>
      <c r="B35" s="9">
        <v>46190</v>
      </c>
      <c r="C35" s="3">
        <v>10</v>
      </c>
      <c r="D35" s="3">
        <v>0</v>
      </c>
      <c r="E35" s="3">
        <f t="shared" si="4"/>
        <v>-46.0</v>
      </c>
      <c r="F35" s="3"/>
      <c r="G35" s="3"/>
      <c r="H35" s="3"/>
      <c r="I35" s="3"/>
      <c r="J35" s="3"/>
      <c r="K35" s="3"/>
      <c r="L35" s="3"/>
      <c r="M35" s="3"/>
      <c r="N35" s="3"/>
      <c r="O35" s="3"/>
      <c r="P35" s="3"/>
      <c r="Q35" s="3"/>
    </row>
    <row r="36" spans="1:17" x14ac:dyDescent="0.2">
      <c r="A36" s="3" t="s">
        <v>14</v>
      </c>
      <c r="B36" s="9">
        <v>46190</v>
      </c>
      <c r="C36" s="3">
        <v>10</v>
      </c>
      <c r="D36" s="3">
        <v>0.4</v>
      </c>
      <c r="E36" s="3">
        <f t="shared" si="4"/>
        <v>0.4</v>
      </c>
      <c r="F36" s="3">
        <v>0.2</v>
      </c>
      <c r="G36" s="10">
        <f>E36/F36</f>
        <v>2.0</v>
      </c>
      <c r="H36" s="3"/>
      <c r="I36" s="3"/>
      <c r="J36" s="3"/>
      <c r="K36" s="3"/>
      <c r="L36" s="3"/>
      <c r="M36" s="3"/>
      <c r="N36" s="3">
        <v>1</v>
      </c>
      <c r="O36" s="3"/>
      <c r="P36" s="3"/>
      <c r="Q36" s="3"/>
    </row>
    <row r="37" spans="1:17" x14ac:dyDescent="0.2">
      <c r="A37" s="3" t="s">
        <v>14</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14</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14</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14</v>
      </c>
      <c r="B40" s="9">
        <v>46190</v>
      </c>
      <c r="C40" s="3">
        <v>10</v>
      </c>
      <c r="D40" s="3">
        <v>0</v>
      </c>
      <c r="E40" s="3"/>
      <c r="F40" s="3"/>
      <c r="G40" s="3"/>
      <c r="H40" s="3"/>
      <c r="I40" s="3"/>
      <c r="J40" s="3"/>
      <c r="K40" s="3"/>
      <c r="L40" s="3"/>
      <c r="M40" s="3"/>
      <c r="N40" s="3"/>
      <c r="O40" s="3"/>
      <c r="P40" s="3"/>
      <c r="Q40" s="3"/>
    </row>
    <row r="41" spans="1:17" x14ac:dyDescent="0.2">
      <c r="A41" s="3" t="s">
        <v>14</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14</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14</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14</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14</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14</v>
      </c>
      <c r="B46" s="9">
        <v>46190</v>
      </c>
      <c r="C46" s="3">
        <v>10</v>
      </c>
      <c r="D46" s="3">
        <v>2.8</v>
      </c>
      <c r="E46" s="3">
        <f t="shared" si="6"/>
        <v>0.2</v>
      </c>
      <c r="F46" s="3">
        <v>0.1</v>
      </c>
      <c r="G46" s="10">
        <f t="shared" si="7"/>
        <v>2.0</v>
      </c>
      <c r="H46" s="3"/>
      <c r="I46" s="3"/>
      <c r="J46" s="3"/>
      <c r="K46" s="3"/>
      <c r="L46" s="3"/>
      <c r="M46" s="3"/>
      <c r="N46" s="3">
        <v>1</v>
      </c>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4" t="s">
        <v>1259</v>
      </c>
    </row>
    <row r="2" spans="1:8" x14ac:dyDescent="0.2">
      <c r="A2" t="s">
        <v>1260</v>
      </c>
    </row>
    <row r="3" spans="1:8" x14ac:dyDescent="0.2">
      <c r="A3" t="s">
        <v>1261</v>
      </c>
    </row>
    <row r="5" spans="1:8" ht="16" x14ac:dyDescent="0.2">
      <c r="A5" s="4" t="str">
        <f>HYPERLINK("https://github.com/amy-bo/electroPioreactor/blob/AEP02/Media/protocols/gerrit-current.md","ELECTROLYSIS CURRENT")</f>
        <v>ELECTROLYSIS CURRENT</v>
      </c>
    </row>
    <row r="6" spans="1:8" x14ac:dyDescent="0.2">
      <c r="A6" t="s">
        <v>1262</v>
      </c>
    </row>
    <row r="7" spans="1:8" x14ac:dyDescent="0.2">
      <c r="A7" s="16" t="s">
        <v>1263</v>
      </c>
      <c r="B7" s="16" t="s">
        <v>1264</v>
      </c>
      <c r="C7" s="16" t="s">
        <v>1</v>
      </c>
      <c r="D7" s="16" t="s">
        <v>1265</v>
      </c>
      <c r="E7" s="16" t="s">
        <v>1266</v>
      </c>
      <c r="F7" s="16" t="s">
        <v>1267</v>
      </c>
      <c r="G7" s="16" t="s">
        <v>1268</v>
      </c>
      <c r="H7" s="16" t="s">
        <v>1269</v>
      </c>
    </row>
    <row r="8" spans="1:8" x14ac:dyDescent="0.2">
      <c r="A8" s="97"/>
      <c r="B8" s="98"/>
      <c r="C8" s="97"/>
      <c r="D8" s="98"/>
      <c r="E8" s="98"/>
      <c r="F8" s="104" t="str">
        <f t="shared" ref="F8:F15" si="0">IFERROR(INDEX(ReactorTypeList,MATCH(C8,ReactorList,0)),"")</f>
        <v/>
      </c>
      <c r="G8" s="97"/>
      <c r="H8" s="97"/>
    </row>
    <row r="9" spans="1:8" x14ac:dyDescent="0.2">
      <c r="A9" s="97"/>
      <c r="B9" s="98"/>
      <c r="C9" s="97"/>
      <c r="D9" s="98"/>
      <c r="E9" s="98"/>
      <c r="F9" s="104" t="str">
        <f t="shared" si="0"/>
        <v/>
      </c>
      <c r="G9" s="97"/>
      <c r="H9" s="97"/>
    </row>
    <row r="10" spans="1:8" x14ac:dyDescent="0.2">
      <c r="A10" s="97"/>
      <c r="B10" s="98"/>
      <c r="C10" s="97"/>
      <c r="D10" s="98"/>
      <c r="E10" s="98"/>
      <c r="F10" s="104" t="str">
        <f t="shared" si="0"/>
        <v/>
      </c>
      <c r="G10" s="97"/>
      <c r="H10" s="97"/>
    </row>
    <row r="11" spans="1:8" x14ac:dyDescent="0.2">
      <c r="A11" s="97"/>
      <c r="B11" s="98"/>
      <c r="C11" s="97"/>
      <c r="D11" s="98"/>
      <c r="E11" s="98"/>
      <c r="F11" s="104" t="str">
        <f t="shared" si="0"/>
        <v/>
      </c>
      <c r="G11" s="97"/>
      <c r="H11" s="97"/>
    </row>
    <row r="12" spans="1:8" x14ac:dyDescent="0.2">
      <c r="A12" s="97"/>
      <c r="B12" s="98"/>
      <c r="C12" s="97"/>
      <c r="D12" s="98"/>
      <c r="E12" s="98"/>
      <c r="F12" s="104" t="str">
        <f t="shared" si="0"/>
        <v/>
      </c>
      <c r="G12" s="97"/>
      <c r="H12" s="97"/>
    </row>
    <row r="13" spans="1:8" x14ac:dyDescent="0.2">
      <c r="A13" s="97"/>
      <c r="B13" s="98"/>
      <c r="C13" s="97"/>
      <c r="D13" s="98"/>
      <c r="E13" s="98"/>
      <c r="F13" s="104" t="str">
        <f t="shared" si="0"/>
        <v/>
      </c>
      <c r="G13" s="97"/>
      <c r="H13" s="97"/>
    </row>
    <row r="14" spans="1:8" x14ac:dyDescent="0.2">
      <c r="A14" s="97"/>
      <c r="B14" s="98"/>
      <c r="C14" s="97"/>
      <c r="D14" s="98"/>
      <c r="E14" s="98"/>
      <c r="F14" s="104" t="str">
        <f t="shared" si="0"/>
        <v/>
      </c>
      <c r="G14" s="97"/>
      <c r="H14" s="97"/>
    </row>
    <row r="15" spans="1:8" x14ac:dyDescent="0.2">
      <c r="A15" s="97"/>
      <c r="B15" s="98"/>
      <c r="C15" s="97"/>
      <c r="D15" s="98"/>
      <c r="E15" s="98"/>
      <c r="F15" s="104" t="str">
        <f t="shared" si="0"/>
        <v/>
      </c>
      <c r="G15" s="97"/>
      <c r="H15" s="97"/>
    </row>
    <row r="16" spans="1:8" x14ac:dyDescent="0.2">
      <c r="A16" s="17" t="s">
        <v>1270</v>
      </c>
      <c r="C16" s="19"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7" t="s">
        <v>1271</v>
      </c>
      <c r="C17" s="19"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6" t="s">
        <v>1263</v>
      </c>
      <c r="B22" s="16" t="s">
        <v>1264</v>
      </c>
      <c r="C22" s="16" t="s">
        <v>1</v>
      </c>
      <c r="D22" s="16" t="s">
        <v>1272</v>
      </c>
      <c r="E22" s="16" t="s">
        <v>1273</v>
      </c>
      <c r="F22" s="16" t="s">
        <v>1274</v>
      </c>
      <c r="G22" s="16" t="s">
        <v>1275</v>
      </c>
      <c r="H22" s="16" t="s">
        <v>29</v>
      </c>
      <c r="I22" s="16" t="s">
        <v>1276</v>
      </c>
      <c r="J22" s="16" t="s">
        <v>1267</v>
      </c>
      <c r="K22" s="16" t="s">
        <v>1268</v>
      </c>
      <c r="L22" s="16" t="s">
        <v>1269</v>
      </c>
    </row>
    <row r="23" spans="1:13" x14ac:dyDescent="0.2">
      <c r="A23" s="97"/>
      <c r="B23" s="98"/>
      <c r="C23" s="97"/>
      <c r="D23" s="98"/>
      <c r="E23" s="98"/>
      <c r="F23" s="98"/>
      <c r="G23" s="98"/>
      <c r="H23" s="98"/>
      <c r="I23" s="104" t="str">
        <f t="shared" ref="I23:I30" si="1">IFERROR(((G23-pw_A*EXP(pw_B*F23/(F23+pw_C)))*(E23/1000000)/(R_gas*(F23+T_zero_C)))/(D23/(IF(H23="H2",z_e_H2,IF(H23="O2",z_e_O2,NA()))*F_const)),"")</f>
        <v/>
      </c>
      <c r="J23" s="104" t="str">
        <f t="shared" ref="J23:J30" si="2">IFERROR(INDEX(ReactorTypeList,MATCH(C23,ReactorList,0)),"")</f>
        <v/>
      </c>
      <c r="K23" s="97"/>
      <c r="L23" s="97"/>
      <c r="M23" s="75"/>
    </row>
    <row r="24" spans="1:13" x14ac:dyDescent="0.2">
      <c r="A24" s="97"/>
      <c r="B24" s="98"/>
      <c r="C24" s="97"/>
      <c r="D24" s="98"/>
      <c r="E24" s="98"/>
      <c r="F24" s="98"/>
      <c r="G24" s="98"/>
      <c r="H24" s="98"/>
      <c r="I24" s="104" t="str">
        <f t="shared" si="1"/>
        <v/>
      </c>
      <c r="J24" s="104" t="str">
        <f t="shared" si="2"/>
        <v/>
      </c>
      <c r="K24" s="97"/>
      <c r="L24" s="97"/>
      <c r="M24" s="75"/>
    </row>
    <row r="25" spans="1:13" x14ac:dyDescent="0.2">
      <c r="A25" s="97"/>
      <c r="B25" s="98"/>
      <c r="C25" s="97"/>
      <c r="D25" s="98"/>
      <c r="E25" s="98"/>
      <c r="F25" s="98"/>
      <c r="G25" s="98"/>
      <c r="H25" s="98"/>
      <c r="I25" s="104" t="str">
        <f t="shared" si="1"/>
        <v/>
      </c>
      <c r="J25" s="104" t="str">
        <f t="shared" si="2"/>
        <v/>
      </c>
      <c r="K25" s="97"/>
      <c r="L25" s="97"/>
      <c r="M25" s="75"/>
    </row>
    <row r="26" spans="1:13" x14ac:dyDescent="0.2">
      <c r="A26" s="97"/>
      <c r="B26" s="98"/>
      <c r="C26" s="97"/>
      <c r="D26" s="98"/>
      <c r="E26" s="98"/>
      <c r="F26" s="98"/>
      <c r="G26" s="98"/>
      <c r="H26" s="98"/>
      <c r="I26" s="104" t="str">
        <f t="shared" si="1"/>
        <v/>
      </c>
      <c r="J26" s="104" t="str">
        <f t="shared" si="2"/>
        <v/>
      </c>
      <c r="K26" s="97"/>
      <c r="L26" s="97"/>
      <c r="M26" s="75"/>
    </row>
    <row r="27" spans="1:13" x14ac:dyDescent="0.2">
      <c r="A27" s="97"/>
      <c r="B27" s="98"/>
      <c r="C27" s="97"/>
      <c r="D27" s="98"/>
      <c r="E27" s="98"/>
      <c r="F27" s="98"/>
      <c r="G27" s="98"/>
      <c r="H27" s="98"/>
      <c r="I27" s="104" t="str">
        <f t="shared" si="1"/>
        <v/>
      </c>
      <c r="J27" s="104" t="str">
        <f t="shared" si="2"/>
        <v/>
      </c>
      <c r="K27" s="97"/>
      <c r="L27" s="97"/>
      <c r="M27" s="75"/>
    </row>
    <row r="28" spans="1:13" x14ac:dyDescent="0.2">
      <c r="A28" s="97"/>
      <c r="B28" s="98"/>
      <c r="C28" s="97"/>
      <c r="D28" s="98"/>
      <c r="E28" s="98"/>
      <c r="F28" s="98"/>
      <c r="G28" s="98"/>
      <c r="H28" s="98"/>
      <c r="I28" s="104" t="str">
        <f t="shared" si="1"/>
        <v/>
      </c>
      <c r="J28" s="104" t="str">
        <f t="shared" si="2"/>
        <v/>
      </c>
      <c r="K28" s="97"/>
      <c r="L28" s="97"/>
      <c r="M28" s="75"/>
    </row>
    <row r="29" spans="1:13" x14ac:dyDescent="0.2">
      <c r="A29" s="97"/>
      <c r="B29" s="98"/>
      <c r="C29" s="97"/>
      <c r="D29" s="98"/>
      <c r="E29" s="98"/>
      <c r="F29" s="98"/>
      <c r="G29" s="98"/>
      <c r="H29" s="98"/>
      <c r="I29" s="104" t="str">
        <f t="shared" si="1"/>
        <v/>
      </c>
      <c r="J29" s="104" t="str">
        <f t="shared" si="2"/>
        <v/>
      </c>
      <c r="K29" s="97"/>
      <c r="L29" s="97"/>
      <c r="M29" s="75"/>
    </row>
    <row r="30" spans="1:13" x14ac:dyDescent="0.2">
      <c r="A30" s="97"/>
      <c r="B30" s="98"/>
      <c r="C30" s="97"/>
      <c r="D30" s="98"/>
      <c r="E30" s="98"/>
      <c r="F30" s="98"/>
      <c r="G30" s="98"/>
      <c r="H30" s="98"/>
      <c r="I30" s="104" t="str">
        <f t="shared" si="1"/>
        <v/>
      </c>
      <c r="J30" s="104" t="str">
        <f t="shared" si="2"/>
        <v/>
      </c>
      <c r="K30" s="97"/>
      <c r="L30" s="97"/>
      <c r="M30" s="75"/>
    </row>
    <row r="31" spans="1:13" x14ac:dyDescent="0.2">
      <c r="A31" s="100" t="s">
        <v>1277</v>
      </c>
      <c r="B31" s="75"/>
      <c r="C31" s="101" t="s">
        <v>111</v>
      </c>
      <c r="D31" s="99" t="str">
        <f>IFERROR(AVERAGEIFS(I23:I30,C23:C30,Reactor_sel,K23:K30,"y",H23:H30,"H2"),"no included runs — model uses its default")</f>
        <v>no included runs — model uses its default</v>
      </c>
      <c r="E31" s="75"/>
      <c r="F31" s="75"/>
      <c r="G31" s="75"/>
      <c r="H31" s="75"/>
      <c r="I31" s="75"/>
      <c r="J31" s="75"/>
      <c r="K31" s="75"/>
      <c r="L31" s="75"/>
      <c r="M31" s="75"/>
    </row>
    <row r="32" spans="1:13" x14ac:dyDescent="0.2">
      <c r="A32" s="100" t="s">
        <v>1278</v>
      </c>
      <c r="B32" s="75"/>
      <c r="C32" s="101" t="s">
        <v>111</v>
      </c>
      <c r="D32" s="99" t="str">
        <f>IFERROR(AVERAGEIFS(I23:I30,C23:C30,Reactor_sel,K23:K30,"y",H23:H30,"O2"),"no included runs — model uses its default")</f>
        <v>no included runs — model uses its default</v>
      </c>
      <c r="E32" s="75"/>
      <c r="F32" s="75"/>
      <c r="G32" s="75"/>
      <c r="H32" s="75"/>
      <c r="I32" s="75"/>
      <c r="J32" s="75"/>
      <c r="K32" s="75"/>
      <c r="L32" s="75"/>
      <c r="M32" s="75"/>
    </row>
    <row r="33" spans="1:13" x14ac:dyDescent="0.2">
      <c r="A33" s="75"/>
      <c r="B33" s="75"/>
      <c r="C33" s="75"/>
      <c r="D33" s="75"/>
      <c r="E33" s="75"/>
      <c r="F33" s="75"/>
      <c r="G33" s="75"/>
      <c r="H33" s="75"/>
      <c r="I33" s="75"/>
      <c r="J33" s="75"/>
      <c r="K33" s="75"/>
      <c r="L33" s="75"/>
      <c r="M33" s="75"/>
    </row>
    <row r="34" spans="1:13" x14ac:dyDescent="0.2">
      <c r="A34" s="75"/>
      <c r="B34" s="75"/>
      <c r="C34" s="75"/>
      <c r="D34" s="75"/>
      <c r="E34" s="75"/>
      <c r="F34" s="75"/>
      <c r="G34" s="75"/>
      <c r="H34" s="75"/>
      <c r="I34" s="75"/>
      <c r="J34" s="75"/>
      <c r="K34" s="75"/>
      <c r="L34" s="75"/>
      <c r="M34" s="75"/>
    </row>
    <row r="35" spans="1:13" ht="16" x14ac:dyDescent="0.2">
      <c r="A35" s="102" t="str">
        <f>HYPERLINK("https://github.com/amy-bo/electroPioreactor/blob/AEP02/Media/protocols/surface-kla.md","SURFACE kLa  (oxygen surface transfer)")</f>
        <v>SURFACE kLa  (oxygen surface transfer)</v>
      </c>
      <c r="B35" s="75"/>
      <c r="C35" s="75"/>
      <c r="D35" s="75"/>
      <c r="E35" s="75"/>
      <c r="F35" s="75"/>
      <c r="G35" s="75"/>
      <c r="H35" s="75"/>
      <c r="I35" s="75"/>
      <c r="J35" s="75"/>
      <c r="K35" s="75"/>
      <c r="L35" s="75"/>
      <c r="M35" s="75"/>
    </row>
    <row r="36" spans="1:13" x14ac:dyDescent="0.2">
      <c r="A36" s="75" t="s">
        <v>1279</v>
      </c>
      <c r="B36" s="75"/>
      <c r="C36" s="75"/>
      <c r="D36" s="75"/>
      <c r="E36" s="75"/>
      <c r="F36" s="75"/>
      <c r="G36" s="75"/>
      <c r="H36" s="75"/>
      <c r="I36" s="75"/>
      <c r="J36" s="75"/>
      <c r="K36" s="75"/>
      <c r="L36" s="75"/>
      <c r="M36" s="75"/>
    </row>
    <row r="37" spans="1:13" x14ac:dyDescent="0.2">
      <c r="A37" s="103" t="s">
        <v>1263</v>
      </c>
      <c r="B37" s="103" t="s">
        <v>1264</v>
      </c>
      <c r="C37" s="103" t="s">
        <v>1</v>
      </c>
      <c r="D37" s="103" t="s">
        <v>1280</v>
      </c>
      <c r="E37" s="103" t="s">
        <v>1267</v>
      </c>
      <c r="F37" s="103" t="s">
        <v>1268</v>
      </c>
      <c r="G37" s="103" t="s">
        <v>1269</v>
      </c>
      <c r="H37" s="75"/>
      <c r="I37" s="75"/>
      <c r="J37" s="75"/>
      <c r="K37" s="75"/>
      <c r="L37" s="75"/>
      <c r="M37" s="75"/>
    </row>
    <row r="38" spans="1:13" x14ac:dyDescent="0.2">
      <c r="A38" s="97"/>
      <c r="B38" s="98"/>
      <c r="C38" s="97"/>
      <c r="D38" s="98"/>
      <c r="E38" s="104" t="str">
        <f t="shared" ref="E38:E45" si="3">IFERROR(INDEX(ReactorTypeList,MATCH(C38,ReactorList,0)),"")</f>
        <v/>
      </c>
      <c r="F38" s="97"/>
      <c r="G38" s="97"/>
      <c r="H38" s="75"/>
      <c r="I38" s="75"/>
      <c r="J38" s="75"/>
      <c r="K38" s="75"/>
      <c r="L38" s="75"/>
      <c r="M38" s="75"/>
    </row>
    <row r="39" spans="1:13" x14ac:dyDescent="0.2">
      <c r="A39" s="97"/>
      <c r="B39" s="98"/>
      <c r="C39" s="97"/>
      <c r="D39" s="98"/>
      <c r="E39" s="104" t="str">
        <f t="shared" si="3"/>
        <v/>
      </c>
      <c r="F39" s="97"/>
      <c r="G39" s="97"/>
      <c r="H39" s="75"/>
      <c r="I39" s="75"/>
      <c r="J39" s="75"/>
      <c r="K39" s="75"/>
      <c r="L39" s="75"/>
      <c r="M39" s="75"/>
    </row>
    <row r="40" spans="1:13" x14ac:dyDescent="0.2">
      <c r="A40" s="97"/>
      <c r="B40" s="98"/>
      <c r="C40" s="97"/>
      <c r="D40" s="98"/>
      <c r="E40" s="104" t="str">
        <f t="shared" si="3"/>
        <v/>
      </c>
      <c r="F40" s="97"/>
      <c r="G40" s="97"/>
      <c r="H40" s="75"/>
      <c r="I40" s="75"/>
      <c r="J40" s="75"/>
      <c r="K40" s="75"/>
      <c r="L40" s="75"/>
      <c r="M40" s="75"/>
    </row>
    <row r="41" spans="1:13" x14ac:dyDescent="0.2">
      <c r="A41" s="97"/>
      <c r="B41" s="98"/>
      <c r="C41" s="97"/>
      <c r="D41" s="98"/>
      <c r="E41" s="104" t="str">
        <f t="shared" si="3"/>
        <v/>
      </c>
      <c r="F41" s="97"/>
      <c r="G41" s="97"/>
      <c r="H41" s="75"/>
      <c r="I41" s="75"/>
      <c r="J41" s="75"/>
      <c r="K41" s="75"/>
      <c r="L41" s="75"/>
      <c r="M41" s="75"/>
    </row>
    <row r="42" spans="1:13" x14ac:dyDescent="0.2">
      <c r="A42" s="97"/>
      <c r="B42" s="98"/>
      <c r="C42" s="97"/>
      <c r="D42" s="98"/>
      <c r="E42" s="104" t="str">
        <f t="shared" si="3"/>
        <v/>
      </c>
      <c r="F42" s="97"/>
      <c r="G42" s="97"/>
      <c r="H42" s="75"/>
      <c r="I42" s="75"/>
      <c r="J42" s="75"/>
      <c r="K42" s="75"/>
      <c r="L42" s="75"/>
      <c r="M42" s="75"/>
    </row>
    <row r="43" spans="1:13" x14ac:dyDescent="0.2">
      <c r="A43" s="97"/>
      <c r="B43" s="98"/>
      <c r="C43" s="97"/>
      <c r="D43" s="98"/>
      <c r="E43" s="104" t="str">
        <f t="shared" si="3"/>
        <v/>
      </c>
      <c r="F43" s="97"/>
      <c r="G43" s="97"/>
      <c r="H43" s="75"/>
      <c r="I43" s="75"/>
      <c r="J43" s="75"/>
      <c r="K43" s="75"/>
      <c r="L43" s="75"/>
      <c r="M43" s="75"/>
    </row>
    <row r="44" spans="1:13" x14ac:dyDescent="0.2">
      <c r="A44" s="97"/>
      <c r="B44" s="98"/>
      <c r="C44" s="97"/>
      <c r="D44" s="98"/>
      <c r="E44" s="104" t="str">
        <f t="shared" si="3"/>
        <v/>
      </c>
      <c r="F44" s="97"/>
      <c r="G44" s="97"/>
      <c r="H44" s="75"/>
      <c r="I44" s="75"/>
      <c r="J44" s="75"/>
      <c r="K44" s="75"/>
      <c r="L44" s="75"/>
      <c r="M44" s="75"/>
    </row>
    <row r="45" spans="1:13" x14ac:dyDescent="0.2">
      <c r="A45" s="97"/>
      <c r="B45" s="98"/>
      <c r="C45" s="97"/>
      <c r="D45" s="98"/>
      <c r="E45" s="104" t="str">
        <f t="shared" si="3"/>
        <v/>
      </c>
      <c r="F45" s="97"/>
      <c r="G45" s="97"/>
      <c r="H45" s="75"/>
      <c r="I45" s="75"/>
      <c r="J45" s="75"/>
      <c r="K45" s="75"/>
      <c r="L45" s="75"/>
      <c r="M45" s="75"/>
    </row>
    <row r="46" spans="1:13" x14ac:dyDescent="0.2">
      <c r="A46" s="100" t="s">
        <v>1281</v>
      </c>
      <c r="B46" s="75"/>
      <c r="C46" s="101" t="s">
        <v>449</v>
      </c>
      <c r="D46" s="99" t="str">
        <f>IFERROR(AVERAGEIFS(D38:D45,C38:C45,Reactor_sel,F38:F45,"y"),"no included runs — model uses its default")</f>
        <v>no included runs — model uses its default</v>
      </c>
      <c r="E46" s="75"/>
      <c r="F46" s="75"/>
      <c r="G46" s="75"/>
      <c r="H46" s="75"/>
      <c r="I46" s="75"/>
      <c r="J46" s="75"/>
      <c r="K46" s="75"/>
      <c r="L46" s="75"/>
      <c r="M46" s="75"/>
    </row>
    <row r="47" spans="1:13" x14ac:dyDescent="0.2">
      <c r="A47" s="75"/>
      <c r="B47" s="75"/>
      <c r="C47" s="75"/>
      <c r="D47" s="75"/>
      <c r="E47" s="75"/>
      <c r="F47" s="75"/>
      <c r="G47" s="75"/>
      <c r="H47" s="75"/>
      <c r="I47" s="75"/>
      <c r="J47" s="75"/>
      <c r="K47" s="75"/>
      <c r="L47" s="75"/>
      <c r="M47" s="75"/>
    </row>
    <row r="48" spans="1:13" x14ac:dyDescent="0.2">
      <c r="A48" s="75"/>
      <c r="B48" s="75"/>
      <c r="C48" s="75"/>
      <c r="D48" s="75"/>
      <c r="E48" s="75"/>
      <c r="F48" s="75"/>
      <c r="G48" s="75"/>
      <c r="H48" s="75"/>
      <c r="I48" s="75"/>
      <c r="J48" s="75"/>
      <c r="K48" s="75"/>
      <c r="L48" s="75"/>
      <c r="M48" s="75"/>
    </row>
    <row r="49" spans="1:13" ht="16" x14ac:dyDescent="0.2">
      <c r="A49" s="102" t="str">
        <f>HYPERLINK("https://github.com/amy-bo/electroPioreactor/blob/AEP02/Media/protocols/flow-calibration.md","CO2 FLOW  (dosing flow rate)")</f>
        <v>CO2 FLOW  (dosing flow rate)</v>
      </c>
      <c r="B49" s="75"/>
      <c r="C49" s="75"/>
      <c r="D49" s="75"/>
      <c r="E49" s="75"/>
      <c r="F49" s="75"/>
      <c r="G49" s="75"/>
      <c r="H49" s="75"/>
      <c r="I49" s="75"/>
      <c r="J49" s="75"/>
      <c r="K49" s="75"/>
      <c r="L49" s="75"/>
      <c r="M49" s="75"/>
    </row>
    <row r="50" spans="1:13" x14ac:dyDescent="0.2">
      <c r="A50" s="75" t="s">
        <v>2637</v>
      </c>
      <c r="B50" s="75"/>
      <c r="C50" s="75"/>
      <c r="D50" s="75"/>
      <c r="E50" s="75"/>
      <c r="F50" s="75"/>
      <c r="G50" s="75"/>
      <c r="H50" s="75"/>
      <c r="I50" s="75"/>
      <c r="J50" s="75"/>
      <c r="K50" s="75"/>
      <c r="L50" s="75"/>
      <c r="M50" s="75"/>
    </row>
    <row r="51" spans="1:13" x14ac:dyDescent="0.2">
      <c r="A51" s="103" t="s">
        <v>1263</v>
      </c>
      <c r="B51" s="103" t="s">
        <v>1264</v>
      </c>
      <c r="C51" s="103" t="s">
        <v>1</v>
      </c>
      <c r="D51" s="103" t="s">
        <v>1282</v>
      </c>
      <c r="E51" s="103" t="s">
        <v>1283</v>
      </c>
      <c r="F51" s="103" t="s">
        <v>1284</v>
      </c>
      <c r="G51" s="103" t="s">
        <v>1267</v>
      </c>
      <c r="H51" s="103" t="s">
        <v>1268</v>
      </c>
      <c r="I51" s="103" t="s">
        <v>1269</v>
      </c>
      <c r="J51" s="103" t="s">
        <v>2638</v>
      </c>
      <c r="K51" s="75"/>
      <c r="L51" s="75"/>
      <c r="M51" s="75"/>
    </row>
    <row r="52" spans="1:13" x14ac:dyDescent="0.2">
      <c r="A52" s="97"/>
      <c r="B52" s="98"/>
      <c r="C52" s="97"/>
      <c r="D52" s="98"/>
      <c r="E52" s="98"/>
      <c r="F52" s="104" t="str">
        <f t="shared" ref="F52:F59" si="4">IFERROR(D52/E52,"")</f>
        <v/>
      </c>
      <c r="G52" s="104" t="str">
        <f t="shared" ref="G52:G59" si="5">IFERROR(INDEX(ReactorTypeList,MATCH(C52,ReactorList,0)),"")</f>
        <v/>
      </c>
      <c r="H52" s="97"/>
      <c r="I52" s="97"/>
      <c r="J52" s="98"/>
      <c r="K52" s="75"/>
      <c r="L52" s="75"/>
      <c r="M52" s="75"/>
    </row>
    <row r="53" spans="1:13" x14ac:dyDescent="0.2">
      <c r="A53" s="97"/>
      <c r="B53" s="98"/>
      <c r="C53" s="97"/>
      <c r="D53" s="98"/>
      <c r="E53" s="98"/>
      <c r="F53" s="104" t="str">
        <f t="shared" si="4"/>
        <v/>
      </c>
      <c r="G53" s="104" t="str">
        <f t="shared" si="5"/>
        <v/>
      </c>
      <c r="H53" s="97"/>
      <c r="I53" s="97"/>
      <c r="J53" s="98"/>
      <c r="K53" s="75"/>
      <c r="L53" s="75"/>
      <c r="M53" s="75"/>
    </row>
    <row r="54" spans="1:13" x14ac:dyDescent="0.2">
      <c r="A54" s="97"/>
      <c r="B54" s="98"/>
      <c r="C54" s="97"/>
      <c r="D54" s="98"/>
      <c r="E54" s="98"/>
      <c r="F54" s="104" t="str">
        <f t="shared" si="4"/>
        <v/>
      </c>
      <c r="G54" s="104" t="str">
        <f t="shared" si="5"/>
        <v/>
      </c>
      <c r="H54" s="97"/>
      <c r="I54" s="97"/>
      <c r="J54" s="98"/>
      <c r="K54" s="75"/>
      <c r="L54" s="75"/>
      <c r="M54" s="75"/>
    </row>
    <row r="55" spans="1:13" x14ac:dyDescent="0.2">
      <c r="A55" s="97"/>
      <c r="B55" s="98"/>
      <c r="C55" s="97"/>
      <c r="D55" s="98"/>
      <c r="E55" s="98"/>
      <c r="F55" s="104" t="str">
        <f t="shared" si="4"/>
        <v/>
      </c>
      <c r="G55" s="104" t="str">
        <f t="shared" si="5"/>
        <v/>
      </c>
      <c r="H55" s="97"/>
      <c r="I55" s="97"/>
      <c r="J55" s="98"/>
      <c r="K55" s="75"/>
      <c r="L55" s="75"/>
      <c r="M55" s="75"/>
    </row>
    <row r="56" spans="1:13" x14ac:dyDescent="0.2">
      <c r="A56" s="97"/>
      <c r="B56" s="98"/>
      <c r="C56" s="97"/>
      <c r="D56" s="98"/>
      <c r="E56" s="98"/>
      <c r="F56" s="104" t="str">
        <f t="shared" si="4"/>
        <v/>
      </c>
      <c r="G56" s="104" t="str">
        <f t="shared" si="5"/>
        <v/>
      </c>
      <c r="H56" s="97"/>
      <c r="I56" s="97"/>
      <c r="J56" s="98"/>
      <c r="K56" s="75"/>
      <c r="L56" s="75"/>
      <c r="M56" s="75"/>
    </row>
    <row r="57" spans="1:13" x14ac:dyDescent="0.2">
      <c r="A57" s="97"/>
      <c r="B57" s="98"/>
      <c r="C57" s="97"/>
      <c r="D57" s="98"/>
      <c r="E57" s="98"/>
      <c r="F57" s="104" t="str">
        <f t="shared" si="4"/>
        <v/>
      </c>
      <c r="G57" s="104" t="str">
        <f t="shared" si="5"/>
        <v/>
      </c>
      <c r="H57" s="97"/>
      <c r="I57" s="97"/>
      <c r="J57" s="98"/>
      <c r="K57" s="75"/>
      <c r="L57" s="75"/>
      <c r="M57" s="75"/>
    </row>
    <row r="58" spans="1:13" x14ac:dyDescent="0.2">
      <c r="A58" s="97"/>
      <c r="B58" s="98"/>
      <c r="C58" s="97"/>
      <c r="D58" s="98"/>
      <c r="E58" s="98"/>
      <c r="F58" s="104" t="str">
        <f t="shared" si="4"/>
        <v/>
      </c>
      <c r="G58" s="104" t="str">
        <f t="shared" si="5"/>
        <v/>
      </c>
      <c r="H58" s="97"/>
      <c r="I58" s="97"/>
      <c r="J58" s="98"/>
      <c r="K58" s="75"/>
      <c r="L58" s="75"/>
      <c r="M58" s="75"/>
    </row>
    <row r="59" spans="1:13" x14ac:dyDescent="0.2">
      <c r="A59" s="97"/>
      <c r="B59" s="98"/>
      <c r="C59" s="97"/>
      <c r="D59" s="98"/>
      <c r="E59" s="98"/>
      <c r="F59" s="104" t="str">
        <f t="shared" si="4"/>
        <v/>
      </c>
      <c r="G59" s="104" t="str">
        <f t="shared" si="5"/>
        <v/>
      </c>
      <c r="H59" s="97"/>
      <c r="I59" s="97"/>
      <c r="J59" s="98"/>
      <c r="K59" s="75"/>
      <c r="L59" s="75"/>
      <c r="M59" s="75"/>
    </row>
    <row r="60" spans="1:13" x14ac:dyDescent="0.2">
      <c r="A60" s="100" t="s">
        <v>1285</v>
      </c>
      <c r="B60" s="75"/>
      <c r="C60" s="101" t="s">
        <v>1286</v>
      </c>
      <c r="D60" s="99" t="str">
        <f>IFERROR(AVERAGEIFS(F52:F59,C52:C59,Reactor_sel,H52:H59,"y",B52:B59,SUMPRODUCT(MAX((C52:C59=Reactor_sel)*(H52:H59="y")*B52:B59))),"no included runs — model uses its default")</f>
        <v>no included runs — model uses its default</v>
      </c>
      <c r="E60" s="75"/>
      <c r="F60" s="75"/>
      <c r="G60" s="75"/>
      <c r="H60" s="75"/>
      <c r="I60" s="75"/>
      <c r="J60" s="75"/>
      <c r="K60" s="75"/>
      <c r="L60" s="75"/>
      <c r="M60" s="75"/>
    </row>
    <row r="61" spans="1:13" x14ac:dyDescent="0.2">
      <c r="A61" s="100" t="s">
        <v>2639</v>
      </c>
      <c r="B61" s="75"/>
      <c r="C61" s="101" t="s">
        <v>12</v>
      </c>
      <c r="D61" s="99" t="str">
        <f>IFERROR(AVERAGEIFS(J52:J59,C52:C59,Reactor_sel,H52:H59,"y",J52:J59,"&gt;0",B52:B59,SUMPRODUCT(MAX((C52:C59=Reactor_sel)*(H52:H59="y")*(J52:J59&gt;0)*B52:B59))),"no included runs — model uses its default")</f>
        <v>no included runs — model uses its default</v>
      </c>
      <c r="E61" s="75"/>
      <c r="F61" s="75"/>
      <c r="G61" s="75"/>
      <c r="H61" s="75"/>
      <c r="I61" s="75"/>
      <c r="J61" s="75"/>
      <c r="K61" s="75"/>
      <c r="L61" s="75"/>
      <c r="M61" s="75"/>
    </row>
    <row r="62" spans="1:13" x14ac:dyDescent="0.2">
      <c r="A62" s="75"/>
      <c r="B62" s="75"/>
      <c r="C62" s="75"/>
      <c r="D62" s="75"/>
      <c r="E62" s="75"/>
      <c r="F62" s="75"/>
      <c r="G62" s="75"/>
      <c r="H62" s="75"/>
      <c r="I62" s="75"/>
      <c r="J62" s="75"/>
      <c r="K62" s="75"/>
      <c r="L62" s="75"/>
      <c r="M62" s="75"/>
    </row>
    <row r="63" spans="1:13" ht="16" x14ac:dyDescent="0.2">
      <c r="A63" s="102" t="str">
        <f>HYPERLINK("https://github.com/amy-bo/electroPioreactor/blob/AEP02/Media/protocols/vial-geometry.md","VIAL GEOMETRY  (true volume &amp; bore depth)")</f>
        <v>VIAL GEOMETRY  (true volume &amp; bore depth)</v>
      </c>
      <c r="B63" s="75"/>
      <c r="C63" s="75"/>
      <c r="D63" s="75"/>
      <c r="E63" s="75"/>
      <c r="F63" s="75"/>
      <c r="G63" s="75"/>
      <c r="H63" s="75"/>
      <c r="I63" s="75"/>
      <c r="J63" s="75"/>
      <c r="K63" s="75"/>
      <c r="L63" s="75"/>
      <c r="M63" s="75"/>
    </row>
    <row r="64" spans="1:13" x14ac:dyDescent="0.2">
      <c r="A64" s="75" t="s">
        <v>1287</v>
      </c>
      <c r="B64" s="75"/>
      <c r="C64" s="75"/>
      <c r="D64" s="75"/>
      <c r="E64" s="75"/>
      <c r="F64" s="75"/>
      <c r="G64" s="75"/>
      <c r="H64" s="75"/>
      <c r="I64" s="75"/>
      <c r="J64" s="75"/>
      <c r="K64" s="75"/>
      <c r="L64" s="75"/>
      <c r="M64" s="75"/>
    </row>
    <row r="65" spans="1:14" x14ac:dyDescent="0.2">
      <c r="A65" s="103" t="s">
        <v>1263</v>
      </c>
      <c r="B65" s="103" t="s">
        <v>1264</v>
      </c>
      <c r="C65" s="103" t="s">
        <v>1</v>
      </c>
      <c r="D65" s="103" t="s">
        <v>1288</v>
      </c>
      <c r="E65" s="103" t="s">
        <v>1289</v>
      </c>
      <c r="F65" s="103" t="s">
        <v>1274</v>
      </c>
      <c r="G65" s="103" t="s">
        <v>1290</v>
      </c>
      <c r="H65" s="103" t="s">
        <v>1291</v>
      </c>
      <c r="I65" s="103" t="s">
        <v>1267</v>
      </c>
      <c r="J65" s="103" t="s">
        <v>1268</v>
      </c>
      <c r="K65" s="103" t="s">
        <v>1269</v>
      </c>
      <c r="L65" s="103" t="s">
        <v>2640</v>
      </c>
      <c r="M65" s="103" t="s">
        <v>2641</v>
      </c>
      <c r="N65" s="103" t="s">
        <v>2642</v>
      </c>
    </row>
    <row r="66" spans="1:14" x14ac:dyDescent="0.2">
      <c r="A66" s="97"/>
      <c r="B66" s="98"/>
      <c r="C66" s="97"/>
      <c r="D66" s="98"/>
      <c r="E66" s="98"/>
      <c r="F66" s="98"/>
      <c r="G66" s="104" t="str">
        <f t="shared" ref="G66:G73" si="6">IF(E66="","",IFERROR(E66/((ca_rho_0+ca_rho_k*F66)/1000),""))</f>
        <v/>
      </c>
      <c r="H66" s="104" t="str">
        <f t="shared" ref="H66:H73" si="7">IF(E66="","",IFERROR((E66/((ca_rho_0+ca_rho_k*F66)/1000))*1000/A_x,""))</f>
        <v/>
      </c>
      <c r="I66" s="104" t="str">
        <f t="shared" ref="I66:I73" si="8">IFERROR(INDEX(ReactorTypeList,MATCH(C66,ReactorList,0)),"")</f>
        <v/>
      </c>
      <c r="J66" s="97"/>
      <c r="K66" s="97"/>
      <c r="L66" s="104" t="str">
        <f t="shared" ref="L66:L73" si="9">IF(D66="","",IFERROR(D66/((ca_rho_0+ca_rho_k*F66)/1000),""))</f>
        <v/>
      </c>
      <c r="M66" s="98"/>
      <c r="N66" s="104" t="str">
        <f t="shared" ref="N66:N73" si="10">IF(M66="","",IFERROR(M66/((ca_rho_0+ca_rho_k*F66)/1000),""))</f>
        <v/>
      </c>
    </row>
    <row r="67" spans="1:14" x14ac:dyDescent="0.2">
      <c r="A67" s="97"/>
      <c r="B67" s="98"/>
      <c r="C67" s="97"/>
      <c r="D67" s="98"/>
      <c r="E67" s="98"/>
      <c r="F67" s="98"/>
      <c r="G67" s="104" t="str">
        <f t="shared" si="6"/>
        <v/>
      </c>
      <c r="H67" s="104" t="str">
        <f t="shared" si="7"/>
        <v/>
      </c>
      <c r="I67" s="104" t="str">
        <f t="shared" si="8"/>
        <v/>
      </c>
      <c r="J67" s="97"/>
      <c r="K67" s="97"/>
      <c r="L67" s="104" t="str">
        <f t="shared" si="9"/>
        <v/>
      </c>
      <c r="M67" s="98"/>
      <c r="N67" s="104" t="str">
        <f t="shared" si="10"/>
        <v/>
      </c>
    </row>
    <row r="68" spans="1:14" x14ac:dyDescent="0.2">
      <c r="A68" s="97"/>
      <c r="B68" s="98"/>
      <c r="C68" s="97"/>
      <c r="D68" s="98"/>
      <c r="E68" s="98"/>
      <c r="F68" s="98"/>
      <c r="G68" s="104" t="str">
        <f t="shared" si="6"/>
        <v/>
      </c>
      <c r="H68" s="104" t="str">
        <f t="shared" si="7"/>
        <v/>
      </c>
      <c r="I68" s="104" t="str">
        <f t="shared" si="8"/>
        <v/>
      </c>
      <c r="J68" s="97"/>
      <c r="K68" s="97"/>
      <c r="L68" s="104" t="str">
        <f t="shared" si="9"/>
        <v/>
      </c>
      <c r="M68" s="98"/>
      <c r="N68" s="104" t="str">
        <f t="shared" si="10"/>
        <v/>
      </c>
    </row>
    <row r="69" spans="1:14" x14ac:dyDescent="0.2">
      <c r="A69" s="97"/>
      <c r="B69" s="98"/>
      <c r="C69" s="97"/>
      <c r="D69" s="98"/>
      <c r="E69" s="98"/>
      <c r="F69" s="98"/>
      <c r="G69" s="104" t="str">
        <f t="shared" si="6"/>
        <v/>
      </c>
      <c r="H69" s="104" t="str">
        <f t="shared" si="7"/>
        <v/>
      </c>
      <c r="I69" s="104" t="str">
        <f t="shared" si="8"/>
        <v/>
      </c>
      <c r="J69" s="97"/>
      <c r="K69" s="97"/>
      <c r="L69" s="104" t="str">
        <f t="shared" si="9"/>
        <v/>
      </c>
      <c r="M69" s="98"/>
      <c r="N69" s="104" t="str">
        <f t="shared" si="10"/>
        <v/>
      </c>
    </row>
    <row r="70" spans="1:14" x14ac:dyDescent="0.2">
      <c r="A70" s="97"/>
      <c r="B70" s="98"/>
      <c r="C70" s="97"/>
      <c r="D70" s="98"/>
      <c r="E70" s="98"/>
      <c r="F70" s="98"/>
      <c r="G70" s="104" t="str">
        <f t="shared" si="6"/>
        <v/>
      </c>
      <c r="H70" s="104" t="str">
        <f t="shared" si="7"/>
        <v/>
      </c>
      <c r="I70" s="104" t="str">
        <f t="shared" si="8"/>
        <v/>
      </c>
      <c r="J70" s="97"/>
      <c r="K70" s="97"/>
      <c r="L70" s="104" t="str">
        <f t="shared" si="9"/>
        <v/>
      </c>
      <c r="M70" s="98"/>
      <c r="N70" s="104" t="str">
        <f t="shared" si="10"/>
        <v/>
      </c>
    </row>
    <row r="71" spans="1:14" x14ac:dyDescent="0.2">
      <c r="A71" s="97"/>
      <c r="B71" s="98"/>
      <c r="C71" s="97"/>
      <c r="D71" s="98"/>
      <c r="E71" s="98"/>
      <c r="F71" s="98"/>
      <c r="G71" s="104" t="str">
        <f t="shared" si="6"/>
        <v/>
      </c>
      <c r="H71" s="104" t="str">
        <f t="shared" si="7"/>
        <v/>
      </c>
      <c r="I71" s="104" t="str">
        <f t="shared" si="8"/>
        <v/>
      </c>
      <c r="J71" s="97"/>
      <c r="K71" s="97"/>
      <c r="L71" s="104" t="str">
        <f t="shared" si="9"/>
        <v/>
      </c>
      <c r="M71" s="98"/>
      <c r="N71" s="104" t="str">
        <f t="shared" si="10"/>
        <v/>
      </c>
    </row>
    <row r="72" spans="1:14" x14ac:dyDescent="0.2">
      <c r="A72" s="97"/>
      <c r="B72" s="98"/>
      <c r="C72" s="97"/>
      <c r="D72" s="98"/>
      <c r="E72" s="98"/>
      <c r="F72" s="98"/>
      <c r="G72" s="104" t="str">
        <f t="shared" si="6"/>
        <v/>
      </c>
      <c r="H72" s="104" t="str">
        <f t="shared" si="7"/>
        <v/>
      </c>
      <c r="I72" s="104" t="str">
        <f t="shared" si="8"/>
        <v/>
      </c>
      <c r="J72" s="97"/>
      <c r="K72" s="97"/>
      <c r="L72" s="104" t="str">
        <f t="shared" si="9"/>
        <v/>
      </c>
      <c r="M72" s="98"/>
      <c r="N72" s="104" t="str">
        <f t="shared" si="10"/>
        <v/>
      </c>
    </row>
    <row r="73" spans="1:14" x14ac:dyDescent="0.2">
      <c r="A73" s="97"/>
      <c r="B73" s="98"/>
      <c r="C73" s="97"/>
      <c r="D73" s="98"/>
      <c r="E73" s="98"/>
      <c r="F73" s="98"/>
      <c r="G73" s="104" t="str">
        <f t="shared" si="6"/>
        <v/>
      </c>
      <c r="H73" s="104" t="str">
        <f t="shared" si="7"/>
        <v/>
      </c>
      <c r="I73" s="104" t="str">
        <f t="shared" si="8"/>
        <v/>
      </c>
      <c r="J73" s="97"/>
      <c r="K73" s="97"/>
      <c r="L73" s="104" t="str">
        <f t="shared" si="9"/>
        <v/>
      </c>
      <c r="M73" s="98"/>
      <c r="N73" s="104" t="str">
        <f t="shared" si="10"/>
        <v/>
      </c>
    </row>
    <row r="74" spans="1:14" x14ac:dyDescent="0.2">
      <c r="A74" s="100" t="s">
        <v>1292</v>
      </c>
      <c r="B74" s="75"/>
      <c r="C74" s="101" t="s">
        <v>52</v>
      </c>
      <c r="D74" s="99" t="str">
        <f>IFERROR(AVERAGEIFS(G66:G73,I66:I73,rx_ver,J66:J73,"y"),"no included runs — model uses its default")</f>
        <v>no included runs — model uses its default</v>
      </c>
      <c r="E74" s="75"/>
      <c r="F74" s="75"/>
      <c r="G74" s="75"/>
      <c r="H74" s="75"/>
      <c r="I74" s="75"/>
      <c r="J74" s="75"/>
      <c r="K74" s="75"/>
      <c r="L74" s="75"/>
      <c r="M74" s="75"/>
    </row>
    <row r="75" spans="1:14" x14ac:dyDescent="0.2">
      <c r="A75" s="100" t="s">
        <v>1293</v>
      </c>
      <c r="B75" s="75"/>
      <c r="C75" s="101" t="s">
        <v>115</v>
      </c>
      <c r="D75" s="99" t="str">
        <f>IFERROR(AVERAGEIFS(H66:H73,I66:I73,rx_ver,J66:J73,"y"),"no included runs — model uses its default")</f>
        <v>no included runs — model uses its default</v>
      </c>
      <c r="E75" s="75"/>
      <c r="F75" s="75"/>
      <c r="G75" s="75"/>
      <c r="H75" s="75"/>
      <c r="I75" s="75"/>
      <c r="J75" s="75"/>
      <c r="K75" s="75"/>
      <c r="L75" s="75"/>
      <c r="M75" s="75"/>
    </row>
    <row r="76" spans="1:14" x14ac:dyDescent="0.2">
      <c r="A76" s="100" t="s">
        <v>2643</v>
      </c>
      <c r="B76" s="75"/>
      <c r="C76" s="101" t="s">
        <v>52</v>
      </c>
      <c r="D76" s="99" t="str">
        <f>IFERROR(AVERAGEIFS(L66:L73,I66:I73,rx_ver,J66:J73,"y"),"no included runs — model uses its default")</f>
        <v>no included runs — model uses its default</v>
      </c>
      <c r="E76" s="75"/>
      <c r="F76" s="75"/>
      <c r="G76" s="75"/>
      <c r="H76" s="75"/>
      <c r="I76" s="75"/>
      <c r="J76" s="75"/>
      <c r="K76" s="75"/>
      <c r="L76" s="75"/>
      <c r="M76" s="75"/>
    </row>
    <row r="77" spans="1:14" x14ac:dyDescent="0.2">
      <c r="A77" s="100" t="s">
        <v>2644</v>
      </c>
      <c r="B77" s="75"/>
      <c r="C77" s="101" t="s">
        <v>52</v>
      </c>
      <c r="D77" s="99" t="str">
        <f>IFERROR(AVERAGEIFS(N66:N73,I66:I73,rx_ver,J66:J73,"y"),"no included runs — model uses its default")</f>
        <v>no included runs — model uses its default</v>
      </c>
      <c r="E77" s="75"/>
      <c r="F77" s="75"/>
      <c r="G77" s="75"/>
      <c r="H77" s="75"/>
      <c r="I77" s="75"/>
      <c r="J77" s="75"/>
      <c r="K77" s="75"/>
      <c r="L77" s="75"/>
      <c r="M77" s="75"/>
    </row>
    <row r="78" spans="1:14" ht="16" x14ac:dyDescent="0.2">
      <c r="A78" s="102" t="str">
        <f>HYPERLINK("https://github.com/amy-bo/electroPioreactor/blob/AEP02/Media/protocols/sinter-porosity.md","SINTER POROSITY  (sparger frit grade)")</f>
        <v>SINTER POROSITY  (sparger frit grade)</v>
      </c>
      <c r="B78" s="75"/>
      <c r="C78" s="75"/>
      <c r="D78" s="75"/>
      <c r="E78" s="75"/>
      <c r="F78" s="75"/>
      <c r="G78" s="75"/>
      <c r="H78" s="75"/>
      <c r="I78" s="75"/>
      <c r="J78" s="75"/>
      <c r="K78" s="75"/>
      <c r="L78" s="75"/>
      <c r="M78" s="75"/>
    </row>
    <row r="79" spans="1:14" x14ac:dyDescent="0.2">
      <c r="A79" s="75" t="s">
        <v>1294</v>
      </c>
      <c r="B79" s="75"/>
      <c r="C79" s="75"/>
      <c r="D79" s="75"/>
      <c r="E79" s="75"/>
      <c r="F79" s="98"/>
      <c r="G79" s="75"/>
      <c r="H79" s="75"/>
      <c r="I79" s="75"/>
      <c r="J79" s="75"/>
      <c r="K79" s="75"/>
      <c r="L79" s="75"/>
      <c r="M79" s="75"/>
    </row>
    <row r="80" spans="1:14" x14ac:dyDescent="0.2">
      <c r="A80" s="103" t="s">
        <v>1263</v>
      </c>
      <c r="B80" s="103" t="s">
        <v>1264</v>
      </c>
      <c r="C80" s="103" t="s">
        <v>1</v>
      </c>
      <c r="D80" s="103" t="s">
        <v>1295</v>
      </c>
      <c r="E80" s="103" t="s">
        <v>1296</v>
      </c>
      <c r="F80" s="103" t="s">
        <v>1267</v>
      </c>
      <c r="G80" s="103" t="s">
        <v>1268</v>
      </c>
      <c r="H80" s="103" t="s">
        <v>1269</v>
      </c>
      <c r="I80" s="75"/>
      <c r="J80" s="75"/>
      <c r="K80" s="75"/>
      <c r="L80" s="75"/>
      <c r="M80" s="75"/>
    </row>
    <row r="81" spans="1:13" x14ac:dyDescent="0.2">
      <c r="A81" s="97"/>
      <c r="B81" s="98"/>
      <c r="C81" s="97"/>
      <c r="D81" s="98"/>
      <c r="E81" s="104" t="str">
        <f t="shared" ref="E81:E88" si="11">IFERROR(IF((bp_const/D81)&gt;por_break_1,0,IF((bp_const/D81)&gt;por_break_2,1,IF((bp_const/D81)&gt;por_break_3,2,IF((bp_const/D81)&gt;por_break_4,3,IF((bp_const/D81)&gt;por_break_5,4,5))))),"")</f>
        <v/>
      </c>
      <c r="F81" s="104" t="str">
        <f t="shared" ref="F81:F88" si="12">IFERROR(INDEX(ReactorTypeList,MATCH(C81,ReactorList,0)),"")</f>
        <v/>
      </c>
      <c r="G81" s="97"/>
      <c r="H81" s="97"/>
      <c r="I81" s="75"/>
      <c r="J81" s="75"/>
      <c r="K81" s="75"/>
      <c r="L81" s="75"/>
      <c r="M81" s="75"/>
    </row>
    <row r="82" spans="1:13" x14ac:dyDescent="0.2">
      <c r="A82" s="97"/>
      <c r="B82" s="98"/>
      <c r="C82" s="97"/>
      <c r="D82" s="98"/>
      <c r="E82" s="104" t="str">
        <f t="shared" si="11"/>
        <v/>
      </c>
      <c r="F82" s="105" t="str">
        <f t="shared" si="12"/>
        <v/>
      </c>
      <c r="G82" s="97"/>
      <c r="H82" s="97"/>
      <c r="I82" s="75"/>
      <c r="J82" s="75"/>
      <c r="K82" s="75"/>
      <c r="L82" s="75"/>
      <c r="M82" s="75"/>
    </row>
    <row r="83" spans="1:13" x14ac:dyDescent="0.2">
      <c r="A83" s="97"/>
      <c r="B83" s="98"/>
      <c r="C83" s="97"/>
      <c r="D83" s="98"/>
      <c r="E83" s="104" t="str">
        <f t="shared" si="11"/>
        <v/>
      </c>
      <c r="F83" s="105" t="str">
        <f t="shared" si="12"/>
        <v/>
      </c>
      <c r="G83" s="97"/>
      <c r="H83" s="97"/>
      <c r="I83" s="75"/>
      <c r="J83" s="75"/>
      <c r="K83" s="75"/>
      <c r="L83" s="75"/>
      <c r="M83" s="75"/>
    </row>
    <row r="84" spans="1:13" x14ac:dyDescent="0.2">
      <c r="A84" s="97"/>
      <c r="B84" s="98"/>
      <c r="C84" s="97"/>
      <c r="D84" s="98"/>
      <c r="E84" s="104" t="str">
        <f t="shared" si="11"/>
        <v/>
      </c>
      <c r="F84" s="105" t="str">
        <f t="shared" si="12"/>
        <v/>
      </c>
      <c r="G84" s="97"/>
      <c r="H84" s="97"/>
      <c r="I84" s="75"/>
      <c r="J84" s="75"/>
      <c r="K84" s="75"/>
      <c r="L84" s="75"/>
      <c r="M84" s="75"/>
    </row>
    <row r="85" spans="1:13" x14ac:dyDescent="0.2">
      <c r="A85" s="97"/>
      <c r="B85" s="98"/>
      <c r="C85" s="97"/>
      <c r="D85" s="98"/>
      <c r="E85" s="104" t="str">
        <f t="shared" si="11"/>
        <v/>
      </c>
      <c r="F85" s="105" t="str">
        <f t="shared" si="12"/>
        <v/>
      </c>
      <c r="G85" s="97"/>
      <c r="H85" s="97"/>
      <c r="I85" s="75"/>
      <c r="J85" s="75"/>
      <c r="K85" s="75"/>
      <c r="L85" s="75"/>
      <c r="M85" s="75"/>
    </row>
    <row r="86" spans="1:13" x14ac:dyDescent="0.2">
      <c r="A86" s="97"/>
      <c r="B86" s="98"/>
      <c r="C86" s="97"/>
      <c r="D86" s="98"/>
      <c r="E86" s="104" t="str">
        <f t="shared" si="11"/>
        <v/>
      </c>
      <c r="F86" s="104" t="str">
        <f t="shared" si="12"/>
        <v/>
      </c>
      <c r="G86" s="97"/>
      <c r="H86" s="97"/>
      <c r="I86" s="75"/>
      <c r="J86" s="75"/>
      <c r="K86" s="75"/>
      <c r="L86" s="75"/>
      <c r="M86" s="75"/>
    </row>
    <row r="87" spans="1:13" x14ac:dyDescent="0.2">
      <c r="A87" s="97"/>
      <c r="B87" s="98"/>
      <c r="C87" s="97"/>
      <c r="D87" s="98"/>
      <c r="E87" s="104" t="str">
        <f t="shared" si="11"/>
        <v/>
      </c>
      <c r="F87" s="104" t="str">
        <f t="shared" si="12"/>
        <v/>
      </c>
      <c r="G87" s="97"/>
      <c r="H87" s="97"/>
      <c r="I87" s="75"/>
      <c r="J87" s="75"/>
      <c r="K87" s="75"/>
      <c r="L87" s="75"/>
      <c r="M87" s="75"/>
    </row>
    <row r="88" spans="1:13" x14ac:dyDescent="0.2">
      <c r="A88" s="97"/>
      <c r="B88" s="98"/>
      <c r="C88" s="97"/>
      <c r="D88" s="98"/>
      <c r="E88" s="104" t="str">
        <f t="shared" si="11"/>
        <v/>
      </c>
      <c r="F88" s="104" t="str">
        <f t="shared" si="12"/>
        <v/>
      </c>
      <c r="G88" s="97"/>
      <c r="H88" s="97"/>
      <c r="I88" s="75"/>
      <c r="J88" s="75"/>
      <c r="K88" s="75"/>
      <c r="L88" s="75"/>
      <c r="M88" s="75"/>
    </row>
    <row r="89" spans="1:13" x14ac:dyDescent="0.2">
      <c r="A89" s="100" t="s">
        <v>1297</v>
      </c>
      <c r="B89" s="75"/>
      <c r="C89" s="101" t="s">
        <v>491</v>
      </c>
      <c r="D89" s="99" t="str">
        <f>IFERROR(AVERAGEIFS(E81:E88,C81:C88,Reactor_sel,G81:G88,"y",B81:B88,SUMPRODUCT(MAX((C81:C88=Reactor_sel)*(G81:G88="y")*B81:B88))),"no included runs — model uses its default")</f>
        <v>no included runs — model uses its default</v>
      </c>
      <c r="E89" s="75"/>
      <c r="F89" s="75"/>
      <c r="G89" s="75"/>
      <c r="H89" s="75"/>
      <c r="I89" s="75"/>
      <c r="J89" s="75"/>
      <c r="K89" s="75"/>
      <c r="L89" s="75"/>
      <c r="M89" s="75"/>
    </row>
    <row r="90" spans="1:13" x14ac:dyDescent="0.2">
      <c r="A90" s="75"/>
      <c r="B90" s="75"/>
      <c r="C90" s="75"/>
      <c r="D90" s="75"/>
      <c r="E90" s="75"/>
      <c r="F90" s="75"/>
      <c r="G90" s="75"/>
      <c r="H90" s="75"/>
      <c r="I90" s="75"/>
      <c r="J90" s="75"/>
      <c r="K90" s="75"/>
      <c r="L90" s="75"/>
      <c r="M90" s="75"/>
    </row>
    <row r="91" spans="1:13" x14ac:dyDescent="0.2">
      <c r="A91" s="75"/>
      <c r="B91" s="75"/>
      <c r="C91" s="75"/>
      <c r="D91" s="75"/>
      <c r="E91" s="75"/>
      <c r="F91" s="75"/>
      <c r="G91" s="75"/>
      <c r="H91" s="75"/>
      <c r="I91" s="75"/>
      <c r="J91" s="75"/>
      <c r="K91" s="75"/>
      <c r="L91" s="75"/>
      <c r="M91" s="75"/>
    </row>
    <row r="92" spans="1:13" ht="16" x14ac:dyDescent="0.2">
      <c r="A92" s="102" t="str">
        <f>HYPERLINK("https://github.com/amy-bo/electroPioreactor/blob/AEP02/Media/protocols/dissolved-oxygen.md","DISSOLVED-OXYGEN THRESHOLDS  (per organism)")</f>
        <v>DISSOLVED-OXYGEN THRESHOLDS  (per organism)</v>
      </c>
      <c r="B92" s="75"/>
      <c r="C92" s="75"/>
      <c r="D92" s="75"/>
      <c r="E92" s="75"/>
      <c r="F92" s="75"/>
      <c r="G92" s="75"/>
      <c r="H92" s="75"/>
      <c r="I92" s="75"/>
      <c r="J92" s="75"/>
      <c r="K92" s="75"/>
      <c r="L92" s="75"/>
      <c r="M92" s="75"/>
    </row>
    <row r="93" spans="1:13" x14ac:dyDescent="0.2">
      <c r="A93" s="75" t="s">
        <v>1298</v>
      </c>
      <c r="B93" s="75"/>
      <c r="C93" s="75"/>
      <c r="D93" s="75"/>
      <c r="E93" s="75"/>
      <c r="F93" s="75"/>
      <c r="G93" s="75"/>
      <c r="H93" s="75"/>
      <c r="I93" s="75"/>
      <c r="J93" s="75"/>
      <c r="K93" s="75"/>
      <c r="L93" s="75"/>
      <c r="M93" s="75"/>
    </row>
    <row r="94" spans="1:13" x14ac:dyDescent="0.2">
      <c r="A94" s="103" t="s">
        <v>1263</v>
      </c>
      <c r="B94" s="103" t="s">
        <v>1264</v>
      </c>
      <c r="C94" s="103" t="s">
        <v>461</v>
      </c>
      <c r="D94" s="103" t="s">
        <v>1299</v>
      </c>
      <c r="E94" s="103" t="s">
        <v>1300</v>
      </c>
      <c r="F94" s="103" t="s">
        <v>1301</v>
      </c>
      <c r="G94" s="103" t="s">
        <v>1302</v>
      </c>
      <c r="H94" s="103" t="s">
        <v>1268</v>
      </c>
      <c r="I94" s="103" t="s">
        <v>1269</v>
      </c>
      <c r="J94" s="75"/>
      <c r="K94" s="75"/>
      <c r="L94" s="75"/>
      <c r="M94" s="75"/>
    </row>
    <row r="95" spans="1:13" x14ac:dyDescent="0.2">
      <c r="A95" s="97"/>
      <c r="B95" s="98"/>
      <c r="C95" s="97"/>
      <c r="D95" s="98"/>
      <c r="E95" s="98"/>
      <c r="F95" s="98"/>
      <c r="G95" s="98"/>
      <c r="H95" s="97"/>
      <c r="I95" s="97"/>
      <c r="J95" s="75"/>
      <c r="K95" s="75"/>
      <c r="L95" s="75"/>
      <c r="M95" s="75"/>
    </row>
    <row r="96" spans="1:13" x14ac:dyDescent="0.2">
      <c r="A96" s="97"/>
      <c r="B96" s="98"/>
      <c r="C96" s="97"/>
      <c r="D96" s="98"/>
      <c r="E96" s="98"/>
      <c r="F96" s="98"/>
      <c r="G96" s="98"/>
      <c r="H96" s="97"/>
      <c r="I96" s="97"/>
      <c r="J96" s="75"/>
      <c r="K96" s="75"/>
      <c r="L96" s="75"/>
      <c r="M96" s="75"/>
    </row>
    <row r="97" spans="1:13" x14ac:dyDescent="0.2">
      <c r="A97" s="97"/>
      <c r="B97" s="98"/>
      <c r="C97" s="97"/>
      <c r="D97" s="98"/>
      <c r="E97" s="98"/>
      <c r="F97" s="98"/>
      <c r="G97" s="98"/>
      <c r="H97" s="97"/>
      <c r="I97" s="97"/>
      <c r="J97" s="75"/>
      <c r="K97" s="75"/>
      <c r="L97" s="75"/>
      <c r="M97" s="75"/>
    </row>
    <row r="98" spans="1:13" x14ac:dyDescent="0.2">
      <c r="A98" s="97"/>
      <c r="B98" s="98"/>
      <c r="C98" s="97"/>
      <c r="D98" s="98"/>
      <c r="E98" s="98"/>
      <c r="F98" s="98"/>
      <c r="G98" s="98"/>
      <c r="H98" s="97"/>
      <c r="I98" s="97"/>
      <c r="J98" s="75"/>
      <c r="K98" s="75"/>
      <c r="L98" s="75"/>
      <c r="M98" s="75"/>
    </row>
    <row r="99" spans="1:13" x14ac:dyDescent="0.2">
      <c r="A99" s="97"/>
      <c r="B99" s="98"/>
      <c r="C99" s="97"/>
      <c r="D99" s="98"/>
      <c r="E99" s="98"/>
      <c r="F99" s="98"/>
      <c r="G99" s="98"/>
      <c r="H99" s="97"/>
      <c r="I99" s="97"/>
      <c r="J99" s="75"/>
      <c r="K99" s="75"/>
      <c r="L99" s="75"/>
      <c r="M99" s="75"/>
    </row>
    <row r="100" spans="1:13" x14ac:dyDescent="0.2">
      <c r="A100" s="97"/>
      <c r="B100" s="98"/>
      <c r="C100" s="97"/>
      <c r="D100" s="98"/>
      <c r="E100" s="98"/>
      <c r="F100" s="98"/>
      <c r="G100" s="98"/>
      <c r="H100" s="97"/>
      <c r="I100" s="97"/>
      <c r="J100" s="75"/>
      <c r="K100" s="75"/>
      <c r="L100" s="75"/>
      <c r="M100" s="75"/>
    </row>
    <row r="101" spans="1:13" x14ac:dyDescent="0.2">
      <c r="A101" s="97"/>
      <c r="B101" s="98"/>
      <c r="C101" s="97"/>
      <c r="D101" s="98"/>
      <c r="E101" s="98"/>
      <c r="F101" s="98"/>
      <c r="G101" s="98"/>
      <c r="H101" s="97"/>
      <c r="I101" s="97"/>
      <c r="J101" s="75"/>
      <c r="K101" s="75"/>
      <c r="L101" s="75"/>
      <c r="M101" s="75"/>
    </row>
    <row r="102" spans="1:13" x14ac:dyDescent="0.2">
      <c r="A102" s="97"/>
      <c r="B102" s="98"/>
      <c r="C102" s="97"/>
      <c r="D102" s="98"/>
      <c r="E102" s="98"/>
      <c r="F102" s="98"/>
      <c r="G102" s="98"/>
      <c r="H102" s="97"/>
      <c r="I102" s="97"/>
      <c r="J102" s="75"/>
      <c r="K102" s="75"/>
      <c r="L102" s="75"/>
      <c r="M102" s="75"/>
    </row>
    <row r="103" spans="1:13" x14ac:dyDescent="0.2">
      <c r="A103" s="100" t="s">
        <v>1303</v>
      </c>
      <c r="B103" s="75"/>
      <c r="C103" s="101" t="s">
        <v>83</v>
      </c>
      <c r="D103" s="99" t="str">
        <f>IFERROR(AVERAGEIFS(D95:D102,C95:C102,organism_sel,H95:H102,"y"),"no included runs — model uses its default")</f>
        <v>no included runs — model uses its default</v>
      </c>
      <c r="E103" s="75"/>
      <c r="F103" s="75"/>
      <c r="G103" s="75"/>
      <c r="H103" s="75"/>
      <c r="I103" s="75"/>
      <c r="J103" s="75"/>
      <c r="K103" s="75"/>
      <c r="L103" s="75"/>
      <c r="M103" s="75"/>
    </row>
    <row r="104" spans="1:13" x14ac:dyDescent="0.2">
      <c r="A104" s="100" t="s">
        <v>1304</v>
      </c>
      <c r="B104" s="75"/>
      <c r="C104" s="101" t="s">
        <v>83</v>
      </c>
      <c r="D104" s="99" t="str">
        <f>IFERROR(AVERAGEIFS(E95:E102,C95:C102,organism_sel,H95:H102,"y"),"no included runs — model uses its default")</f>
        <v>no included runs — model uses its default</v>
      </c>
      <c r="E104" s="75"/>
      <c r="F104" s="75"/>
      <c r="G104" s="75"/>
      <c r="H104" s="75"/>
      <c r="I104" s="75"/>
      <c r="J104" s="75"/>
      <c r="K104" s="75"/>
      <c r="L104" s="75"/>
      <c r="M104" s="75"/>
    </row>
    <row r="105" spans="1:13" x14ac:dyDescent="0.2">
      <c r="A105" s="100" t="s">
        <v>1305</v>
      </c>
      <c r="B105" s="75"/>
      <c r="C105" s="101" t="s">
        <v>83</v>
      </c>
      <c r="D105" s="99" t="str">
        <f>IFERROR(AVERAGEIFS(F95:F102,C95:C102,organism_sel,H95:H102,"y"),"no included runs — model uses its default")</f>
        <v>no included runs — model uses its default</v>
      </c>
      <c r="E105" s="75"/>
      <c r="F105" s="75"/>
      <c r="G105" s="75"/>
      <c r="H105" s="75"/>
      <c r="I105" s="75"/>
      <c r="J105" s="75"/>
      <c r="K105" s="75"/>
      <c r="L105" s="75"/>
      <c r="M105" s="75"/>
    </row>
    <row r="106" spans="1:13" x14ac:dyDescent="0.2">
      <c r="A106" s="100" t="s">
        <v>1306</v>
      </c>
      <c r="B106" s="75"/>
      <c r="C106" s="101" t="s">
        <v>83</v>
      </c>
      <c r="D106" s="99" t="str">
        <f>IFERROR(AVERAGEIFS(G95:G102,C95:C102,organism_sel,H95:H102,"y"),"no included runs — model uses its default")</f>
        <v>no included runs — model uses its default</v>
      </c>
      <c r="E106" s="75"/>
      <c r="F106" s="75"/>
      <c r="G106" s="75"/>
      <c r="H106" s="75"/>
      <c r="I106" s="75"/>
      <c r="J106" s="75"/>
      <c r="K106" s="75"/>
      <c r="L106" s="75"/>
      <c r="M106" s="75"/>
    </row>
    <row r="107" spans="1:13" x14ac:dyDescent="0.2">
      <c r="A107" s="75"/>
      <c r="B107" s="75"/>
      <c r="C107" s="75"/>
      <c r="D107" s="75"/>
      <c r="E107" s="75"/>
      <c r="F107" s="75"/>
      <c r="G107" s="75"/>
      <c r="H107" s="75"/>
      <c r="I107" s="75"/>
      <c r="J107" s="75"/>
      <c r="K107" s="75"/>
      <c r="L107" s="75"/>
      <c r="M107" s="75"/>
    </row>
    <row r="108" spans="1:13" x14ac:dyDescent="0.2">
      <c r="A108" s="75"/>
      <c r="B108" s="75"/>
      <c r="C108" s="75"/>
      <c r="D108" s="75"/>
      <c r="E108" s="75"/>
      <c r="F108" s="75"/>
      <c r="G108" s="75"/>
      <c r="H108" s="75"/>
      <c r="I108" s="75"/>
      <c r="J108" s="75"/>
      <c r="K108" s="75"/>
      <c r="L108" s="75"/>
      <c r="M108" s="75"/>
    </row>
    <row r="109" spans="1:13" ht="16" x14ac:dyDescent="0.2">
      <c r="A109" s="102" t="str">
        <f>HYPERLINK("https://github.com/amy-bo/electroPioreactor/blob/AEP02/Media/protocols/knallgas-stoichiometry.md","KNALLGAS UPTAKE RATIO  (per organism)")</f>
        <v>KNALLGAS UPTAKE RATIO  (per organism)</v>
      </c>
      <c r="B109" s="75"/>
      <c r="C109" s="75"/>
      <c r="D109" s="75"/>
      <c r="E109" s="75"/>
      <c r="F109" s="75"/>
      <c r="G109" s="75"/>
      <c r="H109" s="75"/>
      <c r="I109" s="75"/>
      <c r="J109" s="75"/>
      <c r="K109" s="75"/>
      <c r="L109" s="75"/>
      <c r="M109" s="75"/>
    </row>
    <row r="110" spans="1:13" x14ac:dyDescent="0.2">
      <c r="A110" s="75" t="s">
        <v>1307</v>
      </c>
      <c r="B110" s="75"/>
      <c r="C110" s="75"/>
      <c r="D110" s="75"/>
      <c r="E110" s="75"/>
      <c r="F110" s="75"/>
      <c r="G110" s="75"/>
      <c r="H110" s="75"/>
      <c r="I110" s="75"/>
      <c r="J110" s="75"/>
      <c r="K110" s="75"/>
      <c r="L110" s="75"/>
      <c r="M110" s="75"/>
    </row>
    <row r="111" spans="1:13" x14ac:dyDescent="0.2">
      <c r="A111" s="103" t="s">
        <v>1263</v>
      </c>
      <c r="B111" s="103" t="s">
        <v>1264</v>
      </c>
      <c r="C111" s="103" t="s">
        <v>461</v>
      </c>
      <c r="D111" s="103" t="s">
        <v>1308</v>
      </c>
      <c r="E111" s="103" t="s">
        <v>1309</v>
      </c>
      <c r="F111" s="103" t="s">
        <v>1310</v>
      </c>
      <c r="G111" s="103" t="s">
        <v>1268</v>
      </c>
      <c r="H111" s="103" t="s">
        <v>1269</v>
      </c>
      <c r="I111" s="75"/>
      <c r="J111" s="75"/>
      <c r="K111" s="75"/>
      <c r="L111" s="75"/>
      <c r="M111" s="75"/>
    </row>
    <row r="112" spans="1:13" x14ac:dyDescent="0.2">
      <c r="A112" s="97"/>
      <c r="B112" s="98"/>
      <c r="C112" s="97"/>
      <c r="D112" s="98"/>
      <c r="E112" s="98"/>
      <c r="F112" s="98"/>
      <c r="G112" s="97"/>
      <c r="H112" s="97"/>
      <c r="I112" s="75"/>
      <c r="J112" s="75"/>
      <c r="K112" s="75"/>
      <c r="L112" s="75"/>
      <c r="M112" s="75"/>
    </row>
    <row r="113" spans="1:13" x14ac:dyDescent="0.2">
      <c r="A113" s="97"/>
      <c r="B113" s="98"/>
      <c r="C113" s="97"/>
      <c r="D113" s="98"/>
      <c r="E113" s="98"/>
      <c r="F113" s="98"/>
      <c r="G113" s="97"/>
      <c r="H113" s="97"/>
      <c r="I113" s="75"/>
      <c r="J113" s="75"/>
      <c r="K113" s="75"/>
      <c r="L113" s="75"/>
      <c r="M113" s="75"/>
    </row>
    <row r="114" spans="1:13" x14ac:dyDescent="0.2">
      <c r="A114" s="97"/>
      <c r="B114" s="98"/>
      <c r="C114" s="97"/>
      <c r="D114" s="98"/>
      <c r="E114" s="98"/>
      <c r="F114" s="98"/>
      <c r="G114" s="97"/>
      <c r="H114" s="97"/>
      <c r="I114" s="75"/>
      <c r="J114" s="75"/>
      <c r="K114" s="75"/>
      <c r="L114" s="75"/>
      <c r="M114" s="75"/>
    </row>
    <row r="115" spans="1:13" x14ac:dyDescent="0.2">
      <c r="A115" s="97"/>
      <c r="B115" s="98"/>
      <c r="C115" s="97"/>
      <c r="D115" s="98"/>
      <c r="E115" s="98"/>
      <c r="F115" s="98"/>
      <c r="G115" s="97"/>
      <c r="H115" s="97"/>
      <c r="I115" s="75"/>
      <c r="J115" s="75"/>
      <c r="K115" s="75"/>
      <c r="L115" s="75"/>
      <c r="M115" s="75"/>
    </row>
    <row r="116" spans="1:13" x14ac:dyDescent="0.2">
      <c r="A116" s="97"/>
      <c r="B116" s="98"/>
      <c r="C116" s="97"/>
      <c r="D116" s="98"/>
      <c r="E116" s="98"/>
      <c r="F116" s="98"/>
      <c r="G116" s="97"/>
      <c r="H116" s="97"/>
      <c r="I116" s="75"/>
      <c r="J116" s="75"/>
      <c r="K116" s="75"/>
      <c r="L116" s="75"/>
      <c r="M116" s="75"/>
    </row>
    <row r="117" spans="1:13" x14ac:dyDescent="0.2">
      <c r="A117" s="97"/>
      <c r="B117" s="98"/>
      <c r="C117" s="97"/>
      <c r="D117" s="98"/>
      <c r="E117" s="98"/>
      <c r="F117" s="98"/>
      <c r="G117" s="97"/>
      <c r="H117" s="97"/>
      <c r="I117" s="75"/>
      <c r="J117" s="75"/>
      <c r="K117" s="75"/>
      <c r="L117" s="75"/>
      <c r="M117" s="75"/>
    </row>
    <row r="118" spans="1:13" x14ac:dyDescent="0.2">
      <c r="A118" s="97"/>
      <c r="B118" s="98"/>
      <c r="C118" s="97"/>
      <c r="D118" s="98"/>
      <c r="E118" s="98"/>
      <c r="F118" s="98"/>
      <c r="G118" s="97"/>
      <c r="H118" s="97"/>
      <c r="I118" s="75"/>
      <c r="J118" s="75"/>
      <c r="K118" s="75"/>
      <c r="L118" s="75"/>
      <c r="M118" s="75"/>
    </row>
    <row r="119" spans="1:13" x14ac:dyDescent="0.2">
      <c r="A119" s="97"/>
      <c r="B119" s="98"/>
      <c r="C119" s="97"/>
      <c r="D119" s="98"/>
      <c r="E119" s="98"/>
      <c r="F119" s="98"/>
      <c r="G119" s="97"/>
      <c r="H119" s="97"/>
      <c r="I119" s="75"/>
      <c r="J119" s="75"/>
      <c r="K119" s="75"/>
      <c r="L119" s="75"/>
      <c r="M119" s="75"/>
    </row>
    <row r="120" spans="1:13" x14ac:dyDescent="0.2">
      <c r="A120" s="100" t="s">
        <v>1311</v>
      </c>
      <c r="B120" s="75"/>
      <c r="C120" s="101" t="s">
        <v>1312</v>
      </c>
      <c r="D120" s="99" t="str">
        <f>IFERROR(AVERAGEIFS(D112:D119,C112:C119,organism_sel,G112:G119,"y"),"no included runs — model uses its default")</f>
        <v>no included runs — model uses its default</v>
      </c>
      <c r="E120" s="75"/>
      <c r="F120" s="75"/>
      <c r="G120" s="75"/>
      <c r="H120" s="75"/>
      <c r="I120" s="75"/>
      <c r="J120" s="75"/>
      <c r="K120" s="75"/>
      <c r="L120" s="75"/>
      <c r="M120" s="75"/>
    </row>
    <row r="121" spans="1:13" x14ac:dyDescent="0.2">
      <c r="A121" s="100" t="s">
        <v>1313</v>
      </c>
      <c r="B121" s="75"/>
      <c r="C121" s="101" t="s">
        <v>1312</v>
      </c>
      <c r="D121" s="99" t="str">
        <f>IFERROR(AVERAGEIFS(E112:E119,C112:C119,organism_sel,G112:G119,"y"),"no included runs — model uses its default")</f>
        <v>no included runs — model uses its default</v>
      </c>
      <c r="E121" s="75"/>
      <c r="F121" s="75"/>
      <c r="G121" s="75"/>
      <c r="H121" s="75"/>
      <c r="I121" s="75"/>
      <c r="J121" s="75"/>
      <c r="K121" s="75"/>
      <c r="L121" s="75"/>
      <c r="M121" s="75"/>
    </row>
    <row r="122" spans="1:13" x14ac:dyDescent="0.2">
      <c r="A122" s="100" t="s">
        <v>1314</v>
      </c>
      <c r="B122" s="75"/>
      <c r="C122" s="101" t="s">
        <v>1312</v>
      </c>
      <c r="D122" s="99" t="str">
        <f>IFERROR(AVERAGEIFS(F112:F119,C112:C119,organism_sel,G112:G119,"y"),"no included runs — model uses its default")</f>
        <v>no included runs — model uses its default</v>
      </c>
      <c r="E122" s="75"/>
      <c r="F122" s="75"/>
      <c r="G122" s="75"/>
      <c r="H122" s="75"/>
      <c r="I122" s="75"/>
      <c r="J122" s="75"/>
      <c r="K122" s="75"/>
      <c r="L122" s="75"/>
      <c r="M122" s="75"/>
    </row>
    <row r="123" spans="1:13" x14ac:dyDescent="0.2">
      <c r="A123" s="75"/>
      <c r="B123" s="75"/>
      <c r="C123" s="75"/>
      <c r="D123" s="75"/>
      <c r="E123" s="75"/>
      <c r="F123" s="75"/>
      <c r="G123" s="75"/>
      <c r="H123" s="75"/>
      <c r="I123" s="75"/>
      <c r="J123" s="75"/>
      <c r="K123" s="75"/>
      <c r="L123" s="75"/>
      <c r="M123" s="75"/>
    </row>
    <row r="124" spans="1:13" x14ac:dyDescent="0.2">
      <c r="A124" s="75"/>
      <c r="B124" s="75"/>
      <c r="C124" s="75"/>
      <c r="D124" s="75"/>
      <c r="E124" s="75"/>
      <c r="F124" s="75"/>
      <c r="G124" s="75"/>
      <c r="H124" s="75"/>
      <c r="I124" s="75"/>
      <c r="J124" s="75"/>
      <c r="K124" s="75"/>
      <c r="L124" s="75"/>
      <c r="M124" s="75"/>
    </row>
    <row r="125" spans="1:13" ht="16" x14ac:dyDescent="0.2">
      <c r="A125" s="102" t="str">
        <f>HYPERLINK("https://github.com/amy-bo/electroPioreactor/blob/AEP02/Media/protocols/current-density-screen.md","CURRENT-DENSITY TOLERANCE  (per organism)")</f>
        <v>CURRENT-DENSITY TOLERANCE  (per organism)</v>
      </c>
      <c r="B125" s="75"/>
      <c r="C125" s="75"/>
      <c r="D125" s="75"/>
      <c r="E125" s="75"/>
      <c r="F125" s="75"/>
      <c r="G125" s="75"/>
      <c r="H125" s="75"/>
      <c r="I125" s="75"/>
      <c r="J125" s="75"/>
      <c r="K125" s="75"/>
      <c r="L125" s="75"/>
      <c r="M125" s="75"/>
    </row>
    <row r="126" spans="1:13" x14ac:dyDescent="0.2">
      <c r="A126" s="75" t="s">
        <v>1315</v>
      </c>
      <c r="B126" s="75"/>
      <c r="C126" s="75"/>
      <c r="D126" s="75"/>
      <c r="E126" s="75"/>
      <c r="F126" s="75"/>
      <c r="G126" s="75"/>
      <c r="H126" s="75"/>
      <c r="I126" s="75"/>
      <c r="J126" s="75"/>
      <c r="K126" s="75"/>
      <c r="L126" s="75"/>
      <c r="M126" s="75"/>
    </row>
    <row r="127" spans="1:13" x14ac:dyDescent="0.2">
      <c r="A127" s="103" t="s">
        <v>1263</v>
      </c>
      <c r="B127" s="103" t="s">
        <v>1264</v>
      </c>
      <c r="C127" s="103" t="s">
        <v>461</v>
      </c>
      <c r="D127" s="103" t="s">
        <v>1316</v>
      </c>
      <c r="E127" s="103" t="s">
        <v>1317</v>
      </c>
      <c r="F127" s="103" t="s">
        <v>1268</v>
      </c>
      <c r="G127" s="103" t="s">
        <v>1269</v>
      </c>
      <c r="H127" s="75"/>
      <c r="I127" s="75"/>
      <c r="J127" s="75"/>
      <c r="K127" s="75"/>
      <c r="L127" s="75"/>
      <c r="M127" s="75"/>
    </row>
    <row r="128" spans="1:13" x14ac:dyDescent="0.2">
      <c r="A128" s="97"/>
      <c r="B128" s="98"/>
      <c r="C128" s="97"/>
      <c r="D128" s="98"/>
      <c r="E128" s="98"/>
      <c r="F128" s="97"/>
      <c r="G128" s="97"/>
      <c r="H128" s="75"/>
      <c r="I128" s="75"/>
      <c r="J128" s="75"/>
      <c r="K128" s="75"/>
      <c r="L128" s="75"/>
      <c r="M128" s="75"/>
    </row>
    <row r="129" spans="1:13" x14ac:dyDescent="0.2">
      <c r="A129" s="97"/>
      <c r="B129" s="98"/>
      <c r="C129" s="97"/>
      <c r="D129" s="98"/>
      <c r="E129" s="98"/>
      <c r="F129" s="97"/>
      <c r="G129" s="97"/>
      <c r="H129" s="75"/>
      <c r="I129" s="75"/>
      <c r="J129" s="75"/>
      <c r="K129" s="75"/>
      <c r="L129" s="75"/>
      <c r="M129" s="75"/>
    </row>
    <row r="130" spans="1:13" x14ac:dyDescent="0.2">
      <c r="A130" s="97"/>
      <c r="B130" s="98"/>
      <c r="C130" s="97"/>
      <c r="D130" s="98"/>
      <c r="E130" s="98"/>
      <c r="F130" s="97"/>
      <c r="G130" s="97"/>
      <c r="H130" s="75"/>
      <c r="I130" s="75"/>
      <c r="J130" s="75"/>
      <c r="K130" s="75"/>
      <c r="L130" s="75"/>
      <c r="M130" s="75"/>
    </row>
    <row r="131" spans="1:13" x14ac:dyDescent="0.2">
      <c r="A131" s="97"/>
      <c r="B131" s="98"/>
      <c r="C131" s="97"/>
      <c r="D131" s="98"/>
      <c r="E131" s="98"/>
      <c r="F131" s="97"/>
      <c r="G131" s="97"/>
      <c r="H131" s="75"/>
      <c r="I131" s="75"/>
      <c r="J131" s="75"/>
      <c r="K131" s="75"/>
      <c r="L131" s="75"/>
      <c r="M131" s="75"/>
    </row>
    <row r="132" spans="1:13" x14ac:dyDescent="0.2">
      <c r="A132" s="97"/>
      <c r="B132" s="98"/>
      <c r="C132" s="97"/>
      <c r="D132" s="98"/>
      <c r="E132" s="98"/>
      <c r="F132" s="97"/>
      <c r="G132" s="97"/>
      <c r="H132" s="75"/>
      <c r="I132" s="75"/>
      <c r="J132" s="75"/>
      <c r="K132" s="75"/>
      <c r="L132" s="75"/>
      <c r="M132" s="75"/>
    </row>
    <row r="133" spans="1:13" x14ac:dyDescent="0.2">
      <c r="A133" s="97"/>
      <c r="B133" s="98"/>
      <c r="C133" s="97"/>
      <c r="D133" s="98"/>
      <c r="E133" s="98"/>
      <c r="F133" s="97"/>
      <c r="G133" s="97"/>
      <c r="H133" s="75"/>
      <c r="I133" s="75"/>
      <c r="J133" s="75"/>
      <c r="K133" s="75"/>
      <c r="L133" s="75"/>
      <c r="M133" s="75"/>
    </row>
    <row r="134" spans="1:13" x14ac:dyDescent="0.2">
      <c r="A134" s="97"/>
      <c r="B134" s="98"/>
      <c r="C134" s="97"/>
      <c r="D134" s="98"/>
      <c r="E134" s="98"/>
      <c r="F134" s="97"/>
      <c r="G134" s="97"/>
      <c r="H134" s="75"/>
      <c r="I134" s="75"/>
      <c r="J134" s="75"/>
      <c r="K134" s="75"/>
      <c r="L134" s="75"/>
      <c r="M134" s="75"/>
    </row>
    <row r="135" spans="1:13" x14ac:dyDescent="0.2">
      <c r="A135" s="97"/>
      <c r="B135" s="98"/>
      <c r="C135" s="97"/>
      <c r="D135" s="98"/>
      <c r="E135" s="98"/>
      <c r="F135" s="97"/>
      <c r="G135" s="97"/>
      <c r="H135" s="75"/>
      <c r="I135" s="75"/>
      <c r="J135" s="75"/>
      <c r="K135" s="75"/>
      <c r="L135" s="75"/>
      <c r="M135" s="75"/>
    </row>
    <row r="136" spans="1:13" x14ac:dyDescent="0.2">
      <c r="A136" s="100" t="s">
        <v>1318</v>
      </c>
      <c r="B136" s="75"/>
      <c r="C136" s="101" t="s">
        <v>1148</v>
      </c>
      <c r="D136" s="99" t="str">
        <f>IFERROR(AVERAGEIFS(D128:D135,C128:C135,organism_sel,F128:F135,"y"),"no included runs — model uses its default")</f>
        <v>no included runs — model uses its default</v>
      </c>
      <c r="E136" s="75"/>
      <c r="F136" s="75"/>
      <c r="G136" s="75"/>
      <c r="H136" s="75"/>
      <c r="I136" s="75"/>
      <c r="J136" s="75"/>
      <c r="K136" s="75"/>
      <c r="L136" s="75"/>
      <c r="M136" s="75"/>
    </row>
    <row r="137" spans="1:13" x14ac:dyDescent="0.2">
      <c r="A137" s="100" t="s">
        <v>1319</v>
      </c>
      <c r="B137" s="75"/>
      <c r="C137" s="101" t="s">
        <v>1148</v>
      </c>
      <c r="D137" s="99" t="str">
        <f>IFERROR(AVERAGEIFS(E128:E135,C128:C135,organism_sel,F128:F135,"y"),"no included runs — model uses its default")</f>
        <v>no included runs — model uses its default</v>
      </c>
      <c r="E137" s="75"/>
      <c r="F137" s="75"/>
      <c r="G137" s="75"/>
      <c r="H137" s="75"/>
      <c r="I137" s="75"/>
      <c r="J137" s="75"/>
      <c r="K137" s="75"/>
      <c r="L137" s="75"/>
      <c r="M137" s="75"/>
    </row>
    <row r="138" spans="1:13" x14ac:dyDescent="0.2">
      <c r="A138" s="75"/>
      <c r="B138" s="75"/>
      <c r="C138" s="75"/>
      <c r="D138" s="75"/>
      <c r="E138" s="75"/>
      <c r="F138" s="75"/>
      <c r="G138" s="75"/>
      <c r="H138" s="75"/>
      <c r="I138" s="75"/>
      <c r="J138" s="75"/>
      <c r="K138" s="75"/>
      <c r="L138" s="75"/>
      <c r="M138" s="75"/>
    </row>
    <row r="139" spans="1:13" ht="16" x14ac:dyDescent="0.2">
      <c r="A139" s="4" t="s">
        <v>2645</v>
      </c>
      <c r="B139" s="75"/>
      <c r="C139" s="75"/>
      <c r="D139" s="75"/>
      <c r="E139" s="75"/>
      <c r="F139" s="75"/>
      <c r="G139" s="75"/>
      <c r="H139" s="75"/>
      <c r="I139" s="75"/>
      <c r="J139" s="75"/>
      <c r="K139" s="75"/>
      <c r="L139" s="75"/>
      <c r="M139" s="75"/>
    </row>
    <row r="140" spans="1:13" x14ac:dyDescent="0.2">
      <c r="A140" s="17" t="s">
        <v>2646</v>
      </c>
      <c r="B140" s="75" t="s">
        <v>2647</v>
      </c>
      <c r="C140" s="19" t="s">
        <v>2648</v>
      </c>
      <c r="D140" s="137">
        <v>291.2</v>
      </c>
      <c r="E140" s="75" t="s">
        <v>2649</v>
      </c>
    </row>
    <row r="141" spans="1:13" x14ac:dyDescent="0.2">
      <c r="A141" s="17" t="s">
        <v>2650</v>
      </c>
      <c r="B141" s="75" t="s">
        <v>2651</v>
      </c>
      <c r="C141" s="19" t="s">
        <v>518</v>
      </c>
      <c r="D141" s="137">
        <v>160</v>
      </c>
      <c r="E141" s="75" t="s">
        <v>2652</v>
      </c>
    </row>
    <row r="142" spans="1:13" x14ac:dyDescent="0.2">
      <c r="A142" s="17" t="s">
        <v>2653</v>
      </c>
      <c r="B142" s="75" t="s">
        <v>2654</v>
      </c>
      <c r="C142" s="19" t="s">
        <v>518</v>
      </c>
      <c r="D142" s="137">
        <v>100</v>
      </c>
      <c r="E142" s="75" t="s">
        <v>2655</v>
      </c>
    </row>
    <row r="143" spans="1:13" x14ac:dyDescent="0.2">
      <c r="A143" s="17" t="s">
        <v>2656</v>
      </c>
      <c r="B143" s="75" t="s">
        <v>2657</v>
      </c>
      <c r="C143" s="19" t="s">
        <v>518</v>
      </c>
      <c r="D143" s="137">
        <v>40</v>
      </c>
      <c r="E143" s="75" t="s">
        <v>2658</v>
      </c>
    </row>
    <row r="144" spans="1:13" x14ac:dyDescent="0.2">
      <c r="A144" s="17" t="s">
        <v>2659</v>
      </c>
      <c r="B144" s="75" t="s">
        <v>2660</v>
      </c>
      <c r="C144" s="19" t="s">
        <v>518</v>
      </c>
      <c r="D144" s="137">
        <v>16</v>
      </c>
      <c r="E144" s="75" t="s">
        <v>2661</v>
      </c>
    </row>
    <row r="145" spans="1:5" x14ac:dyDescent="0.2">
      <c r="A145" s="17" t="s">
        <v>2662</v>
      </c>
      <c r="B145" s="75" t="s">
        <v>2663</v>
      </c>
      <c r="C145" s="19" t="s">
        <v>518</v>
      </c>
      <c r="D145" s="137">
        <v>10</v>
      </c>
      <c r="E145" s="75" t="s">
        <v>2664</v>
      </c>
    </row>
    <row r="146" spans="1:5" x14ac:dyDescent="0.2">
      <c r="A146" s="17" t="s">
        <v>2665</v>
      </c>
      <c r="B146" s="75" t="s">
        <v>291</v>
      </c>
      <c r="C146" s="19" t="s">
        <v>111</v>
      </c>
      <c r="D146" s="138">
        <f>Electrochemistry!$D$16</f>
        <v>2.0</v>
      </c>
      <c r="E146" s="139" t="s">
        <v>2666</v>
      </c>
    </row>
    <row r="147" spans="1:5" x14ac:dyDescent="0.2">
      <c r="A147" s="17" t="s">
        <v>2667</v>
      </c>
      <c r="B147" s="75" t="s">
        <v>294</v>
      </c>
      <c r="C147" s="19" t="s">
        <v>111</v>
      </c>
      <c r="D147" s="138">
        <f>Electrochemistry!$D$17</f>
        <v>4.0</v>
      </c>
      <c r="E147" s="139" t="s">
        <v>2668</v>
      </c>
    </row>
    <row r="148" spans="1:5" x14ac:dyDescent="0.2">
      <c r="A148" s="17" t="s">
        <v>2288</v>
      </c>
      <c r="B148" s="75" t="s">
        <v>2122</v>
      </c>
      <c r="C148" s="19" t="s">
        <v>262</v>
      </c>
      <c r="D148" s="138">
        <f>Biology!$D$66</f>
        <v>273.15</v>
      </c>
      <c r="E148" s="139" t="s">
        <v>2289</v>
      </c>
    </row>
    <row r="149" spans="1:5" x14ac:dyDescent="0.2">
      <c r="A149" s="17" t="s">
        <v>2669</v>
      </c>
      <c r="B149" s="75" t="s">
        <v>1698</v>
      </c>
      <c r="C149" s="19" t="s">
        <v>57</v>
      </c>
      <c r="D149" s="138">
        <f>'Mass Transfer'!$D$203</f>
        <v>610.94</v>
      </c>
      <c r="E149" s="139" t="s">
        <v>2670</v>
      </c>
    </row>
    <row r="150" spans="1:5" x14ac:dyDescent="0.2">
      <c r="A150" s="17" t="s">
        <v>2671</v>
      </c>
      <c r="B150" s="75" t="s">
        <v>1701</v>
      </c>
      <c r="C150" s="19" t="s">
        <v>111</v>
      </c>
      <c r="D150" s="138">
        <f>'Mass Transfer'!$D$204</f>
        <v>17.625</v>
      </c>
      <c r="E150" s="139" t="s">
        <v>2672</v>
      </c>
    </row>
    <row r="151" spans="1:5" x14ac:dyDescent="0.2">
      <c r="A151" s="17" t="s">
        <v>2673</v>
      </c>
      <c r="B151" s="75" t="s">
        <v>1703</v>
      </c>
      <c r="C151" s="19" t="s">
        <v>48</v>
      </c>
      <c r="D151" s="138">
        <f>'Mass Transfer'!$D$205</f>
        <v>243.04</v>
      </c>
      <c r="E151" s="139" t="s">
        <v>2674</v>
      </c>
    </row>
    <row r="155" spans="1:5" x14ac:dyDescent="0.2">
      <c r="A155" s="17" t="s">
        <v>2675</v>
      </c>
      <c r="B155" s="75" t="s">
        <v>2676</v>
      </c>
      <c r="C155" s="19" t="s">
        <v>508</v>
      </c>
      <c r="D155" s="138">
        <f>'Mass Transfer'!$D$169</f>
        <v>1003.33</v>
      </c>
      <c r="E155" s="139" t="s">
        <v>2677</v>
      </c>
    </row>
    <row r="156" spans="1:5" x14ac:dyDescent="0.2">
      <c r="A156" s="17" t="s">
        <v>2678</v>
      </c>
      <c r="B156" s="75" t="s">
        <v>2679</v>
      </c>
      <c r="C156" s="19" t="s">
        <v>1595</v>
      </c>
      <c r="D156" s="138">
        <f>'Mass Transfer'!$D$170</f>
        <v>-0.2556</v>
      </c>
      <c r="E156" s="139" t="s">
        <v>2680</v>
      </c>
    </row>
    <row r="157" spans="1:5" x14ac:dyDescent="0.2">
      <c r="A157" s="17" t="s">
        <v>2681</v>
      </c>
      <c r="B157" s="75" t="s">
        <v>26</v>
      </c>
      <c r="C157" s="19" t="s">
        <v>111</v>
      </c>
      <c r="D157" s="138" t="str">
        <f>Summary!$D$2</f>
        <v>ed04</v>
      </c>
      <c r="E157" s="139" t="s">
        <v>2682</v>
      </c>
    </row>
    <row r="158" spans="1:5" x14ac:dyDescent="0.2">
      <c r="A158" s="17" t="s">
        <v>2683</v>
      </c>
      <c r="B158" s="75" t="s">
        <v>33</v>
      </c>
      <c r="C158" s="19" t="s">
        <v>111</v>
      </c>
      <c r="D158" s="138" t="str">
        <f>Summary!$D$4</f>
        <v>UdG (mixed)</v>
      </c>
      <c r="E158" s="139" t="s">
        <v>2684</v>
      </c>
    </row>
    <row r="159" spans="1:5" x14ac:dyDescent="0.2">
      <c r="A159" s="17" t="s">
        <v>2685</v>
      </c>
      <c r="B159" s="75" t="s">
        <v>212</v>
      </c>
      <c r="C159" s="19" t="s">
        <v>111</v>
      </c>
      <c r="D159" s="138" t="str">
        <f>Geometry!$D$51</f>
        <v>MEP0.3</v>
      </c>
      <c r="E159" s="139" t="s">
        <v>2686</v>
      </c>
    </row>
    <row r="160" spans="1:5" x14ac:dyDescent="0.2">
      <c r="A160" s="17" t="s">
        <v>486</v>
      </c>
      <c r="B160" s="75" t="s">
        <v>126</v>
      </c>
      <c r="C160" s="19" t="s">
        <v>127</v>
      </c>
      <c r="D160" s="138">
        <f>Geometry!$D$21</f>
        <v>501.93100162698</v>
      </c>
      <c r="E160" s="139" t="s">
        <v>2687</v>
      </c>
    </row>
    <row r="161" spans="1:5" x14ac:dyDescent="0.2">
      <c r="A161" s="17" t="s">
        <v>2688</v>
      </c>
      <c r="B161" s="75" t="s">
        <v>266</v>
      </c>
      <c r="C161" s="19" t="s">
        <v>267</v>
      </c>
      <c r="D161" s="138">
        <f>'Mass Transfer'!$D$101</f>
        <v>8.314462618</v>
      </c>
      <c r="E161" s="139" t="s">
        <v>2689</v>
      </c>
    </row>
    <row r="162" spans="1:5" x14ac:dyDescent="0.2">
      <c r="A162" s="17" t="s">
        <v>767</v>
      </c>
      <c r="B162" s="75" t="s">
        <v>287</v>
      </c>
      <c r="C162" s="19" t="s">
        <v>288</v>
      </c>
      <c r="D162" s="138">
        <f>Electrochemistry!$D$15</f>
        <v>96485.33212</v>
      </c>
      <c r="E162" s="139" t="s">
        <v>2690</v>
      </c>
    </row>
    <row r="163" spans="1:5" x14ac:dyDescent="0.2">
      <c r="A163" s="17"/>
      <c r="B163" s="75"/>
      <c r="C163" s="19"/>
      <c r="D163" s="138"/>
      <c r="E163" s="139"/>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837</vt:i4>
      </vt:variant>
    </vt:vector>
  </HeadingPairs>
  <TitlesOfParts>
    <vt:vector size="84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2026-10-21T08:45:27Z</dcterms:modified>
  <dc:language>en-US</dc:language>
</cp:coreProperties>
</file>