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42C80E64-664B-9C44-BF75-F5FF75F96D30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<sst xmlns="http://schemas.openxmlformats.org/spreadsheetml/2006/main" count="1484" uniqueCount="1054">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</sst>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67"/>
  <sheetViews>
    <sheetView tabSelected="1" topLeftCell="A22" zoomScale="113" workbookViewId="0">
      <selection activeCell="D34" sqref="D34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ht="16" thickBot="1" x14ac:dyDescent="0.25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 ht="16" thickBot="1" x14ac:dyDescent="0.25">
      <c r="A34" s="91" t="s">
        <v>1048</v>
      </c>
      <c r="C34" s="20"/>
      <c r="D34" s="96" t="str">
        <f>IF(AND(ISNUMBER(Biology!$D$45),ISNUMBER(Biology!$D$46),ISNUMBER(Biology!$D$47),ISNUMBER(Biology!$D$48)),"inputs present","DATA GAP - organism DO thresholds unmeasured; DO &amp; sparge results unreliable")</f>
        <v>DATA GAP - organism DO thresholds unmeasured; DO &amp; sparge results unreliable</v>
      </c>
      <c r="F34" s="21" t="s">
        <v>1049</v>
      </c>
    </row>
    <row r="35" spans="1:6" ht="16" thickBot="1" x14ac:dyDescent="0.25">
      <c r="A35" s="91" t="s">
        <v>1050</v>
      </c>
      <c r="C35" s="20"/>
      <c r="D35" s="130">
        <f>Chemistry!$D$103</f>
        <v>6.3125785894509363</v>
      </c>
      <c r="F35" s="21" t="s">
        <v>1051</v>
      </c>
    </row>
    <row r="36" spans="1:6" ht="16" thickBot="1" x14ac:dyDescent="0.25">
      <c r="A36" s="91" t="s">
        <v>1052</v>
      </c>
      <c r="C36" s="28" t="s">
        <v>107</v>
      </c>
      <c r="D36" s="130">
        <f>Chemistry!$D$125</f>
        <v>8.877523507988645</v>
      </c>
      <c r="F36" s="21" t="s">
        <v>1053</v>
      </c>
    </row>
    <row r="37" spans="1:6" ht="16" thickBot="1" x14ac:dyDescent="0.25">
      <c r="A37" s="110" t="s">
        <v>105</v>
      </c>
      <c r="B37" s="20"/>
      <c r="C37" s="20"/>
      <c r="D37" s="20"/>
      <c r="E37" s="20"/>
      <c r="F37" s="21"/>
    </row>
    <row r="38" spans="1:6" x14ac:dyDescent="0.2">
      <c r="A38" s="91" t="s">
        <v>106</v>
      </c>
      <c r="B38" s="109"/>
      <c r="C38" s="28" t="s">
        <v>107</v>
      </c>
      <c r="D38" s="92">
        <f>'Mass Transfer'!$D$108</f>
        <v>1.9407611529861681</v>
      </c>
      <c r="E38" s="23" t="str">
        <f>HYPERLINK("#'Mass Transfer'!D108","→ Mass")</f>
        <v>→ Mass</v>
      </c>
      <c r="F38" s="21" t="s">
        <v>108</v>
      </c>
    </row>
    <row r="39" spans="1:6" x14ac:dyDescent="0.2">
      <c r="A39" s="91" t="s">
        <v>109</v>
      </c>
      <c r="B39" s="109"/>
      <c r="C39" s="28" t="s">
        <v>71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110</v>
      </c>
    </row>
    <row r="40" spans="1:6" x14ac:dyDescent="0.2">
      <c r="A40" s="91" t="s">
        <v>111</v>
      </c>
      <c r="B40" s="20"/>
      <c r="C40" s="20" t="s">
        <v>112</v>
      </c>
      <c r="D40" s="92">
        <f>'Mass Transfer'!$D$68</f>
        <v>0.31415926535897931</v>
      </c>
      <c r="E40" s="23" t="str">
        <f>HYPERLINK("#'Mass Transfer'!D68","→ Mass")</f>
        <v>→ Mass</v>
      </c>
      <c r="F40" s="21" t="s">
        <v>113</v>
      </c>
    </row>
    <row r="41" spans="1:6" x14ac:dyDescent="0.2">
      <c r="A41" s="91" t="s">
        <v>114</v>
      </c>
      <c r="B41" s="20"/>
      <c r="C41" s="20" t="s">
        <v>115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116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117</v>
      </c>
      <c r="B43" s="16"/>
      <c r="C43" s="16"/>
      <c r="D43" s="16"/>
      <c r="E43" s="16"/>
      <c r="F43" s="16"/>
    </row>
    <row r="44" spans="1:6" x14ac:dyDescent="0.2">
      <c r="A44" s="89" t="s">
        <v>118</v>
      </c>
      <c r="B44" s="20"/>
      <c r="C44" s="20"/>
      <c r="D44" s="29"/>
      <c r="E44" s="20"/>
      <c r="F44" s="20"/>
    </row>
    <row r="45" spans="1:6" x14ac:dyDescent="0.2">
      <c r="A45" s="30" t="s">
        <v>119</v>
      </c>
      <c r="B45" s="20"/>
      <c r="C45" s="20"/>
      <c r="D45" s="29"/>
      <c r="E45" s="20"/>
      <c r="F45" s="20"/>
    </row>
    <row r="46" spans="1:6" x14ac:dyDescent="0.2">
      <c r="A46" s="100" t="s">
        <v>120</v>
      </c>
      <c r="B46" s="20"/>
      <c r="C46" s="20"/>
      <c r="D46" s="29"/>
      <c r="E46" s="20"/>
      <c r="F46" s="20"/>
    </row>
    <row r="47" spans="1:6" x14ac:dyDescent="0.2">
      <c r="A47" s="31" t="s">
        <v>121</v>
      </c>
      <c r="B47" s="20"/>
      <c r="C47" s="20"/>
      <c r="D47" s="29"/>
      <c r="E47" s="20"/>
      <c r="F47" s="20"/>
    </row>
    <row r="48" spans="1:6" x14ac:dyDescent="0.2">
      <c r="A48" s="32" t="s">
        <v>122</v>
      </c>
      <c r="B48" s="20"/>
      <c r="C48" s="20"/>
      <c r="D48" s="29"/>
      <c r="E48" s="94"/>
      <c r="F48" s="20"/>
    </row>
    <row r="49" spans="1:6" x14ac:dyDescent="0.2">
      <c r="A49" s="33" t="s">
        <v>123</v>
      </c>
      <c r="B49" s="20"/>
      <c r="C49" s="20"/>
      <c r="D49" s="29"/>
      <c r="E49" s="94"/>
      <c r="F49" s="20"/>
    </row>
    <row r="50" spans="1:6" x14ac:dyDescent="0.2">
      <c r="A50" s="90" t="s">
        <v>124</v>
      </c>
      <c r="B50" s="20"/>
      <c r="C50" s="20"/>
      <c r="D50" s="29"/>
      <c r="E50" s="94"/>
      <c r="F50" s="20"/>
    </row>
    <row r="51" spans="1:6" x14ac:dyDescent="0.2">
      <c r="A51" s="34" t="s">
        <v>125</v>
      </c>
      <c r="B51" s="20"/>
      <c r="C51" s="20"/>
      <c r="D51" s="20"/>
      <c r="E51" s="20"/>
      <c r="F51" s="20"/>
    </row>
    <row r="52" spans="1:6" x14ac:dyDescent="0.2">
      <c r="A52" s="35" t="s">
        <v>126</v>
      </c>
      <c r="B52" s="20"/>
      <c r="C52" s="20"/>
      <c r="D52" s="20"/>
      <c r="E52" s="20"/>
      <c r="F52" s="20"/>
    </row>
    <row r="53" spans="1:6" s="20" customFormat="1" x14ac:dyDescent="0.2">
      <c r="A53" s="86" t="s">
        <v>127</v>
      </c>
    </row>
    <row r="54" spans="1:6" s="20" customFormat="1" x14ac:dyDescent="0.2">
      <c r="A54" s="87" t="s">
        <v>128</v>
      </c>
    </row>
    <row r="55" spans="1:6" x14ac:dyDescent="0.2">
      <c r="A55" s="88" t="s">
        <v>129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130</v>
      </c>
      <c r="B57" s="36" t="s">
        <v>131</v>
      </c>
      <c r="C57" s="36" t="s">
        <v>132</v>
      </c>
      <c r="D57" s="36" t="s">
        <v>133</v>
      </c>
      <c r="E57" s="36"/>
      <c r="F57" s="36" t="s">
        <v>134</v>
      </c>
    </row>
    <row r="58" spans="1:6" x14ac:dyDescent="0.2">
      <c r="A58" s="20" t="s">
        <v>135</v>
      </c>
      <c r="B58" s="20" t="s">
        <v>136</v>
      </c>
      <c r="C58" s="20" t="s">
        <v>137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138</v>
      </c>
    </row>
    <row r="59" spans="1:6" x14ac:dyDescent="0.2">
      <c r="A59" s="20" t="s">
        <v>139</v>
      </c>
      <c r="B59" s="20" t="s">
        <v>136</v>
      </c>
      <c r="C59" s="20" t="s">
        <v>137</v>
      </c>
      <c r="D59" s="37" t="str">
        <f>HYPERLINK("https://github.com/amy-bo/electroPioreactor/blob/CO2-modular/Media/protocols/faradaic-efficiency.md","faradaic-efficiency.md →")</f>
        <v>faradaic-efficiency.md →</v>
      </c>
      <c r="E59" s="20"/>
      <c r="F59" s="21" t="s">
        <v>140</v>
      </c>
    </row>
    <row r="60" spans="1:6" x14ac:dyDescent="0.2">
      <c r="A60" s="20" t="s">
        <v>141</v>
      </c>
      <c r="B60" s="20" t="s">
        <v>142</v>
      </c>
      <c r="C60" s="20" t="s">
        <v>143</v>
      </c>
      <c r="D60" s="37" t="str">
        <f>HYPERLINK("https://github.com/amy-bo/electroPioreactor/blob/CO2-modular/Media/protocols/dissolved-oxygen.md","dissolved-oxygen.md →")</f>
        <v>dissolved-oxygen.md →</v>
      </c>
      <c r="E60" s="20"/>
      <c r="F60" s="21" t="s">
        <v>144</v>
      </c>
    </row>
    <row r="61" spans="1:6" x14ac:dyDescent="0.2">
      <c r="A61" s="20" t="s">
        <v>145</v>
      </c>
      <c r="B61" s="20" t="s">
        <v>142</v>
      </c>
      <c r="C61" s="20" t="s">
        <v>143</v>
      </c>
      <c r="D61" s="37" t="str">
        <f>HYPERLINK("https://github.com/amy-bo/electroPioreactor/blob/CO2-modular/Media/protocols/flow-calibration.md","flow-calibration.md →")</f>
        <v>flow-calibration.md →</v>
      </c>
      <c r="E61" s="20"/>
      <c r="F61" s="21" t="s">
        <v>146</v>
      </c>
    </row>
    <row r="62" spans="1:6" x14ac:dyDescent="0.2">
      <c r="A62" s="20" t="s">
        <v>147</v>
      </c>
      <c r="B62" s="20" t="s">
        <v>142</v>
      </c>
      <c r="C62" s="20" t="s">
        <v>148</v>
      </c>
      <c r="D62" s="37" t="str">
        <f>HYPERLINK("https://github.com/amy-bo/electroPioreactor/blob/CO2-modular/Media/protocols/knallgas-stoichiometry.md","knallgas-stoichiometry.md →")</f>
        <v>knallgas-stoichiometry.md →</v>
      </c>
      <c r="E62" s="20"/>
      <c r="F62" s="21" t="s">
        <v>149</v>
      </c>
    </row>
    <row r="63" spans="1:6" x14ac:dyDescent="0.2">
      <c r="A63" s="20" t="s">
        <v>150</v>
      </c>
      <c r="B63" s="20" t="s">
        <v>151</v>
      </c>
      <c r="C63" s="20" t="s">
        <v>143</v>
      </c>
      <c r="D63" s="37" t="str">
        <f>HYPERLINK("https://github.com/amy-bo/electroPioreactor/blob/CO2-modular/Media/protocols/sinter-porosity.md","sinter-porosity.md →")</f>
        <v>sinter-porosity.md →</v>
      </c>
      <c r="E63" s="20"/>
      <c r="F63" s="21" t="s">
        <v>152</v>
      </c>
    </row>
    <row r="64" spans="1:6" x14ac:dyDescent="0.2">
      <c r="A64" s="20" t="s">
        <v>153</v>
      </c>
      <c r="B64" s="20" t="s">
        <v>151</v>
      </c>
      <c r="C64" s="20" t="s">
        <v>143</v>
      </c>
      <c r="D64" s="37" t="str">
        <f>HYPERLINK("https://github.com/amy-bo/electroPioreactor/blob/CO2-modular/Media/protocols/README.md","README.md →")</f>
        <v>README.md →</v>
      </c>
      <c r="E64" s="20"/>
      <c r="F64" s="21" t="s">
        <v>154</v>
      </c>
    </row>
    <row r="65" spans="1:6" x14ac:dyDescent="0.2">
      <c r="A65" s="20"/>
      <c r="B65" s="20"/>
      <c r="C65" s="20"/>
      <c r="D65" s="101"/>
      <c r="E65" s="20"/>
      <c r="F65" s="20"/>
    </row>
    <row r="66" spans="1:6" x14ac:dyDescent="0.2">
      <c r="A66" s="20"/>
      <c r="B66" s="20"/>
      <c r="C66" s="20"/>
      <c r="D66" s="29"/>
      <c r="E66" s="20"/>
      <c r="F66" s="20"/>
    </row>
    <row r="67" spans="1:6" x14ac:dyDescent="0.2">
      <c r="A67" s="20"/>
      <c r="B67" s="20"/>
      <c r="C67" s="20"/>
      <c r="D67" s="29"/>
      <c r="E67" s="20"/>
      <c r="F67" s="20"/>
    </row>
  </sheetData>
  <conditionalFormatting sqref="B56:B64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4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F125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927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937</v>
      </c>
    </row>
    <row r="35" spans="1:5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0.046128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99" customFormat="1" x14ac:dyDescent="0.2">
      <c r="B101" s="129"/>
      <c r="C101" s="129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x14ac:dyDescent="0.2">
      <c r="A103" s="17" t="s">
        <v>1004</v>
      </c>
      <c r="B103" s="18" t="s">
        <v>1005</v>
      </c>
      <c r="C103" s="19" t="s">
        <v>1006</v>
      </c>
      <c r="D103" s="63">
        <f>SUM(C50:C100)</f>
        <v>6.3125785894509363</v>
      </c>
      <c r="E103" s="52" t="s">
        <v>1007</v>
      </c>
      <c r="F103" s="108" t="s">
        <v>1008</v>
      </c>
    </row>
    <row r="104" spans="1:6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6" spans="1:6" ht="16" x14ac:dyDescent="0.2">
      <c r="A106" s="111" t="s">
        <v>1013</v>
      </c>
    </row>
    <row r="107" spans="1:6" ht="24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</row>
    <row r="108" spans="1:6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</row>
    <row r="109" spans="1:6" x14ac:dyDescent="0.2">
      <c r="A109" s="17" t="s">
        <v>1022</v>
      </c>
      <c r="B109" s="18" t="s">
        <v>1023</v>
      </c>
      <c r="C109" s="19" t="s">
        <v>1024</v>
      </c>
      <c r="D109" s="65" t="str">
        <f>IF(pH_Cl&gt;0.0005,"BLEACHING RISK: chloride medium + electrolysis makes up to "&amp;TEXT(bleach_rate,"0")&amp;" mg/L/h free chlorine (FE=1 ceiling); "&amp;TEXT(pH_fHOCl*100,"0")&amp;"% is biocidal HOCl at pH "&amp;TEXT(pH_op,"0.0")&amp;"; ~1 ppm in minutes","chloride-free: no chlorine evolution, no bleaching")</f>
        <v>chloride-free: no chlorine evolution, no bleaching</v>
      </c>
      <c r="E109" s="52" t="s">
        <v>1025</v>
      </c>
    </row>
    <row r="110" spans="1:6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  <row r="125" spans="1:5" ht="24" x14ac:dyDescent="0.2">
      <c r="A125" s="17" t="s">
        <v>1044</v>
      </c>
      <c r="B125" s="18" t="s">
        <v>1045</v>
      </c>
      <c r="C125" s="19" t="s">
        <v>1046</v>
      </c>
      <c r="D125" s="63">
        <f>pH_Cl*pH_fHOCl*52460</f>
        <v>8.877523507988645</v>
      </c>
      <c r="E125" s="52" t="s">
        <v>1047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495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523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2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725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734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IF(CO2_supply&gt;0,O2_excess/CO2_supply,NA())</f>
        <v>0.5</v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102" t="s">
        <v>743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MAX(0,O2_net_gen-surf_strip)/(target_DO_frac*(O2_ceil_Pa/P_atm))/(nCO2_rate*3600)</f>
        <v>0</v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102" t="s">
        <v>780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target_DO_frac*O2_ceil_C*(V_charge/1000000)/MAX(0.000000000001,O2_net_gen-surf_strip)*60</f>
        <v>151075572.50116453</v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 t="str">
        <f>IF(spg_int_opt&lt;spg_dur_opt/(60*duty_opt)-0.0001,"O2-FREQ",IF(duty_O2vent&gt;=duty_carbon,"O2-VENT","CARBON"))</f>
        <v>CARBON</v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IF(ISNUMBER(DO_impair),O2_excess*32/(DO_impair*3600*(V_charge/1000000)*a_surf),NA())</f>
        <v>#N/A</v>
      </c>
      <c r="E131" s="108" t="s">
        <v>882</v>
      </c>
      <c r="F131" s="20"/>
    </row>
    <row r="132" spans="1:6" x14ac:dyDescent="0.2">
      <c r="A132" s="20"/>
      <c r="B132" s="20"/>
      <c r="C132" s="20"/>
      <c r="D132" s="29"/>
      <c r="E132" s="20"/>
      <c r="F132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307</vt:i4>
      </vt:variant>
    </vt:vector>
  </HeadingPairs>
  <TitlesOfParts>
    <vt:vector size="314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2026-06-25T21:46:12Z</dcterms:modified>
  <dc:language>en-US</dc:language>
</cp:coreProperties>
</file>