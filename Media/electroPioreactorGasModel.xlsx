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E3C7980-1D95-3947-AA29-6DC022E03979}" xr6:coauthVersionLast="47" xr6:coauthVersionMax="47" xr10:uidLastSave="{00000000-0000-0000-0000-000000000000}"/>
  <bookViews>
    <workbookView xWindow="27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D_CO2" localSheetId="5">'Mass Transfer'!$D$138</definedName>
    <definedName name="pCO2_air" localSheetId="5">'Mass Transfer'!$D$139</definedName>
    <definedName name="headspace_V_m3" localSheetId="5">'Mass Transfer'!$D$140</definedName>
    <definedName name="V_L_m3" localSheetId="5">'Mass Transfer'!$D$141</definedName>
    <definedName name="Q_vent" localSheetId="5">'Mass Transfer'!$D$142</definedName>
    <definedName name="k_vent" localSheetId="5">'Mass Transfer'!$D$143</definedName>
    <definedName name="tau_hs" localSheetId="5">'Mass Transfer'!$D$144</definedName>
    <definedName name="C_sat_CO2" localSheetId="5">'Mass Transfer'!$D$145</definedName>
    <definedName name="C_air_CO2" localSheetId="5">'Mass Transfer'!$D$146</definedName>
    <definedName name="sqrtD_CO2" localSheetId="5">'Mass Transfer'!$D$147</definedName>
    <definedName name="kLa_CO2_off" localSheetId="5">'Mass Transfer'!$D$148</definedName>
    <definedName name="tau_surf_floor" localSheetId="5">'Mass Transfer'!$D$149</definedName>
    <definedName name="n_hs_gas" localSheetId="5">'Mass Transfer'!$D$150</definedName>
    <definedName name="t_on_CO2" localSheetId="5">'Mass Transfer'!$D$151</definedName>
    <definedName name="t_off_CO2" localSheetId="5">'Mass Transfer'!$D$152</definedName>
    <definedName name="eon_CO2" localSheetId="5">'Mass Transfer'!$D$153</definedName>
    <definedName name="e1_CO2" localSheetId="5">'Mass Transfer'!$D$154</definedName>
    <definedName name="e2_CO2" localSheetId="5">'Mass Transfer'!$D$155</definedName>
    <definedName name="coef_CO2" localSheetId="5">'Mass Transfer'!$D$156</definedName>
    <definedName name="Ca_CO2" localSheetId="5">'Mass Transfer'!$D$157</definedName>
    <definedName name="Cb_CO2" localSheetId="5">'Mass Transfer'!$D$158</definedName>
    <definedName name="CO2_int_on" localSheetId="5">'Mass Transfer'!$D$159</definedName>
    <definedName name="CO2_int_off" localSheetId="5">'Mass Transfer'!$D$160</definedName>
    <definedName name="CO2_cyc_avg" localSheetId="5">'Mass Transfer'!$D$161</definedName>
    <definedName name="CO2aqc_ss" localSheetId="5">'Mass Transfer'!$D$162</definedName>
    <definedName name="vent_floor_chk" localSheetId="5">'Mass Transfer'!$D$163</definedName>
    <definedName name="sched_valid" localSheetId="5">'Mass Transfer'!$D$164</definedName>
  </definedNames>
  <calcPr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<sst xmlns="http://schemas.openxmlformats.org/spreadsheetml/2006/main" count="1682" uniqueCount="1249">
  <si>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</si>
  <si>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</si>
  <si>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</si>
  <si>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</si>
  <si>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</si>
  <si>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</si>
  <si>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</si>
  <si>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</si>
  <si>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</si>
  <si>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</si>
  <si>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</si>
  <si>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</si>
  <si>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</si>
  <si>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</si>
  <si>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</si>
  <si>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</si>
  <si>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</si>
  <si>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</si>
  <si>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</si>
  <si>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</si>
  <si>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</si>
  <si>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</si>
  <si>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</si>
  <si>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</si>
  <si>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</si>
  <si>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</si>
  <si>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</si>
  <si>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</si>
  <si>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</si>
  <si>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</si>
  <si>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</si>
  <si>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</si>
  <si>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</si>
  <si>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</si>
  <si>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</si>
  <si>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</si>
  <si>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</si>
  <si>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</si>
  <si>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</si>
  <si>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</si>
  <si>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</si>
  <si>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</si>
  <si>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</si>
  <si>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</si>
  <si>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</si>
  <si>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</si>
  <si>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</si>
  <si>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</si>
  <si>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</si>
  <si>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</si>
  <si>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</si>
  <si>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</si>
  <si>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</si>
  <si>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</si>
  <si>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</si>
  <si>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</si>
  <si>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</si>
  <si>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</si>
  <si>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</si>
  <si>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</si>
  <si>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</si>
  <si>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</si>
  <si>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</si>
  <si>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</si>
  <si>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</si>
  <si>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</si>
  <si>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</si>
  <si>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</si>
  <si>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</si>
  <si>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</si>
  <si>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</si>
  <si>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</si>
  <si>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</si>
  <si>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</si>
  <si>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</si>
  <si>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</si>
  <si>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</si>
  <si>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</si>
  <si>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</si>
  <si>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</si>
  <si>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</si>
  <si>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</si>
  <si>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</si>
  <si>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</si>
  <si>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</si>
  <si>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</si>
  <si>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</si>
  <si>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</si>
  <si>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</si>
  <si>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</si>
  <si>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</si>
  <si>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</si>
  <si>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</si>
  <si>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</si>
  <si>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</si>
  <si>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</si>
  <si>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</si>
  <si>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</si>
  <si>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</si>
  <si>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</si>
  <si>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</si>
  <si>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</si>
  <si>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</si>
  <si>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</si>
  <si>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</si>
  <si>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</si>
  <si>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</si>
  <si>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</si>
  <si>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</si>
  <si>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</si>
  <si>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</si>
  <si>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</si>
  <si>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</si>
  <si>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</si>
  <si>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</si>
  <si>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</si>
  <si>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</si>
  <si>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</si>
  <si>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</si>
  <si>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</si>
  <si>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</si>
  <si>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</si>
  <si>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</si>
  <si>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</si>
  <si>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</si>
  <si>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</si>
  <si>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</si>
  <si>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</si>
  <si>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</si>
  <si>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</si>
  <si>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</si>
  <si>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</si>
  <si>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</si>
  <si>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</si>
  <si>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</si>
  <si>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</si>
  <si>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</si>
  <si>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</si>
  <si>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</si>
  <si>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</si>
  <si>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</si>
  <si>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</si>
  <si>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</si>
  <si>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</si>
  <si>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</si>
  <si>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</si>
  <si>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</si>
  <si>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</si>
  <si>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</si>
  <si>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</si>
  <si>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</si>
  <si>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</si>
  <si>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</si>
  <si>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</si>
  <si>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</si>
  <si>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</si>
  <si>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</si>
  <si>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</si>
  <si>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</si>
  <si>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</si>
  <si>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</si>
  <si>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</si>
  <si>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</si>
  <si>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</si>
  <si>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</si>
  <si>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</si>
  <si>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</si>
  <si>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</si>
  <si>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</si>
  <si>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</si>
  <si>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</si>
  <si>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</si>
  <si>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</si>
  <si>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</si>
  <si>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</si>
  <si>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</si>
  <si>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</si>
  <si>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</si>
  <si>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</si>
  <si>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</si>
  <si>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</si>
  <si>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</si>
  <si>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</si>
  <si>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</si>
  <si>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</si>
  <si>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</si>
  <si>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</si>
  <si>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</si>
  <si>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</si>
  <si>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</si>
  <si>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</si>
  <si>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</si>
  <si>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</si>
  <si>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</si>
  <si>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</si>
  <si>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</si>
  <si>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</si>
  <si>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</si>
  <si>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</si>
  <si>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</si>
  <si>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</si>
  <si>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</si>
  <si>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</si>
  <si>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</si>
  <si>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</si>
  <si>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</si>
  <si>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</si>
  <si>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</si>
  <si>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</si>
  <si>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</si>
  <si>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</si>
  <si>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</si>
  <si>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</si>
  <si>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</si>
  <si>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</si>
  <si>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</si>
  <si>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</si>
  <si>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</si>
  <si>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</si>
  <si>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</si>
  <si>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</si>
  <si>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</si>
  <si>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</si>
  <si>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</si>
  <si>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</si>
  <si>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</si>
  <si>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</si>
  <si>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</si>
  <si>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</si>
  <si>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</si>
  <si>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</si>
  <si>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</si>
  <si>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</si>
  <si>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</si>
  <si>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</si>
  <si>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</si>
  <si>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</si>
  <si>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</si>
  <si>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</si>
  <si>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</si>
  <si>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</si>
  <si>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</si>
  <si>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</si>
  <si>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</si>
  <si>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</si>
  <si>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</si>
  <si>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</si>
  <si>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</si>
  <si>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</si>
  <si>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</si>
  <si>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</si>
  <si>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</si>
  <si>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</si>
  <si>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</si>
  <si>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</si>
  <si>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</si>
  <si>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</si>
  <si>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</si>
  <si>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</si>
  <si>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</si>
  <si>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</si>
  <si>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</si>
  <si>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</si>
  <si>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</si>
  <si>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</si>
  <si>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</si>
  <si>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</si>
  <si>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</si>
  <si>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</si>
  <si>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</si>
  <si>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</si>
  <si>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</si>
  <si>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</si>
  <si>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</si>
  <si>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</si>
  <si>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</si>
  <si>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</si>
  <si>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</si>
  <si>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</si>
  <si>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</si>
  <si>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</si>
  <si>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</si>
  <si>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</si>
  <si>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</si>
  <si>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</si>
  <si>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</si>
  <si>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</si>
  <si>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</si>
  <si>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</si>
  <si>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</si>
  <si>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</si>
  <si>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</si>
  <si>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</si>
  <si>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</si>
  <si>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</si>
  <si>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</si>
  <si>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</si>
  <si>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</si>
  <si>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</si>
  <si>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</si>
  <si>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</si>
  <si>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</si>
  <si>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</si>
  <si>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</si>
  <si>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</si>
  <si>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</si>
  <si>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</si>
  <si>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</si>
  <si>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</si>
  <si>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</si>
  <si>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</si>
  <si>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</si>
  <si>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</si>
  <si>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</si>
  <si>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</si>
  <si>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</si>
  <si>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</si>
  <si>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</si>
  <si>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</si>
  <si>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</si>
  <si>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</si>
  <si>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</si>
  <si>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</si>
  <si>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</si>
  <si>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</si>
  <si>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</si>
  <si>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</si>
  <si>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</si>
  <si>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</si>
  <si>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</si>
  <si>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</si>
  <si>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</si>
  <si>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</si>
  <si>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</si>
  <si>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</si>
  <si>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</si>
  <si>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</si>
  <si>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</si>
  <si>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</si>
  <si>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</si>
  <si>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</si>
  <si>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</si>
  <si>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</si>
  <si>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</si>
  <si>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</si>
  <si>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</si>
  <si>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</si>
  <si>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</si>
  <si>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</si>
  <si>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</si>
  <si>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</si>
  <si>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</si>
  <si>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</si>
  <si>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</si>
  <si>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</si>
  <si>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</si>
  <si>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</si>
  <si>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</si>
  <si>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</si>
  <si>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</si>
  <si>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</si>
  <si>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</si>
  <si>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</si>
  <si>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</si>
  <si>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</si>
  <si>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</si>
  <si>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</si>
  <si>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</si>
  <si>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</si>
  <si>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</si>
  <si>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</si>
  <si>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</si>
  <si>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</si>
  <si>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</si>
  <si>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</si>
  <si>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</si>
  <si>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</si>
  <si>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</si>
  <si>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</si>
  <si>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</si>
  <si>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</si>
  <si>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</si>
  <si>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</si>
  <si>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</si>
  <si>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</si>
  <si>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</si>
  <si>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</si>
  <si>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</si>
  <si>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</si>
  <si>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</si>
  <si>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</si>
  <si>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</si>
  <si>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</si>
  <si>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</si>
  <si>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</si>
  <si>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</si>
  <si>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</si>
  <si>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</si>
  <si>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</si>
  <si>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</si>
  <si>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</si>
  <si>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</si>
  <si>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</si>
  <si>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</si>
  <si>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</si>
  <si>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</si>
  <si>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</si>
  <si>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</si>
  <si>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</si>
  <si>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</si>
  <si>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</si>
  <si>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</si>
  <si>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</si>
  <si>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</si>
  <si>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</si>
  <si>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</si>
  <si>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</si>
  <si>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</si>
  <si>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</si>
  <si>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</si>
  <si>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</si>
  <si>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</si>
  <si>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</si>
  <si>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</si>
  <si>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</si>
  <si>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</si>
  <si>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</si>
  <si>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</si>
  <si>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</si>
  <si>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</si>
  <si>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</si>
  <si>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</si>
  <si>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</si>
  <si>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</si>
  <si>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</si>
  <si>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</si>
  <si>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</si>
  <si>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</si>
  <si>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</si>
  <si>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</si>
  <si>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</si>
  <si>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</si>
  <si>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</si>
  <si>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</si>
  <si>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</si>
  <si>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</si>
  <si>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</si>
  <si>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</si>
  <si>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</si>
  <si>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</si>
  <si>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</si>
  <si>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</si>
  <si>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</si>
  <si>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</si>
  <si>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</si>
  <si>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</si>
  <si>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</si>
  <si>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</si>
  <si>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</si>
  <si>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</si>
  <si>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</si>
  <si>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</si>
  <si>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</si>
  <si>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</si>
  <si>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</si>
  <si>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</si>
  <si>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</si>
  <si>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</si>
  <si>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</si>
  <si>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</si>
  <si>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</si>
  <si>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</si>
  <si>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</si>
  <si>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</si>
  <si>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</si>
  <si>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</si>
  <si>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</si>
  <si>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</si>
  <si>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</si>
  <si>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</si>
  <si>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</si>
  <si>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</si>
  <si>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</si>
  <si>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</si>
  <si>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</si>
  <si>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</si>
  <si>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</si>
  <si>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</si>
  <si>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</si>
  <si>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</si>
  <si>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</si>
  <si>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</si>
  <si>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</si>
  <si>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</si>
  <si>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</si>
  <si>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</si>
  <si>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</si>
  <si>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</si>
  <si>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</si>
  <si>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</si>
  <si>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</si>
  <si>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</si>
  <si>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</si>
  <si>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</si>
  <si>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</si>
  <si>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</si>
  <si>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</si>
  <si>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</si>
  <si>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</si>
  <si>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</si>
  <si>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</si>
  <si>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</si>
  <si>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</si>
  <si>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</si>
  <si>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</si>
  <si>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</si>
  <si>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</si>
  <si>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</si>
  <si>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</si>
  <si>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</si>
  <si>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</si>
  <si>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</si>
  <si>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</si>
  <si>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</si>
  <si>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</si>
  <si>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</si>
  <si>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</si>
  <si>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</si>
  <si>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</si>
  <si>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</si>
  <si>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</si>
  <si>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</si>
  <si>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</si>
  <si>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</si>
  <si>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</si>
  <si>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</si>
  <si>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</si>
  <si>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</si>
  <si>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</si>
  <si>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</si>
  <si>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</si>
  <si>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</si>
  <si>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</si>
  <si>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</si>
  <si>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</si>
  <si>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</si>
  <si>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</si>
  <si>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</si>
  <si>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</si>
  <si>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</si>
  <si>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</si>
  <si>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</si>
  <si>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</si>
  <si>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</si>
  <si>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</si>
  <si>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</si>
  <si>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</si>
  <si>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</si>
  <si>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</si>
  <si>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</si>
  <si>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</si>
  <si>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</si>
  <si>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</si>
  <si>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</si>
  <si>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</si>
  <si>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</si>
  <si>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</si>
  <si>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</si>
  <si>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</si>
  <si>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</si>
  <si>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</si>
  <si>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</si>
  <si>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</si>
  <si>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</si>
  <si>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</si>
  <si>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</si>
  <si>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</si>
  <si>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</si>
  <si>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</si>
  <si>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</si>
  <si>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</si>
  <si>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</si>
  <si>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</si>
  <si>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</si>
  <si>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</si>
  <si>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</si>
  <si>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</si>
  <si>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</si>
  <si>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</si>
  <si>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</si>
  <si>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</si>
  <si>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</si>
  <si>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</si>
  <si>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</si>
  <si>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</si>
  <si>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</si>
  <si>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</si>
  <si>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</si>
  <si>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</si>
  <si>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</si>
  <si>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</si>
  <si>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</si>
  <si>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</si>
  <si>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</si>
  <si>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</si>
  <si>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</si>
  <si>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</si>
  <si>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</si>
  <si>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</si>
  <si>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</si>
  <si>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</si>
  <si>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</si>
  <si>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</si>
  <si>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</si>
  <si>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</si>
  <si>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</si>
  <si>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</si>
  <si>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</si>
  <si>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</si>
  <si>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</si>
  <si>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</si>
  <si>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</si>
  <si>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</si>
  <si>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</si>
  <si>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</si>
  <si>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</si>
  <si>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</si>
  <si>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</si>
  <si>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</si>
  <si>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</si>
  <si>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</si>
  <si>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</si>
  <si>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</si>
  <si>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</si>
  <si>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</si>
  <si>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</si>
  <si>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</si>
  <si>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</si>
  <si>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</si>
  <si>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</si>
  <si>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</si>
  <si>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</si>
  <si>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</si>
  <si>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</si>
  <si>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</si>
  <si>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</si>
  <si>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</si>
  <si>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</si>
  <si>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</si>
  <si>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</si>
  <si>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</si>
  <si>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</si>
  <si>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</si>
  <si>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</si>
  <si>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</si>
  <si>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</si>
  <si>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</si>
  <si>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</si>
  <si>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</si>
  <si>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</si>
  <si>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</si>
  <si>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</si>
  <si>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</si>
  <si>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</si>
  <si>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</si>
  <si>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</si>
  <si>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</si>
  <si>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</si>
  <si>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</si>
  <si>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</si>
  <si>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</si>
  <si>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</si>
  <si>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</si>
  <si>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</si>
  <si>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</si>
  <si>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</si>
  <si>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</si>
  <si>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</si>
  <si>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</si>
  <si>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</si>
  <si>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</si>
  <si>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</si>
  <si>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</si>
  <si>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</si>
  <si>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</si>
  <si>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</si>
  <si>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</si>
  <si>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</si>
  <si>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</si>
  <si>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</si>
  <si>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</si>
  <si>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</si>
  <si>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</si>
  <si>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</si>
  <si>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</si>
  <si>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</si>
  <si>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</si>
  <si>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</si>
  <si>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</si>
  <si>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</si>
  <si>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</si>
  <si>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</si>
  <si>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</si>
  <si>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</si>
  <si>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</si>
  <si>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</si>
  <si>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</si>
  <si>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</si>
  <si>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</si>
  <si>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</si>
  <si>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</si>
  <si>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</si>
  <si>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</si>
  <si>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</si>
  <si>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</si>
  <si>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</si>
  <si>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</si>
  <si>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</si>
  <si>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</si>
  <si>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</si>
  <si>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</si>
  <si>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</si>
  <si>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</si>
  <si>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</si>
  <si>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</si>
  <si>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</si>
  <si>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</si>
  <si>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</si>
  <si>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</si>
  <si>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</si>
  <si>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</si>
  <si>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</si>
  <si>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</si>
  <si>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</si>
  <si>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</si>
  <si>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</si>
  <si>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</si>
  <si>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</si>
  <si>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</si>
  <si>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</si>
  <si>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</si>
  <si>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</si>
  <si>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</si>
  <si>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</si>
  <si>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</si>
  <si>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</si>
  <si>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</si>
  <si>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</si>
  <si>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</si>
  <si>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</si>
  <si>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</si>
  <si>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</si>
  <si>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</si>
  <si>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</si>
  <si>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</si>
  <si>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</si>
  <si>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</si>
  <si>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</si>
  <si>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</si>
  <si>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</si>
  <si>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</si>
  <si>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</si>
  <si>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</si>
  <si>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</si>
  <si>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</si>
  <si>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</si>
  <si>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</si>
  <si>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</si>
  <si>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</si>
  <si>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</si>
  <si>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</si>
  <si>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</si>
  <si>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</si>
  <si>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</si>
  <si>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</si>
  <si>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</si>
  <si>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</si>
  <si>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</si>
  <si>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</si>
  <si>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</si>
  <si>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</si>
  <si>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</si>
  <si>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</si>
  <si>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</si>
  <si>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</si>
  <si>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</si>
  <si>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</si>
  <si>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</si>
  <si>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</si>
  <si>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</si>
  <si>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</si>
  <si>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</si>
  <si>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</si>
  <si>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</si>
  <si>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</si>
  <si>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</si>
  <si>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</si>
  <si>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</si>
  <si>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</si>
  <si>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</si>
  <si>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</si>
  <si>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</si>
  <si>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</si>
  <si>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</si>
  <si>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</si>
  <si>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</si>
  <si>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</si>
  <si>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</si>
  <si>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</si>
  <si>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</si>
  <si>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</si>
  <si>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</si>
  <si>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</si>
  <si>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</si>
  <si>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</si>
  <si>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</si>
  <si>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</si>
  <si>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</si>
  <si>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</si>
  <si>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</si>
  <si>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</si>
  <si>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</si>
  <si>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</si>
  <si>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</si>
  <si>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</si>
  <si>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</si>
  <si>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</si>
  <si>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</si>
  <si>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</si>
  <si>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</si>
  <si>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</si>
  <si>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</si>
  <si>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</si>
  <si>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</si>
  <si>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</si>
  <si>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</si>
  <si>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</si>
  <si>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</si>
  <si>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</si>
  <si>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</si>
  <si>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</si>
  <si>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</si>
  <si>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</si>
  <si>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</si>
  <si>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</si>
  <si>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</si>
  <si>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</si>
  <si>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</si>
  <si>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</si>
  <si>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</si>
  <si>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</si>
  <si>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</si>
  <si>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</si>
  <si>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</si>
  <si>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</si>
  <si>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</si>
  <si>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</si>
  <si>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</si>
  <si>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</si>
  <si>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</si>
  <si>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</si>
  <si>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</si>
  <si>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</si>
  <si>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</si>
  <si>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</si>
  <si>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</si>
  <si>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</si>
  <si>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</si>
  <si>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</si>
  <si>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</si>
  <si>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</si>
  <si>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</si>
  <si>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</si>
  <si>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</si>
  <si>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</si>
  <si>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</si>
  <si>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</si>
  <si>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</si>
  <si>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</si>
  <si>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</si>
  <si>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</si>
  <si>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</si>
  <si>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</si>
  <si>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</si>
  <si>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</si>
  <si>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</si>
  <si>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</si>
  <si>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</si>
  <si>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</si>
  <si>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</si>
  <si>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</si>
  <si>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</si>
  <si>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</si>
  <si>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</si>
  <si>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</si>
  <si>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</si>
  <si>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</si>
  <si>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</si>
  <si>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</si>
  <si>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</si>
  <si>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</si>
  <si>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</si>
  <si>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</si>
  <si>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</si>
  <si>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</si>
  <si>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</si>
  <si>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</si>
  <si>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</si>
  <si>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</si>
  <si>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</si>
  <si>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</si>
  <si>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</si>
  <si>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</si>
  <si>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</si>
  <si>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</si>
  <si>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</si>
  <si>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</si>
  <si>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</si>
  <si>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</si>
  <si>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</si>
  <si>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</si>
  <si>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</si>
  <si>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</si>
  <si>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</si>
  <si>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</si>
  <si>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</si>
  <si>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</si>
  <si>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</si>
  <si>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</si>
  <si>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</si>
  <si>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</si>
  <si>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</si>
  <si>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</si>
  <si>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</si>
  <si>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</si>
  <si>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</si>
  <si>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</si>
  <si>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</si>
  <si>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</si>
  <si>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</si>
  <si>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</si>
  <si>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</si>
  <si>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</si>
  <si>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</si>
  <si>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</si>
  <si>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</si>
  <si>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</si>
  <si>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</si>
  <si>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</si>
  <si>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</si>
  <si>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</si>
  <si>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</si>
  <si>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</si>
  <si>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</si>
  <si>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</si>
  <si>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</si>
  <si>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</si>
  <si>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</si>
  <si>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</si>
  <si>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</si>
  <si>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</si>
  <si>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</si>
  <si>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</si>
  <si>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</si>
  <si>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</si>
  <si>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</si>
  <si>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</si>
  <si>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</si>
  <si>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</si>
  <si>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</si>
  <si>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</si>
  <si>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</si>
  <si>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</si>
  <si>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</si>
  <si>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</si>
  <si>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</si>
  <si>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</si>
  <si>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</si>
  <si>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</si>
  <si>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</si>
  <si>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</si>
  <si>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</si>
  <si>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</si>
  <si>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</si>
  <si>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</si>
  <si>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</si>
  <si>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</si>
  <si>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</si>
  <si>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</si>
  <si>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</si>
  <si>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</si>
  <si>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</si>
  <si>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</si>
  <si>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</si>
  <si>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</si>
  <si>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</si>
  <si>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</si>
  <si>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</si>
  <si>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</si>
  <si>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</si>
  <si>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</si>
  <si>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</si>
  <si>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</si>
  <si>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</si>
  <si>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</si>
  <si>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</si>
  <si>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</si>
  <si>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</si>
  <si>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</si>
  <si>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</si>
  <si>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</si>
  <si>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</si>
  <si>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</si>
  <si>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</si>
  <si>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</si>
  <si>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</si>
  <si>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</si>
  <si>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</si>
  <si>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</si>
  <si>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</si>
  <si>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</si>
  <si>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</si>
  <si>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</si>
  <si>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</si>
  <si>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</si>
  <si>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</si>
  <si>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</si>
  <si>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</si>
  <si>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</si>
  <si>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</si>
  <si>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</si>
  <si>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</si>
  <si>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</si>
  <si>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</si>
  <si>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</si>
  <si>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</si>
  <si>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</si>
  <si>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</si>
  <si>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</si>
  <si>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</si>
  <si>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</si>
  <si>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</si>
  <si>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</si>
  <si>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</si>
  <si>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</si>
  <si>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</si>
  <si>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</si>
  <si>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</si>
  <si>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</si>
  <si>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</si>
  <si>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</si>
  <si>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</si>
  <si>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</si>
  <si>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</si>
  <si>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</si>
  <si>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</si>
  <si>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</si>
  <si>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</si>
  <si>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</si>
  <si>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</si>
  <si>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</si>
  <si>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</si>
  <si>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</si>
  <si>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</si>
  <si>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</si>
  <si>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</si>
  <si>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</si>
  <si>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</si>
  <si>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</si>
  <si>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</si>
  <si>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</si>
  <si>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</si>
  <si>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</si>
  <si>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</si>
  <si>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</si>
  <si>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</si>
  <si>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</si>
  <si>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</si>
  <si>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</si>
  <si>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</si>
  <si>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</si>
  <si>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</si>
  <si>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</si>
  <si>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</si>
  <si>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</si>
  <si>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</si>
  <si>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</si>
  <si>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</si>
  <si>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</si>
  <si>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</si>
  <si>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</si>
  <si>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</si>
  <si>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</si>
  <si>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</si>
  <si>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</si>
  <si>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</si>
  <si>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</si>
  <si>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</si>
  <si>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</si>
  <si>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</si>
  <si>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</si>
  <si>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</si>
  <si>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</si>
  <si>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</si>
  <si>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</si>
  <si>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</si>
  <si>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</si>
  <si>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</si>
  <si>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</si>
  <si>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</si>
  <si>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</si>
  <si>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</si>
  <si>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</si>
  <si>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</si>
  <si>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</si>
  <si>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</si>
  <si>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</si>
  <si>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</si>
  <si>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</si>
  <si>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</si>
  <si>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</si>
  <si>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</si>
  <si>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</si>
  <si>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</si>
  <si>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</si>
  <si>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</si>
  <si>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</si>
  <si>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</si>
  <si>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</si>
  <si>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</si>
  <si>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</si>
  <si>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</si>
  <si>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</si>
  <si>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</si>
  <si>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</si>
  <si>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</si>
  <si>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</si>
  <si>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</si>
  <si>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</si>
  <si>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</si>
  <si>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</si>
  <si>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</si>
  <si>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</si>
  <si>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</si>
  <si>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</si>
  <si>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</si>
  <si>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</si>
  <si>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</si>
  <si>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</si>
  <si>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</si>
  <si>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</si>
  <si>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</si>
  <si>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</si>
  <si>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</si>
  <si>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</si>
  <si>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</si>
  <si>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</si>
  <si>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</si>
  <si>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</si>
  <si>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</si>
  <si>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</si>
  <si>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</si>
  <si>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</si>
  <si>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</si>
  <si>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</si>
  <si>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</si>
  <si>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</si>
  <si>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</si>
  <si>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</si>
  <si>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</si>
  <si>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</si>
  <si>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</si>
  <si>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</si>
  <si>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</si>
  <si>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 xml:space="preserve">Schedule → dissolved-CO₂ sawtooth model</t>
  </si>
  <si>
    <t xml:space="preserve">Limit-cycle dissolved CO₂ from the sparge pulse/gap schedule; feeds Chemistry CO2aqc (D5).</t>
  </si>
  <si>
    <t xml:space="preserve">CO₂ molecular diffusivity</t>
  </si>
  <si>
    <t xml:space="preserve">D_CO2</t>
  </si>
  <si>
    <t xml:space="preserve">m²/s</t>
  </si>
  <si>
    <t xml:space="preserve">CO₂ molecular diffusivity in water ~25°C, Cussler/Tamimi 1994. FLAG: scaled against the 30°C D_O2, ~3% bias on kLa, conservative.</t>
  </si>
  <si>
    <t xml:space="preserve">Atmospheric pCO₂</t>
  </si>
  <si>
    <t xml:space="preserve">pCO2_air</t>
  </si>
  <si>
    <t xml:space="preserve">Pa</t>
  </si>
  <si>
    <t xml:space="preserve">Atmospheric pCO₂ ~400 ppm; between-pulse decay target; assumes ventilated headspace.</t>
  </si>
  <si>
    <t xml:space="preserve">CO₂ saturation (pure sparge)</t>
  </si>
  <si>
    <t xml:space="preserve">C_sat_CO2</t>
  </si>
  <si>
    <t xml:space="preserve">mol/m³</t>
  </si>
  <si>
    <t xml:space="preserve">Pure-CO₂ sparge saturation = pulse asymptote &amp; upper clamp ~29.28.</t>
  </si>
  <si>
    <t xml:space="preserve">CO₂ air-equilibrium</t>
  </si>
  <si>
    <t xml:space="preserve">C_air_CO2</t>
  </si>
  <si>
    <t xml:space="preserve">mol/m³</t>
  </si>
  <si>
    <t xml:space="preserve">Air-equilibrium = gap asymptote &amp; lower clamp ~0.0116.</t>
  </si>
  <si>
    <t xml:space="preserve">Diffusivity scaling</t>
  </si>
  <si>
    <t xml:space="preserve">sqrtD_CO2</t>
  </si>
  <si>
    <t xml:space="preserve">-</t>
  </si>
  <si>
    <t xml:space="preserve">Penetration-theory diffusivity scaling kL~D^0.5.</t>
  </si>
  <si>
    <t xml:space="preserve">kLa CO₂ during pulse</t>
  </si>
  <si>
    <t xml:space="preserve">kLa_CO2_on</t>
  </si>
  <si>
    <t xml:space="preserve">1/s</t>
  </si>
  <si>
    <t xml:space="preserve">Bubble-path CO₂ transfer during a pulse.</t>
  </si>
  <si>
    <t xml:space="preserve">kLa CO₂ between pulses</t>
  </si>
  <si>
    <t xml:space="preserve">kLa_CO2_off</t>
  </si>
  <si>
    <t xml:space="preserve">1/s</t>
  </si>
  <si>
    <t xml:space="preserve">Surface-path CO₂ stripping between pulses.</t>
  </si>
  <si>
    <t xml:space="preserve">Pulse duration</t>
  </si>
  <si>
    <t xml:space="preserve">t_on_CO2</t>
  </si>
  <si>
    <t xml:space="preserve">s</t>
  </si>
  <si>
    <t xml:space="preserve">Pulse duration = in-use schedule.</t>
  </si>
  <si>
    <t xml:space="preserve">Gap duration</t>
  </si>
  <si>
    <t xml:space="preserve">t_off_CO2</t>
  </si>
  <si>
    <t xml:space="preserve">s</t>
  </si>
  <si>
    <t xml:space="preserve">GUARD floored at 0; without it interval&lt;pulse drives the average negative and a more-than-full-sparge schedule wrongly reports the no-sparge pH.</t>
  </si>
  <si>
    <t xml:space="preserve">Pulse decay factor</t>
  </si>
  <si>
    <t xml:space="preserve">saw_a</t>
  </si>
  <si>
    <t xml:space="preserve">-</t>
  </si>
  <si>
    <t xml:space="preserve">exp(-kLa_CO2_on*t_on_CO2); fraction of the saturation gap left at pulse end.</t>
  </si>
  <si>
    <t xml:space="preserve">Gap decay factor</t>
  </si>
  <si>
    <t xml:space="preserve">saw_b</t>
  </si>
  <si>
    <t xml:space="preserve">-</t>
  </si>
  <si>
    <t xml:space="preserve">exp(-kLa_CO2_off*t_off_CO2); fraction of the air-eq gap left at gap end.</t>
  </si>
  <si>
    <t xml:space="preserve">Cycle-start CO₂</t>
  </si>
  <si>
    <t xml:space="preserve">CO2_cyc_start</t>
  </si>
  <si>
    <t xml:space="preserve">mol/m³</t>
  </si>
  <si>
    <t xml:space="preserve">Periodic limit-cycle concentration at the start of each pulse.</t>
  </si>
  <si>
    <t xml:space="preserve">Cycle-end CO₂</t>
  </si>
  <si>
    <t xml:space="preserve">CO2_cyc_end</t>
  </si>
  <si>
    <t xml:space="preserve">mol/m³</t>
  </si>
  <si>
    <t xml:space="preserve">Concentration at the end of each pulse (start of the gap).</t>
  </si>
  <si>
    <t xml:space="preserve">Pulse time-integral</t>
  </si>
  <si>
    <t xml:space="preserve">CO2_int_on</t>
  </si>
  <si>
    <t xml:space="preserve">mol.s/m³</t>
  </si>
  <si>
    <t xml:space="preserve">∫C dt over the pulse (analytic, first-order relaxation toward C_sat_CO2).</t>
  </si>
  <si>
    <t xml:space="preserve">Gap time-integral</t>
  </si>
  <si>
    <t xml:space="preserve">CO2_int_off</t>
  </si>
  <si>
    <t xml:space="preserve">mol.s/m³</t>
  </si>
  <si>
    <t xml:space="preserve">∫C dt over the gap (analytic, first-order relaxation toward C_air_CO2).</t>
  </si>
  <si>
    <t xml:space="preserve">Cycle-average CO₂</t>
  </si>
  <si>
    <t xml:space="preserve">CO2_cyc_avg</t>
  </si>
  <si>
    <t xml:space="preserve">mol/m³</t>
  </si>
  <si>
    <t xml:space="preserve">Cycle time-average dissolved CO₂, schedule-dependent.</t>
  </si>
  <si>
    <t xml:space="preserve">Steady dissolved CO₂</t>
  </si>
  <si>
    <t xml:space="preserve">CO2aqc_ss</t>
  </si>
  <si>
    <t xml:space="preserve">mol/L</t>
  </si>
  <si>
    <t xml:space="preserve">Bounded steady dissolved CO₂; the value Chemistry D5 is repointed to.</t>
  </si>
  <si>
    <t xml:space="preserve">Schedule validity</t>
  </si>
  <si>
    <t xml:space="preserve">sched_valid</t>
  </si>
  <si>
    <t xml:space="preserve">-</t>
  </si>
  <si>
    <t xml:space="preserve">Surfaces the duty&gt;1 misuse the guard absorbs.</t>
  </si>
  <si>
    <t xml:space="preserve">Schedule-dependent steady-state dissolved CO₂ (sawtooth limit cycle, bounded air-eq..saturation) - was the fixed full-sparge 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</si>
</sst>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0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G15" sqref="G1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1173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30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30"/>
    </row>
    <row r="16" spans="1:7" x14ac:dyDescent="0.2">
      <c r="A16" s="28" t="s">
        <v>1086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7.3834297974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0.6807516555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D14">
    <cfRule type="expression" dxfId="29" priority="1" stopIfTrue="1">
      <formula>AND(ISNUMBER($G$13),$G$13&gt;0)</formula>
    </cfRule>
  </conditionalFormatting>
  <conditionalFormatting sqref="D16">
    <cfRule type="expression" dxfId="29" priority="2" stopIfTrue="1">
      <formula>AND(ISNUMBER($G$15),$G$15&gt;0)</formula>
    </cfRule>
  </conditionalFormatting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'Mass Transfer'!$D$162</f>
        <v>8.724353186629647E-4</v>
      </c>
      <c r="E5" s="51" t="s">
        <v>1248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7.3834297974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0.5667723118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in HOB band 6.5-7.5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5.3582403096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9.542413029E-5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2.2482664447E-10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0.6807516555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1169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1170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1171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1172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  <row r="137" spans="1:6" x14ac:dyDescent="0.2">
      <c r="A137" s="20" t="s">
        <v>1174</v>
      </c>
      <c r="B137" s="20"/>
      <c r="C137" s="20"/>
      <c r="D137" s="20"/>
      <c r="E137" s="20" t="s">
        <v>1175</v>
      </c>
      <c r="F137" s="20"/>
    </row>
    <row r="138" spans="1:6" x14ac:dyDescent="0.2">
      <c r="A138" s="17" t="inlineStr">
        <is>
          <t xml:space="preserve">CO₂ molecular diffusivity</t>
        </is>
      </c>
      <c r="B138" s="18" t="inlineStr">
        <is>
          <t xml:space="preserve">D_CO2</t>
        </is>
      </c>
      <c r="C138" s="19" t="inlineStr">
        <is>
          <t xml:space="preserve">m²/s</t>
        </is>
      </c>
      <c r="D138" s="124">
        <v>1.92E-9</v>
      </c>
      <c r="E138" s="67" t="inlineStr">
        <is>
          <t xml:space="preserve">CO₂ diffusivity in water ~25°C, Cussler/Tamimi 1994.</t>
        </is>
      </c>
      <c r="F138" s="20"/>
    </row>
    <row r="139" spans="1:6" x14ac:dyDescent="0.2">
      <c r="A139" s="17" t="inlineStr">
        <is>
          <t xml:space="preserve">Atmospheric CO₂ partial pressure</t>
        </is>
      </c>
      <c r="B139" s="18" t="inlineStr">
        <is>
          <t xml:space="preserve">pCO2_air</t>
        </is>
      </c>
      <c r="C139" s="19" t="inlineStr">
        <is>
          <t xml:space="preserve">Pa</t>
        </is>
      </c>
      <c r="D139" s="124">
        <v>40</v>
      </c>
      <c r="E139" s="67" t="inlineStr">
        <is>
          <t xml:space="preserve">Atmospheric pCO₂ (~400 ppm).</t>
        </is>
      </c>
      <c r="F139" s="20"/>
    </row>
    <row r="140" spans="1:6" x14ac:dyDescent="0.2">
      <c r="A140" s="17" t="inlineStr">
        <is>
          <t xml:space="preserve">Headspace volume (SI)</t>
        </is>
      </c>
      <c r="B140" s="18" t="inlineStr">
        <is>
          <t xml:space="preserve">headspace_V_m3</t>
        </is>
      </c>
      <c r="C140" s="19" t="inlineStr">
        <is>
          <t xml:space="preserve">m³</t>
        </is>
      </c>
      <c r="D140" s="48">
        <f>headspace_V/1000000</f>
        <v>2.6124284559171357E-6</v>
      </c>
      <c r="E140" s="67" t="inlineStr">
        <is>
          <t xml:space="preserve">Geometry headspace volume converted mL→m³.</t>
        </is>
      </c>
      <c r="F140" s="20"/>
    </row>
    <row r="141" spans="1:6" x14ac:dyDescent="0.2">
      <c r="A141" s="17" t="inlineStr">
        <is>
          <t xml:space="preserve">Liquid volume (SI)</t>
        </is>
      </c>
      <c r="B141" s="18" t="inlineStr">
        <is>
          <t xml:space="preserve">V_L_m3</t>
        </is>
      </c>
      <c r="C141" s="19" t="inlineStr">
        <is>
          <t xml:space="preserve">m³</t>
        </is>
      </c>
      <c r="D141" s="48">
        <f>V_charge/1000000</f>
        <v>1.5E-5</v>
      </c>
      <c r="E141" s="67" t="inlineStr">
        <is>
          <t xml:space="preserve">Charged liquid volume converted mL→m³.</t>
        </is>
      </c>
      <c r="F141" s="20"/>
    </row>
    <row r="142" spans="1:6" x14ac:dyDescent="0.2">
      <c r="A142" s="17" t="inlineStr">
        <is>
          <t xml:space="preserve">Headspace vent bleed</t>
        </is>
      </c>
      <c r="B142" s="18" t="inlineStr">
        <is>
          <t xml:space="preserve">Q_vent</t>
        </is>
      </c>
      <c r="C142" s="19" t="inlineStr">
        <is>
          <t xml:space="preserve">mL/min</t>
        </is>
      </c>
      <c r="D142" s="124">
        <v>0.5</v>
      </c>
      <c r="E142" s="69" t="inlineStr">
        <is>
          <t xml:space="preserve">Slow restricted vent bleed - dead-volume + tube + near-closed solenoid leak. KEY NEW UNCERTAIN PARAMETER - measure. NOT free membrane diffusion, which would clear in seconds and could not reproduce the run-2 acidification.</t>
        </is>
      </c>
      <c r="F142" s="20"/>
    </row>
    <row r="143" spans="1:6" x14ac:dyDescent="0.2">
      <c r="A143" s="17" t="inlineStr">
        <is>
          <t xml:space="preserve">Headspace vent rate</t>
        </is>
      </c>
      <c r="B143" s="18" t="inlineStr">
        <is>
          <t xml:space="preserve">k_vent</t>
        </is>
      </c>
      <c r="C143" s="19" t="inlineStr">
        <is>
          <t xml:space="preserve">1/s</t>
        </is>
      </c>
      <c r="D143" s="48">
        <f>(Q_vent/1000000/60)/headspace_V_m3</f>
        <v>3.189880019281822E-3</v>
      </c>
      <c r="E143" s="67" t="inlineStr">
        <is>
          <t xml:space="preserve">First-order headspace clearance from the vent volumetric bleed.</t>
        </is>
      </c>
      <c r="F143" s="20"/>
    </row>
    <row r="144" spans="1:6" x14ac:dyDescent="0.2">
      <c r="A144" s="17" t="inlineStr">
        <is>
          <t xml:space="preserve">Headspace residence time</t>
        </is>
      </c>
      <c r="B144" s="18" t="inlineStr">
        <is>
          <t xml:space="preserve">tau_hs</t>
        </is>
      </c>
      <c r="C144" s="19" t="inlineStr">
        <is>
          <t xml:space="preserve">min</t>
        </is>
      </c>
      <c r="D144" s="48">
        <f>headspace_V_m3/(Q_vent/1000000/60)/60</f>
        <v>5.224856911834271</v>
      </c>
      <c r="E144" s="67" t="inlineStr">
        <is>
          <t xml:space="preserve">Time constant for the headspace to clear through the vent.</t>
        </is>
      </c>
      <c r="F144" s="20"/>
    </row>
    <row r="145" spans="1:6" x14ac:dyDescent="0.2">
      <c r="A145" s="17" t="inlineStr">
        <is>
          <t xml:space="preserve">CO₂ saturation (pure sparge)</t>
        </is>
      </c>
      <c r="B145" s="18" t="inlineStr">
        <is>
          <t xml:space="preserve">C_sat_CO2</t>
        </is>
      </c>
      <c r="C145" s="19" t="inlineStr">
        <is>
          <t xml:space="preserve">mol/m³</t>
        </is>
      </c>
      <c r="D145" s="48">
        <f>Biology!$D$31*P_atm</f>
        <v>29.279978066256632</v>
      </c>
      <c r="E145" s="67" t="inlineStr">
        <is>
          <t xml:space="preserve">Henry-law dissolved CO₂ at pure-CO₂ saturation.</t>
        </is>
      </c>
      <c r="F145" s="20"/>
    </row>
    <row r="146" spans="1:6" x14ac:dyDescent="0.2">
      <c r="A146" s="17" t="inlineStr">
        <is>
          <t xml:space="preserve">CO₂ air-equilibrium</t>
        </is>
      </c>
      <c r="B146" s="18" t="inlineStr">
        <is>
          <t xml:space="preserve">C_air_CO2</t>
        </is>
      </c>
      <c r="C146" s="19" t="inlineStr">
        <is>
          <t xml:space="preserve">mol/m³</t>
        </is>
      </c>
      <c r="D146" s="48">
        <f>Biology!$D$31*pCO2_air</f>
        <v>1.155883664100928E-2</v>
      </c>
      <c r="E146" s="67" t="inlineStr">
        <is>
          <t xml:space="preserve">Henry-law dissolved CO₂ in equilibrium with room air.</t>
        </is>
      </c>
      <c r="F146" s="20"/>
    </row>
    <row r="147" spans="1:6" x14ac:dyDescent="0.2">
      <c r="A147" s="17" t="inlineStr">
        <is>
          <t xml:space="preserve">Diffusivity scaling (CO₂/O₂)</t>
        </is>
      </c>
      <c r="B147" s="18" t="inlineStr">
        <is>
          <t xml:space="preserve">sqrtD_CO2</t>
        </is>
      </c>
      <c r="C147" s="19" t="inlineStr">
        <is>
          <t xml:space="preserve">-</t>
        </is>
      </c>
      <c r="D147" s="48">
        <f>SQRT(D_CO2/D_O2)</f>
        <v>0.9239657792511647</v>
      </c>
      <c r="E147" s="67" t="inlineStr">
        <is>
          <t xml:space="preserve">Penetration-theory √(D_CO₂/D_O₂) scaling of the O₂ transfer coefficient.</t>
        </is>
      </c>
      <c r="F147" s="20"/>
    </row>
    <row r="148" spans="1:6" x14ac:dyDescent="0.2">
      <c r="A148" s="17" t="inlineStr">
        <is>
          <t xml:space="preserve">CO₂ surface transfer coefficient</t>
        </is>
      </c>
      <c r="B148" s="18" t="inlineStr">
        <is>
          <t xml:space="preserve">kLa_CO2_off</t>
        </is>
      </c>
      <c r="C148" s="19" t="inlineStr">
        <is>
          <t xml:space="preserve">1/s</t>
        </is>
      </c>
      <c r="D148" s="48">
        <f>kLa_surf*sqrtD_CO2</f>
        <v>4.991283516870223E-3</v>
      </c>
      <c r="E148" s="67" t="inlineStr">
        <is>
          <t xml:space="preserve">Surface kLa for CO₂ between pulses (surface path).</t>
        </is>
      </c>
      <c r="F148" s="20"/>
    </row>
    <row r="149" spans="1:6" x14ac:dyDescent="0.2">
      <c r="A149" s="17" t="inlineStr">
        <is>
          <t xml:space="preserve">Surface-relaxation time</t>
        </is>
      </c>
      <c r="B149" s="18" t="inlineStr">
        <is>
          <t xml:space="preserve">tau_surf_floor</t>
        </is>
      </c>
      <c r="C149" s="19" t="inlineStr">
        <is>
          <t xml:space="preserve">min</t>
        </is>
      </c>
      <c r="D149" s="48">
        <f>1/kLa_CO2_off/60</f>
        <v>3.3391544700545235</v>
      </c>
      <c r="E149" s="67" t="inlineStr">
        <is>
          <t xml:space="preserve">Time constant for the liquid to relax to the headspace via the surface.</t>
        </is>
      </c>
      <c r="F149" s="20"/>
    </row>
    <row r="150" spans="1:6" x14ac:dyDescent="0.2">
      <c r="A150" s="17" t="inlineStr">
        <is>
          <t xml:space="preserve">Headspace gas inventory</t>
        </is>
      </c>
      <c r="B150" s="18" t="inlineStr">
        <is>
          <t xml:space="preserve">n_hs_gas</t>
        </is>
      </c>
      <c r="C150" s="19" t="inlineStr">
        <is>
          <t xml:space="preserve">mol</t>
        </is>
      </c>
      <c r="D150" s="48">
        <f>P_atm*headspace_V_m3/(R_gas*T_K)</f>
        <v>1.0501933416012095E-4</v>
      </c>
      <c r="E150" s="67" t="inlineStr">
        <is>
          <t xml:space="preserve">Moles of gas in the headspace at P_atm, T_K (ideal-gas).</t>
        </is>
      </c>
      <c r="F150" s="20"/>
    </row>
    <row r="151" spans="1:6" x14ac:dyDescent="0.2">
      <c r="A151" s="17" t="inlineStr">
        <is>
          <t xml:space="preserve">Pulse duration</t>
        </is>
      </c>
      <c r="B151" s="18" t="inlineStr">
        <is>
          <t xml:space="preserve">t_on_CO2</t>
        </is>
      </c>
      <c r="C151" s="19" t="inlineStr">
        <is>
          <t xml:space="preserve">s</t>
        </is>
      </c>
      <c r="D151" s="48">
        <f>spg_dur</f>
        <v>0.7845130498249656</v>
      </c>
      <c r="E151" s="67" t="inlineStr">
        <is>
          <t xml:space="preserve">Sparge pulse on-time from the schedule.</t>
        </is>
      </c>
      <c r="F151" s="20"/>
    </row>
    <row r="152" spans="1:6" x14ac:dyDescent="0.2">
      <c r="A152" s="17" t="inlineStr">
        <is>
          <t xml:space="preserve">Gap duration</t>
        </is>
      </c>
      <c r="B152" s="18" t="inlineStr">
        <is>
          <t xml:space="preserve">t_off_CO2</t>
        </is>
      </c>
      <c r="C152" s="19" t="inlineStr">
        <is>
          <t xml:space="preserve">s</t>
        </is>
      </c>
      <c r="D152" s="48">
        <f>MAX(0,spg_int*60-spg_dur)</f>
        <v>10684.092817840014</v>
      </c>
      <c r="E152" s="67" t="inlineStr">
        <is>
          <t xml:space="preserve">Time between pulses, guard-floored at 0.</t>
        </is>
      </c>
      <c r="F152" s="20"/>
    </row>
    <row r="153" spans="1:6" x14ac:dyDescent="0.2">
      <c r="A153" s="17" t="inlineStr">
        <is>
          <t xml:space="preserve">On-phase surface decay</t>
        </is>
      </c>
      <c r="B153" s="18" t="inlineStr">
        <is>
          <t xml:space="preserve">eon_CO2</t>
        </is>
      </c>
      <c r="C153" s="19" t="inlineStr">
        <is>
          <t xml:space="preserve">-</t>
        </is>
      </c>
      <c r="D153" s="48">
        <f>EXP(-kLa_CO2_off*t_on_CO2)</f>
        <v>0.996091929408022</v>
      </c>
      <c r="E153" s="67" t="inlineStr">
        <is>
          <t xml:space="preserve">Surface-path liquid decay factor over the pulse.</t>
        </is>
      </c>
      <c r="F153" s="20"/>
    </row>
    <row r="154" spans="1:6" x14ac:dyDescent="0.2">
      <c r="A154" s="17" t="inlineStr">
        <is>
          <t xml:space="preserve">Off-phase surface decay</t>
        </is>
      </c>
      <c r="B154" s="18" t="inlineStr">
        <is>
          <t xml:space="preserve">e1_CO2</t>
        </is>
      </c>
      <c r="C154" s="19" t="inlineStr">
        <is>
          <t xml:space="preserve">-</t>
        </is>
      </c>
      <c r="D154" s="48">
        <f>EXP(-kLa_CO2_off*t_off_CO2)</f>
        <v>6.922007698981812E-24</v>
      </c>
      <c r="E154" s="67" t="inlineStr">
        <is>
          <t xml:space="preserve">Surface-path liquid decay factor over the gap.</t>
        </is>
      </c>
      <c r="F154" s="20"/>
    </row>
    <row r="155" spans="1:6" x14ac:dyDescent="0.2">
      <c r="A155" s="17" t="inlineStr">
        <is>
          <t xml:space="preserve">Off-phase vent decay</t>
        </is>
      </c>
      <c r="B155" s="18" t="inlineStr">
        <is>
          <t xml:space="preserve">e2_CO2</t>
        </is>
      </c>
      <c r="C155" s="19" t="inlineStr">
        <is>
          <t xml:space="preserve">-</t>
        </is>
      </c>
      <c r="D155" s="48">
        <f>EXP(-k_vent*t_off_CO2)</f>
        <v>1.5805963161657336E-15</v>
      </c>
      <c r="E155" s="67" t="inlineStr">
        <is>
          <t xml:space="preserve">Headspace vent decay factor over the gap.</t>
        </is>
      </c>
      <c r="F155" s="20"/>
    </row>
    <row r="156" spans="1:6" x14ac:dyDescent="0.2">
      <c r="A156" s="17" t="inlineStr">
        <is>
          <t xml:space="preserve">Two-compartment coupling coef</t>
        </is>
      </c>
      <c r="B156" s="18" t="inlineStr">
        <is>
          <t xml:space="preserve">coef_CO2</t>
        </is>
      </c>
      <c r="C156" s="19" t="inlineStr">
        <is>
          <t xml:space="preserve">mol/m³</t>
        </is>
      </c>
      <c r="D156" s="48">
        <f>(C_sat_CO2-C_air_CO2)*kLa_CO2_off/(kLa_CO2_off-k_vent)</f>
        <v>81.09620008021494</v>
      </c>
      <c r="E156" s="67" t="inlineStr">
        <is>
          <t xml:space="preserve">Coupling coefficient linking the venting headspace to the liquid relaxation.</t>
        </is>
      </c>
      <c r="F156" s="20"/>
    </row>
    <row r="157" spans="1:6" x14ac:dyDescent="0.2">
      <c r="A157" s="17" t="inlineStr">
        <is>
          <t xml:space="preserve">Cycle-start liquid CO₂</t>
        </is>
      </c>
      <c r="B157" s="18" t="inlineStr">
        <is>
          <t xml:space="preserve">Ca_CO2</t>
        </is>
      </c>
      <c r="C157" s="19" t="inlineStr">
        <is>
          <t xml:space="preserve">mol/m³</t>
        </is>
      </c>
      <c r="D157" s="48">
        <f>(e1_CO2*C_sat_CO2*(1-eon_CO2)+C_air_CO2*(1-e1_CO2)+coef_CO2*(e2_CO2-e1_CO2))/(1-e1_CO2*eon_CO2)</f>
        <v>1.155883664113746E-2</v>
      </c>
      <c r="E157" s="67" t="inlineStr">
        <is>
          <t xml:space="preserve">Closed-form limit-cycle dissolved CO₂ at the start of each pulse.</t>
        </is>
      </c>
      <c r="F157" s="20"/>
    </row>
    <row r="158" spans="1:6" x14ac:dyDescent="0.2">
      <c r="A158" s="17" t="inlineStr">
        <is>
          <t xml:space="preserve">End-of-pulse liquid CO₂</t>
        </is>
      </c>
      <c r="B158" s="18" t="inlineStr">
        <is>
          <t xml:space="preserve">Cb_CO2</t>
        </is>
      </c>
      <c r="C158" s="19" t="inlineStr">
        <is>
          <t xml:space="preserve">mol/m³</t>
        </is>
      </c>
      <c r="D158" s="48">
        <f>C_sat_CO2+(Ca_CO2-C_sat_CO2)*eon_CO2</f>
        <v>0.1259418851060765</v>
      </c>
      <c r="E158" s="67" t="inlineStr">
        <is>
          <t xml:space="preserve">Dissolved CO₂ at the end of the pulse (start of the gap).</t>
        </is>
      </c>
      <c r="F158" s="20"/>
    </row>
    <row r="159" spans="1:6" x14ac:dyDescent="0.2">
      <c r="A159" s="17" t="inlineStr">
        <is>
          <t xml:space="preserve">On-phase CO₂ integral</t>
        </is>
      </c>
      <c r="B159" s="18" t="inlineStr">
        <is>
          <t xml:space="preserve">CO2_int_on</t>
        </is>
      </c>
      <c r="C159" s="19" t="inlineStr">
        <is>
          <t xml:space="preserve">mol.s/m³</t>
        </is>
      </c>
      <c r="D159" s="48">
        <f>C_sat_CO2*t_on_CO2+(Ca_CO2-C_sat_CO2)/kLa_CO2_off*(1-eon_CO2)</f>
        <v>5.3964836756566825E-2</v>
      </c>
      <c r="E159" s="67" t="inlineStr">
        <is>
          <t xml:space="preserve">Time-integral of dissolved CO₂ over the pulse.</t>
        </is>
      </c>
      <c r="F159" s="20"/>
    </row>
    <row r="160" spans="1:6" x14ac:dyDescent="0.2">
      <c r="A160" s="17" t="inlineStr">
        <is>
          <t xml:space="preserve">Off-phase CO₂ integral</t>
        </is>
      </c>
      <c r="B160" s="18" t="inlineStr">
        <is>
          <t xml:space="preserve">CO2_int_off</t>
        </is>
      </c>
      <c r="C160" s="19" t="inlineStr">
        <is>
          <t xml:space="preserve">mol.s/m³</t>
        </is>
      </c>
      <c r="D160" s="48">
        <f>C_air_CO2*t_off_CO2+(Cb_CO2-C_air_CO2)/kLa_CO2_off*(1-e1_CO2)+coef_CO2*((1-e2_CO2)/k_vent-(1-e1_CO2)/kLa_CO2_off)</f>
        <v>9321.810394212807</v>
      </c>
      <c r="E160" s="67" t="inlineStr">
        <is>
          <t xml:space="preserve">Time-integral of dissolved CO₂ over the gap, including the venting-headspace term.</t>
        </is>
      </c>
      <c r="F160" s="20"/>
    </row>
    <row r="161" spans="1:6" x14ac:dyDescent="0.2">
      <c r="A161" s="17" t="inlineStr">
        <is>
          <t xml:space="preserve">Cycle-average CO₂</t>
        </is>
      </c>
      <c r="B161" s="18" t="inlineStr">
        <is>
          <t xml:space="preserve">CO2_cyc_avg</t>
        </is>
      </c>
      <c r="C161" s="19" t="inlineStr">
        <is>
          <t xml:space="preserve">mol/m³</t>
        </is>
      </c>
      <c r="D161" s="48">
        <f>(CO2_int_on+CO2_int_off)/(t_on_CO2+t_off_CO2)</f>
        <v>0.8724353186629646</v>
      </c>
      <c r="E161" s="67" t="inlineStr">
        <is>
          <t xml:space="preserve">Limit-cycle time-average dissolved CO₂ over one pulse+gap.</t>
        </is>
      </c>
      <c r="F161" s="20"/>
    </row>
    <row r="162" spans="1:6" x14ac:dyDescent="0.2">
      <c r="A162" s="17" t="inlineStr">
        <is>
          <t xml:space="preserve">Steady dissolved CO₂</t>
        </is>
      </c>
      <c r="B162" s="18" t="inlineStr">
        <is>
          <t xml:space="preserve">CO2aqc_ss</t>
        </is>
      </c>
      <c r="C162" s="19" t="inlineStr">
        <is>
          <t xml:space="preserve">mol/L</t>
        </is>
      </c>
      <c r="D162" s="48">
        <f>MIN(C_sat_CO2,MAX(C_air_CO2,CO2_cyc_avg))/1000</f>
        <v>8.724353186629647E-4</v>
      </c>
      <c r="E162" s="67" t="inlineStr">
        <is>
          <t xml:space="preserve">Bounded steady dissolved CO₂; the value Chemistry D5 is repointed to (two-compartment headspace model).</t>
        </is>
      </c>
      <c r="F162" s="20"/>
    </row>
    <row r="163" spans="1:6" x14ac:dyDescent="0.2">
      <c r="A163" s="17" t="inlineStr">
        <is>
          <t xml:space="preserve">Vent-path sanity check</t>
        </is>
      </c>
      <c r="B163" s="18" t="inlineStr">
        <is>
          <t xml:space="preserve">vent_floor_chk</t>
        </is>
      </c>
      <c r="C163" s="19" t="inlineStr">
        <is>
          <t xml:space="preserve">-</t>
        </is>
      </c>
      <c r="D163" s="48" t="str">
        <f>IF(tau_hs&gt;=tau_surf_floor,"vent is slow path - OK","WARNING: surface clears faster than vent - run2 cannot stay acidic")</f>
        <v>vent is slow path - OK</v>
      </c>
      <c r="E163" s="67" t="inlineStr">
        <is>
          <t xml:space="preserve">Confirms the vent is the rate-limiting path; if the surface cleared faster, run 2 could not stay acidic.</t>
        </is>
      </c>
      <c r="F163" s="20"/>
    </row>
    <row r="164" spans="1:6" x14ac:dyDescent="0.2">
      <c r="A164" s="17" t="inlineStr">
        <is>
          <t xml:space="preserve">Schedule validity</t>
        </is>
      </c>
      <c r="B164" s="18" t="inlineStr">
        <is>
          <t xml:space="preserve">sched_valid</t>
        </is>
      </c>
      <c r="C164" s="19" t="inlineStr">
        <is>
          <t xml:space="preserve">-</t>
        </is>
      </c>
      <c r="D164" s="48" t="str">
        <f>IF(spg_int*60&gt;=spg_dur,"OK","INVALID: interval &lt; pulse")</f>
        <v>OK</v>
      </c>
      <c r="E164" s="67" t="inlineStr">
        <is>
          <t xml:space="preserve">Surfaces an interval&lt;pulse misconfiguration.</t>
        </is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2026-06-26T16:00:02Z</dcterms:modified>
  <dc:language>en-US</dc:language>
</cp:coreProperties>
</file>