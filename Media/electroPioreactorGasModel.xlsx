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Reactors" sheetId="10" r:id="rId15"/>
    <sheet name="Electrodes" sheetId="11" r:id="rId16"/>
    <sheet name="Organisms" sheetId="12" r:id="rId17"/>
    <sheet name="Geometry" sheetId="2" r:id="rId2"/>
    <sheet name="Electrochemistry" sheetId="3" r:id="rId3"/>
    <sheet name="Media" sheetId="9" r:id="rId13"/>
    <sheet name="Chemistry" sheetId="7" r:id="rId4"/>
    <sheet name="Biology" sheetId="4" r:id="rId5"/>
    <sheet name="Mass Transfer" sheetId="5" r:id="rId6"/>
    <sheet name="CO2 flows" sheetId="6" r:id="rId7"/>
    <sheet name="Calibrations" sheetId="8" r:id="rId8"/>
    <sheet name="Cal current" sheetId="13" r:id="rId18"/>
    <sheet name="Cal faradaic" sheetId="14" r:id="rId19"/>
    <sheet name="Cal kLa" sheetId="15" r:id="rId20"/>
    <sheet name="Cal CO2 flow" sheetId="16" r:id="rId21"/>
    <sheet name="Cal vial" sheetId="17" r:id="rId22"/>
    <sheet name="Cal sinter" sheetId="18" r:id="rId23"/>
    <sheet name="Cal DO" sheetId="19" r:id="rId24"/>
    <sheet name="Cal knallgas" sheetId="20" r:id="rId25"/>
    <sheet name="Cal j screen" sheetId="21" r:id="rId26"/>
    <sheet name="Cal km" sheetId="22" r:id="rId27"/>
    <sheet name="Cal chloramine" sheetId="23" r:id="rId28"/>
    <sheet name="Experiments" sheetId="24" r:id="rId29"/>
  </sheets>
  <definedNames>
    <definedName name="A_anode" localSheetId="7">Chemistry!$D$130</definedName>
    <definedName name="A_anode_wet" localSheetId="5">Electrochemistry!$D$46</definedName>
    <definedName name="A_cath_wet" localSheetId="5">Electrochemistry!$D$47</definedName>
    <definedName name="A_DH" localSheetId="7">Chemistry!$D$186</definedName>
    <definedName name="a_int" localSheetId="9">'Mass Transfer'!$D$49</definedName>
    <definedName name="a_surf" localSheetId="9">'Mass Transfer'!$D$71</definedName>
    <definedName name="A_x" localSheetId="4">Geometry!$D$21</definedName>
    <definedName name="A_x" localSheetId="9">'Mass Transfer'!$D$17</definedName>
    <definedName name="alk_add_M" localSheetId="7">Chemistry!$D$318</definedName>
    <definedName name="alk_NaHCO3_gL" localSheetId="7">Chemistry!$D$308</definedName>
    <definedName name="alk_needed" localSheetId="7">Chemistry!$D$306</definedName>
    <definedName name="alk_pH_target" localSheetId="7">Chemistry!$D$303</definedName>
    <definedName name="alk_pH_target_c" localSheetId="7">Chemistry!$D$304</definedName>
    <definedName name="alk_resid_t" localSheetId="7">Chemistry!$D$305</definedName>
    <definedName name="anode_dia" localSheetId="5">Electrochemistry!$D$42</definedName>
    <definedName name="anode_j_cont" localSheetId="5">Electrochemistry!$D$50</definedName>
    <definedName name="anode_j_max" localSheetId="5">Electrochemistry!$D$51</definedName>
    <definedName name="anode_material" localSheetId="5">Electrochemistry!$D$63</definedName>
    <definedName name="anode_shape" localSheetId="5">Electrochemistry!$D$41</definedName>
    <definedName name="b_anode" localSheetId="5">Electrochemistry!$D$107</definedName>
    <definedName name="b_cath" localSheetId="5">Electrochemistry!$D$109</definedName>
    <definedName name="beta_nonC" localSheetId="7">Chemistry!$D$295</definedName>
    <definedName name="bio_CO2" localSheetId="8">Biology!$D$12</definedName>
    <definedName name="bio_H2" localSheetId="8">Biology!$D$10</definedName>
    <definedName name="bio_O2" localSheetId="8">Biology!$D$11</definedName>
    <definedName name="bleach_flag" localSheetId="7">Chemistry!$D$109</definedName>
    <definedName name="bleach_rate" localSheetId="7">Chemistry!$D$107</definedName>
    <definedName name="bleach_t1ppm" localSheetId="7">Chemistry!$D$108</definedName>
    <definedName name="bubble_regime" localSheetId="9">'Mass Transfer'!$D$64</definedName>
    <definedName name="buffer_caution_frac" localSheetId="7">Chemistry!$D$238</definedName>
    <definedName name="buffer_flag" localSheetId="7">Chemistry!$D$219</definedName>
    <definedName name="C_air_CO2" localSheetId="9">'Mass Transfer'!$D$146</definedName>
    <definedName name="C_CO2_mf" localSheetId="9">'Mass Transfer'!$D$382</definedName>
    <definedName name="C_cycle_peak" localSheetId="9">'Mass Transfer'!$D$199</definedName>
    <definedName name="C_cycle_start" localSheetId="9">'Mass Transfer'!$D$198</definedName>
    <definedName name="C_cycle_start_b" localSheetId="8">Biology!$D$97</definedName>
    <definedName name="C_eff" localSheetId="7">Chemistry!$D$145</definedName>
    <definedName name="C_eff_Cl2" localSheetId="7">Chemistry!$D$226</definedName>
    <definedName name="C_eff_hi" localSheetId="7">Chemistry!$D$157</definedName>
    <definedName name="C_eff_hi_Cl2" localSheetId="7">Chemistry!$D$260</definedName>
    <definedName name="C_eff_lo" localSheetId="7">Chemistry!$D$156</definedName>
    <definedName name="C_eff_lo_Cl2" localSheetId="7">Chemistry!$D$259</definedName>
    <definedName name="C_H2_sat" localSheetId="8">Biology!$D$41</definedName>
    <definedName name="C_sat_CO2" localSheetId="9">'Mass Transfer'!$D$145</definedName>
    <definedName name="cal_warning" localSheetId="9">'Mass Transfer'!$D$120</definedName>
    <definedName name="carbon_margin_min" localSheetId="9">'Mass Transfer'!$D$85</definedName>
    <definedName name="carry_flag" localSheetId="9">'Mass Transfer'!$D$59</definedName>
    <definedName name="carry_flag_usg" localSheetId="9">'Mass Transfer'!$D$414</definedName>
    <definedName name="carry_n" localSheetId="9">'Mass Transfer'!$D$412</definedName>
    <definedName name="cath_j_cont" localSheetId="5">Electrochemistry!$D$52</definedName>
    <definedName name="cath_j_max" localSheetId="5">Electrochemistry!$D$53</definedName>
    <definedName name="cathode_dia" localSheetId="5">Electrochemistry!$D$44</definedName>
    <definedName name="cathode_shape" localSheetId="5">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bound" localSheetId="7">Chemistry!$D$311</definedName>
    <definedName name="Cl_floor_molL" localSheetId="7">Chemistry!$D$234</definedName>
    <definedName name="Cl_free_frac" localSheetId="7">Chemistry!$D$278</definedName>
    <definedName name="Cl_kill" localSheetId="7">Chemistry!$D$147</definedName>
    <definedName name="Cl_model_check" localSheetId="7">Chemistry!$D$312</definedName>
    <definedName name="Cl_onset" localSheetId="7">Chemistry!$D$146</definedName>
    <definedName name="cl_per_N" localSheetId="7">Chemistry!$D$224</definedName>
    <definedName name="Cl_pool_mgL" localSheetId="7">Chemistry!$D$149</definedName>
    <definedName name="cleared_min" localSheetId="9">'Mass Transfer'!$D$213</definedName>
    <definedName name="CO2_carbon_margin" localSheetId="8">Biology!$D$35</definedName>
    <definedName name="CO2_cons" localSheetId="8">Biology!$D$15</definedName>
    <definedName name="CO2_cons" localSheetId="9">'Mass Transfer'!$D$10</definedName>
    <definedName name="CO2_cyc_avg_new" localSheetId="9">'Mass Transfer'!$D$200</definedName>
    <definedName name="CO2_diss" localSheetId="8">Biology!$D$33</definedName>
    <definedName name="CO2_fix_g" localSheetId="9">'Mass Transfer'!$D$315</definedName>
    <definedName name="CO2_fix_l" localSheetId="9">'Mass Transfer'!$D$316</definedName>
    <definedName name="CO2_fix_sched" localSheetId="9">'Mass Transfer'!$D$319</definedName>
    <definedName name="CO2_margin_trough" localSheetId="8">Biology!$D$98</definedName>
    <definedName name="CO2_pH_hi" localSheetId="7">Chemistry!$D$324</definedName>
    <definedName name="CO2_pH_hi_mt" localSheetId="9">'Mass Transfer'!$D$429</definedName>
    <definedName name="CO2_pulse" localSheetId="9">'Mass Transfer'!$D$123</definedName>
    <definedName name="CO2_rate_full" localSheetId="9">'Mass Transfer'!$D$178</definedName>
    <definedName name="CO2_rate_full_b" localSheetId="8">Biology!$D$77</definedName>
    <definedName name="CO2_sd_ratio" localSheetId="9">'Mass Transfer'!$D$126</definedName>
    <definedName name="CO2_supply" localSheetId="9">'Mass Transfer'!$D$100</definedName>
    <definedName name="CO2_supply_b" localSheetId="8">Biology!$D$76</definedName>
    <definedName name="CO2_uptake_ratio" localSheetId="9">'Mass Transfer'!$D$417</definedName>
    <definedName name="CO2aqc" localSheetId="7">Chemistry!$D$5</definedName>
    <definedName name="CO2aqc_ss" localSheetId="9">'Mass Transfer'!$D$162</definedName>
    <definedName name="corr_I_frac" localSheetId="7">Chemistry!$D$158</definedName>
    <definedName name="d_bubble" localSheetId="9">'Mass Transfer'!$D$42</definedName>
    <definedName name="d_bubble_min_m" localSheetId="9">'Mass Transfer'!$D$211</definedName>
    <definedName name="d_bubble_mm" localSheetId="9">'Mass Transfer'!$D$43</definedName>
    <definedName name="D_Cl" localSheetId="7">Chemistry!$D$277</definedName>
    <definedName name="D_CO2" localSheetId="9">'Mass Transfer'!$D$138</definedName>
    <definedName name="D_CO2_ref" localSheetId="9">'Mass Transfer'!$D$174</definedName>
    <definedName name="D_HCO3" localSheetId="7">Chemistry!$D$251</definedName>
    <definedName name="D_HPO4" localSheetId="7">Chemistry!$D$214</definedName>
    <definedName name="D_int" localSheetId="4">Geometry!$D$22</definedName>
    <definedName name="D_O2" localSheetId="9">'Mass Transfer'!$D$32</definedName>
    <definedName name="D_O2_c" localSheetId="7">Chemistry!$D$274</definedName>
    <definedName name="d_orifice" localSheetId="9">'Mass Transfer'!$D$41</definedName>
    <definedName name="davies_c" localSheetId="7">Chemistry!$D$233</definedName>
    <definedName name="delta_diff" localSheetId="7">Chemistry!$D$215</definedName>
    <definedName name="depth_warn" localSheetId="4">Geometry!$D$55</definedName>
    <definedName name="DH_const" localSheetId="7">Chemistry!$D$230</definedName>
    <definedName name="DIC_cap" localSheetId="7">Chemistry!$D$296</definedName>
    <definedName name="DIC_cap_mt" localSheetId="9">'Mass Transfer'!$D$415</definedName>
    <definedName name="DIC_ref_check" localSheetId="7">Chemistry!$D$310</definedName>
    <definedName name="DIC_ref_tol" localSheetId="7">Chemistry!$D$309</definedName>
    <definedName name="disp_tot" localSheetId="4">Geometry!$D$40</definedName>
    <definedName name="DO_at_carbon" localSheetId="9">'Mass Transfer'!$D$232</definedName>
    <definedName name="DO_avg_g" localSheetId="9">'Mass Transfer'!$D$341</definedName>
    <definedName name="DO_avg_g_mgL" localSheetId="9">'Mass Transfer'!$D$343</definedName>
    <definedName name="DO_avg_l" localSheetId="9">'Mass Transfer'!$D$362</definedName>
    <definedName name="DO_avg_l_mgL" localSheetId="9">'Mass Transfer'!$D$364</definedName>
    <definedName name="DO_avg_sched" localSheetId="9">'Mass Transfer'!$D$372</definedName>
    <definedName name="DO_avg_su_mgL" localSheetId="9">'Mass Transfer'!$D$556</definedName>
    <definedName name="DO_feas_g" localSheetId="9">'Mass Transfer'!$D$347</definedName>
    <definedName name="DO_feas_l" localSheetId="9">'Mass Transfer'!$D$368</definedName>
    <definedName name="DO_frac_fallback" localSheetId="8">Biology!$D$61</definedName>
    <definedName name="DO_frac_target" localSheetId="8">Biology!$D$60</definedName>
    <definedName name="DO_hs_floor" localSheetId="9">'Mass Transfer'!$D$188</definedName>
    <definedName name="DO_impair" localSheetId="8">Biology!$D$47</definedName>
    <definedName name="DO_impair" localSheetId="9">'Mass Transfer'!$D$23</definedName>
    <definedName name="DO_lag_ref" localSheetId="5">Electrochemistry!$D$129</definedName>
    <definedName name="DO_lag_ref_chk" localSheetId="5">Electrochemistry!$D$134</definedName>
    <definedName name="DO_lag_tol" localSheetId="5">Electrochemistry!$D$130</definedName>
    <definedName name="DO_mf_g" localSheetId="9">'Mass Transfer'!$D$340</definedName>
    <definedName name="DO_mf_l" localSheetId="9">'Mass Transfer'!$D$361</definedName>
    <definedName name="DO_min" localSheetId="8">Biology!$D$45</definedName>
    <definedName name="DO_min" localSheetId="9">'Mass Transfer'!$D$25</definedName>
    <definedName name="DO_opt" localSheetId="8">Biology!$D$46</definedName>
    <definedName name="DO_opt" localSheetId="9">'Mass Transfer'!$D$22</definedName>
    <definedName name="DO_peak_band" localSheetId="9">'Mass Transfer'!$D$374</definedName>
    <definedName name="DO_peak_chk_g" localSheetId="9">'Mass Transfer'!$D$348</definedName>
    <definedName name="DO_peak_chk_l" localSheetId="9">'Mass Transfer'!$D$369</definedName>
    <definedName name="DO_peak_g" localSheetId="9">'Mass Transfer'!$D$342</definedName>
    <definedName name="DO_peak_g_mgL" localSheetId="9">'Mass Transfer'!$D$344</definedName>
    <definedName name="DO_peak_l" localSheetId="9">'Mass Transfer'!$D$363</definedName>
    <definedName name="DO_peak_l_mgL" localSheetId="9">'Mass Transfer'!$D$365</definedName>
    <definedName name="DO_peak_sched" localSheetId="9">'Mass Transfer'!$D$373</definedName>
    <definedName name="DO_peak_su_mgL" localSheetId="9">'Mass Transfer'!$D$557</definedName>
    <definedName name="DO_ss" localSheetId="9">'Mass Transfer'!$D$108</definedName>
    <definedName name="DO_ss_sawtooth" localSheetId="9">'Mass Transfer'!$D$133</definedName>
    <definedName name="DO_ss_sawtooth_lag" localSheetId="9">'Mass Transfer'!$D$135</definedName>
    <definedName name="DO_ss_vs_min" localSheetId="9">'Mass Transfer'!$D$110</definedName>
    <definedName name="DO_surf_excess" localSheetId="9">'Mass Transfer'!$D$180</definedName>
    <definedName name="DO_surf_excess_g" localSheetId="9">'Mass Transfer'!$D$339</definedName>
    <definedName name="DO_surf_excess_lag" localSheetId="9">'Mass Transfer'!$D$181</definedName>
    <definedName name="DO_surf_excess_su" localSheetId="9">'Mass Transfer'!$D$576</definedName>
    <definedName name="DO_target" localSheetId="9">'Mass Transfer'!$D$179</definedName>
    <definedName name="DO_toxic" localSheetId="8">Biology!$D$48</definedName>
    <definedName name="DO_toxic" localSheetId="9">'Mass Transfer'!$D$24</definedName>
    <definedName name="dur_ok" localSheetId="9">'Mass Transfer'!$D$130</definedName>
    <definedName name="duty" localSheetId="9">'Mass Transfer'!$D$105</definedName>
    <definedName name="duty_actual" localSheetId="9">'Mass Transfer'!$D$93</definedName>
    <definedName name="duty_carbon" localSheetId="9">'Mass Transfer'!$D$86</definedName>
    <definedName name="duty_DO" localSheetId="9">'Mass Transfer'!$D$184</definedName>
    <definedName name="duty_DO_l" localSheetId="9">'Mass Transfer'!$D$543</definedName>
    <definedName name="duty_H2safe" localSheetId="8">Biology!$D$86</definedName>
    <definedName name="duty_O2vent" localSheetId="9">'Mass Transfer'!$D$87</definedName>
    <definedName name="duty_opt" localSheetId="9">'Mass Transfer'!$D$88</definedName>
    <definedName name="dy_O2_g" localSheetId="9">'Mass Transfer'!$D$335</definedName>
    <definedName name="dy_O2_l" localSheetId="9">'Mass Transfer'!$D$357</definedName>
    <definedName name="dy_O2_su" localSheetId="9">'Mass Transfer'!$D$553</definedName>
    <definedName name="E_anode_op" localSheetId="7">Chemistry!$D$256</definedName>
    <definedName name="E_Cl_margin" localSheetId="7">Chemistry!$D$209</definedName>
    <definedName name="E_Cl2" localSheetId="7">Chemistry!$D$208</definedName>
    <definedName name="E_Cu_margin" localSheetId="7">Chemistry!$D$211</definedName>
    <definedName name="E_HER" localSheetId="7">Chemistry!$D$207</definedName>
    <definedName name="E_HOCl_Cl" localSheetId="7">Chemistry!$D$258</definedName>
    <definedName name="E_OER" localSheetId="7">Chemistry!$D$206</definedName>
    <definedName name="E_ORR2" localSheetId="7">Chemistry!$D$210</definedName>
    <definedName name="E0_Cl2" localSheetId="7">Chemistry!$D$203</definedName>
    <definedName name="E0_Cu" localSheetId="7">Chemistry!$D$205</definedName>
    <definedName name="E0_HER" localSheetId="7">Chemistry!$D$202</definedName>
    <definedName name="E0_HOCl" localSheetId="7">Chemistry!$D$257</definedName>
    <definedName name="E0_OER" localSheetId="7">Chemistry!$D$201</definedName>
    <definedName name="E0_ORR2" localSheetId="7">Chemistry!$D$204</definedName>
    <definedName name="Ea_D_CO2" localSheetId="9">'Mass Transfer'!$D$175</definedName>
    <definedName name="ec_C_H2_sat" localSheetId="5">Electrochemistry!$D$146</definedName>
    <definedName name="ec_corr_I" localSheetId="5">Electrochemistry!$D$102</definedName>
    <definedName name="ec_D_O2" localSheetId="5">Electrochemistry!$D$81</definedName>
    <definedName name="ec_DO_design" localSheetId="5">Electrochemistry!$D$85</definedName>
    <definedName name="ec_DO_lag" localSheetId="5">Electrochemistry!$D$150</definedName>
    <definedName name="ec_E_rev" localSheetId="5">Electrochemistry!$D$106</definedName>
    <definedName name="ec_gap" localSheetId="5">Electrochemistry!$D$115</definedName>
    <definedName name="ec_I_Cl" localSheetId="5">Electrochemistry!$D$101</definedName>
    <definedName name="ec_jbuf_ratio" localSheetId="5">Electrochemistry!$D$161</definedName>
    <definedName name="ec_kappa" localSheetId="5">Electrochemistry!$D$114</definedName>
    <definedName name="ec_O2_ceil" localSheetId="5">Electrochemistry!$D$80</definedName>
    <definedName name="ec_V_L" localSheetId="5">Electrochemistry!$D$82</definedName>
    <definedName name="eff_disp" localSheetId="4">Geometry!$D$39</definedName>
    <definedName name="eff_ID" localSheetId="4">Geometry!$D$34</definedName>
    <definedName name="eff_OD" localSheetId="4">Geometry!$D$33</definedName>
    <definedName name="eff_sub_L" localSheetId="4">Geometry!$D$38</definedName>
    <definedName name="elec_clear" localSheetId="4">Geometry!$D$28</definedName>
    <definedName name="elec_disp" localSheetId="4">Geometry!$D$36</definedName>
    <definedName name="elec_gap" localSheetId="4">Geometry!$D$92</definedName>
    <definedName name="elec_ins" localSheetId="4">Geometry!$D$29</definedName>
    <definedName name="elec_sub_L" localSheetId="4">Geometry!$D$35</definedName>
    <definedName name="elec_sub_L_act" localSheetId="4">Geometry!$D$93</definedName>
    <definedName name="electrode_sel" localSheetId="5">Electrochemistry!$D$8</definedName>
    <definedName name="electrode_sel" localSheetId="0">Summary!$D$3</definedName>
    <definedName name="eps_T_exp" localSheetId="7">Chemistry!$D$232</definedName>
    <definedName name="eps_water_298" localSheetId="7">Chemistry!$D$231</definedName>
    <definedName name="eta_anode" localSheetId="5">Electrochemistry!$D$111</definedName>
    <definedName name="eta_anode_c" localSheetId="7">Chemistry!$D$254</definedName>
    <definedName name="eta_cath" localSheetId="5">Electrochemistry!$D$112</definedName>
    <definedName name="etaF" localSheetId="5">Electrochemistry!$D$18</definedName>
    <definedName name="etaF_calc" localSheetId="5">Electrochemistry!$D$88</definedName>
    <definedName name="etaF_calc_min" localSheetId="5">Electrochemistry!$D$89</definedName>
    <definedName name="etaF_OER" localSheetId="5">Electrochemistry!$D$26</definedName>
    <definedName name="etaF_OER_calc" localSheetId="5">Electrochemistry!$D$104</definedName>
    <definedName name="f_Cl_anode" localSheetId="5">Electrochemistry!$D$103</definedName>
    <definedName name="F_const" localSheetId="5">Electrochemistry!$D$15</definedName>
    <definedName name="F_dil" localSheetId="9">'Mass Transfer'!$D$425</definedName>
    <definedName name="F_dil_b" localSheetId="8">Biology!$D$125</definedName>
    <definedName name="F_gap_g" localSheetId="9">'Mass Transfer'!$D$331</definedName>
    <definedName name="F_gap_l" localSheetId="9">'Mass Transfer'!$D$353</definedName>
    <definedName name="F_gap_l_b" localSheetId="8">Biology!$D$116</definedName>
    <definedName name="F_gap_sched" localSheetId="9">'Mass Transfer'!$D$371</definedName>
    <definedName name="F_gap_su" localSheetId="9">'Mass Transfer'!$D$575</definedName>
    <definedName name="f_H2O2_anode" localSheetId="5">Electrochemistry!$D$170</definedName>
    <definedName name="f_HOOH" localSheetId="5">Electrochemistry!$D$91</definedName>
    <definedName name="f_HOR_anode" localSheetId="5">Electrochemistry!$D$145</definedName>
    <definedName name="f_HOR_lim" localSheetId="5">Electrochemistry!$D$148</definedName>
    <definedName name="F_hs_net_g" localSheetId="9">'Mass Transfer'!$D$328</definedName>
    <definedName name="F_hs_net_l" localSheetId="9">'Mass Transfer'!$D$350</definedName>
    <definedName name="f_local" localSheetId="7">Chemistry!$D$141</definedName>
    <definedName name="F_N2" localSheetId="9">'Mass Transfer'!$D$424</definedName>
    <definedName name="f_salt_O2" localSheetId="8">Biology!$D$123</definedName>
    <definedName name="F_vent_ex" localSheetId="9">'Mass Transfer'!$D$308</definedName>
    <definedName name="F_vent_ex_b" localSheetId="8">Biology!$D$111</definedName>
    <definedName name="Fcc" localSheetId="7">Chemistry!$D$7</definedName>
    <definedName name="FE_CER" localSheetId="7">Chemistry!$D$128</definedName>
    <definedName name="fit_n" localSheetId="9">'Mass Transfer'!$D$401</definedName>
    <definedName name="fit_n_min" localSheetId="9">'Mass Transfer'!$D$406</definedName>
    <definedName name="fit_St" localSheetId="9">'Mass Transfer'!$D$402</definedName>
    <definedName name="fit_Stt" localSheetId="9">'Mass Transfer'!$D$404</definedName>
    <definedName name="fit_StV" localSheetId="9">'Mass Transfer'!$D$405</definedName>
    <definedName name="fit_SV" localSheetId="9">'Mass Transfer'!$D$403</definedName>
    <definedName name="flowrate_cal" localSheetId="9">'Mass Transfer'!$D$117</definedName>
    <definedName name="flush_factor" localSheetId="9">'Mass Transfer'!$D$106</definedName>
    <definedName name="flush_ret" localSheetId="9">'Mass Transfer'!$D$324</definedName>
    <definedName name="flush_ret_opt" localSheetId="9">'Mass Transfer'!$D$321</definedName>
    <definedName name="flush_ret_opt_b" localSheetId="8">Biology!$D$118</definedName>
    <definedName name="flush_vol" localSheetId="9">'Mass Transfer'!$D$323</definedName>
    <definedName name="flush_vol_opt" localSheetId="9">'Mass Transfer'!$D$320</definedName>
    <definedName name="g_const" localSheetId="9">'Mass Transfer'!$D$31</definedName>
    <definedName name="gamma_1" localSheetId="7">Chemistry!$D$187</definedName>
    <definedName name="gamma_2" localSheetId="7">Chemistry!$D$188</definedName>
    <definedName name="gamma_3" localSheetId="7">Chemistry!$D$189</definedName>
    <definedName name="geom_check" localSheetId="4">Geometry!$D$90</definedName>
    <definedName name="geom_tol_mL" localSheetId="4">Geometry!$D$96</definedName>
    <definedName name="gerrit_check_pct" localSheetId="5">Electrochemistry!$D$166</definedName>
    <definedName name="gerrit_int" localSheetId="5">Electrochemistry!$D$12</definedName>
    <definedName name="gerrit_int_default" localSheetId="5">Electrochemistry!$D$126</definedName>
    <definedName name="gerrit_max" localSheetId="5">Electrochemistry!$D$14</definedName>
    <definedName name="gerrit_min" localSheetId="5">Electrochemistry!$D$13</definedName>
    <definedName name="gerrit_slope" localSheetId="5">Electrochemistry!$D$11</definedName>
    <definedName name="gerrit_slope_default" localSheetId="5">Electrochemistry!$D$125</definedName>
    <definedName name="grid_ratio" localSheetId="9">'Mass Transfer'!$D$431</definedName>
    <definedName name="grid_t_max" localSheetId="9">'Mass Transfer'!$D$436</definedName>
    <definedName name="grid_t_min" localSheetId="9">'Mass Transfer'!$D$430</definedName>
    <definedName name="h_actual" localSheetId="4">Geometry!$D$42</definedName>
    <definedName name="H_CO2_T" localSheetId="8">Biology!$D$31</definedName>
    <definedName name="H_CO2ref" localSheetId="8">Biology!$D$29</definedName>
    <definedName name="H_CO2T" localSheetId="8">Biology!$D$30</definedName>
    <definedName name="h_datum" localSheetId="4">Geometry!$D$25</definedName>
    <definedName name="H_H2_T" localSheetId="8">Biology!$D$40</definedName>
    <definedName name="H_H2ref" localSheetId="8">Biology!$D$38</definedName>
    <definedName name="H_H2T" localSheetId="8">Biology!$D$39</definedName>
    <definedName name="h_hi" localSheetId="7">Chemistry!$D$322</definedName>
    <definedName name="H_O2_T" localSheetId="8">Biology!$D$24</definedName>
    <definedName name="H_O2_T" localSheetId="9">'Mass Transfer'!$D$12</definedName>
    <definedName name="H_O2ref" localSheetId="8">Biology!$D$21</definedName>
    <definedName name="H_O2T" localSheetId="8">Biology!$D$22</definedName>
    <definedName name="h_ref_DIC" localSheetId="7">Chemistry!$D$292</definedName>
    <definedName name="H2_cons" localSheetId="8">Biology!$D$13</definedName>
    <definedName name="H2_cons" localSheetId="9">'Mass Transfer'!$D$312</definedName>
    <definedName name="H2_HOR_b" localSheetId="8">Biology!$D$96</definedName>
    <definedName name="H2_HOR_mt" localSheetId="9">'Mass Transfer'!$D$387</definedName>
    <definedName name="H2_LFL" localSheetId="8">Biology!$D$80</definedName>
    <definedName name="H2_LFL_mt" localSheetId="9">'Mass Transfer'!$D$577</definedName>
    <definedName name="H2_safety" localSheetId="8">Biology!$D$44</definedName>
    <definedName name="H2_src_g" localSheetId="9">'Mass Transfer'!$D$313</definedName>
    <definedName name="H2_src_l" localSheetId="9">'Mass Transfer'!$D$314</definedName>
    <definedName name="H2_src_l_b" localSheetId="8">Biology!$D$113</definedName>
    <definedName name="H2_src_sched" localSheetId="9">'Mass Transfer'!$D$318</definedName>
    <definedName name="H2_src_su" localSheetId="9">'Mass Transfer'!$D$573</definedName>
    <definedName name="H2_turnover" localSheetId="8">Biology!$D$43</definedName>
    <definedName name="H2O2_flag" localSheetId="5">Electrochemistry!$D$99</definedName>
    <definedName name="H2O2_lag_1h" localSheetId="5">Electrochemistry!$D$96</definedName>
    <definedName name="H2O2_ss" localSheetId="5">Electrochemistry!$D$95</definedName>
    <definedName name="H2O2_thresh" localSheetId="5">Electrochemistry!$D$97</definedName>
    <definedName name="has_cal" localSheetId="9">'Mass Transfer'!$D$119</definedName>
    <definedName name="HB_a" localSheetId="9">'Mass Transfer'!$D$171</definedName>
    <definedName name="HB_b" localSheetId="9">'Mass Transfer'!$D$172</definedName>
    <definedName name="HB_c" localSheetId="9">'Mass Transfer'!$D$173</definedName>
    <definedName name="HCO3_op" localSheetId="7">Chemistry!$D$252</definedName>
    <definedName name="HCO3_ref" localSheetId="7">Chemistry!$D$294</definedName>
    <definedName name="headspace_V" localSheetId="4">Geometry!$D$49</definedName>
    <definedName name="headspace_V" localSheetId="9">'Mass Transfer'!$D$19</definedName>
    <definedName name="headspace_V_m3" localSheetId="9">'Mass Transfer'!$D$140</definedName>
    <definedName name="HOCl_max" localSheetId="7">Chemistry!$D$125</definedName>
    <definedName name="HOCl_ss" localSheetId="7">Chemistry!$D$139</definedName>
    <definedName name="HOCl_ss_mgL" localSheetId="7">Chemistry!$D$140</definedName>
    <definedName name="holdup" localSheetId="9">'Mass Transfer'!$D$48</definedName>
    <definedName name="HPO4_op" localSheetId="7">Chemistry!$D$253</definedName>
    <definedName name="hs_flush_time" localSheetId="9">'Mass Transfer'!$D$77</definedName>
    <definedName name="hs_H_CO2" localSheetId="9">'Mass Transfer'!$D$191</definedName>
    <definedName name="hs_O2_allow" localSheetId="9">'Mass Transfer'!$D$182</definedName>
    <definedName name="hs_sag" localSheetId="9">'Mass Transfer'!$D$389</definedName>
    <definedName name="hs_sag_chk" localSheetId="9">'Mass Transfer'!$D$391</definedName>
    <definedName name="hs_sag_max" localSheetId="9">'Mass Transfer'!$D$390</definedName>
    <definedName name="I_app" localSheetId="5">Electrochemistry!$D$19</definedName>
    <definedName name="I_at_gerrit_max" localSheetId="5">Electrochemistry!$D$142</definedName>
    <definedName name="I_Cl" localSheetId="7">Chemistry!$D$133</definedName>
    <definedName name="I_Cl_FE" localSheetId="7">Chemistry!$D$131</definedName>
    <definedName name="I_Cl_mt" localSheetId="7">Chemistry!$D$132</definedName>
    <definedName name="i_HOR_lim" localSheetId="5">Electrochemistry!$D$147</definedName>
    <definedName name="I_ionic" localSheetId="7">Chemistry!$D$185</definedName>
    <definedName name="I_ionic_b" localSheetId="8">Biology!$D$121</definedName>
    <definedName name="I_max" localSheetId="5">Electrochemistry!$D$74</definedName>
    <definedName name="i_ORR_ceiling" localSheetId="5">Electrochemistry!$D$87</definedName>
    <definedName name="i_ORR_design" localSheetId="5">Electrochemistry!$D$86</definedName>
    <definedName name="I_valid" localSheetId="5">Electrochemistry!$D$20</definedName>
    <definedName name="Iappc" localSheetId="7">Chemistry!$D$6</definedName>
    <definedName name="intensity" localSheetId="5">Electrochemistry!$D$10</definedName>
    <definedName name="interface_A" localSheetId="4">Geometry!$D$44</definedName>
    <definedName name="interface_A" localSheetId="9">'Mass Transfer'!$D$14</definedName>
    <definedName name="interval_res" localSheetId="9">'Mass Transfer'!$D$419</definedName>
    <definedName name="j_anode" localSheetId="5">Electrochemistry!$D$48</definedName>
    <definedName name="j_anode_c" localSheetId="7">Chemistry!$D$217</definedName>
    <definedName name="j_anode_max" localSheetId="5">Electrochemistry!$D$75</definedName>
    <definedName name="j_bio_flag" localSheetId="5">Electrochemistry!$D$59</definedName>
    <definedName name="j_buffer_lim" localSheetId="7">Chemistry!$D$216</definedName>
    <definedName name="j_buffer_ratio" localSheetId="7">Chemistry!$D$218</definedName>
    <definedName name="j_cath_flag" localSheetId="5">Electrochemistry!$D$61</definedName>
    <definedName name="j_cathode" localSheetId="5">Electrochemistry!$D$49</definedName>
    <definedName name="j_ceiling_default" localSheetId="5">Electrochemistry!$D$55</definedName>
    <definedName name="j_ceiling_strain" localSheetId="5">Electrochemistry!$D$57</definedName>
    <definedName name="j_flag" localSheetId="5">Electrochemistry!$D$62</definedName>
    <definedName name="j_flag_max" localSheetId="5">Electrochemistry!$D$76</definedName>
    <definedName name="j_mat_flag" localSheetId="5">Electrochemistry!$D$60</definedName>
    <definedName name="j_opt_default" localSheetId="5">Electrochemistry!$D$54</definedName>
    <definedName name="j_opt_strain" localSheetId="5">Electrochemistry!$D$56</definedName>
    <definedName name="j_strain_conf" localSheetId="5">Electrochemistry!$D$58</definedName>
    <definedName name="j0_anode" localSheetId="5">Electrochemistry!$D$108</definedName>
    <definedName name="j0_cath" localSheetId="5">Electrochemistry!$D$110</definedName>
    <definedName name="k_cat_cells" localSheetId="5">Electrochemistry!$D$94</definedName>
    <definedName name="k_Cl_turn" localSheetId="7">Chemistry!$D$271</definedName>
    <definedName name="k_eff_CO2" localSheetId="9">'Mass Transfer'!$D$195</definedName>
    <definedName name="k_eff_CO2_l" localSheetId="9">'Mass Transfer'!$D$560</definedName>
    <definedName name="k_geom" localSheetId="5">Electrochemistry!$D$116</definedName>
    <definedName name="k_H2O2_anode" localSheetId="5">Electrochemistry!$D$151</definedName>
    <definedName name="k_vent" localSheetId="9">'Mass Transfer'!$D$143</definedName>
    <definedName name="k1_NH2Cl" localSheetId="7">Chemistry!$D$136</definedName>
    <definedName name="Ka_HOCl" localSheetId="7">Chemistry!$D$20</definedName>
    <definedName name="Ka_NH4" localSheetId="7">Chemistry!$D$18</definedName>
    <definedName name="Ka1_carb" localSheetId="8">Biology!$D$36</definedName>
    <definedName name="Ka1c" localSheetId="7">Chemistry!$D$13</definedName>
    <definedName name="Ka1c_c" localSheetId="7">Chemistry!$D$190</definedName>
    <definedName name="Ka1p" localSheetId="7">Chemistry!$D$15</definedName>
    <definedName name="Ka1p_c" localSheetId="7">Chemistry!$D$192</definedName>
    <definedName name="Ka2c" localSheetId="7">Chemistry!$D$14</definedName>
    <definedName name="Ka2c_c" localSheetId="7">Chemistry!$D$191</definedName>
    <definedName name="Ka2p" localSheetId="7">Chemistry!$D$16</definedName>
    <definedName name="Ka2p_c" localSheetId="7">Chemistry!$D$193</definedName>
    <definedName name="Ka3p" localSheetId="7">Chemistry!$D$17</definedName>
    <definedName name="Ka3p_c" localSheetId="7">Chemistry!$D$194</definedName>
    <definedName name="KaHOCl_c" localSheetId="7">Chemistry!$D$196</definedName>
    <definedName name="KaN_c" localSheetId="7">Chemistry!$D$197</definedName>
    <definedName name="kappa_fI" localSheetId="7">Chemistry!$D$178</definedName>
    <definedName name="kappa_med" localSheetId="7">Chemistry!$D$180</definedName>
    <definedName name="kappa_TC" localSheetId="7">Chemistry!$D$179</definedName>
    <definedName name="kinetic_caveat" localSheetId="9">'Mass Transfer'!$D$96</definedName>
    <definedName name="kL" localSheetId="9">'Mass Transfer'!$D$51</definedName>
    <definedName name="kL_surf" localSheetId="9">'Mass Transfer'!$D$70</definedName>
    <definedName name="kL_surf_crit" localSheetId="9">'Mass Transfer'!$D$131</definedName>
    <definedName name="kLa_avg" localSheetId="9">'Mass Transfer'!$D$53</definedName>
    <definedName name="kLa_CO2_off" localSheetId="9">'Mass Transfer'!$D$148</definedName>
    <definedName name="kLa_margin_g" localSheetId="9">'Mass Transfer'!$D$346</definedName>
    <definedName name="kLa_margin_l" localSheetId="9">'Mass Transfer'!$D$367</definedName>
    <definedName name="kLa_meas" localSheetId="9">'Mass Transfer'!$D$97</definedName>
    <definedName name="kLa_req" localSheetId="9">'Mass Transfer'!$D$57</definedName>
    <definedName name="kLa_sparge" localSheetId="9">'Mass Transfer'!$D$52</definedName>
    <definedName name="kLa_surf" localSheetId="9">'Mass Transfer'!$D$72</definedName>
    <definedName name="kLa_surf_req" localSheetId="9">'Mass Transfer'!$D$186</definedName>
    <definedName name="kLa_surf_req_g" localSheetId="9">'Mass Transfer'!$D$345</definedName>
    <definedName name="kLa_surf_req_l" localSheetId="9">'Mass Transfer'!$D$366</definedName>
    <definedName name="kLa_surf_used" localSheetId="9">'Mass Transfer'!$D$98</definedName>
    <definedName name="km_Cl" localSheetId="7">Chemistry!$D$129</definedName>
    <definedName name="Km_CO2" localSheetId="8">Biology!$D$34</definedName>
    <definedName name="km_exp" localSheetId="5">Electrochemistry!$D$84</definedName>
    <definedName name="km_exp_c" localSheetId="7">Chemistry!$D$273</definedName>
    <definedName name="km_HCO3" localSheetId="7">Chemistry!$D$276</definedName>
    <definedName name="km_HPO4" localSheetId="7">Chemistry!$D$275</definedName>
    <definedName name="km_O2" localSheetId="5">Electrochemistry!$D$83</definedName>
    <definedName name="km_O2_c" localSheetId="7">Chemistry!$D$272</definedName>
    <definedName name="km_O2_default" localSheetId="5">Electrochemistry!$D$165</definedName>
    <definedName name="knall_CO2_default" localSheetId="8">Biology!$D$65</definedName>
    <definedName name="knall_H2_default" localSheetId="8">Biology!$D$63</definedName>
    <definedName name="knall_O2_default" localSheetId="8">Biology!$D$64</definedName>
    <definedName name="ks_O2" localSheetId="8">Biology!$D$122</definedName>
    <definedName name="Kw_c" localSheetId="7">Chemistry!$D$195</definedName>
    <definedName name="Kw_w" localSheetId="7">Chemistry!$D$19</definedName>
    <definedName name="L_sub" localSheetId="5">Electrochemistry!$D$45</definedName>
    <definedName name="lam_Ca" localSheetId="7">Chemistry!$D$170</definedName>
    <definedName name="lam_Cl" localSheetId="7">Chemistry!$D$175</definedName>
    <definedName name="lam_H2PO4" localSheetId="7">Chemistry!$D$171</definedName>
    <definedName name="lam_HCO3" localSheetId="7">Chemistry!$D$174</definedName>
    <definedName name="lam_HPO4" localSheetId="7">Chemistry!$D$172</definedName>
    <definedName name="lam_K" localSheetId="7">Chemistry!$D$167</definedName>
    <definedName name="lam_Mg" localSheetId="7">Chemistry!$D$169</definedName>
    <definedName name="lam_Na" localSheetId="7">Chemistry!$D$166</definedName>
    <definedName name="lam_NH4" localSheetId="7">Chemistry!$D$168</definedName>
    <definedName name="lam_SO4" localSheetId="7">Chemistry!$D$173</definedName>
    <definedName name="latest_date" localSheetId="9">'Mass Transfer'!$D$116</definedName>
    <definedName name="led_intensity" localSheetId="0">Summary!$D$6</definedName>
    <definedName name="LOC_margin" localSheetId="8">Biology!$D$82</definedName>
    <definedName name="M_Cl2" localSheetId="7">Chemistry!$D$223</definedName>
    <definedName name="M_CO2" localSheetId="9">'Mass Transfer'!$D$103</definedName>
    <definedName name="M_H2O2" localSheetId="5">Electrochemistry!$D$92</definedName>
    <definedName name="M_HOCl" localSheetId="7">Chemistry!$D$222</definedName>
    <definedName name="M_NaHCO3" localSheetId="7">Chemistry!$D$307</definedName>
    <definedName name="M_O2" localSheetId="9">'Mass Transfer'!$D$231</definedName>
    <definedName name="media_sel" localSheetId="7">Chemistry!$D$280</definedName>
    <definedName name="media_sel" localSheetId="0">Summary!$D$5</definedName>
    <definedName name="media_vol_warn" localSheetId="4">Geometry!$D$54</definedName>
    <definedName name="media_volume" localSheetId="4">Geometry!$D$6</definedName>
    <definedName name="media_volume" localSheetId="0">Summary!$D$9</definedName>
    <definedName name="mend_a" localSheetId="9">'Mass Transfer'!$D$44</definedName>
    <definedName name="mend_b" localSheetId="9">'Mass Transfer'!$D$45</definedName>
    <definedName name="metal_flag" localSheetId="7">Chemistry!$D$163</definedName>
    <definedName name="metal_leach_rate" localSheetId="7">Chemistry!$D$161</definedName>
    <definedName name="metal_MW" localSheetId="7">Chemistry!$D$159</definedName>
    <definedName name="metal_tox_thresh" localSheetId="7">Chemistry!$D$162</definedName>
    <definedName name="metal_z" localSheetId="7">Chemistry!$D$160</definedName>
    <definedName name="min_sparge_cal" localSheetId="9">'Mass Transfer'!$D$118</definedName>
    <definedName name="MW_N" localSheetId="7">Chemistry!$D$225</definedName>
    <definedName name="n_cross" localSheetId="7">Chemistry!$D$105</definedName>
    <definedName name="n_e_Cl" localSheetId="7">Chemistry!$D$148</definedName>
    <definedName name="n_flamm_src" localSheetId="8">Biology!$D$83</definedName>
    <definedName name="n_hs_gas" localSheetId="9">'Mass Transfer'!$D$150</definedName>
    <definedName name="n_hs_gas_b" localSheetId="8">Biology!$D$117</definedName>
    <definedName name="n_ORR_eff" localSheetId="5">Electrochemistry!$D$141</definedName>
    <definedName name="n_pores_active" localSheetId="9">'Mass Transfer'!$D$61</definedName>
    <definedName name="N2_for_DO" localSheetId="9">'Mass Transfer'!$D$426</definedName>
    <definedName name="N2_sweep_H2safe" localSheetId="8">Biology!$D$88</definedName>
    <definedName name="N2_sweep_set" localSheetId="9">'Mass Transfer'!$D$423</definedName>
    <definedName name="N2_sweep_set" localSheetId="0">Summary!$D$14</definedName>
    <definedName name="NaHCO3_add_gL" localSheetId="7">Chemistry!$D$317</definedName>
    <definedName name="NaHCO3_add_gL" localSheetId="0">Summary!$D$13</definedName>
    <definedName name="nCO2_rate" localSheetId="9">'Mass Transfer'!$D$104</definedName>
    <definedName name="nernst_slope" localSheetId="7">Chemistry!$D$200</definedName>
    <definedName name="NH2Cl_hi" localSheetId="7">Chemistry!$D$155</definedName>
    <definedName name="NH2Cl_lo" localSheetId="7">Chemistry!$D$154</definedName>
    <definedName name="NH2Cl_mgL" localSheetId="7">Chemistry!$D$143</definedName>
    <definedName name="NH3_free" localSheetId="7">Chemistry!$D$138</definedName>
    <definedName name="NH3_N" localSheetId="7">Chemistry!$D$135</definedName>
    <definedName name="O2_accum" localSheetId="9">'Mass Transfer'!$D$127</definedName>
    <definedName name="O2_cat_ret_g" localSheetId="5">Electrochemistry!$D$173</definedName>
    <definedName name="O2_cathode_ORR" localSheetId="5">Electrochemistry!$D$28</definedName>
    <definedName name="O2_ceil_atm" localSheetId="8">Biology!$D$25</definedName>
    <definedName name="O2_ceil_C" localSheetId="8">Biology!$D$27</definedName>
    <definedName name="O2_ceil_C" localSheetId="9">'Mass Transfer'!$D$6</definedName>
    <definedName name="O2_ceil_org" localSheetId="9">'Mass Transfer'!$D$565</definedName>
    <definedName name="O2_ceil_Pa" localSheetId="8">Biology!$D$26</definedName>
    <definedName name="O2_ceil_Pa" localSheetId="9">'Mass Transfer'!$D$7</definedName>
    <definedName name="O2_ceil_uM" localSheetId="8">Biology!$D$28</definedName>
    <definedName name="O2_cons" localSheetId="8">Biology!$D$14</definedName>
    <definedName name="O2_excess" localSheetId="8">Biology!$D$16</definedName>
    <definedName name="O2_excess" localSheetId="9">'Mass Transfer'!$D$11</definedName>
    <definedName name="O2_H2O2_lag_adj" localSheetId="5">Electrochemistry!$D$172</definedName>
    <definedName name="O2_H2O2_ret_g" localSheetId="5">Electrochemistry!$D$171</definedName>
    <definedName name="O2_LOC_H2" localSheetId="8">Biology!$D$81</definedName>
    <definedName name="O2_LOC_lim_mt" localSheetId="9">'Mass Transfer'!$D$578</definedName>
    <definedName name="O2_net_gen" localSheetId="8">Biology!$D$5</definedName>
    <definedName name="O2_net_gen" localSheetId="5">Electrochemistry!$D$29</definedName>
    <definedName name="O2_net_gen" localSheetId="9">'Mass Transfer'!$D$13</definedName>
    <definedName name="O2_net_lag" localSheetId="5">Electrochemistry!$D$132</definedName>
    <definedName name="O2_net_lag_mt" localSheetId="9">'Mass Transfer'!$D$394</definedName>
    <definedName name="O2_net_su_max" localSheetId="5">Electrochemistry!$D$174</definedName>
    <definedName name="O2_net_su_mt" localSheetId="9">'Mass Transfer'!$D$570</definedName>
    <definedName name="O2_ORR_lag" localSheetId="5">Electrochemistry!$D$131</definedName>
    <definedName name="O2_phase_sel" localSheetId="0">Summary!$D$12</definedName>
    <definedName name="O2_removal_ratio" localSheetId="9">'Mass Transfer'!$D$78</definedName>
    <definedName name="O2_sizing_phase" localSheetId="9">'Mass Transfer'!$D$304</definedName>
    <definedName name="O2_src_g" localSheetId="9">'Mass Transfer'!$D$309</definedName>
    <definedName name="O2_src_guard" localSheetId="9">'Mass Transfer'!$D$132</definedName>
    <definedName name="O2_src_l" localSheetId="9">'Mass Transfer'!$D$310</definedName>
    <definedName name="O2_src_l_b" localSheetId="8">Biology!$D$115</definedName>
    <definedName name="O2_src_sched" localSheetId="9">'Mass Transfer'!$D$317</definedName>
    <definedName name="O2_src_su" localSheetId="9">'Mass Transfer'!$D$572</definedName>
    <definedName name="O2_strip_pulse" localSheetId="9">'Mass Transfer'!$D$128</definedName>
    <definedName name="od_gap_min_s" localSheetId="9">'Mass Transfer'!$D$214</definedName>
    <definedName name="od_ok" localSheetId="9">'Mass Transfer'!$D$95</definedName>
    <definedName name="opt_binding" localSheetId="9">'Mass Transfer'!$D$94</definedName>
    <definedName name="organism_sel" localSheetId="8">Biology!$D$7</definedName>
    <definedName name="organism_sel" localSheetId="5">Electrochemistry!$D$154</definedName>
    <definedName name="organism_sel" localSheetId="0">Summary!$D$4</definedName>
    <definedName name="override_spg_dur_s" localSheetId="9">'Mass Transfer'!$D$392</definedName>
    <definedName name="override_spg_dur_s" localSheetId="0">Summary!$G$21</definedName>
    <definedName name="override_spg_int_min" localSheetId="9">'Mass Transfer'!$D$393</definedName>
    <definedName name="override_spg_int_min" localSheetId="0">Summary!$G$22</definedName>
    <definedName name="P_atm" localSheetId="8">Biology!$D$19</definedName>
    <definedName name="P_atm" localSheetId="5">Electrochemistry!$D$6</definedName>
    <definedName name="P_atm" localSheetId="9">'Mass Transfer'!$D$9</definedName>
    <definedName name="P_atm_set" localSheetId="8">Biology!$D$67</definedName>
    <definedName name="P_atm_set" localSheetId="0">Summary!$D$10</definedName>
    <definedName name="P_Cl_max" localSheetId="7">Chemistry!$D$315</definedName>
    <definedName name="p_CO2_sparge" localSheetId="8">Biology!$D$32</definedName>
    <definedName name="P_dry" localSheetId="9">'Mass Transfer'!$D$418</definedName>
    <definedName name="P_HOCl" localSheetId="7">Chemistry!$D$134</definedName>
    <definedName name="p_sat_w" localSheetId="9">'Mass Transfer'!$D$206</definedName>
    <definedName name="Pa_per_atm" localSheetId="8">Biology!$D$20</definedName>
    <definedName name="pcet_credit" localSheetId="5">Electrochemistry!$D$113</definedName>
    <definedName name="pcet_credit_c" localSheetId="7">Chemistry!$D$255</definedName>
    <definedName name="pcet_credit_gmax" localSheetId="5">Electrochemistry!$D$163</definedName>
    <definedName name="pcet_credit_op" localSheetId="5">Electrochemistry!$D$162</definedName>
    <definedName name="pCO2_air" localSheetId="9">'Mass Transfer'!$D$139</definedName>
    <definedName name="pH_band_flag" localSheetId="7">Chemistry!$D$110</definedName>
    <definedName name="pH_band_hi" localSheetId="7">Chemistry!$D$237</definedName>
    <definedName name="pH_band_lo" localSheetId="7">Chemistry!$D$236</definedName>
    <definedName name="pH_Cl" localSheetId="7">Chemistry!$D$47</definedName>
    <definedName name="pH_CO2_unbuf" localSheetId="8">Biology!$D$37</definedName>
    <definedName name="pH_fHOCl" localSheetId="7">Chemistry!$D$104</definedName>
    <definedName name="pH_hi_c" localSheetId="7">Chemistry!$D$321</definedName>
    <definedName name="pH_meas" localSheetId="7">Chemistry!$D$220</definedName>
    <definedName name="pH_NT" localSheetId="7">Chemistry!$D$46</definedName>
    <definedName name="pH_op" localSheetId="7">Chemistry!$D$103</definedName>
    <definedName name="pH_PT" localSheetId="7">Chemistry!$D$45</definedName>
    <definedName name="pH_red_hi" localSheetId="7">Chemistry!$D$300</definedName>
    <definedName name="pH_red_lo" localSheetId="7">Chemistry!$D$299</definedName>
    <definedName name="pH_ref_DIC" localSheetId="7">Chemistry!$D$291</definedName>
    <definedName name="pH_SID" localSheetId="7">Chemistry!$D$44</definedName>
    <definedName name="pH_step" localSheetId="7">Chemistry!$D$235</definedName>
    <definedName name="ph_unreach" localSheetId="9">'Mass Transfer'!$D$434</definedName>
    <definedName name="ph_unreach_l" localSheetId="9">'Mass Transfer'!$D$562</definedName>
    <definedName name="phase_name_1" localSheetId="9">'Mass Transfer'!$D$305</definedName>
    <definedName name="phase_name_2" localSheetId="9">'Mass Transfer'!$D$306</definedName>
    <definedName name="pHg_C" localSheetId="9">'Mass Transfer'!$I$440:$I$539</definedName>
    <definedName name="pHg_C_l" localSheetId="9">'Mass Transfer'!$R$440:$R$539</definedName>
    <definedName name="pHg_start" localSheetId="9">'Mass Transfer'!$H$440:$H$539</definedName>
    <definedName name="pHg_t" localSheetId="9">'Mass Transfer'!$A$440:$A$539</definedName>
    <definedName name="pHg_x" localSheetId="9">'Mass Transfer'!$J$440:$J$539</definedName>
    <definedName name="pHg_x_l" localSheetId="9">'Mass Transfer'!$S$440:$S$539</definedName>
    <definedName name="phi_hs_g" localSheetId="9">'Mass Transfer'!$D$333</definedName>
    <definedName name="phi_hs_l" localSheetId="9">'Mass Transfer'!$D$355</definedName>
    <definedName name="phi_su" localSheetId="9">'Mass Transfer'!$D$551</definedName>
    <definedName name="pKa_HOCl" localSheetId="7">Chemistry!$D$21</definedName>
    <definedName name="pKa_NH4" localSheetId="7">Chemistry!$D$137</definedName>
    <definedName name="pool_a" localSheetId="9">'Mass Transfer'!$D$193</definedName>
    <definedName name="pool_b" localSheetId="9">'Mass Transfer'!$D$194</definedName>
    <definedName name="pool_beta_ratio" localSheetId="9">'Mass Transfer'!$D$196</definedName>
    <definedName name="pool_D_gap" localSheetId="9">'Mass Transfer'!$D$379</definedName>
    <definedName name="pool_D_raw" localSheetId="9">'Mass Transfer'!$D$375</definedName>
    <definedName name="pool_e" localSheetId="9">'Mass Transfer'!$D$197</definedName>
    <definedName name="pool_phi" localSheetId="9">'Mass Transfer'!$D$377</definedName>
    <definedName name="pool_psi" localSheetId="9">'Mass Transfer'!$D$378</definedName>
    <definedName name="pool_ret" localSheetId="9">'Mass Transfer'!$D$380</definedName>
    <definedName name="pool_start_chk" localSheetId="9">'Mass Transfer'!$D$435</definedName>
    <definedName name="pool_x" localSheetId="9">'Mass Transfer'!$D$376</definedName>
    <definedName name="por_grade" localSheetId="9">'Mass Transfer'!$D$20</definedName>
    <definedName name="por_grade_e" localSheetId="5">Electrochemistry!$D$32</definedName>
    <definedName name="por_pore" localSheetId="9">'Mass Transfer'!$D$39</definedName>
    <definedName name="por0_um" localSheetId="9">'Mass Transfer'!$D$33</definedName>
    <definedName name="por1_um" localSheetId="9">'Mass Transfer'!$D$34</definedName>
    <definedName name="por2_um" localSheetId="9">'Mass Transfer'!$D$35</definedName>
    <definedName name="por3_um" localSheetId="9">'Mass Transfer'!$D$36</definedName>
    <definedName name="por4_um" localSheetId="9">'Mass Transfer'!$D$37</definedName>
    <definedName name="por5_um" localSheetId="9">'Mass Transfer'!$D$38</definedName>
    <definedName name="power_max" localSheetId="5">Electrochemistry!$D$73</definedName>
    <definedName name="psi_hs_g" localSheetId="9">'Mass Transfer'!$D$334</definedName>
    <definedName name="psi_hs_l" localSheetId="9">'Mass Transfer'!$D$356</definedName>
    <definedName name="psi_su" localSheetId="9">'Mass Transfer'!$D$552</definedName>
    <definedName name="pulse_floor" localSheetId="9">'Mass Transfer'!$D$99</definedName>
    <definedName name="pulse_floor_default" localSheetId="9">'Mass Transfer'!$D$396</definedName>
    <definedName name="pulse_res" localSheetId="9">'Mass Transfer'!$D$241</definedName>
    <definedName name="pulse_res_set" localSheetId="0">Summary!$D$15</definedName>
    <definedName name="pulse_V0" localSheetId="9">'Mass Transfer'!$D$408</definedName>
    <definedName name="pulses_d" localSheetId="9">'Mass Transfer'!$D$125</definedName>
    <definedName name="pulses_h" localSheetId="9">'Mass Transfer'!$D$124</definedName>
    <definedName name="pw_A" localSheetId="9">'Mass Transfer'!$D$203</definedName>
    <definedName name="pw_B" localSheetId="9">'Mass Transfer'!$D$204</definedName>
    <definedName name="pw_C" localSheetId="9">'Mass Transfer'!$D$205</definedName>
    <definedName name="Q_backdraw" localSheetId="9">'Mass Transfer'!$D$385</definedName>
    <definedName name="Q_carry_max" localSheetId="9">'Mass Transfer'!$D$413</definedName>
    <definedName name="Q_CO2" localSheetId="9">'Mass Transfer'!$D$102</definedName>
    <definedName name="Q_CO2_fit" localSheetId="9">'Mass Transfer'!$D$407</definedName>
    <definedName name="Q_vent" localSheetId="9">'Mass Transfer'!$D$142</definedName>
    <definedName name="Q_vent_used" localSheetId="9">'Mass Transfer'!$D$386</definedName>
    <definedName name="R_cell" localSheetId="5">Electrochemistry!$D$117</definedName>
    <definedName name="R_chloramine" localSheetId="7">Chemistry!$D$144</definedName>
    <definedName name="R_chloramine_hi" localSheetId="7">Chemistry!$D$153</definedName>
    <definedName name="R_chloramine_lo" localSheetId="7">Chemistry!$D$152</definedName>
    <definedName name="R_gas" localSheetId="7">Chemistry!$D$9</definedName>
    <definedName name="R_gas" localSheetId="5">Electrochemistry!$D$7</definedName>
    <definedName name="R_gas" localSheetId="9">'Mass Transfer'!$D$101</definedName>
    <definedName name="R_gas_b" localSheetId="8">Biology!$D$79</definedName>
    <definedName name="r_H2_HOR" localSheetId="5">Electrochemistry!$D$149</definedName>
    <definedName name="r_H2O2" localSheetId="5">Electrochemistry!$D$93</definedName>
    <definedName name="r_H2O2_an_g" localSheetId="5">Electrochemistry!$D$168</definedName>
    <definedName name="r_H2O2_an_l" localSheetId="5">Electrochemistry!$D$169</definedName>
    <definedName name="r_H2O2_lag" localSheetId="5">Electrochemistry!$D$152</definedName>
    <definedName name="r_HCO3_ref" localSheetId="7">Chemistry!$D$293</definedName>
    <definedName name="rate_tol_rel" localSheetId="9">'Mass Transfer'!$D$569</definedName>
    <definedName name="Reactor" localSheetId="9">'Mass Transfer'!$D$115</definedName>
    <definedName name="reactor_sel" localSheetId="4">Geometry!$D$5</definedName>
    <definedName name="Reactor_sel" localSheetId="0">Summary!$D$2</definedName>
    <definedName name="remedy_res" localSheetId="8">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7">Chemistry!$D$323</definedName>
    <definedName name="rH2_gen" localSheetId="8">Biology!$D$4</definedName>
    <definedName name="rH2_gen" localSheetId="5">Electrochemistry!$D$21</definedName>
    <definedName name="rH2_gen" localSheetId="9">'Mass Transfer'!$D$311</definedName>
    <definedName name="rH2_lag" localSheetId="5">Electrochemistry!$D$133</definedName>
    <definedName name="rH2_lag_mt" localSheetId="9">'Mass Transfer'!$D$395</definedName>
    <definedName name="rH2_su_max" localSheetId="5">Electrochemistry!$D$175</definedName>
    <definedName name="rH2_su_mt" localSheetId="9">'Mass Transfer'!$D$571</definedName>
    <definedName name="rho_0" localSheetId="9">'Mass Transfer'!$D$169</definedName>
    <definedName name="rho_CO2" localSheetId="9">'Mass Transfer'!$D$60</definedName>
    <definedName name="rho_k" localSheetId="9">'Mass Transfer'!$D$170</definedName>
    <definedName name="rho_L" localSheetId="9">'Mass Transfer'!$D$30</definedName>
    <definedName name="rO2_gen" localSheetId="5">Electrochemistry!$D$22</definedName>
    <definedName name="rod_d" localSheetId="4">Geometry!$D$26</definedName>
    <definedName name="rod_n" localSheetId="4">Geometry!$D$27</definedName>
    <definedName name="rx_ver" localSheetId="4">Geometry!$D$51</definedName>
    <definedName name="S_O2_g" localSheetId="9">'Mass Transfer'!$D$327</definedName>
    <definedName name="S_O2_l" localSheetId="9">'Mass Transfer'!$D$349</definedName>
    <definedName name="S_O2_su" localSheetId="9">'Mass Transfer'!$D$574</definedName>
    <definedName name="s_renew" localSheetId="9">'Mass Transfer'!$D$69</definedName>
    <definedName name="saw_factor" localSheetId="9">'Mass Transfer'!$D$322</definedName>
    <definedName name="sched_bal" localSheetId="9">'Mass Transfer'!$D$129</definedName>
    <definedName name="sched_mode" localSheetId="9">'Mass Transfer'!$D$81</definedName>
    <definedName name="sched_regime" localSheetId="9">'Mass Transfer'!$D$113</definedName>
    <definedName name="sched_valid" localSheetId="9">'Mass Transfer'!$D$164</definedName>
    <definedName name="sigma" localSheetId="9">'Mass Transfer'!$D$29</definedName>
    <definedName name="sigma_0" localSheetId="9">'Mass Transfer'!$D$167</definedName>
    <definedName name="sigma_k" localSheetId="9">'Mass Transfer'!$D$168</definedName>
    <definedName name="sparge_depth" localSheetId="4">Geometry!$D$43</definedName>
    <definedName name="sparger" localSheetId="9">'Mass Transfer'!$D$21</definedName>
    <definedName name="sparger_e" localSheetId="5">Electrochemistry!$D$31</definedName>
    <definedName name="spg_disp" localSheetId="4">Geometry!$D$37</definedName>
    <definedName name="spg_dur" localSheetId="9">'Mass Transfer'!$D$121</definedName>
    <definedName name="spg_dur_b" localSheetId="8">Biology!$D$78</definedName>
    <definedName name="spg_dur_eq" localSheetId="9">'Mass Transfer'!$D$410</definedName>
    <definedName name="spg_dur_eq_opt" localSheetId="9">'Mass Transfer'!$D$409</definedName>
    <definedName name="spg_dur_man" localSheetId="9">'Mass Transfer'!$D$82</definedName>
    <definedName name="spg_dur_opt" localSheetId="9">'Mass Transfer'!$D$90</definedName>
    <definedName name="spg_dur_opt_b" localSheetId="8">Biology!$D$89</definedName>
    <definedName name="spg_dur_run" localSheetId="9">'Mass Transfer'!$D$242</definedName>
    <definedName name="spg_ID" localSheetId="4">Geometry!$D$31</definedName>
    <definedName name="spg_ID" localSheetId="9">'Mass Transfer'!$D$18</definedName>
    <definedName name="spg_int" localSheetId="9">'Mass Transfer'!$D$122</definedName>
    <definedName name="spg_int_carbon" localSheetId="9">'Mass Transfer'!$D$112</definedName>
    <definedName name="spg_int_DO" localSheetId="9">'Mass Transfer'!$D$185</definedName>
    <definedName name="spg_int_DO_l" localSheetId="9">'Mass Transfer'!$D$544</definedName>
    <definedName name="spg_int_H2safe" localSheetId="8">Biology!$D$87</definedName>
    <definedName name="spg_int_H2safe_mt" localSheetId="9">'Mass Transfer'!$D$545</definedName>
    <definedName name="spg_int_H2safe_opt" localSheetId="9">'Mass Transfer'!$D$563</definedName>
    <definedName name="spg_int_H2safe_saw" localSheetId="8">Biology!$D$92</definedName>
    <definedName name="spg_int_H2safe_su" localSheetId="9">'Mass Transfer'!$D$581</definedName>
    <definedName name="spg_int_H2safe_su_opt" localSheetId="9">'Mass Transfer'!$D$582</definedName>
    <definedName name="spg_int_man" localSheetId="9">'Mass Transfer'!$D$83</definedName>
    <definedName name="spg_int_max" localSheetId="9">'Mass Transfer'!$D$89</definedName>
    <definedName name="spg_int_max_su" localSheetId="9">'Mass Transfer'!$D$583</definedName>
    <definedName name="spg_int_opt" localSheetId="9">'Mass Transfer'!$D$91</definedName>
    <definedName name="spg_int_opt_s" localSheetId="9">'Mass Transfer'!$D$92</definedName>
    <definedName name="spg_int_pH" localSheetId="9">'Mass Transfer'!$D$432</definedName>
    <definedName name="spg_int_pH_l" localSheetId="9">'Mass Transfer'!$D$561</definedName>
    <definedName name="spg_int_pH_opt" localSheetId="9">'Mass Transfer'!$D$433</definedName>
    <definedName name="spg_int_regime" localSheetId="9">'Mass Transfer'!$D$134</definedName>
    <definedName name="spg_int_run" localSheetId="9">'Mass Transfer'!$D$420</definedName>
    <definedName name="spg_int_su_opt" localSheetId="9">'Mass Transfer'!$D$546</definedName>
    <definedName name="spg_int_su_run" localSheetId="9">'Mass Transfer'!$D$547</definedName>
    <definedName name="spg_len" localSheetId="4">Geometry!$D$50</definedName>
    <definedName name="spg_name_1" localSheetId="9">'Mass Transfer'!$D$27</definedName>
    <definedName name="spg_name_2" localSheetId="9">'Mass Transfer'!$D$28</definedName>
    <definedName name="spg_OD" localSheetId="4">Geometry!$D$30</definedName>
    <definedName name="spg_tip_h" localSheetId="4">Geometry!$D$32</definedName>
    <definedName name="sqrtD_CO2" localSheetId="9">'Mass Transfer'!$D$147</definedName>
    <definedName name="stir_bar_L" localSheetId="4">Geometry!$D$52</definedName>
    <definedName name="stir_len" localSheetId="9">'Mass Transfer'!$D$5</definedName>
    <definedName name="stir_rpm" localSheetId="9">'Mass Transfer'!$D$67</definedName>
    <definedName name="stir_rpm_set" localSheetId="0">Summary!$D$7</definedName>
    <definedName name="strip_avg" localSheetId="9">'Mass Transfer'!$D$55</definedName>
    <definedName name="strip_ratio" localSheetId="9">'Mass Transfer'!$D$56</definedName>
    <definedName name="strip_sparge" localSheetId="9">'Mass Transfer'!$D$54</definedName>
    <definedName name="su_binding" localSheetId="9">'Mass Transfer'!$D$548</definedName>
    <definedName name="surf_ratio" localSheetId="9">'Mass Transfer'!$D$74</definedName>
    <definedName name="surf_strip" localSheetId="9">'Mass Transfer'!$D$73</definedName>
    <definedName name="T_C" localSheetId="8">Biology!$D$17</definedName>
    <definedName name="t_contact" localSheetId="9">'Mass Transfer'!$D$50</definedName>
    <definedName name="t_gap_h" localSheetId="9">'Mass Transfer'!$D$325</definedName>
    <definedName name="t_gap_H2_LFL" localSheetId="8">Biology!$D$90</definedName>
    <definedName name="t_gap_H2_su" localSheetId="9">'Mass Transfer'!$D$579</definedName>
    <definedName name="t_gap_O2_LOC" localSheetId="8">Biology!$D$91</definedName>
    <definedName name="t_gap_O2_su" localSheetId="9">'Mass Transfer'!$D$580</definedName>
    <definedName name="t_gap_su_h" localSheetId="9">'Mass Transfer'!$D$549</definedName>
    <definedName name="t_H2_sat" localSheetId="8">Biology!$D$42</definedName>
    <definedName name="t_H2O2_thresh" localSheetId="5">Electrochemistry!$D$98</definedName>
    <definedName name="T_K" localSheetId="8">Biology!$D$18</definedName>
    <definedName name="T_K" localSheetId="5">Electrochemistry!$D$5</definedName>
    <definedName name="T_K" localSheetId="9">'Mass Transfer'!$D$8</definedName>
    <definedName name="t_O2_ceiling" localSheetId="9">'Mass Transfer'!$D$65</definedName>
    <definedName name="t_O2_ceiling_lag" localSheetId="9">'Mass Transfer'!$D$79</definedName>
    <definedName name="t_O2_ceiling_rem" localSheetId="9">'Mass Transfer'!$D$80</definedName>
    <definedName name="t_O2_ceiling_strip" localSheetId="9">'Mass Transfer'!$D$66</definedName>
    <definedName name="t_off_CO2" localSheetId="9">'Mass Transfer'!$D$152</definedName>
    <definedName name="t_on_CO2" localSheetId="9">'Mass Transfer'!$D$151</definedName>
    <definedName name="T_ref" localSheetId="8">Biology!$D$23</definedName>
    <definedName name="T_ref" localSheetId="7">Chemistry!$D$229</definedName>
    <definedName name="T_ref" localSheetId="9">'Mass Transfer'!$D$209</definedName>
    <definedName name="T_zero_C" localSheetId="8">Biology!$D$66</definedName>
    <definedName name="T_zero_C" localSheetId="9">'Mass Transfer'!$D$210</definedName>
    <definedName name="target_DO_frac" localSheetId="9">'Mass Transfer'!$D$84</definedName>
    <definedName name="tau_hs" localSheetId="9">'Mass Transfer'!$D$144</definedName>
    <definedName name="tau_L_h" localSheetId="9">'Mass Transfer'!$D$326</definedName>
    <definedName name="tau_NH2Cl" localSheetId="7">Chemistry!$D$142</definedName>
    <definedName name="tau_NH2Cl_default" localSheetId="7">Chemistry!$D$314</definedName>
    <definedName name="tau_NH2Cl_hi" localSheetId="7">Chemistry!$D$151</definedName>
    <definedName name="tau_NH2Cl_lo" localSheetId="7">Chemistry!$D$150</definedName>
    <definedName name="tau_surf_floor" localSheetId="9">'Mass Transfer'!$D$149</definedName>
    <definedName name="temp_C" localSheetId="0">Summary!$D$8</definedName>
    <definedName name="tip_speed" localSheetId="9">'Mass Transfer'!$D$68</definedName>
    <definedName name="tip_speed_max" localSheetId="9">'Mass Transfer'!$D$216</definedName>
    <definedName name="tip_warn" localSheetId="9">'Mass Transfer'!$D$111</definedName>
    <definedName name="TKc" localSheetId="7">Chemistry!$D$4</definedName>
    <definedName name="tube_d_m" localSheetId="9">'Mass Transfer'!$D$40</definedName>
    <definedName name="u_g_max" localSheetId="9">'Mass Transfer'!$D$58</definedName>
    <definedName name="u_rise" localSheetId="9">'Mass Transfer'!$D$46</definedName>
    <definedName name="u_sg" localSheetId="9">'Mass Transfer'!$D$47</definedName>
    <definedName name="V_at_gerrit_max" localSheetId="5">Electrochemistry!$D$143</definedName>
    <definedName name="V_cell_est" localSheetId="5">Electrochemistry!$D$119</definedName>
    <definedName name="V_charge" localSheetId="8">Biology!$D$6</definedName>
    <definedName name="V_charge" localSheetId="7">Chemistry!$D$279</definedName>
    <definedName name="V_charge" localSheetId="5">Electrochemistry!$D$153</definedName>
    <definedName name="V_charge" localSheetId="4">Geometry!$D$41</definedName>
    <definedName name="V_charge" localSheetId="9">'Mass Transfer'!$D$16</definedName>
    <definedName name="V_flag" localSheetId="5">Electrochemistry!$D$122</definedName>
    <definedName name="V_gas_total" localSheetId="5">Electrochemistry!$D$25</definedName>
    <definedName name="V_gerrit_flag" localSheetId="5">Electrochemistry!$D$144</definedName>
    <definedName name="V_H2_gen" localSheetId="5">Electrochemistry!$D$23</definedName>
    <definedName name="V_headroom" localSheetId="5">Electrochemistry!$D$121</definedName>
    <definedName name="V_headroom_min" localSheetId="5">Electrochemistry!$D$127</definedName>
    <definedName name="V_inserts" localSheetId="4">Geometry!$D$48</definedName>
    <definedName name="V_IR" localSheetId="5">Electrochemistry!$D$118</definedName>
    <definedName name="V_L_CO2" localSheetId="9">'Mass Transfer'!$D$416</definedName>
    <definedName name="V_L_m3" localSheetId="9">'Mass Transfer'!$D$141</definedName>
    <definedName name="V_max" localSheetId="4">Geometry!$D$23</definedName>
    <definedName name="V_O2_gen" localSheetId="5">Electrochemistry!$D$24</definedName>
    <definedName name="v_orifice" localSheetId="9">'Mass Transfer'!$D$62</definedName>
    <definedName name="V_pulse" localSheetId="9">'Mass Transfer'!$D$411</definedName>
    <definedName name="V_rail" localSheetId="5">Electrochemistry!$D$120</definedName>
    <definedName name="V_vial_total" localSheetId="4">Geometry!$D$24</definedName>
    <definedName name="vent_floor_chk" localSheetId="9">'Mass Transfer'!$D$163</definedName>
    <definedName name="vent_model" localSheetId="9">'Mass Transfer'!$D$301</definedName>
    <definedName name="vent_model_sel" localSheetId="0">Summary!$D$11</definedName>
    <definedName name="vent_name_1" localSheetId="9">'Mass Transfer'!$D$302</definedName>
    <definedName name="vent_name_2" localSheetId="9">'Mass Transfer'!$D$303</definedName>
    <definedName name="vent_name_3" localSheetId="9">'Mass Transfer'!$D$384</definedName>
    <definedName name="Vg_CO2" localSheetId="9">'Mass Transfer'!$D$192</definedName>
    <definedName name="vial_ID" localSheetId="4">Geometry!$D$20</definedName>
    <definedName name="vial_ID" localSheetId="9">'Mass Transfer'!$D$15</definedName>
    <definedName name="vial_OD" localSheetId="4">Geometry!$D$18</definedName>
    <definedName name="vial_wall" localSheetId="4">Geometry!$D$19</definedName>
    <definedName name="VLc" localSheetId="7">Chemistry!$D$8</definedName>
    <definedName name="We_orifice" localSheetId="9">'Mass Transfer'!$D$63</definedName>
    <definedName name="We_static_max" localSheetId="9">'Mass Transfer'!$D$212</definedName>
    <definedName name="x_hs_g" localSheetId="9">'Mass Transfer'!$D$332</definedName>
    <definedName name="x_hs_l" localSheetId="9">'Mass Transfer'!$D$354</definedName>
    <definedName name="x_series" localSheetId="9">'Mass Transfer'!$D$584</definedName>
    <definedName name="x_su" localSheetId="9">'Mass Transfer'!$D$550</definedName>
    <definedName name="xtube_n" localSheetId="4">Geometry!$D$46</definedName>
    <definedName name="xtube_OD" localSheetId="4">Geometry!$D$45</definedName>
    <definedName name="xtube_pro" localSheetId="4">Geometry!$D$47</definedName>
    <definedName name="y_CO2_mf" localSheetId="9">'Mass Transfer'!$D$381</definedName>
    <definedName name="y_H2_avg_l" localSheetId="9">'Mass Transfer'!$D$564</definedName>
    <definedName name="y_H2_end_b" localSheetId="8">Biology!$D$114</definedName>
    <definedName name="y_H2_end_l" localSheetId="9">'Mass Transfer'!$D$388</definedName>
    <definedName name="y_H2_end_su" localSheetId="9">'Mass Transfer'!$D$558</definedName>
    <definedName name="y_H2_hs_lag" localSheetId="8">Biology!$D$84</definedName>
    <definedName name="y_H2_mf_g" localSheetId="9">'Mass Transfer'!$D$330</definedName>
    <definedName name="y_H2_mf_l" localSheetId="9">'Mass Transfer'!$D$352</definedName>
    <definedName name="y_O2_actual" localSheetId="9">'Mass Transfer'!$D$187</definedName>
    <definedName name="y_O2_air" localSheetId="9">'Mass Transfer'!$D$307</definedName>
    <definedName name="y_O2_air_b" localSheetId="8">Biology!$D$112</definedName>
    <definedName name="y_O2_avg_g" localSheetId="9">'Mass Transfer'!$D$338</definedName>
    <definedName name="y_O2_avg_l" localSheetId="9">'Mass Transfer'!$D$360</definedName>
    <definedName name="y_O2_avg_su" localSheetId="9">'Mass Transfer'!$D$555</definedName>
    <definedName name="y_O2_end_b" localSheetId="8">Biology!$D$119</definedName>
    <definedName name="y_O2_end_g" localSheetId="9">'Mass Transfer'!$D$336</definedName>
    <definedName name="y_O2_end_l" localSheetId="9">'Mass Transfer'!$D$358</definedName>
    <definedName name="y_O2_end_su" localSheetId="9">'Mass Transfer'!$D$554</definedName>
    <definedName name="y_O2_hs_lag" localSheetId="8">Biology!$D$85</definedName>
    <definedName name="y_O2_mf_g" localSheetId="9">'Mass Transfer'!$D$329</definedName>
    <definedName name="y_O2_mf_l" localSheetId="9">'Mass Transfer'!$D$351</definedName>
    <definedName name="y_O2_post_g" localSheetId="9">'Mass Transfer'!$D$337</definedName>
    <definedName name="y_O2_post_l" localSheetId="9">'Mass Transfer'!$D$359</definedName>
    <definedName name="y_O2_star" localSheetId="9">'Mass Transfer'!$D$183</definedName>
    <definedName name="y_O2_star_l" localSheetId="9">'Mass Transfer'!$D$542</definedName>
    <definedName name="z_e_H2" localSheetId="5">Electrochemistry!$D$16</definedName>
    <definedName name="z_e_O2" localSheetId="5">Electrochemistry!$D$17</definedName>
    <definedName name="z_e_ORR" localSheetId="5">Electrochemistry!$D$27</definedName>
    <definedName name="z_peak_g" localSheetId="9">'Mass Transfer'!$D$566</definedName>
    <definedName name="z_peak_l" localSheetId="9">'Mass Transfer'!$D$567</definedName>
    <definedName name="z_peak_su" localSheetId="9">'Mass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7">Chemistry!$D$327</definedName>
    <definedName name="N_src_1" localSheetId="7">Chemistry!$D$328</definedName>
    <definedName name="N_src_2" localSheetId="7">Chemistry!$D$329</definedName>
    <definedName name="N_src_3" localSheetId="7">Chemistry!$D$330</definedName>
    <definedName name="N_src_idx" localSheetId="7">Chemistry!$D$331</definedName>
    <definedName name="pH_SID_rec" localSheetId="7">Chemistry!$D$332</definedName>
    <definedName name="pH_NT_rec" localSheetId="7">Chemistry!$D$333</definedName>
    <definedName name="X_end" localSheetId="7">Chemistry!$D$334</definedName>
    <definedName name="f_N_bio" localSheetId="7">Chemistry!$D$335</definedName>
    <definedName name="n_up_end" localSheetId="7">Chemistry!$D$336</definedName>
    <definedName name="N_limit_chk" localSheetId="7">Chemistry!$D$337</definedName>
    <definedName name="SID_end_A" localSheetId="7">Chemistry!$D$338</definedName>
    <definedName name="NT_end_A" localSheetId="7">Chemistry!$D$339</definedName>
    <definedName name="SID_end_N" localSheetId="7">Chemistry!$D$340</definedName>
    <definedName name="SID_end_U" localSheetId="7">Chemistry!$D$341</definedName>
    <definedName name="n_cross_A" localSheetId="7">Chemistry!$D$342</definedName>
    <definedName name="n_cross_N" localSheetId="7">Chemistry!$D$343</definedName>
    <definedName name="n_cross_U" localSheetId="7">Chemistry!$D$344</definedName>
    <definedName name="pH_end_A" localSheetId="7">Chemistry!$D$345</definedName>
    <definedName name="pH_end_N" localSheetId="7">Chemistry!$D$346</definedName>
    <definedName name="pH_end_U" localSheetId="7">Chemistry!$D$347</definedName>
    <definedName name="pH_end" localSheetId="7">Chemistry!$D$348</definedName>
    <definedName name="pH_min_A" localSheetId="7">Chemistry!$D$349</definedName>
    <definedName name="pH_min_N" localSheetId="7">Chemistry!$D$350</definedName>
    <definedName name="pH_min_U" localSheetId="7">Chemistry!$D$351</definedName>
    <definedName name="pH_min" localSheetId="7">Chemistry!$D$352</definedName>
    <definedName name="SID_end" localSheetId="7">Chemistry!$D$353</definedName>
    <definedName name="NT_end" localSheetId="7">Chemistry!$D$354</definedName>
    <definedName name="alk_resid_end" localSheetId="7">Chemistry!$D$355</definedName>
    <definedName name="alk_end" localSheetId="7">Chemistry!$D$356</definedName>
    <definedName name="alk_run_gL" localSheetId="7">Chemistry!$D$357</definedName>
    <definedName name="pH_min_alk" localSheetId="7">Chemistry!$D$358</definedName>
    <definedName name="NH42SO4_rec_gL" localSheetId="7">Chemistry!$D$359</definedName>
    <definedName name="K2SO4_swap_gL" localSheetId="7">Chemistry!$D$360</definedName>
    <definedName name="M_KNO3" localSheetId="7">Chemistry!$D$361</definedName>
    <definedName name="KNO3_gL" localSheetId="7">Chemistry!$D$362</definedName>
    <definedName name="M_urea" localSheetId="7">Chemistry!$D$363</definedName>
    <definedName name="urea_gL" localSheetId="7">Chemistry!$D$364</definedName>
    <definedName name="pulse_rule_sel" localSheetId="9">'Mass Transfer'!$D$587</definedName>
    <definedName name="pulse_rule_1" localSheetId="9">'Mass Transfer'!$D$588</definedName>
    <definedName name="pulse_rule_2" localSheetId="9">'Mass Transfer'!$D$589</definedName>
    <definedName name="pulse_rule_idx" localSheetId="9">'Mass Transfer'!$D$590</definedName>
    <definedName name="Km_CO2_mt" localSheetId="9">'Mass Transfer'!$D$591</definedName>
    <definedName name="carbon_trough_min" localSheetId="9">'Mass Transfer'!$D$592</definedName>
    <definedName name="CO2_trough_mt" localSheetId="9">'Mass Transfer'!$D$593</definedName>
    <definedName name="spg_int_trough" localSheetId="9">'Mass Transfer'!$D$594</definedName>
    <definedName name="spg_int_trough_opt" localSheetId="9">'Mass Transfer'!$D$595</definedName>
    <definedName name="trough_unreach" localSheetId="9">'Mass Transfer'!$D$596</definedName>
    <definedName name="trg_x" localSheetId="9">'Mass Transfer'!$K$440:$K$539</definedName>
    <definedName name="kLa_margin_l_ec" localSheetId="5">Electrochemistry!$D$178</definedName>
    <definedName name="rO2_per_A" localSheetId="5">Electrochemistry!$D$179</definedName>
    <definedName name="I_su" localSheetId="5">Electrochemistry!$D$180</definedName>
    <definedName name="power_su" localSheetId="5">Electrochemistry!$D$181</definedName>
    <definedName name="I_curve_low" localSheetId="5">Electrochemistry!$D$182</definedName>
    <definedName name="power_su_basis" localSheetId="5">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 name="H2_util_meas" localSheetId="8">Biology!$D$128</definedName>
    <definedName name="H2_util_default" localSheetId="8">Biology!$D$129</definedName>
    <definedName name="H2_util" localSheetId="8">Biology!$D$130</definedName>
    <definedName name="res_qualification" localSheetId="0">Summary!$D$32</definedName>
    <definedName name="validation_status_213" localSheetId="0">Summary!$D$213</definedName>
    <definedName name="validation_status_214" localSheetId="0">Summary!$D$214</definedName>
    <definedName name="validation_status_215" localSheetId="0">Summary!$D$215</definedName>
    <definedName name="med_n" localSheetId="6">COLUMNS(Media[#Data])-COLUMNS(Media!$A$13:$S$13)</definedName>
    <definedName name="med_vals" localSheetId="6">OFFSET(Media!$S$17,1,1,ROWS(Media[#Data])-ROWS(Media!$A$14:$A$17),Media!med_n)</definedName>
    <definedName name="ing_ions" localSheetId="6">OFFSET(Media!$D$17,1,0,ROWS(Media[#Data])-ROWS(Media!$A$14:$A$17),COLUMNS(Media!$D$13:$R$13))</definedName>
    <definedName name="ing_MW" localSheetId="6">OFFSET(Media!$C$17,1,0,ROWS(Media[#Data])-ROWS(Media!$A$14:$A$17),1)</definedName>
    <definedName name="med_desc" localSheetId="6">OFFSET(Media!$S$14,0,1,1,Media!med_n)</definedName>
    <definedName name="med_status" localSheetId="6">OFFSET(Media!$S$15,0,1,1,Media!med_n)</definedName>
    <definedName name="med_cmp" localSheetId="6">MATCH(Media!$B$4,MediaList,0)</definedName>
    <definedName name="cmp_media" localSheetId="6">Media!$B$4</definedName>
    <definedName name="ion_mM" localSheetId="6">OFFSET(Media!$T$37,0,0,COLUMNS(Media!$D$13:$R$13),Media!med_n)</definedName>
    <definedName name="ion_z" localSheetId="6">Media!$D$7:$R$7</definedName>
    <definedName name="ion_sid" localSheetId="6">Media!$D$8:$R$8</definedName>
    <definedName name="ion_lam" localSheetId="6">Media!$D$9:$R$9</definedName>
    <definedName name="ion_P" localSheetId="6">Media!$D$10:$R$10</definedName>
    <definedName name="ion_N" localSheetId="6">Media!$D$11:$R$11</definedName>
    <definedName name="ion_Cl" localSheetId="6">Media!$D$12:$R$12</definedName>
    <definedName name="med_PT" localSheetId="6">OFFSET(Media!$T$54,0,0,1,Media!med_n)</definedName>
    <definedName name="med_SID" localSheetId="6">OFFSET(Media!$T$55,0,0,1,Media!med_n)</definedName>
    <definedName name="med_NT" localSheetId="6">OFFSET(Media!$T$56,0,0,1,Media!med_n)</definedName>
    <definedName name="med_Cl" localSheetId="6">OFFSET(Media!$T$57,0,0,1,Media!med_n)</definedName>
    <definedName name="med_I" localSheetId="6">OFFSET(Media!$T$58,0,0,1,Media!med_n)</definedName>
    <definedName name="med_kappa0" localSheetId="6">OFFSET(Media!$T$59,0,0,1,Media!med_n)</definedName>
    <definedName name="MediaList">OFFSET(Media!$S$13,0,1,1,COLUMNS(Media[#Data])-COLUMNS(Media!$A$13:$S$13))</definedName>
    <definedName name="med_idx" localSheetId="7">Chemistry!$D$25</definedName>
    <definedName name="med_desc_sel" localSheetId="7">Chemistry!$D$26</definedName>
    <definedName name="med_status_sel" localSheetId="7">Chemistry!$D$27</definedName>
    <definedName name="med_PT_rec" localSheetId="7">Chemistry!$D$28</definedName>
    <definedName name="med_SID_rec" localSheetId="7">Chemistry!$D$29</definedName>
    <definedName name="med_NT_rec" localSheetId="7">Chemistry!$D$30</definedName>
    <definedName name="med_Cl_rec" localSheetId="7">Chemistry!$D$31</definedName>
    <definedName name="med_I_rec" localSheetId="7">Chemistry!$D$32</definedName>
    <definedName name="med_kappa0_rec" localSheetId="7">Chemistry!$D$33</definedName>
    <definedName name="MW_NH42SO4" localSheetId="7">Chemistry!$D$35</definedName>
    <definedName name="MW_K2SO4" localSheetId="7">Chemistry!$D$36</definedName>
    <definedName name="tbl_reactor" localSheetId="4">Reactors[#Data]</definedName>
    <definedName name="tbl_reactor_hdr" localSheetId="4">Reactors[#Headers]</definedName>
    <definedName name="tbl_rxtype" localSheetId="4">ReactorTypes[#Data]</definedName>
    <definedName name="tbl_rxtype_hdr" localSheetId="4">ReactorTypes[#Headers]</definedName>
    <definedName name="tbl_electrode" localSheetId="5">Electrodes[#Data]</definedName>
    <definedName name="tbl_electrode_hdr" localSheetId="5">Electrodes[#Headers]</definedName>
    <definedName name="tbl_strain" localSheetId="5">Organisms[#Data]</definedName>
    <definedName name="tbl_strain_hdr" localSheetId="5">Organisms[#Headers]</definedName>
    <definedName name="tbl_organism" localSheetId="8">Organisms[#Data]</definedName>
    <definedName name="tbl_organism_hdr" localSheetId="8">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 name="co2f_reactor">OFFSET('CO2 flows'!$A$3,1,0,ROWS(CO2Flows[#Data]),1)</definedName>
    <definedName name="co2f_date">OFFSET('CO2 flows'!$B$3,1,0,ROWS(CO2Flows[#Data]),1)</definedName>
    <definedName name="co2f_volume">OFFSET('CO2 flows'!$E$3,1,0,ROWS(CO2Flows[#Data]),1)</definedName>
    <definedName name="co2f_time">OFFSET('CO2 flows'!$F$3,1,0,ROWS(CO2Flows[#Data]),1)</definedName>
    <definedName name="co2f_minpulse">OFFSET('CO2 flows'!$I$3,1,0,ROWS(CO2Flows[#Data]),1)</definedName>
    <definedName name="co2f_nominal">OFFSET('CO2 flows'!$J$3,1,0,ROWS(CO2Flows[#Data]),1)</definedName>
    <definedName name="co2f_maxflow">OFFSET('CO2 flows'!$K$3,1,0,ROWS(CO2Flows[#Data]),1)</definedName>
    <definedName name="co2f_excluded">OFFSET('CO2 flows'!$L$3,1,0,ROWS(CO2Flows[#Data]),1)</definedName>
    <definedName name="A_x" localSheetId="11">Calibrations!$D$84</definedName>
    <definedName name="bp_const" localSheetId="11">Calibrations!$D$64</definedName>
    <definedName name="ca_rho_0" localSheetId="11">Calibrations!$D$79</definedName>
    <definedName name="ca_rho_k" localSheetId="11">Calibrations!$D$80</definedName>
    <definedName name="cal_bp" localSheetId="11">Calibrations!$D$35</definedName>
    <definedName name="cal_Dint">Calibrations!$D$28</definedName>
    <definedName name="cal_DO_impair">Calibrations!$D$41</definedName>
    <definedName name="cal_DO_min">Calibrations!$D$39</definedName>
    <definedName name="cal_DO_opt">Calibrations!$D$40</definedName>
    <definedName name="cal_DO_toxic">Calibrations!$D$42</definedName>
    <definedName name="cal_etaF">Calibrations!$D$13</definedName>
    <definedName name="cal_etaF_OER">Calibrations!$D$14</definedName>
    <definedName name="cal_flow">Calibrations!$D$22</definedName>
    <definedName name="cal_gerrit_int">Calibrations!$D$9</definedName>
    <definedName name="cal_gerrit_slope">Calibrations!$D$8</definedName>
    <definedName name="cal_hs">Calibrations!$D$29</definedName>
    <definedName name="cal_hs_fill">Calibrations!$D$30</definedName>
    <definedName name="cal_j_ceiling">Calibrations!$D$53</definedName>
    <definedName name="cal_j_opt">Calibrations!$D$52</definedName>
    <definedName name="cal_kLa">Calibrations!$D$18</definedName>
    <definedName name="cal_km_O2">Calibrations!$D$57</definedName>
    <definedName name="cal_knall_CO2">Calibrations!$D$48</definedName>
    <definedName name="cal_knall_H2">Calibrations!$D$46</definedName>
    <definedName name="cal_knall_O2">Calibrations!$D$47</definedName>
    <definedName name="cal_pulse_floor">Calibrations!$D$23</definedName>
    <definedName name="cal_sinter">Calibrations!$D$34</definedName>
    <definedName name="cal_tau_NH2Cl">Calibrations!$D$61</definedName>
    <definedName name="cal_Vtot">Calibrations!$D$27</definedName>
    <definedName name="D_O2" localSheetId="11">Calibrations!$D$94</definedName>
    <definedName name="electrode_sel" localSheetId="11">Calibrations!$D$93</definedName>
    <definedName name="F_const" localSheetId="11">Calibrations!$D$86</definedName>
    <definedName name="km_exp" localSheetId="11">Calibrations!$D$95</definedName>
    <definedName name="km_T_tol" localSheetId="11">Calibrations!$D$89</definedName>
    <definedName name="knall_H2_basis" localSheetId="11">Calibrations!$D$97</definedName>
    <definedName name="M_Cl2" localSheetId="11">Calibrations!$D$96</definedName>
    <definedName name="media_sel" localSheetId="11">Calibrations!$D$92</definedName>
    <definedName name="n_e_fcn" localSheetId="11">Calibrations!$D$88</definedName>
    <definedName name="organism_sel" localSheetId="11">Calibrations!$D$82</definedName>
    <definedName name="por_break_1" localSheetId="11">Calibrations!$D$65</definedName>
    <definedName name="por_break_2" localSheetId="11">Calibrations!$D$66</definedName>
    <definedName name="por_break_3" localSheetId="11">Calibrations!$D$67</definedName>
    <definedName name="por_break_4" localSheetId="11">Calibrations!$D$68</definedName>
    <definedName name="por_break_5" localSheetId="11">Calibrations!$D$69</definedName>
    <definedName name="por_p0_hi" localSheetId="11">Calibrations!$D$98</definedName>
    <definedName name="por_p5_hi" localSheetId="11">Calibrations!$D$99</definedName>
    <definedName name="por_p5_lo" localSheetId="11">Calibrations!$D$100</definedName>
    <definedName name="pw_A" localSheetId="11">Calibrations!$D$73</definedName>
    <definedName name="pw_B" localSheetId="11">Calibrations!$D$74</definedName>
    <definedName name="pw_C" localSheetId="11">Calibrations!$D$75</definedName>
    <definedName name="R_gas" localSheetId="11">Calibrations!$D$85</definedName>
    <definedName name="Reactor_sel" localSheetId="11">Calibrations!$D$81</definedName>
    <definedName name="rx_ver" localSheetId="11">Calibrations!$D$83</definedName>
    <definedName name="stir_rpm_set" localSheetId="11">Calibrations!$D$90</definedName>
    <definedName name="T_zero_C" localSheetId="11">Calibrations!$D$72</definedName>
    <definedName name="temp_C" localSheetId="11">Calibrations!$D$91</definedName>
    <definedName name="z_e_H2" localSheetId="11">Calibrations!$D$70</definedName>
    <definedName name="z_e_O2" localSheetId="11">Calibrations!$D$71</definedName>
    <definedName name="xr_exp" localSheetId="11">Experiments[Experiment (Summary list)]</definedName>
    <definedName name="xr_rx" localSheetId="11">Experiments[Reactor or type]</definedName>
    <definedName name="xr_el" localSheetId="11">Experiments[Electrode]</definedName>
    <definedName name="xr_org" localSheetId="11">Experiments[Organism]</definedName>
    <definedName name="xr_med" localSheetId="11">Experiments[Medium]</definedName>
    <definedName name="xr_T" localSheetId="11">Experiments[Temp (°C)]</definedName>
    <definedName name="xr_res" localSheetId="11">Experiments[Result]</definedName>
    <definedName name="xs_vial" localSheetId="11">Calibrations!$D$106</definedName>
    <definedName name="xs_flow" localSheetId="11">Calibrations!$D$107</definedName>
    <definedName name="xs_km" localSheetId="11">Calibrations!$D$108</definedName>
    <definedName name="xs_lowI" localSheetId="11">Calibrations!$D$109</definedName>
    <definedName name="xs_review" localSheetId="11">Calibrations!$D$110</definedName>
    <definedName name="xs_V" localSheetId="11">Calibrations!$D$111</definedName>
    <definedName name="xs_hsgas" localSheetId="11">Calibrations!$D$112</definedName>
    <definedName name="xs_vent" localSheetId="11">Calibrations!$D$113</definedName>
    <definedName name="xs_kLa" localSheetId="11">Calibrations!$D$114</definedName>
    <definedName name="xs_DOtrace" localSheetId="11">Calibrations!$D$115</definedName>
    <definedName name="xs_pHrun" localSheetId="11">Calibrations!$D$116</definedName>
    <definedName name="xs_metals" localSheetId="11">Calibrations!$D$117</definedName>
    <definedName name="xs_FE" localSheetId="11">Calibrations!$D$118</definedName>
    <definedName name="xs_offgas" localSheetId="11">Calibrations!$D$119</definedName>
    <definedName name="xs_DOthr" localSheetId="11">Calibrations!$D$120</definedName>
    <definedName name="xs_flow_all" localSheetId="11">Calibrations!$D$121</definedName>
    <definedName name="xs_wall" localSheetId="11">Calibrations!$D$122</definedName>
    <definedName name="xs_DPD" localSheetId="11">Calibrations!$D$123</definedName>
    <definedName name="xs_cond" localSheetId="11">Calibrations!$D$124</definedName>
    <definedName name="xs_gap" localSheetId="11">Calibrations!$D$125</definedName>
    <definedName name="xs_FE_OER" localSheetId="11">Calibrations!$D$126</definedName>
    <definedName name="xs_knall" localSheetId="11">Calibrations!$D$127</definedName>
    <definedName name="xs_floor" localSheetId="11">Calibrations!$D$128</definedName>
    <definedName name="xs_spflow" localSheetId="11">Calibrations!$D$129</definedName>
    <definedName name="xs_carry" localSheetId="11">Calibrations!$D$130</definedName>
    <definedName name="xs_sinter" localSheetId="11">Calibrations!$D$131</definedName>
    <definedName name="xs_patm" localSheetId="11">Calibrations!$D$132</definedName>
    <definedName name="xs_list">Calibrations!$A$106:$A$132</definedName>
    <definedName name="xr_T_tol" localSheetId="11">Calibrations!$D$135</definedName>
    <definedName name="has_cal_ca" localSheetId="11">Calibrations!$D$136</definedName>
    <definedName name="gerrit_min_ca" localSheetId="11">Calibrations!$D$137</definedName>
    <definedName name="vent_model_ca" localSheetId="11">Calibrations!$D$138</definedName>
    <definedName name="Cl_sel_ca" localSheetId="11">Calibrations!$D$139</definedName>
    <definedName name="carry_flag_ca" localSheetId="11">Calibrations!$D$140</definedName>
    <definedName name="sparger_ca" localSheetId="11">Calibrations!$D$141</definedName>
    <definedName name="P_atm_ca" localSheetId="11">Calibrations!$D$142</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<sst xmlns="http://schemas.openxmlformats.org/spreadsheetml/2006/main" count="4747" uniqueCount="3370">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</sst>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 Id="rId18" Type="http://schemas.openxmlformats.org/officeDocument/2006/relationships/worksheet" Target="worksheets/sheet13.xml"/><Relationship Id="rId19" Type="http://schemas.openxmlformats.org/officeDocument/2006/relationships/worksheet" Target="worksheets/sheet14.xml"/><Relationship Id="rId20" Type="http://schemas.openxmlformats.org/officeDocument/2006/relationships/worksheet" Target="worksheets/sheet15.xml"/><Relationship Id="rId21" Type="http://schemas.openxmlformats.org/officeDocument/2006/relationships/worksheet" Target="worksheets/sheet16.xml"/><Relationship Id="rId22" Type="http://schemas.openxmlformats.org/officeDocument/2006/relationships/worksheet" Target="worksheets/sheet17.xml"/><Relationship Id="rId23" Type="http://schemas.openxmlformats.org/officeDocument/2006/relationships/worksheet" Target="worksheets/sheet18.xml"/><Relationship Id="rId24" Type="http://schemas.openxmlformats.org/officeDocument/2006/relationships/worksheet" Target="worksheets/sheet19.xml"/><Relationship Id="rId25" Type="http://schemas.openxmlformats.org/officeDocument/2006/relationships/worksheet" Target="worksheets/sheet20.xml"/><Relationship Id="rId26" Type="http://schemas.openxmlformats.org/officeDocument/2006/relationships/worksheet" Target="worksheets/sheet21.xml"/><Relationship Id="rId27" Type="http://schemas.openxmlformats.org/officeDocument/2006/relationships/worksheet" Target="worksheets/sheet22.xml"/><Relationship Id="rId28" Type="http://schemas.openxmlformats.org/officeDocument/2006/relationships/worksheet" Target="worksheets/sheet23.xml"/><Relationship Id="rId29" Type="http://schemas.openxmlformats.org/officeDocument/2006/relationships/worksheet" Target="worksheets/sheet24.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ables/table6.xml><?xml version="1.0" encoding="utf-8"?>
<table xmlns="http://schemas.openxmlformats.org/spreadsheetml/2006/main" id="6" name="CO2Flows" displayName="CO2Flows" ref="A3:L46" headerRowCount="1">
  <tableColumns count="12">
    <tableColumn id="1" name="Reactor"/>
    <tableColumn id="2" name="Date"/>
    <tableColumn id="3" name="Cylinder size (mL)"/>
    <tableColumn id="4" name="Observed volume* (mL)"/>
    <tableColumn id="5" name="Volume (mL)"/>
    <tableColumn id="6" name="Time (s)"/>
    <tableColumn id="7" name="Flow rate (mL/s)"/>
    <tableColumn id="8" name="Average flow rate (mL/s)"/>
    <tableColumn id="9" name="Minimum sparge (s)"/>
    <tableColumn id="10" name="Nominal flow rate (mL/s)"/>
    <tableColumn id="11" name="Max flow without carryover (mL/s)"/>
    <tableColumn id="12" name="Excluded from pulse fit (1 = yes)"/>
  </tableColumns>
</table>
</file>

<file path=xl/tables/table7.xml><?xml version="1.0" encoding="utf-8"?>
<table xmlns="http://schemas.openxmlformats.org/spreadsheetml/2006/main" id="7" name="CalCurrent" displayName="CalCurrent" ref="A8:H16" headerRowCount="1">
  <tableColumns count="8">
    <tableColumn id="1" name="Researcher"/>
    <tableColumn id="2" name="Date"/>
    <tableColumn id="3" name="Reactor"/>
    <tableColumn id="4" name="Intensity (%)"/>
    <tableColumn id="5" name="Current (mA)"/>
    <tableColumn id="6" name="Type (auto)">
      <calculatedColumnFormula>IFERROR(INDEX(ReactorTypeList,MATCH(CalCurrent[[#This Row],[Reactor]],ReactorList,0)),"")</calculatedColumnFormula>
    </tableColumn>
    <tableColumn id="7" name="Include?"/>
    <tableColumn id="8" name="Notes"/>
  </tableColumns>
</table>
</file>

<file path=xl/tables/table8.xml><?xml version="1.0" encoding="utf-8"?>
<table xmlns="http://schemas.openxmlformats.org/spreadsheetml/2006/main" id="8" name="CalFaradaic" displayName="CalFaradaic" ref="A8:L16" headerRowCount="1">
  <tableColumns count="12">
    <tableColumn id="1" name="Researcher"/>
    <tableColumn id="2" name="Date"/>
    <tableColumn id="3" name="Reactor"/>
    <tableColumn id="4" name="Charge Q (C)"/>
    <tableColumn id="5" name="Gas volume (mL)"/>
    <tableColumn id="6" name="Temp (°C)"/>
    <tableColumn id="7" name="Pressure (Pa)"/>
    <tableColumn id="8" name="Gas (H2 or O2)"/>
    <tableColumn id="9" name="etaF (computed)">
      <calculatedColumnFormula>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calculatedColumnFormula>
    </tableColumn>
    <tableColumn id="10" name="Type (auto)">
      <calculatedColumnFormula>IFERROR(INDEX(ReactorTypeList,MATCH(CalFaradaic[[#This Row],[Reactor]],ReactorList,0)),"")</calculatedColumnFormula>
    </tableColumn>
    <tableColumn id="11" name="Include?"/>
    <tableColumn id="12" name="Notes"/>
  </tableColumns>
</table>
</file>

<file path=xl/tables/table9.xml><?xml version="1.0" encoding="utf-8"?>
<table xmlns="http://schemas.openxmlformats.org/spreadsheetml/2006/main" id="9" name="CalKLa" displayName="CalKLa" ref="A7:G15" headerRowCount="1">
  <tableColumns count="7">
    <tableColumn id="1" name="Researcher"/>
    <tableColumn id="2" name="Date"/>
    <tableColumn id="3" name="Reactor"/>
    <tableColumn id="4" name="kLa (1/h)"/>
    <tableColumn id="5" name="Type (auto)">
      <calculatedColumnFormula>IFERROR(INDEX(ReactorTypeList,MATCH(CalKLa[[#This Row],[Reactor]],ReactorList,0)),"")</calculatedColumnFormula>
    </tableColumn>
    <tableColumn id="6" name="Include?"/>
    <tableColumn id="7" name="Notes"/>
  </tableColumns>
</table>
</file>

<file path=xl/tables/table10.xml><?xml version="1.0" encoding="utf-8"?>
<table xmlns="http://schemas.openxmlformats.org/spreadsheetml/2006/main" id="10" name="CalFlow" displayName="CalFlow" ref="A8:J16" headerRowCount="1">
  <tableColumns count="10">
    <tableColumn id="1" name="Researcher"/>
    <tableColumn id="2" name="Date"/>
    <tableColumn id="3" name="Reactor"/>
    <tableColumn id="4" name="CO2 volume (mL)"/>
    <tableColumn id="5" name="Time (s)"/>
    <tableColumn id="6" name="Flow (computed, mL/s)">
      <calculatedColumnFormula>IFERROR(CalFlow[[#This Row],[CO2 volume (mL)]]/CalFlow[[#This Row],[Time (s)]],"")</calculatedColumnFormula>
    </tableColumn>
    <tableColumn id="7" name="Type (auto)">
      <calculatedColumnFormula>IFERROR(INDEX(ReactorTypeList,MATCH(CalFlow[[#This Row],[Reactor]],ReactorList,0)),"")</calculatedColumnFormula>
    </tableColumn>
    <tableColumn id="8" name="Include?"/>
    <tableColumn id="9" name="Notes"/>
    <tableColumn id="10" name="Min pulse (s)"/>
  </tableColumns>
</table>
</file>

<file path=xl/tables/table11.xml><?xml version="1.0" encoding="utf-8"?>
<table xmlns="http://schemas.openxmlformats.org/spreadsheetml/2006/main" id="11" name="CalVial" displayName="CalVial" ref="A10:N18" headerRowCount="1">
  <tableColumns count="14">
    <tableColumn id="1" name="Researcher"/>
    <tableColumn id="2" name="Date"/>
    <tableColumn id="3" name="Reactor"/>
    <tableColumn id="4" name="Headspace mass (g)"/>
    <tableColumn id="5" name="Body mass (g)"/>
    <tableColumn id="6" name="Temp (°C)"/>
    <tableColumn id="7" name="V total (computed, mL)">
      <calculatedColumnFormula>IF(CalVial[[#This Row],[Body mass (g)]]="","",IFERROR(CalVial[[#This Row],[Body mass (g)]]/((Calibrations!ca_rho_0+Calibrations!ca_rho_k*CalVial[[#This Row],[Temp (°C)]])/1000),""))</calculatedColumnFormula>
    </tableColumn>
    <tableColumn id="8" name="Volume-equivalent depth (computed, mm)">
      <calculatedColumnFormula>IF(CalVial[[#This Row],[Body mass (g)]]="","",IFERROR((CalVial[[#This Row],[Body mass (g)]]/((Calibrations!ca_rho_0+Calibrations!ca_rho_k*CalVial[[#This Row],[Temp (°C)]])/1000))*1000/Calibrations!A_x,""))</calculatedColumnFormula>
    </tableColumn>
    <tableColumn id="9" name="Type (auto)">
      <calculatedColumnFormula>IFERROR(INDEX(ReactorTypeList,MATCH(CalVial[[#This Row],[Reactor]],ReactorList,0)),"")</calculatedColumnFormula>
    </tableColumn>
    <tableColumn id="10" name="Include?"/>
    <tableColumn id="11" name="Notes"/>
    <tableColumn id="12" name="Headspace (computed, mL)">
      <calculatedColumnFormula>IF(CalVial[[#This Row],[Headspace mass (g)]]="","",IFERROR(CalVial[[#This Row],[Headspace mass (g)]]/((Calibrations!ca_rho_0+Calibrations!ca_rho_k*CalVial[[#This Row],[Temp (°C)]])/1000),""))</calculatedColumnFormula>
    </tableColumn>
    <tableColumn id="13" name="Working-fill mass (g)"/>
    <tableColumn id="14" name="Working fill (computed, mL)">
      <calculatedColumnFormula>IF(CalVial[[#This Row],[Working-fill mass (g)]]="","",IFERROR(CalVial[[#This Row],[Working-fill mass (g)]]/((Calibrations!ca_rho_0+Calibrations!ca_rho_k*CalVial[[#This Row],[Temp (°C)]])/1000),""))</calculatedColumnFormula>
    </tableColumn>
  </tableColumns>
</table>
</file>

<file path=xl/tables/table12.xml><?xml version="1.0" encoding="utf-8"?>
<table xmlns="http://schemas.openxmlformats.org/spreadsheetml/2006/main" id="12" name="CalSinter" displayName="CalSinter" ref="A8:H16" headerRowCount="1">
  <tableColumns count="8">
    <tableColumn id="1" name="Researcher"/>
    <tableColumn id="2" name="Date"/>
    <tableColumn id="3" name="Reactor"/>
    <tableColumn id="4" name="Bubble point (kPa)"/>
    <tableColumn id="5" name="Grade (computed)">
      <calculatedColumnFormula>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calculatedColumnFormula>
    </tableColumn>
    <tableColumn id="6" name="Type (auto)">
      <calculatedColumnFormula>IFERROR(INDEX(ReactorTypeList,MATCH(CalSinter[[#This Row],[Reactor]],ReactorList,0)),"")</calculatedColumnFormula>
    </tableColumn>
    <tableColumn id="7" name="Include?"/>
    <tableColumn id="8" name="Notes"/>
  </tableColumns>
</table>
</file>

<file path=xl/tables/table13.xml><?xml version="1.0" encoding="utf-8"?>
<table xmlns="http://schemas.openxmlformats.org/spreadsheetml/2006/main" id="13" name="CalDO" displayName="CalDO" ref="A10:I18" headerRowCount="1">
  <tableColumns count="9">
    <tableColumn id="1" name="Researcher"/>
    <tableColumn id="2" name="Date"/>
    <tableColumn id="3" name="Organism"/>
    <tableColumn id="4" name="Min DO (mg/L)"/>
    <tableColumn id="5" name="Optimum DO (mg/L)"/>
    <tableColumn id="6" name="Impairment DO (mg/L)"/>
    <tableColumn id="7" name="Toxic DO (mg/L)"/>
    <tableColumn id="8" name="Include?"/>
    <tableColumn id="9" name="Notes"/>
  </tableColumns>
</table>
</file>

<file path=xl/tables/table14.xml><?xml version="1.0" encoding="utf-8"?>
<table xmlns="http://schemas.openxmlformats.org/spreadsheetml/2006/main" id="14" name="CalKnallgas" displayName="CalKnallgas" ref="A9:J17" headerRowCount="1">
  <tableColumns count="10">
    <tableColumn id="1" name="Researcher"/>
    <tableColumn id="2" name="Date"/>
    <tableColumn id="3" name="Organism"/>
    <tableColumn id="4" name="H2"/>
    <tableColumn id="5" name="O2"/>
    <tableColumn id="6" name="CO2"/>
    <tableColumn id="7" name="Include?"/>
    <tableColumn id="8" name="Notes"/>
    <tableColumn id="9" name="O₂ per H₂ (computed)">
      <calculatedColumnFormula>IF(OR(CalKnallgas[[#This Row],[H2]]="",CalKnallgas[[#This Row],[O2]]=""),"",IFERROR(IF(CalKnallgas[[#This Row],[H2]]&gt;0,CalKnallgas[[#This Row],[O2]]/CalKnallgas[[#This Row],[H2]],""),""))</calculatedColumnFormula>
    </tableColumn>
    <tableColumn id="10" name="CO₂ per H₂ (computed)">
      <calculatedColumnFormula>IF(OR(CalKnallgas[[#This Row],[H2]]="",CalKnallgas[[#This Row],[CO2]]=""),"",IFERROR(IF(CalKnallgas[[#This Row],[H2]]&gt;0,CalKnallgas[[#This Row],[CO2]]/CalKnallgas[[#This Row],[H2]],""),""))</calculatedColumnFormula>
    </tableColumn>
  </tableColumns>
</table>
</file>

<file path=xl/tables/table15.xml><?xml version="1.0" encoding="utf-8"?>
<table xmlns="http://schemas.openxmlformats.org/spreadsheetml/2006/main" id="15" name="CalJScreen" displayName="CalJScreen" ref="A8:G16" headerRowCount="1">
  <tableColumns count="7">
    <tableColumn id="1" name="Researcher"/>
    <tableColumn id="2" name="Date"/>
    <tableColumn id="3" name="Organism"/>
    <tableColumn id="4" name="j optimum (mA/cm²)"/>
    <tableColumn id="5" name="j ceiling (mA/cm²)"/>
    <tableColumn id="6" name="Include?"/>
    <tableColumn id="7" name="Notes"/>
  </tableColumns>
</table>
</file>

<file path=xl/tables/table16.xml><?xml version="1.0" encoding="utf-8"?>
<table xmlns="http://schemas.openxmlformats.org/spreadsheetml/2006/main" id="16" name="CalKm" displayName="CalKm" ref="A7:O15" headerRowCount="1">
  <tableColumns count="15">
    <tableColumn id="1" name="Researcher"/>
    <tableColumn id="2" name="Date"/>
    <tableColumn id="3" name="Reactor"/>
    <tableColumn id="4" name="Electrode"/>
    <tableColumn id="5" name="Stir rate (rpm)"/>
    <tableColumn id="6" name="Temp (°C)"/>
    <tableColumn id="7" name="Limiting current (mA)"/>
    <tableColumn id="8" name="Electrode area (cm²)"/>
    <tableColumn id="9" name="Ferricyanide (mM)"/>
    <tableColumn id="10" name="D ferricyanide (m²/s)"/>
    <tableColumn id="11" name="k_m ferricyanide (computed, cm/s)">
      <calculatedColumnFormula>IF(OR(CalKm[[#This Row],[Limiting current (mA)]]="",CalKm[[#This Row],[Electrode area (cm²)]]="",CalKm[[#This Row],[Ferricyanide (mM)]]=""),"",IFERROR((CalKm[[#This Row],[Limiting current (mA)]]/1000)/(Calibrations!n_e_fcn*Calibrations!F_const*(CalKm[[#This Row],[Electrode area (cm²)]]/10000)*CalKm[[#This Row],[Ferricyanide (mM)]])*100,""))</calculatedColumnFormula>
    </tableColumn>
    <tableColumn id="12" name="k_m O₂ (computed, cm/s)">
      <calculatedColumnFormula>IF(OR(CalKm[[#This Row],[k_m ferricyanide (computed, cm/s)]]="",CalKm[[#This Row],[D ferricyanide (m²/s)]]=""),"",IFERROR(CalKm[[#This Row],[k_m ferricyanide (computed, cm/s)]]*(Calibrations!D_O2/CalKm[[#This Row],[D ferricyanide (m²/s)]])^Calibrations!km_exp,""))</calculatedColumnFormula>
    </tableColumn>
    <tableColumn id="13" name="Type (auto)">
      <calculatedColumnFormula>IFERROR(INDEX(ReactorTypeList,MATCH(CalKm[[#This Row],[Reactor]],ReactorList,0)),"")</calculatedColumnFormula>
    </tableColumn>
    <tableColumn id="14" name="Include?"/>
    <tableColumn id="15" name="Notes"/>
  </tableColumns>
</table>
</file>

<file path=xl/tables/table17.xml><?xml version="1.0" encoding="utf-8"?>
<table xmlns="http://schemas.openxmlformats.org/spreadsheetml/2006/main" id="17" name="CalChloramine" displayName="CalChloramine" ref="A7:L15" headerRowCount="1">
  <tableColumns count="12">
    <tableColumn id="1" name="Researcher"/>
    <tableColumn id="2" name="Date"/>
    <tableColumn id="3" name="Reactor"/>
    <tableColumn id="4" name="Medium"/>
    <tableColumn id="5" name="Combined chlorine plateau (mg/L as Cl₂)"/>
    <tableColumn id="6" name="Chloride turnover k (1/s)"/>
    <tableColumn id="7" name="Chloride pool C (mol/L)"/>
    <tableColumn id="8" name="Max production P (mol/L/s)"/>
    <tableColumn id="9" name="Lifetime (computed, h)">
      <calculatedColumnFormula>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calculatedColumnFormula>
    </tableColumn>
    <tableColumn id="10" name="Type (auto)">
      <calculatedColumnFormula>IFERROR(INDEX(ReactorTypeList,MATCH(CalChloramine[[#This Row],[Reactor]],ReactorList,0)),"")</calculatedColumnFormula>
    </tableColumn>
    <tableColumn id="11" name="Include?"/>
    <tableColumn id="12" name="Notes"/>
  </tableColumns>
</table>
</file>

<file path=xl/tables/table18.xml><?xml version="1.0" encoding="utf-8"?>
<table xmlns="http://schemas.openxmlformats.org/spreadsheetml/2006/main" id="18" name="Experiments" displayName="Experiments" ref="A5:J25" headerRowCount="1">
  <tableColumns count="10">
    <tableColumn id="1" name="Researcher"/>
    <tableColumn id="2" name="Date"/>
    <tableColumn id="3" name="Experiment (Summary list)"/>
    <tableColumn id="4" name="Reactor or type"/>
    <tableColumn id="5" name="Electrode"/>
    <tableColumn id="6" name="Organism"/>
    <tableColumn id="7" name="Medium"/>
    <tableColumn id="8" name="Temp (°C)"/>
    <tableColumn id="9" name="Result"/>
    <tableColumn id="10" name="Notes"/>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ht="26" customHeight="1" x14ac:dyDescent="0.2">
      <c r="A8" s="281"/>
      <c r="B8" s="290"/>
      <c r="C8" s="267"/>
      <c r="D8" s="288"/>
      <c r="E8" s="301"/>
      <c r="F8" s="271"/>
      <c r="G8" s="271"/>
      <c r="H8" s="271"/>
      <c r="I8" s="271"/>
    </row>
    <row r="9" x14ac:dyDescent="0.2">
      <c r="A9" s="281"/>
      <c r="B9" s="290"/>
      <c r="C9" s="267"/>
      <c r="D9" s="288"/>
      <c r="E9" s="301"/>
      <c r="F9" s="271"/>
      <c r="G9" s="271"/>
      <c r="H9" s="271"/>
      <c r="I9" s="271"/>
    </row>
    <row r="10" ht="24" customHeight="1" x14ac:dyDescent="0.2">
      <c r="A10" s="281"/>
      <c r="B10" s="290"/>
      <c r="C10" s="267"/>
      <c r="D10" s="302"/>
      <c r="E10" s="301"/>
      <c r="F10" s="271"/>
      <c r="G10" s="271"/>
      <c r="H10" s="271"/>
      <c r="I10" s="271"/>
    </row>
    <row r="11" x14ac:dyDescent="0.2">
      <c r="A11" s="281"/>
      <c r="B11" s="290"/>
      <c r="C11" s="267"/>
      <c r="D11" s="302"/>
      <c r="E11" s="301"/>
      <c r="F11" s="271"/>
      <c r="G11" s="271"/>
      <c r="H11" s="271"/>
      <c r="I11" s="271"/>
    </row>
    <row r="12" x14ac:dyDescent="0.2">
      <c r="A12" s="281"/>
      <c r="B12" s="290"/>
      <c r="C12" s="267"/>
      <c r="D12" s="302"/>
      <c r="E12" s="301"/>
      <c r="F12" s="271"/>
      <c r="G12" s="271"/>
      <c r="H12" s="271"/>
      <c r="I12" s="271"/>
    </row>
    <row r="13" x14ac:dyDescent="0.2">
      <c r="A13" s="281"/>
      <c r="B13" s="290"/>
      <c r="C13" s="267"/>
      <c r="D13" s="302"/>
      <c r="E13" s="301"/>
      <c r="F13" s="271"/>
      <c r="G13" s="271"/>
      <c r="H13" s="271"/>
      <c r="I13" s="271"/>
    </row>
    <row r="14" ht="24" customHeight="1" x14ac:dyDescent="0.2">
      <c r="A14" s="281"/>
      <c r="B14" s="290"/>
      <c r="C14" s="267"/>
      <c r="D14" s="302"/>
      <c r="E14" s="301"/>
      <c r="F14" s="271"/>
      <c r="G14" s="271"/>
      <c r="H14" s="271"/>
      <c r="I14" s="271"/>
    </row>
    <row r="15" ht="24" customHeight="1" x14ac:dyDescent="0.2">
      <c r="A15" s="281"/>
      <c r="B15" s="290"/>
      <c r="C15" s="267"/>
      <c r="D15" s="302"/>
      <c r="E15" s="301"/>
      <c r="F15" s="271"/>
      <c r="G15" s="271"/>
      <c r="H15" s="271"/>
      <c r="I15" s="271"/>
    </row>
    <row r="16" x14ac:dyDescent="0.2">
      <c r="A16" s="281"/>
      <c r="B16" s="290"/>
      <c r="C16" s="267"/>
      <c r="D16" s="302"/>
      <c r="E16" s="301"/>
      <c r="F16" s="271"/>
      <c r="G16" s="271"/>
      <c r="H16" s="271"/>
      <c r="I16" s="271"/>
    </row>
    <row r="17" x14ac:dyDescent="0.2">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row r="60" x14ac:dyDescent="0.2"/>
    <row r="61" x14ac:dyDescent="0.2"/>
    <row r="62" x14ac:dyDescent="0.2"/>
    <row r="63" x14ac:dyDescent="0.2"/>
    <row r="64" x14ac:dyDescent="0.2"/>
    <row r="65" x14ac:dyDescent="0.2"/>
    <row r="66" x14ac:dyDescent="0.2"/>
    <row r="67" x14ac:dyDescent="0.2"/>
    <row r="68" x14ac:dyDescent="0.2"/>
    <row r="69" x14ac:dyDescent="0.2"/>
    <row r="70" x14ac:dyDescent="0.2"/>
    <row r="71" x14ac:dyDescent="0.2"/>
    <row r="72" x14ac:dyDescent="0.2"/>
    <row r="73" x14ac:dyDescent="0.2"/>
    <row r="74" x14ac:dyDescent="0.2"/>
    <row r="75" x14ac:dyDescent="0.2"/>
    <row r="76" x14ac:dyDescent="0.2"/>
    <row r="77" x14ac:dyDescent="0.2"/>
    <row r="78" x14ac:dyDescent="0.2"/>
    <row r="79" x14ac:dyDescent="0.2"/>
    <row r="80" x14ac:dyDescent="0.2"/>
    <row r="81" x14ac:dyDescent="0.2"/>
    <row r="82" x14ac:dyDescent="0.2"/>
    <row r="83" x14ac:dyDescent="0.2"/>
    <row r="84" x14ac:dyDescent="0.2"/>
    <row r="85" x14ac:dyDescent="0.2"/>
    <row r="86" x14ac:dyDescent="0.2"/>
    <row r="87" x14ac:dyDescent="0.2"/>
    <row r="88" x14ac:dyDescent="0.2">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row r="36" x14ac:dyDescent="0.2"/>
    <row r="37" x14ac:dyDescent="0.2"/>
    <row r="38" x14ac:dyDescent="0.2"/>
    <row r="39" x14ac:dyDescent="0.2">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row r="67" x14ac:dyDescent="0.2"/>
    <row r="68" x14ac:dyDescent="0.2"/>
    <row r="69" x14ac:dyDescent="0.2"/>
    <row r="70" x14ac:dyDescent="0.2"/>
    <row r="71" x14ac:dyDescent="0.2"/>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c r="A38" s="265"/>
      <c r="B38" s="266"/>
      <c r="C38" s="265"/>
      <c r="D38" s="262"/>
      <c r="E38" s="306"/>
      <c r="F38"/>
      <c r="G38"/>
    </row>
    <row r="39" x14ac:dyDescent="0.2">
      <c r="A39" s="265"/>
      <c r="B39" s="266"/>
      <c r="C39" s="265"/>
      <c r="D39" s="210"/>
      <c r="E39" s="306"/>
      <c r="F39"/>
      <c r="G39"/>
    </row>
    <row r="40" x14ac:dyDescent="0.2">
      <c r="A40" s="265"/>
      <c r="B40" s="266"/>
      <c r="C40" s="265"/>
      <c r="D40" s="210"/>
      <c r="E40" s="306"/>
      <c r="F40"/>
      <c r="G40"/>
    </row>
    <row r="41" x14ac:dyDescent="0.2" ht="27" customHeight="1">
      <c r="A41" s="265"/>
      <c r="B41" s="266"/>
      <c r="C41" s="265"/>
      <c r="D41" s="209"/>
      <c r="E41" s="306"/>
      <c r="F41"/>
      <c r="G41"/>
    </row>
    <row r="42" x14ac:dyDescent="0.2">
      <c r="A42" s="265"/>
      <c r="B42" s="266"/>
      <c r="C42" s="265"/>
      <c r="D42" s="209"/>
      <c r="E42" s="306"/>
      <c r="F42"/>
      <c r="G42"/>
    </row>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ht="16" x14ac:dyDescent="0.2">
      <c r="A112" s="278"/>
      <c r="B112" s="278"/>
      <c r="C112" s="278"/>
      <c r="D112" s="278"/>
      <c r="E112" s="278"/>
      <c r="F112"/>
      <c r="G112"/>
    </row>
    <row r="113" x14ac:dyDescent="0.2">
      <c r="A113" s="263"/>
      <c r="B113" s="263"/>
      <c r="C113" s="263"/>
      <c r="D113" s="263"/>
      <c r="E113" s="263"/>
      <c r="F113"/>
      <c r="G113"/>
    </row>
    <row r="114" x14ac:dyDescent="0.2">
      <c r="A114" s="265"/>
      <c r="B114" s="268"/>
      <c r="C114" s="212"/>
      <c r="D114" s="268"/>
      <c r="E114" s="318"/>
      <c r="F114"/>
      <c r="G114"/>
    </row>
    <row r="115" x14ac:dyDescent="0.2">
      <c r="A115" s="265"/>
      <c r="B115" s="268"/>
      <c r="C115" s="212"/>
      <c r="D115" s="268"/>
      <c r="E115" s="318"/>
      <c r="F115"/>
      <c r="G115"/>
    </row>
    <row r="116" x14ac:dyDescent="0.2">
      <c r="A116" s="265"/>
      <c r="B116" s="268"/>
      <c r="C116" s="212"/>
      <c r="D116" s="268"/>
      <c r="E116" s="318"/>
      <c r="F116"/>
      <c r="G116"/>
    </row>
    <row r="123" ht="16" x14ac:dyDescent="0.2">
      <c r="A123" s="319"/>
    </row>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row r="53" x14ac:dyDescent="0.2"/>
    <row r="54" x14ac:dyDescent="0.2"/>
    <row r="55" x14ac:dyDescent="0.2"/>
    <row r="56" x14ac:dyDescent="0.2"/>
    <row r="57" x14ac:dyDescent="0.2"/>
    <row r="58" x14ac:dyDescent="0.2">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c r="A154" s="281"/>
      <c r="B154" s="290"/>
      <c r="C154" s="267"/>
      <c r="D154" s="326"/>
      <c r="E154" s="276"/>
      <c r="F154" s="271"/>
    </row>
    <row r="155" x14ac:dyDescent="0.2">
      <c r="A155" s="281"/>
      <c r="B155" s="290"/>
      <c r="C155" s="267"/>
      <c r="D155" s="326"/>
      <c r="E155" s="276"/>
      <c r="F155" s="271"/>
    </row>
    <row r="156" x14ac:dyDescent="0.2">
      <c r="A156" s="281"/>
      <c r="B156" s="290"/>
      <c r="C156" s="267"/>
      <c r="D156" s="326"/>
      <c r="E156" s="276"/>
      <c r="F156" s="271"/>
    </row>
    <row r="157" x14ac:dyDescent="0.2">
      <c r="A157" s="281"/>
      <c r="B157" s="290"/>
      <c r="C157" s="267"/>
      <c r="D157" s="326"/>
      <c r="E157" s="276"/>
      <c r="F157" s="271"/>
    </row>
    <row r="158" x14ac:dyDescent="0.2">
      <c r="A158" s="281"/>
      <c r="B158" s="290"/>
      <c r="C158" s="267"/>
      <c r="D158" s="326"/>
      <c r="E158" s="276"/>
      <c r="F158" s="271"/>
    </row>
    <row r="159" x14ac:dyDescent="0.2">
      <c r="A159" s="281"/>
      <c r="B159" s="290"/>
      <c r="C159" s="267"/>
      <c r="D159" s="326"/>
      <c r="E159" s="276"/>
      <c r="F159" s="271"/>
    </row>
    <row r="160" x14ac:dyDescent="0.2">
      <c r="A160" s="281"/>
      <c r="B160" s="290"/>
      <c r="C160" s="267"/>
      <c r="D160" s="326"/>
      <c r="E160" s="276"/>
      <c r="F160" s="271"/>
    </row>
    <row r="161" x14ac:dyDescent="0.2">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tabColor theme="9"/>
  </sheetPr>
  <dimension ref="A1:O46"/>
  <sheetViews>
    <sheetView workbookViewId="0">
      <pane ySplit="3" topLeftCell="A4" activePane="bottomLeft" state="frozen"/>
      <selection pane="bottomLeft" activeCell="A4" sqref="A4"/>
    </sheetView>
  </sheetViews>
  <sheetFormatPr defaultRowHeight="15"/>
  <cols>
    <col min="1" max="1" width="10" customWidth="1"/>
    <col min="2" max="2" width="11" customWidth="1"/>
    <col min="3" max="12" width="13" customWidth="1"/>
    <col min="13" max="13" width="3" customWidth="1"/>
    <col min="14" max="14" width="10" customWidth="1"/>
    <col min="15" max="15" width="70" customWidth="1"/>
  </cols>
  <sheetData>
    <row r="1">
      <c r="A1" s="263" t="inlineStr">
        <is>
          <t xml:space="preserve">CO₂ DOSING FLOW RATES – one row per measurement; the model fits every row of the table</t>
        </is>
      </c>
      <c r="B1" s="263"/>
      <c r="C1" s="263"/>
      <c r="D1" s="263"/>
      <c r="E1" s="263"/>
      <c r="F1" s="263"/>
      <c r="G1" s="263"/>
      <c r="H1" s="263"/>
      <c r="I1" s="263"/>
      <c r="J1" s="263"/>
      <c r="K1" s="263"/>
      <c r="L1" s="263"/>
    </row>
    <row r="2">
      <c r="A2" s="269" t="inlineStr">
        <is>
          <t xml:space="preserve">Add a measurement: type it in the first empty row under the table (it grows on its own; nothing is ignored however long it gets). Mass Transfer reads each column by its heading.</t>
        </is>
      </c>
      <c r="O2" s="263" t="inlineStr">
        <is>
          <t xml:space="preserve">KEY (as the Summary Key)</t>
        </is>
      </c>
    </row>
    <row r="3" ht="45" customHeight="1">
      <c r="A3" s="264" t="inlineStr">
        <is>
          <t xml:space="preserve">Reactor</t>
        </is>
      </c>
      <c r="B3" s="264" t="inlineStr">
        <is>
          <t xml:space="preserve">Date</t>
        </is>
      </c>
      <c r="C3" s="264" t="inlineStr">
        <is>
          <t xml:space="preserve">Cylinder size (mL)</t>
        </is>
      </c>
      <c r="D3" s="264" t="inlineStr">
        <is>
          <t xml:space="preserve">Observed volume* (mL)</t>
        </is>
      </c>
      <c r="E3" s="264" t="inlineStr">
        <is>
          <t xml:space="preserve">Volume (mL)</t>
        </is>
      </c>
      <c r="F3" s="264" t="inlineStr">
        <is>
          <t xml:space="preserve">Time (s)</t>
        </is>
      </c>
      <c r="G3" s="264" t="inlineStr">
        <is>
          <t xml:space="preserve">Flow rate (mL/s)</t>
        </is>
      </c>
      <c r="H3" s="264" t="inlineStr">
        <is>
          <t xml:space="preserve">Average flow rate (mL/s)</t>
        </is>
      </c>
      <c r="I3" s="264" t="inlineStr">
        <is>
          <t xml:space="preserve">Minimum sparge (s)</t>
        </is>
      </c>
      <c r="J3" s="264" t="inlineStr">
        <is>
          <t xml:space="preserve">Nominal flow rate (mL/s)</t>
        </is>
      </c>
      <c r="K3" s="264" t="inlineStr">
        <is>
          <t xml:space="preserve">Max flow without carryover (mL/s)</t>
        </is>
      </c>
      <c r="L3" s="264" t="inlineStr">
        <is>
          <t xml:space="preserve">Excluded from pulse fit (1 = yes)</t>
        </is>
      </c>
      <c r="O3" s="327" t="inlineStr">
        <is>
          <t xml:space="preserve">Weak estimate: J4 nominal flow and F5 timing set by inspection. E5 is a calculated volume. Input and formula fonts follow the Summary Key; confidence is recorded here.</t>
        </is>
      </c>
    </row>
    <row r="4">
      <c r="A4" s="268" t="inlineStr">
        <is>
          <t xml:space="preserve">ed04</t>
        </is>
      </c>
      <c r="B4" s="227">
        <v>46190.0</v>
      </c>
      <c r="C4" s="268">
        <v>50.0</v>
      </c>
      <c r="D4" s="268">
        <v>0.0</v>
      </c>
      <c r="E4" s="271"/>
      <c r="F4" s="271"/>
      <c r="G4" s="271"/>
      <c r="H4" s="271"/>
      <c r="I4" s="268">
        <v>0.25</v>
      </c>
      <c r="J4" s="268">
        <v>3.33</v>
      </c>
      <c r="K4" s="271"/>
      <c r="L4" s="271"/>
      <c r="O4" s="265" t="inlineStr">
        <is>
          <t xml:space="preserve">Problem: point excluded from the pulse fit as a suspect outlier (column N = 1)</t>
        </is>
      </c>
    </row>
    <row r="5">
      <c r="A5" s="268" t="inlineStr">
        <is>
          <t xml:space="preserve">ed04</t>
        </is>
      </c>
      <c r="B5" s="227">
        <v>46190.0</v>
      </c>
      <c r="C5" s="268">
        <v>50.0</v>
      </c>
      <c r="D5" s="268">
        <v>50.0</v>
      </c>
      <c r="E5" s="277">
        <f>D5-D4</f>
        <v>50.0</v>
      </c>
      <c r="F5" s="268">
        <v>15.0</v>
      </c>
      <c r="G5" s="198">
        <f>E5/F5</f>
        <v>3.333333333333</v>
      </c>
      <c r="H5" s="198">
        <f>AVERAGE(G5)</f>
        <v>3.333333333333</v>
      </c>
      <c r="I5" s="271"/>
      <c r="J5" s="271"/>
      <c r="K5" s="271"/>
      <c r="L5" s="331"/>
    </row>
    <row r="6">
      <c r="A6" s="268" t="inlineStr">
        <is>
          <t xml:space="preserve">ed04</t>
        </is>
      </c>
      <c r="B6" s="227">
        <v>46190.0</v>
      </c>
      <c r="C6" s="268">
        <v>50.0</v>
      </c>
      <c r="D6" s="268">
        <v>0.0</v>
      </c>
      <c r="E6" s="271"/>
      <c r="F6" s="271"/>
      <c r="G6" s="271"/>
      <c r="H6" s="271"/>
      <c r="I6" s="271"/>
      <c r="J6" s="271"/>
      <c r="K6" s="271"/>
      <c r="L6" s="271"/>
      <c r="N6" s="263" t="inlineStr">
        <is>
          <t xml:space="preserve">Point</t>
        </is>
      </c>
      <c r="O6" s="263" t="inlineStr">
        <is>
          <t xml:space="preserve">Note</t>
        </is>
      </c>
    </row>
    <row r="7">
      <c r="A7" s="268" t="inlineStr">
        <is>
          <t xml:space="preserve">ed04</t>
        </is>
      </c>
      <c r="B7" s="227">
        <v>46190.0</v>
      </c>
      <c r="C7" s="268">
        <v>50.0</v>
      </c>
      <c r="D7" s="268">
        <v>12.0</v>
      </c>
      <c r="E7" s="277">
        <f>D7-D6</f>
        <v>12.0</v>
      </c>
      <c r="F7" s="268">
        <v>4.0</v>
      </c>
      <c r="G7" s="277">
        <f>E7/F7</f>
        <v>3.0</v>
      </c>
      <c r="H7" s="198">
        <f>AVERAGE(G7:G9)</f>
        <v>3.333333333333</v>
      </c>
      <c r="I7" s="271"/>
      <c r="J7" s="271"/>
      <c r="K7" s="271"/>
      <c r="L7" s="328"/>
      <c r="N7" s="269" t="inlineStr">
        <is>
          <t xml:space="preserve">*</t>
        </is>
      </c>
      <c r="O7" s="269" t="inlineStr">
        <is>
          <t xml:space="preserve">CO2 collected in measuring cylinder over CO2-saturated water</t>
        </is>
      </c>
    </row>
    <row r="8">
      <c r="A8" s="268" t="inlineStr">
        <is>
          <t xml:space="preserve">ed04</t>
        </is>
      </c>
      <c r="B8" s="227">
        <v>46190.0</v>
      </c>
      <c r="C8" s="268">
        <v>50.0</v>
      </c>
      <c r="D8" s="268">
        <v>26.0</v>
      </c>
      <c r="E8" s="277">
        <f>D8-D7</f>
        <v>14.0</v>
      </c>
      <c r="F8" s="268">
        <v>4.0</v>
      </c>
      <c r="G8" s="198">
        <f>E8/F8</f>
        <v>3.5</v>
      </c>
      <c r="H8" s="271"/>
      <c r="I8" s="271"/>
      <c r="J8" s="271"/>
      <c r="K8" s="271"/>
      <c r="L8" s="271"/>
      <c r="N8" s="227">
        <v>46190.0</v>
      </c>
      <c r="O8" s="269" t="inlineStr">
        <is>
          <t xml:space="preserve">Collected using inlet CO2 tube rather than outlet as MEP vialcap leaking</t>
        </is>
      </c>
    </row>
    <row r="9">
      <c r="A9" s="268" t="inlineStr">
        <is>
          <t xml:space="preserve">ed04</t>
        </is>
      </c>
      <c r="B9" s="227">
        <v>46190.0</v>
      </c>
      <c r="C9" s="268">
        <v>50.0</v>
      </c>
      <c r="D9" s="268">
        <v>40.0</v>
      </c>
      <c r="E9" s="277">
        <f>D9-D8</f>
        <v>14.0</v>
      </c>
      <c r="F9" s="268">
        <v>4.0</v>
      </c>
      <c r="G9" s="198">
        <f>E9/F9</f>
        <v>3.5</v>
      </c>
      <c r="H9" s="271"/>
      <c r="I9" s="271"/>
      <c r="J9" s="271"/>
      <c r="K9" s="271"/>
      <c r="L9" s="271"/>
      <c r="N9" s="227">
        <v>46190.0</v>
      </c>
      <c r="O9" s="269" t="inlineStr">
        <is>
          <t xml:space="preserve">Collected over saturated NaHCO3 solution</t>
        </is>
      </c>
    </row>
    <row r="10">
      <c r="A10" s="268" t="inlineStr">
        <is>
          <t xml:space="preserve">ed04</t>
        </is>
      </c>
      <c r="B10" s="227">
        <v>46190.0</v>
      </c>
      <c r="C10" s="268">
        <v>50.0</v>
      </c>
      <c r="D10" s="268">
        <v>0.0</v>
      </c>
      <c r="E10" s="271"/>
      <c r="F10" s="271"/>
      <c r="G10" s="271"/>
      <c r="H10" s="271"/>
      <c r="I10" s="271"/>
      <c r="J10" s="271"/>
      <c r="K10" s="271"/>
      <c r="L10" s="271"/>
      <c r="O10" s="269" t="inlineStr">
        <is>
          <t xml:space="preserve">Column M: highest steady flow at which no liquid is carried into the vial neck or vent for this reactor (measured; blank = not measured, and Mass Transfer carry_flag then reads "not measured"). If the lowest entry for the reactor is below the pulse flow, carry_flag reads RISK.</t>
        </is>
      </c>
    </row>
    <row r="11">
      <c r="A11" s="268" t="inlineStr">
        <is>
          <t xml:space="preserve">ed04</t>
        </is>
      </c>
      <c r="B11" s="227">
        <v>46190.0</v>
      </c>
      <c r="C11" s="268">
        <v>50.0</v>
      </c>
      <c r="D11" s="268">
        <v>6.0</v>
      </c>
      <c r="E11" s="277">
        <f>D11-D10</f>
        <v>6.0</v>
      </c>
      <c r="F11" s="268">
        <v>2.0</v>
      </c>
      <c r="G11" s="277">
        <f>E11/F11</f>
        <v>3.0</v>
      </c>
      <c r="H11" s="198">
        <f>AVERAGE(G11:G16)</f>
        <v>3.75</v>
      </c>
      <c r="I11" s="271"/>
      <c r="J11" s="271"/>
      <c r="K11" s="271"/>
      <c r="L11" s="271"/>
      <c r="O11" s="269" t="inlineStr">
        <is>
          <t xml:space="preserve">Column N: 1 = point excluded from the pulse-volume fit V = V₀ + Q·t on Mass Transfer (rows 401–408); 1 is set on the two red outliers (G36, G46). Blank = used.</t>
        </is>
      </c>
    </row>
    <row r="12">
      <c r="A12" s="268" t="inlineStr">
        <is>
          <t xml:space="preserve">ed04</t>
        </is>
      </c>
      <c r="B12" s="227">
        <v>46190.0</v>
      </c>
      <c r="C12" s="268">
        <v>50.0</v>
      </c>
      <c r="D12" s="268">
        <v>15.0</v>
      </c>
      <c r="E12" s="277">
        <f>D12-D11</f>
        <v>9.0</v>
      </c>
      <c r="F12" s="268">
        <v>2.0</v>
      </c>
      <c r="G12" s="198">
        <f>E12/F12</f>
        <v>4.5</v>
      </c>
      <c r="H12" s="271"/>
      <c r="I12" s="271"/>
      <c r="J12" s="271"/>
      <c r="K12" s="271"/>
      <c r="L12" s="271"/>
    </row>
    <row r="13">
      <c r="A13" s="268" t="inlineStr">
        <is>
          <t xml:space="preserve">ed04</t>
        </is>
      </c>
      <c r="B13" s="227">
        <v>46190.0</v>
      </c>
      <c r="C13" s="268">
        <v>50.0</v>
      </c>
      <c r="D13" s="268">
        <v>21.0</v>
      </c>
      <c r="E13" s="277">
        <f>D13-D12</f>
        <v>6.0</v>
      </c>
      <c r="F13" s="268">
        <v>2.0</v>
      </c>
      <c r="G13" s="277">
        <f>E13/F13</f>
        <v>3.0</v>
      </c>
      <c r="H13" s="271"/>
      <c r="I13" s="271"/>
      <c r="J13" s="271"/>
      <c r="K13" s="271"/>
      <c r="L13" s="271"/>
    </row>
    <row r="14">
      <c r="A14" s="268" t="inlineStr">
        <is>
          <t xml:space="preserve">ed04</t>
        </is>
      </c>
      <c r="B14" s="227">
        <v>46190.0</v>
      </c>
      <c r="C14" s="268">
        <v>50.0</v>
      </c>
      <c r="D14" s="268">
        <v>29.0</v>
      </c>
      <c r="E14" s="277">
        <f>D14-D13</f>
        <v>8.0</v>
      </c>
      <c r="F14" s="268">
        <v>2.0</v>
      </c>
      <c r="G14" s="277">
        <f>E14/F14</f>
        <v>4.0</v>
      </c>
      <c r="H14" s="271"/>
      <c r="I14" s="271"/>
      <c r="J14" s="271"/>
      <c r="K14" s="271"/>
      <c r="L14" s="271"/>
    </row>
    <row r="15">
      <c r="A15" s="268" t="inlineStr">
        <is>
          <t xml:space="preserve">ed04</t>
        </is>
      </c>
      <c r="B15" s="227">
        <v>46190.0</v>
      </c>
      <c r="C15" s="268">
        <v>50.0</v>
      </c>
      <c r="D15" s="268">
        <v>35.0</v>
      </c>
      <c r="E15" s="277">
        <f>D15-D14</f>
        <v>6.0</v>
      </c>
      <c r="F15" s="268">
        <v>2.0</v>
      </c>
      <c r="G15" s="277">
        <f>E15/F15</f>
        <v>3.0</v>
      </c>
      <c r="H15" s="271"/>
      <c r="I15" s="271"/>
      <c r="J15" s="271"/>
      <c r="K15" s="271"/>
      <c r="L15" s="271"/>
    </row>
    <row r="16">
      <c r="A16" s="268" t="inlineStr">
        <is>
          <t xml:space="preserve">ed04</t>
        </is>
      </c>
      <c r="B16" s="227">
        <v>46190.0</v>
      </c>
      <c r="C16" s="268">
        <v>50.0</v>
      </c>
      <c r="D16" s="268">
        <v>45.0</v>
      </c>
      <c r="E16" s="277">
        <f>D16-D15</f>
        <v>10.0</v>
      </c>
      <c r="F16" s="268">
        <v>2.0</v>
      </c>
      <c r="G16" s="277">
        <f>E16/F16</f>
        <v>5.0</v>
      </c>
      <c r="H16" s="271"/>
      <c r="I16" s="271"/>
      <c r="J16" s="271"/>
      <c r="K16" s="271"/>
      <c r="L16" s="271"/>
    </row>
    <row r="17">
      <c r="A17" s="268" t="inlineStr">
        <is>
          <t xml:space="preserve">ed04</t>
        </is>
      </c>
      <c r="B17" s="227">
        <v>46190.0</v>
      </c>
      <c r="C17" s="268">
        <v>50.0</v>
      </c>
      <c r="D17" s="268">
        <v>0.0</v>
      </c>
      <c r="E17" s="271"/>
      <c r="F17" s="271"/>
      <c r="G17" s="271"/>
      <c r="H17" s="271"/>
      <c r="I17" s="271"/>
      <c r="J17" s="271"/>
      <c r="K17" s="271"/>
      <c r="L17" s="271"/>
    </row>
    <row r="18">
      <c r="A18" s="268" t="inlineStr">
        <is>
          <t xml:space="preserve">ed04</t>
        </is>
      </c>
      <c r="B18" s="227">
        <v>46190.0</v>
      </c>
      <c r="C18" s="268">
        <v>50.0</v>
      </c>
      <c r="D18" s="268">
        <v>4.0</v>
      </c>
      <c r="E18" s="277">
        <f>D18-D17</f>
        <v>4.0</v>
      </c>
      <c r="F18" s="268">
        <v>1.0</v>
      </c>
      <c r="G18" s="277">
        <f>E18/F18</f>
        <v>4.0</v>
      </c>
      <c r="H18" s="198">
        <f>AVERAGE(G18:G23)</f>
        <v>3.833333333333</v>
      </c>
      <c r="I18" s="271"/>
      <c r="J18" s="271"/>
      <c r="K18" s="271"/>
      <c r="L18" s="271"/>
    </row>
    <row r="19">
      <c r="A19" s="268" t="inlineStr">
        <is>
          <t xml:space="preserve">ed04</t>
        </is>
      </c>
      <c r="B19" s="227">
        <v>46190.0</v>
      </c>
      <c r="C19" s="268">
        <v>50.0</v>
      </c>
      <c r="D19" s="268">
        <v>8.0</v>
      </c>
      <c r="E19" s="277">
        <f>D19-D18</f>
        <v>4.0</v>
      </c>
      <c r="F19" s="268">
        <v>1.0</v>
      </c>
      <c r="G19" s="277">
        <f>E19/F19</f>
        <v>4.0</v>
      </c>
      <c r="H19" s="271"/>
      <c r="I19" s="271"/>
      <c r="J19" s="271"/>
      <c r="K19" s="271"/>
      <c r="L19" s="271"/>
    </row>
    <row r="20">
      <c r="A20" s="268" t="inlineStr">
        <is>
          <t xml:space="preserve">ed04</t>
        </is>
      </c>
      <c r="B20" s="227">
        <v>46190.0</v>
      </c>
      <c r="C20" s="268">
        <v>50.0</v>
      </c>
      <c r="D20" s="268">
        <v>11.0</v>
      </c>
      <c r="E20" s="277">
        <f>D20-D19</f>
        <v>3.0</v>
      </c>
      <c r="F20" s="268">
        <v>1.0</v>
      </c>
      <c r="G20" s="277">
        <f>E20/F20</f>
        <v>3.0</v>
      </c>
      <c r="H20" s="271"/>
      <c r="I20" s="271"/>
      <c r="J20" s="271"/>
      <c r="K20" s="271"/>
      <c r="L20" s="271"/>
    </row>
    <row r="21">
      <c r="A21" s="268" t="inlineStr">
        <is>
          <t xml:space="preserve">ed04</t>
        </is>
      </c>
      <c r="B21" s="227">
        <v>46190.0</v>
      </c>
      <c r="C21" s="268">
        <v>50.0</v>
      </c>
      <c r="D21" s="268">
        <v>15.0</v>
      </c>
      <c r="E21" s="277">
        <f>D21-D20</f>
        <v>4.0</v>
      </c>
      <c r="F21" s="268">
        <v>1.0</v>
      </c>
      <c r="G21" s="277">
        <f>E21/F21</f>
        <v>4.0</v>
      </c>
      <c r="H21" s="271"/>
      <c r="I21" s="271"/>
      <c r="J21" s="271"/>
      <c r="K21" s="271"/>
      <c r="L21" s="271"/>
    </row>
    <row r="22">
      <c r="A22" s="268" t="inlineStr">
        <is>
          <t xml:space="preserve">ed04</t>
        </is>
      </c>
      <c r="B22" s="227">
        <v>46190.0</v>
      </c>
      <c r="C22" s="268">
        <v>50.0</v>
      </c>
      <c r="D22" s="268">
        <v>19.0</v>
      </c>
      <c r="E22" s="277">
        <f>D22-D21</f>
        <v>4.0</v>
      </c>
      <c r="F22" s="268">
        <v>1.0</v>
      </c>
      <c r="G22" s="277">
        <f>E22/F22</f>
        <v>4.0</v>
      </c>
      <c r="H22" s="271"/>
      <c r="I22" s="271"/>
      <c r="J22" s="271"/>
      <c r="K22" s="271"/>
      <c r="L22" s="271"/>
    </row>
    <row r="23">
      <c r="A23" s="268" t="inlineStr">
        <is>
          <t xml:space="preserve">ed04</t>
        </is>
      </c>
      <c r="B23" s="227">
        <v>46190.0</v>
      </c>
      <c r="C23" s="268">
        <v>50.0</v>
      </c>
      <c r="D23" s="268">
        <v>23.0</v>
      </c>
      <c r="E23" s="277">
        <f>D23-D22</f>
        <v>4.0</v>
      </c>
      <c r="F23" s="268">
        <v>1.0</v>
      </c>
      <c r="G23" s="277">
        <f>E23/F23</f>
        <v>4.0</v>
      </c>
      <c r="H23" s="271"/>
      <c r="I23" s="271"/>
      <c r="J23" s="271"/>
      <c r="K23" s="271"/>
      <c r="L23" s="271"/>
    </row>
    <row r="24">
      <c r="A24" s="268" t="inlineStr">
        <is>
          <t xml:space="preserve">ed04</t>
        </is>
      </c>
      <c r="B24" s="227">
        <v>46190.0</v>
      </c>
      <c r="C24" s="268">
        <v>50.0</v>
      </c>
      <c r="D24" s="268">
        <v>31.0</v>
      </c>
      <c r="E24" s="271"/>
      <c r="F24" s="271"/>
      <c r="G24" s="271"/>
      <c r="H24" s="271"/>
      <c r="I24" s="271"/>
      <c r="J24" s="271"/>
      <c r="K24" s="271"/>
      <c r="L24" s="271"/>
    </row>
    <row r="25">
      <c r="A25" s="268" t="inlineStr">
        <is>
          <t xml:space="preserve">ed04</t>
        </is>
      </c>
      <c r="B25" s="227">
        <v>46190.0</v>
      </c>
      <c r="C25" s="268">
        <v>50.0</v>
      </c>
      <c r="D25" s="268">
        <v>33.0</v>
      </c>
      <c r="E25" s="277">
        <f>D25-D24</f>
        <v>2.0</v>
      </c>
      <c r="F25" s="268">
        <v>0.5</v>
      </c>
      <c r="G25" s="277">
        <f>E25/F25</f>
        <v>4.0</v>
      </c>
      <c r="H25" s="277">
        <f>AVERAGE(G25:G29)</f>
        <v>4.0</v>
      </c>
      <c r="I25" s="271"/>
      <c r="J25" s="271"/>
      <c r="K25" s="271"/>
      <c r="L25" s="271"/>
    </row>
    <row r="26">
      <c r="A26" s="268" t="inlineStr">
        <is>
          <t xml:space="preserve">ed04</t>
        </is>
      </c>
      <c r="B26" s="227">
        <v>46190.0</v>
      </c>
      <c r="C26" s="268">
        <v>50.0</v>
      </c>
      <c r="D26" s="268">
        <v>35.0</v>
      </c>
      <c r="E26" s="277">
        <f>D26-D25</f>
        <v>2.0</v>
      </c>
      <c r="F26" s="268">
        <v>0.5</v>
      </c>
      <c r="G26" s="277">
        <f>E26/F26</f>
        <v>4.0</v>
      </c>
      <c r="H26" s="271"/>
      <c r="I26" s="271"/>
      <c r="J26" s="271"/>
      <c r="K26" s="271"/>
      <c r="L26" s="271"/>
    </row>
    <row r="27">
      <c r="A27" s="268" t="inlineStr">
        <is>
          <t xml:space="preserve">ed04</t>
        </is>
      </c>
      <c r="B27" s="227">
        <v>46190.0</v>
      </c>
      <c r="C27" s="268">
        <v>50.0</v>
      </c>
      <c r="D27" s="268">
        <v>37.0</v>
      </c>
      <c r="E27" s="277">
        <f>D27-D26</f>
        <v>2.0</v>
      </c>
      <c r="F27" s="268">
        <v>0.5</v>
      </c>
      <c r="G27" s="277">
        <f>E27/F27</f>
        <v>4.0</v>
      </c>
      <c r="H27" s="271"/>
      <c r="I27" s="271"/>
      <c r="J27" s="271"/>
      <c r="K27" s="271"/>
      <c r="L27" s="271"/>
    </row>
    <row r="28">
      <c r="A28" s="268" t="inlineStr">
        <is>
          <t xml:space="preserve">ed04</t>
        </is>
      </c>
      <c r="B28" s="227">
        <v>46190.0</v>
      </c>
      <c r="C28" s="268">
        <v>50.0</v>
      </c>
      <c r="D28" s="268">
        <v>39.0</v>
      </c>
      <c r="E28" s="277">
        <f>D28-D27</f>
        <v>2.0</v>
      </c>
      <c r="F28" s="268">
        <v>0.5</v>
      </c>
      <c r="G28" s="277">
        <f>E28/F28</f>
        <v>4.0</v>
      </c>
      <c r="H28" s="271"/>
      <c r="I28" s="271"/>
      <c r="J28" s="271"/>
      <c r="K28" s="271"/>
      <c r="L28" s="271"/>
    </row>
    <row r="29">
      <c r="A29" s="268" t="inlineStr">
        <is>
          <t xml:space="preserve">ed04</t>
        </is>
      </c>
      <c r="B29" s="227">
        <v>46190.0</v>
      </c>
      <c r="C29" s="268">
        <v>50.0</v>
      </c>
      <c r="D29" s="268">
        <v>41.0</v>
      </c>
      <c r="E29" s="277">
        <f>D29-D28</f>
        <v>2.0</v>
      </c>
      <c r="F29" s="268">
        <v>0.5</v>
      </c>
      <c r="G29" s="277">
        <f>E29/F29</f>
        <v>4.0</v>
      </c>
      <c r="H29" s="271"/>
      <c r="I29" s="271"/>
      <c r="J29" s="271"/>
      <c r="K29" s="271"/>
      <c r="L29" s="271"/>
    </row>
    <row r="30">
      <c r="A30" s="268" t="inlineStr">
        <is>
          <t xml:space="preserve">ed04</t>
        </is>
      </c>
      <c r="B30" s="227">
        <v>46190.0</v>
      </c>
      <c r="C30" s="268">
        <v>50.0</v>
      </c>
      <c r="D30" s="268">
        <v>42.0</v>
      </c>
      <c r="E30" s="277">
        <f>D30-D29</f>
        <v>1.0</v>
      </c>
      <c r="F30" s="268">
        <v>0.25</v>
      </c>
      <c r="G30" s="277">
        <f>E30/F30</f>
        <v>4.0</v>
      </c>
      <c r="H30" s="277">
        <f>AVERAGE(G30:G34)</f>
        <v>4.0</v>
      </c>
      <c r="I30" s="271"/>
      <c r="J30" s="271"/>
      <c r="K30" s="271"/>
      <c r="L30" s="271"/>
    </row>
    <row r="31">
      <c r="A31" s="268" t="inlineStr">
        <is>
          <t xml:space="preserve">ed04</t>
        </is>
      </c>
      <c r="B31" s="227">
        <v>46190.0</v>
      </c>
      <c r="C31" s="268">
        <v>50.0</v>
      </c>
      <c r="D31" s="268">
        <v>43.0</v>
      </c>
      <c r="E31" s="277">
        <f>D31-D30</f>
        <v>1.0</v>
      </c>
      <c r="F31" s="268">
        <v>0.25</v>
      </c>
      <c r="G31" s="277">
        <f>E31/F31</f>
        <v>4.0</v>
      </c>
      <c r="H31" s="271"/>
      <c r="I31" s="271"/>
      <c r="J31" s="271"/>
      <c r="K31" s="271"/>
      <c r="L31" s="271"/>
    </row>
    <row r="32">
      <c r="A32" s="268" t="inlineStr">
        <is>
          <t xml:space="preserve">ed04</t>
        </is>
      </c>
      <c r="B32" s="227">
        <v>46190.0</v>
      </c>
      <c r="C32" s="268">
        <v>50.0</v>
      </c>
      <c r="D32" s="268">
        <v>44.0</v>
      </c>
      <c r="E32" s="277">
        <f>D32-D31</f>
        <v>1.0</v>
      </c>
      <c r="F32" s="268">
        <v>0.25</v>
      </c>
      <c r="G32" s="277">
        <f>E32/F32</f>
        <v>4.0</v>
      </c>
      <c r="H32" s="271"/>
      <c r="I32" s="271"/>
      <c r="J32" s="271"/>
      <c r="K32" s="271"/>
      <c r="L32" s="271"/>
    </row>
    <row r="33">
      <c r="A33" s="268" t="inlineStr">
        <is>
          <t xml:space="preserve">ed04</t>
        </is>
      </c>
      <c r="B33" s="227">
        <v>46190.0</v>
      </c>
      <c r="C33" s="268">
        <v>50.0</v>
      </c>
      <c r="D33" s="268">
        <v>45.0</v>
      </c>
      <c r="E33" s="277">
        <f>D33-D32</f>
        <v>1.0</v>
      </c>
      <c r="F33" s="268">
        <v>0.25</v>
      </c>
      <c r="G33" s="277">
        <f>E33/F33</f>
        <v>4.0</v>
      </c>
      <c r="H33" s="271"/>
      <c r="I33" s="271"/>
      <c r="J33" s="271"/>
      <c r="K33" s="271"/>
      <c r="L33" s="271"/>
    </row>
    <row r="34">
      <c r="A34" s="268" t="inlineStr">
        <is>
          <t xml:space="preserve">ed04</t>
        </is>
      </c>
      <c r="B34" s="227">
        <v>46190.0</v>
      </c>
      <c r="C34" s="268">
        <v>50.0</v>
      </c>
      <c r="D34" s="268">
        <v>46.0</v>
      </c>
      <c r="E34" s="277">
        <f>D34-D33</f>
        <v>1.0</v>
      </c>
      <c r="F34" s="268">
        <v>0.25</v>
      </c>
      <c r="G34" s="277">
        <f>E34/F34</f>
        <v>4.0</v>
      </c>
      <c r="H34" s="271"/>
      <c r="I34" s="271"/>
      <c r="J34" s="271"/>
      <c r="K34" s="271"/>
      <c r="L34" s="271"/>
    </row>
    <row r="35">
      <c r="A35" s="268" t="inlineStr">
        <is>
          <t xml:space="preserve">ed04</t>
        </is>
      </c>
      <c r="B35" s="227">
        <v>46190.0</v>
      </c>
      <c r="C35" s="268">
        <v>10.0</v>
      </c>
      <c r="D35" s="268">
        <v>0.0</v>
      </c>
      <c r="E35" s="277">
        <f>D35-D34</f>
        <v>-46.0</v>
      </c>
      <c r="F35" s="271"/>
      <c r="G35" s="271"/>
      <c r="H35" s="271"/>
      <c r="I35" s="271"/>
      <c r="J35" s="271"/>
      <c r="K35" s="271"/>
      <c r="L35" s="271"/>
    </row>
    <row r="36">
      <c r="A36" s="268" t="inlineStr">
        <is>
          <t xml:space="preserve">ed04</t>
        </is>
      </c>
      <c r="B36" s="227">
        <v>46190.0</v>
      </c>
      <c r="C36" s="268">
        <v>10.0</v>
      </c>
      <c r="D36" s="268">
        <v>0.4</v>
      </c>
      <c r="E36" s="199">
        <f>D36-D35</f>
        <v>0.4</v>
      </c>
      <c r="F36" s="268">
        <v>0.2</v>
      </c>
      <c r="G36" s="277">
        <f>E36/F36</f>
        <v>2.0</v>
      </c>
      <c r="H36" s="271"/>
      <c r="I36" s="271"/>
      <c r="J36" s="271"/>
      <c r="K36" s="271"/>
      <c r="L36" s="268">
        <v>1.0</v>
      </c>
    </row>
    <row r="37">
      <c r="A37" s="268" t="inlineStr">
        <is>
          <t xml:space="preserve">ed04</t>
        </is>
      </c>
      <c r="B37" s="227">
        <v>46190.0</v>
      </c>
      <c r="C37" s="268">
        <v>10.0</v>
      </c>
      <c r="D37" s="268">
        <v>1.2</v>
      </c>
      <c r="E37" s="199">
        <f>D37-D36</f>
        <v>0.8</v>
      </c>
      <c r="F37" s="268">
        <v>0.2</v>
      </c>
      <c r="G37" s="262">
        <f>E37/F37</f>
        <v>4.0</v>
      </c>
      <c r="H37" s="198">
        <f>AVERAGE(G37:G39)</f>
        <v>4.333333333333</v>
      </c>
      <c r="I37" s="271"/>
      <c r="J37" s="271"/>
      <c r="K37" s="271"/>
      <c r="L37" s="271"/>
    </row>
    <row r="38">
      <c r="A38" s="268" t="inlineStr">
        <is>
          <t xml:space="preserve">ed04</t>
        </is>
      </c>
      <c r="B38" s="227">
        <v>46190.0</v>
      </c>
      <c r="C38" s="268">
        <v>10.0</v>
      </c>
      <c r="D38" s="268">
        <v>2.2</v>
      </c>
      <c r="E38" s="262">
        <f>D38-D37</f>
        <v>1.0</v>
      </c>
      <c r="F38" s="268">
        <v>0.2</v>
      </c>
      <c r="G38" s="262">
        <f>E38/F38</f>
        <v>5.0</v>
      </c>
      <c r="H38" s="271"/>
      <c r="I38" s="271"/>
      <c r="J38" s="271"/>
      <c r="K38" s="271"/>
      <c r="L38" s="271"/>
    </row>
    <row r="39">
      <c r="A39" s="268" t="inlineStr">
        <is>
          <t xml:space="preserve">ed04</t>
        </is>
      </c>
      <c r="B39" s="227">
        <v>46190.0</v>
      </c>
      <c r="C39" s="268">
        <v>10.0</v>
      </c>
      <c r="D39" s="268">
        <v>3.0</v>
      </c>
      <c r="E39" s="199">
        <f>D39-D38</f>
        <v>0.8</v>
      </c>
      <c r="F39" s="268">
        <v>0.2</v>
      </c>
      <c r="G39" s="262">
        <f>E39/F39</f>
        <v>4.0</v>
      </c>
      <c r="H39" s="271"/>
      <c r="I39" s="271"/>
      <c r="J39" s="271"/>
      <c r="K39" s="271"/>
      <c r="L39" s="271"/>
    </row>
    <row r="40">
      <c r="A40" s="268" t="inlineStr">
        <is>
          <t xml:space="preserve">ed04</t>
        </is>
      </c>
      <c r="B40" s="227">
        <v>46190.0</v>
      </c>
      <c r="C40" s="268">
        <v>10.0</v>
      </c>
      <c r="D40" s="268">
        <v>0.0</v>
      </c>
      <c r="E40" s="271"/>
      <c r="F40" s="271"/>
      <c r="G40" s="271"/>
      <c r="H40" s="271"/>
      <c r="I40" s="271"/>
      <c r="J40" s="271"/>
      <c r="K40" s="271"/>
      <c r="L40" s="271"/>
    </row>
    <row r="41">
      <c r="A41" s="268" t="inlineStr">
        <is>
          <t xml:space="preserve">ed04</t>
        </is>
      </c>
      <c r="B41" s="227">
        <v>46190.0</v>
      </c>
      <c r="C41" s="268">
        <v>10.0</v>
      </c>
      <c r="D41" s="268">
        <v>0.4</v>
      </c>
      <c r="E41" s="199">
        <f>D41-D40</f>
        <v>0.4</v>
      </c>
      <c r="F41" s="268">
        <v>0.1</v>
      </c>
      <c r="G41" s="277">
        <f>E41/F41</f>
        <v>4.0</v>
      </c>
      <c r="H41" s="198">
        <f>AVERAGE(G41:G45)</f>
        <v>5.2</v>
      </c>
      <c r="I41" s="271"/>
      <c r="J41" s="271"/>
      <c r="K41" s="271"/>
      <c r="L41" s="271"/>
    </row>
    <row r="42">
      <c r="A42" s="268" t="inlineStr">
        <is>
          <t xml:space="preserve">ed04</t>
        </is>
      </c>
      <c r="B42" s="227">
        <v>46190.0</v>
      </c>
      <c r="C42" s="268">
        <v>10.0</v>
      </c>
      <c r="D42" s="268">
        <v>0.8</v>
      </c>
      <c r="E42" s="199">
        <f>D42-D41</f>
        <v>0.4</v>
      </c>
      <c r="F42" s="268">
        <v>0.1</v>
      </c>
      <c r="G42" s="277">
        <f>E42/F42</f>
        <v>4.0</v>
      </c>
      <c r="H42" s="271"/>
      <c r="I42" s="271"/>
      <c r="J42" s="271"/>
      <c r="K42" s="271"/>
      <c r="L42" s="271"/>
    </row>
    <row r="43">
      <c r="A43" s="268" t="inlineStr">
        <is>
          <t xml:space="preserve">ed04</t>
        </is>
      </c>
      <c r="B43" s="227">
        <v>46190.0</v>
      </c>
      <c r="C43" s="268">
        <v>10.0</v>
      </c>
      <c r="D43" s="268">
        <v>1.4</v>
      </c>
      <c r="E43" s="199">
        <f>D43-D42</f>
        <v>0.6</v>
      </c>
      <c r="F43" s="268">
        <v>0.1</v>
      </c>
      <c r="G43" s="262">
        <f>E43/F43</f>
        <v>6.0</v>
      </c>
      <c r="H43" s="271"/>
      <c r="I43" s="271"/>
      <c r="J43" s="271"/>
      <c r="K43" s="271"/>
      <c r="L43" s="271"/>
    </row>
    <row r="44">
      <c r="A44" s="268" t="inlineStr">
        <is>
          <t xml:space="preserve">ed04</t>
        </is>
      </c>
      <c r="B44" s="227">
        <v>46190.0</v>
      </c>
      <c r="C44" s="268">
        <v>10.0</v>
      </c>
      <c r="D44" s="268">
        <v>2.0</v>
      </c>
      <c r="E44" s="199">
        <f>D44-D43</f>
        <v>0.6</v>
      </c>
      <c r="F44" s="268">
        <v>0.1</v>
      </c>
      <c r="G44" s="262">
        <f>E44/F44</f>
        <v>6.0</v>
      </c>
      <c r="H44" s="271"/>
      <c r="I44" s="271"/>
      <c r="J44" s="271"/>
      <c r="K44" s="271"/>
      <c r="L44" s="271"/>
    </row>
    <row r="45">
      <c r="A45" s="268" t="inlineStr">
        <is>
          <t xml:space="preserve">ed04</t>
        </is>
      </c>
      <c r="B45" s="227">
        <v>46190.0</v>
      </c>
      <c r="C45" s="268">
        <v>10.0</v>
      </c>
      <c r="D45" s="268">
        <v>2.6</v>
      </c>
      <c r="E45" s="199">
        <f>D45-D44</f>
        <v>0.6</v>
      </c>
      <c r="F45" s="268">
        <v>0.1</v>
      </c>
      <c r="G45" s="262">
        <f>E45/F45</f>
        <v>6.0</v>
      </c>
      <c r="H45" s="271"/>
      <c r="I45" s="271"/>
      <c r="J45" s="271"/>
      <c r="K45" s="271"/>
      <c r="L45" s="271"/>
    </row>
    <row r="46">
      <c r="A46" s="268" t="inlineStr">
        <is>
          <t xml:space="preserve">ed04</t>
        </is>
      </c>
      <c r="B46" s="227">
        <v>46190.0</v>
      </c>
      <c r="C46" s="268">
        <v>10.0</v>
      </c>
      <c r="D46" s="268">
        <v>2.8</v>
      </c>
      <c r="E46" s="199">
        <f>D46-D45</f>
        <v>0.2</v>
      </c>
      <c r="F46" s="268">
        <v>0.1</v>
      </c>
      <c r="G46" s="262">
        <f>E46/F46</f>
        <v>2.0</v>
      </c>
      <c r="H46" s="271"/>
      <c r="I46" s="271"/>
      <c r="J46" s="271"/>
      <c r="K46" s="271"/>
      <c r="L46" s="268">
        <v>1.0</v>
      </c>
    </row>
  </sheetData>
  <conditionalFormatting sqref="G4:G2000">
    <cfRule type="expression" dxfId="48" priority="1" stopIfTrue="1">
      <formula>$L4=1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sheetPr/>
  <dimension ref="A1:N142"/>
  <sheetViews>
    <sheetView workbookViewId="0"/>
  </sheetViews>
  <sheetFormatPr defaultRowHeight="15"/>
  <cols>
    <col min="1" max="1" width="62" customWidth="1"/>
    <col min="2" max="2" width="22" customWidth="1"/>
    <col min="3" max="3" width="10" customWidth="1"/>
    <col min="4" max="4" width="20" customWidth="1"/>
    <col min="5" max="5" width="70" customWidth="1"/>
    <col min="6" max="6" width="14" customWidth="1"/>
  </cols>
  <sheetData>
    <row r="1">
      <c r="A1" s="263" t="inlineStr">
        <is>
          <t xml:space="preserve">CALIBRATIONS</t>
        </is>
      </c>
      <c r="B1" s="263"/>
      <c r="C1" s="263"/>
      <c r="D1" s="263"/>
      <c r="E1" s="263"/>
      <c r="F1" s="263"/>
      <c r="G1" s="263"/>
      <c r="H1" s="263"/>
      <c r="I1" s="263"/>
      <c r="J1" s="263"/>
      <c r="K1" s="263"/>
      <c r="L1" s="263"/>
      <c r="M1" s="263"/>
      <c r="N1" s="263"/>
    </row>
    <row r="2">
      <c r="A2" s="269" t="inlineStr">
        <is>
          <t xml:space="preserve">On each log sheet, type one row per run: Researcher, Date, the key (Reactor or Organism) and the raw measurements, in blue. Black cells are computed. Set Include? to y for the runs the model should use.</t>
        </is>
      </c>
    </row>
    <row r="3">
      <c r="A3" s="269" t="inlineStr">
        <is>
          <t xml:space="preserve">The value in use for each calibration follows the rule stated under its heading. If no rows are included yet, the model falls back to its built-in default.</t>
        </is>
      </c>
    </row>
    <row r="4">
      <c r="A4" s="269" t="inlineStr">
        <is>
          <t xml:space="preserve">Each calibration log is an Excel Table on its own sheet (grey tabs): click a heading below to open it. Type a run in the first empty row under a table and it is picked up; the values in use below follow.</t>
        </is>
      </c>
    </row>
    <row r="6">
      <c r="A6" s="228" t="str">
        <f>HYPERLINK("#'Cal current'!A1","ELECTROLYSIS CURRENT  →  log on the Cal current sheet")</f>
        <v>ELECTROLYSIS CURRENT  →  log on the Cal current sheet</v>
      </c>
      <c r="B6" s="278"/>
      <c r="C6" s="278"/>
      <c r="D6" s="278"/>
      <c r="E6" s="278"/>
      <c r="F6" s="278"/>
    </row>
    <row r="7">
      <c r="A7" s="269" t="inlineStr">
        <is>
          <t xml:space="preserve">Value in use: one least-squares fit of current against intensity over every included point for the active reactor (pooled, so a run with more points weighs more).</t>
        </is>
      </c>
    </row>
    <row r="8">
      <c r="A8" s="265" t="inlineStr">
        <is>
          <t xml:space="preserve">Value in use - slope</t>
        </is>
      </c>
      <c r="B8" s="266" t="inlineStr">
        <is>
          <t xml:space="preserve">cal_gerrit_slope</t>
        </is>
      </c>
      <c r="C8" s="265" t="inlineStr">
        <is>
          <t xml:space="preserve">mA/%</t>
        </is>
      </c>
      <c r="D8" s="201" t="str">
        <f>IFERROR((COUNTIFS(CalCurrent[Reactor],Reactor_sel,CalCurrent[Include?],"y")*SUMPRODUCT((CalCurrent[Reactor]=Reactor_sel)*(CalCurrent[Include?]="y")*CalCurrent[Intensity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(%)],CalCurrent[Reactor],Reactor_sel,CalCurrent[Include?],"y")),"no included runs — model uses its default")</f>
        <v>no included runs — model uses its default</v>
      </c>
    </row>
    <row r="9">
      <c r="A9" s="265" t="inlineStr">
        <is>
          <t xml:space="preserve">Value in use - intercept</t>
        </is>
      </c>
      <c r="B9" s="266" t="inlineStr">
        <is>
          <t xml:space="preserve">cal_gerrit_int</t>
        </is>
      </c>
      <c r="C9" s="265" t="inlineStr">
        <is>
          <t xml:space="preserve">mA</t>
        </is>
      </c>
      <c r="D9" s="201" t="str">
        <f>IFERROR((SUMIFS(CalCurrent[Current (mA)],CalCurrent[Reactor],Reactor_sel,CalCurrent[Include?],"y")-((COUNTIFS(CalCurrent[Reactor],Reactor_sel,CalCurrent[Include?],"y")*SUMPRODUCT((CalCurrent[Reactor]=Reactor_sel)*(CalCurrent[Include?]="y")*CalCurrent[Intensity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(%)],CalCurrent[Reactor],Reactor_sel,CalCurrent[Include?],"y")))*SUMIFS(CalCurrent[Intensity (%)],CalCurrent[Reactor],Reactor_sel,CalCurrent[Include?],"y"))/COUNTIFS(CalCurrent[Reactor],Reactor_sel,CalCurrent[Include?],"y"),"no included runs — model uses its default")</f>
        <v>no included runs — model uses its default</v>
      </c>
    </row>
    <row r="11">
      <c r="A11" s="228" t="str">
        <f>HYPERLINK("#'Cal faradaic'!A1","FARADAIC EFFICIENCY  →  log on the Cal faradaic sheet")</f>
        <v>FARADAIC EFFICIENCY  →  log on the Cal faradaic sheet</v>
      </c>
      <c r="B11" s="278"/>
      <c r="C11" s="278"/>
      <c r="D11" s="278"/>
      <c r="E11" s="278"/>
      <c r="F11" s="278"/>
    </row>
    <row r="12">
      <c r="A12"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13">
      <c r="A13" s="265" t="inlineStr">
        <is>
          <t xml:space="preserve">Value in use - cathode (H2)</t>
        </is>
      </c>
      <c r="B13" s="266" t="inlineStr">
        <is>
          <t xml:space="preserve">cal_etaF</t>
        </is>
      </c>
      <c r="C13" s="265" t="inlineStr">
        <is>
          <t xml:space="preserve">-</t>
        </is>
      </c>
      <c r="D13" s="201" t="str">
        <f>IFERROR(AVERAGEIFS(CalFaradaic[etaF (computed)],CalFaradaic[Reactor],Reactor_sel,CalFaradaic[Include?],"y",CalFaradaic[Gas (H2 or O2)],"H2"),"no included runs — model uses its default")</f>
        <v>no included runs — model uses its default</v>
      </c>
      <c r="E13" s="320"/>
      <c r="F13" s="320"/>
      <c r="G13" s="320"/>
      <c r="H13" s="320"/>
      <c r="I13" s="320"/>
      <c r="J13" s="320"/>
      <c r="K13" s="320"/>
      <c r="L13" s="320"/>
      <c r="M13" s="320"/>
    </row>
    <row r="14">
      <c r="A14" s="265" t="inlineStr">
        <is>
          <t xml:space="preserve">Value in use - anode (O2)</t>
        </is>
      </c>
      <c r="B14" s="266" t="inlineStr">
        <is>
          <t xml:space="preserve">cal_etaF_OER</t>
        </is>
      </c>
      <c r="C14" s="265" t="inlineStr">
        <is>
          <t xml:space="preserve">-</t>
        </is>
      </c>
      <c r="D14" s="201" t="str">
        <f>IFERROR(AVERAGEIFS(CalFaradaic[etaF (computed)],CalFaradaic[Reactor],Reactor_sel,CalFaradaic[Include?],"y",CalFaradaic[Gas (H2 or O2)],"O2"),"no included runs — model uses its default")</f>
        <v>no included runs — model uses its default</v>
      </c>
      <c r="E14" s="320"/>
      <c r="F14" s="320"/>
      <c r="G14" s="320"/>
      <c r="H14" s="320"/>
      <c r="I14" s="320"/>
      <c r="J14" s="320"/>
      <c r="K14" s="320"/>
      <c r="L14" s="320"/>
      <c r="M14" s="320"/>
    </row>
    <row r="16">
      <c r="A16" s="228" t="str">
        <f>HYPERLINK("#'Cal kLa'!A1","SURFACE kLa  →  log on the Cal kLa sheet")</f>
        <v>SURFACE kLa  →  log on the Cal kLa sheet</v>
      </c>
      <c r="B16" s="278"/>
      <c r="C16" s="278"/>
      <c r="D16" s="278"/>
      <c r="E16" s="278"/>
      <c r="F16" s="278"/>
    </row>
    <row r="17">
      <c r="A17" s="269" t="inlineStr">
        <is>
          <t xml:space="preserve">Value in use: average of the included kLa runs for the active reactor.</t>
        </is>
      </c>
      <c r="B17" s="320"/>
      <c r="C17" s="320"/>
      <c r="D17" s="320"/>
      <c r="E17" s="320"/>
      <c r="F17" s="320"/>
      <c r="G17" s="320"/>
      <c r="H17" s="320"/>
      <c r="I17" s="320"/>
      <c r="J17" s="320"/>
      <c r="K17" s="320"/>
      <c r="L17" s="320"/>
      <c r="M17" s="320"/>
    </row>
    <row r="18">
      <c r="A18" s="265" t="inlineStr">
        <is>
          <t xml:space="preserve">Value in use - kLa</t>
        </is>
      </c>
      <c r="B18" s="266" t="inlineStr">
        <is>
          <t xml:space="preserve">cal_kLa</t>
        </is>
      </c>
      <c r="C18" s="265" t="inlineStr">
        <is>
          <t xml:space="preserve">1/h</t>
        </is>
      </c>
      <c r="D18" s="201" t="str">
        <f>IFERROR(AVERAGEIFS(CalKLa[kLa (1/h)],CalKLa[Reactor],Reactor_sel,CalKLa[Include?],"y"),"no included runs — model uses its default")</f>
        <v>no included runs — model uses its default</v>
      </c>
      <c r="E18" s="320"/>
      <c r="F18" s="320"/>
      <c r="G18" s="320"/>
      <c r="H18" s="320"/>
      <c r="I18" s="320"/>
      <c r="J18" s="320"/>
      <c r="K18" s="320"/>
      <c r="L18" s="320"/>
      <c r="M18" s="320"/>
    </row>
    <row r="20">
      <c r="A20" s="228" t="str">
        <f>HYPERLINK("#'Cal CO2 flow'!A1","CO2 FLOW  →  log on the Cal CO2 flow sheet")</f>
        <v>CO2 FLOW  →  log on the Cal CO2 flow sheet</v>
      </c>
      <c r="B20" s="278"/>
      <c r="C20" s="278"/>
      <c r="D20" s="278"/>
      <c r="E20" s="278"/>
      <c r="F20" s="278"/>
    </row>
    <row r="21">
      <c r="A21"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c r="B21" s="320"/>
      <c r="C21" s="320"/>
      <c r="D21" s="320"/>
      <c r="E21" s="320"/>
      <c r="F21" s="320"/>
      <c r="G21" s="320"/>
      <c r="H21" s="320"/>
      <c r="I21" s="320"/>
      <c r="J21" s="320"/>
      <c r="K21" s="320"/>
      <c r="L21" s="320"/>
      <c r="M21" s="320"/>
    </row>
    <row r="22">
      <c r="A22" s="265" t="inlineStr">
        <is>
          <t xml:space="preserve">Value in use - flow rate</t>
        </is>
      </c>
      <c r="B22" s="266" t="inlineStr">
        <is>
          <t xml:space="preserve">cal_flow</t>
        </is>
      </c>
      <c r="C22" s="265" t="inlineStr">
        <is>
          <t xml:space="preserve">mL/s</t>
        </is>
      </c>
      <c r="D22" s="201" t="str">
        <f>IFERROR(AVERAGEIFS(CalFlow[Flow (computed, mL/s)],CalFlow[Reactor],Reactor_sel,CalFlow[Include?],"y",CalFlow[Date],SUMPRODUCT(MAX((CalFlow[Reactor]=Reactor_sel)*(CalFlow[Include?]="y")*CalFlow[Date]))),"no included runs — model uses its default")</f>
        <v>no included runs — model uses its default</v>
      </c>
      <c r="E22" s="320"/>
      <c r="F22" s="320"/>
      <c r="G22" s="320"/>
      <c r="H22" s="320"/>
      <c r="I22" s="320"/>
      <c r="J22" s="320"/>
      <c r="K22" s="320"/>
      <c r="L22" s="320"/>
      <c r="M22" s="320"/>
    </row>
    <row r="23">
      <c r="A23" s="265" t="inlineStr">
        <is>
          <t xml:space="preserve">Value in use - minimum reliable pulse</t>
        </is>
      </c>
      <c r="B23" s="266" t="inlineStr">
        <is>
          <t xml:space="preserve">cal_pulse_floor</t>
        </is>
      </c>
      <c r="C23" s="265" t="inlineStr">
        <is>
          <t xml:space="preserve">s</t>
        </is>
      </c>
      <c r="D23" s="201" t="str">
        <f>IFERROR(AVERAGEIFS(CalFlow[Min pulse (s)],CalFlow[Reactor],Reactor_sel,CalFlow[Include?],"y",CalFlow[Min pulse (s)],"&gt;0",CalFlow[Date],SUMPRODUCT(MAX((CalFlow[Reactor]=Reactor_sel)*(CalFlow[Include?]="y")*(CalFlow[Min pulse (s)]&gt;0)*CalFlow[Date]))),"no included runs — model uses its default")</f>
        <v>no included runs — model uses its default</v>
      </c>
      <c r="E23" s="320"/>
      <c r="F23" s="320"/>
      <c r="G23" s="320"/>
      <c r="H23" s="320"/>
      <c r="I23" s="320"/>
      <c r="J23" s="320"/>
      <c r="K23" s="320"/>
      <c r="L23" s="320"/>
      <c r="M23" s="320"/>
    </row>
    <row r="25">
      <c r="A25" s="228" t="str">
        <f>HYPERLINK("#'Cal vial'!A1","VIAL GEOMETRY  →  log on the Cal vial sheet")</f>
        <v>VIAL GEOMETRY  →  log on the Cal vial sheet</v>
      </c>
      <c r="B25" s="278"/>
      <c r="C25" s="278"/>
      <c r="D25" s="278"/>
      <c r="E25" s="278"/>
      <c r="F25" s="278"/>
    </row>
    <row r="26">
      <c r="A26"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26" s="320"/>
      <c r="C26" s="320"/>
      <c r="D26" s="320"/>
      <c r="E26" s="320"/>
      <c r="F26" s="320"/>
      <c r="G26" s="320"/>
      <c r="H26" s="320"/>
      <c r="I26" s="320"/>
      <c r="J26" s="320"/>
      <c r="K26" s="320"/>
      <c r="L26" s="320"/>
      <c r="M26" s="320"/>
    </row>
    <row r="27">
      <c r="A27" s="265" t="inlineStr">
        <is>
          <t xml:space="preserve">Value in use - total vial volume</t>
        </is>
      </c>
      <c r="B27" s="266" t="inlineStr">
        <is>
          <t xml:space="preserve">cal_Vtot</t>
        </is>
      </c>
      <c r="C27" s="265" t="inlineStr">
        <is>
          <t xml:space="preserve">mL</t>
        </is>
      </c>
      <c r="D27" s="201" t="str">
        <f>IFERROR(AVERAGEIFS(CalVial[V total (computed, mL)],CalVial[Type (auto)],rx_ver,CalVial[Include?],"y"),"no included runs — model uses its default")</f>
        <v>no included runs — model uses its default</v>
      </c>
      <c r="E27" s="320"/>
      <c r="F27" s="320"/>
      <c r="G27" s="320"/>
      <c r="H27" s="320"/>
      <c r="I27" s="320"/>
      <c r="J27" s="320"/>
      <c r="K27" s="320"/>
      <c r="L27" s="320"/>
      <c r="M27" s="320"/>
    </row>
    <row r="28">
      <c r="A28" s="265" t="inlineStr">
        <is>
          <t xml:space="preserve">Value in use - volume-equivalent depth (body volume ÷ A_x; not the physical depth)</t>
        </is>
      </c>
      <c r="B28" s="266" t="inlineStr">
        <is>
          <t xml:space="preserve">cal_Dint</t>
        </is>
      </c>
      <c r="C28" s="265" t="inlineStr">
        <is>
          <t xml:space="preserve">mm</t>
        </is>
      </c>
      <c r="D28" s="201" t="str">
        <f>IFERROR(AVERAGEIFS(CalVial[Volume-equivalent depth (computed, mm)],CalVial[Type (auto)],rx_ver,CalVial[Include?],"y"),"no included runs — model uses its default")</f>
        <v>no included runs — model uses its default</v>
      </c>
      <c r="E28" s="320"/>
      <c r="F28" s="320"/>
      <c r="G28" s="320"/>
      <c r="H28" s="320"/>
      <c r="I28" s="320"/>
      <c r="J28" s="320"/>
      <c r="K28" s="320"/>
      <c r="L28" s="320"/>
      <c r="M28" s="320"/>
    </row>
    <row r="29">
      <c r="A29" s="265" t="inlineStr">
        <is>
          <t xml:space="preserve">Value in use - headspace at working fill</t>
        </is>
      </c>
      <c r="B29" s="266" t="inlineStr">
        <is>
          <t xml:space="preserve">cal_hs</t>
        </is>
      </c>
      <c r="C29" s="265" t="inlineStr">
        <is>
          <t xml:space="preserve">mL</t>
        </is>
      </c>
      <c r="D29" s="201" t="str">
        <f>IFERROR(AVERAGEIFS(CalVial[Headspace (computed, mL)],CalVial[Type (auto)],rx_ver,CalVial[Include?],"y"),"no included runs — model uses its default")</f>
        <v>no included runs — model uses its default</v>
      </c>
      <c r="E29" s="320"/>
      <c r="F29" s="320"/>
      <c r="G29" s="320"/>
      <c r="H29" s="320"/>
      <c r="I29" s="320"/>
      <c r="J29" s="320"/>
      <c r="K29" s="320"/>
      <c r="L29" s="320"/>
      <c r="M29" s="320"/>
    </row>
    <row r="30">
      <c r="A30" s="265" t="inlineStr">
        <is>
          <t xml:space="preserve">Value in use - working fill behind that headspace</t>
        </is>
      </c>
      <c r="B30" s="266" t="inlineStr">
        <is>
          <t xml:space="preserve">cal_hs_fill</t>
        </is>
      </c>
      <c r="C30" s="265" t="inlineStr">
        <is>
          <t xml:space="preserve">mL</t>
        </is>
      </c>
      <c r="D30" s="201" t="str">
        <f>IFERROR(AVERAGEIFS(CalVial[Working fill (computed, mL)],CalVial[Type (auto)],rx_ver,CalVial[Include?],"y"),"no included runs — model uses its default")</f>
        <v>no included runs — model uses its default</v>
      </c>
      <c r="E30" s="320"/>
      <c r="F30" s="320"/>
      <c r="G30" s="320"/>
      <c r="H30" s="320"/>
      <c r="I30" s="320"/>
      <c r="J30" s="320"/>
      <c r="K30" s="320"/>
      <c r="L30" s="320"/>
      <c r="M30" s="320"/>
    </row>
    <row r="32">
      <c r="A32" s="228" t="str">
        <f>HYPERLINK("#'Cal sinter'!A1","SINTER POROSITY  →  log on the Cal sinter sheet")</f>
        <v>SINTER POROSITY  →  log on the Cal sinter sheet</v>
      </c>
      <c r="B32" s="278"/>
      <c r="C32" s="278"/>
      <c r="D32" s="278"/>
      <c r="E32" s="278"/>
      <c r="F32" s="278"/>
    </row>
    <row r="33">
      <c r="A3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33" s="320"/>
      <c r="C33" s="320"/>
      <c r="D33" s="320"/>
      <c r="E33" s="320"/>
      <c r="F33" s="335"/>
      <c r="G33" s="320"/>
      <c r="H33" s="320"/>
      <c r="I33" s="320"/>
      <c r="J33" s="320"/>
      <c r="K33" s="320"/>
      <c r="L33" s="320"/>
      <c r="M33" s="320"/>
    </row>
    <row r="34">
      <c r="A34" s="265" t="inlineStr">
        <is>
          <t xml:space="preserve">Value in use - porosity grade</t>
        </is>
      </c>
      <c r="B34" s="266" t="inlineStr">
        <is>
          <t xml:space="preserve">cal_sinter</t>
        </is>
      </c>
      <c r="C34" s="265" t="inlineStr">
        <is>
          <t xml:space="preserve">0-5</t>
        </is>
      </c>
      <c r="D34"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34" s="320"/>
      <c r="F34" s="320"/>
      <c r="G34" s="320"/>
      <c r="H34" s="320"/>
      <c r="I34" s="320"/>
      <c r="J34" s="320"/>
      <c r="K34" s="320"/>
      <c r="L34" s="320"/>
      <c r="M34" s="320"/>
    </row>
    <row r="35">
      <c r="A35" s="265" t="inlineStr">
        <is>
          <t xml:space="preserve">Value in use - bubble point (mean of the latest included runs)</t>
        </is>
      </c>
      <c r="B35" s="266" t="inlineStr">
        <is>
          <t xml:space="preserve">cal_bp</t>
        </is>
      </c>
      <c r="C35" s="265" t="inlineStr">
        <is>
          <t xml:space="preserve">kPa</t>
        </is>
      </c>
      <c r="D35" s="201" t="str">
        <f>IFERROR(AVERAGEIFS(CalSinter[Bubble point (kPa)],CalSinter[Reactor],Reactor_sel,CalSinter[Include?],"y",CalSinter[Date],SUMPRODUCT(MAX((CalSinter[Reactor]=Reactor_sel)*(CalSinter[Include?]="y")*CalSinter[Date]))),"no included runs — model uses its default")</f>
        <v>no included runs — model uses its default</v>
      </c>
      <c r="E35" s="320"/>
      <c r="F35" s="320"/>
      <c r="G35" s="320"/>
      <c r="H35" s="320"/>
      <c r="I35" s="320"/>
      <c r="J35" s="320"/>
      <c r="K35" s="320"/>
      <c r="L35" s="320"/>
      <c r="M35" s="320"/>
    </row>
    <row r="37">
      <c r="A37" s="228" t="str">
        <f>HYPERLINK("#'Cal DO'!A1","DISSOLVED-OXYGEN THRESHOLDS  →  log on the Cal DO sheet")</f>
        <v>DISSOLVED-OXYGEN THRESHOLDS  →  log on the Cal DO sheet</v>
      </c>
      <c r="B37" s="278"/>
      <c r="C37" s="278"/>
      <c r="D37" s="278"/>
      <c r="E37" s="278"/>
      <c r="F37" s="278"/>
    </row>
    <row r="38">
      <c r="A38" s="269" t="inlineStr">
        <is>
          <t xml:space="preserve">Value in use: average of the included values for the active organism.</t>
        </is>
      </c>
      <c r="B38" s="320"/>
      <c r="C38" s="320"/>
      <c r="D38" s="320"/>
      <c r="E38" s="320"/>
      <c r="F38" s="320"/>
      <c r="G38" s="320"/>
      <c r="H38" s="320"/>
      <c r="I38" s="320"/>
      <c r="J38" s="320"/>
      <c r="K38" s="320"/>
      <c r="L38" s="320"/>
      <c r="M38" s="320"/>
    </row>
    <row r="39">
      <c r="A39" s="265" t="inlineStr">
        <is>
          <t xml:space="preserve">Value in use - minimum DO</t>
        </is>
      </c>
      <c r="B39" s="266" t="inlineStr">
        <is>
          <t xml:space="preserve">cal_DO_min</t>
        </is>
      </c>
      <c r="C39" s="265" t="inlineStr">
        <is>
          <t xml:space="preserve">mg/L</t>
        </is>
      </c>
      <c r="D39" s="201" t="str">
        <f>IFERROR(AVERAGEIFS(CalDO[Min DO (mg/L)],CalDO[Organism],organism_sel,CalDO[Include?],"y"),"no included runs — model uses its default")</f>
        <v>no included runs — model uses its default</v>
      </c>
      <c r="E39" s="320"/>
      <c r="F39" s="320"/>
      <c r="G39" s="320"/>
      <c r="H39" s="320"/>
      <c r="I39" s="320"/>
      <c r="J39" s="320"/>
      <c r="K39" s="320"/>
      <c r="L39" s="320"/>
      <c r="M39" s="320"/>
    </row>
    <row r="40">
      <c r="A40" s="265" t="inlineStr">
        <is>
          <t xml:space="preserve">Value in use - optimum DO</t>
        </is>
      </c>
      <c r="B40" s="266" t="inlineStr">
        <is>
          <t xml:space="preserve">cal_DO_opt</t>
        </is>
      </c>
      <c r="C40" s="265" t="inlineStr">
        <is>
          <t xml:space="preserve">mg/L</t>
        </is>
      </c>
      <c r="D40" s="201" t="str">
        <f>IFERROR(AVERAGEIFS(CalDO[Optimum DO (mg/L)],CalDO[Organism],organism_sel,CalDO[Include?],"y"),"no included runs — model uses its default")</f>
        <v>no included runs — model uses its default</v>
      </c>
      <c r="E40" s="320"/>
      <c r="F40" s="320"/>
      <c r="G40" s="320"/>
      <c r="H40" s="320"/>
      <c r="I40" s="320"/>
      <c r="J40" s="320"/>
      <c r="K40" s="320"/>
      <c r="L40" s="320"/>
      <c r="M40" s="320"/>
    </row>
    <row r="41">
      <c r="A41" s="265" t="inlineStr">
        <is>
          <t xml:space="preserve">Value in use - impairment DO</t>
        </is>
      </c>
      <c r="B41" s="266" t="inlineStr">
        <is>
          <t xml:space="preserve">cal_DO_impair</t>
        </is>
      </c>
      <c r="C41" s="265" t="inlineStr">
        <is>
          <t xml:space="preserve">mg/L</t>
        </is>
      </c>
      <c r="D41" s="201" t="str">
        <f>IFERROR(AVERAGEIFS(CalDO[Impairment DO (mg/L)],CalDO[Organism],organism_sel,CalDO[Include?],"y"),"no included runs — model uses its default")</f>
        <v>no included runs — model uses its default</v>
      </c>
      <c r="E41" s="320"/>
      <c r="F41" s="320"/>
      <c r="G41" s="320"/>
      <c r="H41" s="320"/>
      <c r="I41" s="320"/>
      <c r="J41" s="320"/>
      <c r="K41" s="320"/>
      <c r="L41" s="320"/>
      <c r="M41" s="320"/>
    </row>
    <row r="42">
      <c r="A42" s="265" t="inlineStr">
        <is>
          <t xml:space="preserve">Value in use - toxic DO</t>
        </is>
      </c>
      <c r="B42" s="266" t="inlineStr">
        <is>
          <t xml:space="preserve">cal_DO_toxic</t>
        </is>
      </c>
      <c r="C42" s="265" t="inlineStr">
        <is>
          <t xml:space="preserve">mg/L</t>
        </is>
      </c>
      <c r="D42" s="201" t="str">
        <f>IFERROR(AVERAGEIFS(CalDO[Toxic DO (mg/L)],CalDO[Organism],organism_sel,CalDO[Include?],"y"),"no included runs — model uses its default")</f>
        <v>no included runs — model uses its default</v>
      </c>
      <c r="E42" s="320"/>
      <c r="F42" s="320"/>
      <c r="G42" s="320"/>
      <c r="H42" s="320"/>
      <c r="I42" s="320"/>
      <c r="J42" s="320"/>
      <c r="K42" s="320"/>
      <c r="L42" s="320"/>
      <c r="M42" s="320"/>
    </row>
    <row r="44">
      <c r="A44" s="228" t="str">
        <f>HYPERLINK("#'Cal knallgas'!A1","KNALLGAS UPTAKE RATIO  →  log on the Cal knallgas sheet")</f>
        <v>KNALLGAS UPTAKE RATIO  →  log on the Cal knallgas sheet</v>
      </c>
      <c r="B44" s="278"/>
      <c r="C44" s="278"/>
      <c r="D44" s="278"/>
      <c r="E44" s="278"/>
      <c r="F44" s="278"/>
    </row>
    <row r="45">
      <c r="A45"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45" s="320"/>
      <c r="C45" s="320"/>
      <c r="D45" s="320"/>
      <c r="E45" s="320"/>
      <c r="F45" s="320"/>
      <c r="G45" s="320"/>
      <c r="H45" s="320"/>
      <c r="I45" s="320"/>
      <c r="J45" s="320"/>
      <c r="K45" s="320"/>
      <c r="L45" s="320"/>
      <c r="M45" s="320"/>
    </row>
    <row r="46">
      <c r="A46" s="265" t="inlineStr">
        <is>
          <t xml:space="preserve">Value in use - H2</t>
        </is>
      </c>
      <c r="B46" s="266" t="inlineStr">
        <is>
          <t xml:space="preserve">cal_knall_H2</t>
        </is>
      </c>
      <c r="C46" s="265" t="inlineStr">
        <is>
          <t xml:space="preserve">parts</t>
        </is>
      </c>
      <c r="D46" s="201" t="str">
        <f>IF(AND(ISNUMBER(cal_knall_O2),ISNUMBER(cal_knall_CO2)),knall_H2_basis,"no included runs — model uses its default")</f>
        <v>no included runs — model uses its default</v>
      </c>
      <c r="E46" s="320"/>
      <c r="F46" s="320"/>
      <c r="G46" s="320"/>
      <c r="H46" s="320"/>
      <c r="I46" s="320"/>
      <c r="J46" s="320"/>
      <c r="K46" s="320"/>
      <c r="L46" s="320"/>
      <c r="M46" s="320"/>
    </row>
    <row r="47">
      <c r="A47" s="265" t="inlineStr">
        <is>
          <t xml:space="preserve">Value in use - O2</t>
        </is>
      </c>
      <c r="B47" s="266" t="inlineStr">
        <is>
          <t xml:space="preserve">cal_knall_O2</t>
        </is>
      </c>
      <c r="C47" s="265" t="inlineStr">
        <is>
          <t xml:space="preserve">parts</t>
        </is>
      </c>
      <c r="D47" s="201" t="str">
        <f>IFERROR(knall_H2_basis*AVERAGEIFS(CalKnallgas[O₂ per H₂ (computed)],CalKnallgas[Organism],organism_sel,CalKnallgas[Include?],"y"),"no included runs — model uses its default")</f>
        <v>no included runs — model uses its default</v>
      </c>
      <c r="E47" s="320"/>
      <c r="F47" s="320"/>
      <c r="G47" s="320"/>
      <c r="H47" s="320"/>
      <c r="I47" s="320"/>
      <c r="J47" s="320"/>
      <c r="K47" s="320"/>
      <c r="L47" s="320"/>
      <c r="M47" s="320"/>
    </row>
    <row r="48">
      <c r="A48" s="265" t="inlineStr">
        <is>
          <t xml:space="preserve">Value in use - CO2</t>
        </is>
      </c>
      <c r="B48" s="266" t="inlineStr">
        <is>
          <t xml:space="preserve">cal_knall_CO2</t>
        </is>
      </c>
      <c r="C48" s="265" t="inlineStr">
        <is>
          <t xml:space="preserve">parts</t>
        </is>
      </c>
      <c r="D48" s="201" t="str">
        <f>IFERROR(knall_H2_basis*AVERAGEIFS(CalKnallgas[CO₂ per H₂ (computed)],CalKnallgas[Organism],organism_sel,CalKnallgas[Include?],"y"),"no included runs — model uses its default")</f>
        <v>no included runs — model uses its default</v>
      </c>
      <c r="E48" s="320"/>
      <c r="F48" s="320"/>
      <c r="G48" s="320"/>
      <c r="H48" s="320"/>
      <c r="I48" s="320"/>
      <c r="J48" s="320"/>
      <c r="K48" s="320"/>
      <c r="L48" s="320"/>
      <c r="M48" s="320"/>
    </row>
    <row r="50">
      <c r="A50" s="228" t="str">
        <f>HYPERLINK("#'Cal j screen'!A1","CURRENT-DENSITY TOLERANCE  →  log on the Cal j screen sheet")</f>
        <v>CURRENT-DENSITY TOLERANCE  →  log on the Cal j screen sheet</v>
      </c>
      <c r="B50" s="278"/>
      <c r="C50" s="278"/>
      <c r="D50" s="278"/>
      <c r="E50" s="278"/>
      <c r="F50" s="278"/>
    </row>
    <row r="51">
      <c r="A51" s="269" t="inlineStr">
        <is>
          <t xml:space="preserve">Value in use: average of the included screen results for the active organism.</t>
        </is>
      </c>
      <c r="B51" s="320"/>
      <c r="C51" s="320"/>
      <c r="D51" s="320"/>
      <c r="E51" s="320"/>
      <c r="F51" s="320"/>
      <c r="G51" s="320"/>
      <c r="H51" s="320"/>
      <c r="I51" s="320"/>
      <c r="J51" s="320"/>
      <c r="K51" s="320"/>
      <c r="L51" s="320"/>
      <c r="M51" s="320"/>
    </row>
    <row r="52">
      <c r="A52" s="265" t="inlineStr">
        <is>
          <t xml:space="preserve">Value in use - optimum j</t>
        </is>
      </c>
      <c r="B52" s="266" t="inlineStr">
        <is>
          <t xml:space="preserve">cal_j_opt</t>
        </is>
      </c>
      <c r="C52" s="265" t="inlineStr">
        <is>
          <t xml:space="preserve">mA/cm²</t>
        </is>
      </c>
      <c r="D52" s="201" t="str">
        <f>IFERROR(AVERAGEIFS(CalJScreen[j optimum (mA/cm²)],CalJScreen[Organism],organism_sel,CalJScreen[Include?],"y"),"no included runs — model uses its default")</f>
        <v>no included runs — model uses its default</v>
      </c>
      <c r="E52" s="320"/>
      <c r="F52" s="320"/>
      <c r="G52" s="320"/>
      <c r="H52" s="320"/>
      <c r="I52" s="320"/>
      <c r="J52" s="320"/>
      <c r="K52" s="320"/>
      <c r="L52" s="320"/>
      <c r="M52" s="320"/>
    </row>
    <row r="53">
      <c r="A53" s="265" t="inlineStr">
        <is>
          <t xml:space="preserve">Value in use - ceiling j</t>
        </is>
      </c>
      <c r="B53" s="266" t="inlineStr">
        <is>
          <t xml:space="preserve">cal_j_ceiling</t>
        </is>
      </c>
      <c r="C53" s="265" t="inlineStr">
        <is>
          <t xml:space="preserve">mA/cm²</t>
        </is>
      </c>
      <c r="D53" s="201" t="str">
        <f>IFERROR(AVERAGEIFS(CalJScreen[j ceiling (mA/cm²)],CalJScreen[Organism],organism_sel,CalJScreen[Include?],"y"),"no included runs — model uses its default")</f>
        <v>no included runs — model uses its default</v>
      </c>
      <c r="E53" s="320"/>
      <c r="F53" s="320"/>
      <c r="G53" s="320"/>
      <c r="H53" s="320"/>
      <c r="I53" s="320"/>
      <c r="J53" s="320"/>
      <c r="K53" s="320"/>
      <c r="L53" s="320"/>
      <c r="M53" s="320"/>
    </row>
    <row r="55">
      <c r="A55" s="228" t="str">
        <f>HYPERLINK("#'Cal km'!A1","ELECTRODE MASS TRANSFER  →  log on the Cal km sheet")</f>
        <v>ELECTRODE MASS TRANSFER  →  log on the Cal km sheet</v>
      </c>
      <c r="B55" s="278"/>
      <c r="C55" s="278"/>
      <c r="D55" s="278"/>
      <c r="E55" s="278"/>
      <c r="F55" s="278"/>
    </row>
    <row r="56">
      <c r="A56"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57">
      <c r="A57" s="265" t="inlineStr">
        <is>
          <t xml:space="preserve">Value in use - k_m O₂</t>
        </is>
      </c>
      <c r="B57" s="266" t="inlineStr">
        <is>
          <t xml:space="preserve">cal_km_O2</t>
        </is>
      </c>
      <c r="C57" s="265" t="inlineStr">
        <is>
          <t xml:space="preserve">cm/s</t>
        </is>
      </c>
      <c r="D57" s="201" t="str">
        <f>IFERROR(AVERAGEIFS(CalKm[k_m O₂ (computed, cm/s)],CalKm[Reactor],Reactor_sel,CalKm[Electrode],electrode_sel,CalKm[Include?],"y",CalKm[Stir rate (rpm)],stir_rpm_set,CalKm[Temp (°C)],"&gt;="&amp;(temp_C-km_T_tol),CalKm[Temp (°C)],"&lt;="&amp;(temp_C+km_T_tol)),"no included runs — model uses its default")</f>
        <v>no included runs — model uses its default</v>
      </c>
    </row>
    <row r="59">
      <c r="A59" s="228" t="str">
        <f>HYPERLINK("#'Cal chloramine'!A1","MONOCHLORAMINE LIFETIME  →  log on the Cal chloramine sheet")</f>
        <v>MONOCHLORAMINE LIFETIME  →  log on the Cal chloramine sheet</v>
      </c>
      <c r="B59" s="278"/>
      <c r="C59" s="278"/>
      <c r="D59" s="278"/>
      <c r="E59" s="278"/>
      <c r="F59" s="278"/>
    </row>
    <row r="60">
      <c r="A60"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61">
      <c r="A61" s="265" t="inlineStr">
        <is>
          <t xml:space="preserve">Value in use - monochloramine lifetime</t>
        </is>
      </c>
      <c r="B61" s="266" t="inlineStr">
        <is>
          <t xml:space="preserve">cal_tau_NH2Cl</t>
        </is>
      </c>
      <c r="C61" s="265" t="inlineStr">
        <is>
          <t xml:space="preserve">h</t>
        </is>
      </c>
      <c r="D61" s="201" t="str">
        <f>IFERROR(AVERAGEIFS(CalChloramine[Lifetime (computed, h)],CalChloramine[Reactor],Reactor_sel,CalChloramine[Medium],media_sel,CalChloramine[Include?],"y"),"no included runs — model uses its default")</f>
        <v>no included runs — model uses its default</v>
      </c>
    </row>
    <row r="63">
      <c r="A63" s="278" t="inlineStr">
        <is>
          <t xml:space="preserve">NAMED CONSTANTS AND IMPORTS</t>
        </is>
      </c>
      <c r="B63" s="278"/>
      <c r="C63" s="278"/>
      <c r="D63" s="278"/>
      <c r="E63" s="278"/>
      <c r="F63" s="278"/>
      <c r="G63" s="278"/>
      <c r="H63" s="278"/>
      <c r="I63" s="278"/>
      <c r="J63" s="278"/>
      <c r="K63" s="278"/>
      <c r="L63" s="278"/>
      <c r="M63" s="278"/>
      <c r="N63" s="278"/>
    </row>
    <row r="64">
      <c r="A64" s="265" t="inlineStr">
        <is>
          <t xml:space="preserve">Bubble-point constant (water)</t>
        </is>
      </c>
      <c r="B64" s="266" t="inlineStr">
        <is>
          <t xml:space="preserve">bp_const</t>
        </is>
      </c>
      <c r="C64" s="265" t="inlineStr">
        <is>
          <t xml:space="preserve">µm·kPa</t>
        </is>
      </c>
      <c r="D64" s="268">
        <v>291.2</v>
      </c>
      <c r="E64" s="310" t="inlineStr">
        <is>
          <t xml:space="preserve">Bubble-point law d = 4σ/ΔP for water (σ = 72.8 mN/m, θ = 0): d in µm with ΔP in kPa.</t>
        </is>
      </c>
    </row>
    <row r="65">
      <c r="A65" s="265" t="inlineStr">
        <is>
          <t xml:space="preserve">Sinter grade boundary P0/P1</t>
        </is>
      </c>
      <c r="B65" s="266" t="inlineStr">
        <is>
          <t xml:space="preserve">por_break_1</t>
        </is>
      </c>
      <c r="C65" s="265" t="inlineStr">
        <is>
          <t xml:space="preserve">µm</t>
        </is>
      </c>
      <c r="D65" s="268">
        <v>160.0</v>
      </c>
      <c r="E65" s="310" t="inlineStr">
        <is>
          <t xml:space="preserve">ISO 4793 / DURAN pore-size grade boundary between P0 and P1 (Mass Transfer E33:E38).</t>
        </is>
      </c>
    </row>
    <row r="66">
      <c r="A66" s="265" t="inlineStr">
        <is>
          <t xml:space="preserve">Sinter grade boundary P1/P2</t>
        </is>
      </c>
      <c r="B66" s="266" t="inlineStr">
        <is>
          <t xml:space="preserve">por_break_2</t>
        </is>
      </c>
      <c r="C66" s="265" t="inlineStr">
        <is>
          <t xml:space="preserve">µm</t>
        </is>
      </c>
      <c r="D66" s="268">
        <v>100.0</v>
      </c>
      <c r="E66" s="310" t="inlineStr">
        <is>
          <t xml:space="preserve">ISO 4793 / DURAN pore-size grade boundary between P1 and P2 (Mass Transfer E33:E38).</t>
        </is>
      </c>
    </row>
    <row r="67">
      <c r="A67" s="265" t="inlineStr">
        <is>
          <t xml:space="preserve">Sinter grade boundary P2/P3</t>
        </is>
      </c>
      <c r="B67" s="266" t="inlineStr">
        <is>
          <t xml:space="preserve">por_break_3</t>
        </is>
      </c>
      <c r="C67" s="265" t="inlineStr">
        <is>
          <t xml:space="preserve">µm</t>
        </is>
      </c>
      <c r="D67" s="268">
        <v>40.0</v>
      </c>
      <c r="E67" s="310" t="inlineStr">
        <is>
          <t xml:space="preserve">ISO 4793 / DURAN pore-size grade boundary between P2 and P3 (Mass Transfer E33:E38).</t>
        </is>
      </c>
    </row>
    <row r="68">
      <c r="A68" s="265" t="inlineStr">
        <is>
          <t xml:space="preserve">Sinter grade boundary P3/P4</t>
        </is>
      </c>
      <c r="B68" s="266" t="inlineStr">
        <is>
          <t xml:space="preserve">por_break_4</t>
        </is>
      </c>
      <c r="C68" s="265" t="inlineStr">
        <is>
          <t xml:space="preserve">µm</t>
        </is>
      </c>
      <c r="D68" s="268">
        <v>16.0</v>
      </c>
      <c r="E68" s="310" t="inlineStr">
        <is>
          <t xml:space="preserve">ISO 4793 / DURAN pore-size grade boundary between P3 and P4 (Mass Transfer E33:E38).</t>
        </is>
      </c>
    </row>
    <row r="69">
      <c r="A69" s="265" t="inlineStr">
        <is>
          <t xml:space="preserve">Sinter grade boundary P4/P5</t>
        </is>
      </c>
      <c r="B69" s="266" t="inlineStr">
        <is>
          <t xml:space="preserve">por_break_5</t>
        </is>
      </c>
      <c r="C69" s="265" t="inlineStr">
        <is>
          <t xml:space="preserve">µm</t>
        </is>
      </c>
      <c r="D69" s="268">
        <v>10.0</v>
      </c>
      <c r="E69" s="310" t="inlineStr">
        <is>
          <t xml:space="preserve">ISO 4793 / DURAN pore-size grade boundary between P4 and P5 (Mass Transfer E33:E38).</t>
        </is>
      </c>
    </row>
    <row r="70">
      <c r="A70" s="265" t="inlineStr">
        <is>
          <t xml:space="preserve">(import) Electrons per H₂</t>
        </is>
      </c>
      <c r="B70" s="266" t="inlineStr">
        <is>
          <t xml:space="preserve">z_e_H2</t>
        </is>
      </c>
      <c r="C70" s="265" t="inlineStr">
        <is>
          <t xml:space="preserve">-</t>
        </is>
      </c>
      <c r="D70" s="277">
        <f>Electrochemistry!z_e_H2</f>
        <v>2.0</v>
      </c>
      <c r="E70" s="310" t="inlineStr">
        <is>
          <t xml:space="preserve">Import from Electrochemistry!D16</t>
        </is>
      </c>
    </row>
    <row r="71">
      <c r="A71" s="265" t="inlineStr">
        <is>
          <t xml:space="preserve">(import) Electrons per O₂</t>
        </is>
      </c>
      <c r="B71" s="266" t="inlineStr">
        <is>
          <t xml:space="preserve">z_e_O2</t>
        </is>
      </c>
      <c r="C71" s="265" t="inlineStr">
        <is>
          <t xml:space="preserve">-</t>
        </is>
      </c>
      <c r="D71" s="277">
        <f>Electrochemistry!z_e_O2</f>
        <v>4.0</v>
      </c>
      <c r="E71" s="310" t="inlineStr">
        <is>
          <t xml:space="preserve">Import from Electrochemistry!D17</t>
        </is>
      </c>
    </row>
    <row r="72">
      <c r="A72" s="265" t="inlineStr">
        <is>
          <t xml:space="preserve">(import) Celsius-to-kelvin offset</t>
        </is>
      </c>
      <c r="B72" s="266" t="inlineStr">
        <is>
          <t xml:space="preserve">T_zero_C</t>
        </is>
      </c>
      <c r="C72" s="265" t="inlineStr">
        <is>
          <t xml:space="preserve">K</t>
        </is>
      </c>
      <c r="D72" s="196">
        <f>Biology!T_zero_C</f>
        <v>273.15</v>
      </c>
      <c r="E72" s="310" t="inlineStr">
        <is>
          <t xml:space="preserve">Import from Biology!D66</t>
        </is>
      </c>
    </row>
    <row r="73">
      <c r="A73" s="265" t="inlineStr">
        <is>
          <t xml:space="preserve">(import) Magnus coefficient A</t>
        </is>
      </c>
      <c r="B73" s="266" t="inlineStr">
        <is>
          <t xml:space="preserve">pw_A</t>
        </is>
      </c>
      <c r="C73" s="265" t="inlineStr">
        <is>
          <t xml:space="preserve">Pa</t>
        </is>
      </c>
      <c r="D73" s="196">
        <f>'Mass Transfer'!pw_A</f>
        <v>610.94</v>
      </c>
      <c r="E73" s="310" t="inlineStr">
        <is>
          <t xml:space="preserve">Import from Mass Transfer!D203 (pw_A; Magnus–Tetens, T in °C)</t>
        </is>
      </c>
    </row>
    <row r="74">
      <c r="A74" s="265" t="inlineStr">
        <is>
          <t xml:space="preserve">(import) Magnus coefficient B</t>
        </is>
      </c>
      <c r="B74" s="266" t="inlineStr">
        <is>
          <t xml:space="preserve">pw_B</t>
        </is>
      </c>
      <c r="C74" s="265" t="inlineStr">
        <is>
          <t xml:space="preserve">-</t>
        </is>
      </c>
      <c r="D74" s="212">
        <f>'Mass Transfer'!pw_B</f>
        <v>17.625</v>
      </c>
      <c r="E74" s="310" t="inlineStr">
        <is>
          <t xml:space="preserve">Import from Mass Transfer!D204 (pw_B; Magnus–Tetens, T in °C)</t>
        </is>
      </c>
    </row>
    <row r="75">
      <c r="A75" s="265" t="inlineStr">
        <is>
          <t xml:space="preserve">(import) Magnus coefficient C</t>
        </is>
      </c>
      <c r="B75" s="266" t="inlineStr">
        <is>
          <t xml:space="preserve">pw_C</t>
        </is>
      </c>
      <c r="C75" s="265" t="inlineStr">
        <is>
          <t xml:space="preserve">°C</t>
        </is>
      </c>
      <c r="D75" s="196">
        <f>'Mass Transfer'!pw_C</f>
        <v>243.04</v>
      </c>
      <c r="E75" s="310" t="inlineStr">
        <is>
          <t xml:space="preserve">Import from Mass Transfer!D205 (pw_C; Magnus–Tetens, T in °C)</t>
        </is>
      </c>
    </row>
    <row r="79">
      <c r="A79" s="265" t="inlineStr">
        <is>
          <t xml:space="preserve">(import) Liquid density intercept</t>
        </is>
      </c>
      <c r="B79" s="266" t="inlineStr">
        <is>
          <t xml:space="preserve">ca_rho_0</t>
        </is>
      </c>
      <c r="C79" s="265" t="inlineStr">
        <is>
          <t xml:space="preserve">kg/m³</t>
        </is>
      </c>
      <c r="D79" s="222">
        <f>'Mass Transfer'!rho_0</f>
        <v>1003.33</v>
      </c>
      <c r="E79" s="310" t="inlineStr">
        <is>
          <t xml:space="preserve">Import from Mass Transfer!D169 (rho_0; density law ρ = ρ₀ + k·T[°C])</t>
        </is>
      </c>
    </row>
    <row r="80">
      <c r="A80" s="265" t="inlineStr">
        <is>
          <t xml:space="preserve">(import) Liquid density slope</t>
        </is>
      </c>
      <c r="B80" s="266" t="inlineStr">
        <is>
          <t xml:space="preserve">ca_rho_k</t>
        </is>
      </c>
      <c r="C80" s="265" t="inlineStr">
        <is>
          <t xml:space="preserve">kg/m³/K</t>
        </is>
      </c>
      <c r="D80" s="199">
        <f>'Mass Transfer'!rho_k</f>
        <v>-0.2556</v>
      </c>
      <c r="E80" s="310" t="inlineStr">
        <is>
          <t xml:space="preserve">Import from Mass Transfer!D170 (rho_k)</t>
        </is>
      </c>
    </row>
    <row r="81">
      <c r="A81" s="265" t="inlineStr">
        <is>
          <t xml:space="preserve">(import) Reactor selected on Summary</t>
        </is>
      </c>
      <c r="B81" s="266" t="inlineStr">
        <is>
          <t xml:space="preserve">Reactor_sel</t>
        </is>
      </c>
      <c r="C81" s="265" t="inlineStr">
        <is>
          <t xml:space="preserve">-</t>
        </is>
      </c>
      <c r="D81" s="277" t="str">
        <f>Summary!Reactor_sel</f>
        <v>ed04</v>
      </c>
      <c r="E81" s="310" t="inlineStr">
        <is>
          <t xml:space="preserve">Import from Summary!D2 (Reactor_sel)</t>
        </is>
      </c>
    </row>
    <row r="82">
      <c r="A82" s="265" t="inlineStr">
        <is>
          <t xml:space="preserve">(import) Organism selected on Summary</t>
        </is>
      </c>
      <c r="B82" s="266" t="inlineStr">
        <is>
          <t xml:space="preserve">organism_sel</t>
        </is>
      </c>
      <c r="C82" s="265" t="inlineStr">
        <is>
          <t xml:space="preserve">-</t>
        </is>
      </c>
      <c r="D82" s="277" t="str">
        <f>Summary!organism_sel</f>
        <v>Xanthobacter tagetidis</v>
      </c>
      <c r="E82" s="310" t="inlineStr">
        <is>
          <t xml:space="preserve">Import from Summary!D4 (organism_sel)</t>
        </is>
      </c>
    </row>
    <row r="83">
      <c r="A83" s="265" t="inlineStr">
        <is>
          <t xml:space="preserve">(import) Reactor type (resolved from reactor)</t>
        </is>
      </c>
      <c r="B83" s="266" t="inlineStr">
        <is>
          <t xml:space="preserve">rx_ver</t>
        </is>
      </c>
      <c r="C83" s="265" t="inlineStr">
        <is>
          <t xml:space="preserve">-</t>
        </is>
      </c>
      <c r="D83" s="277" t="str">
        <f>Geometry!rx_ver</f>
        <v>MEP0.3</v>
      </c>
      <c r="E83" s="310" t="inlineStr">
        <is>
          <t xml:space="preserve">Import from Geometry!D51 (rx_ver)</t>
        </is>
      </c>
    </row>
    <row r="84">
      <c r="A84" s="265" t="inlineStr">
        <is>
          <t xml:space="preserve">(import) Internal cross-sectional area</t>
        </is>
      </c>
      <c r="B84" s="266" t="inlineStr">
        <is>
          <t xml:space="preserve">A_x</t>
        </is>
      </c>
      <c r="C84" s="265" t="inlineStr">
        <is>
          <t xml:space="preserve">mm²</t>
        </is>
      </c>
      <c r="D84" s="196">
        <f>Geometry!A_x</f>
        <v>501.93100162698</v>
      </c>
      <c r="E84" s="310" t="inlineStr">
        <is>
          <t xml:space="preserve">Import from Geometry!D21 (A_x)</t>
        </is>
      </c>
    </row>
    <row r="85">
      <c r="A85" s="265" t="inlineStr">
        <is>
          <t xml:space="preserve">(import) Molar gas constant</t>
        </is>
      </c>
      <c r="B85" s="266" t="inlineStr">
        <is>
          <t xml:space="preserve">R_gas</t>
        </is>
      </c>
      <c r="C85" s="265" t="inlineStr">
        <is>
          <t xml:space="preserve">J/mol/K</t>
        </is>
      </c>
      <c r="D85" s="198">
        <f>'Mass Transfer'!R_gas</f>
        <v>8.314462618</v>
      </c>
      <c r="E85" s="310" t="inlineStr">
        <is>
          <t xml:space="preserve">Import from Mass Transfer!D101 (R_gas)</t>
        </is>
      </c>
    </row>
    <row r="86">
      <c r="A86" s="265" t="inlineStr">
        <is>
          <t xml:space="preserve">(import) Faraday constant</t>
        </is>
      </c>
      <c r="B86" s="266" t="inlineStr">
        <is>
          <t xml:space="preserve">F_const</t>
        </is>
      </c>
      <c r="C86" s="265" t="inlineStr">
        <is>
          <t xml:space="preserve">C/mol</t>
        </is>
      </c>
      <c r="D86" s="222">
        <f>Electrochemistry!F_const</f>
        <v>96485.33212</v>
      </c>
      <c r="E86" s="310" t="inlineStr">
        <is>
          <t xml:space="preserve">Import from Electrochemistry!D15 (F_const)</t>
        </is>
      </c>
    </row>
    <row r="87">
      <c r="A87" s="278" t="inlineStr">
        <is>
          <t xml:space="preserve">NAMED CONSTANTS AND IMPORTS (electrode mass transfer, monochloramine lifetime)</t>
        </is>
      </c>
      <c r="B87" s="278"/>
      <c r="C87" s="278"/>
      <c r="D87" s="278"/>
      <c r="E87" s="278"/>
      <c r="F87" s="278"/>
      <c r="G87" s="278"/>
      <c r="H87" s="278"/>
      <c r="I87" s="278"/>
      <c r="J87" s="278"/>
      <c r="K87" s="278"/>
      <c r="L87" s="278"/>
      <c r="M87" s="278"/>
      <c r="N87" s="278"/>
    </row>
    <row r="88">
      <c r="A88" s="265" t="inlineStr">
        <is>
          <t xml:space="preserve">Electrons per ferricyanide reduced</t>
        </is>
      </c>
      <c r="B88" s="266" t="inlineStr">
        <is>
          <t xml:space="preserve">n_e_fcn</t>
        </is>
      </c>
      <c r="C88" s="265" t="inlineStr">
        <is>
          <t xml:space="preserve">-</t>
        </is>
      </c>
      <c r="D88" s="268">
        <v>1.0</v>
      </c>
      <c r="E88" s="310" t="inlineStr">
        <is>
          <t xml:space="preserve">Fe(CN)₆³⁻ + e⁻ → Fe(CN)₆⁴⁻: a one-electron couple (protocols/electrode-mass-transfer.md).</t>
        </is>
      </c>
    </row>
    <row r="89">
      <c r="A89" s="265" t="inlineStr">
        <is>
          <t xml:space="preserve">Temperature tolerance for a k_m run</t>
        </is>
      </c>
      <c r="B89" s="266" t="inlineStr">
        <is>
          <t xml:space="preserve">km_T_tol</t>
        </is>
      </c>
      <c r="C89" s="265" t="inlineStr">
        <is>
          <t xml:space="preserve">°C</t>
        </is>
      </c>
      <c r="D89" s="268">
        <v>1.0</v>
      </c>
      <c r="E89" s="305" t="inlineStr">
        <is>
          <t xml:space="preserve">Design assumption: diffusivity and viscosity move ~2 %/K, so a run within ±1 °C of the Summary temperature is used as measured; others need a separate temperature correction.</t>
        </is>
      </c>
    </row>
    <row r="90">
      <c r="A90" s="265" t="inlineStr">
        <is>
          <t xml:space="preserve">(import) Stirrer rate on Summary</t>
        </is>
      </c>
      <c r="B90" s="266" t="inlineStr">
        <is>
          <t xml:space="preserve">stir_rpm_set</t>
        </is>
      </c>
      <c r="C90" s="265" t="inlineStr">
        <is>
          <t xml:space="preserve">rpm</t>
        </is>
      </c>
      <c r="D90" s="277">
        <f>Summary!stir_rpm_set</f>
        <v>1000.0</v>
      </c>
      <c r="E90" s="310" t="inlineStr">
        <is>
          <t xml:space="preserve">Import from Summary!D7 (stir_rpm_set)</t>
        </is>
      </c>
    </row>
    <row r="91">
      <c r="A91" s="265" t="inlineStr">
        <is>
          <t xml:space="preserve">(import) Temperature setpoint on Summary</t>
        </is>
      </c>
      <c r="B91" s="266" t="inlineStr">
        <is>
          <t xml:space="preserve">temp_C</t>
        </is>
      </c>
      <c r="C91" s="265" t="inlineStr">
        <is>
          <t xml:space="preserve">°C</t>
        </is>
      </c>
      <c r="D91" s="277">
        <f>Summary!temp_C</f>
        <v>30.0</v>
      </c>
      <c r="E91" s="310" t="inlineStr">
        <is>
          <t xml:space="preserve">Import from Summary!D8 (temp_C)</t>
        </is>
      </c>
    </row>
    <row r="92">
      <c r="A92" s="265" t="inlineStr">
        <is>
          <t xml:space="preserve">(import) Medium selected on Summary</t>
        </is>
      </c>
      <c r="B92" s="266" t="inlineStr">
        <is>
          <t xml:space="preserve">media_sel</t>
        </is>
      </c>
      <c r="C92" s="265" t="inlineStr">
        <is>
          <t xml:space="preserve">-</t>
        </is>
      </c>
      <c r="D92" s="277" t="str">
        <f>Summary!media_sel</f>
        <v>AM003</v>
      </c>
      <c r="E92" s="310" t="inlineStr">
        <is>
          <t xml:space="preserve">Import from Summary!D5 (media_sel)</t>
        </is>
      </c>
    </row>
    <row r="93">
      <c r="A93" s="265" t="inlineStr">
        <is>
          <t xml:space="preserve">(import) Electrode selected on Summary</t>
        </is>
      </c>
      <c r="B93" s="266" t="inlineStr">
        <is>
          <t xml:space="preserve">electrode_sel</t>
        </is>
      </c>
      <c r="C93" s="265" t="inlineStr">
        <is>
          <t xml:space="preserve">-</t>
        </is>
      </c>
      <c r="D93" s="277" t="str">
        <f>Summary!electrode_sel</f>
        <v>MMO tube</v>
      </c>
      <c r="E93" s="310" t="inlineStr">
        <is>
          <t xml:space="preserve">Import from Summary!D3 (electrode_sel)</t>
        </is>
      </c>
    </row>
    <row r="94">
      <c r="A94" s="265" t="inlineStr">
        <is>
          <t xml:space="preserve">(import) O₂ diffusivity at reactor T</t>
        </is>
      </c>
      <c r="B94" s="266" t="inlineStr">
        <is>
          <t xml:space="preserve">D_O2</t>
        </is>
      </c>
      <c r="C94" s="265" t="inlineStr">
        <is>
          <t xml:space="preserve">m²/s</t>
        </is>
      </c>
      <c r="D94" s="209">
        <f>'Mass Transfer'!D_O2</f>
        <v>2.249544435762e-09</v>
      </c>
      <c r="E94" s="310" t="inlineStr">
        <is>
          <t xml:space="preserve">Import from Mass Transfer!D32 (D_O2)</t>
        </is>
      </c>
    </row>
    <row r="95">
      <c r="A95" s="265" t="inlineStr">
        <is>
          <t xml:space="preserve">(import) Diffusivity exponent for k_m scaling</t>
        </is>
      </c>
      <c r="B95" s="266" t="inlineStr">
        <is>
          <t xml:space="preserve">km_exp</t>
        </is>
      </c>
      <c r="C95" s="265" t="inlineStr">
        <is>
          <t xml:space="preserve">-</t>
        </is>
      </c>
      <c r="D95" s="199">
        <f>Electrochemistry!km_exp</f>
        <v>0.644</v>
      </c>
      <c r="E95" s="310" t="inlineStr">
        <is>
          <t xml:space="preserve">Import from Electrochemistry!D84 (km_exp): the same Eisenberg scaling the model uses for every species.</t>
        </is>
      </c>
    </row>
    <row r="96">
      <c r="A96" s="265" t="inlineStr">
        <is>
          <t xml:space="preserve">(import) Cl₂ molar mass</t>
        </is>
      </c>
      <c r="B96" s="266" t="inlineStr">
        <is>
          <t xml:space="preserve">M_Cl2</t>
        </is>
      </c>
      <c r="C96" s="265" t="inlineStr">
        <is>
          <t xml:space="preserve">mg/mol</t>
        </is>
      </c>
      <c r="D96" s="277">
        <f>Chemistry!M_Cl2</f>
        <v>70906.0</v>
      </c>
      <c r="E96" s="310" t="inlineStr">
        <is>
          <t xml:space="preserve">Import from Chemistry!D223 (M_Cl2): DPD results are mg/L as Cl₂.</t>
        </is>
      </c>
    </row>
    <row r="97">
      <c r="A97" s="265" t="inlineStr">
        <is>
          <t xml:space="preserve">(import) H₂ basis of the uptake ratio</t>
        </is>
      </c>
      <c r="B97" s="266" t="inlineStr">
        <is>
          <t xml:space="preserve">knall_H2_basis</t>
        </is>
      </c>
      <c r="C97" s="265" t="inlineStr">
        <is>
          <t xml:space="preserve">parts</t>
        </is>
      </c>
      <c r="D97" s="277">
        <f>Biology!knall_H2_default</f>
        <v>6.0</v>
      </c>
      <c r="E97" s="310" t="inlineStr">
        <is>
          <t xml:space="preserve">Import from Biology!D63 (knall_H2_default): the H₂ term of the default 6:2:1, so a measured ratio reads on the same scale.</t>
        </is>
      </c>
    </row>
    <row r="98">
      <c r="A98" s="265" t="inlineStr">
        <is>
          <t xml:space="preserve">Sinter grade P0 upper bound</t>
        </is>
      </c>
      <c r="B98" s="266" t="inlineStr">
        <is>
          <t xml:space="preserve">por_p0_hi</t>
        </is>
      </c>
      <c r="C98" s="265" t="inlineStr">
        <is>
          <t xml:space="preserve">µm</t>
        </is>
      </c>
      <c r="D98" s="268">
        <v>250.0</v>
      </c>
      <c r="E98" s="310" t="inlineStr">
        <is>
          <t xml:space="preserve">DURAN P0 160–250 µm (Mass Transfer E33): above this the frit is coarser than any listed grade.</t>
        </is>
      </c>
    </row>
    <row r="99">
      <c r="A99" s="265" t="inlineStr">
        <is>
          <t xml:space="preserve">Sinter grade P5 upper bound</t>
        </is>
      </c>
      <c r="B99" s="266" t="inlineStr">
        <is>
          <t xml:space="preserve">por_p5_hi</t>
        </is>
      </c>
      <c r="C99" s="265" t="inlineStr">
        <is>
          <t xml:space="preserve">µm</t>
        </is>
      </c>
      <c r="D99" s="268">
        <v>1.6</v>
      </c>
      <c r="E99" s="310" t="inlineStr">
        <is>
          <t xml:space="preserve">DURAN P5 1.0–1.6 µm (Mass Transfer E38); 1.6–10 µm falls between P5 and P4 and is not a listed grade.</t>
        </is>
      </c>
    </row>
    <row r="100">
      <c r="A100" s="265" t="inlineStr">
        <is>
          <t xml:space="preserve">Sinter grade P5 lower bound</t>
        </is>
      </c>
      <c r="B100" s="266" t="inlineStr">
        <is>
          <t xml:space="preserve">por_p5_lo</t>
        </is>
      </c>
      <c r="C100" s="265" t="inlineStr">
        <is>
          <t xml:space="preserve">µm</t>
        </is>
      </c>
      <c r="D100" s="268">
        <v>1.0</v>
      </c>
      <c r="E100" s="310" t="inlineStr">
        <is>
          <t xml:space="preserve">DURAN P5 1.0–1.6 µm (Mass Transfer E38).</t>
        </is>
      </c>
    </row>
    <row r="102">
      <c r="A102" s="228" t="str">
        <f>HYPERLINK("#'Experiments'!A1","EXPERIMENT RECORD  →  a Table on the Experiments sheet")</f>
        <v>EXPERIMENT RECORD  →  a Table on the Experiments sheet</v>
      </c>
      <c r="B102" s="278"/>
      <c r="C102" s="278"/>
      <c r="D102" s="278"/>
      <c r="E102" s="278"/>
      <c r="F102" s="278"/>
    </row>
    <row r="104">
      <c r="A104" s="278" t="inlineStr">
        <is>
          <t xml:space="preserve">EXPERIMENT STATUS (read by Summary column D; follows the Summary selections)</t>
        </is>
      </c>
      <c r="B104" s="278"/>
      <c r="C104" s="278"/>
      <c r="D104" s="278"/>
      <c r="E104" s="278"/>
      <c r="F104" s="278"/>
      <c r="G104" s="278"/>
      <c r="H104" s="278"/>
      <c r="I104" s="278"/>
      <c r="J104" s="278"/>
      <c r="K104" s="278"/>
      <c r="L104" s="278"/>
      <c r="M104" s="278"/>
      <c r="N104" s="278"/>
    </row>
    <row r="105">
      <c r="A105" s="263" t="inlineStr">
        <is>
          <t xml:space="preserve">Experiment</t>
        </is>
      </c>
      <c r="B105" s="263" t="inlineStr">
        <is>
          <t xml:space="preserve">Name</t>
        </is>
      </c>
      <c r="C105" s="263"/>
      <c r="D105" s="263" t="inlineStr">
        <is>
          <t xml:space="preserve">Status</t>
        </is>
      </c>
      <c r="E105" s="263" t="inlineStr">
        <is>
          <t xml:space="preserve">How it is decided</t>
        </is>
      </c>
      <c r="F105" s="263" t="inlineStr">
        <is>
          <t xml:space="preserve">From the record (0–2)</t>
        </is>
      </c>
    </row>
    <row r="106">
      <c r="A106" s="265" t="inlineStr">
        <is>
          <t xml:space="preserve">Measure / confirm vial total volume</t>
        </is>
      </c>
      <c r="B106" s="266" t="inlineStr">
        <is>
          <t xml:space="preserve">xs_vial</t>
        </is>
      </c>
      <c r="D106" s="277" t="str">
        <f>CHOOSE(1+MAX(IF(ISNUMBER(cal_Vtot),2,0),F106),"Not done","Approximate","Done")</f>
        <v>Not done</v>
      </c>
      <c r="E106" s="269" t="inlineStr">
        <is>
          <t xml:space="preserve">Done when the vial-geometry section has an included run for this reactor type.</t>
        </is>
      </c>
      <c r="F106" s="277">
        <f>IF(SUMPRODUCT((xr_exp=A106)*(xr_res="Done")*((xr_rx="")+(xr_rx=Reactor_sel)+(xr_rx=rx_ver)&gt;0)*((xr_el="")+(xr_el=electrode_sel)&gt;0)*((xr_org="")+(xr_org=organism_sel)&gt;0)*((xr_med="")+(xr_med=media_sel)&gt;0)*((xr_T="")+(ABS(xr_T-temp_C)&lt;=xr_T_tol)&gt;0))&gt;0,2,IF(SUMPRODUCT((xr_exp=A106)*(xr_res="Approximate")*((xr_rx="")+(xr_rx=Reactor_sel)+(xr_rx=rx_ver)&gt;0)*((xr_el="")+(xr_el=electrode_sel)&gt;0)*((xr_org="")+(xr_org=organism_sel)&gt;0)*((xr_med="")+(xr_med=media_sel)&gt;0)*((xr_T="")+(ABS(xr_T-temp_C)&lt;=xr_T_tol)&gt;0))&gt;0,1,0))</f>
        <v>0.0</v>
      </c>
    </row>
    <row r="107">
      <c r="A107" s="265" t="inlineStr">
        <is>
          <t xml:space="preserve">CO₂ flow of the reactor in use</t>
        </is>
      </c>
      <c r="B107" s="266" t="inlineStr">
        <is>
          <t xml:space="preserve">xs_flow</t>
        </is>
      </c>
      <c r="D107" s="277" t="str">
        <f>CHOOSE(1+MAX(IF(has_cal_ca&gt;0,2,0),F107),"Not done","Approximate","Done")</f>
        <v>Done</v>
      </c>
      <c r="E107" s="269" t="inlineStr">
        <is>
          <t xml:space="preserve">Done when this reactor has a CO₂ flow calibration (CO2 flows, or the CO₂-flow section here).</t>
        </is>
      </c>
      <c r="F107" s="277">
        <f>IF(SUMPRODUCT((xr_exp=A107)*(xr_res="Done")*((xr_rx="")+(xr_rx=Reactor_sel)+(xr_rx=rx_ver)&gt;0)*((xr_el="")+(xr_el=electrode_sel)&gt;0)*((xr_org="")+(xr_org=organism_sel)&gt;0)*((xr_med="")+(xr_med=media_sel)&gt;0)*((xr_T="")+(ABS(xr_T-temp_C)&lt;=xr_T_tol)&gt;0))&gt;0,2,IF(SUMPRODUCT((xr_exp=A107)*(xr_res="Approximate")*((xr_rx="")+(xr_rx=Reactor_sel)+(xr_rx=rx_ver)&gt;0)*((xr_el="")+(xr_el=electrode_sel)&gt;0)*((xr_org="")+(xr_org=organism_sel)&gt;0)*((xr_med="")+(xr_med=media_sel)&gt;0)*((xr_T="")+(ABS(xr_T-temp_C)&lt;=xr_T_tol)&gt;0))&gt;0,1,0))</f>
        <v>0.0</v>
      </c>
    </row>
    <row r="108">
      <c r="A108" s="265" t="inlineStr">
        <is>
          <t xml:space="preserve">Measure the electrode mass-transfer coefficient</t>
        </is>
      </c>
      <c r="B108" s="266" t="inlineStr">
        <is>
          <t xml:space="preserve">xs_km</t>
        </is>
      </c>
      <c r="D108" s="277" t="str">
        <f>CHOOSE(1+MAX(IF(ISNUMBER(cal_km_O2),2,IF(COUNTIFS(CalKm[Reactor],Reactor_sel,CalKm[Electrode],electrode_sel,CalKm[Include?],"y")&gt;0,1,0)),F108),"Not done","Approximate","Done")</f>
        <v>Not done</v>
      </c>
      <c r="E108" s="269" t="inlineStr">
        <is>
          <t xml:space="preserve">Done when a run matches this reactor, electrode, stirrer rate and temperature; Approximate when the reactor and electrode match only.</t>
        </is>
      </c>
      <c r="F108" s="277">
        <f>IF(SUMPRODUCT((xr_exp=A108)*(xr_res="Done")*((xr_rx="")+(xr_rx=Reactor_sel)+(xr_rx=rx_ver)&gt;0)*((xr_el="")+(xr_el=electrode_sel)&gt;0)*((xr_org="")+(xr_org=organism_sel)&gt;0)*((xr_med="")+(xr_med=media_sel)&gt;0)*((xr_T="")+(ABS(xr_T-temp_C)&lt;=xr_T_tol)&gt;0))&gt;0,2,IF(SUMPRODUCT((xr_exp=A108)*(xr_res="Approximate")*((xr_rx="")+(xr_rx=Reactor_sel)+(xr_rx=rx_ver)&gt;0)*((xr_el="")+(xr_el=electrode_sel)&gt;0)*((xr_org="")+(xr_org=organism_sel)&gt;0)*((xr_med="")+(xr_med=media_sel)&gt;0)*((xr_T="")+(ABS(xr_T-temp_C)&lt;=xr_T_tol)&gt;0))&gt;0,1,0))</f>
        <v>0.0</v>
      </c>
    </row>
    <row r="109">
      <c r="A109" s="265" t="inlineStr">
        <is>
          <t xml:space="preserve">Low-power current curve below 3 %</t>
        </is>
      </c>
      <c r="B109" s="266" t="inlineStr">
        <is>
          <t xml:space="preserve">xs_lowI</t>
        </is>
      </c>
      <c r="D109" s="277" t="str">
        <f>CHOOSE(1+MAX(IF(COUNTIFS(CalCurrent[Reactor],Reactor_sel,CalCurrent[Intensity (%)],"&lt;"&amp;gerrit_min_ca,CalCurrent[Include?],"y")&gt;0,1,0),F109),"Not done","Approximate","Done")</f>
        <v>Not done</v>
      </c>
      <c r="E109" s="269" t="inlineStr">
        <is>
          <t xml:space="preserve">Approximate when the electrolysis-current section holds an included point below 3 % for this reactor; Done only from the record.</t>
        </is>
      </c>
      <c r="F109" s="277">
        <f>IF(SUMPRODUCT((xr_exp=A109)*(xr_res="Done")*((xr_rx="")+(xr_rx=Reactor_sel)+(xr_rx=rx_ver)&gt;0)*((xr_el="")+(xr_el=electrode_sel)&gt;0)*((xr_org="")+(xr_org=organism_sel)&gt;0)*((xr_med="")+(xr_med=media_sel)&gt;0)*((xr_T="")+(ABS(xr_T-temp_C)&lt;=xr_T_tol)&gt;0))&gt;0,2,IF(SUMPRODUCT((xr_exp=A109)*(xr_res="Approximate")*((xr_rx="")+(xr_rx=Reactor_sel)+(xr_rx=rx_ver)&gt;0)*((xr_el="")+(xr_el=electrode_sel)&gt;0)*((xr_org="")+(xr_org=organism_sel)&gt;0)*((xr_med="")+(xr_med=media_sel)&gt;0)*((xr_T="")+(ABS(xr_T-temp_C)&lt;=xr_T_tol)&gt;0))&gt;0,1,0))</f>
        <v>0.0</v>
      </c>
    </row>
    <row r="110">
      <c r="A110" s="265" t="inlineStr">
        <is>
          <t xml:space="preserve">Electrochemist review of the calculated electrochemistry</t>
        </is>
      </c>
      <c r="B110" s="266" t="inlineStr">
        <is>
          <t xml:space="preserve">xs_review</t>
        </is>
      </c>
      <c r="D110" s="277" t="str">
        <f>CHOOSE(1+F110,"Not done","Approximate","Done")</f>
        <v>Not done</v>
      </c>
      <c r="E110" s="269" t="inlineStr">
        <is>
          <t xml:space="preserve">From the record.</t>
        </is>
      </c>
      <c r="F110" s="277">
        <f>IF(SUMPRODUCT((xr_exp=A110)*(xr_res="Done")*((xr_rx="")+(xr_rx=Reactor_sel)+(xr_rx=rx_ver)&gt;0)*((xr_el="")+(xr_el=electrode_sel)&gt;0)*((xr_org="")+(xr_org=organism_sel)&gt;0)*((xr_med="")+(xr_med=media_sel)&gt;0)*((xr_T="")+(ABS(xr_T-temp_C)&lt;=xr_T_tol)&gt;0))&gt;0,2,IF(SUMPRODUCT((xr_exp=A110)*(xr_res="Approximate")*((xr_rx="")+(xr_rx=Reactor_sel)+(xr_rx=rx_ver)&gt;0)*((xr_el="")+(xr_el=electrode_sel)&gt;0)*((xr_org="")+(xr_org=organism_sel)&gt;0)*((xr_med="")+(xr_med=media_sel)&gt;0)*((xr_T="")+(ABS(xr_T-temp_C)&lt;=xr_T_tol)&gt;0))&gt;0,1,0))</f>
        <v>0.0</v>
      </c>
    </row>
    <row r="111">
      <c r="A111" s="265" t="inlineStr">
        <is>
          <t xml:space="preserve">Measure the cell voltage at a known setpoint</t>
        </is>
      </c>
      <c r="B111" s="266" t="inlineStr">
        <is>
          <t xml:space="preserve">xs_V</t>
        </is>
      </c>
      <c r="D111" s="277" t="str">
        <f>CHOOSE(1+F111,"Not done","Approximate","Done")</f>
        <v>Not done</v>
      </c>
      <c r="E111" s="269" t="inlineStr">
        <is>
          <t xml:space="preserve">From the record: reactor, electrode, medium and temperature all matter.</t>
        </is>
      </c>
      <c r="F111" s="277">
        <f>IF(SUMPRODUCT((xr_exp=A111)*(xr_res="Done")*((xr_rx="")+(xr_rx=Reactor_sel)+(xr_rx=rx_ver)&gt;0)*((xr_el="")+(xr_el=electrode_sel)&gt;0)*((xr_org="")+(xr_org=organism_sel)&gt;0)*((xr_med="")+(xr_med=media_sel)&gt;0)*((xr_T="")+(ABS(xr_T-temp_C)&lt;=xr_T_tol)&gt;0))&gt;0,2,IF(SUMPRODUCT((xr_exp=A111)*(xr_res="Approximate")*((xr_rx="")+(xr_rx=Reactor_sel)+(xr_rx=rx_ver)&gt;0)*((xr_el="")+(xr_el=electrode_sel)&gt;0)*((xr_org="")+(xr_org=organism_sel)&gt;0)*((xr_med="")+(xr_med=media_sel)&gt;0)*((xr_T="")+(ABS(xr_T-temp_C)&lt;=xr_T_tol)&gt;0))&gt;0,1,0))</f>
        <v>0.0</v>
      </c>
    </row>
    <row r="112">
      <c r="A112" s="265" t="inlineStr">
        <is>
          <t xml:space="preserve">Headspace H₂/O₂ during lag (safety)</t>
        </is>
      </c>
      <c r="B112" s="266" t="inlineStr">
        <is>
          <t xml:space="preserve">xs_hsgas</t>
        </is>
      </c>
      <c r="D112" s="277" t="str">
        <f>CHOOSE(1+F112,"Not done","Approximate","Done")</f>
        <v>Not done</v>
      </c>
      <c r="E112" s="269" t="inlineStr">
        <is>
          <t xml:space="preserve">From the record.</t>
        </is>
      </c>
      <c r="F112" s="277">
        <f>IF(SUMPRODUCT((xr_exp=A112)*(xr_res="Done")*((xr_rx="")+(xr_rx=Reactor_sel)+(xr_rx=rx_ver)&gt;0)*((xr_el="")+(xr_el=electrode_sel)&gt;0)*((xr_org="")+(xr_org=organism_sel)&gt;0)*((xr_med="")+(xr_med=media_sel)&gt;0)*((xr_T="")+(ABS(xr_T-temp_C)&lt;=xr_T_tol)&gt;0))&gt;0,2,IF(SUMPRODUCT((xr_exp=A112)*(xr_res="Approximate")*((xr_rx="")+(xr_rx=Reactor_sel)+(xr_rx=rx_ver)&gt;0)*((xr_el="")+(xr_el=electrode_sel)&gt;0)*((xr_org="")+(xr_org=organism_sel)&gt;0)*((xr_med="")+(xr_med=media_sel)&gt;0)*((xr_T="")+(ABS(xr_T-temp_C)&lt;=xr_T_tol)&gt;0))&gt;0,1,0))</f>
        <v>0.0</v>
      </c>
    </row>
    <row r="113">
      <c r="A113" s="265" t="inlineStr">
        <is>
          <t xml:space="preserve">Characterise the headspace vent</t>
        </is>
      </c>
      <c r="B113" s="266" t="inlineStr">
        <is>
          <t xml:space="preserve">xs_vent</t>
        </is>
      </c>
      <c r="D113" s="277" t="str">
        <f>IF(vent_model_ca="Outflow only","Not needed",CHOOSE(1+F113,"Not done","Approximate","Done"))</f>
        <v>Not done</v>
      </c>
      <c r="E113" s="269" t="inlineStr">
        <is>
          <t xml:space="preserve">Not needed with an "Outflow only" vent (no air drawn back); otherwise from the record.</t>
        </is>
      </c>
      <c r="F113" s="277">
        <f>IF(SUMPRODUCT((xr_exp=A113)*(xr_res="Done")*((xr_rx="")+(xr_rx=Reactor_sel)+(xr_rx=rx_ver)&gt;0)*((xr_el="")+(xr_el=electrode_sel)&gt;0)*((xr_org="")+(xr_org=organism_sel)&gt;0)*((xr_med="")+(xr_med=media_sel)&gt;0)*((xr_T="")+(ABS(xr_T-temp_C)&lt;=xr_T_tol)&gt;0))&gt;0,2,IF(SUMPRODUCT((xr_exp=A113)*(xr_res="Approximate")*((xr_rx="")+(xr_rx=Reactor_sel)+(xr_rx=rx_ver)&gt;0)*((xr_el="")+(xr_el=electrode_sel)&gt;0)*((xr_org="")+(xr_org=organism_sel)&gt;0)*((xr_med="")+(xr_med=media_sel)&gt;0)*((xr_T="")+(ABS(xr_T-temp_C)&lt;=xr_T_tol)&gt;0))&gt;0,1,0))</f>
        <v>0.0</v>
      </c>
    </row>
    <row r="114">
      <c r="A114" s="265" t="inlineStr">
        <is>
          <t xml:space="preserve">Measure surface kLa (kL_surf)</t>
        </is>
      </c>
      <c r="B114" s="266" t="inlineStr">
        <is>
          <t xml:space="preserve">xs_kLa</t>
        </is>
      </c>
      <c r="D114" s="277" t="str">
        <f>CHOOSE(1+MAX(IF(ISNUMBER(cal_kLa),2,IF(COUNTIFS(CalKLa[Type (auto)],rx_ver,CalKLa[Include?],"y")&gt;0,1,0)),F114),"Not done","Approximate","Done")</f>
        <v>Not done</v>
      </c>
      <c r="E114" s="269" t="inlineStr">
        <is>
          <t xml:space="preserve">Done when the surface-kLa section has an included run for this reactor; Approximate for another reactor of the same type.</t>
        </is>
      </c>
      <c r="F114" s="277">
        <f>IF(SUMPRODUCT((xr_exp=A114)*(xr_res="Done")*((xr_rx="")+(xr_rx=Reactor_sel)+(xr_rx=rx_ver)&gt;0)*((xr_el="")+(xr_el=electrode_sel)&gt;0)*((xr_org="")+(xr_org=organism_sel)&gt;0)*((xr_med="")+(xr_med=media_sel)&gt;0)*((xr_T="")+(ABS(xr_T-temp_C)&lt;=xr_T_tol)&gt;0))&gt;0,2,IF(SUMPRODUCT((xr_exp=A114)*(xr_res="Approximate")*((xr_rx="")+(xr_rx=Reactor_sel)+(xr_rx=rx_ver)&gt;0)*((xr_el="")+(xr_el=electrode_sel)&gt;0)*((xr_org="")+(xr_org=organism_sel)&gt;0)*((xr_med="")+(xr_med=media_sel)&gt;0)*((xr_T="")+(ABS(xr_T-temp_C)&lt;=xr_T_tol)&gt;0))&gt;0,1,0))</f>
        <v>0.0</v>
      </c>
    </row>
    <row r="115">
      <c r="A115" s="265" t="inlineStr">
        <is>
          <t xml:space="preserve">Abiotic DO trace under the schedule</t>
        </is>
      </c>
      <c r="B115" s="266" t="inlineStr">
        <is>
          <t xml:space="preserve">xs_DOtrace</t>
        </is>
      </c>
      <c r="D115" s="277" t="str">
        <f>CHOOSE(1+F115,"Not done","Approximate","Done")</f>
        <v>Not done</v>
      </c>
      <c r="E115" s="269" t="inlineStr">
        <is>
          <t xml:space="preserve">From the record.</t>
        </is>
      </c>
      <c r="F115" s="277">
        <f>IF(SUMPRODUCT((xr_exp=A115)*(xr_res="Done")*((xr_rx="")+(xr_rx=Reactor_sel)+(xr_rx=rx_ver)&gt;0)*((xr_el="")+(xr_el=electrode_sel)&gt;0)*((xr_org="")+(xr_org=organism_sel)&gt;0)*((xr_med="")+(xr_med=media_sel)&gt;0)*((xr_T="")+(ABS(xr_T-temp_C)&lt;=xr_T_tol)&gt;0))&gt;0,2,IF(SUMPRODUCT((xr_exp=A115)*(xr_res="Approximate")*((xr_rx="")+(xr_rx=Reactor_sel)+(xr_rx=rx_ver)&gt;0)*((xr_el="")+(xr_el=electrode_sel)&gt;0)*((xr_org="")+(xr_org=organism_sel)&gt;0)*((xr_med="")+(xr_med=media_sel)&gt;0)*((xr_T="")+(ABS(xr_T-temp_C)&lt;=xr_T_tol)&gt;0))&gt;0,1,0))</f>
        <v>0.0</v>
      </c>
    </row>
    <row r="116">
      <c r="A116" s="265" t="inlineStr">
        <is>
          <t xml:space="preserve">pH through a growth run (tests the nitrogen-uptake acidification)</t>
        </is>
      </c>
      <c r="B116" s="266" t="inlineStr">
        <is>
          <t xml:space="preserve">xs_pHrun</t>
        </is>
      </c>
      <c r="D116" s="277" t="str">
        <f>CHOOSE(1+F116,"Not done","Approximate","Done")</f>
        <v>Not done</v>
      </c>
      <c r="E116" s="269" t="inlineStr">
        <is>
          <t xml:space="preserve">From the record: organism, medium and temperature matter.</t>
        </is>
      </c>
      <c r="F116" s="277">
        <f>IF(SUMPRODUCT((xr_exp=A116)*(xr_res="Done")*((xr_rx="")+(xr_rx=Reactor_sel)+(xr_rx=rx_ver)&gt;0)*((xr_el="")+(xr_el=electrode_sel)&gt;0)*((xr_org="")+(xr_org=organism_sel)&gt;0)*((xr_med="")+(xr_med=media_sel)&gt;0)*((xr_T="")+(ABS(xr_T-temp_C)&lt;=xr_T_tol)&gt;0))&gt;0,2,IF(SUMPRODUCT((xr_exp=A116)*(xr_res="Approximate")*((xr_rx="")+(xr_rx=Reactor_sel)+(xr_rx=rx_ver)&gt;0)*((xr_el="")+(xr_el=electrode_sel)&gt;0)*((xr_org="")+(xr_org=organism_sel)&gt;0)*((xr_med="")+(xr_med=media_sel)&gt;0)*((xr_T="")+(ABS(xr_T-temp_C)&lt;=xr_T_tol)&gt;0))&gt;0,1,0))</f>
        <v>0.0</v>
      </c>
    </row>
    <row r="117">
      <c r="A117" s="265" t="inlineStr">
        <is>
          <t xml:space="preserve">Assay dissolved metals in spent medium</t>
        </is>
      </c>
      <c r="B117" s="266" t="inlineStr">
        <is>
          <t xml:space="preserve">xs_metals</t>
        </is>
      </c>
      <c r="D117" s="277" t="str">
        <f>CHOOSE(1+F117,"Not done","Approximate","Done")</f>
        <v>Not done</v>
      </c>
      <c r="E117" s="269" t="inlineStr">
        <is>
          <t xml:space="preserve">From the record.</t>
        </is>
      </c>
      <c r="F117" s="277">
        <f>IF(SUMPRODUCT((xr_exp=A117)*(xr_res="Done")*((xr_rx="")+(xr_rx=Reactor_sel)+(xr_rx=rx_ver)&gt;0)*((xr_el="")+(xr_el=electrode_sel)&gt;0)*((xr_org="")+(xr_org=organism_sel)&gt;0)*((xr_med="")+(xr_med=media_sel)&gt;0)*((xr_T="")+(ABS(xr_T-temp_C)&lt;=xr_T_tol)&gt;0))&gt;0,2,IF(SUMPRODUCT((xr_exp=A117)*(xr_res="Approximate")*((xr_rx="")+(xr_rx=Reactor_sel)+(xr_rx=rx_ver)&gt;0)*((xr_el="")+(xr_el=electrode_sel)&gt;0)*((xr_org="")+(xr_org=organism_sel)&gt;0)*((xr_med="")+(xr_med=media_sel)&gt;0)*((xr_T="")+(ABS(xr_T-temp_C)&lt;=xr_T_tol)&gt;0))&gt;0,1,0))</f>
        <v>0.0</v>
      </c>
    </row>
    <row r="118">
      <c r="A118" s="265" t="inlineStr">
        <is>
          <t xml:space="preserve">Measure cathodic Faradaic efficiency (etaF)</t>
        </is>
      </c>
      <c r="B118" s="266" t="inlineStr">
        <is>
          <t xml:space="preserve">xs_FE</t>
        </is>
      </c>
      <c r="D118" s="277" t="str">
        <f>CHOOSE(1+MAX(IF(ISNUMBER(cal_etaF),2,0),F118),"Not done","Approximate","Done")</f>
        <v>Not done</v>
      </c>
      <c r="E118" s="269" t="inlineStr">
        <is>
          <t xml:space="preserve">Done when the Faradaic-efficiency section has an included H₂ run for this reactor.</t>
        </is>
      </c>
      <c r="F118" s="277">
        <f>IF(SUMPRODUCT((xr_exp=A118)*(xr_res="Done")*((xr_rx="")+(xr_rx=Reactor_sel)+(xr_rx=rx_ver)&gt;0)*((xr_el="")+(xr_el=electrode_sel)&gt;0)*((xr_org="")+(xr_org=organism_sel)&gt;0)*((xr_med="")+(xr_med=media_sel)&gt;0)*((xr_T="")+(ABS(xr_T-temp_C)&lt;=xr_T_tol)&gt;0))&gt;0,2,IF(SUMPRODUCT((xr_exp=A118)*(xr_res="Approximate")*((xr_rx="")+(xr_rx=Reactor_sel)+(xr_rx=rx_ver)&gt;0)*((xr_el="")+(xr_el=electrode_sel)&gt;0)*((xr_org="")+(xr_org=organism_sel)&gt;0)*((xr_med="")+(xr_med=media_sel)&gt;0)*((xr_T="")+(ABS(xr_T-temp_C)&lt;=xr_T_tol)&gt;0))&gt;0,1,0))</f>
        <v>0.0</v>
      </c>
    </row>
    <row r="119">
      <c r="A119" s="265" t="inlineStr">
        <is>
          <t xml:space="preserve">Off-gas H₂ at steady growth</t>
        </is>
      </c>
      <c r="B119" s="266" t="inlineStr">
        <is>
          <t xml:space="preserve">xs_offgas</t>
        </is>
      </c>
      <c r="D119" s="277" t="str">
        <f>CHOOSE(1+F119,"Not done","Approximate","Done")</f>
        <v>Not done</v>
      </c>
      <c r="E119" s="269" t="inlineStr">
        <is>
          <t xml:space="preserve">From the record.</t>
        </is>
      </c>
      <c r="F119" s="277">
        <f>IF(SUMPRODUCT((xr_exp=A119)*(xr_res="Done")*((xr_rx="")+(xr_rx=Reactor_sel)+(xr_rx=rx_ver)&gt;0)*((xr_el="")+(xr_el=electrode_sel)&gt;0)*((xr_org="")+(xr_org=organism_sel)&gt;0)*((xr_med="")+(xr_med=media_sel)&gt;0)*((xr_T="")+(ABS(xr_T-temp_C)&lt;=xr_T_tol)&gt;0))&gt;0,2,IF(SUMPRODUCT((xr_exp=A119)*(xr_res="Approximate")*((xr_rx="")+(xr_rx=Reactor_sel)+(xr_rx=rx_ver)&gt;0)*((xr_el="")+(xr_el=electrode_sel)&gt;0)*((xr_org="")+(xr_org=organism_sel)&gt;0)*((xr_med="")+(xr_med=media_sel)&gt;0)*((xr_T="")+(ABS(xr_T-temp_C)&lt;=xr_T_tol)&gt;0))&gt;0,1,0))</f>
        <v>0.0</v>
      </c>
    </row>
    <row r="120">
      <c r="A120" s="265" t="inlineStr">
        <is>
          <t xml:space="preserve">Organism DO thresholds</t>
        </is>
      </c>
      <c r="B120" s="266" t="inlineStr">
        <is>
          <t xml:space="preserve">xs_DOthr</t>
        </is>
      </c>
      <c r="D120" s="277" t="str">
        <f>CHOOSE(1+MAX(IF(AND(ISNUMBER(cal_DO_min),ISNUMBER(cal_DO_opt),ISNUMBER(cal_DO_impair),ISNUMBER(cal_DO_toxic)),2,IF(OR(ISNUMBER(cal_DO_min),ISNUMBER(cal_DO_opt),ISNUMBER(cal_DO_impair),ISNUMBER(cal_DO_toxic)),1,0)),F120),"Not done","Approximate","Done")</f>
        <v>Not done</v>
      </c>
      <c r="E120" s="269" t="inlineStr">
        <is>
          <t xml:space="preserve">Done when all four thresholds are included for this organism; Approximate when some are.</t>
        </is>
      </c>
      <c r="F120" s="277">
        <f>IF(SUMPRODUCT((xr_exp=A120)*(xr_res="Done")*((xr_rx="")+(xr_rx=Reactor_sel)+(xr_rx=rx_ver)&gt;0)*((xr_el="")+(xr_el=electrode_sel)&gt;0)*((xr_org="")+(xr_org=organism_sel)&gt;0)*((xr_med="")+(xr_med=media_sel)&gt;0)*((xr_T="")+(ABS(xr_T-temp_C)&lt;=xr_T_tol)&gt;0))&gt;0,2,IF(SUMPRODUCT((xr_exp=A120)*(xr_res="Approximate")*((xr_rx="")+(xr_rx=Reactor_sel)+(xr_rx=rx_ver)&gt;0)*((xr_el="")+(xr_el=electrode_sel)&gt;0)*((xr_org="")+(xr_org=organism_sel)&gt;0)*((xr_med="")+(xr_med=media_sel)&gt;0)*((xr_T="")+(ABS(xr_T-temp_C)&lt;=xr_T_tol)&gt;0))&gt;0,1,0))</f>
        <v>0.0</v>
      </c>
    </row>
    <row r="121">
      <c r="A121" s="265" t="inlineStr">
        <is>
          <t xml:space="preserve">Calibrate flow for each reactor</t>
        </is>
      </c>
      <c r="B121" s="266" t="inlineStr">
        <is>
          <t xml:space="preserve">xs_flow_all</t>
        </is>
      </c>
      <c r="D121" s="277" t="str">
        <f>CHOOSE(1+MAX(IF(SUMPRODUCT(--((COUNTIFS(co2f_reactor,ReactorList,co2f_nominal,"&gt;0")+COUNTIFS(CalFlow[Reactor],ReactorList,CalFlow[Include?],"y"))&gt;0))=ROWS(ReactorList),2,IF(SUMPRODUCT(--((COUNTIFS(co2f_reactor,ReactorList,co2f_nominal,"&gt;0")+COUNTIFS(CalFlow[Reactor],ReactorList,CalFlow[Include?],"y"))&gt;0))&gt;0,1,0)),F121),"Not done","Approximate","Done")</f>
        <v>Approximate</v>
      </c>
      <c r="E121" s="269" t="inlineStr">
        <is>
          <t xml:space="preserve">Done when every listed reactor has a flow calibration; Approximate when some do.</t>
        </is>
      </c>
      <c r="F121" s="277">
        <f>IF(SUMPRODUCT((xr_exp=A121)*(xr_res="Done")*((xr_rx="")+(xr_rx=Reactor_sel)+(xr_rx=rx_ver)&gt;0)*((xr_el="")+(xr_el=electrode_sel)&gt;0)*((xr_org="")+(xr_org=organism_sel)&gt;0)*((xr_med="")+(xr_med=media_sel)&gt;0)*((xr_T="")+(ABS(xr_T-temp_C)&lt;=xr_T_tol)&gt;0))&gt;0,2,IF(SUMPRODUCT((xr_exp=A121)*(xr_res="Approximate")*((xr_rx="")+(xr_rx=Reactor_sel)+(xr_rx=rx_ver)&gt;0)*((xr_el="")+(xr_el=electrode_sel)&gt;0)*((xr_org="")+(xr_org=organism_sel)&gt;0)*((xr_med="")+(xr_med=media_sel)&gt;0)*((xr_T="")+(ABS(xr_T-temp_C)&lt;=xr_T_tol)&gt;0))&gt;0,1,0))</f>
        <v>0.0</v>
      </c>
    </row>
    <row r="122">
      <c r="A122" s="265" t="inlineStr">
        <is>
          <t xml:space="preserve">Measure vial wall thickness</t>
        </is>
      </c>
      <c r="B122" s="266" t="inlineStr">
        <is>
          <t xml:space="preserve">xs_wall</t>
        </is>
      </c>
      <c r="D122" s="277" t="str">
        <f>CHOOSE(1+F122,"Not done","Approximate","Done")</f>
        <v>Not done</v>
      </c>
      <c r="E122" s="269" t="inlineStr">
        <is>
          <t xml:space="preserve">From the record.</t>
        </is>
      </c>
      <c r="F122" s="277">
        <f>IF(SUMPRODUCT((xr_exp=A122)*(xr_res="Done")*((xr_rx="")+(xr_rx=Reactor_sel)+(xr_rx=rx_ver)&gt;0)*((xr_el="")+(xr_el=electrode_sel)&gt;0)*((xr_org="")+(xr_org=organism_sel)&gt;0)*((xr_med="")+(xr_med=media_sel)&gt;0)*((xr_T="")+(ABS(xr_T-temp_C)&lt;=xr_T_tol)&gt;0))&gt;0,2,IF(SUMPRODUCT((xr_exp=A122)*(xr_res="Approximate")*((xr_rx="")+(xr_rx=Reactor_sel)+(xr_rx=rx_ver)&gt;0)*((xr_el="")+(xr_el=electrode_sel)&gt;0)*((xr_org="")+(xr_org=organism_sel)&gt;0)*((xr_med="")+(xr_med=media_sel)&gt;0)*((xr_T="")+(ABS(xr_T-temp_C)&lt;=xr_T_tol)&gt;0))&gt;0,1,0))</f>
        <v>0.0</v>
      </c>
    </row>
    <row r="123">
      <c r="A123" s="265" t="inlineStr">
        <is>
          <t xml:space="preserve">Free and combined chlorine (DPD)</t>
        </is>
      </c>
      <c r="B123" s="266" t="inlineStr">
        <is>
          <t xml:space="preserve">xs_DPD</t>
        </is>
      </c>
      <c r="D123" s="277" t="str">
        <f>IF(Cl_sel_ca=0,"Not needed",CHOOSE(1+MAX(IF(ISNUMBER(cal_tau_NH2Cl),2,0),F123),"Not done","Approximate","Done"))</f>
        <v>Not needed</v>
      </c>
      <c r="E123" s="269" t="inlineStr">
        <is>
          <t xml:space="preserve">Not needed for a chloride-free medium; Done when the monochloramine section has an included run for this reactor and medium.</t>
        </is>
      </c>
      <c r="F123" s="277">
        <f>IF(SUMPRODUCT((xr_exp=A123)*(xr_res="Done")*((xr_rx="")+(xr_rx=Reactor_sel)+(xr_rx=rx_ver)&gt;0)*((xr_el="")+(xr_el=electrode_sel)&gt;0)*((xr_org="")+(xr_org=organism_sel)&gt;0)*((xr_med="")+(xr_med=media_sel)&gt;0)*((xr_T="")+(ABS(xr_T-temp_C)&lt;=xr_T_tol)&gt;0))&gt;0,2,IF(SUMPRODUCT((xr_exp=A123)*(xr_res="Approximate")*((xr_rx="")+(xr_rx=Reactor_sel)+(xr_rx=rx_ver)&gt;0)*((xr_el="")+(xr_el=electrode_sel)&gt;0)*((xr_org="")+(xr_org=organism_sel)&gt;0)*((xr_med="")+(xr_med=media_sel)&gt;0)*((xr_T="")+(ABS(xr_T-temp_C)&lt;=xr_T_tol)&gt;0))&gt;0,1,0))</f>
        <v>0.0</v>
      </c>
    </row>
    <row r="124">
      <c r="A124" s="265" t="inlineStr">
        <is>
          <t xml:space="preserve">Conductivity of the medium in use at the operating temperature</t>
        </is>
      </c>
      <c r="B124" s="266" t="inlineStr">
        <is>
          <t xml:space="preserve">xs_cond</t>
        </is>
      </c>
      <c r="D124" s="277" t="str">
        <f>CHOOSE(1+F124,"Not done","Approximate","Done")</f>
        <v>Not done</v>
      </c>
      <c r="E124" s="269" t="inlineStr">
        <is>
          <t xml:space="preserve">From the record: the medium and temperature matter.</t>
        </is>
      </c>
      <c r="F124" s="277">
        <f>IF(SUMPRODUCT((xr_exp=A124)*(xr_res="Done")*((xr_rx="")+(xr_rx=Reactor_sel)+(xr_rx=rx_ver)&gt;0)*((xr_el="")+(xr_el=electrode_sel)&gt;0)*((xr_org="")+(xr_org=organism_sel)&gt;0)*((xr_med="")+(xr_med=media_sel)&gt;0)*((xr_T="")+(ABS(xr_T-temp_C)&lt;=xr_T_tol)&gt;0))&gt;0,2,IF(SUMPRODUCT((xr_exp=A124)*(xr_res="Approximate")*((xr_rx="")+(xr_rx=Reactor_sel)+(xr_rx=rx_ver)&gt;0)*((xr_el="")+(xr_el=electrode_sel)&gt;0)*((xr_org="")+(xr_org=organism_sel)&gt;0)*((xr_med="")+(xr_med=media_sel)&gt;0)*((xr_T="")+(ABS(xr_T-temp_C)&lt;=xr_T_tol)&gt;0))&gt;0,1,0))</f>
        <v>0.0</v>
      </c>
    </row>
    <row r="125">
      <c r="A125" s="265" t="inlineStr">
        <is>
          <t xml:space="preserve">Measure the electrode centre-to-centre gap</t>
        </is>
      </c>
      <c r="B125" s="266" t="inlineStr">
        <is>
          <t xml:space="preserve">xs_gap</t>
        </is>
      </c>
      <c r="D125" s="277" t="str">
        <f>CHOOSE(1+F125,"Not done","Approximate","Done")</f>
        <v>Not done</v>
      </c>
      <c r="E125" s="269" t="inlineStr">
        <is>
          <t xml:space="preserve">From the record.</t>
        </is>
      </c>
      <c r="F125" s="277">
        <f>IF(SUMPRODUCT((xr_exp=A125)*(xr_res="Done")*((xr_rx="")+(xr_rx=Reactor_sel)+(xr_rx=rx_ver)&gt;0)*((xr_el="")+(xr_el=electrode_sel)&gt;0)*((xr_org="")+(xr_org=organism_sel)&gt;0)*((xr_med="")+(xr_med=media_sel)&gt;0)*((xr_T="")+(ABS(xr_T-temp_C)&lt;=xr_T_tol)&gt;0))&gt;0,2,IF(SUMPRODUCT((xr_exp=A125)*(xr_res="Approximate")*((xr_rx="")+(xr_rx=Reactor_sel)+(xr_rx=rx_ver)&gt;0)*((xr_el="")+(xr_el=electrode_sel)&gt;0)*((xr_org="")+(xr_org=organism_sel)&gt;0)*((xr_med="")+(xr_med=media_sel)&gt;0)*((xr_T="")+(ABS(xr_T-temp_C)&lt;=xr_T_tol)&gt;0))&gt;0,1,0))</f>
        <v>0.0</v>
      </c>
    </row>
    <row r="126">
      <c r="A126" s="265" t="inlineStr">
        <is>
          <t xml:space="preserve">Measure anodic Faradaic efficiency (etaF_OER)</t>
        </is>
      </c>
      <c r="B126" s="266" t="inlineStr">
        <is>
          <t xml:space="preserve">xs_FE_OER</t>
        </is>
      </c>
      <c r="D126" s="277" t="str">
        <f>CHOOSE(1+MAX(IF(ISNUMBER(cal_etaF_OER),2,0),F126),"Not done","Approximate","Done")</f>
        <v>Not done</v>
      </c>
      <c r="E126" s="269" t="inlineStr">
        <is>
          <t xml:space="preserve">Done when the Faradaic-efficiency section has an included O₂ run for this reactor.</t>
        </is>
      </c>
      <c r="F126" s="277">
        <f>IF(SUMPRODUCT((xr_exp=A126)*(xr_res="Done")*((xr_rx="")+(xr_rx=Reactor_sel)+(xr_rx=rx_ver)&gt;0)*((xr_el="")+(xr_el=electrode_sel)&gt;0)*((xr_org="")+(xr_org=organism_sel)&gt;0)*((xr_med="")+(xr_med=media_sel)&gt;0)*((xr_T="")+(ABS(xr_T-temp_C)&lt;=xr_T_tol)&gt;0))&gt;0,2,IF(SUMPRODUCT((xr_exp=A126)*(xr_res="Approximate")*((xr_rx="")+(xr_rx=Reactor_sel)+(xr_rx=rx_ver)&gt;0)*((xr_el="")+(xr_el=electrode_sel)&gt;0)*((xr_org="")+(xr_org=organism_sel)&gt;0)*((xr_med="")+(xr_med=media_sel)&gt;0)*((xr_T="")+(ABS(xr_T-temp_C)&lt;=xr_T_tol)&gt;0))&gt;0,1,0))</f>
        <v>0.0</v>
      </c>
    </row>
    <row r="127">
      <c r="A127" s="265" t="inlineStr">
        <is>
          <t xml:space="preserve">Confirm knallgas uptake ratio (H2:O2:CO2)</t>
        </is>
      </c>
      <c r="B127" s="266" t="inlineStr">
        <is>
          <t xml:space="preserve">xs_knall</t>
        </is>
      </c>
      <c r="D127" s="277" t="str">
        <f>CHOOSE(1+MAX(IF(ISNUMBER(cal_knall_O2),2,0),F127),"Not done","Approximate","Done")</f>
        <v>Not done</v>
      </c>
      <c r="E127" s="269" t="inlineStr">
        <is>
          <t xml:space="preserve">Done when the knallgas section has an included run for this organism.</t>
        </is>
      </c>
      <c r="F127" s="277">
        <f>IF(SUMPRODUCT((xr_exp=A127)*(xr_res="Done")*((xr_rx="")+(xr_rx=Reactor_sel)+(xr_rx=rx_ver)&gt;0)*((xr_el="")+(xr_el=electrode_sel)&gt;0)*((xr_org="")+(xr_org=organism_sel)&gt;0)*((xr_med="")+(xr_med=media_sel)&gt;0)*((xr_T="")+(ABS(xr_T-temp_C)&lt;=xr_T_tol)&gt;0))&gt;0,2,IF(SUMPRODUCT((xr_exp=A127)*(xr_res="Approximate")*((xr_rx="")+(xr_rx=Reactor_sel)+(xr_rx=rx_ver)&gt;0)*((xr_el="")+(xr_el=electrode_sel)&gt;0)*((xr_org="")+(xr_org=organism_sel)&gt;0)*((xr_med="")+(xr_med=media_sel)&gt;0)*((xr_T="")+(ABS(xr_T-temp_C)&lt;=xr_T_tol)&gt;0))&gt;0,1,0))</f>
        <v>0.0</v>
      </c>
    </row>
    <row r="128">
      <c r="A128" s="265" t="inlineStr">
        <is>
          <t xml:space="preserve">Bench-characterise the solenoid pulse floor</t>
        </is>
      </c>
      <c r="B128" s="266" t="inlineStr">
        <is>
          <t xml:space="preserve">xs_floor</t>
        </is>
      </c>
      <c r="D128" s="277" t="str">
        <f>CHOOSE(1+MAX(IF(ISNUMBER(cal_pulse_floor),2,0),F128),"Not done","Approximate","Done")</f>
        <v>Approximate</v>
      </c>
      <c r="E128" s="269" t="inlineStr">
        <is>
          <t xml:space="preserve">Done when the CO₂-flow section has an included Min pulse for this reactor.</t>
        </is>
      </c>
      <c r="F128" s="277">
        <f>IF(SUMPRODUCT((xr_exp=A128)*(xr_res="Done")*((xr_rx="")+(xr_rx=Reactor_sel)+(xr_rx=rx_ver)&gt;0)*((xr_el="")+(xr_el=electrode_sel)&gt;0)*((xr_org="")+(xr_org=organism_sel)&gt;0)*((xr_med="")+(xr_med=media_sel)&gt;0)*((xr_T="")+(ABS(xr_T-temp_C)&lt;=xr_T_tol)&gt;0))&gt;0,2,IF(SUMPRODUCT((xr_exp=A128)*(xr_res="Approximate")*((xr_rx="")+(xr_rx=Reactor_sel)+(xr_rx=rx_ver)&gt;0)*((xr_el="")+(xr_el=electrode_sel)&gt;0)*((xr_org="")+(xr_org=organism_sel)&gt;0)*((xr_med="")+(xr_med=media_sel)&gt;0)*((xr_T="")+(ABS(xr_T-temp_C)&lt;=xr_T_tol)&gt;0))&gt;0,1,0))</f>
        <v>1.0</v>
      </c>
    </row>
    <row r="129">
      <c r="A129" s="265" t="inlineStr">
        <is>
          <t xml:space="preserve">Sparger-attached flow check</t>
        </is>
      </c>
      <c r="B129" s="266" t="inlineStr">
        <is>
          <t xml:space="preserve">xs_spflow</t>
        </is>
      </c>
      <c r="D129" s="277" t="str">
        <f>CHOOSE(1+F129,"Not done","Approximate","Done")</f>
        <v>Approximate</v>
      </c>
      <c r="E129" s="269" t="inlineStr">
        <is>
          <t xml:space="preserve">From the record.</t>
        </is>
      </c>
      <c r="F129" s="277">
        <f>IF(SUMPRODUCT((xr_exp=A129)*(xr_res="Done")*((xr_rx="")+(xr_rx=Reactor_sel)+(xr_rx=rx_ver)&gt;0)*((xr_el="")+(xr_el=electrode_sel)&gt;0)*((xr_org="")+(xr_org=organism_sel)&gt;0)*((xr_med="")+(xr_med=media_sel)&gt;0)*((xr_T="")+(ABS(xr_T-temp_C)&lt;=xr_T_tol)&gt;0))&gt;0,2,IF(SUMPRODUCT((xr_exp=A129)*(xr_res="Approximate")*((xr_rx="")+(xr_rx=Reactor_sel)+(xr_rx=rx_ver)&gt;0)*((xr_el="")+(xr_el=electrode_sel)&gt;0)*((xr_org="")+(xr_org=organism_sel)&gt;0)*((xr_med="")+(xr_med=media_sel)&gt;0)*((xr_T="")+(ABS(xr_T-temp_C)&lt;=xr_T_tol)&gt;0))&gt;0,1,0))</f>
        <v>1.0</v>
      </c>
    </row>
    <row r="130">
      <c r="A130" s="265" t="inlineStr">
        <is>
          <t xml:space="preserve">No-carryover maximum flow</t>
        </is>
      </c>
      <c r="B130" s="266" t="inlineStr">
        <is>
          <t xml:space="preserve">xs_carry</t>
        </is>
      </c>
      <c r="D130" s="277" t="str">
        <f>CHOOSE(1+MAX(IF(ISNUMBER(SEARCH("not measured",carry_flag_ca)),0,2),F130),"Not done","Approximate","Done")</f>
        <v>Approximate</v>
      </c>
      <c r="E130" s="269" t="inlineStr">
        <is>
          <t xml:space="preserve">Done when CO2 flows column M holds a no-carryover flow for this reactor.</t>
        </is>
      </c>
      <c r="F130" s="277">
        <f>IF(SUMPRODUCT((xr_exp=A130)*(xr_res="Done")*((xr_rx="")+(xr_rx=Reactor_sel)+(xr_rx=rx_ver)&gt;0)*((xr_el="")+(xr_el=electrode_sel)&gt;0)*((xr_org="")+(xr_org=organism_sel)&gt;0)*((xr_med="")+(xr_med=media_sel)&gt;0)*((xr_T="")+(ABS(xr_T-temp_C)&lt;=xr_T_tol)&gt;0))&gt;0,2,IF(SUMPRODUCT((xr_exp=A130)*(xr_res="Approximate")*((xr_rx="")+(xr_rx=Reactor_sel)+(xr_rx=rx_ver)&gt;0)*((xr_el="")+(xr_el=electrode_sel)&gt;0)*((xr_org="")+(xr_org=organism_sel)&gt;0)*((xr_med="")+(xr_med=media_sel)&gt;0)*((xr_T="")+(ABS(xr_T-temp_C)&lt;=xr_T_tol)&gt;0))&gt;0,1,0))</f>
        <v>1.0</v>
      </c>
    </row>
    <row r="131">
      <c r="A131" s="265" t="inlineStr">
        <is>
          <t xml:space="preserve">Measure / confirm sinter porosity</t>
        </is>
      </c>
      <c r="B131" s="266" t="inlineStr">
        <is>
          <t xml:space="preserve">xs_sinter</t>
        </is>
      </c>
      <c r="D131" s="277" t="str">
        <f>IF(sparger_ca&lt;&gt;"Sintered","Not needed",CHOOSE(1+MAX(IF(ISNUMBER(cal_sinter),2,0),F131),"Not done","Approximate","Done"))</f>
        <v>Not done</v>
      </c>
      <c r="E131" s="269" t="inlineStr">
        <is>
          <t xml:space="preserve">Not needed without a sintered sparger; Done when the sinter section has an included run for this reactor.</t>
        </is>
      </c>
      <c r="F131" s="277">
        <f>IF(SUMPRODUCT((xr_exp=A131)*(xr_res="Done")*((xr_rx="")+(xr_rx=Reactor_sel)+(xr_rx=rx_ver)&gt;0)*((xr_el="")+(xr_el=electrode_sel)&gt;0)*((xr_org="")+(xr_org=organism_sel)&gt;0)*((xr_med="")+(xr_med=media_sel)&gt;0)*((xr_T="")+(ABS(xr_T-temp_C)&lt;=xr_T_tol)&gt;0))&gt;0,2,IF(SUMPRODUCT((xr_exp=A131)*(xr_res="Approximate")*((xr_rx="")+(xr_rx=Reactor_sel)+(xr_rx=rx_ver)&gt;0)*((xr_el="")+(xr_el=electrode_sel)&gt;0)*((xr_org="")+(xr_org=organism_sel)&gt;0)*((xr_med="")+(xr_med=media_sel)&gt;0)*((xr_T="")+(ABS(xr_T-temp_C)&lt;=xr_T_tol)&gt;0))&gt;0,1,0))</f>
        <v>0.0</v>
      </c>
    </row>
    <row r="132">
      <c r="A132" s="265" t="inlineStr">
        <is>
          <t xml:space="preserve">Record lab ambient pressure</t>
        </is>
      </c>
      <c r="B132" s="266" t="inlineStr">
        <is>
          <t xml:space="preserve">xs_patm</t>
        </is>
      </c>
      <c r="D132" s="277" t="str">
        <f>CHOOSE(1+MAX(IF(ISNUMBER(P_atm_ca),2,0),F132),"Not done","Approximate","Done")</f>
        <v>Not done</v>
      </c>
      <c r="E132" s="269" t="inlineStr">
        <is>
          <t xml:space="preserve">Done when an ambient pressure is entered on Summary (row 10).</t>
        </is>
      </c>
      <c r="F132" s="277">
        <f>IF(SUMPRODUCT((xr_exp=A132)*(xr_res="Done")*((xr_rx="")+(xr_rx=Reactor_sel)+(xr_rx=rx_ver)&gt;0)*((xr_el="")+(xr_el=electrode_sel)&gt;0)*((xr_org="")+(xr_org=organism_sel)&gt;0)*((xr_med="")+(xr_med=media_sel)&gt;0)*((xr_T="")+(ABS(xr_T-temp_C)&lt;=xr_T_tol)&gt;0))&gt;0,2,IF(SUMPRODUCT((xr_exp=A132)*(xr_res="Approximate")*((xr_rx="")+(xr_rx=Reactor_sel)+(xr_rx=rx_ver)&gt;0)*((xr_el="")+(xr_el=electrode_sel)&gt;0)*((xr_org="")+(xr_org=organism_sel)&gt;0)*((xr_med="")+(xr_med=media_sel)&gt;0)*((xr_T="")+(ABS(xr_T-temp_C)&lt;=xr_T_tol)&gt;0))&gt;0,1,0))</f>
        <v>0.0</v>
      </c>
    </row>
    <row r="134">
      <c r="A134" s="278" t="inlineStr">
        <is>
          <t xml:space="preserve">NAMED CONSTANTS AND IMPORTS (experiment status)</t>
        </is>
      </c>
      <c r="B134" s="278"/>
      <c r="C134" s="278"/>
      <c r="D134" s="278"/>
      <c r="E134" s="278"/>
      <c r="F134" s="278"/>
      <c r="G134" s="278"/>
      <c r="H134" s="278"/>
      <c r="I134" s="278"/>
      <c r="J134" s="278"/>
      <c r="K134" s="278"/>
      <c r="L134" s="278"/>
      <c r="M134" s="278"/>
      <c r="N134" s="278"/>
    </row>
    <row r="135">
      <c r="A135" s="265" t="inlineStr">
        <is>
          <t xml:space="preserve">Temperature tolerance for a recorded experiment</t>
        </is>
      </c>
      <c r="B135" s="266" t="inlineStr">
        <is>
          <t xml:space="preserve">xr_T_tol</t>
        </is>
      </c>
      <c r="C135" s="265" t="inlineStr">
        <is>
          <t xml:space="preserve">°C</t>
        </is>
      </c>
      <c r="D135" s="268">
        <v>2.0</v>
      </c>
      <c r="E135" s="314" t="inlineStr">
        <is>
          <t xml:space="preserve">Design assumption: a result recorded within ±2 °C of the Summary temperature counts as matching (k_m runs use the tighter D191).</t>
        </is>
      </c>
    </row>
    <row r="136">
      <c r="A136" s="265" t="inlineStr">
        <is>
          <t xml:space="preserve">(import) Reactor has a CO₂ flow calibration</t>
        </is>
      </c>
      <c r="B136" s="266" t="inlineStr">
        <is>
          <t xml:space="preserve">has_cal_ca</t>
        </is>
      </c>
      <c r="C136" s="265" t="inlineStr">
        <is>
          <t xml:space="preserve">count</t>
        </is>
      </c>
      <c r="D136" s="277">
        <f>'Mass Transfer'!has_cal</f>
        <v>1.0</v>
      </c>
      <c r="E136" s="310" t="inlineStr">
        <is>
          <t xml:space="preserve">Import from Mass Transfer!D119 (has_cal).</t>
        </is>
      </c>
    </row>
    <row r="137">
      <c r="A137" s="265" t="inlineStr">
        <is>
          <t xml:space="preserve">(import) Lower edge of the fitted current curve</t>
        </is>
      </c>
      <c r="B137" s="266" t="inlineStr">
        <is>
          <t xml:space="preserve">gerrit_min_ca</t>
        </is>
      </c>
      <c r="C137" s="265" t="inlineStr">
        <is>
          <t xml:space="preserve">%</t>
        </is>
      </c>
      <c r="D137" s="277">
        <f>Electrochemistry!gerrit_min</f>
        <v>3.0</v>
      </c>
      <c r="E137" s="310" t="inlineStr">
        <is>
          <t xml:space="preserve">Import from Electrochemistry!D13 (gerrit_min).</t>
        </is>
      </c>
    </row>
    <row r="138">
      <c r="A138" s="265" t="inlineStr">
        <is>
          <t xml:space="preserve">(import) Vent model on Summary</t>
        </is>
      </c>
      <c r="B138" s="266" t="inlineStr">
        <is>
          <t xml:space="preserve">vent_model_ca</t>
        </is>
      </c>
      <c r="C138" s="265" t="inlineStr">
        <is>
          <t xml:space="preserve">-</t>
        </is>
      </c>
      <c r="D138" s="277" t="str">
        <f>Summary!vent_model_sel</f>
        <v>Open vent</v>
      </c>
      <c r="E138" s="310" t="inlineStr">
        <is>
          <t xml:space="preserve">Import from Summary!D11 (vent_model_sel).</t>
        </is>
      </c>
    </row>
    <row r="139">
      <c r="A139" s="265" t="inlineStr">
        <is>
          <t xml:space="preserve">(import) Chloride in the medium in use</t>
        </is>
      </c>
      <c r="B139" s="266" t="inlineStr">
        <is>
          <t xml:space="preserve">Cl_sel_ca</t>
        </is>
      </c>
      <c r="C139" s="265" t="inlineStr">
        <is>
          <t xml:space="preserve">mol/L</t>
        </is>
      </c>
      <c r="D139" s="277">
        <f>Chemistry!pH_Cl</f>
        <v>0.0</v>
      </c>
      <c r="E139" s="310" t="inlineStr">
        <is>
          <t xml:space="preserve">Import from Chemistry!D47 (pH_Cl).</t>
        </is>
      </c>
    </row>
    <row r="140">
      <c r="A140" s="265" t="inlineStr">
        <is>
          <t xml:space="preserve">(import) Carryover verdict</t>
        </is>
      </c>
      <c r="B140" s="266" t="inlineStr">
        <is>
          <t xml:space="preserve">carry_flag_ca</t>
        </is>
      </c>
      <c r="C140" s="265" t="inlineStr">
        <is>
          <t xml:space="preserve">-</t>
        </is>
      </c>
      <c r="D140" s="277" t="str">
        <f>'Mass Transfer'!carry_flag</f>
        <v>not measured – record the max flow without carryover for ed04 in CO2 flows column M</v>
      </c>
      <c r="E140" s="310" t="inlineStr">
        <is>
          <t xml:space="preserve">Import from Mass Transfer!D59 (carry_flag).</t>
        </is>
      </c>
    </row>
    <row r="141">
      <c r="A141" s="265" t="inlineStr">
        <is>
          <t xml:space="preserve">(import) Sparger of the electrode in use</t>
        </is>
      </c>
      <c r="B141" s="266" t="inlineStr">
        <is>
          <t xml:space="preserve">sparger_ca</t>
        </is>
      </c>
      <c r="C141" s="265" t="inlineStr">
        <is>
          <t xml:space="preserve">-</t>
        </is>
      </c>
      <c r="D141" s="277" t="str">
        <f>'Mass Transfer'!sparger</f>
        <v>Sintered</v>
      </c>
      <c r="E141" s="310" t="inlineStr">
        <is>
          <t xml:space="preserve">Import from Mass Transfer!D21 (sparger).</t>
        </is>
      </c>
    </row>
    <row r="142">
      <c r="A142" s="265" t="inlineStr">
        <is>
          <t xml:space="preserve">(import) Ambient pressure entered on Summary</t>
        </is>
      </c>
      <c r="B142" s="266" t="inlineStr">
        <is>
          <t xml:space="preserve">P_atm_ca</t>
        </is>
      </c>
      <c r="C142" s="265" t="inlineStr">
        <is>
          <t xml:space="preserve">Pa</t>
        </is>
      </c>
      <c r="D142" s="277" t="str">
        <f>IF(ISNUMBER(Summary!P_atm_set),Summary!P_atm_set,"blank")</f>
        <v>blank</v>
      </c>
      <c r="E142" s="310" t="inlineStr">
        <is>
          <t xml:space="preserve">Import from Summary!D10 (P_atm_set); "blank" when none is entered.</t>
        </is>
      </c>
    </row>
  </sheetData>
  <conditionalFormatting sqref="D65 D66 D67 D68 D69 D98 D99 D100">
    <cfRule type="expression" dxfId="48" priority="1" stopIfTrue="1">
      <formula>OR(ISBLANK(D65),NOT(ISNUMBER(D65)),D65&lt;=0)</formula>
    </cfRule>
  </conditionalFormatting>
  <conditionalFormatting sqref="D64 D88 D89 D135">
    <cfRule type="expression" dxfId="48" priority="2" stopIfTrue="1">
      <formula>OR(ISBLANK(D64),NOT(ISNUMBER(D64)))</formula>
    </cfRule>
  </conditionalFormatting>
  <conditionalFormatting sqref="D106:D132">
    <cfRule type="expression" dxfId="46" priority="3" stopIfTrue="1">
      <formula>OR(D106="Done",D106="Not needed")</formula>
    </cfRule>
    <cfRule type="expression" dxfId="47" priority="4" stopIfTrue="1">
      <formula>D106="Approximate"</formula>
    </cfRule>
    <cfRule type="expression" dxfId="48" priority="5" stopIfTrue="1">
      <formula>D106="Not done"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5" t="inlineStr">
        <is>
          <t xml:space="preserve">imp01</t>
        </is>
      </c>
      <c r="B5" s="268" t="inlineStr">
        <is>
          <t xml:space="preserve">AEP0.1.1</t>
        </is>
      </c>
      <c r="D5" s="265" t="inlineStr">
        <is>
          <t xml:space="preserve">AEP0.1.1</t>
        </is>
      </c>
      <c r="E5" s="268" t="inlineStr">
        <is>
          <t xml:space="preserve">1.1</t>
        </is>
      </c>
      <c r="F5" s="268">
        <v>20.0</v>
      </c>
      <c r="G5" s="268">
        <v>55.0</v>
      </c>
      <c r="H5" s="268">
        <v>16.0</v>
      </c>
      <c r="I5" s="268">
        <v>20.0</v>
      </c>
      <c r="J5" s="268">
        <v>27.48</v>
      </c>
      <c r="K5" s="268">
        <v>12.0</v>
      </c>
      <c r="L5" s="268">
        <v>3.0</v>
      </c>
    </row>
    <row r="6">
      <c r="A6" s="265" t="inlineStr">
        <is>
          <t xml:space="preserve">imp02</t>
        </is>
      </c>
      <c r="B6" s="268" t="inlineStr">
        <is>
          <t xml:space="preserve">AEP0.1.1</t>
        </is>
      </c>
      <c r="D6" s="265" t="inlineStr">
        <is>
          <t xml:space="preserve">MEP0.3</t>
        </is>
      </c>
      <c r="E6" s="268" t="inlineStr">
        <is>
          <t xml:space="preserve">1.1</t>
        </is>
      </c>
      <c r="F6" s="268">
        <v>20.0</v>
      </c>
      <c r="G6" s="268">
        <v>55.0</v>
      </c>
      <c r="H6" s="268">
        <v>16.0</v>
      </c>
      <c r="I6" s="268">
        <v>20.0</v>
      </c>
      <c r="J6" s="268">
        <v>27.48</v>
      </c>
      <c r="K6" s="268">
        <v>12.0</v>
      </c>
      <c r="L6" s="268">
        <v>3.0</v>
      </c>
    </row>
    <row r="7">
      <c r="A7" s="265" t="inlineStr">
        <is>
          <t xml:space="preserve">imp03</t>
        </is>
      </c>
      <c r="B7" s="268" t="inlineStr">
        <is>
          <t xml:space="preserve">AEP0.1.1</t>
        </is>
      </c>
      <c r="D7" s="265" t="inlineStr">
        <is>
          <t xml:space="preserve">AEP0.2</t>
        </is>
      </c>
      <c r="E7" s="268" t="inlineStr">
        <is>
          <t xml:space="preserve">1.5</t>
        </is>
      </c>
      <c r="F7" s="268">
        <v>40.0</v>
      </c>
      <c r="G7" s="268">
        <v>95.0</v>
      </c>
      <c r="H7" s="268">
        <v>30.0</v>
      </c>
      <c r="I7" s="268">
        <v>42.0</v>
      </c>
      <c r="J7" s="268">
        <v>27.48</v>
      </c>
      <c r="K7" s="268">
        <v>15.0</v>
      </c>
      <c r="L7" s="268">
        <v>6.0</v>
      </c>
    </row>
    <row r="8">
      <c r="A8" s="265" t="inlineStr">
        <is>
          <t xml:space="preserve">imp04</t>
        </is>
      </c>
      <c r="B8" s="268" t="inlineStr">
        <is>
          <t xml:space="preserve">AEP0.1.1</t>
        </is>
      </c>
      <c r="D8" s="265" t="inlineStr">
        <is>
          <t xml:space="preserve">AEP0.2a</t>
        </is>
      </c>
      <c r="E8" s="268" t="inlineStr">
        <is>
          <t xml:space="preserve">1.5</t>
        </is>
      </c>
      <c r="F8" s="268">
        <v>40.0</v>
      </c>
      <c r="G8" s="268">
        <v>95.0</v>
      </c>
      <c r="H8" s="268">
        <v>30.0</v>
      </c>
      <c r="I8" s="268">
        <v>42.0</v>
      </c>
      <c r="J8" s="268">
        <v>27.48</v>
      </c>
      <c r="K8" s="268">
        <v>15.0</v>
      </c>
      <c r="L8" s="268">
        <v>6.0</v>
      </c>
    </row>
    <row r="9">
      <c r="A9" s="265" t="inlineStr">
        <is>
          <t xml:space="preserve">imp05</t>
        </is>
      </c>
      <c r="B9" s="268" t="inlineStr">
        <is>
          <t xml:space="preserve">AEP0.1.1</t>
        </is>
      </c>
    </row>
    <row r="10">
      <c r="A10" s="265" t="inlineStr">
        <is>
          <t xml:space="preserve">imp06</t>
        </is>
      </c>
      <c r="B10" s="268" t="inlineStr">
        <is>
          <t xml:space="preserve">AEP0.1.1</t>
        </is>
      </c>
    </row>
    <row r="11">
      <c r="A11" s="265" t="inlineStr">
        <is>
          <t xml:space="preserve">ed01</t>
        </is>
      </c>
      <c r="B11" s="268" t="inlineStr">
        <is>
          <t xml:space="preserve">AEP0.1.1</t>
        </is>
      </c>
    </row>
    <row r="12">
      <c r="A12" s="265" t="inlineStr">
        <is>
          <t xml:space="preserve">ed02</t>
        </is>
      </c>
      <c r="B12" s="268" t="inlineStr">
        <is>
          <t xml:space="preserve">AEP0.1.1</t>
        </is>
      </c>
    </row>
    <row r="13">
      <c r="A13" s="265" t="inlineStr">
        <is>
          <t xml:space="preserve">ed03</t>
        </is>
      </c>
      <c r="B13" s="268" t="inlineStr">
        <is>
          <t xml:space="preserve">AEP0.1.1</t>
        </is>
      </c>
    </row>
    <row r="14">
      <c r="A14" s="265" t="inlineStr">
        <is>
          <t xml:space="preserve">ed04</t>
        </is>
      </c>
      <c r="B14" s="268" t="inlineStr">
        <is>
          <t xml:space="preserve">MEP0.3</t>
        </is>
      </c>
    </row>
    <row r="15">
      <c r="A15" s="265" t="inlineStr">
        <is>
          <t xml:space="preserve">ed05</t>
        </is>
      </c>
      <c r="B15" s="268" t="inlineStr">
        <is>
          <t xml:space="preserve">MEP0.3</t>
        </is>
      </c>
    </row>
    <row r="16">
      <c r="A16" s="265" t="inlineStr">
        <is>
          <t xml:space="preserve">ed06</t>
        </is>
      </c>
      <c r="B16" s="268" t="inlineStr">
        <is>
          <t xml:space="preserve">AEP0.2</t>
        </is>
      </c>
    </row>
    <row r="17">
      <c r="A17" s="265" t="inlineStr">
        <is>
          <t xml:space="preserve">ed07</t>
        </is>
      </c>
      <c r="B17" s="268" t="inlineStr">
        <is>
          <t xml:space="preserve">AEP0.2</t>
        </is>
      </c>
    </row>
    <row r="18">
      <c r="A18" s="265" t="inlineStr">
        <is>
          <t xml:space="preserve">ed08</t>
        </is>
      </c>
      <c r="B18" s="268" t="inlineStr">
        <is>
          <t xml:space="preserve">AEP0.2</t>
        </is>
      </c>
    </row>
    <row r="19">
      <c r="A19" s="265" t="inlineStr">
        <is>
          <t xml:space="preserve">imp07</t>
        </is>
      </c>
      <c r="B19" s="268" t="inlineStr">
        <is>
          <t xml:space="preserve">AEP0.2</t>
        </is>
      </c>
    </row>
    <row r="20">
      <c r="A20" s="265" t="inlineStr">
        <is>
          <t xml:space="preserve">imp08</t>
        </is>
      </c>
      <c r="B20" s="268" t="inlineStr">
        <is>
          <t xml:space="preserve">AEP0.2</t>
        </is>
      </c>
    </row>
    <row r="21">
      <c r="A21" s="265" t="inlineStr">
        <is>
          <t xml:space="preserve">imp09</t>
        </is>
      </c>
      <c r="B21" s="268" t="inlineStr">
        <is>
          <t xml:space="preserve">AEP0.2</t>
        </is>
      </c>
    </row>
    <row r="22">
      <c r="A22" s="265" t="inlineStr">
        <is>
          <t xml:space="preserve">imp10</t>
        </is>
      </c>
      <c r="B22" s="268" t="inlineStr">
        <is>
          <t xml:space="preserve">AEP0.2</t>
        </is>
      </c>
    </row>
    <row r="23">
      <c r="A23" s="265" t="inlineStr">
        <is>
          <t xml:space="preserve">imp11</t>
        </is>
      </c>
      <c r="B23" s="268" t="inlineStr">
        <is>
          <t xml:space="preserve">AEP0.2</t>
        </is>
      </c>
    </row>
    <row r="24">
      <c r="A24" s="265" t="inlineStr">
        <is>
          <t xml:space="preserve">imp12</t>
        </is>
      </c>
      <c r="B24" s="268" t="inlineStr">
        <is>
          <t xml:space="preserve">AEP0.2</t>
        </is>
      </c>
    </row>
    <row r="25">
      <c r="A25" s="265" t="inlineStr">
        <is>
          <t xml:space="preserve">nm01</t>
        </is>
      </c>
      <c r="B25" s="268" t="inlineStr">
        <is>
          <t xml:space="preserve">AEP0.2a</t>
        </is>
      </c>
    </row>
    <row r="26">
      <c r="A26" s="265"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5"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5"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5"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5"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5"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5"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5"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5"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5"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5"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ELECTROLYSIS CURRENT</t>
        </is>
      </c>
      <c r="B1" s="263"/>
      <c r="C1" s="263"/>
      <c r="D1" s="263"/>
      <c r="E1" s="263"/>
      <c r="F1" s="263"/>
      <c r="G1" s="263"/>
      <c r="H1" s="263"/>
    </row>
    <row r="2">
      <c r="A2" s="243" t="str">
        <f>HYPERLINK("https://github.com/amy-bo/electroPioreactor/blob/AEP02/Media/protocols/gerrit-current.md","Protocol (opens on GitHub)")</f>
        <v>Protocol (opens on GitHub)</v>
      </c>
    </row>
    <row r="3">
      <c r="A3" s="269" t="inlineStr">
        <is>
          <t xml:space="preserve">Value in use: one least-squares fit of current against intensity over every included point for the active reactor (pooled, so a run with more points weighs more).</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slope</t>
        </is>
      </c>
      <c r="C5" s="265" t="inlineStr">
        <is>
          <t xml:space="preserve">mA/%</t>
        </is>
      </c>
      <c r="D5" s="201" t="str">
        <f>cal_gerrit_slope</f>
        <v>no included runs — model uses its default</v>
      </c>
    </row>
    <row r="6">
      <c r="A6" s="265" t="inlineStr">
        <is>
          <t xml:space="preserve">Value in use - intercept</t>
        </is>
      </c>
      <c r="C6" s="265" t="inlineStr">
        <is>
          <t xml:space="preserve">mA</t>
        </is>
      </c>
      <c r="D6" s="201" t="str">
        <f>cal_gerrit_int</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Intensity (%)</t>
        </is>
      </c>
      <c r="E8" s="264" t="inlineStr">
        <is>
          <t xml:space="preserve">Current (mA)</t>
        </is>
      </c>
      <c r="F8" s="264" t="inlineStr">
        <is>
          <t xml:space="preserve">Type (auto)</t>
        </is>
      </c>
      <c r="G8" s="264" t="inlineStr">
        <is>
          <t xml:space="preserve">Include?</t>
        </is>
      </c>
      <c r="H8" s="264" t="inlineStr">
        <is>
          <t xml:space="preserve">Notes</t>
        </is>
      </c>
    </row>
    <row r="9">
      <c r="A9" s="309"/>
      <c r="B9" s="227"/>
      <c r="C9" s="309"/>
      <c r="D9" s="309"/>
      <c r="E9" s="309"/>
      <c r="F9" s="201" t="str">
        <f>IFERROR(INDEX(ReactorTypeList,MATCH(CalCurrent[[#This Row],[Reactor]],ReactorList,0)),"")</f>
        <v/>
      </c>
      <c r="G9" s="309"/>
      <c r="H9" s="309"/>
    </row>
    <row r="10">
      <c r="A10" s="309"/>
      <c r="B10" s="227"/>
      <c r="C10" s="309"/>
      <c r="D10" s="309"/>
      <c r="E10" s="309"/>
      <c r="F10" s="201" t="str">
        <f>IFERROR(INDEX(ReactorTypeList,MATCH(CalCurrent[[#This Row],[Reactor]],ReactorList,0)),"")</f>
        <v/>
      </c>
      <c r="G10" s="309"/>
      <c r="H10" s="309"/>
    </row>
    <row r="11">
      <c r="A11" s="309"/>
      <c r="B11" s="227"/>
      <c r="C11" s="309"/>
      <c r="D11" s="309"/>
      <c r="E11" s="309"/>
      <c r="F11" s="201" t="str">
        <f>IFERROR(INDEX(ReactorTypeList,MATCH(CalCurrent[[#This Row],[Reactor]],ReactorList,0)),"")</f>
        <v/>
      </c>
      <c r="G11" s="309"/>
      <c r="H11" s="309"/>
    </row>
    <row r="12">
      <c r="A12" s="309"/>
      <c r="B12" s="227"/>
      <c r="C12" s="309"/>
      <c r="D12" s="309"/>
      <c r="E12" s="309"/>
      <c r="F12" s="201" t="str">
        <f>IFERROR(INDEX(ReactorTypeList,MATCH(CalCurrent[[#This Row],[Reactor]],ReactorList,0)),"")</f>
        <v/>
      </c>
      <c r="G12" s="309"/>
      <c r="H12" s="309"/>
    </row>
    <row r="13">
      <c r="A13" s="309"/>
      <c r="B13" s="227"/>
      <c r="C13" s="309"/>
      <c r="D13" s="309"/>
      <c r="E13" s="309"/>
      <c r="F13" s="201" t="str">
        <f>IFERROR(INDEX(ReactorTypeList,MATCH(CalCurrent[[#This Row],[Reactor]],ReactorList,0)),"")</f>
        <v/>
      </c>
      <c r="G13" s="309"/>
      <c r="H13" s="309"/>
    </row>
    <row r="14">
      <c r="A14" s="309"/>
      <c r="B14" s="227"/>
      <c r="C14" s="309"/>
      <c r="D14" s="309"/>
      <c r="E14" s="309"/>
      <c r="F14" s="201" t="str">
        <f>IFERROR(INDEX(ReactorTypeList,MATCH(CalCurrent[[#This Row],[Reactor]],ReactorList,0)),"")</f>
        <v/>
      </c>
      <c r="G14" s="309"/>
      <c r="H14" s="309"/>
    </row>
    <row r="15">
      <c r="A15" s="309"/>
      <c r="B15" s="227"/>
      <c r="C15" s="309"/>
      <c r="D15" s="309"/>
      <c r="E15" s="309"/>
      <c r="F15" s="201" t="str">
        <f>IFERROR(INDEX(ReactorTypeList,MATCH(CalCurrent[[#This Row],[Reactor]],ReactorList,0)),"")</f>
        <v/>
      </c>
      <c r="G15" s="309"/>
      <c r="H15" s="309"/>
    </row>
    <row r="16">
      <c r="A16" s="309"/>
      <c r="B16" s="227"/>
      <c r="C16" s="309"/>
      <c r="D16" s="309"/>
      <c r="E16" s="309"/>
      <c r="F16" s="201" t="str">
        <f>IFERROR(INDEX(ReactorTypeList,MATCH(CalCurrent[[#This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sheetPr>
    <tabColor rgb="FFA5A5A5"/>
  </sheetPr>
  <dimension ref="A1:L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2" width="15" customWidth="1"/>
  </cols>
  <sheetData>
    <row r="1">
      <c r="A1" s="263" t="inlineStr">
        <is>
          <t xml:space="preserve">CALIBRATION LOG – FARADAIC EFFICIENCY  (cathodic etaF, anodic etaF_OER)</t>
        </is>
      </c>
      <c r="B1" s="263"/>
      <c r="C1" s="263"/>
      <c r="D1" s="263"/>
      <c r="E1" s="263"/>
      <c r="F1" s="263"/>
      <c r="G1" s="263"/>
      <c r="H1" s="263"/>
      <c r="I1" s="263"/>
      <c r="J1" s="263"/>
      <c r="K1" s="263"/>
      <c r="L1" s="263"/>
    </row>
    <row r="2">
      <c r="A2" s="243" t="str">
        <f>HYPERLINK("https://github.com/amy-bo/electroPioreactor/blob/AEP02/Media/protocols/faradaic-efficiency.md","Protocol (opens on GitHub)")</f>
        <v>Protocol (opens on GitHub)</v>
      </c>
    </row>
    <row r="3">
      <c r="A3"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cathode (H2)</t>
        </is>
      </c>
      <c r="C5" s="265" t="inlineStr">
        <is>
          <t xml:space="preserve">-</t>
        </is>
      </c>
      <c r="D5" s="201" t="str">
        <f>cal_etaF</f>
        <v>no included runs — model uses its default</v>
      </c>
    </row>
    <row r="6">
      <c r="A6" s="265" t="inlineStr">
        <is>
          <t xml:space="preserve">Value in use - anode (O2)</t>
        </is>
      </c>
      <c r="C6" s="265" t="inlineStr">
        <is>
          <t xml:space="preserve">-</t>
        </is>
      </c>
      <c r="D6" s="201" t="str">
        <f>cal_etaF_OER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Charge Q (C)</t>
        </is>
      </c>
      <c r="E8" s="264" t="inlineStr">
        <is>
          <t xml:space="preserve">Gas volume (mL)</t>
        </is>
      </c>
      <c r="F8" s="264" t="inlineStr">
        <is>
          <t xml:space="preserve">Temp (°C)</t>
        </is>
      </c>
      <c r="G8" s="264" t="inlineStr">
        <is>
          <t xml:space="preserve">Pressure (Pa)</t>
        </is>
      </c>
      <c r="H8" s="264" t="inlineStr">
        <is>
          <t xml:space="preserve">Gas (H2 or O2)</t>
        </is>
      </c>
      <c r="I8" s="264" t="inlineStr">
        <is>
          <t xml:space="preserve">etaF (computed)</t>
        </is>
      </c>
      <c r="J8" s="264" t="inlineStr">
        <is>
          <t xml:space="preserve">Type (auto)</t>
        </is>
      </c>
      <c r="K8" s="264" t="inlineStr">
        <is>
          <t xml:space="preserve">Include?</t>
        </is>
      </c>
      <c r="L8" s="264" t="inlineStr">
        <is>
          <t xml:space="preserve">Notes</t>
        </is>
      </c>
    </row>
    <row r="9">
      <c r="A9" s="309"/>
      <c r="B9" s="227"/>
      <c r="C9" s="309"/>
      <c r="D9" s="309"/>
      <c r="E9" s="309"/>
      <c r="F9" s="309"/>
      <c r="G9" s="309"/>
      <c r="H9" s="309"/>
      <c r="I9"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9" s="201" t="str">
        <f>IFERROR(INDEX(ReactorTypeList,MATCH(CalFaradaic[[#This Row],[Reactor]],ReactorList,0)),"")</f>
        <v/>
      </c>
      <c r="K9" s="309"/>
      <c r="L9" s="309"/>
    </row>
    <row r="10">
      <c r="A10" s="309"/>
      <c r="B10" s="227"/>
      <c r="C10" s="309"/>
      <c r="D10" s="309"/>
      <c r="E10" s="309"/>
      <c r="F10" s="309"/>
      <c r="G10" s="309"/>
      <c r="H10" s="309"/>
      <c r="I10"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0" s="201" t="str">
        <f>IFERROR(INDEX(ReactorTypeList,MATCH(CalFaradaic[[#This Row],[Reactor]],ReactorList,0)),"")</f>
        <v/>
      </c>
      <c r="K10" s="309"/>
      <c r="L10" s="309"/>
    </row>
    <row r="11">
      <c r="A11" s="309"/>
      <c r="B11" s="227"/>
      <c r="C11" s="309"/>
      <c r="D11" s="309"/>
      <c r="E11" s="309"/>
      <c r="F11" s="309"/>
      <c r="G11" s="309"/>
      <c r="H11" s="309"/>
      <c r="I11"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1" s="201" t="str">
        <f>IFERROR(INDEX(ReactorTypeList,MATCH(CalFaradaic[[#This Row],[Reactor]],ReactorList,0)),"")</f>
        <v/>
      </c>
      <c r="K11" s="309"/>
      <c r="L11" s="309"/>
    </row>
    <row r="12">
      <c r="A12" s="309"/>
      <c r="B12" s="227"/>
      <c r="C12" s="309"/>
      <c r="D12" s="309"/>
      <c r="E12" s="309"/>
      <c r="F12" s="309"/>
      <c r="G12" s="309"/>
      <c r="H12" s="309"/>
      <c r="I12"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2" s="201" t="str">
        <f>IFERROR(INDEX(ReactorTypeList,MATCH(CalFaradaic[[#This Row],[Reactor]],ReactorList,0)),"")</f>
        <v/>
      </c>
      <c r="K12" s="309"/>
      <c r="L12" s="309"/>
    </row>
    <row r="13">
      <c r="A13" s="309"/>
      <c r="B13" s="227"/>
      <c r="C13" s="309"/>
      <c r="D13" s="309"/>
      <c r="E13" s="309"/>
      <c r="F13" s="309"/>
      <c r="G13" s="309"/>
      <c r="H13" s="309"/>
      <c r="I13"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3" s="201" t="str">
        <f>IFERROR(INDEX(ReactorTypeList,MATCH(CalFaradaic[[#This Row],[Reactor]],ReactorList,0)),"")</f>
        <v/>
      </c>
      <c r="K13" s="309"/>
      <c r="L13" s="309"/>
    </row>
    <row r="14">
      <c r="A14" s="309"/>
      <c r="B14" s="227"/>
      <c r="C14" s="309"/>
      <c r="D14" s="309"/>
      <c r="E14" s="309"/>
      <c r="F14" s="309"/>
      <c r="G14" s="309"/>
      <c r="H14" s="309"/>
      <c r="I14"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4" s="201" t="str">
        <f>IFERROR(INDEX(ReactorTypeList,MATCH(CalFaradaic[[#This Row],[Reactor]],ReactorList,0)),"")</f>
        <v/>
      </c>
      <c r="K14" s="309"/>
      <c r="L14" s="309"/>
    </row>
    <row r="15">
      <c r="A15" s="309"/>
      <c r="B15" s="227"/>
      <c r="C15" s="309"/>
      <c r="D15" s="309"/>
      <c r="E15" s="309"/>
      <c r="F15" s="309"/>
      <c r="G15" s="309"/>
      <c r="H15" s="309"/>
      <c r="I15"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5" s="201" t="str">
        <f>IFERROR(INDEX(ReactorTypeList,MATCH(CalFaradaic[[#This Row],[Reactor]],ReactorList,0)),"")</f>
        <v/>
      </c>
      <c r="K15" s="309"/>
      <c r="L15" s="309"/>
    </row>
    <row r="16">
      <c r="A16" s="309"/>
      <c r="B16" s="227"/>
      <c r="C16" s="309"/>
      <c r="D16" s="309"/>
      <c r="E16" s="309"/>
      <c r="F16" s="309"/>
      <c r="G16" s="309"/>
      <c r="H16" s="309"/>
      <c r="I16"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6" s="201" t="str">
        <f>IFERROR(INDEX(ReactorTypeList,MATCH(CalFaradaic[[#This Row],[Reactor]],ReactorList,0)),"")</f>
        <v/>
      </c>
      <c r="K16" s="309"/>
      <c r="L16" s="309"/>
    </row>
  </sheetData>
  <dataValidations count="3">
    <dataValidation type="list" allowBlank="1" showErrorMessage="1" errorTitle="Invalid value" error="Choose from the list." sqref="C9:C16">
      <formula1>ReactorList</formula1>
    </dataValidation>
    <dataValidation type="list" allowBlank="1" showErrorMessage="1" errorTitle="Invalid value" error="Choose from the list." sqref="K9:K16">
      <formula1>"y,n"</formula1>
    </dataValidation>
    <dataValidation type="list" allowBlank="1" showErrorMessage="1" errorTitle="Invalid value" error="Choose from the list." sqref="H9:H16">
      <formula1>"H2,O2"</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sheetPr>
    <tabColor rgb="FFA5A5A5"/>
  </sheetPr>
  <dimension ref="A1:G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7" width="15" customWidth="1"/>
  </cols>
  <sheetData>
    <row r="1">
      <c r="A1" s="263" t="inlineStr">
        <is>
          <t xml:space="preserve">CALIBRATION LOG – SURFACE kLa  (oxygen surface transfer)</t>
        </is>
      </c>
      <c r="B1" s="263"/>
      <c r="C1" s="263"/>
      <c r="D1" s="263"/>
      <c r="E1" s="263"/>
      <c r="F1" s="263"/>
      <c r="G1" s="263"/>
    </row>
    <row r="2">
      <c r="A2" s="243" t="str">
        <f>HYPERLINK("https://github.com/amy-bo/electroPioreactor/blob/AEP02/Media/protocols/surface-kla.md","Protocol (opens on GitHub)")</f>
        <v>Protocol (opens on GitHub)</v>
      </c>
    </row>
    <row r="3">
      <c r="A3" s="269" t="inlineStr">
        <is>
          <t xml:space="preserve">Value in use: average of the included kLa runs for the active reactor.</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kLa</t>
        </is>
      </c>
      <c r="C5" s="265" t="inlineStr">
        <is>
          <t xml:space="preserve">1/h</t>
        </is>
      </c>
      <c r="D5" s="201" t="str">
        <f>cal_kLa</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kLa (1/h)</t>
        </is>
      </c>
      <c r="E7" s="264" t="inlineStr">
        <is>
          <t xml:space="preserve">Type (auto)</t>
        </is>
      </c>
      <c r="F7" s="264" t="inlineStr">
        <is>
          <t xml:space="preserve">Include?</t>
        </is>
      </c>
      <c r="G7" s="264" t="inlineStr">
        <is>
          <t xml:space="preserve">Notes</t>
        </is>
      </c>
    </row>
    <row r="8">
      <c r="A8" s="309"/>
      <c r="B8" s="227"/>
      <c r="C8" s="309"/>
      <c r="D8" s="309"/>
      <c r="E8" s="201" t="str">
        <f>IFERROR(INDEX(ReactorTypeList,MATCH(CalKLa[[#This Row],[Reactor]],ReactorList,0)),"")</f>
        <v/>
      </c>
      <c r="F8" s="309"/>
      <c r="G8" s="309"/>
    </row>
    <row r="9">
      <c r="A9" s="309"/>
      <c r="B9" s="227"/>
      <c r="C9" s="309"/>
      <c r="D9" s="309"/>
      <c r="E9" s="201" t="str">
        <f>IFERROR(INDEX(ReactorTypeList,MATCH(CalKLa[[#This Row],[Reactor]],ReactorList,0)),"")</f>
        <v/>
      </c>
      <c r="F9" s="309"/>
      <c r="G9" s="309"/>
    </row>
    <row r="10">
      <c r="A10" s="309"/>
      <c r="B10" s="227"/>
      <c r="C10" s="309"/>
      <c r="D10" s="309"/>
      <c r="E10" s="201" t="str">
        <f>IFERROR(INDEX(ReactorTypeList,MATCH(CalKLa[[#This Row],[Reactor]],ReactorList,0)),"")</f>
        <v/>
      </c>
      <c r="F10" s="309"/>
      <c r="G10" s="309"/>
    </row>
    <row r="11">
      <c r="A11" s="309"/>
      <c r="B11" s="227"/>
      <c r="C11" s="309"/>
      <c r="D11" s="309"/>
      <c r="E11" s="201" t="str">
        <f>IFERROR(INDEX(ReactorTypeList,MATCH(CalKLa[[#This Row],[Reactor]],ReactorList,0)),"")</f>
        <v/>
      </c>
      <c r="F11" s="309"/>
      <c r="G11" s="309"/>
    </row>
    <row r="12">
      <c r="A12" s="309"/>
      <c r="B12" s="227"/>
      <c r="C12" s="309"/>
      <c r="D12" s="309"/>
      <c r="E12" s="201" t="str">
        <f>IFERROR(INDEX(ReactorTypeList,MATCH(CalKLa[[#This Row],[Reactor]],ReactorList,0)),"")</f>
        <v/>
      </c>
      <c r="F12" s="309"/>
      <c r="G12" s="309"/>
    </row>
    <row r="13">
      <c r="A13" s="309"/>
      <c r="B13" s="227"/>
      <c r="C13" s="309"/>
      <c r="D13" s="309"/>
      <c r="E13" s="201" t="str">
        <f>IFERROR(INDEX(ReactorTypeList,MATCH(CalKLa[[#This Row],[Reactor]],ReactorList,0)),"")</f>
        <v/>
      </c>
      <c r="F13" s="309"/>
      <c r="G13" s="309"/>
    </row>
    <row r="14">
      <c r="A14" s="309"/>
      <c r="B14" s="227"/>
      <c r="C14" s="309"/>
      <c r="D14" s="309"/>
      <c r="E14" s="201" t="str">
        <f>IFERROR(INDEX(ReactorTypeList,MATCH(CalKLa[[#This Row],[Reactor]],ReactorList,0)),"")</f>
        <v/>
      </c>
      <c r="F14" s="309"/>
      <c r="G14" s="309"/>
    </row>
    <row r="15">
      <c r="A15" s="309"/>
      <c r="B15" s="227"/>
      <c r="C15" s="309"/>
      <c r="D15" s="309"/>
      <c r="E15" s="201" t="str">
        <f>IFERROR(INDEX(ReactorTypeList,MATCH(CalKLa[[#This Row],[Reactor]],ReactorList,0)),"")</f>
        <v/>
      </c>
      <c r="F15" s="309"/>
      <c r="G15" s="309"/>
    </row>
  </sheetData>
  <dataValidations count="2">
    <dataValidation type="list" allowBlank="1" showErrorMessage="1" errorTitle="Invalid value" error="Choose from the list." sqref="C8:C15">
      <formula1>ReactorList</formula1>
    </dataValidation>
    <dataValidation type="list" allowBlank="1" showErrorMessage="1" errorTitle="Invalid value" error="Choose from the list." sqref="F8:F15">
      <formula1>"y,n"</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sheetPr>
    <tabColor rgb="FFA5A5A5"/>
  </sheetPr>
  <dimension ref="A1:J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0" width="15" customWidth="1"/>
  </cols>
  <sheetData>
    <row r="1">
      <c r="A1" s="263" t="inlineStr">
        <is>
          <t xml:space="preserve">CALIBRATION LOG – CO2 FLOW  (dosing flow rate)</t>
        </is>
      </c>
      <c r="B1" s="263"/>
      <c r="C1" s="263"/>
      <c r="D1" s="263"/>
      <c r="E1" s="263"/>
      <c r="F1" s="263"/>
      <c r="G1" s="263"/>
      <c r="H1" s="263"/>
      <c r="I1" s="263"/>
      <c r="J1" s="263"/>
    </row>
    <row r="2">
      <c r="A2" s="243" t="str">
        <f>HYPERLINK("https://github.com/amy-bo/electroPioreactor/blob/AEP02/Media/protocols/flow-calibration.md","Protocol (opens on GitHub)")</f>
        <v>Protocol (opens on GitHub)</v>
      </c>
    </row>
    <row r="3">
      <c r="A3"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flow rate</t>
        </is>
      </c>
      <c r="C5" s="265" t="inlineStr">
        <is>
          <t xml:space="preserve">mL/s</t>
        </is>
      </c>
      <c r="D5" s="201" t="str">
        <f>cal_flow</f>
        <v>no included runs — model uses its default</v>
      </c>
    </row>
    <row r="6">
      <c r="A6" s="265" t="inlineStr">
        <is>
          <t xml:space="preserve">Value in use - minimum reliable pulse</t>
        </is>
      </c>
      <c r="C6" s="265" t="inlineStr">
        <is>
          <t xml:space="preserve">s</t>
        </is>
      </c>
      <c r="D6" s="201" t="str">
        <f>cal_pulse_floor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CO2 volume (mL)</t>
        </is>
      </c>
      <c r="E8" s="264" t="inlineStr">
        <is>
          <t xml:space="preserve">Time (s)</t>
        </is>
      </c>
      <c r="F8" s="264" t="inlineStr">
        <is>
          <t xml:space="preserve">Flow (computed, mL/s)</t>
        </is>
      </c>
      <c r="G8" s="264" t="inlineStr">
        <is>
          <t xml:space="preserve">Type (auto)</t>
        </is>
      </c>
      <c r="H8" s="264" t="inlineStr">
        <is>
          <t xml:space="preserve">Include?</t>
        </is>
      </c>
      <c r="I8" s="264" t="inlineStr">
        <is>
          <t xml:space="preserve">Notes</t>
        </is>
      </c>
      <c r="J8" s="264" t="inlineStr">
        <is>
          <t xml:space="preserve">Min pulse (s)</t>
        </is>
      </c>
    </row>
    <row r="9">
      <c r="A9" s="309"/>
      <c r="B9" s="227"/>
      <c r="C9" s="309"/>
      <c r="D9" s="309"/>
      <c r="E9" s="309"/>
      <c r="F9" s="201" t="str">
        <f>IFERROR(CalFlow[[#This Row],[CO2 volume (mL)]]/CalFlow[[#This Row],[Time (s)]],"")</f>
        <v/>
      </c>
      <c r="G9" s="201" t="str">
        <f>IFERROR(INDEX(ReactorTypeList,MATCH(CalFlow[[#This Row],[Reactor]],ReactorList,0)),"")</f>
        <v/>
      </c>
      <c r="H9" s="309"/>
      <c r="I9" s="309"/>
      <c r="J9" s="309"/>
    </row>
    <row r="10">
      <c r="A10" s="309"/>
      <c r="B10" s="227"/>
      <c r="C10" s="309"/>
      <c r="D10" s="309"/>
      <c r="E10" s="309"/>
      <c r="F10" s="201" t="str">
        <f>IFERROR(CalFlow[[#This Row],[CO2 volume (mL)]]/CalFlow[[#This Row],[Time (s)]],"")</f>
        <v/>
      </c>
      <c r="G10" s="201" t="str">
        <f>IFERROR(INDEX(ReactorTypeList,MATCH(CalFlow[[#This Row],[Reactor]],ReactorList,0)),"")</f>
        <v/>
      </c>
      <c r="H10" s="309"/>
      <c r="I10" s="309"/>
      <c r="J10" s="309"/>
    </row>
    <row r="11">
      <c r="A11" s="309"/>
      <c r="B11" s="227"/>
      <c r="C11" s="309"/>
      <c r="D11" s="309"/>
      <c r="E11" s="309"/>
      <c r="F11" s="201" t="str">
        <f>IFERROR(CalFlow[[#This Row],[CO2 volume (mL)]]/CalFlow[[#This Row],[Time (s)]],"")</f>
        <v/>
      </c>
      <c r="G11" s="201" t="str">
        <f>IFERROR(INDEX(ReactorTypeList,MATCH(CalFlow[[#This Row],[Reactor]],ReactorList,0)),"")</f>
        <v/>
      </c>
      <c r="H11" s="309"/>
      <c r="I11" s="309"/>
      <c r="J11" s="309"/>
    </row>
    <row r="12">
      <c r="A12" s="309"/>
      <c r="B12" s="227"/>
      <c r="C12" s="309"/>
      <c r="D12" s="309"/>
      <c r="E12" s="309"/>
      <c r="F12" s="201" t="str">
        <f>IFERROR(CalFlow[[#This Row],[CO2 volume (mL)]]/CalFlow[[#This Row],[Time (s)]],"")</f>
        <v/>
      </c>
      <c r="G12" s="201" t="str">
        <f>IFERROR(INDEX(ReactorTypeList,MATCH(CalFlow[[#This Row],[Reactor]],ReactorList,0)),"")</f>
        <v/>
      </c>
      <c r="H12" s="309"/>
      <c r="I12" s="309"/>
      <c r="J12" s="309"/>
    </row>
    <row r="13">
      <c r="A13" s="309"/>
      <c r="B13" s="227"/>
      <c r="C13" s="309"/>
      <c r="D13" s="309"/>
      <c r="E13" s="309"/>
      <c r="F13" s="201" t="str">
        <f>IFERROR(CalFlow[[#This Row],[CO2 volume (mL)]]/CalFlow[[#This Row],[Time (s)]],"")</f>
        <v/>
      </c>
      <c r="G13" s="201" t="str">
        <f>IFERROR(INDEX(ReactorTypeList,MATCH(CalFlow[[#This Row],[Reactor]],ReactorList,0)),"")</f>
        <v/>
      </c>
      <c r="H13" s="309"/>
      <c r="I13" s="309"/>
      <c r="J13" s="309"/>
    </row>
    <row r="14">
      <c r="A14" s="309"/>
      <c r="B14" s="227"/>
      <c r="C14" s="309"/>
      <c r="D14" s="309"/>
      <c r="E14" s="309"/>
      <c r="F14" s="201" t="str">
        <f>IFERROR(CalFlow[[#This Row],[CO2 volume (mL)]]/CalFlow[[#This Row],[Time (s)]],"")</f>
        <v/>
      </c>
      <c r="G14" s="201" t="str">
        <f>IFERROR(INDEX(ReactorTypeList,MATCH(CalFlow[[#This Row],[Reactor]],ReactorList,0)),"")</f>
        <v/>
      </c>
      <c r="H14" s="309"/>
      <c r="I14" s="309"/>
      <c r="J14" s="309"/>
    </row>
    <row r="15">
      <c r="A15" s="309"/>
      <c r="B15" s="227"/>
      <c r="C15" s="309"/>
      <c r="D15" s="309"/>
      <c r="E15" s="309"/>
      <c r="F15" s="201" t="str">
        <f>IFERROR(CalFlow[[#This Row],[CO2 volume (mL)]]/CalFlow[[#This Row],[Time (s)]],"")</f>
        <v/>
      </c>
      <c r="G15" s="201" t="str">
        <f>IFERROR(INDEX(ReactorTypeList,MATCH(CalFlow[[#This Row],[Reactor]],ReactorList,0)),"")</f>
        <v/>
      </c>
      <c r="H15" s="309"/>
      <c r="I15" s="309"/>
      <c r="J15" s="309"/>
    </row>
    <row r="16">
      <c r="A16" s="309"/>
      <c r="B16" s="227"/>
      <c r="C16" s="309"/>
      <c r="D16" s="309"/>
      <c r="E16" s="309"/>
      <c r="F16" s="201" t="str">
        <f>IFERROR(CalFlow[[#This Row],[CO2 volume (mL)]]/CalFlow[[#This Row],[Time (s)]],"")</f>
        <v/>
      </c>
      <c r="G16" s="201" t="str">
        <f>IFERROR(INDEX(ReactorTypeList,MATCH(CalFlow[[#This Row],[Reactor]],ReactorList,0)),"")</f>
        <v/>
      </c>
      <c r="H16" s="309"/>
      <c r="I16" s="309"/>
      <c r="J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H9:H16">
      <formula1>"y,n"</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sheetPr>
    <tabColor rgb="FFA5A5A5"/>
  </sheetPr>
  <dimension ref="A1:N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14" width="15" customWidth="1"/>
  </cols>
  <sheetData>
    <row r="1">
      <c r="A1" s="263" t="inlineStr">
        <is>
          <t xml:space="preserve">CALIBRATION LOG – VIAL GEOMETRY  (true volume &amp; bore depth)</t>
        </is>
      </c>
      <c r="B1" s="263"/>
      <c r="C1" s="263"/>
      <c r="D1" s="263"/>
      <c r="E1" s="263"/>
      <c r="F1" s="263"/>
      <c r="G1" s="263"/>
      <c r="H1" s="263"/>
      <c r="I1" s="263"/>
      <c r="J1" s="263"/>
      <c r="K1" s="263"/>
      <c r="L1" s="263"/>
      <c r="M1" s="263"/>
      <c r="N1" s="263"/>
    </row>
    <row r="2">
      <c r="A2" s="243" t="str">
        <f>HYPERLINK("https://github.com/amy-bo/electroPioreactor/blob/AEP02/Media/protocols/vial-geometry.md","Protocol (opens on GitHub)")</f>
        <v>Protocol (opens on GitHub)</v>
      </c>
    </row>
    <row r="3">
      <c r="A3"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total vial volume</t>
        </is>
      </c>
      <c r="C5" s="265" t="inlineStr">
        <is>
          <t xml:space="preserve">mL</t>
        </is>
      </c>
      <c r="D5" s="201" t="str">
        <f>cal_Vtot</f>
        <v>no included runs — model uses its default</v>
      </c>
    </row>
    <row r="6">
      <c r="A6" s="265" t="inlineStr">
        <is>
          <t xml:space="preserve">Value in use - volume-equivalent depth (body volume ÷ A_x; not the physical depth)</t>
        </is>
      </c>
      <c r="C6" s="265" t="inlineStr">
        <is>
          <t xml:space="preserve">mm</t>
        </is>
      </c>
      <c r="D6" s="201" t="str">
        <f>cal_Dint</f>
        <v>no included runs — model uses its default</v>
      </c>
    </row>
    <row r="7">
      <c r="A7" s="265" t="inlineStr">
        <is>
          <t xml:space="preserve">Value in use - headspace at working fill</t>
        </is>
      </c>
      <c r="C7" s="265" t="inlineStr">
        <is>
          <t xml:space="preserve">mL</t>
        </is>
      </c>
      <c r="D7" s="201" t="str">
        <f>cal_hs</f>
        <v>no included runs — model uses its default</v>
      </c>
    </row>
    <row r="8">
      <c r="A8" s="265" t="inlineStr">
        <is>
          <t xml:space="preserve">Value in use - working fill behind that headspace</t>
        </is>
      </c>
      <c r="C8" s="265" t="inlineStr">
        <is>
          <t xml:space="preserve">mL</t>
        </is>
      </c>
      <c r="D8" s="201" t="str">
        <f>cal_hs_fill</f>
        <v>no included runs — model uses its default</v>
      </c>
    </row>
    <row r="10" ht="45" customHeight="1">
      <c r="A10" s="264" t="inlineStr">
        <is>
          <t xml:space="preserve">Researcher</t>
        </is>
      </c>
      <c r="B10" s="264" t="inlineStr">
        <is>
          <t xml:space="preserve">Date</t>
        </is>
      </c>
      <c r="C10" s="264" t="inlineStr">
        <is>
          <t xml:space="preserve">Reactor</t>
        </is>
      </c>
      <c r="D10" s="264" t="inlineStr">
        <is>
          <t xml:space="preserve">Headspace mass (g)</t>
        </is>
      </c>
      <c r="E10" s="264" t="inlineStr">
        <is>
          <t xml:space="preserve">Body mass (g)</t>
        </is>
      </c>
      <c r="F10" s="264" t="inlineStr">
        <is>
          <t xml:space="preserve">Temp (°C)</t>
        </is>
      </c>
      <c r="G10" s="264" t="inlineStr">
        <is>
          <t xml:space="preserve">V total (computed, mL)</t>
        </is>
      </c>
      <c r="H10" s="264" t="inlineStr">
        <is>
          <t xml:space="preserve">Volume-equivalent depth (computed, mm)</t>
        </is>
      </c>
      <c r="I10" s="264" t="inlineStr">
        <is>
          <t xml:space="preserve">Type (auto)</t>
        </is>
      </c>
      <c r="J10" s="264" t="inlineStr">
        <is>
          <t xml:space="preserve">Include?</t>
        </is>
      </c>
      <c r="K10" s="264" t="inlineStr">
        <is>
          <t xml:space="preserve">Notes</t>
        </is>
      </c>
      <c r="L10" s="264" t="inlineStr">
        <is>
          <t xml:space="preserve">Headspace (computed, mL)</t>
        </is>
      </c>
      <c r="M10" s="264" t="inlineStr">
        <is>
          <t xml:space="preserve">Working-fill mass (g)</t>
        </is>
      </c>
      <c r="N10" s="264" t="inlineStr">
        <is>
          <t xml:space="preserve">Working fill (computed, mL)</t>
        </is>
      </c>
    </row>
    <row r="11">
      <c r="A11" s="309"/>
      <c r="B11" s="227"/>
      <c r="C11" s="309"/>
      <c r="D11" s="309"/>
      <c r="E11" s="309"/>
      <c r="F11" s="309"/>
      <c r="G11" s="201" t="str">
        <f>IF(CalVial[[#This Row],[Body mass (g)]]="","",IFERROR(CalVial[[#This Row],[Body mass (g)]]/((Calibrations!ca_rho_0+Calibrations!ca_rho_k*CalVial[[#This Row],[Temp (°C)]])/1000),""))</f>
        <v/>
      </c>
      <c r="H11" s="201" t="str">
        <f>IF(CalVial[[#This Row],[Body mass (g)]]="","",IFERROR((CalVial[[#This Row],[Body mass (g)]]/((Calibrations!ca_rho_0+Calibrations!ca_rho_k*CalVial[[#This Row],[Temp (°C)]])/1000))*1000/Calibrations!A_x,""))</f>
        <v/>
      </c>
      <c r="I11" s="201" t="str">
        <f>IFERROR(INDEX(ReactorTypeList,MATCH(CalVial[[#This Row],[Reactor]],ReactorList,0)),"")</f>
        <v/>
      </c>
      <c r="J11" s="309"/>
      <c r="K11" s="309"/>
      <c r="L11" s="201" t="str">
        <f>IF(CalVial[[#This Row],[Headspace mass (g)]]="","",IFERROR(CalVial[[#This Row],[Headspace mass (g)]]/((Calibrations!ca_rho_0+Calibrations!ca_rho_k*CalVial[[#This Row],[Temp (°C)]])/1000),""))</f>
        <v/>
      </c>
      <c r="M11" s="309"/>
      <c r="N11" s="201" t="str">
        <f>IF(CalVial[[#This Row],[Working-fill mass (g)]]="","",IFERROR(CalVial[[#This Row],[Working-fill mass (g)]]/((Calibrations!ca_rho_0+Calibrations!ca_rho_k*CalVial[[#This Row],[Temp (°C)]])/1000),""))</f>
        <v/>
      </c>
    </row>
    <row r="12">
      <c r="A12" s="309"/>
      <c r="B12" s="227"/>
      <c r="C12" s="309"/>
      <c r="D12" s="309"/>
      <c r="E12" s="309"/>
      <c r="F12" s="309"/>
      <c r="G12" s="201" t="str">
        <f>IF(CalVial[[#This Row],[Body mass (g)]]="","",IFERROR(CalVial[[#This Row],[Body mass (g)]]/((Calibrations!ca_rho_0+Calibrations!ca_rho_k*CalVial[[#This Row],[Temp (°C)]])/1000),""))</f>
        <v/>
      </c>
      <c r="H12" s="201" t="str">
        <f>IF(CalVial[[#This Row],[Body mass (g)]]="","",IFERROR((CalVial[[#This Row],[Body mass (g)]]/((Calibrations!ca_rho_0+Calibrations!ca_rho_k*CalVial[[#This Row],[Temp (°C)]])/1000))*1000/Calibrations!A_x,""))</f>
        <v/>
      </c>
      <c r="I12" s="201" t="str">
        <f>IFERROR(INDEX(ReactorTypeList,MATCH(CalVial[[#This Row],[Reactor]],ReactorList,0)),"")</f>
        <v/>
      </c>
      <c r="J12" s="309"/>
      <c r="K12" s="309"/>
      <c r="L12" s="201" t="str">
        <f>IF(CalVial[[#This Row],[Headspace mass (g)]]="","",IFERROR(CalVial[[#This Row],[Headspace mass (g)]]/((Calibrations!ca_rho_0+Calibrations!ca_rho_k*CalVial[[#This Row],[Temp (°C)]])/1000),""))</f>
        <v/>
      </c>
      <c r="M12" s="309"/>
      <c r="N12" s="201" t="str">
        <f>IF(CalVial[[#This Row],[Working-fill mass (g)]]="","",IFERROR(CalVial[[#This Row],[Working-fill mass (g)]]/((Calibrations!ca_rho_0+Calibrations!ca_rho_k*CalVial[[#This Row],[Temp (°C)]])/1000),""))</f>
        <v/>
      </c>
    </row>
    <row r="13">
      <c r="A13" s="309"/>
      <c r="B13" s="227"/>
      <c r="C13" s="309"/>
      <c r="D13" s="309"/>
      <c r="E13" s="309"/>
      <c r="F13" s="309"/>
      <c r="G13" s="201" t="str">
        <f>IF(CalVial[[#This Row],[Body mass (g)]]="","",IFERROR(CalVial[[#This Row],[Body mass (g)]]/((Calibrations!ca_rho_0+Calibrations!ca_rho_k*CalVial[[#This Row],[Temp (°C)]])/1000),""))</f>
        <v/>
      </c>
      <c r="H13" s="201" t="str">
        <f>IF(CalVial[[#This Row],[Body mass (g)]]="","",IFERROR((CalVial[[#This Row],[Body mass (g)]]/((Calibrations!ca_rho_0+Calibrations!ca_rho_k*CalVial[[#This Row],[Temp (°C)]])/1000))*1000/Calibrations!A_x,""))</f>
        <v/>
      </c>
      <c r="I13" s="201" t="str">
        <f>IFERROR(INDEX(ReactorTypeList,MATCH(CalVial[[#This Row],[Reactor]],ReactorList,0)),"")</f>
        <v/>
      </c>
      <c r="J13" s="309"/>
      <c r="K13" s="309"/>
      <c r="L13" s="201" t="str">
        <f>IF(CalVial[[#This Row],[Headspace mass (g)]]="","",IFERROR(CalVial[[#This Row],[Headspace mass (g)]]/((Calibrations!ca_rho_0+Calibrations!ca_rho_k*CalVial[[#This Row],[Temp (°C)]])/1000),""))</f>
        <v/>
      </c>
      <c r="M13" s="309"/>
      <c r="N13" s="201" t="str">
        <f>IF(CalVial[[#This Row],[Working-fill mass (g)]]="","",IFERROR(CalVial[[#This Row],[Working-fill mass (g)]]/((Calibrations!ca_rho_0+Calibrations!ca_rho_k*CalVial[[#This Row],[Temp (°C)]])/1000),""))</f>
        <v/>
      </c>
    </row>
    <row r="14">
      <c r="A14" s="309"/>
      <c r="B14" s="227"/>
      <c r="C14" s="309"/>
      <c r="D14" s="309"/>
      <c r="E14" s="309"/>
      <c r="F14" s="309"/>
      <c r="G14" s="201" t="str">
        <f>IF(CalVial[[#This Row],[Body mass (g)]]="","",IFERROR(CalVial[[#This Row],[Body mass (g)]]/((Calibrations!ca_rho_0+Calibrations!ca_rho_k*CalVial[[#This Row],[Temp (°C)]])/1000),""))</f>
        <v/>
      </c>
      <c r="H14" s="201" t="str">
        <f>IF(CalVial[[#This Row],[Body mass (g)]]="","",IFERROR((CalVial[[#This Row],[Body mass (g)]]/((Calibrations!ca_rho_0+Calibrations!ca_rho_k*CalVial[[#This Row],[Temp (°C)]])/1000))*1000/Calibrations!A_x,""))</f>
        <v/>
      </c>
      <c r="I14" s="201" t="str">
        <f>IFERROR(INDEX(ReactorTypeList,MATCH(CalVial[[#This Row],[Reactor]],ReactorList,0)),"")</f>
        <v/>
      </c>
      <c r="J14" s="309"/>
      <c r="K14" s="309"/>
      <c r="L14" s="201" t="str">
        <f>IF(CalVial[[#This Row],[Headspace mass (g)]]="","",IFERROR(CalVial[[#This Row],[Headspace mass (g)]]/((Calibrations!ca_rho_0+Calibrations!ca_rho_k*CalVial[[#This Row],[Temp (°C)]])/1000),""))</f>
        <v/>
      </c>
      <c r="M14" s="309"/>
      <c r="N14" s="201" t="str">
        <f>IF(CalVial[[#This Row],[Working-fill mass (g)]]="","",IFERROR(CalVial[[#This Row],[Working-fill mass (g)]]/((Calibrations!ca_rho_0+Calibrations!ca_rho_k*CalVial[[#This Row],[Temp (°C)]])/1000),""))</f>
        <v/>
      </c>
    </row>
    <row r="15">
      <c r="A15" s="309"/>
      <c r="B15" s="227"/>
      <c r="C15" s="309"/>
      <c r="D15" s="309"/>
      <c r="E15" s="309"/>
      <c r="F15" s="309"/>
      <c r="G15" s="201" t="str">
        <f>IF(CalVial[[#This Row],[Body mass (g)]]="","",IFERROR(CalVial[[#This Row],[Body mass (g)]]/((Calibrations!ca_rho_0+Calibrations!ca_rho_k*CalVial[[#This Row],[Temp (°C)]])/1000),""))</f>
        <v/>
      </c>
      <c r="H15" s="201" t="str">
        <f>IF(CalVial[[#This Row],[Body mass (g)]]="","",IFERROR((CalVial[[#This Row],[Body mass (g)]]/((Calibrations!ca_rho_0+Calibrations!ca_rho_k*CalVial[[#This Row],[Temp (°C)]])/1000))*1000/Calibrations!A_x,""))</f>
        <v/>
      </c>
      <c r="I15" s="201" t="str">
        <f>IFERROR(INDEX(ReactorTypeList,MATCH(CalVial[[#This Row],[Reactor]],ReactorList,0)),"")</f>
        <v/>
      </c>
      <c r="J15" s="309"/>
      <c r="K15" s="309"/>
      <c r="L15" s="201" t="str">
        <f>IF(CalVial[[#This Row],[Headspace mass (g)]]="","",IFERROR(CalVial[[#This Row],[Headspace mass (g)]]/((Calibrations!ca_rho_0+Calibrations!ca_rho_k*CalVial[[#This Row],[Temp (°C)]])/1000),""))</f>
        <v/>
      </c>
      <c r="M15" s="309"/>
      <c r="N15" s="201" t="str">
        <f>IF(CalVial[[#This Row],[Working-fill mass (g)]]="","",IFERROR(CalVial[[#This Row],[Working-fill mass (g)]]/((Calibrations!ca_rho_0+Calibrations!ca_rho_k*CalVial[[#This Row],[Temp (°C)]])/1000),""))</f>
        <v/>
      </c>
    </row>
    <row r="16">
      <c r="A16" s="309"/>
      <c r="B16" s="227"/>
      <c r="C16" s="309"/>
      <c r="D16" s="309"/>
      <c r="E16" s="309"/>
      <c r="F16" s="309"/>
      <c r="G16" s="201" t="str">
        <f>IF(CalVial[[#This Row],[Body mass (g)]]="","",IFERROR(CalVial[[#This Row],[Body mass (g)]]/((Calibrations!ca_rho_0+Calibrations!ca_rho_k*CalVial[[#This Row],[Temp (°C)]])/1000),""))</f>
        <v/>
      </c>
      <c r="H16" s="201" t="str">
        <f>IF(CalVial[[#This Row],[Body mass (g)]]="","",IFERROR((CalVial[[#This Row],[Body mass (g)]]/((Calibrations!ca_rho_0+Calibrations!ca_rho_k*CalVial[[#This Row],[Temp (°C)]])/1000))*1000/Calibrations!A_x,""))</f>
        <v/>
      </c>
      <c r="I16" s="201" t="str">
        <f>IFERROR(INDEX(ReactorTypeList,MATCH(CalVial[[#This Row],[Reactor]],ReactorList,0)),"")</f>
        <v/>
      </c>
      <c r="J16" s="309"/>
      <c r="K16" s="309"/>
      <c r="L16" s="201" t="str">
        <f>IF(CalVial[[#This Row],[Headspace mass (g)]]="","",IFERROR(CalVial[[#This Row],[Headspace mass (g)]]/((Calibrations!ca_rho_0+Calibrations!ca_rho_k*CalVial[[#This Row],[Temp (°C)]])/1000),""))</f>
        <v/>
      </c>
      <c r="M16" s="309"/>
      <c r="N16" s="201" t="str">
        <f>IF(CalVial[[#This Row],[Working-fill mass (g)]]="","",IFERROR(CalVial[[#This Row],[Working-fill mass (g)]]/((Calibrations!ca_rho_0+Calibrations!ca_rho_k*CalVial[[#This Row],[Temp (°C)]])/1000),""))</f>
        <v/>
      </c>
    </row>
    <row r="17">
      <c r="A17" s="309"/>
      <c r="B17" s="227"/>
      <c r="C17" s="309"/>
      <c r="D17" s="309"/>
      <c r="E17" s="309"/>
      <c r="F17" s="309"/>
      <c r="G17" s="201" t="str">
        <f>IF(CalVial[[#This Row],[Body mass (g)]]="","",IFERROR(CalVial[[#This Row],[Body mass (g)]]/((Calibrations!ca_rho_0+Calibrations!ca_rho_k*CalVial[[#This Row],[Temp (°C)]])/1000),""))</f>
        <v/>
      </c>
      <c r="H17" s="201" t="str">
        <f>IF(CalVial[[#This Row],[Body mass (g)]]="","",IFERROR((CalVial[[#This Row],[Body mass (g)]]/((Calibrations!ca_rho_0+Calibrations!ca_rho_k*CalVial[[#This Row],[Temp (°C)]])/1000))*1000/Calibrations!A_x,""))</f>
        <v/>
      </c>
      <c r="I17" s="201" t="str">
        <f>IFERROR(INDEX(ReactorTypeList,MATCH(CalVial[[#This Row],[Reactor]],ReactorList,0)),"")</f>
        <v/>
      </c>
      <c r="J17" s="309"/>
      <c r="K17" s="309"/>
      <c r="L17" s="201" t="str">
        <f>IF(CalVial[[#This Row],[Headspace mass (g)]]="","",IFERROR(CalVial[[#This Row],[Headspace mass (g)]]/((Calibrations!ca_rho_0+Calibrations!ca_rho_k*CalVial[[#This Row],[Temp (°C)]])/1000),""))</f>
        <v/>
      </c>
      <c r="M17" s="309"/>
      <c r="N17" s="201" t="str">
        <f>IF(CalVial[[#This Row],[Working-fill mass (g)]]="","",IFERROR(CalVial[[#This Row],[Working-fill mass (g)]]/((Calibrations!ca_rho_0+Calibrations!ca_rho_k*CalVial[[#This Row],[Temp (°C)]])/1000),""))</f>
        <v/>
      </c>
    </row>
    <row r="18">
      <c r="A18" s="309"/>
      <c r="B18" s="227"/>
      <c r="C18" s="309"/>
      <c r="D18" s="309"/>
      <c r="E18" s="309"/>
      <c r="F18" s="309"/>
      <c r="G18" s="201" t="str">
        <f>IF(CalVial[[#This Row],[Body mass (g)]]="","",IFERROR(CalVial[[#This Row],[Body mass (g)]]/((Calibrations!ca_rho_0+Calibrations!ca_rho_k*CalVial[[#This Row],[Temp (°C)]])/1000),""))</f>
        <v/>
      </c>
      <c r="H18" s="201" t="str">
        <f>IF(CalVial[[#This Row],[Body mass (g)]]="","",IFERROR((CalVial[[#This Row],[Body mass (g)]]/((Calibrations!ca_rho_0+Calibrations!ca_rho_k*CalVial[[#This Row],[Temp (°C)]])/1000))*1000/Calibrations!A_x,""))</f>
        <v/>
      </c>
      <c r="I18" s="201" t="str">
        <f>IFERROR(INDEX(ReactorTypeList,MATCH(CalVial[[#This Row],[Reactor]],ReactorList,0)),"")</f>
        <v/>
      </c>
      <c r="J18" s="309"/>
      <c r="K18" s="309"/>
      <c r="L18" s="201" t="str">
        <f>IF(CalVial[[#This Row],[Headspace mass (g)]]="","",IFERROR(CalVial[[#This Row],[Headspace mass (g)]]/((Calibrations!ca_rho_0+Calibrations!ca_rho_k*CalVial[[#This Row],[Temp (°C)]])/1000),""))</f>
        <v/>
      </c>
      <c r="M18" s="309"/>
      <c r="N18" s="201" t="str">
        <f>IF(CalVial[[#This Row],[Working-fill mass (g)]]="","",IFERROR(CalVial[[#This Row],[Working-fill mass (g)]]/((Calibrations!ca_rho_0+Calibrations!ca_rho_k*CalVial[[#This Row],[Temp (°C)]])/1000),""))</f>
        <v/>
      </c>
    </row>
  </sheetData>
  <dataValidations count="2">
    <dataValidation type="list" allowBlank="1" showErrorMessage="1" errorTitle="Invalid value" error="Choose from the list." sqref="C11:C18">
      <formula1>ReactorList</formula1>
    </dataValidation>
    <dataValidation type="list" allowBlank="1" showErrorMessage="1" errorTitle="Invalid value" error="Choose from the list." sqref="J11:J18">
      <formula1>"y,n"</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SINTER POROSITY  (sparger frit grade)</t>
        </is>
      </c>
      <c r="B1" s="263"/>
      <c r="C1" s="263"/>
      <c r="D1" s="263"/>
      <c r="E1" s="263"/>
      <c r="F1" s="263"/>
      <c r="G1" s="263"/>
      <c r="H1" s="263"/>
    </row>
    <row r="2">
      <c r="A2" s="243" t="str">
        <f>HYPERLINK("https://github.com/amy-bo/electroPioreactor/blob/AEP02/Media/protocols/sinter-porosity.md","Protocol (opens on GitHub)")</f>
        <v>Protocol (opens on GitHub)</v>
      </c>
    </row>
    <row r="3">
      <c r="A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porosity grade</t>
        </is>
      </c>
      <c r="C5" s="265" t="inlineStr">
        <is>
          <t xml:space="preserve">0-5</t>
        </is>
      </c>
      <c r="D5" s="201" t="str">
        <f>cal_sinter</f>
        <v>no included runs — model uses its default</v>
      </c>
    </row>
    <row r="6">
      <c r="A6" s="265" t="inlineStr">
        <is>
          <t xml:space="preserve">Value in use - bubble point (mean of the latest included runs)</t>
        </is>
      </c>
      <c r="C6" s="265" t="inlineStr">
        <is>
          <t xml:space="preserve">kPa</t>
        </is>
      </c>
      <c r="D6" s="201" t="str">
        <f>Calibrations!cal_bp</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Bubble point (kPa)</t>
        </is>
      </c>
      <c r="E8" s="264" t="inlineStr">
        <is>
          <t xml:space="preserve">Grade (computed)</t>
        </is>
      </c>
      <c r="F8" s="264" t="inlineStr">
        <is>
          <t xml:space="preserve">Type (auto)</t>
        </is>
      </c>
      <c r="G8" s="264" t="inlineStr">
        <is>
          <t xml:space="preserve">Include?</t>
        </is>
      </c>
      <c r="H8" s="264" t="inlineStr">
        <is>
          <t xml:space="preserve">Notes</t>
        </is>
      </c>
    </row>
    <row r="9">
      <c r="A9" s="309"/>
      <c r="B9" s="227"/>
      <c r="C9" s="309"/>
      <c r="D9" s="309"/>
      <c r="E9"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9" s="201" t="str">
        <f>IFERROR(INDEX(ReactorTypeList,MATCH(CalSinter[[#This Row],[Reactor]],ReactorList,0)),"")</f>
        <v/>
      </c>
      <c r="G9" s="309"/>
      <c r="H9" s="309"/>
    </row>
    <row r="10">
      <c r="A10" s="309"/>
      <c r="B10" s="227"/>
      <c r="C10" s="309"/>
      <c r="D10" s="309"/>
      <c r="E10"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0" s="277" t="str">
        <f>IFERROR(INDEX(ReactorTypeList,MATCH(CalSinter[[#This Row],[Reactor]],ReactorList,0)),"")</f>
        <v/>
      </c>
      <c r="G10" s="309"/>
      <c r="H10" s="309"/>
    </row>
    <row r="11">
      <c r="A11" s="309"/>
      <c r="B11" s="227"/>
      <c r="C11" s="309"/>
      <c r="D11" s="309"/>
      <c r="E11"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1" s="277" t="str">
        <f>IFERROR(INDEX(ReactorTypeList,MATCH(CalSinter[[#This Row],[Reactor]],ReactorList,0)),"")</f>
        <v/>
      </c>
      <c r="G11" s="309"/>
      <c r="H11" s="309"/>
    </row>
    <row r="12">
      <c r="A12" s="309"/>
      <c r="B12" s="227"/>
      <c r="C12" s="309"/>
      <c r="D12" s="309"/>
      <c r="E12"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2" s="277" t="str">
        <f>IFERROR(INDEX(ReactorTypeList,MATCH(CalSinter[[#This Row],[Reactor]],ReactorList,0)),"")</f>
        <v/>
      </c>
      <c r="G12" s="309"/>
      <c r="H12" s="309"/>
    </row>
    <row r="13">
      <c r="A13" s="309"/>
      <c r="B13" s="227"/>
      <c r="C13" s="309"/>
      <c r="D13" s="309"/>
      <c r="E13"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3" s="277" t="str">
        <f>IFERROR(INDEX(ReactorTypeList,MATCH(CalSinter[[#This Row],[Reactor]],ReactorList,0)),"")</f>
        <v/>
      </c>
      <c r="G13" s="309"/>
      <c r="H13" s="309"/>
    </row>
    <row r="14">
      <c r="A14" s="309"/>
      <c r="B14" s="227"/>
      <c r="C14" s="309"/>
      <c r="D14" s="309"/>
      <c r="E14"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4" s="201" t="str">
        <f>IFERROR(INDEX(ReactorTypeList,MATCH(CalSinter[[#This Row],[Reactor]],ReactorList,0)),"")</f>
        <v/>
      </c>
      <c r="G14" s="309"/>
      <c r="H14" s="309"/>
    </row>
    <row r="15">
      <c r="A15" s="309"/>
      <c r="B15" s="227"/>
      <c r="C15" s="309"/>
      <c r="D15" s="309"/>
      <c r="E15"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5" s="201" t="str">
        <f>IFERROR(INDEX(ReactorTypeList,MATCH(CalSinter[[#This Row],[Reactor]],ReactorList,0)),"")</f>
        <v/>
      </c>
      <c r="G15" s="309"/>
      <c r="H15" s="309"/>
    </row>
    <row r="16">
      <c r="A16" s="309"/>
      <c r="B16" s="227"/>
      <c r="C16" s="309"/>
      <c r="D16" s="309"/>
      <c r="E16"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6" s="201" t="str">
        <f>IFERROR(INDEX(ReactorTypeList,MATCH(CalSinter[[#This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sheetPr>
    <tabColor rgb="FFA5A5A5"/>
  </sheetPr>
  <dimension ref="A1:I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9" width="15" customWidth="1"/>
  </cols>
  <sheetData>
    <row r="1">
      <c r="A1" s="263" t="inlineStr">
        <is>
          <t xml:space="preserve">CALIBRATION LOG – DISSOLVED-OXYGEN THRESHOLDS  (per organism)</t>
        </is>
      </c>
      <c r="B1" s="263"/>
      <c r="C1" s="263"/>
      <c r="D1" s="263"/>
      <c r="E1" s="263"/>
      <c r="F1" s="263"/>
      <c r="G1" s="263"/>
      <c r="H1" s="263"/>
      <c r="I1" s="263"/>
    </row>
    <row r="2">
      <c r="A2" s="243" t="str">
        <f>HYPERLINK("https://github.com/amy-bo/electroPioreactor/blob/AEP02/Media/protocols/dissolved-oxygen.md","Protocol (opens on GitHub)")</f>
        <v>Protocol (opens on GitHub)</v>
      </c>
    </row>
    <row r="3">
      <c r="A3" s="269" t="inlineStr">
        <is>
          <t xml:space="preserve">Value in use: average of the included values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minimum DO</t>
        </is>
      </c>
      <c r="C5" s="265" t="inlineStr">
        <is>
          <t xml:space="preserve">mg/L</t>
        </is>
      </c>
      <c r="D5" s="201" t="str">
        <f>cal_DO_min</f>
        <v>no included runs — model uses its default</v>
      </c>
    </row>
    <row r="6">
      <c r="A6" s="265" t="inlineStr">
        <is>
          <t xml:space="preserve">Value in use - optimum DO</t>
        </is>
      </c>
      <c r="C6" s="265" t="inlineStr">
        <is>
          <t xml:space="preserve">mg/L</t>
        </is>
      </c>
      <c r="D6" s="201" t="str">
        <f>cal_DO_opt</f>
        <v>no included runs — model uses its default</v>
      </c>
    </row>
    <row r="7">
      <c r="A7" s="265" t="inlineStr">
        <is>
          <t xml:space="preserve">Value in use - impairment DO</t>
        </is>
      </c>
      <c r="C7" s="265" t="inlineStr">
        <is>
          <t xml:space="preserve">mg/L</t>
        </is>
      </c>
      <c r="D7" s="201" t="str">
        <f>cal_DO_impair</f>
        <v>no included runs — model uses its default</v>
      </c>
    </row>
    <row r="8">
      <c r="A8" s="265" t="inlineStr">
        <is>
          <t xml:space="preserve">Value in use - toxic DO</t>
        </is>
      </c>
      <c r="C8" s="265" t="inlineStr">
        <is>
          <t xml:space="preserve">mg/L</t>
        </is>
      </c>
      <c r="D8" s="201" t="str">
        <f>cal_DO_toxic</f>
        <v>no included runs — model uses its default</v>
      </c>
    </row>
    <row r="10" ht="45" customHeight="1">
      <c r="A10" s="264" t="inlineStr">
        <is>
          <t xml:space="preserve">Researcher</t>
        </is>
      </c>
      <c r="B10" s="264" t="inlineStr">
        <is>
          <t xml:space="preserve">Date</t>
        </is>
      </c>
      <c r="C10" s="264" t="inlineStr">
        <is>
          <t xml:space="preserve">Organism</t>
        </is>
      </c>
      <c r="D10" s="264" t="inlineStr">
        <is>
          <t xml:space="preserve">Min DO (mg/L)</t>
        </is>
      </c>
      <c r="E10" s="264" t="inlineStr">
        <is>
          <t xml:space="preserve">Optimum DO (mg/L)</t>
        </is>
      </c>
      <c r="F10" s="264" t="inlineStr">
        <is>
          <t xml:space="preserve">Impairment DO (mg/L)</t>
        </is>
      </c>
      <c r="G10" s="264" t="inlineStr">
        <is>
          <t xml:space="preserve">Toxic DO (mg/L)</t>
        </is>
      </c>
      <c r="H10" s="264" t="inlineStr">
        <is>
          <t xml:space="preserve">Include?</t>
        </is>
      </c>
      <c r="I10" s="264" t="inlineStr">
        <is>
          <t xml:space="preserve">Notes</t>
        </is>
      </c>
    </row>
    <row r="11">
      <c r="A11" s="309"/>
      <c r="B11" s="227"/>
      <c r="C11" s="309"/>
      <c r="D11" s="309"/>
      <c r="E11" s="309"/>
      <c r="F11" s="309"/>
      <c r="G11" s="309"/>
      <c r="H11" s="309"/>
      <c r="I11" s="309"/>
    </row>
    <row r="12">
      <c r="A12" s="309"/>
      <c r="B12" s="227"/>
      <c r="C12" s="309"/>
      <c r="D12" s="309"/>
      <c r="E12" s="309"/>
      <c r="F12" s="309"/>
      <c r="G12" s="309"/>
      <c r="H12" s="309"/>
      <c r="I12" s="309"/>
    </row>
    <row r="13">
      <c r="A13" s="309"/>
      <c r="B13" s="227"/>
      <c r="C13" s="309"/>
      <c r="D13" s="309"/>
      <c r="E13" s="309"/>
      <c r="F13" s="309"/>
      <c r="G13" s="309"/>
      <c r="H13" s="309"/>
      <c r="I13" s="309"/>
    </row>
    <row r="14">
      <c r="A14" s="309"/>
      <c r="B14" s="227"/>
      <c r="C14" s="309"/>
      <c r="D14" s="309"/>
      <c r="E14" s="309"/>
      <c r="F14" s="309"/>
      <c r="G14" s="309"/>
      <c r="H14" s="309"/>
      <c r="I14" s="309"/>
    </row>
    <row r="15">
      <c r="A15" s="309"/>
      <c r="B15" s="227"/>
      <c r="C15" s="309"/>
      <c r="D15" s="309"/>
      <c r="E15" s="309"/>
      <c r="F15" s="309"/>
      <c r="G15" s="309"/>
      <c r="H15" s="309"/>
      <c r="I15" s="309"/>
    </row>
    <row r="16">
      <c r="A16" s="309"/>
      <c r="B16" s="227"/>
      <c r="C16" s="309"/>
      <c r="D16" s="309"/>
      <c r="E16" s="309"/>
      <c r="F16" s="309"/>
      <c r="G16" s="309"/>
      <c r="H16" s="309"/>
      <c r="I16" s="309"/>
    </row>
    <row r="17">
      <c r="A17" s="309"/>
      <c r="B17" s="227"/>
      <c r="C17" s="309"/>
      <c r="D17" s="309"/>
      <c r="E17" s="309"/>
      <c r="F17" s="309"/>
      <c r="G17" s="309"/>
      <c r="H17" s="309"/>
      <c r="I17" s="309"/>
    </row>
    <row r="18">
      <c r="A18" s="309"/>
      <c r="B18" s="227"/>
      <c r="C18" s="309"/>
      <c r="D18" s="309"/>
      <c r="E18" s="309"/>
      <c r="F18" s="309"/>
      <c r="G18" s="309"/>
      <c r="H18" s="309"/>
      <c r="I18" s="309"/>
    </row>
  </sheetData>
  <dataValidations count="2">
    <dataValidation type="list" allowBlank="1" showErrorMessage="1" errorTitle="Invalid value" error="Choose from the list." sqref="H11:H18">
      <formula1>"y,n"</formula1>
    </dataValidation>
    <dataValidation type="list" allowBlank="1" showErrorMessage="1" errorTitle="Invalid value" error="Choose from the list." sqref="C11:C18">
      <formula1>OrganismList</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sheetPr>
    <tabColor rgb="FFA5A5A5"/>
  </sheetPr>
  <dimension ref="A1:J17"/>
  <sheetViews>
    <sheetView workbookViewId="0">
      <pane ySplit="9" topLeftCell="A10" activePane="bottomLeft" state="frozen"/>
      <selection pane="bottomLeft" activeCell="A10" sqref="A10"/>
    </sheetView>
  </sheetViews>
  <sheetFormatPr defaultRowHeight="15"/>
  <cols>
    <col min="1" max="1" width="16" customWidth="1"/>
    <col min="2" max="2" width="12" customWidth="1"/>
    <col min="3" max="10" width="15" customWidth="1"/>
  </cols>
  <sheetData>
    <row r="1">
      <c r="A1" s="263" t="inlineStr">
        <is>
          <t xml:space="preserve">CALIBRATION LOG – KNALLGAS UPTAKE RATIO  (per organism)</t>
        </is>
      </c>
      <c r="B1" s="263"/>
      <c r="C1" s="263"/>
      <c r="D1" s="263"/>
      <c r="E1" s="263"/>
      <c r="F1" s="263"/>
      <c r="G1" s="263"/>
      <c r="H1" s="263"/>
      <c r="I1" s="263"/>
      <c r="J1" s="263"/>
    </row>
    <row r="2">
      <c r="A2" s="243" t="str">
        <f>HYPERLINK("https://github.com/amy-bo/electroPioreactor/blob/AEP02/Media/protocols/knallgas-stoichiometry.md","Protocol (opens on GitHub)")</f>
        <v>Protocol (opens on GitHub)</v>
      </c>
    </row>
    <row r="3">
      <c r="A3"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H2</t>
        </is>
      </c>
      <c r="C5" s="265" t="inlineStr">
        <is>
          <t xml:space="preserve">parts</t>
        </is>
      </c>
      <c r="D5" s="201" t="str">
        <f>cal_knall_H2</f>
        <v>no included runs — model uses its default</v>
      </c>
    </row>
    <row r="6">
      <c r="A6" s="265" t="inlineStr">
        <is>
          <t xml:space="preserve">Value in use - O2</t>
        </is>
      </c>
      <c r="C6" s="265" t="inlineStr">
        <is>
          <t xml:space="preserve">parts</t>
        </is>
      </c>
      <c r="D6" s="201" t="str">
        <f>cal_knall_O2</f>
        <v>no included runs — model uses its default</v>
      </c>
    </row>
    <row r="7">
      <c r="A7" s="265" t="inlineStr">
        <is>
          <t xml:space="preserve">Value in use - CO2</t>
        </is>
      </c>
      <c r="C7" s="265" t="inlineStr">
        <is>
          <t xml:space="preserve">parts</t>
        </is>
      </c>
      <c r="D7" s="201" t="str">
        <f>cal_knall_CO2</f>
        <v>no included runs — model uses its default</v>
      </c>
    </row>
    <row r="9" ht="45" customHeight="1">
      <c r="A9" s="264" t="inlineStr">
        <is>
          <t xml:space="preserve">Researcher</t>
        </is>
      </c>
      <c r="B9" s="264" t="inlineStr">
        <is>
          <t xml:space="preserve">Date</t>
        </is>
      </c>
      <c r="C9" s="264" t="inlineStr">
        <is>
          <t xml:space="preserve">Organism</t>
        </is>
      </c>
      <c r="D9" s="264" t="inlineStr">
        <is>
          <t xml:space="preserve">H2</t>
        </is>
      </c>
      <c r="E9" s="264" t="inlineStr">
        <is>
          <t xml:space="preserve">O2</t>
        </is>
      </c>
      <c r="F9" s="264" t="inlineStr">
        <is>
          <t xml:space="preserve">CO2</t>
        </is>
      </c>
      <c r="G9" s="264" t="inlineStr">
        <is>
          <t xml:space="preserve">Include?</t>
        </is>
      </c>
      <c r="H9" s="264" t="inlineStr">
        <is>
          <t xml:space="preserve">Notes</t>
        </is>
      </c>
      <c r="I9" s="264" t="inlineStr">
        <is>
          <t xml:space="preserve">O₂ per H₂ (computed)</t>
        </is>
      </c>
      <c r="J9" s="264" t="inlineStr">
        <is>
          <t xml:space="preserve">CO₂ per H₂ (computed)</t>
        </is>
      </c>
    </row>
    <row r="10">
      <c r="A10" s="309"/>
      <c r="B10" s="227"/>
      <c r="C10" s="309"/>
      <c r="D10" s="309"/>
      <c r="E10" s="309"/>
      <c r="F10" s="309"/>
      <c r="G10" s="309"/>
      <c r="H10" s="309"/>
      <c r="I10" s="201" t="str">
        <f>IF(OR(CalKnallgas[[#This Row],[H2]]="",CalKnallgas[[#This Row],[O2]]=""),"",IFERROR(IF(CalKnallgas[[#This Row],[H2]]&gt;0,CalKnallgas[[#This Row],[O2]]/CalKnallgas[[#This Row],[H2]],""),""))</f>
        <v/>
      </c>
      <c r="J10" s="201" t="str">
        <f>IF(OR(CalKnallgas[[#This Row],[H2]]="",CalKnallgas[[#This Row],[CO2]]=""),"",IFERROR(IF(CalKnallgas[[#This Row],[H2]]&gt;0,CalKnallgas[[#This Row],[CO2]]/CalKnallgas[[#This Row],[H2]],""),""))</f>
        <v/>
      </c>
    </row>
    <row r="11">
      <c r="A11" s="309"/>
      <c r="B11" s="227"/>
      <c r="C11" s="309"/>
      <c r="D11" s="309"/>
      <c r="E11" s="309"/>
      <c r="F11" s="309"/>
      <c r="G11" s="309"/>
      <c r="H11" s="309"/>
      <c r="I11" s="201" t="str">
        <f>IF(OR(CalKnallgas[[#This Row],[H2]]="",CalKnallgas[[#This Row],[O2]]=""),"",IFERROR(IF(CalKnallgas[[#This Row],[H2]]&gt;0,CalKnallgas[[#This Row],[O2]]/CalKnallgas[[#This Row],[H2]],""),""))</f>
        <v/>
      </c>
      <c r="J11" s="201" t="str">
        <f>IF(OR(CalKnallgas[[#This Row],[H2]]="",CalKnallgas[[#This Row],[CO2]]=""),"",IFERROR(IF(CalKnallgas[[#This Row],[H2]]&gt;0,CalKnallgas[[#This Row],[CO2]]/CalKnallgas[[#This Row],[H2]],""),""))</f>
        <v/>
      </c>
    </row>
    <row r="12">
      <c r="A12" s="309"/>
      <c r="B12" s="227"/>
      <c r="C12" s="309"/>
      <c r="D12" s="309"/>
      <c r="E12" s="309"/>
      <c r="F12" s="309"/>
      <c r="G12" s="309"/>
      <c r="H12" s="309"/>
      <c r="I12" s="201" t="str">
        <f>IF(OR(CalKnallgas[[#This Row],[H2]]="",CalKnallgas[[#This Row],[O2]]=""),"",IFERROR(IF(CalKnallgas[[#This Row],[H2]]&gt;0,CalKnallgas[[#This Row],[O2]]/CalKnallgas[[#This Row],[H2]],""),""))</f>
        <v/>
      </c>
      <c r="J12" s="201" t="str">
        <f>IF(OR(CalKnallgas[[#This Row],[H2]]="",CalKnallgas[[#This Row],[CO2]]=""),"",IFERROR(IF(CalKnallgas[[#This Row],[H2]]&gt;0,CalKnallgas[[#This Row],[CO2]]/CalKnallgas[[#This Row],[H2]],""),""))</f>
        <v/>
      </c>
    </row>
    <row r="13">
      <c r="A13" s="309"/>
      <c r="B13" s="227"/>
      <c r="C13" s="309"/>
      <c r="D13" s="309"/>
      <c r="E13" s="309"/>
      <c r="F13" s="309"/>
      <c r="G13" s="309"/>
      <c r="H13" s="309"/>
      <c r="I13" s="201" t="str">
        <f>IF(OR(CalKnallgas[[#This Row],[H2]]="",CalKnallgas[[#This Row],[O2]]=""),"",IFERROR(IF(CalKnallgas[[#This Row],[H2]]&gt;0,CalKnallgas[[#This Row],[O2]]/CalKnallgas[[#This Row],[H2]],""),""))</f>
        <v/>
      </c>
      <c r="J13" s="201" t="str">
        <f>IF(OR(CalKnallgas[[#This Row],[H2]]="",CalKnallgas[[#This Row],[CO2]]=""),"",IFERROR(IF(CalKnallgas[[#This Row],[H2]]&gt;0,CalKnallgas[[#This Row],[CO2]]/CalKnallgas[[#This Row],[H2]],""),""))</f>
        <v/>
      </c>
    </row>
    <row r="14">
      <c r="A14" s="309"/>
      <c r="B14" s="227"/>
      <c r="C14" s="309"/>
      <c r="D14" s="309"/>
      <c r="E14" s="309"/>
      <c r="F14" s="309"/>
      <c r="G14" s="309"/>
      <c r="H14" s="309"/>
      <c r="I14" s="201" t="str">
        <f>IF(OR(CalKnallgas[[#This Row],[H2]]="",CalKnallgas[[#This Row],[O2]]=""),"",IFERROR(IF(CalKnallgas[[#This Row],[H2]]&gt;0,CalKnallgas[[#This Row],[O2]]/CalKnallgas[[#This Row],[H2]],""),""))</f>
        <v/>
      </c>
      <c r="J14" s="201" t="str">
        <f>IF(OR(CalKnallgas[[#This Row],[H2]]="",CalKnallgas[[#This Row],[CO2]]=""),"",IFERROR(IF(CalKnallgas[[#This Row],[H2]]&gt;0,CalKnallgas[[#This Row],[CO2]]/CalKnallgas[[#This Row],[H2]],""),""))</f>
        <v/>
      </c>
    </row>
    <row r="15">
      <c r="A15" s="309"/>
      <c r="B15" s="227"/>
      <c r="C15" s="309"/>
      <c r="D15" s="309"/>
      <c r="E15" s="309"/>
      <c r="F15" s="309"/>
      <c r="G15" s="309"/>
      <c r="H15" s="309"/>
      <c r="I15" s="201" t="str">
        <f>IF(OR(CalKnallgas[[#This Row],[H2]]="",CalKnallgas[[#This Row],[O2]]=""),"",IFERROR(IF(CalKnallgas[[#This Row],[H2]]&gt;0,CalKnallgas[[#This Row],[O2]]/CalKnallgas[[#This Row],[H2]],""),""))</f>
        <v/>
      </c>
      <c r="J15" s="201" t="str">
        <f>IF(OR(CalKnallgas[[#This Row],[H2]]="",CalKnallgas[[#This Row],[CO2]]=""),"",IFERROR(IF(CalKnallgas[[#This Row],[H2]]&gt;0,CalKnallgas[[#This Row],[CO2]]/CalKnallgas[[#This Row],[H2]],""),""))</f>
        <v/>
      </c>
    </row>
    <row r="16">
      <c r="A16" s="309"/>
      <c r="B16" s="227"/>
      <c r="C16" s="309"/>
      <c r="D16" s="309"/>
      <c r="E16" s="309"/>
      <c r="F16" s="309"/>
      <c r="G16" s="309"/>
      <c r="H16" s="309"/>
      <c r="I16" s="201" t="str">
        <f>IF(OR(CalKnallgas[[#This Row],[H2]]="",CalKnallgas[[#This Row],[O2]]=""),"",IFERROR(IF(CalKnallgas[[#This Row],[H2]]&gt;0,CalKnallgas[[#This Row],[O2]]/CalKnallgas[[#This Row],[H2]],""),""))</f>
        <v/>
      </c>
      <c r="J16" s="201" t="str">
        <f>IF(OR(CalKnallgas[[#This Row],[H2]]="",CalKnallgas[[#This Row],[CO2]]=""),"",IFERROR(IF(CalKnallgas[[#This Row],[H2]]&gt;0,CalKnallgas[[#This Row],[CO2]]/CalKnallgas[[#This Row],[H2]],""),""))</f>
        <v/>
      </c>
    </row>
    <row r="17">
      <c r="A17" s="309"/>
      <c r="B17" s="227"/>
      <c r="C17" s="309"/>
      <c r="D17" s="309"/>
      <c r="E17" s="309"/>
      <c r="F17" s="309"/>
      <c r="G17" s="309"/>
      <c r="H17" s="309"/>
      <c r="I17" s="201" t="str">
        <f>IF(OR(CalKnallgas[[#This Row],[H2]]="",CalKnallgas[[#This Row],[O2]]=""),"",IFERROR(IF(CalKnallgas[[#This Row],[H2]]&gt;0,CalKnallgas[[#This Row],[O2]]/CalKnallgas[[#This Row],[H2]],""),""))</f>
        <v/>
      </c>
      <c r="J17" s="201" t="str">
        <f>IF(OR(CalKnallgas[[#This Row],[H2]]="",CalKnallgas[[#This Row],[CO2]]=""),"",IFERROR(IF(CalKnallgas[[#This Row],[H2]]&gt;0,CalKnallgas[[#This Row],[CO2]]/CalKnallgas[[#This Row],[H2]],""),""))</f>
        <v/>
      </c>
    </row>
  </sheetData>
  <dataValidations count="2">
    <dataValidation type="list" allowBlank="1" showErrorMessage="1" errorTitle="Invalid value" error="Choose from the list." sqref="G10:G17">
      <formula1>"y,n"</formula1>
    </dataValidation>
    <dataValidation type="list" allowBlank="1" showErrorMessage="1" errorTitle="Invalid value" error="Choose from the list." sqref="C10:C17">
      <formula1>OrganismList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sheetPr>
    <tabColor rgb="FFA5A5A5"/>
  </sheetPr>
  <dimension ref="A1:G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7" width="15" customWidth="1"/>
  </cols>
  <sheetData>
    <row r="1">
      <c r="A1" s="263" t="inlineStr">
        <is>
          <t xml:space="preserve">CALIBRATION LOG – CURRENT-DENSITY TOLERANCE  (per organism)</t>
        </is>
      </c>
      <c r="B1" s="263"/>
      <c r="C1" s="263"/>
      <c r="D1" s="263"/>
      <c r="E1" s="263"/>
      <c r="F1" s="263"/>
      <c r="G1" s="263"/>
    </row>
    <row r="2">
      <c r="A2" s="243" t="str">
        <f>HYPERLINK("https://github.com/amy-bo/electroPioreactor/blob/AEP02/Media/protocols/current-density-screen.md","Protocol (opens on GitHub)")</f>
        <v>Protocol (opens on GitHub)</v>
      </c>
    </row>
    <row r="3">
      <c r="A3" s="269" t="inlineStr">
        <is>
          <t xml:space="preserve">Value in use: average of the included screen results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optimum j</t>
        </is>
      </c>
      <c r="C5" s="265" t="inlineStr">
        <is>
          <t xml:space="preserve">mA/cm²</t>
        </is>
      </c>
      <c r="D5" s="201" t="str">
        <f>cal_j_opt</f>
        <v>no included runs — model uses its default</v>
      </c>
    </row>
    <row r="6">
      <c r="A6" s="265" t="inlineStr">
        <is>
          <t xml:space="preserve">Value in use - ceiling j</t>
        </is>
      </c>
      <c r="C6" s="265" t="inlineStr">
        <is>
          <t xml:space="preserve">mA/cm²</t>
        </is>
      </c>
      <c r="D6" s="201" t="str">
        <f>cal_j_ceiling</f>
        <v>no included runs — model uses its default</v>
      </c>
    </row>
    <row r="8" ht="45" customHeight="1">
      <c r="A8" s="264" t="inlineStr">
        <is>
          <t xml:space="preserve">Researcher</t>
        </is>
      </c>
      <c r="B8" s="264" t="inlineStr">
        <is>
          <t xml:space="preserve">Date</t>
        </is>
      </c>
      <c r="C8" s="264" t="inlineStr">
        <is>
          <t xml:space="preserve">Organism</t>
        </is>
      </c>
      <c r="D8" s="264" t="inlineStr">
        <is>
          <t xml:space="preserve">j optimum (mA/cm²)</t>
        </is>
      </c>
      <c r="E8" s="264" t="inlineStr">
        <is>
          <t xml:space="preserve">j ceiling (mA/cm²)</t>
        </is>
      </c>
      <c r="F8" s="264" t="inlineStr">
        <is>
          <t xml:space="preserve">Include?</t>
        </is>
      </c>
      <c r="G8" s="264" t="inlineStr">
        <is>
          <t xml:space="preserve">Notes</t>
        </is>
      </c>
    </row>
    <row r="9">
      <c r="A9" s="309"/>
      <c r="B9" s="227"/>
      <c r="C9" s="309"/>
      <c r="D9" s="309"/>
      <c r="E9" s="309"/>
      <c r="F9" s="309"/>
      <c r="G9" s="309"/>
    </row>
    <row r="10">
      <c r="A10" s="309"/>
      <c r="B10" s="227"/>
      <c r="C10" s="309"/>
      <c r="D10" s="309"/>
      <c r="E10" s="309"/>
      <c r="F10" s="309"/>
      <c r="G10" s="309"/>
    </row>
    <row r="11">
      <c r="A11" s="309"/>
      <c r="B11" s="227"/>
      <c r="C11" s="309"/>
      <c r="D11" s="309"/>
      <c r="E11" s="309"/>
      <c r="F11" s="309"/>
      <c r="G11" s="309"/>
    </row>
    <row r="12">
      <c r="A12" s="309"/>
      <c r="B12" s="227"/>
      <c r="C12" s="309"/>
      <c r="D12" s="309"/>
      <c r="E12" s="309"/>
      <c r="F12" s="309"/>
      <c r="G12" s="309"/>
    </row>
    <row r="13">
      <c r="A13" s="309"/>
      <c r="B13" s="227"/>
      <c r="C13" s="309"/>
      <c r="D13" s="309"/>
      <c r="E13" s="309"/>
      <c r="F13" s="309"/>
      <c r="G13" s="309"/>
    </row>
    <row r="14">
      <c r="A14" s="309"/>
      <c r="B14" s="227"/>
      <c r="C14" s="309"/>
      <c r="D14" s="309"/>
      <c r="E14" s="309"/>
      <c r="F14" s="309"/>
      <c r="G14" s="309"/>
    </row>
    <row r="15">
      <c r="A15" s="309"/>
      <c r="B15" s="227"/>
      <c r="C15" s="309"/>
      <c r="D15" s="309"/>
      <c r="E15" s="309"/>
      <c r="F15" s="309"/>
      <c r="G15" s="309"/>
    </row>
    <row r="16">
      <c r="A16" s="309"/>
      <c r="B16" s="227"/>
      <c r="C16" s="309"/>
      <c r="D16" s="309"/>
      <c r="E16" s="309"/>
      <c r="F16" s="309"/>
      <c r="G16" s="309"/>
    </row>
  </sheetData>
  <dataValidations count="2">
    <dataValidation type="list" allowBlank="1" showErrorMessage="1" errorTitle="Invalid value" error="Choose from the list." sqref="F9:F16">
      <formula1>"y,n"</formula1>
    </dataValidation>
    <dataValidation type="list" allowBlank="1" showErrorMessage="1" errorTitle="Invalid value" error="Choose from the list." sqref="C9:C16">
      <formula1>OrganismList</formula1>
    </dataValidation>
  </dataValidation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sheetPr>
    <tabColor rgb="FFA5A5A5"/>
  </sheetPr>
  <dimension ref="A1:O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5" width="15" customWidth="1"/>
  </cols>
  <sheetData>
    <row r="1">
      <c r="A1" s="263" t="inlineStr">
        <is>
          <t xml:space="preserve">CALIBRATION LOG – ELECTRODE MASS TRANSFER  (ferricyanide limiting current)</t>
        </is>
      </c>
      <c r="B1" s="263"/>
      <c r="C1" s="263"/>
      <c r="D1" s="263"/>
      <c r="E1" s="263"/>
      <c r="F1" s="263"/>
      <c r="G1" s="263"/>
      <c r="H1" s="263"/>
      <c r="I1" s="263"/>
      <c r="J1" s="263"/>
      <c r="K1" s="263"/>
      <c r="L1" s="263"/>
      <c r="M1" s="263"/>
      <c r="N1" s="263"/>
      <c r="O1" s="263"/>
    </row>
    <row r="2">
      <c r="A2" s="243" t="str">
        <f>HYPERLINK("https://github.com/amy-bo/electroPioreactor/blob/AEP02/Media/protocols/electrode-mass-transfer.md","Protocol (opens on GitHub)")</f>
        <v>Protocol (opens on GitHub)</v>
      </c>
    </row>
    <row r="3">
      <c r="A3"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k_m O₂</t>
        </is>
      </c>
      <c r="C5" s="265" t="inlineStr">
        <is>
          <t xml:space="preserve">cm/s</t>
        </is>
      </c>
      <c r="D5" s="201" t="str">
        <f>cal_km_O2</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Electrode</t>
        </is>
      </c>
      <c r="E7" s="264" t="inlineStr">
        <is>
          <t xml:space="preserve">Stir rate (rpm)</t>
        </is>
      </c>
      <c r="F7" s="264" t="inlineStr">
        <is>
          <t xml:space="preserve">Temp (°C)</t>
        </is>
      </c>
      <c r="G7" s="264" t="inlineStr">
        <is>
          <t xml:space="preserve">Limiting current (mA)</t>
        </is>
      </c>
      <c r="H7" s="264" t="inlineStr">
        <is>
          <t xml:space="preserve">Electrode area (cm²)</t>
        </is>
      </c>
      <c r="I7" s="264" t="inlineStr">
        <is>
          <t xml:space="preserve">Ferricyanide (mM)</t>
        </is>
      </c>
      <c r="J7" s="264" t="inlineStr">
        <is>
          <t xml:space="preserve">D ferricyanide (m²/s)</t>
        </is>
      </c>
      <c r="K7" s="264" t="inlineStr">
        <is>
          <t xml:space="preserve">k_m ferricyanide (computed, cm/s)</t>
        </is>
      </c>
      <c r="L7" s="264" t="inlineStr">
        <is>
          <t xml:space="preserve">k_m O₂ (computed, cm/s)</t>
        </is>
      </c>
      <c r="M7" s="264" t="inlineStr">
        <is>
          <t xml:space="preserve">Type (auto)</t>
        </is>
      </c>
      <c r="N7" s="264" t="inlineStr">
        <is>
          <t xml:space="preserve">Include?</t>
        </is>
      </c>
      <c r="O7" s="264" t="inlineStr">
        <is>
          <t xml:space="preserve">Notes</t>
        </is>
      </c>
    </row>
    <row r="8">
      <c r="A8" s="309"/>
      <c r="B8" s="227"/>
      <c r="C8" s="309"/>
      <c r="D8" s="309"/>
      <c r="E8" s="309"/>
      <c r="F8" s="309"/>
      <c r="G8" s="309"/>
      <c r="H8" s="309"/>
      <c r="I8" s="309"/>
      <c r="J8" s="309"/>
      <c r="K8" s="201" t="str">
        <f>IF(OR(CalKm[[#This Row],[Limiting current (mA)]]="",CalKm[[#This Row],[Electrode area (cm²)]]="",CalKm[[#This Row],[Ferricyanide (mM)]]=""),"",IFERROR((CalKm[[#This Row],[Limiting current (mA)]]/1000)/(Calibrations!n_e_fcn*Calibrations!F_const*(CalKm[[#This Row],[Electrode area (cm²)]]/10000)*CalKm[[#This Row],[Ferricyanide (mM)]])*100,""))</f>
        <v/>
      </c>
      <c r="L8" s="201" t="str">
        <f>IF(OR(CalKm[[#This Row],[k_m ferricyanide (computed, cm/s)]]="",CalKm[[#This Row],[D ferricyanide (m²/s)]]=""),"",IFERROR(CalKm[[#This Row],[k_m ferricyanide (computed, cm/s)]]*(Calibrations!D_O2/CalKm[[#This Row],[D ferricyanide (m²/s)]])^Calibrations!km_exp,""))</f>
        <v/>
      </c>
      <c r="M8" s="201" t="str">
        <f>IFERROR(INDEX(ReactorTypeList,MATCH(CalKm[[#This Row],[Reactor]],ReactorList,0)),"")</f>
        <v/>
      </c>
      <c r="N8" s="309"/>
      <c r="O8" s="309"/>
    </row>
    <row r="9">
      <c r="A9" s="309"/>
      <c r="B9" s="227"/>
      <c r="C9" s="309"/>
      <c r="D9" s="309"/>
      <c r="E9" s="309"/>
      <c r="F9" s="309"/>
      <c r="G9" s="309"/>
      <c r="H9" s="309"/>
      <c r="I9" s="309"/>
      <c r="J9" s="309"/>
      <c r="K9" s="201" t="str">
        <f>IF(OR(CalKm[[#This Row],[Limiting current (mA)]]="",CalKm[[#This Row],[Electrode area (cm²)]]="",CalKm[[#This Row],[Ferricyanide (mM)]]=""),"",IFERROR((CalKm[[#This Row],[Limiting current (mA)]]/1000)/(Calibrations!n_e_fcn*Calibrations!F_const*(CalKm[[#This Row],[Electrode area (cm²)]]/10000)*CalKm[[#This Row],[Ferricyanide (mM)]])*100,""))</f>
        <v/>
      </c>
      <c r="L9" s="201" t="str">
        <f>IF(OR(CalKm[[#This Row],[k_m ferricyanide (computed, cm/s)]]="",CalKm[[#This Row],[D ferricyanide (m²/s)]]=""),"",IFERROR(CalKm[[#This Row],[k_m ferricyanide (computed, cm/s)]]*(Calibrations!D_O2/CalKm[[#This Row],[D ferricyanide (m²/s)]])^Calibrations!km_exp,""))</f>
        <v/>
      </c>
      <c r="M9" s="201" t="str">
        <f>IFERROR(INDEX(ReactorTypeList,MATCH(CalKm[[#This Row],[Reactor]],ReactorList,0)),"")</f>
        <v/>
      </c>
      <c r="N9" s="309"/>
      <c r="O9" s="309"/>
    </row>
    <row r="10">
      <c r="A10" s="309"/>
      <c r="B10" s="227"/>
      <c r="C10" s="309"/>
      <c r="D10" s="309"/>
      <c r="E10" s="309"/>
      <c r="F10" s="309"/>
      <c r="G10" s="309"/>
      <c r="H10" s="309"/>
      <c r="I10" s="309"/>
      <c r="J10" s="309"/>
      <c r="K10" s="201" t="str">
        <f>IF(OR(CalKm[[#This Row],[Limiting current (mA)]]="",CalKm[[#This Row],[Electrode area (cm²)]]="",CalKm[[#This Row],[Ferricyanide (mM)]]=""),"",IFERROR((CalKm[[#This Row],[Limiting current (mA)]]/1000)/(Calibrations!n_e_fcn*Calibrations!F_const*(CalKm[[#This Row],[Electrode area (cm²)]]/10000)*CalKm[[#This Row],[Ferricyanide (mM)]])*100,""))</f>
        <v/>
      </c>
      <c r="L10" s="201" t="str">
        <f>IF(OR(CalKm[[#This Row],[k_m ferricyanide (computed, cm/s)]]="",CalKm[[#This Row],[D ferricyanide (m²/s)]]=""),"",IFERROR(CalKm[[#This Row],[k_m ferricyanide (computed, cm/s)]]*(Calibrations!D_O2/CalKm[[#This Row],[D ferricyanide (m²/s)]])^Calibrations!km_exp,""))</f>
        <v/>
      </c>
      <c r="M10" s="201" t="str">
        <f>IFERROR(INDEX(ReactorTypeList,MATCH(CalKm[[#This Row],[Reactor]],ReactorList,0)),"")</f>
        <v/>
      </c>
      <c r="N10" s="309"/>
      <c r="O10" s="309"/>
    </row>
    <row r="11">
      <c r="A11" s="309"/>
      <c r="B11" s="227"/>
      <c r="C11" s="309"/>
      <c r="D11" s="309"/>
      <c r="E11" s="309"/>
      <c r="F11" s="309"/>
      <c r="G11" s="309"/>
      <c r="H11" s="309"/>
      <c r="I11" s="309"/>
      <c r="J11" s="309"/>
      <c r="K11" s="201" t="str">
        <f>IF(OR(CalKm[[#This Row],[Limiting current (mA)]]="",CalKm[[#This Row],[Electrode area (cm²)]]="",CalKm[[#This Row],[Ferricyanide (mM)]]=""),"",IFERROR((CalKm[[#This Row],[Limiting current (mA)]]/1000)/(Calibrations!n_e_fcn*Calibrations!F_const*(CalKm[[#This Row],[Electrode area (cm²)]]/10000)*CalKm[[#This Row],[Ferricyanide (mM)]])*100,""))</f>
        <v/>
      </c>
      <c r="L11" s="201" t="str">
        <f>IF(OR(CalKm[[#This Row],[k_m ferricyanide (computed, cm/s)]]="",CalKm[[#This Row],[D ferricyanide (m²/s)]]=""),"",IFERROR(CalKm[[#This Row],[k_m ferricyanide (computed, cm/s)]]*(Calibrations!D_O2/CalKm[[#This Row],[D ferricyanide (m²/s)]])^Calibrations!km_exp,""))</f>
        <v/>
      </c>
      <c r="M11" s="201" t="str">
        <f>IFERROR(INDEX(ReactorTypeList,MATCH(CalKm[[#This Row],[Reactor]],ReactorList,0)),"")</f>
        <v/>
      </c>
      <c r="N11" s="309"/>
      <c r="O11" s="309"/>
    </row>
    <row r="12">
      <c r="A12" s="309"/>
      <c r="B12" s="227"/>
      <c r="C12" s="309"/>
      <c r="D12" s="309"/>
      <c r="E12" s="309"/>
      <c r="F12" s="309"/>
      <c r="G12" s="309"/>
      <c r="H12" s="309"/>
      <c r="I12" s="309"/>
      <c r="J12" s="309"/>
      <c r="K12" s="201" t="str">
        <f>IF(OR(CalKm[[#This Row],[Limiting current (mA)]]="",CalKm[[#This Row],[Electrode area (cm²)]]="",CalKm[[#This Row],[Ferricyanide (mM)]]=""),"",IFERROR((CalKm[[#This Row],[Limiting current (mA)]]/1000)/(Calibrations!n_e_fcn*Calibrations!F_const*(CalKm[[#This Row],[Electrode area (cm²)]]/10000)*CalKm[[#This Row],[Ferricyanide (mM)]])*100,""))</f>
        <v/>
      </c>
      <c r="L12" s="201" t="str">
        <f>IF(OR(CalKm[[#This Row],[k_m ferricyanide (computed, cm/s)]]="",CalKm[[#This Row],[D ferricyanide (m²/s)]]=""),"",IFERROR(CalKm[[#This Row],[k_m ferricyanide (computed, cm/s)]]*(Calibrations!D_O2/CalKm[[#This Row],[D ferricyanide (m²/s)]])^Calibrations!km_exp,""))</f>
        <v/>
      </c>
      <c r="M12" s="201" t="str">
        <f>IFERROR(INDEX(ReactorTypeList,MATCH(CalKm[[#This Row],[Reactor]],ReactorList,0)),"")</f>
        <v/>
      </c>
      <c r="N12" s="309"/>
      <c r="O12" s="309"/>
    </row>
    <row r="13">
      <c r="A13" s="309"/>
      <c r="B13" s="227"/>
      <c r="C13" s="309"/>
      <c r="D13" s="309"/>
      <c r="E13" s="309"/>
      <c r="F13" s="309"/>
      <c r="G13" s="309"/>
      <c r="H13" s="309"/>
      <c r="I13" s="309"/>
      <c r="J13" s="309"/>
      <c r="K13" s="201" t="str">
        <f>IF(OR(CalKm[[#This Row],[Limiting current (mA)]]="",CalKm[[#This Row],[Electrode area (cm²)]]="",CalKm[[#This Row],[Ferricyanide (mM)]]=""),"",IFERROR((CalKm[[#This Row],[Limiting current (mA)]]/1000)/(Calibrations!n_e_fcn*Calibrations!F_const*(CalKm[[#This Row],[Electrode area (cm²)]]/10000)*CalKm[[#This Row],[Ferricyanide (mM)]])*100,""))</f>
        <v/>
      </c>
      <c r="L13" s="201" t="str">
        <f>IF(OR(CalKm[[#This Row],[k_m ferricyanide (computed, cm/s)]]="",CalKm[[#This Row],[D ferricyanide (m²/s)]]=""),"",IFERROR(CalKm[[#This Row],[k_m ferricyanide (computed, cm/s)]]*(Calibrations!D_O2/CalKm[[#This Row],[D ferricyanide (m²/s)]])^Calibrations!km_exp,""))</f>
        <v/>
      </c>
      <c r="M13" s="201" t="str">
        <f>IFERROR(INDEX(ReactorTypeList,MATCH(CalKm[[#This Row],[Reactor]],ReactorList,0)),"")</f>
        <v/>
      </c>
      <c r="N13" s="309"/>
      <c r="O13" s="309"/>
    </row>
    <row r="14">
      <c r="A14" s="309"/>
      <c r="B14" s="227"/>
      <c r="C14" s="309"/>
      <c r="D14" s="309"/>
      <c r="E14" s="309"/>
      <c r="F14" s="309"/>
      <c r="G14" s="309"/>
      <c r="H14" s="309"/>
      <c r="I14" s="309"/>
      <c r="J14" s="309"/>
      <c r="K14" s="201" t="str">
        <f>IF(OR(CalKm[[#This Row],[Limiting current (mA)]]="",CalKm[[#This Row],[Electrode area (cm²)]]="",CalKm[[#This Row],[Ferricyanide (mM)]]=""),"",IFERROR((CalKm[[#This Row],[Limiting current (mA)]]/1000)/(Calibrations!n_e_fcn*Calibrations!F_const*(CalKm[[#This Row],[Electrode area (cm²)]]/10000)*CalKm[[#This Row],[Ferricyanide (mM)]])*100,""))</f>
        <v/>
      </c>
      <c r="L14" s="201" t="str">
        <f>IF(OR(CalKm[[#This Row],[k_m ferricyanide (computed, cm/s)]]="",CalKm[[#This Row],[D ferricyanide (m²/s)]]=""),"",IFERROR(CalKm[[#This Row],[k_m ferricyanide (computed, cm/s)]]*(Calibrations!D_O2/CalKm[[#This Row],[D ferricyanide (m²/s)]])^Calibrations!km_exp,""))</f>
        <v/>
      </c>
      <c r="M14" s="201" t="str">
        <f>IFERROR(INDEX(ReactorTypeList,MATCH(CalKm[[#This Row],[Reactor]],ReactorList,0)),"")</f>
        <v/>
      </c>
      <c r="N14" s="309"/>
      <c r="O14" s="309"/>
    </row>
    <row r="15">
      <c r="A15" s="309"/>
      <c r="B15" s="227"/>
      <c r="C15" s="309"/>
      <c r="D15" s="309"/>
      <c r="E15" s="309"/>
      <c r="F15" s="309"/>
      <c r="G15" s="309"/>
      <c r="H15" s="309"/>
      <c r="I15" s="309"/>
      <c r="J15" s="309"/>
      <c r="K15" s="201" t="str">
        <f>IF(OR(CalKm[[#This Row],[Limiting current (mA)]]="",CalKm[[#This Row],[Electrode area (cm²)]]="",CalKm[[#This Row],[Ferricyanide (mM)]]=""),"",IFERROR((CalKm[[#This Row],[Limiting current (mA)]]/1000)/(Calibrations!n_e_fcn*Calibrations!F_const*(CalKm[[#This Row],[Electrode area (cm²)]]/10000)*CalKm[[#This Row],[Ferricyanide (mM)]])*100,""))</f>
        <v/>
      </c>
      <c r="L15" s="201" t="str">
        <f>IF(OR(CalKm[[#This Row],[k_m ferricyanide (computed, cm/s)]]="",CalKm[[#This Row],[D ferricyanide (m²/s)]]=""),"",IFERROR(CalKm[[#This Row],[k_m ferricyanide (computed, cm/s)]]*(Calibrations!D_O2/CalKm[[#This Row],[D ferricyanide (m²/s)]])^Calibrations!km_exp,""))</f>
        <v/>
      </c>
      <c r="M15" s="201" t="str">
        <f>IFERROR(INDEX(ReactorTypeList,MATCH(CalKm[[#This Row],[Reactor]],ReactorList,0)),"")</f>
        <v/>
      </c>
      <c r="N15" s="309"/>
      <c r="O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N8:N15">
      <formula1>"y,n"</formula1>
    </dataValidation>
    <dataValidation type="list" allowBlank="1" showErrorMessage="1" errorTitle="Invalid value" error="Choose from the list." sqref="D8:D15">
      <formula1>ElectrodeList</formula1>
    </dataValidation>
  </dataValidation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sheetPr>
    <tabColor rgb="FFA5A5A5"/>
  </sheetPr>
  <dimension ref="A1:L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2" width="15" customWidth="1"/>
  </cols>
  <sheetData>
    <row r="1">
      <c r="A1" s="263" t="inlineStr">
        <is>
          <t xml:space="preserve">CALIBRATION LOG – MONOCHLORAMINE LIFETIME  (DPD combined chlorine at plateau)</t>
        </is>
      </c>
      <c r="B1" s="263"/>
      <c r="C1" s="263"/>
      <c r="D1" s="263"/>
      <c r="E1" s="263"/>
      <c r="F1" s="263"/>
      <c r="G1" s="263"/>
      <c r="H1" s="263"/>
      <c r="I1" s="263"/>
      <c r="J1" s="263"/>
      <c r="K1" s="263"/>
      <c r="L1" s="263"/>
    </row>
    <row r="2">
      <c r="A2" s="243" t="str">
        <f>HYPERLINK("https://github.com/amy-bo/electroPioreactor/blob/AEP02/Media/protocols/chlorine-species.md","Protocol (opens on GitHub)")</f>
        <v>Protocol (opens on GitHub)</v>
      </c>
    </row>
    <row r="3">
      <c r="A3"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monochloramine lifetime</t>
        </is>
      </c>
      <c r="C5" s="265" t="inlineStr">
        <is>
          <t xml:space="preserve">h</t>
        </is>
      </c>
      <c r="D5" s="201" t="str">
        <f>cal_tau_NH2Cl</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Medium</t>
        </is>
      </c>
      <c r="E7" s="264" t="inlineStr">
        <is>
          <t xml:space="preserve">Combined chlorine plateau (mg/L as Cl₂)</t>
        </is>
      </c>
      <c r="F7" s="264" t="inlineStr">
        <is>
          <t xml:space="preserve">Chloride turnover k (1/s)</t>
        </is>
      </c>
      <c r="G7" s="264" t="inlineStr">
        <is>
          <t xml:space="preserve">Chloride pool C (mol/L)</t>
        </is>
      </c>
      <c r="H7" s="264" t="inlineStr">
        <is>
          <t xml:space="preserve">Max production P (mol/L/s)</t>
        </is>
      </c>
      <c r="I7" s="264" t="inlineStr">
        <is>
          <t xml:space="preserve">Lifetime (computed, h)</t>
        </is>
      </c>
      <c r="J7" s="264" t="inlineStr">
        <is>
          <t xml:space="preserve">Type (auto)</t>
        </is>
      </c>
      <c r="K7" s="264" t="inlineStr">
        <is>
          <t xml:space="preserve">Include?</t>
        </is>
      </c>
      <c r="L7" s="264" t="inlineStr">
        <is>
          <t xml:space="preserve">Notes</t>
        </is>
      </c>
    </row>
    <row r="8">
      <c r="A8" s="309"/>
      <c r="B8" s="227"/>
      <c r="C8" s="309"/>
      <c r="D8" s="309"/>
      <c r="E8" s="309"/>
      <c r="F8" s="309"/>
      <c r="G8" s="309"/>
      <c r="H8" s="309"/>
      <c r="I8"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8" s="201" t="str">
        <f>IFERROR(INDEX(ReactorTypeList,MATCH(CalChloramine[[#This Row],[Reactor]],ReactorList,0)),"")</f>
        <v/>
      </c>
      <c r="K8" s="309"/>
      <c r="L8" s="309"/>
    </row>
    <row r="9">
      <c r="A9" s="309"/>
      <c r="B9" s="227"/>
      <c r="C9" s="309"/>
      <c r="D9" s="309"/>
      <c r="E9" s="309"/>
      <c r="F9" s="309"/>
      <c r="G9" s="309"/>
      <c r="H9" s="309"/>
      <c r="I9"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9" s="201" t="str">
        <f>IFERROR(INDEX(ReactorTypeList,MATCH(CalChloramine[[#This Row],[Reactor]],ReactorList,0)),"")</f>
        <v/>
      </c>
      <c r="K9" s="309"/>
      <c r="L9" s="309"/>
    </row>
    <row r="10">
      <c r="A10" s="309"/>
      <c r="B10" s="227"/>
      <c r="C10" s="309"/>
      <c r="D10" s="309"/>
      <c r="E10" s="309"/>
      <c r="F10" s="309"/>
      <c r="G10" s="309"/>
      <c r="H10" s="309"/>
      <c r="I10"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0" s="201" t="str">
        <f>IFERROR(INDEX(ReactorTypeList,MATCH(CalChloramine[[#This Row],[Reactor]],ReactorList,0)),"")</f>
        <v/>
      </c>
      <c r="K10" s="309"/>
      <c r="L10" s="309"/>
    </row>
    <row r="11">
      <c r="A11" s="309"/>
      <c r="B11" s="227"/>
      <c r="C11" s="309"/>
      <c r="D11" s="309"/>
      <c r="E11" s="309"/>
      <c r="F11" s="309"/>
      <c r="G11" s="309"/>
      <c r="H11" s="309"/>
      <c r="I11"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1" s="201" t="str">
        <f>IFERROR(INDEX(ReactorTypeList,MATCH(CalChloramine[[#This Row],[Reactor]],ReactorList,0)),"")</f>
        <v/>
      </c>
      <c r="K11" s="309"/>
      <c r="L11" s="309"/>
    </row>
    <row r="12">
      <c r="A12" s="309"/>
      <c r="B12" s="227"/>
      <c r="C12" s="309"/>
      <c r="D12" s="309"/>
      <c r="E12" s="309"/>
      <c r="F12" s="309"/>
      <c r="G12" s="309"/>
      <c r="H12" s="309"/>
      <c r="I12"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2" s="201" t="str">
        <f>IFERROR(INDEX(ReactorTypeList,MATCH(CalChloramine[[#This Row],[Reactor]],ReactorList,0)),"")</f>
        <v/>
      </c>
      <c r="K12" s="309"/>
      <c r="L12" s="309"/>
    </row>
    <row r="13">
      <c r="A13" s="309"/>
      <c r="B13" s="227"/>
      <c r="C13" s="309"/>
      <c r="D13" s="309"/>
      <c r="E13" s="309"/>
      <c r="F13" s="309"/>
      <c r="G13" s="309"/>
      <c r="H13" s="309"/>
      <c r="I13"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3" s="201" t="str">
        <f>IFERROR(INDEX(ReactorTypeList,MATCH(CalChloramine[[#This Row],[Reactor]],ReactorList,0)),"")</f>
        <v/>
      </c>
      <c r="K13" s="309"/>
      <c r="L13" s="309"/>
    </row>
    <row r="14">
      <c r="A14" s="309"/>
      <c r="B14" s="227"/>
      <c r="C14" s="309"/>
      <c r="D14" s="309"/>
      <c r="E14" s="309"/>
      <c r="F14" s="309"/>
      <c r="G14" s="309"/>
      <c r="H14" s="309"/>
      <c r="I14"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4" s="201" t="str">
        <f>IFERROR(INDEX(ReactorTypeList,MATCH(CalChloramine[[#This Row],[Reactor]],ReactorList,0)),"")</f>
        <v/>
      </c>
      <c r="K14" s="309"/>
      <c r="L14" s="309"/>
    </row>
    <row r="15">
      <c r="A15" s="309"/>
      <c r="B15" s="227"/>
      <c r="C15" s="309"/>
      <c r="D15" s="309"/>
      <c r="E15" s="309"/>
      <c r="F15" s="309"/>
      <c r="G15" s="309"/>
      <c r="H15" s="309"/>
      <c r="I15"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5" s="201" t="str">
        <f>IFERROR(INDEX(ReactorTypeList,MATCH(CalChloramine[[#This Row],[Reactor]],ReactorList,0)),"")</f>
        <v/>
      </c>
      <c r="K15" s="309"/>
      <c r="L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K8:K15">
      <formula1>"y,n"</formula1>
    </dataValidation>
    <dataValidation type="list" allowBlank="1" showErrorMessage="1" errorTitle="Invalid value" error="Choose from the list." sqref="D8:D15">
      <formula1>MediaList</formula1>
    </dataValidation>
  </dataValidation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sheetPr>
    <tabColor rgb="FFA5A5A5"/>
  </sheetPr>
  <dimension ref="A1:J25"/>
  <sheetViews>
    <sheetView workbookViewId="0">
      <pane ySplit="5" topLeftCell="A6" activePane="bottomLeft" state="frozen"/>
      <selection pane="bottomLeft" activeCell="A6" sqref="A6"/>
    </sheetView>
  </sheetViews>
  <sheetFormatPr defaultRowHeight="15"/>
  <cols>
    <col min="1" max="1" width="16" customWidth="1"/>
    <col min="2" max="2" width="12" customWidth="1"/>
    <col min="3" max="10" width="15" customWidth="1"/>
  </cols>
  <sheetData>
    <row r="1">
      <c r="A1" s="263" t="inlineStr">
        <is>
          <t xml:space="preserve">EXPERIMENT RECORD – one row per experiment done; leave a condition blank when the result holds for any value of it</t>
        </is>
      </c>
      <c r="B1" s="263"/>
      <c r="C1" s="263"/>
      <c r="D1" s="263"/>
      <c r="E1" s="263"/>
      <c r="F1" s="263"/>
      <c r="G1" s="263"/>
      <c r="H1" s="263"/>
      <c r="I1" s="263"/>
      <c r="J1" s="263"/>
    </row>
    <row r="2">
      <c r="A2"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3">
      <c r="A3" s="269" t="inlineStr">
        <is>
          <t xml:space="preserve">Add an experiment: type it in the first empty row under the table; it grows on its own. Summary column D (experiment status) reads it.</t>
        </is>
      </c>
    </row>
    <row r="5" ht="45" customHeight="1">
      <c r="A5" s="264" t="inlineStr">
        <is>
          <t xml:space="preserve">Researcher</t>
        </is>
      </c>
      <c r="B5" s="264" t="inlineStr">
        <is>
          <t xml:space="preserve">Date</t>
        </is>
      </c>
      <c r="C5" s="264" t="inlineStr">
        <is>
          <t xml:space="preserve">Experiment (Summary list)</t>
        </is>
      </c>
      <c r="D5" s="264" t="inlineStr">
        <is>
          <t xml:space="preserve">Reactor or type</t>
        </is>
      </c>
      <c r="E5" s="264" t="inlineStr">
        <is>
          <t xml:space="preserve">Electrode</t>
        </is>
      </c>
      <c r="F5" s="264" t="inlineStr">
        <is>
          <t xml:space="preserve">Organism</t>
        </is>
      </c>
      <c r="G5" s="264" t="inlineStr">
        <is>
          <t xml:space="preserve">Medium</t>
        </is>
      </c>
      <c r="H5" s="264" t="inlineStr">
        <is>
          <t xml:space="preserve">Temp (°C)</t>
        </is>
      </c>
      <c r="I5" s="264" t="inlineStr">
        <is>
          <t xml:space="preserve">Result</t>
        </is>
      </c>
      <c r="J5" s="264" t="inlineStr">
        <is>
          <t xml:space="preserve">Notes</t>
        </is>
      </c>
    </row>
    <row r="6">
      <c r="A6" s="268" t="inlineStr">
        <is>
          <t xml:space="preserve">Edinburgh MSc</t>
        </is>
      </c>
      <c r="B6" s="227"/>
      <c r="C6" s="268" t="inlineStr">
        <is>
          <t xml:space="preserve">Measure the cell voltage at a known setpoint</t>
        </is>
      </c>
      <c r="D6" s="268" t="inlineStr">
        <is>
          <t xml:space="preserve">MEP0.3</t>
        </is>
      </c>
      <c r="E6" s="268"/>
      <c r="F6" s="268"/>
      <c r="G6" s="268" t="inlineStr">
        <is>
          <t xml:space="preserve">UdG phosphate</t>
        </is>
      </c>
      <c r="H6" s="268">
        <v>30.0</v>
      </c>
      <c r="I6" s="268" t="inlineStr">
        <is>
          <t xml:space="preserve">Approximate</t>
        </is>
      </c>
      <c r="J6" s="268" t="inlineStr">
        <is>
          <t xml:space="preserve">About 3.4 V at 3 % power in Exp 1 (ed04/ed05, lab notebook, June 2026); meter and electrode not recorded.</t>
        </is>
      </c>
    </row>
    <row r="7">
      <c r="A7" s="268" t="inlineStr">
        <is>
          <t xml:space="preserve">Edinburgh MSc</t>
        </is>
      </c>
      <c r="B7" s="227">
        <v>46190.0</v>
      </c>
      <c r="C7" s="268" t="inlineStr">
        <is>
          <t xml:space="preserve">Sparger-attached flow check</t>
        </is>
      </c>
      <c r="D7" s="268" t="inlineStr">
        <is>
          <t xml:space="preserve">ed04</t>
        </is>
      </c>
      <c r="E7" s="268"/>
      <c r="F7" s="268"/>
      <c r="G7" s="268"/>
      <c r="H7" s="268"/>
      <c r="I7" s="268" t="inlineStr">
        <is>
          <t xml:space="preserve">Approximate</t>
        </is>
      </c>
      <c r="J7" s="268" t="inlineStr">
        <is>
          <t xml:space="preserve">Pulse ladder 0.1–4 s on 17 Jun 2026 (CO2 flows rows 4–46), collected from the inlet tube because the cap leaked, not through the sparger.</t>
        </is>
      </c>
    </row>
    <row r="8">
      <c r="A8" s="268" t="inlineStr">
        <is>
          <t xml:space="preserve">Edinburgh MSc</t>
        </is>
      </c>
      <c r="B8" s="227">
        <v>46190.0</v>
      </c>
      <c r="C8" s="268" t="inlineStr">
        <is>
          <t xml:space="preserve">Bench-characterise the solenoid pulse floor</t>
        </is>
      </c>
      <c r="D8" s="268" t="inlineStr">
        <is>
          <t xml:space="preserve">ed04</t>
        </is>
      </c>
      <c r="E8" s="268"/>
      <c r="F8" s="268"/>
      <c r="G8" s="268"/>
      <c r="H8" s="268"/>
      <c r="I8" s="268" t="inlineStr">
        <is>
          <t xml:space="preserve">Approximate</t>
        </is>
      </c>
      <c r="J8" s="268" t="inlineStr">
        <is>
          <t xml:space="preserve">0.25 s minimum sparge from the same ladder (CO2 flows I4); 0.1 and 0.2 s pulses tried, two outliers excluded (column N).</t>
        </is>
      </c>
    </row>
    <row r="9">
      <c r="A9" s="268" t="inlineStr">
        <is>
          <t xml:space="preserve">Edinburgh MSc</t>
        </is>
      </c>
      <c r="B9" s="227">
        <v>46190.0</v>
      </c>
      <c r="C9" s="268" t="inlineStr">
        <is>
          <t xml:space="preserve">No-carryover maximum flow</t>
        </is>
      </c>
      <c r="D9" s="268" t="inlineStr">
        <is>
          <t xml:space="preserve">ed04</t>
        </is>
      </c>
      <c r="E9" s="268"/>
      <c r="F9" s="268"/>
      <c r="G9" s="268"/>
      <c r="H9" s="268"/>
      <c r="I9" s="268" t="inlineStr">
        <is>
          <t xml:space="preserve">Approximate</t>
        </is>
      </c>
      <c r="J9" s="268" t="inlineStr">
        <is>
          <t xml:space="preserve">3.33 mL/s set by inspection as the most that keeps bubbles out of the vial neck (CO2 flows J4); column M not yet entered.</t>
        </is>
      </c>
    </row>
    <row r="10">
      <c r="A10"/>
      <c r="B10"/>
      <c r="C10"/>
      <c r="D10"/>
      <c r="E10"/>
      <c r="F10"/>
      <c r="G10"/>
      <c r="H10"/>
      <c r="I10"/>
      <c r="J10"/>
    </row>
    <row r="11">
      <c r="A11"/>
      <c r="B11"/>
      <c r="C11"/>
      <c r="D11"/>
      <c r="E11"/>
      <c r="F11"/>
      <c r="G11"/>
      <c r="H11"/>
      <c r="I11"/>
      <c r="J11"/>
    </row>
    <row r="12">
      <c r="A12"/>
      <c r="B12"/>
      <c r="C12"/>
      <c r="D12"/>
      <c r="E12"/>
      <c r="F12"/>
      <c r="G12"/>
      <c r="H12"/>
      <c r="I12"/>
      <c r="J12"/>
    </row>
    <row r="13">
      <c r="A13"/>
      <c r="B13"/>
      <c r="C13"/>
      <c r="D13"/>
      <c r="E13"/>
      <c r="F13"/>
      <c r="G13"/>
      <c r="H13"/>
      <c r="I13"/>
      <c r="J13"/>
    </row>
    <row r="14">
      <c r="A14"/>
      <c r="B14"/>
      <c r="C14"/>
      <c r="D14"/>
      <c r="E14"/>
      <c r="F14"/>
      <c r="G14"/>
      <c r="H14"/>
      <c r="I14"/>
      <c r="J14"/>
    </row>
    <row r="15">
      <c r="A15"/>
      <c r="B15"/>
      <c r="C15"/>
      <c r="D15"/>
      <c r="E15"/>
      <c r="F15"/>
      <c r="G15"/>
      <c r="H15"/>
      <c r="I15"/>
      <c r="J15"/>
    </row>
    <row r="16">
      <c r="A16"/>
      <c r="B16"/>
      <c r="C16"/>
      <c r="D16"/>
      <c r="E16"/>
      <c r="F16"/>
      <c r="G16"/>
      <c r="H16"/>
      <c r="I16"/>
      <c r="J16"/>
    </row>
    <row r="17">
      <c r="A17"/>
      <c r="B17"/>
      <c r="C17"/>
      <c r="D17"/>
      <c r="E17"/>
      <c r="F17"/>
      <c r="G17"/>
      <c r="H17"/>
      <c r="I17"/>
      <c r="J17"/>
    </row>
    <row r="18">
      <c r="A18"/>
      <c r="B18"/>
      <c r="C18"/>
      <c r="D18"/>
      <c r="E18"/>
      <c r="F18"/>
      <c r="G18"/>
      <c r="H18"/>
      <c r="I18"/>
      <c r="J18"/>
    </row>
    <row r="19">
      <c r="A19"/>
      <c r="B19"/>
      <c r="C19"/>
      <c r="D19"/>
      <c r="E19"/>
      <c r="F19"/>
      <c r="G19"/>
      <c r="H19"/>
      <c r="I19"/>
      <c r="J19"/>
    </row>
    <row r="20">
      <c r="A20"/>
      <c r="B20"/>
      <c r="C20"/>
      <c r="D20"/>
      <c r="E20"/>
      <c r="F20"/>
      <c r="G20"/>
      <c r="H20"/>
      <c r="I20"/>
      <c r="J20"/>
    </row>
    <row r="21">
      <c r="A21"/>
      <c r="B21"/>
      <c r="C21"/>
      <c r="D21"/>
      <c r="E21"/>
      <c r="F21"/>
      <c r="G21"/>
      <c r="H21"/>
      <c r="I21"/>
      <c r="J21"/>
    </row>
    <row r="22">
      <c r="A22"/>
      <c r="B22"/>
      <c r="C22"/>
      <c r="D22"/>
      <c r="E22"/>
      <c r="F22"/>
      <c r="G22"/>
      <c r="H22"/>
      <c r="I22"/>
      <c r="J22"/>
    </row>
    <row r="23">
      <c r="A23"/>
      <c r="B23"/>
      <c r="C23"/>
      <c r="D23"/>
      <c r="E23"/>
      <c r="F23"/>
      <c r="G23"/>
      <c r="H23"/>
      <c r="I23"/>
      <c r="J23"/>
    </row>
    <row r="24">
      <c r="A24"/>
      <c r="B24"/>
      <c r="C24"/>
      <c r="D24"/>
      <c r="E24"/>
      <c r="F24"/>
      <c r="G24"/>
      <c r="H24"/>
      <c r="I24"/>
      <c r="J24"/>
    </row>
    <row r="25">
      <c r="A25"/>
      <c r="B25"/>
      <c r="C25"/>
      <c r="D25"/>
      <c r="E25"/>
      <c r="F25"/>
      <c r="G25"/>
      <c r="H25"/>
      <c r="I25"/>
      <c r="J25"/>
    </row>
  </sheetData>
  <dataValidations count="2">
    <dataValidation type="list" allowBlank="1" showErrorMessage="1" errorTitle="Invalid value" error="Choose from the list." sqref="C6:C25">
      <formula1>xs_list</formula1>
    </dataValidation>
    <dataValidation type="list" allowBlank="1" showErrorMessage="1" errorTitle="Invalid value" error="Choose from the list." sqref="I6:I25">
      <formula1>"Done,Approximate"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24" baseType="lpstr">
      <vt:lpstr>Summary</vt:lpstr>
      <vt:lpstr>Reactors</vt:lpstr>
      <vt:lpstr>Electrodes</vt:lpstr>
      <vt:lpstr>Organisms</vt:lpstr>
      <vt:lpstr>Geometry</vt:lpstr>
      <vt:lpstr>Electrochemistry</vt:lpstr>
      <vt:lpstr>Media</vt:lpstr>
      <vt:lpstr>Chemistry</vt:lpstr>
      <vt:lpstr>Biology</vt:lpstr>
      <vt:lpstr>Mass Transfer</vt:lpstr>
      <vt:lpstr>CO2 flows</vt:lpstr>
      <vt:lpstr>Calibrations</vt:lpstr>
      <vt:lpstr>Cal current</vt:lpstr>
      <vt:lpstr>Cal faradaic</vt:lpstr>
      <vt:lpstr>Cal kLa</vt:lpstr>
      <vt:lpstr>Cal CO2 flow</vt:lpstr>
      <vt:lpstr>Cal vial</vt:lpstr>
      <vt:lpstr>Cal sinter</vt:lpstr>
      <vt:lpstr>Cal DO</vt:lpstr>
      <vt:lpstr>Cal knallgas</vt:lpstr>
      <vt:lpstr>Cal j screen</vt:lpstr>
      <vt:lpstr>Cal km</vt:lpstr>
      <vt:lpstr>Cal chloramine</vt:lpstr>
      <vt:lpstr>Experiments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