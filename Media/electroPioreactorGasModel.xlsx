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xr:revisionPtr revIDLastSave="0" documentId="13_ncr:1_{96CC8FD1-785B-AC4D-8121-CAB29CA67389}" xr6:coauthVersionLast="47" xr6:coauthVersionMax="47" xr10:uidLastSave="{00000000-0000-0000-0000-000000000000}"/>
  <bookViews>
    <workbookView xWindow="4720" yWindow="9920" windowWidth="2516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1">Geometry!$D$21</definedName>
    <definedName name="A_x" localSheetId="5">'Mass Transfer'!$D$17</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ubble_regime" localSheetId="5">'Mass Transfer'!$D$64</definedName>
    <definedName name="buffer_flag" localSheetId="3">Chemistry!$D$219</definedName>
    <definedName name="C_air_CO2" localSheetId="5">'Mass Transfer'!$D$146</definedName>
    <definedName name="C_cycle_peak" localSheetId="5">'Mass Transfer'!$D$199</definedName>
    <definedName name="C_cycle_start" localSheetId="5">'Mass Transfer'!$D$198</definedName>
    <definedName name="C_eff" localSheetId="3">Chemistry!$D$145</definedName>
    <definedName name="C_eff_Cl2" localSheetId="3">Chemistry!$D$226</definedName>
    <definedName name="C_eff_hi" localSheetId="3">Chemistry!$D$157</definedName>
    <definedName name="C_eff_lo" localSheetId="3">Chemistry!$D$156</definedName>
    <definedName name="C_H2_sat" localSheetId="4">Biology!$D$41</definedName>
    <definedName name="C_sat_CO2" localSheetId="5">'Mass Transfer'!$D$145</definedName>
    <definedName name="Ca_CO2" localSheetId="5">'Mass Transfer'!$D$157</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b_CO2" localSheetId="5">'Mass Transfer'!$D$158</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O2_carbon_margin" localSheetId="4">Biology!$D$35</definedName>
    <definedName name="CO2_cons" localSheetId="4">Biology!$D$15</definedName>
    <definedName name="CO2_cons" localSheetId="5">'Mass Transfer'!$D$10</definedName>
    <definedName name="CO2_cyc_avg" localSheetId="5">'Mass Transfer'!$D$161</definedName>
    <definedName name="CO2_cyc_avg_new" localSheetId="5">'Mass Transfer'!$D$200</definedName>
    <definedName name="CO2_diss" localSheetId="4">Biology!$D$33</definedName>
    <definedName name="CO2_int_off" localSheetId="5">'Mass Transfer'!$D$160</definedName>
    <definedName name="CO2_int_on" localSheetId="5">'Mass Transfer'!$D$159</definedName>
    <definedName name="CO2_pulse" localSheetId="5">'Mass Transfer'!$D$123</definedName>
    <definedName name="CO2_rate_full" localSheetId="5">'Mass Transfer'!$D$178</definedName>
    <definedName name="CO2_sd_ratio" localSheetId="5">'Mass Transfer'!$D$126</definedName>
    <definedName name="CO2_supply" localSheetId="5">'Mass Transfer'!$D$100</definedName>
    <definedName name="CO2aqc" localSheetId="3">Chemistry!$D$5</definedName>
    <definedName name="CO2aqc_ss" localSheetId="5">'Mass Transfer'!$D$162</definedName>
    <definedName name="coef_CO2" localSheetId="5">'Mass Transfer'!$D$156</definedName>
    <definedName name="corr_I_frac" localSheetId="3">Chemistry!$D$158</definedName>
    <definedName name="d_bubble" localSheetId="5">'Mass Transfer'!$D$42</definedName>
    <definedName name="d_bubble_mm" localSheetId="5">'Mass Transfer'!$D$43</definedName>
    <definedName name="D_CO2" localSheetId="5">'Mass Transfer'!$D$138</definedName>
    <definedName name="D_CO2_ref" localSheetId="5">'Mass Transfer'!$D$174</definedName>
    <definedName name="D_HPO4" localSheetId="3">Chemistry!$D$214</definedName>
    <definedName name="D_int" localSheetId="1">Geometry!$D$22</definedName>
    <definedName name="D_int_1" localSheetId="1">Geometry!$D$12</definedName>
    <definedName name="D_int_2" localSheetId="1">Geometry!$D$13</definedName>
    <definedName name="D_O2" localSheetId="5">'Mass Transfer'!$D$32</definedName>
    <definedName name="d_orifice" localSheetId="5">'Mass Transfer'!$D$41</definedName>
    <definedName name="delta_diff" localSheetId="3">Chemistry!$D$215</definedName>
    <definedName name="depth_warn" localSheetId="1">Geometry!$D$55</definedName>
    <definedName name="disp_tot" localSheetId="1">Geometry!$D$40</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min" localSheetId="4">Biology!$D$45</definedName>
    <definedName name="DO_min" localSheetId="5">'Mass Transfer'!$D$25</definedName>
    <definedName name="DO_opt" localSheetId="4">Biology!$D$46</definedName>
    <definedName name="DO_opt" localSheetId="5">'Mass Transfer'!$D$22</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s_vs_opt" localSheetId="5">'Mass Transfer'!$D$109</definedName>
    <definedName name="DO_surf_excess" localSheetId="5">'Mass Transfer'!$D$180</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O_vent_eq" localSheetId="5">'Mass Transfer'!$D$76</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O2vent" localSheetId="5">'Mass Transfer'!$D$87</definedName>
    <definedName name="duty_opt" localSheetId="5">'Mass Transfer'!$D$88</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OER" localSheetId="3">Chemistry!$D$201</definedName>
    <definedName name="E0_ORR2" localSheetId="3">Chemistry!$D$204</definedName>
    <definedName name="e1_CO2" localSheetId="5">'Mass Transfer'!$D$154</definedName>
    <definedName name="e2_CO2" localSheetId="5">'Mass Transfer'!$D$155</definedName>
    <definedName name="Ea_D_CO2" localSheetId="5">'Mass Transfer'!$D$175</definedName>
    <definedName name="ec_corr_I" localSheetId="2">Electrochemistry!$D$102</definedName>
    <definedName name="ec_D_O2" localSheetId="2">Electrochemistry!$D$81</definedName>
    <definedName name="ec_DO_design" localSheetId="2">Electrochemistry!$D$85</definedName>
    <definedName name="ec_DO_frac" localSheetId="2">Electrochemistry!$D$79</definedName>
    <definedName name="ec_E_rev" localSheetId="2">Electrochemistry!$D$106</definedName>
    <definedName name="ec_gap" localSheetId="2">Electrochemistry!$D$115</definedName>
    <definedName name="ec_I_Cl" localSheetId="2">Electrochemistry!$D$101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on_CO2" localSheetId="5">'Mass Transfer'!$D$153</definedName>
    <definedName name="eta_anode" localSheetId="2">Electrochemistry!$D$111</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2">Electrochemistry!$D$15</definedName>
    <definedName name="f_HOOH" localSheetId="2">Electrochemistry!$D$91</definedName>
    <definedName name="f_local" localSheetId="3">Chemistry!$D$141</definedName>
    <definedName name="Fcc" localSheetId="3">Chemistry!$D$7</definedName>
    <definedName name="FE_CER" localSheetId="3">Chemistry!$D$128</definedName>
    <definedName name="flowrate_cal" localSheetId="5">'Mass Transfer'!$D$117</definedName>
    <definedName name="flush_factor" localSheetId="5">'Mass Transfer'!$D$106</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rrit_int" localSheetId="2">Electrochemistry!$D$12</definedName>
    <definedName name="gerrit_max" localSheetId="2">Electrochemistry!$D$14</definedName>
    <definedName name="gerrit_min" localSheetId="2">Electrochemistry!$D$13</definedName>
    <definedName name="gerrit_slope" localSheetId="2">Electrochemistry!$D$11</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2_cons" localSheetId="4">Biology!$D$13</definedName>
    <definedName name="H2_safety" localSheetId="4">Biology!$D$44</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s_flush_time" localSheetId="5">'Mass Transfer'!$D$77</definedName>
    <definedName name="hs_H_CO2" localSheetId="5">'Mass Transfer'!$D$191</definedName>
    <definedName name="hs_O2_allow" localSheetId="5">'Mass Transfer'!$D$182</definedName>
    <definedName name="I_app" localSheetId="2">Electrochemistry!$D$19</definedName>
    <definedName name="I_Cl" localSheetId="3">Chemistry!$D$133</definedName>
    <definedName name="I_Cl_FE" localSheetId="3">Chemistry!$D$131</definedName>
    <definedName name="I_Cl_mt" localSheetId="3">Chemistry!$D$132</definedName>
    <definedName name="I_ionic" localSheetId="3">Chemistry!$D$185</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eff_CO2" localSheetId="5">'Mass Transfer'!$D$195</definedName>
    <definedName name="k_geom" localSheetId="2">Electrochemistry!$D$116</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O2" localSheetId="2">Electrochemistry!$D$83</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Chemistry!$A$114:$A$115</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hs_gas" localSheetId="5">'Mass Transfer'!$D$150</definedName>
    <definedName name="n_pores_active" localSheetId="5">'Mass Transfer'!$D$61</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net_gen" localSheetId="4">Biology!$D$5</definedName>
    <definedName name="O2_net_gen" localSheetId="2">Electrochemistry!$D$29</definedName>
    <definedName name="O2_net_gen" localSheetId="5">'Mass Transfer'!$D$13</definedName>
    <definedName name="O2_removal_ratio" localSheetId="5">'Mass Transfer'!$D$78</definedName>
    <definedName name="O2_src_guard" localSheetId="5">'Mass Transfer'!$D$132</definedName>
    <definedName name="O2_strip_pulse" localSheetId="5">'Mass Transfer'!$D$128</definedName>
    <definedName name="od_ok" localSheetId="5">'Mass Transfer'!$D$95</definedName>
    <definedName name="opt_binding" localSheetId="5">'Mass Transfer'!$D$94</definedName>
    <definedName name="organism_sel" localSheetId="4">Biology!$D$7</definedName>
    <definedName name="organism_sel" localSheetId="0">Summary!$D$4</definedName>
    <definedName name="OrganismList">Biology!$A$52:$A$57</definedName>
    <definedName name="P_atm" localSheetId="4">Biology!$D$19</definedName>
    <definedName name="P_atm" localSheetId="2">Electrochemistry!$D$6</definedName>
    <definedName name="P_atm" localSheetId="5">'Mass Transfer'!$D$9</definedName>
    <definedName name="P_atm_set" localSheetId="0">Summary!$D$10</definedName>
    <definedName name="p_CO2_sparge" localSheetId="4">Biology!$D$32</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O2_air" localSheetId="5">'Mass Transfer'!$D$139</definedName>
    <definedName name="pH_band_flag" localSheetId="3">Chemistry!$D$110</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SID" localSheetId="3">Chemistry!$D$44</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e" localSheetId="5">'Mass Transfer'!$D$197</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T_mc02" localSheetId="3">Chemistry!$D$35</definedName>
    <definedName name="PT_udg" localSheetId="3">Chemistry!$D$39</definedName>
    <definedName name="pulse_floor" localSheetId="5">'Mass Transfer'!$D$99</definedName>
    <definedName name="pulses_d" localSheetId="5">'Mass Transfer'!$D$125</definedName>
    <definedName name="pulses_h" localSheetId="5">'Mass Transfer'!$D$124</definedName>
    <definedName name="pw_A" localSheetId="5">'Mass Transfer'!$D$203</definedName>
    <definedName name="pw_B" localSheetId="5">'Mass Transfer'!$D$204</definedName>
    <definedName name="pw_C" localSheetId="5">'Mass Transfer'!$D$205</definedName>
    <definedName name="Q_CO2" localSheetId="5">'Mass Transfer'!$D$102</definedName>
    <definedName name="Q_vent" localSheetId="5">'Mass Transfer'!$D$142</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3">Chemistry!$D$9</definedName>
    <definedName name="R_gas" localSheetId="2">Electrochemistry!$D$7</definedName>
    <definedName name="R_gas" localSheetId="5">'Mass Transfer'!$D$101</definedName>
    <definedName name="r_H2O2" localSheetId="2">Electrochemistry!$D$93</definedName>
    <definedName name="Reactor" localSheetId="5">'Mass Transfer'!$D$115</definedName>
    <definedName name="reactor_sel" localSheetId="1">Geometry!$D$5</definedName>
    <definedName name="Reactor_sel" localSheetId="0">Summary!$D$2</definedName>
    <definedName name="ReactorList">Geometry!$A$59:$A$80</definedName>
    <definedName name="rH2_gen" localSheetId="4">Biology!$D$4</definedName>
    <definedName name="rH2_gen" localSheetId="2">Electrochemistry!$D$21</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1">Geometry!$D$51</definedName>
    <definedName name="s_renew" localSheetId="5">'Mass Transfer'!$D$69</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man" localSheetId="5">'Mass Transfer'!$D$82</definedName>
    <definedName name="spg_dur_opt" localSheetId="5">'Mass Transfer'!$D$90</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arget_DO_frac" localSheetId="5">'Mass Transfer'!$D$84</definedName>
    <definedName name="tau_hs" localSheetId="5">'Mass Transfer'!$D$144</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cell_est" localSheetId="2">Electrochemistry!$D$119</definedName>
    <definedName name="V_charge" localSheetId="4">Biology!$D$6</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H2_gen" localSheetId="2">Electrochemistry!$D$23</definedName>
    <definedName name="V_headroom" localSheetId="2">Electrochemistry!$D$121</definedName>
    <definedName name="V_inserts" localSheetId="1">Geometry!$D$48</definedName>
    <definedName name="V_IR" localSheetId="2">Electrochemistry!$D$118</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rail" localSheetId="2">Electrochemistry!$D$120</definedName>
    <definedName name="V_vial_total" localSheetId="1">Geometry!$D$24</definedName>
    <definedName name="vent_floor_chk" localSheetId="5">'Mass Transfer'!$D$163</definedName>
    <definedName name="ver_name_1" localSheetId="1">Geometry!$D$8</definedName>
    <definedName name="ver_name_2" localSheetId="1">Geometry!$D$9</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OD_1" localSheetId="1">Geometry!$D$10</definedName>
    <definedName name="vial_OD_2" localSheetId="1">Geometry!$D$11</definedName>
    <definedName name="vial_wall" localSheetId="1">Geometry!$D$19</definedName>
    <definedName name="VLc" localSheetId="3">Chemistry!$D$8</definedName>
    <definedName name="Vmax_1" localSheetId="1">Geometry!$D$14</definedName>
    <definedName name="Vmax_2" localSheetId="1">Geometry!$D$15</definedName>
    <definedName name="Vtot_1" localSheetId="1">Geometry!$D$16</definedName>
    <definedName name="Vtot_2" localSheetId="1">Geometry!$D$17</definedName>
    <definedName name="We_orifice" localSheetId="5">'Mass Transfer'!$D$63</definedName>
    <definedName name="xtube_n" localSheetId="1">Geometry!$D$46</definedName>
    <definedName name="xtube_OD" localSheetId="1">Geometry!$D$45</definedName>
    <definedName name="xtube_pro" localSheetId="1">Geometry!$D$47</definedName>
    <definedName name="y_O2_actual" localSheetId="5">'Mass Transfer'!$D$187</definedName>
    <definedName name="y_O2_star" localSheetId="5">'Mass Transfer'!$D$183</definedName>
    <definedName name="y_O2_vent" localSheetId="5">'Mass Transfer'!$D$75</definedName>
    <definedName name="z_e_H2" localSheetId="2">Electrochemistry!$D$16</definedName>
    <definedName name="z_e_O2" localSheetId="2">Electrochemistry!$D$17</definedName>
    <definedName name="z_e_ORR" localSheetId="2">Electrochemistry!$D$27</definedName>
    <definedName name="cal_hs">Calibrations!$D$76</definedName>
    <definedName name="cal_hs_fill">Calibrations!$D$77</definedName>
    <definedName name="D_HCO3" localSheetId="3">Chemistry!$D$251</definedName>
    <definedName name="HCO3_op" localSheetId="3">Chemistry!$D$252</definedName>
    <definedName name="HPO4_op" localSheetId="3">Chemistry!$D$253</definedName>
    <definedName name="eta_anode_c" localSheetId="3">Chemistry!$D$254</definedName>
    <definedName name="pcet_credit_c" localSheetId="3">Chemistry!$D$255</definedName>
    <definedName name="E_anode_op" localSheetId="3">Chemistry!$D$256</definedName>
    <definedName name="E0_HOCl" localSheetId="3">Chemistry!$D$257</definedName>
    <definedName name="E_HOCl_Cl" localSheetId="3">Chemistry!$D$258</definedName>
    <definedName name="C_eff_lo_Cl2" localSheetId="3">Chemistry!$D$259</definedName>
    <definedName name="C_eff_hi_Cl2" localSheetId="3">Chemistry!$D$260</definedName>
    <definedName name="M_O2" localSheetId="5">'Mass Transfer'!$D$231</definedName>
    <definedName name="DO_at_carbon" localSheetId="5">'Mass Transfer'!$D$232</definedName>
    <definedName name="CO2_supply_b" localSheetId="4">Biology!$D$76</definedName>
    <definedName name="CO2_rate_full_b" localSheetId="4">Biology!$D$77</definedName>
    <definedName name="spg_dur_b" localSheetId="4">Biology!$D$78</definedName>
    <definedName name="R_gas_b" localSheetId="4">Biology!$D$79</definedName>
    <definedName name="H2_LFL" localSheetId="4">Biology!$D$80</definedName>
    <definedName name="O2_LOC_H2" localSheetId="4">Biology!$D$81</definedName>
    <definedName name="LOC_margin" localSheetId="4">Biology!$D$82</definedName>
    <definedName name="n_flamm_src" localSheetId="4">Biology!$D$83</definedName>
    <definedName name="y_H2_hs_lag" localSheetId="4">Biology!$D$84</definedName>
    <definedName name="y_O2_hs_lag" localSheetId="4">Biology!$D$85</definedName>
    <definedName name="duty_H2safe" localSheetId="4">Biology!$D$86</definedName>
    <definedName name="spg_int_H2safe" localSheetId="4">Biology!$D$87</definedName>
    <definedName name="N2_sweep_H2safe" localSheetId="4">Biology!$D$88</definedName>
    <definedName name="knall_H2_default" localSheetId="4">Biology!$D$63</definedName>
    <definedName name="knall_O2_default" localSheetId="4">Biology!$D$64</definedName>
    <definedName name="knall_CO2_default" localSheetId="4">Biology!$D$65</definedName>
    <definedName name="T_zero_C" localSheetId="4">Biology!$D$66</definedName>
    <definedName name="P_atm_set" localSheetId="4">Biology!$D$67</definedName>
    <definedName name="gerrit_slope_default" localSheetId="2">Electrochemistry!$D$125</definedName>
    <definedName name="gerrit_int_default" localSheetId="2">Electrochemistry!$D$126</definedName>
    <definedName name="V_headroom_min" localSheetId="2">Electrochemistry!$D$127</definedName>
    <definedName name="T_ref" localSheetId="3">Chemistry!$D$229</definedName>
    <definedName name="DH_const" localSheetId="3">Chemistry!$D$230</definedName>
    <definedName name="eps_water_298" localSheetId="3">Chemistry!$D$231</definedName>
    <definedName name="eps_T_exp" localSheetId="3">Chemistry!$D$232</definedName>
    <definedName name="davies_c" localSheetId="3">Chemistry!$D$233</definedName>
    <definedName name="Cl_floor_molL" localSheetId="3">Chemistry!$D$234</definedName>
    <definedName name="pH_step" localSheetId="3">Chemistry!$D$235</definedName>
    <definedName name="pH_band_lo" localSheetId="3">Chemistry!$D$236</definedName>
    <definedName name="pH_band_hi" localSheetId="3">Chemistry!$D$237</definedName>
    <definedName name="buffer_caution_frac" localSheetId="3">Chemistry!$D$238</definedName>
    <definedName name="T_ref" localSheetId="5">'Mass Transfer'!$D$209</definedName>
    <definedName name="T_zero_C" localSheetId="5">'Mass Transfer'!$D$210</definedName>
    <definedName name="d_bubble_min_m" localSheetId="5">'Mass Transfer'!$D$211</definedName>
    <definedName name="We_static_max" localSheetId="5">'Mass Transfer'!$D$212</definedName>
    <definedName name="cleared_min" localSheetId="5">'Mass Transfer'!$D$213</definedName>
    <definedName name="od_gap_min_s" localSheetId="5">'Mass Transfer'!$D$214</definedName>
    <definedName name="tip_speed_max" localSheetId="5">'Mass Transfer'!$D$216</definedName>
    <definedName name="geom_tol_mL" localSheetId="1">Geometry!$D$96</definedName>
    <definedName name="round_split" localSheetId="0">Summary!$D$93</definedName>
    <definedName name="bp_const" localSheetId="7">Calibrations!$D$140</definedName>
    <definedName name="por_break_1" localSheetId="7">Calibrations!$D$141</definedName>
    <definedName name="por_break_2" localSheetId="7">Calibrations!$D$142</definedName>
    <definedName name="por_break_3" localSheetId="7">Calibrations!$D$143</definedName>
    <definedName name="por_break_4" localSheetId="7">Calibrations!$D$144</definedName>
    <definedName name="por_break_5" localSheetId="7">Calibrations!$D$145</definedName>
    <definedName name="z_e_H2" localSheetId="7">Calibrations!$D$146</definedName>
    <definedName name="z_e_O2" localSheetId="7">Calibrations!$D$147</definedName>
    <definedName name="T_zero_C" localSheetId="7">Calibrations!$D$148</definedName>
    <definedName name="res_spg_dur" localSheetId="0">Summary!$D$13</definedName>
    <definedName name="res_spg_dur_run" localSheetId="0">Summary!$D$14</definedName>
    <definedName name="res_spg_int" localSheetId="0">Summary!$D$15</definedName>
    <definedName name="res_spg_int_run" localSheetId="0">Summary!$D$16</definedName>
    <definedName name="chk_geom" localSheetId="0">Summary!$D$19</definedName>
    <definedName name="chk_cal" localSheetId="0">Summary!$D$20</definedName>
    <definedName name="chk_DO_opt" localSheetId="0">Summary!$D$21</definedName>
    <definedName name="chk_DO_min" localSheetId="0">Summary!$D$22</definedName>
    <definedName name="chk_relax" localSheetId="0">Summary!$D$23</definedName>
    <definedName name="chk_H2" localSheetId="0">Summary!$D$24</definedName>
    <definedName name="chk_bubble" localSheetId="0">Summary!$D$25</definedName>
    <definedName name="chk_CO2_supply" localSheetId="0">Summary!$D$26</definedName>
    <definedName name="chk_pulse_floor" localSheetId="0">Summary!$D$27</definedName>
    <definedName name="chk_od_window" localSheetId="0">Summary!$D$28</definedName>
    <definedName name="chk_carryover" localSheetId="0">Summary!$D$29</definedName>
    <definedName name="chk_tip" localSheetId="0">Summary!$D$30</definedName>
    <definedName name="chk_media_vol" localSheetId="0">Summary!$D$31</definedName>
    <definedName name="chk_level" localSheetId="0">Summary!$D$32</definedName>
    <definedName name="chk_led_law" localSheetId="0">Summary!$D$33</definedName>
    <definedName name="chk_DO_data" localSheetId="0">Summary!$D$34</definedName>
    <definedName name="res_pH" localSheetId="0">Summary!$D$35</definedName>
    <definedName name="res_Cl2" localSheetId="0">Summary!$D$36</definedName>
    <definedName name="res_DO_ss" localSheetId="0">Summary!$D$38</definedName>
    <definedName name="res_spg_int_carbon" localSheetId="0">Summary!$D$39</definedName>
    <definedName name="res_tip_speed" localSheetId="0">Summary!$D$40</definedName>
    <definedName name="res_carbon_margin" localSheetId="0">Summary!$D$41</definedName>
    <definedName name="res_I_mA" localSheetId="0">Summary!$D$43</definedName>
    <definedName name="res_j_anode" localSheetId="0">Summary!$D$44</definedName>
    <definedName name="res_j_status" localSheetId="0">Summary!$D$45</definedName>
    <definedName name="res_power_max" localSheetId="0">Summary!$D$46</definedName>
    <definedName name="res_I_max" localSheetId="0">Summary!$D$47</definedName>
    <definedName name="res_j_anode_max" localSheetId="0">Summary!$D$48</definedName>
    <definedName name="res_j_status_max" localSheetId="0">Summary!$D$49</definedName>
    <definedName name="res_etaF" localSheetId="0">Summary!$D$82</definedName>
    <definedName name="res_V_cell" localSheetId="0">Summary!$D$83</definedName>
    <definedName name="res_V_flag" localSheetId="0">Summary!$D$84</definedName>
    <definedName name="res_H2O2_flag" localSheetId="0">Summary!$D$85</definedName>
    <definedName name="res_buffer_flag" localSheetId="0">Summary!$D$86</definedName>
    <definedName name="res_E_Cl_margin" localSheetId="0">Summary!$D$87</definedName>
    <definedName name="res_E_Cu_margin" localSheetId="0">Summary!$D$88</definedName>
    <definedName name="res_pH_probe" localSheetId="0">Summary!$D$89</definedName>
    <definedName name="res_kLa_req" localSheetId="0">Summary!$D$90</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<sst xmlns="http://schemas.openxmlformats.org/spreadsheetml/2006/main" count="2678" uniqueCount="1931">
  <si>
    <t>CO₂ DOSING FLOWRATES</t>
  </si>
  <si>
    <t>Reactor</t>
  </si>
  <si>
    <t>date</t>
  </si>
  <si>
    <t>cylinder size</t>
  </si>
  <si>
    <t>observed volume*</t>
  </si>
  <si>
    <t>volume</t>
  </si>
  <si>
    <t>time</t>
  </si>
  <si>
    <t>flowrate</t>
  </si>
  <si>
    <t>average flowrate</t>
  </si>
  <si>
    <t>minimum sparge</t>
  </si>
  <si>
    <t>nominal flowrate</t>
  </si>
  <si>
    <t>KEY</t>
  </si>
  <si>
    <t>ml</t>
  </si>
  <si>
    <t>s</t>
  </si>
  <si>
    <t>ml/s</t>
  </si>
  <si>
    <t>Flowrate set by inspection, as maximum to not give bubbles rising into vial neck</t>
  </si>
  <si>
    <t>ed04</t>
  </si>
  <si>
    <t>First or last data point removed as suspect outlier</t>
  </si>
  <si>
    <t>Point</t>
  </si>
  <si>
    <t>Note</t>
  </si>
  <si>
    <t>*</t>
  </si>
  <si>
    <t>CO2 collected in measuring cyclinder over CO2-saturated water</t>
  </si>
  <si>
    <t>Collected using inlet CO2 tube rather than outlet as MEP vialcap leaking</t>
  </si>
  <si>
    <t>Collected over saturated NaHCO3 soln, as Martin  innovated without thinking</t>
  </si>
  <si>
    <t>Parameter</t>
  </si>
  <si>
    <t>Name</t>
  </si>
  <si>
    <t>Unit</t>
  </si>
  <si>
    <t>Value</t>
  </si>
  <si>
    <t>Source</t>
  </si>
  <si>
    <t>Comment</t>
  </si>
  <si>
    <t>Reactor_sel</t>
  </si>
  <si>
    <t>select</t>
  </si>
  <si>
    <t>Active build. Choose from the values below. Dropdown.</t>
  </si>
  <si>
    <t>Electrode</t>
  </si>
  <si>
    <t>electrode_sel</t>
  </si>
  <si>
    <t>MMO tube</t>
  </si>
  <si>
    <t>CO₂ delivery route. Choose from the values below. Dropdown.</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</si>
  <si>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</si>
  <si>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</si>
  <si>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</si>
  <si>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</si>
  <si>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</si>
  <si>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</si>
  <si>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</si>
  <si>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</si>
  <si>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</si>
  <si>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</si>
  <si>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</si>
  <si>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</si>
  <si>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</si>
  <si>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</si>
  <si>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</si>
  <si>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</si>
  <si>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</si>
  <si>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</si>
  <si>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</si>
  <si>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</si>
  <si>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</si>
  <si>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</si>
  <si>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</si>
  <si>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</si>
  <si>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</si>
  <si>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</si>
  <si>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</si>
  <si>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</si>
  <si>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</si>
  <si>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CO₂ sparge interval</t>
  </si>
  <si>
    <t>min</t>
  </si>
  <si>
    <t>Time between doses. Now credits surface O2 stripping (kL_surf proxy); when surface handles the O2 this is carbon-limited. Refine via the kL_surf measurement.</t>
  </si>
  <si>
    <t>Checks</t>
  </si>
  <si>
    <t>Vial geometry consistent?</t>
  </si>
  <si>
    <t>Red until the vial headspace is measured (vial-geometry.md). While red, the pulse above is provisional (~4x uncertain).</t>
  </si>
  <si>
    <t>Reactor calibrated?</t>
  </si>
  <si>
    <t>Red = no CO2-flow calibration for this reactor; results read 'calibrate first' (flow-calibration.md).</t>
  </si>
  <si>
    <t>O₂ at/under organism optimum?</t>
  </si>
  <si>
    <t>Green = dissolved O2 sits at/under the organism optimum; red = surface stripping insufficient, O2 may breach impairment.</t>
  </si>
  <si>
    <t>O₂ above organism minimum?</t>
  </si>
  <si>
    <t>Minimum DO is a data gap for most organisms (dissolved-oxygen.md).</t>
  </si>
  <si>
    <t>Interval can be relaxed (carbon-limited)?</t>
  </si>
  <si>
    <t>If surface stripping handles O2 you may dose far less often (the carbon-limited interval, in Supporting figures). The interval above is the safe fallback until kL_surf is measured.</t>
  </si>
  <si>
    <t>H₂ headspace safe?</t>
  </si>
  <si>
    <t>EXPLOSIVE = H2 evolves faster than it dissolves; ensure headspace venting and no ignition source.</t>
  </si>
  <si>
    <t>Bubble model valid?</t>
  </si>
  <si>
    <t>'Sinter OOR' = sinter pore size out of the validated bubble range; sparge mass-transfer is approximate (expected for the porosity-0 disc).</t>
  </si>
  <si>
    <t>CO₂ supply meets demand?</t>
  </si>
  <si>
    <t>Ratio of CO2 supplied to carbon demand; should be &gt;= 1.</t>
  </si>
  <si>
    <t>Pulse ≥ solenoid floor?</t>
  </si>
  <si>
    <t>The optimal pulse must exceed the shortest reliable sparge.</t>
  </si>
  <si>
    <t>Dosing window OK?</t>
  </si>
  <si>
    <t>Enough gap between doses to read OD without sparging.</t>
  </si>
  <si>
    <t>Carryover risk?</t>
  </si>
  <si>
    <t>Gas velocity below the entrainment limit (no liquid carried out).</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</si>
  <si>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</si>
  <si>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</si>
  <si>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</si>
  <si>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</si>
  <si>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</si>
  <si>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</si>
  <si>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</si>
  <si>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</si>
  <si>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</si>
  <si>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Steady-state DO (surface)</t>
  </si>
  <si>
    <t>mg/L</t>
  </si>
  <si>
    <t>Predicted dissolved O2 the surface stripping settles at; compare to the organism band.</t>
  </si>
  <si>
    <t>Sparge interval if O₂ handled</t>
  </si>
  <si>
    <t>The longer (carbon-limited) interval usable if the 'relaxed' check is green.</t>
  </si>
  <si>
    <t>Stir-bar tip speed</t>
  </si>
  <si>
    <t>m/s</t>
  </si>
  <si>
    <t>Checked against 1.5 m/s above.</t>
  </si>
  <si>
    <t>Carbon margin</t>
  </si>
  <si>
    <t>×</t>
  </si>
  <si>
    <t>Dissolved CO2 vs RuBisCO Km at in-sparge peak; large = ample carbon.</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</si>
  <si>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</si>
  <si>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</si>
  <si>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</si>
  <si>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</si>
  <si>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</si>
  <si>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</si>
  <si>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</si>
  <si>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</si>
  <si>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</si>
  <si>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</si>
  <si>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</si>
  <si>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</si>
  <si>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</si>
  <si>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</si>
  <si>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</si>
  <si>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</si>
  <si>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</si>
  <si>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</si>
  <si>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</si>
  <si>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</si>
  <si>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</si>
  <si>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</si>
  <si>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</si>
  <si>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</si>
  <si>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</si>
  <si>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 xml:space="preserve">  valid version 1</t>
  </si>
  <si>
    <t>ver_name_1</t>
  </si>
  <si>
    <t>AEP0.1.1</t>
  </si>
  <si>
    <t>Superseded by the reactor-type lookup below; not read by any formula</t>
  </si>
  <si>
    <t xml:space="preserve">  valid version 2</t>
  </si>
  <si>
    <t>ver_name_2</t>
  </si>
  <si>
    <t>AEP0.2</t>
  </si>
  <si>
    <t>Vial outer diameter - AEP0.1.1</t>
  </si>
  <si>
    <t>vial_OD_1</t>
  </si>
  <si>
    <t>mm</t>
  </si>
  <si>
    <t>Vial outer diameter - AEP0.2</t>
  </si>
  <si>
    <t>vial_OD_2</t>
  </si>
  <si>
    <t>Internal usable depth - AEP0.1.1</t>
  </si>
  <si>
    <t>D_int_1</t>
  </si>
  <si>
    <t>Internal usable depth - AEP0.2</t>
  </si>
  <si>
    <t>D_int_2</t>
  </si>
  <si>
    <t>Recommended max working volume - AEP0.1.1</t>
  </si>
  <si>
    <t>Vmax_1</t>
  </si>
  <si>
    <t>Recommended max working volume - AEP0.2</t>
  </si>
  <si>
    <t>Vmax_2</t>
  </si>
  <si>
    <t>Total internal vial volume - AEP0.1.1</t>
  </si>
  <si>
    <t>Vtot_1</t>
  </si>
  <si>
    <t>Total internal vial volume - AEP0.2</t>
  </si>
  <si>
    <t>Vtot_2</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</si>
  <si>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</si>
  <si>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</si>
  <si>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</si>
  <si>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</si>
  <si>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</si>
  <si>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</si>
  <si>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</si>
  <si>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</si>
  <si>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</si>
  <si>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</si>
  <si>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</si>
  <si>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</si>
  <si>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</si>
  <si>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</si>
  <si>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</si>
  <si>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</si>
  <si>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</si>
  <si>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</si>
  <si>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</si>
  <si>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</si>
  <si>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</si>
  <si>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</si>
  <si>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</si>
  <si>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</si>
  <si>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</si>
  <si>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</si>
  <si>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</si>
  <si>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</si>
  <si>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</si>
  <si>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</si>
  <si>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</si>
  <si>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</si>
  <si>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</si>
  <si>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</si>
  <si>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</si>
  <si>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</si>
  <si>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</si>
  <si>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</si>
  <si>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</si>
  <si>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</si>
  <si>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</si>
  <si>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</si>
  <si>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</si>
  <si>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</si>
  <si>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</si>
  <si>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</si>
  <si>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</si>
  <si>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</si>
  <si>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</si>
  <si>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</si>
  <si>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</si>
  <si>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</si>
  <si>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</si>
  <si>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</si>
  <si>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</si>
  <si>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</si>
  <si>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</si>
  <si>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</si>
  <si>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</si>
  <si>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</si>
  <si>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</si>
  <si>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</si>
  <si>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</si>
  <si>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</si>
  <si>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</si>
  <si>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</si>
  <si>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</si>
  <si>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</si>
  <si>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</si>
  <si>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</si>
  <si>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</si>
  <si>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</si>
  <si>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</si>
  <si>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</si>
  <si>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</si>
  <si>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</si>
  <si>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</si>
  <si>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</si>
  <si>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</si>
  <si>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</si>
  <si>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</si>
  <si>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</si>
  <si>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</si>
  <si>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</si>
  <si>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</si>
  <si>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</si>
  <si>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</si>
  <si>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</si>
  <si>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</si>
  <si>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</si>
  <si>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</si>
  <si>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</si>
  <si>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Total vial volume - liquid charged - inserts (captures neck narrowing).</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</si>
  <si>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</si>
  <si>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</si>
  <si>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</si>
  <si>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</si>
  <si>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</si>
  <si>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</si>
  <si>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</si>
  <si>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</si>
  <si>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</si>
  <si>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</si>
  <si>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</si>
  <si>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</si>
  <si>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</si>
  <si>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</si>
  <si>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</si>
  <si>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</si>
  <si>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</si>
  <si>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</si>
  <si>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</si>
  <si>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</si>
  <si>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</si>
  <si>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</si>
  <si>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</si>
  <si>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</si>
  <si>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</si>
  <si>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</si>
  <si>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</si>
  <si>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</si>
  <si>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</si>
  <si>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</si>
  <si>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</si>
  <si>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</si>
  <si>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</si>
  <si>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</si>
  <si>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</si>
  <si>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</si>
  <si>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</si>
  <si>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</si>
  <si>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</si>
  <si>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</si>
  <si>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</si>
  <si>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</si>
  <si>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</si>
  <si>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</si>
  <si>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</si>
  <si>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</si>
  <si>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</si>
  <si>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</si>
  <si>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</si>
  <si>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</si>
  <si>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</si>
  <si>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Fires INCONSISTENT for the 20 mL vial because the bare cylinder (A_x x usable depth ~28 mL) overestimates the true 20 mL vial (it tapers/necks, not a full cylinder to 55 mm). Expected tolerance artifact, not a data error - resolved by measuring true bore depth (protocols/vial-geometry.md).</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</si>
  <si>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</si>
  <si>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</si>
  <si>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</si>
  <si>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</si>
  <si>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</si>
  <si>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</si>
  <si>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</si>
  <si>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</si>
  <si>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</si>
  <si>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</si>
  <si>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</si>
  <si>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</si>
  <si>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</si>
  <si>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</si>
  <si>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</si>
  <si>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</si>
  <si>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</si>
  <si>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</si>
  <si>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</si>
  <si>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</si>
  <si>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</si>
  <si>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</si>
  <si>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</si>
  <si>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</si>
  <si>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</si>
  <si>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</si>
  <si>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</si>
  <si>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</si>
  <si>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</si>
  <si>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</si>
  <si>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</si>
  <si>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</si>
  <si>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</si>
  <si>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</si>
  <si>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</si>
  <si>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</si>
  <si>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</si>
  <si>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</si>
  <si>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</si>
  <si>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</si>
  <si>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</si>
  <si>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</si>
  <si>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</si>
  <si>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</si>
  <si>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</si>
  <si>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</si>
  <si>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</si>
  <si>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</si>
  <si>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</si>
  <si>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</si>
  <si>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</si>
  <si>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</si>
  <si>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</si>
  <si>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</si>
  <si>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</si>
  <si>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</si>
  <si>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</si>
  <si>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</si>
  <si>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</si>
  <si>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</si>
  <si>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</si>
  <si>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</si>
  <si>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</si>
  <si>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</si>
  <si>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</si>
  <si>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Electrons per O₂ reduced (cathode)</t>
  </si>
  <si>
    <t>z_e_ORR</t>
  </si>
  <si>
    <t>Electrode lookup fixes ORR at 2 e- (peroxide pathway, SS cathode, neutral pH) for every current electrode; a 4 e- (to-water) electrode would need its own table row.</t>
  </si>
  <si>
    <t>O₂ consumed at cathode (ORR)</t>
  </si>
  <si>
    <t>O2_cathode_ORR</t>
  </si>
  <si>
    <t>Cathodic current not making H₂ (1−etaF) reduces dissolved O₂. 0 at etaF=1.</t>
  </si>
  <si>
    <t>Net O₂ to dissolved pool</t>
  </si>
  <si>
    <t>O2_net_gen</t>
  </si>
  <si>
    <t>Anodic O₂ minus cathodic consumption — the O₂ the dissolved pool receives.</t>
  </si>
  <si>
    <t>z_e_ORR=2 assumed (peroxide, non-Pt SS cathode, neutral pH); etaF unmeasured - both live here per electrode.</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</si>
  <si>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</si>
  <si>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</si>
  <si>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</si>
  <si>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</si>
  <si>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</si>
  <si>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</si>
  <si>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</si>
  <si>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</si>
  <si>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</si>
  <si>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</si>
  <si>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</si>
  <si>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</si>
  <si>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</si>
  <si>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</si>
  <si>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</si>
  <si>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</si>
  <si>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</si>
  <si>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</si>
  <si>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</si>
  <si>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</si>
  <si>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</si>
  <si>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</si>
  <si>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</si>
  <si>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</si>
  <si>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</si>
  <si>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</si>
  <si>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</si>
  <si>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</si>
  <si>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</si>
  <si>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</si>
  <si>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</si>
  <si>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</si>
  <si>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</si>
  <si>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</si>
  <si>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</si>
  <si>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</si>
  <si>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</si>
  <si>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Assumes 100% of evolved H₂ consumed — steady growth only; ~0 during lag (see §13).</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</si>
  <si>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</si>
  <si>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</si>
  <si>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</si>
  <si>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</si>
  <si>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</si>
  <si>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</si>
  <si>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</si>
  <si>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</si>
  <si>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</si>
  <si>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</si>
  <si>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</si>
  <si>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</si>
  <si>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</si>
  <si>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</si>
  <si>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</si>
  <si>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</si>
  <si>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</si>
  <si>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</si>
  <si>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</si>
  <si>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</si>
  <si>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</si>
  <si>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</si>
  <si>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</si>
  <si>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</si>
  <si>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</si>
  <si>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</si>
  <si>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</si>
  <si>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</si>
  <si>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</si>
  <si>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</si>
  <si>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</si>
  <si>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van 't Hoff correction to reactor 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</si>
  <si>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</si>
  <si>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</si>
  <si>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</si>
  <si>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</si>
  <si>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</si>
  <si>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</si>
  <si>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</si>
  <si>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</si>
  <si>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</si>
  <si>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</si>
  <si>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</si>
  <si>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</si>
  <si>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</si>
  <si>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</si>
  <si>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</si>
  <si>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</si>
  <si>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</si>
  <si>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</si>
  <si>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</si>
  <si>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</si>
  <si>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</si>
  <si>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</si>
  <si>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CO₂ partial pressure at sparge</t>
  </si>
  <si>
    <t>p_CO2_sparge</t>
  </si>
  <si>
    <t>Pure-CO₂ sparge: p_CO₂ ≈ surface pressure during a pulse. Assumption.</t>
  </si>
  <si>
    <t>Dissolved CO₂ (during sparge)</t>
  </si>
  <si>
    <t>CO2_diss</t>
  </si>
  <si>
    <t>Equilibrium dissolved CO₂ while sparging (mol/m³ = mM).</t>
  </si>
  <si>
    <t>RuBisCO Km for CO₂</t>
  </si>
  <si>
    <t>Km_CO2</t>
  </si>
  <si>
    <t>RuBisCO Km(CO₂) ~ order 50 µM. Coarse — confirm.</t>
  </si>
  <si>
    <t>Carbon margin (dissolved CO₂ : Km)</t>
  </si>
  <si>
    <t>CO2_carbon_margin</t>
  </si>
  <si>
    <t>Dissolved CO₂ : RuBisCO Km. ≫1 = saturating (duty-averaged lower).</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</si>
  <si>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</si>
  <si>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</si>
  <si>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</si>
  <si>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</si>
  <si>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</si>
  <si>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</si>
  <si>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</si>
  <si>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</si>
  <si>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</si>
  <si>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</si>
  <si>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</si>
  <si>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</si>
  <si>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</si>
  <si>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</si>
  <si>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</si>
  <si>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</si>
  <si>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</si>
  <si>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</si>
  <si>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</si>
  <si>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</si>
  <si>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</si>
  <si>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</si>
  <si>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</si>
  <si>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</si>
  <si>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H₂ headspace safety flag</t>
  </si>
  <si>
    <t>H2_safety</t>
  </si>
  <si>
    <t>On when H₂ escapes faster than it dissolves (H2_turnover&gt;1) → explosive H₂+O₂ headspace (4–94% in O₂). On at any useful current — headspace venting is mandatory.</t>
  </si>
  <si>
    <t>Pink no longer used here - red fill = hazard (H2 evolving faster than it dissolves), not a data gap.</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</si>
  <si>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</si>
  <si>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</si>
  <si>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</si>
  <si>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</si>
  <si>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</si>
  <si>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</si>
  <si>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</si>
  <si>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</si>
  <si>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</si>
  <si>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</si>
  <si>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</si>
  <si>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</si>
  <si>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</si>
  <si>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</si>
  <si>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</si>
  <si>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</si>
  <si>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</si>
  <si>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</si>
  <si>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</si>
  <si>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</si>
  <si>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</si>
  <si>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</si>
  <si>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</si>
  <si>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</si>
  <si>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</si>
  <si>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</si>
  <si>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</si>
  <si>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Magnetic stir bar. Pioreactor max 20 mm; confirm the supplied bar's length. Input.</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</si>
  <si>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</si>
  <si>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</si>
  <si>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</si>
  <si>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</si>
  <si>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</si>
  <si>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</si>
  <si>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</si>
  <si>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</si>
  <si>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</si>
  <si>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</si>
  <si>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</si>
  <si>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</si>
  <si>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</si>
  <si>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</si>
  <si>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</si>
  <si>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</si>
  <si>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</si>
  <si>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</si>
  <si>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</si>
  <si>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</si>
  <si>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</si>
  <si>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</si>
  <si>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</si>
  <si>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</si>
  <si>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</si>
  <si>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</si>
  <si>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</si>
  <si>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</si>
  <si>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</si>
  <si>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</si>
  <si>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</si>
  <si>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</si>
  <si>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</si>
  <si>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</si>
  <si>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</si>
  <si>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</si>
  <si>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</si>
  <si>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</si>
  <si>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</si>
  <si>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</si>
  <si>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</si>
  <si>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</si>
  <si>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</si>
  <si>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</si>
  <si>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</si>
  <si>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</si>
  <si>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</si>
  <si>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</si>
  <si>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</si>
  <si>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</si>
  <si>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</si>
  <si>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</si>
  <si>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</si>
  <si>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</si>
  <si>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</si>
  <si>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</si>
  <si>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</si>
  <si>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</si>
  <si>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</si>
  <si>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</si>
  <si>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</si>
  <si>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</si>
  <si>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</si>
  <si>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</si>
  <si>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</si>
  <si>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</si>
  <si>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</si>
  <si>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</si>
  <si>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</si>
  <si>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</si>
  <si>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</si>
  <si>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</si>
  <si>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</si>
  <si>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</si>
  <si>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</si>
  <si>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</si>
  <si>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</si>
  <si>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</si>
  <si>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</si>
  <si>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</si>
  <si>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</si>
  <si>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</si>
  <si>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</si>
  <si>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</si>
  <si>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</si>
  <si>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</si>
  <si>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</si>
  <si>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</si>
  <si>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</si>
  <si>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</si>
  <si>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</si>
  <si>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</si>
  <si>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</si>
  <si>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</si>
  <si>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</si>
  <si>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</si>
  <si>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</si>
  <si>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</si>
  <si>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</si>
  <si>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</si>
  <si>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</si>
  <si>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</si>
  <si>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</si>
  <si>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</si>
  <si>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</si>
  <si>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</si>
  <si>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</si>
  <si>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</si>
  <si>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</si>
  <si>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</si>
  <si>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</si>
  <si>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</si>
  <si>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</si>
  <si>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</si>
  <si>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</si>
  <si>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</si>
  <si>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</si>
  <si>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</si>
  <si>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</si>
  <si>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</si>
  <si>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Operating gas velocity vs ceiling.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</si>
  <si>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</si>
  <si>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</si>
  <si>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</si>
  <si>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</si>
  <si>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</si>
  <si>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</si>
  <si>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</si>
  <si>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</si>
  <si>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</si>
  <si>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</si>
  <si>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</si>
  <si>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</si>
  <si>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</si>
  <si>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</si>
  <si>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</si>
  <si>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Minutes to reach the O₂ ceiling from ~0 with no removal (steady, etaF=1) — the O₂ timescale.</t>
  </si>
  <si>
    <t>O₂ time-to-ceiling (with time-avg strip)</t>
  </si>
  <si>
    <t>t_O2_ceiling_strip</t>
  </si>
  <si>
    <t>As above, crediting time-averaged bubble strip (≈unchanged → bubbles aren't the mechanism). 9999 = cleared.</t>
  </si>
  <si>
    <t>Stir-bar speed</t>
  </si>
  <si>
    <t>stir_rpm</t>
  </si>
  <si>
    <t>1/min</t>
  </si>
  <si>
    <t>Pioreactor stir setpoint. RPM floor ~125 (stalls below). Input/confirm.</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</si>
  <si>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</si>
  <si>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</si>
  <si>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</si>
  <si>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</si>
  <si>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</si>
  <si>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</si>
  <si>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</si>
  <si>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</si>
  <si>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</si>
  <si>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</si>
  <si>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</si>
  <si>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</si>
  <si>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</si>
  <si>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</si>
  <si>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</si>
  <si>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</si>
  <si>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</si>
  <si>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</si>
  <si>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O₂ frac. to vent excess</t>
  </si>
  <si>
    <t>y_O2_vent</t>
  </si>
  <si>
    <t>Headspace O₂ fraction at which the vented CO₂ carries the surplus out. kL-independent.</t>
  </si>
  <si>
    <t>DO in equilib. with that headspace</t>
  </si>
  <si>
    <t>DO_vent_eq</t>
  </si>
  <si>
    <t>Headspace flush time</t>
  </si>
  <si>
    <t>hs_flush_time</t>
  </si>
  <si>
    <t>Avg CO₂ flow to displace one headspace volume.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</si>
  <si>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</si>
  <si>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</si>
  <si>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</si>
  <si>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</si>
  <si>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</si>
  <si>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</si>
  <si>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</si>
  <si>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</si>
  <si>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</si>
  <si>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</si>
  <si>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</si>
  <si>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</si>
  <si>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</si>
  <si>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</si>
  <si>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</si>
  <si>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</si>
  <si>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</si>
  <si>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</si>
  <si>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</si>
  <si>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</si>
  <si>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</si>
  <si>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</si>
  <si>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</si>
  <si>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</si>
  <si>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</si>
  <si>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</si>
  <si>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</si>
  <si>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Max interval — O₂ flush frequency</t>
  </si>
  <si>
    <t>spg_int_max</t>
  </si>
  <si>
    <t>OPTIMAL pulse duration</t>
  </si>
  <si>
    <t>spg_dur_opt</t>
  </si>
  <si>
    <t>ANSWER. Shortest reliable pulse → most frequent, smoothest DO, best OD-read windows.</t>
  </si>
  <si>
    <t>OPTIMAL sparge interval</t>
  </si>
  <si>
    <t>spg_int_opt</t>
  </si>
  <si>
    <t xml:space="preserve">  optimal interval (seconds)</t>
  </si>
  <si>
    <t>spg_int_opt_s</t>
  </si>
  <si>
    <t>Convenience: interval in seconds.</t>
  </si>
  <si>
    <t xml:space="preserve">  resulting duty / binding constraint</t>
  </si>
  <si>
    <t>duty_actual</t>
  </si>
  <si>
    <t>Achieved duty at the optimum (= duty_opt unless the flush-frequency cap binds, raising it).</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</si>
  <si>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</si>
  <si>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</si>
  <si>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</si>
  <si>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</si>
  <si>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</si>
  <si>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</si>
  <si>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</si>
  <si>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</si>
  <si>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</si>
  <si>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</si>
  <si>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</si>
  <si>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</si>
  <si>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</si>
  <si>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</si>
  <si>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</si>
  <si>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</si>
  <si>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</si>
  <si>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</si>
  <si>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</si>
  <si>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</si>
  <si>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</si>
  <si>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</si>
  <si>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</si>
  <si>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</si>
  <si>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</si>
  <si>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</si>
  <si>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</si>
  <si>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</si>
  <si>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</si>
  <si>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</si>
  <si>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</si>
  <si>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Steady-state DO under surface stripping</t>
  </si>
  <si>
    <t>DO_ss</t>
  </si>
  <si>
    <t xml:space="preserve">  DO_ss vs optimum (organism)</t>
  </si>
  <si>
    <t>DO_ss_vs_opt</t>
  </si>
  <si>
    <t xml:space="preserve">  DO_ss vs minimum (organism)</t>
  </si>
  <si>
    <t>DO_ss_vs_min</t>
  </si>
  <si>
    <t>Tip-speed shear flag (&lt;1.5 m/s)</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</si>
  <si>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</si>
  <si>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</si>
  <si>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</si>
  <si>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</si>
  <si>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</si>
  <si>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</si>
  <si>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Resolved by measuring kL_surf (improvement #1).</t>
  </si>
  <si>
    <t>CO₂ DOSING &amp; SCHEDULE (folded from Dosing)</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</si>
  <si>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</si>
  <si>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</si>
  <si>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</si>
  <si>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</si>
  <si>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</si>
  <si>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</si>
  <si>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</si>
  <si>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</si>
  <si>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</si>
  <si>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</si>
  <si>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</si>
  <si>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</si>
  <si>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</si>
  <si>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</si>
  <si>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</si>
  <si>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</si>
  <si>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</si>
  <si>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</si>
  <si>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</si>
  <si>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</si>
  <si>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</si>
  <si>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</si>
  <si>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</si>
  <si>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</si>
  <si>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</si>
  <si>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</si>
  <si>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</si>
  <si>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</si>
  <si>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</si>
  <si>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</si>
  <si>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</si>
  <si>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</si>
  <si>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</si>
  <si>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</si>
  <si>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</si>
  <si>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Critical surface kL_surf (DO_ss = impairment DO)</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</si>
  <si>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</si>
  <si>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</si>
  <si>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</si>
  <si>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</si>
  <si>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</si>
  <si>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</si>
  <si>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</si>
  <si>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</si>
  <si>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</si>
  <si>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</si>
  <si>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</si>
  <si>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</si>
  <si>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(import) Dissolved CO₂ (worst case, full sparge)</t>
  </si>
  <si>
    <t>CO2aqc</t>
  </si>
  <si>
    <t>mol/L</t>
  </si>
  <si>
    <t>(import) Electrolysis current (Gerrit's Law)</t>
  </si>
  <si>
    <t>Iappc</t>
  </si>
  <si>
    <t>A</t>
  </si>
  <si>
    <t>→ Electrochemistry (I_app)</t>
  </si>
  <si>
    <t>(import) Faraday constant</t>
  </si>
  <si>
    <t>Fcc</t>
  </si>
  <si>
    <t>C/mol</t>
  </si>
  <si>
    <t>→ Electrochemistry (F_const)</t>
  </si>
  <si>
    <t>(import) Reactor liquid volume</t>
  </si>
  <si>
    <t>VLc</t>
  </si>
  <si>
    <t>L</t>
  </si>
  <si>
    <t>→ Biology (V_charge / 1000)</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</si>
  <si>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</si>
  <si>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</si>
  <si>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</si>
  <si>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</si>
  <si>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</si>
  <si>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</si>
  <si>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</si>
  <si>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</si>
  <si>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</si>
  <si>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</si>
  <si>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</si>
  <si>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</si>
  <si>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</si>
  <si>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</si>
  <si>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</si>
  <si>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</si>
  <si>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</si>
  <si>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</si>
  <si>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</si>
  <si>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</si>
  <si>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</si>
  <si>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</si>
  <si>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</si>
  <si>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</si>
  <si>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</si>
  <si>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</si>
  <si>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</si>
  <si>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</si>
  <si>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</si>
  <si>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</si>
  <si>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</si>
  <si>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</si>
  <si>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</si>
  <si>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</si>
  <si>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</si>
  <si>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</si>
  <si>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</si>
  <si>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</si>
  <si>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</si>
  <si>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</si>
  <si>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</si>
  <si>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</si>
  <si>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</si>
  <si>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</si>
  <si>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</si>
  <si>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</si>
  <si>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</si>
  <si>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</si>
  <si>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</si>
  <si>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</si>
  <si>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</si>
  <si>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</si>
  <si>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</si>
  <si>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</si>
  <si>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</si>
  <si>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</si>
  <si>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</si>
  <si>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</si>
  <si>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</si>
  <si>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</si>
  <si>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</si>
  <si>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</si>
  <si>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</si>
  <si>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</si>
  <si>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</si>
  <si>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</si>
  <si>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</si>
  <si>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</si>
  <si>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</si>
  <si>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</si>
  <si>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</si>
  <si>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</si>
  <si>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</si>
  <si>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</si>
  <si>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</si>
  <si>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</si>
  <si>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</si>
  <si>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</si>
  <si>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</si>
  <si>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</si>
  <si>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</si>
  <si>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</si>
  <si>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</si>
  <si>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</si>
  <si>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</si>
  <si>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</si>
  <si>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</si>
  <si>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</si>
  <si>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</si>
  <si>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</si>
  <si>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OPERATING pH (buffered, worst case)</t>
  </si>
  <si>
    <t>pH_op</t>
  </si>
  <si>
    <t>-</t>
  </si>
  <si>
    <t>WORST CASE: pH at full-sparge dissolved CO₂ (the trough during/after a CO₂ pulse). A real probe with response lag may read higher between pulses — a measurement that misses this trough is not the model being wrong.</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</si>
  <si>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</si>
  <si>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</si>
  <si>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</si>
  <si>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</si>
  <si>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</si>
  <si>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</si>
  <si>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</si>
  <si>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</si>
  <si>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</si>
  <si>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</si>
  <si>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</si>
  <si>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</si>
  <si>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</si>
  <si>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</si>
  <si>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</si>
  <si>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</si>
  <si>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</si>
  <si>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</si>
  <si>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</si>
  <si>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</si>
  <si>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</si>
  <si>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</si>
  <si>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</si>
  <si>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</si>
  <si>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</si>
  <si>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</si>
  <si>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</si>
  <si>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</si>
  <si>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</si>
  <si>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</si>
  <si>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</si>
  <si>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</si>
  <si>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</si>
  <si>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</si>
  <si>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Endpoint pH (worst-case, full sparge)</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</si>
  <si>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</si>
  <si>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</si>
  <si>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</si>
  <si>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</si>
  <si>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Sawtooth steady DO (surface-credited, STEADY src)</t>
  </si>
  <si>
    <t>DO_ss_sawtooth</t>
  </si>
  <si>
    <t>mol/m³</t>
  </si>
  <si>
    <t>Sparge regime (surface-held vs sparge-needed)</t>
  </si>
  <si>
    <t>spg_int_regime</t>
  </si>
  <si>
    <t>-</t>
  </si>
  <si>
    <t>Sawtooth steady DO (LAG src — what the guard banks on)</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</si>
  <si>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</si>
  <si>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</si>
  <si>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</si>
  <si>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</si>
  <si>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</si>
  <si>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</si>
  <si>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</si>
  <si>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</si>
  <si>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</si>
  <si>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</si>
  <si>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</si>
  <si>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</si>
  <si>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</si>
  <si>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</si>
  <si>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</si>
  <si>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</si>
  <si>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</si>
  <si>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</si>
  <si>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</si>
  <si>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~106% on the schedule — sets the liquid charge, headspace and flush sizing; water-fill</t>
  </si>
  <si>
    <t>Measure cathodic Faradaic efficiency (etaF)</t>
  </si>
  <si>
    <t>HIGH</t>
  </si>
  <si>
    <t>med</t>
  </si>
  <si>
    <t>Confirm knallgas uptake ratio (H2:O2:CO2)</t>
  </si>
  <si>
    <t>MED</t>
  </si>
  <si>
    <t>high</t>
  </si>
  <si>
    <t>~95% on the O2 surplus + carbon demand; needs a growing culture</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</si>
  <si>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</si>
  <si>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</si>
  <si>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</si>
  <si>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</si>
  <si>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</si>
  <si>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</si>
  <si>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</si>
  <si>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</si>
  <si>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</si>
  <si>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</si>
  <si>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~27% — the recommended pulse IS pulse_floor; trivial to characterise on the bench</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</si>
  <si>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</si>
  <si>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</si>
  <si>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</si>
  <si>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</si>
  <si>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</si>
  <si>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</si>
  <si>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</si>
  <si>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</si>
  <si>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</si>
  <si>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</si>
  <si>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</si>
  <si>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</si>
  <si>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</si>
  <si>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</si>
  <si>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</si>
  <si>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~33% via the O2 ceiling; also Henry solubilities + gas volumes</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</si>
  <si>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</si>
  <si>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</si>
  <si>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</si>
  <si>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interval (rounded)</t>
  </si>
  <si>
    <t>CO₂ sparge duration</t>
  </si>
  <si>
    <t>CO₂ sparge duration (rounded)</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</si>
  <si>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</si>
  <si>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</si>
  <si>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</si>
  <si>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</si>
  <si>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</si>
  <si>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</si>
  <si>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</si>
  <si>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</si>
  <si>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</si>
  <si>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</si>
  <si>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</si>
  <si>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</si>
  <si>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</si>
  <si>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</si>
  <si>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</si>
  <si>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</si>
  <si>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</si>
  <si>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</si>
  <si>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</si>
  <si>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</si>
  <si>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</si>
  <si>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</si>
  <si>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</si>
  <si>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</si>
  <si>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</si>
  <si>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</si>
  <si>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</si>
  <si>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</si>
  <si>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</si>
  <si>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</si>
  <si>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</si>
  <si>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</si>
  <si>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</si>
  <si>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</si>
  <si>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</si>
  <si>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</si>
  <si>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</si>
  <si>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</si>
  <si>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</si>
  <si>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</si>
  <si>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</si>
  <si>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</si>
  <si>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</si>
  <si>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</si>
  <si>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</si>
  <si>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</si>
  <si>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</si>
  <si>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</si>
  <si>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</si>
  <si>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</si>
  <si>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</si>
  <si>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</si>
  <si>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</si>
  <si>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</si>
  <si>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</si>
  <si>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Production held as monochloramine over its residence, capped at the ammonium capacity (5.06 mg Cl₂/mg N). Longer-lived and still biocidal — not harmless.</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</si>
  <si>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</si>
  <si>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</si>
  <si>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</si>
  <si>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</si>
  <si>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</si>
  <si>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</si>
  <si>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</si>
  <si>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</si>
  <si>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</si>
  <si>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</si>
  <si>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</si>
  <si>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</si>
  <si>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</si>
  <si>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</si>
  <si>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</si>
  <si>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</si>
  <si>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</si>
  <si>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</si>
  <si>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</si>
  <si>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</si>
  <si>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</si>
  <si>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</si>
  <si>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</si>
  <si>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</si>
  <si>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</si>
  <si>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</si>
  <si>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</si>
  <si>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</si>
  <si>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</si>
  <si>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</si>
  <si>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</si>
  <si>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</si>
  <si>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</si>
  <si>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CO2_int_on</t>
  </si>
  <si>
    <t>mol.s/m³</t>
  </si>
  <si>
    <t>CO2_int_off</t>
  </si>
  <si>
    <t>Cycle-average CO₂</t>
  </si>
  <si>
    <t>CO2_cyc_avg</t>
  </si>
  <si>
    <t>Steady dissolved CO₂</t>
  </si>
  <si>
    <t>CO2aqc_ss</t>
  </si>
  <si>
    <t>Schedule validity</t>
  </si>
  <si>
    <t>sched_valid</t>
  </si>
  <si>
    <t>Schedule-dependent steady-state dissolved CO₂ (sawtooth limit cycle, bounded air-eq..saturation) - was the fixed full-sparge worst case</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</si>
  <si>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</si>
  <si>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</si>
  <si>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</si>
  <si>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</si>
  <si>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</si>
  <si>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</si>
  <si>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</si>
  <si>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</si>
  <si>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</si>
  <si>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Headspace vent bleed</t>
  </si>
  <si>
    <t>Q_vent</t>
  </si>
  <si>
    <t>Slow restricted vent bleed - dead-volume + tube + near-closed solenoid leak. KEY NEW UNCERTAIN PARAMETER - measure. NOT free membrane diffusion, which would clear in seconds and could not reproduce the run-2 acidification.</t>
  </si>
  <si>
    <t>Headspace vent rate</t>
  </si>
  <si>
    <t>k_vent</t>
  </si>
  <si>
    <t>First-order headspace clearance from the vent volumetric bleed.</t>
  </si>
  <si>
    <t>Headspace residence time</t>
  </si>
  <si>
    <t>tau_hs</t>
  </si>
  <si>
    <t>Time constant for the headspace to clear through the vent.</t>
  </si>
  <si>
    <t>Henry-law dissolved CO₂ at pure-CO₂ saturation.</t>
  </si>
  <si>
    <t>Henry-law dissolved CO₂ in equilibrium with room air.</t>
  </si>
  <si>
    <t>Diffusivity scaling (CO₂/O₂)</t>
  </si>
  <si>
    <t>Penetration-theory √(D_CO₂/D_O₂) scaling of the O₂ transfer coefficient.</t>
  </si>
  <si>
    <t>CO₂ surface transfer coefficient</t>
  </si>
  <si>
    <t>Surface kLa for CO₂ between pulses (surface path).</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</si>
  <si>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</si>
  <si>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</si>
  <si>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</si>
  <si>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</si>
  <si>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</si>
  <si>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</si>
  <si>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</si>
  <si>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</si>
  <si>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On-phase surface decay</t>
  </si>
  <si>
    <t>eon_CO2</t>
  </si>
  <si>
    <t>Off-phase surface decay</t>
  </si>
  <si>
    <t>e1_CO2</t>
  </si>
  <si>
    <t>Surface-path liquid decay factor over the gap.</t>
  </si>
  <si>
    <t>Off-phase vent decay</t>
  </si>
  <si>
    <t>e2_CO2</t>
  </si>
  <si>
    <t>Headspace vent decay factor over the gap.</t>
  </si>
  <si>
    <t>Two-compartment coupling coef</t>
  </si>
  <si>
    <t>coef_CO2</t>
  </si>
  <si>
    <t>Cycle-start liquid CO₂</t>
  </si>
  <si>
    <t>Ca_CO2</t>
  </si>
  <si>
    <t>End-of-pulse liquid CO₂</t>
  </si>
  <si>
    <t>Cb_CO2</t>
  </si>
  <si>
    <t>On-phase CO₂ integral</t>
  </si>
  <si>
    <t>Time-integral of dissolved CO₂ over the pulse.</t>
  </si>
  <si>
    <t>Off-phase CO₂ integral</t>
  </si>
  <si>
    <t>Time-integral of dissolved CO₂ over the gap, including the venting-headspace term.</t>
  </si>
  <si>
    <t>Vent-path sanity check</t>
  </si>
  <si>
    <t>vent_floor_chk</t>
  </si>
  <si>
    <t>Confirms the vent is the rate-limiting path; if the surface cleared faster, run 2 could not stay acidic.</t>
  </si>
  <si>
    <t>Surfaces an interval&lt;pulse misconfiguration.</t>
  </si>
  <si>
    <t>electrons per produced HOCl</t>
  </si>
  <si>
    <t>n_e_Cl</t>
  </si>
  <si>
    <t>e-/HOCl</t>
  </si>
  <si>
    <t>chloride-pool ceiling on chlorine</t>
  </si>
  <si>
    <t>Cl_pool_mgL</t>
  </si>
  <si>
    <t>mg/L</t>
  </si>
  <si>
    <t>Total chloride pool as HOCl-equivalent; chlorine (free+combined) cannot exceed this. UdG CaCl2-derived (closed batch also depletes it)</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</si>
  <si>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</si>
  <si>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</si>
  <si>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</si>
  <si>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</si>
  <si>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</si>
  <si>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</si>
  <si>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</si>
  <si>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</si>
  <si>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</si>
  <si>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</si>
  <si>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</si>
  <si>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</si>
  <si>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</si>
  <si>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</si>
  <si>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</si>
  <si>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</si>
  <si>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</si>
  <si>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</si>
  <si>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</si>
  <si>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at the low-tau bound, chloride-pool-capped</t>
  </si>
  <si>
    <t>combined chlorine (high-tau)</t>
  </si>
  <si>
    <t>NH2Cl_hi</t>
  </si>
  <si>
    <t>mg/L</t>
  </si>
  <si>
    <t>Combined chlorine at the high-tau bound, chloride-pool-capped</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</si>
  <si>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</si>
  <si>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</si>
  <si>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</si>
  <si>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</si>
  <si>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</si>
  <si>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</si>
  <si>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</si>
  <si>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</si>
  <si>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</si>
  <si>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</si>
  <si>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</si>
  <si>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</si>
  <si>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</si>
  <si>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</si>
  <si>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</si>
  <si>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</si>
  <si>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</si>
  <si>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</si>
  <si>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</si>
  <si>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</si>
  <si>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</si>
  <si>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</si>
  <si>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</si>
  <si>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</si>
  <si>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</si>
  <si>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</si>
  <si>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</si>
  <si>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</si>
  <si>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</si>
  <si>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</si>
  <si>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</si>
  <si>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</si>
  <si>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</si>
  <si>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</si>
  <si>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</si>
  <si>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</si>
  <si>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</si>
  <si>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</si>
  <si>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</si>
  <si>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</si>
  <si>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</si>
  <si>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</si>
  <si>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</si>
  <si>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</si>
  <si>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</si>
  <si>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</si>
  <si>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</si>
  <si>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</si>
  <si>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</si>
  <si>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</si>
  <si>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</si>
  <si>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</si>
  <si>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</si>
  <si>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</si>
  <si>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</si>
  <si>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</si>
  <si>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</si>
  <si>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</si>
  <si>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</si>
  <si>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</si>
  <si>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</si>
  <si>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</si>
  <si>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</si>
  <si>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</si>
  <si>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</si>
  <si>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</si>
  <si>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</si>
  <si>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</si>
  <si>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</si>
  <si>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</si>
  <si>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</si>
  <si>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</si>
  <si>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</si>
  <si>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</si>
  <si>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</si>
  <si>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</si>
  <si>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</si>
  <si>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</si>
  <si>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</si>
  <si>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</si>
  <si>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</si>
  <si>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</si>
  <si>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</si>
  <si>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</si>
  <si>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</si>
  <si>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</si>
  <si>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</si>
  <si>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</si>
  <si>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</si>
  <si>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</si>
  <si>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</si>
  <si>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</si>
  <si>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</si>
  <si>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</si>
  <si>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</si>
  <si>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</si>
  <si>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</si>
  <si>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</si>
  <si>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</si>
  <si>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</si>
  <si>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</si>
  <si>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</si>
  <si>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</si>
  <si>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</si>
  <si>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</si>
  <si>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</si>
  <si>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</si>
  <si>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</si>
  <si>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</si>
  <si>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</si>
  <si>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</si>
  <si>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</si>
  <si>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</si>
  <si>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</si>
  <si>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</si>
  <si>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</si>
  <si>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</si>
  <si>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</si>
  <si>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</si>
  <si>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</si>
  <si>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</si>
  <si>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</si>
  <si>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</si>
  <si>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</si>
  <si>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</si>
  <si>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</si>
  <si>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</si>
  <si>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</si>
  <si>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</si>
  <si>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</si>
  <si>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</si>
  <si>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</si>
  <si>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</si>
  <si>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</si>
  <si>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</si>
  <si>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</si>
  <si>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</si>
  <si>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</si>
  <si>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</si>
  <si>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</si>
  <si>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</si>
  <si>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</si>
  <si>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</si>
  <si>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</si>
  <si>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</si>
  <si>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</si>
  <si>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</si>
  <si>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</si>
  <si>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</si>
  <si>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</si>
  <si>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</si>
  <si>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</si>
  <si>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</si>
  <si>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</si>
  <si>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</si>
  <si>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</si>
  <si>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</si>
  <si>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</si>
  <si>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</si>
  <si>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</si>
  <si>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</si>
  <si>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</si>
  <si>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</si>
  <si>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</si>
  <si>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</si>
  <si>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</si>
  <si>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</si>
  <si>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</si>
  <si>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</si>
  <si>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</si>
  <si>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</si>
  <si>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</si>
  <si>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Value in use: the most recent included measurement for the active reactor (a flow rate is a valve/hardware setting, so the latest reading replaces older ones).</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</si>
  <si>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</si>
  <si>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</si>
  <si>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</si>
  <si>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</si>
  <si>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</si>
  <si>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</si>
  <si>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</si>
  <si>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</si>
  <si>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</si>
  <si>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</si>
  <si>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</si>
  <si>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</si>
  <si>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</si>
  <si>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</si>
  <si>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</si>
  <si>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</si>
  <si>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</si>
  <si>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</si>
  <si>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</si>
  <si>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</si>
  <si>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</si>
  <si>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</si>
  <si>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</si>
  <si>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</si>
  <si>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</si>
  <si>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</si>
  <si>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</si>
  <si>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</si>
  <si>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</si>
  <si>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</si>
  <si>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</si>
  <si>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</si>
  <si>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</si>
  <si>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</si>
  <si>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</si>
  <si>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</si>
  <si>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</si>
  <si>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</si>
  <si>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Dissolved O₂ in equilibrium with that vent headspace fraction. At the current operating point it is ~405 µM against the ~365 µM inhibition ceiling (Biology D28) — the kL-independent vent leg does NOT on its own hold DO under the ceiling. Diagnostic, not a backstop.</t>
  </si>
  <si>
    <t>Least feasible CO₂ duty (binding of the two floors). The recommended schedule follows this duty only in the SPARGE-NEEDED regime; under SURFACE-HELD, D91 follows the carbon-limited interval and the achieved duty (D93) is correspondingly lower.</t>
  </si>
  <si>
    <t>O₂-limited FALLBACK interval: zero-surface worst case (no surface credit; sizes on O2_src_guard D132). This is what D91 recommends until the surface path is demonstrated — i.e. until a surface kLa is measured (Calibrations) and the lag-source regime test (D134) passes.</t>
  </si>
  <si>
    <t>Companion to t_O2_ceiling_lag crediting BOTH removal paths at their best-case ceiling driving force. Best-case diagnostic only: surf_strip is the ~375%-uncertain surface proxy, so this cell must never gate a schedule or a guard. 9999 = removal exceeds the source at that best case.</t>
  </si>
  <si>
    <t>Naïve FE=1 upper bound (all anode current → Cl₂). Superseded by the mass-transport-limited chlorine current I_Cl (D133) and the production rate P_HOCl (D134). Kept only to show the overstatement (~50× as the model now stands).</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</si>
  <si>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</si>
  <si>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</si>
  <si>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i_lim = n·F·k_m·[Cl⁻]·A, n = 1 per ARRIVING chloride; [Cl⁻] in mol/cm³ = pH_Cl/1000. Caps chlorine at the chloride flux — binds at trace Cl⁻ (0.112 mA for UdG at the current anode wetted area), so production scales with chloride.</t>
  </si>
  <si>
    <t>P_HOCl = I_Cl/(n_e_Cl·F·V), n_e_Cl = 2 on every route (D148).</t>
  </si>
  <si>
    <t>OPERATIVE bleaching value: local-weighted free HOCl + combined chlorine ÷ potency. At trace chloride it is bounded by the chloride pool (D149) rather than by current, so it scales with the medium's chloride; it only becomes current-sensitive once the pool cap stops binding.</t>
  </si>
  <si>
    <t>ELECTRODE GEOMETRY FOR THE OHMIC DROP (wave-4)</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</si>
  <si>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</si>
  <si>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</si>
  <si>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</si>
  <si>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</si>
  <si>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</si>
  <si>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</si>
  <si>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Submerged length at the achieved liquid level (Geometry D93). Was taken from the bare datum (Geometry D35), which overstated the wetted area by 6.5% and understated every current density by the same factor.</t>
  </si>
  <si>
    <t>TARGET DISSOLVED-OXYGEN FRACTION (wave-4: one definition, used by every guard)</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</si>
  <si>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</si>
  <si>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</si>
  <si>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</si>
  <si>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</si>
  <si>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</si>
  <si>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Imported from Biology D60 — one definition of the target DO fraction, computed from the selected organism's measured band where there is one and from C. necator's 3/11.5 otherwise. Sizes the O₂ guards below.</t>
  </si>
  <si>
    <t>Electrons per HOCl formed — 2 on every route. 2Cl⁻ → Cl₂ + 2e⁻ then Cl₂ + H₂O → HOCl + H⁺ + Cl⁻ is 2 e⁻ per HOCl (and 1 net chloride consumed); the direct route Cl⁻ + H₂O → HOCl + H⁺ + 2e⁻ is also 2. Distinct from the n = 1 per ARRIVING chloride in the mass-transport limit (D132) — that is a flux count, not a stoichiometry.</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</si>
  <si>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</si>
  <si>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</si>
  <si>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</si>
  <si>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</si>
  <si>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</si>
  <si>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</si>
  <si>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</si>
  <si>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</si>
  <si>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</si>
  <si>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</si>
  <si>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</si>
  <si>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</si>
  <si>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</si>
  <si>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</si>
  <si>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</si>
  <si>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</si>
  <si>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</si>
  <si>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</si>
  <si>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</si>
  <si>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</si>
  <si>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</si>
  <si>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</si>
  <si>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</si>
  <si>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</si>
  <si>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</si>
  <si>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</si>
  <si>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</si>
  <si>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</si>
  <si>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</si>
  <si>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</si>
  <si>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</si>
  <si>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</si>
  <si>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</si>
  <si>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</si>
  <si>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</si>
  <si>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</si>
  <si>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</si>
  <si>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</si>
  <si>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</si>
  <si>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</si>
  <si>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</si>
  <si>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</si>
  <si>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</si>
  <si>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</si>
  <si>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</si>
  <si>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</si>
  <si>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</si>
  <si>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</si>
  <si>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</si>
  <si>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</si>
  <si>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</si>
  <si>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</si>
  <si>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</si>
  <si>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</si>
  <si>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</si>
  <si>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</si>
  <si>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</si>
  <si>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</si>
  <si>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</si>
  <si>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</si>
  <si>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</si>
  <si>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</si>
  <si>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</si>
  <si>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</si>
  <si>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</si>
  <si>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</si>
  <si>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</si>
  <si>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</si>
  <si>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</si>
  <si>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</si>
  <si>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</si>
  <si>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</si>
  <si>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</si>
  <si>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</si>
  <si>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</si>
  <si>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</si>
  <si>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</si>
  <si>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</si>
  <si>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</si>
  <si>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</si>
  <si>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</si>
  <si>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</si>
  <si>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</si>
  <si>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</si>
  <si>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</si>
  <si>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</si>
  <si>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</si>
  <si>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</si>
  <si>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</si>
  <si>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</si>
  <si>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</si>
  <si>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</si>
  <si>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</si>
  <si>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</si>
  <si>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</si>
  <si>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</si>
  <si>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</si>
  <si>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</si>
  <si>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</si>
  <si>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</si>
  <si>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</si>
  <si>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</si>
  <si>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</si>
  <si>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</si>
  <si>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</si>
  <si>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</si>
  <si>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</si>
  <si>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</si>
  <si>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</si>
  <si>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Cl₂/Cl⁻ potential at the medium chloride</t>
  </si>
  <si>
    <t>E_Cl2</t>
  </si>
  <si>
    <t>Nernst on the chloride activity: E = E° + (RT/F)·ln10·pCl. pH-independent, so at trace chloride it sits far above the O₂ line.</t>
  </si>
  <si>
    <t>Chlorine headroom above O₂ evolution</t>
  </si>
  <si>
    <t>E_Cl_margin</t>
  </si>
  <si>
    <t>V</t>
  </si>
  <si>
    <t>How much extra anodic potential chlorine evolution needs over oxygen evolution. Large and positive means chlorine is thermodynamically disfavoured at this chloride level, so the mass-transport figure in D133 is a generous upper bound. Chlorine only competes kinetically above roughly 50 mM chloride (Vos &amp; Koper).</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</si>
  <si>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</si>
  <si>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</si>
  <si>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</si>
  <si>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</si>
  <si>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</si>
  <si>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</si>
  <si>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</si>
  <si>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</si>
  <si>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</si>
  <si>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</si>
  <si>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Diffusion layer thickness</t>
  </si>
  <si>
    <t>delta_diff</t>
  </si>
  <si>
    <t>k_m = D/δ with the Eisenberg–Tobias–Wilke k_m on the Electrochemistry sheet gives δ ≈ 40 µm at the assumed swirl velocity. Uncertain by about a factor of 2, and that factor is what decides the verdict below — one ferricyanide limiting-current run on the same rod at the same rpm would settle it.</t>
  </si>
  <si>
    <t>Buffer-limited current density</t>
  </si>
  <si>
    <t>j_buffer_lim</t>
  </si>
  <si>
    <t>j_lim = F·D·C/δ for the proton acceptor (HPO₄²⁻) reaching the anode. Above this the anode surface acidifies away from the bulk pH. Katsounaros 2011 give the same answer from the other direction: 10 mM buffer pins the surface to bulk only to about 1 mA/cm².</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</si>
  <si>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</si>
  <si>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</si>
  <si>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</si>
  <si>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</si>
  <si>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</si>
  <si>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</si>
  <si>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</si>
  <si>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</si>
  <si>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</si>
  <si>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</si>
  <si>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</si>
  <si>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</si>
  <si>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CALCULATED FARADAIC SPLIT — the cathode competes with dissolved O₂ (wave-4)</t>
  </si>
  <si>
    <t>(import) target DO fraction</t>
  </si>
  <si>
    <t>ec_DO_frac</t>
  </si>
  <si>
    <t>→ Biology (DO_frac_target)</t>
  </si>
  <si>
    <t>(import) dissolved-O₂ ceiling</t>
  </si>
  <si>
    <t>ec_O2_ceil</t>
  </si>
  <si>
    <t>→ Biology (O2_ceil_C)</t>
  </si>
  <si>
    <t>(import) O₂ diffusivity at reactor T</t>
  </si>
  <si>
    <t>ec_D_O2</t>
  </si>
  <si>
    <t>→ Mass Transfer (D_O2)</t>
  </si>
  <si>
    <t>(import) reactor liquid volume</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</si>
  <si>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</si>
  <si>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</si>
  <si>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</si>
  <si>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</si>
  <si>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</si>
  <si>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</si>
  <si>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</si>
  <si>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Design DO for the cathodic O₂ flux</t>
  </si>
  <si>
    <t>ec_DO_design</t>
  </si>
  <si>
    <t>The dissolved O₂ the schedule is designed to hold. The cathodic O₂ reduction below is evaluated here rather than at the modelled steady DO, which would make the sheet circular (DO depends on the net O₂, which depends on this loss).</t>
  </si>
  <si>
    <t>Cathodic O₂ current at the design DO</t>
  </si>
  <si>
    <t>i_ORR_design</t>
  </si>
  <si>
    <t>i = n·F·k_m·C·A, the O₂ mass-transport limit at the cathode. This is current that does NOT make hydrogen, and it consumes dissolved O₂. Le Bozec 2001 (Corros Sci 43:765) show ORR on 316L in neutral solution running mixed 2e⁻/4e⁻ and limited by the passive film as much as by transport, so this is an upper bound on the loss.</t>
  </si>
  <si>
    <t>Cathodic O₂ current at the ceiling DO</t>
  </si>
  <si>
    <t>i_ORR_ceiling</t>
  </si>
  <si>
    <t>The same flux if dissolved O₂ ever reached the inhibition ceiling — the worst case for the faradaic split.</t>
  </si>
  <si>
    <t>Cathodic faradaic efficiency (calculated)</t>
  </si>
  <si>
    <t>etaF_calc</t>
  </si>
  <si>
    <t>1 − (cathodic O₂ current)/(applied current). Replaces the previous assumption that every cathode electron makes H₂. Neutral-pH HER on stainless also has its own kinetic losses; this accounts only for the O₂ that competes for the current.</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</si>
  <si>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</si>
  <si>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</si>
  <si>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</si>
  <si>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</si>
  <si>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</si>
  <si>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</si>
  <si>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</si>
  <si>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</si>
  <si>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</si>
  <si>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</si>
  <si>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</si>
  <si>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</si>
  <si>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2 electrons per H₂O₂. This is a source term the model previously did not have at all, and it runs whenever there is current and dissolved O₂.</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</si>
  <si>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</si>
  <si>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</si>
  <si>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</si>
  <si>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</si>
  <si>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</si>
  <si>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</si>
  <si>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</si>
  <si>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</si>
  <si>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At inoculation there is no catalase pool, so peroxide simply accumulates. This is the exposed window.</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</si>
  <si>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</si>
  <si>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</si>
  <si>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</si>
  <si>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</si>
  <si>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</si>
  <si>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How long an un-inoculated or just-inoculated vessel takes to pass the growth-inhibition threshold at the current electrolysis rate.</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</si>
  <si>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</si>
  <si>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</si>
  <si>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</si>
  <si>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</si>
  <si>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</si>
  <si>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</si>
  <si>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</si>
  <si>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</si>
  <si>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</si>
  <si>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</si>
  <si>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</si>
  <si>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</si>
  <si>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Chlorine evolution as a fraction of the applied current, at the chloride mass-transport limit. Small at trace chloride, and thermodynamically disfavoured besides — see the chlorine headroom on the Chemistry sheet.</t>
  </si>
  <si>
    <t>Anodic faradaic efficiency (calculated)</t>
  </si>
  <si>
    <t>etaF_OER_calc</t>
  </si>
  <si>
    <t>1 − chlorine share − metal-dissolution share. Replaces the previous assertion of 1 with its unsupported "chloride-free medium" note. It remains an UPPER BOUND while the metal-dissolution charge is unmeasured: a corroding anode takes current that this cell still credits to oxygen.</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</si>
  <si>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</si>
  <si>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</si>
  <si>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</si>
  <si>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</si>
  <si>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</si>
  <si>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</si>
  <si>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</si>
  <si>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</si>
  <si>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</si>
  <si>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</si>
  <si>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</si>
  <si>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</si>
  <si>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</si>
  <si>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</si>
  <si>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</si>
  <si>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</si>
  <si>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</si>
  <si>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</si>
  <si>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</si>
  <si>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</si>
  <si>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</si>
  <si>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</si>
  <si>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</si>
  <si>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</si>
  <si>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</si>
  <si>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</si>
  <si>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Note the medium sits at 37 mM — right on the knee of that saturation, so the credit weakens if the surface depletes (see the buffer verdict on Chemistry).</t>
  </si>
  <si>
    <t>(import) solution conductivity</t>
  </si>
  <si>
    <t>ec_kappa</t>
  </si>
  <si>
    <t>→ Chemistry (kappa_med)</t>
  </si>
  <si>
    <t>(import) electrode gap</t>
  </si>
  <si>
    <t>ec_gap</t>
  </si>
  <si>
    <t>→ Geometry (elec_gap; a DATA GAP until measured)</t>
  </si>
  <si>
    <t>Cell-constant multiplier</t>
  </si>
  <si>
    <t>k_geom</t>
  </si>
  <si>
    <t>The parallel-cylinder formula assumes an unbounded electrolyte, which understates the resistance of two short rods in a 25 mm vial with only ~9 mm submerged. Independent estimates of the cell constant for this geometry land at 1–2 cm⁻¹ against the formula's ~0.54, so 2 is the mid-range correction. Measure it directly with a conductivity standard if the voltage headroom below ever matters.</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</si>
  <si>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</si>
  <si>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</si>
  <si>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</si>
  <si>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</si>
  <si>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</si>
  <si>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</si>
  <si>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</si>
  <si>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</si>
  <si>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</si>
  <si>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</si>
  <si>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</si>
  <si>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</si>
  <si>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</si>
  <si>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</si>
  <si>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</si>
  <si>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</si>
  <si>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</si>
  <si>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</si>
  <si>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Cross-check on Gerrit's Law: the empirical fit is validated to 25% intensity, and this budget should run out of headroom near there. If it does, the two independent routes agree.</t>
  </si>
  <si>
    <t>Cathodic H₂ faradaic efficiency: a measured value from the Calibrations tab if there is one, otherwise CALCULATED (D89) from the cathodic O₂ reduction competing for the current — it is no longer assumed to be 1. Neutral-pH HER on stainless peaks near 97% before that competition is counted, so the calculated value remains an upper bound.</t>
  </si>
  <si>
    <t>Anodic O₂ faradaic efficiency: measured if available, otherwise CALCULATED (etaF_OER_calc) as 1 − the chlorine share − the metal-dissolution share. The old note asserted a chloride-free medium; UdG contains chloride and the sheet now models the chlorine current explicitly.</t>
  </si>
  <si>
    <t>Same Eisenberg–Tobias–Wilke basis as the O₂ coefficient on the Electrochemistry sheet, scaled by D^0.644: k_m(Cl⁻) = k_m(O₂)·(D_Cl/D_O2)^0.644 = 4.0e-3 × 1.01. Bracket 2–6e-3 cm/s, dominated by the unmeasured swirl velocity past the rod.</t>
  </si>
  <si>
    <t>TEMPERATURE-DEPENDENT WATER PROPERTIES (wave-4: these were frozen at 30 °C)</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</si>
  <si>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</si>
  <si>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</si>
  <si>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</si>
  <si>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</si>
  <si>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</si>
  <si>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</si>
  <si>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</si>
  <si>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</si>
  <si>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</si>
  <si>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</si>
  <si>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</si>
  <si>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</si>
  <si>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</si>
  <si>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</si>
  <si>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</si>
  <si>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Han &amp; Bartels (1996): log₁₀(D[cm²/s]) = a + b/T − (c/T)². The correlation this sheet already cited, now evaluated at the reactor temperature instead of being frozen at 30 °C.</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</si>
  <si>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</si>
  <si>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</si>
  <si>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</si>
  <si>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</si>
  <si>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</si>
  <si>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</si>
  <si>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</si>
  <si>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</si>
  <si>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</si>
  <si>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</si>
  <si>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</si>
  <si>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 R1-76(2014), evaluated at the reactor temperature (T_C) rather than frozen at 30 °C. Feeds the bubble-detachment diameter.</t>
  </si>
  <si>
    <t>IAPWS-95, evaluated at the reactor temperature.</t>
  </si>
  <si>
    <t>Han &amp; Bartels (1996) evaluated at the reactor temperature. At 25 °C this is 2.00e-9 m²/s; the sheet previously carried the 30 °C value 2.249e-9 as a constant, which overstated the surface transfer coefficient by 6%.</t>
  </si>
  <si>
    <t>CO₂ diffusivity at the reactor temperature, Arrhenius-scaled from the 25 °C datum.</t>
  </si>
  <si>
    <t>HEADSPACE O₂ BALANCE AND THE DO-LIMITED INTERVAL (wave-4: replaces the surface-held branch)</t>
  </si>
  <si>
    <t>CO₂ delivery rate at full flow</t>
  </si>
  <si>
    <t>CO2_rate_full</t>
  </si>
  <si>
    <t>The sparge line at 100% duty. Multiplied by the duty cycle it gives the CO₂ actually delivered, which is what dilutes oxygen out of the headspace.</t>
  </si>
  <si>
    <t>Target dissolved O₂</t>
  </si>
  <si>
    <t>DO_target</t>
  </si>
  <si>
    <t>The dissolved O₂ the schedule aims to hold: the target fraction of the inhibition ceiling.</t>
  </si>
  <si>
    <t>DO excess needed to drive the surface flux</t>
  </si>
  <si>
    <t>DO_surf_excess</t>
  </si>
  <si>
    <t>Steady state across the free surface is flux = kLa·V·(C − C*), so the liquid must sit THIS far above the headspace-equilibrium concentration to push the surplus O₂ out. The smaller the surface kLa, the larger this excess — and it is the term that decides whether any sparge schedule can hold the target at all.</t>
  </si>
  <si>
    <t xml:space="preserve">  same, on the lag-phase source</t>
  </si>
  <si>
    <t>DO_surf_excess_lag</t>
  </si>
  <si>
    <t>Before the culture consumes oxygen, the whole net electrolytic O₂ has to cross the surface.</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</si>
  <si>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</si>
  <si>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</si>
  <si>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</si>
  <si>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</si>
  <si>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</si>
  <si>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</si>
  <si>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</si>
  <si>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</si>
  <si>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At steady state everything entering the headspace leaves through the vent, so the vent-gas composition is the flux composition: y = O₂ flux/(O₂ flux + CO₂ flux). Solving for the CO₂ flux that dilutes oxygen to y* gives this duty. This is the same idea as the old duty_O2vent, but with the surface-transfer excess and the (1−y) term both accounted for.</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</si>
  <si>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</si>
  <si>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</si>
  <si>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</si>
  <si>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</si>
  <si>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</si>
  <si>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The surface kLa below which the DO target is unreachable at any sparge interval. Compare against kLa_surf_used — the ratio is the whole safety margin of the DO strategy, and it rests on a coefficient nobody has measured yet.</t>
  </si>
  <si>
    <t>Headspace O₂ fraction at the schedule in use</t>
  </si>
  <si>
    <t>y_O2_actual</t>
  </si>
  <si>
    <t>Vent-gas oxygen fraction at the CO₂ flow actually scheduled. Hydrogen is deliberately left out of the denominator: crediting the evolved H₂ as a diluent would lower this number, and the model assumes the culture consumes the hydrogen.</t>
  </si>
  <si>
    <t>Dissolved O₂ floor set by the headspace</t>
  </si>
  <si>
    <t>DO_hs_floor</t>
  </si>
  <si>
    <t>Surface stripping can only move oxygen into the headspace, so the liquid can never fall below equilibrium with it. This floor is set by the CO₂ flush rate, not by the surface kLa — which is why the sparge schedule, not the stirring, is what governs dissolved oxygen here.</t>
  </si>
  <si>
    <t>Same quantity as D108 in mol/m³ (growth-phase source).</t>
  </si>
  <si>
    <t>Lag-phase companion: no biological uptake yet, so the whole net electrolytic O₂ must cross the surface. Expect DO to run above the growth optimum until the culture starts consuming.</t>
  </si>
  <si>
    <t>The surface kL below which the DO target cannot be met at any sparge interval. Measured kL_surf must exceed this. See protocols/surface-kla.md — this is the measurement the whole DO strategy rests on.</t>
  </si>
  <si>
    <t>Whether the dissolved-O₂ target is reachable at all, and whether the surface coefficient behind that verdict has been measured or is still the ~375%-uncertain estimate. Replaces the old SURFACE-HELD / SPARGE-NEEDED switch, which chose between a 3-minute and a 181-minute schedule on the strength of that same unmeasured estimate.</t>
  </si>
  <si>
    <t>ANSWER. The shortest of the two upper bounds on the interval: carbon supply (D112) and headspace-oxygen dilution (spg_int_DO). If the DO target is unreachable at this surface kLa the sheet falls back to the lag-accumulation cap (D89) and D134 says so. No branch here depends on an unmeasured coefficient deciding which formula runs — kL_surf now moves the answer continuously instead of switching it.</t>
  </si>
  <si>
    <t>Which constraint binds: headspace-oxygen dilution or carbon supply. The pH consequence of the winner is carried through the CO₂ limit cycle to the Chemistry sheet — a short oxygen-driven interval delivers far more CO₂ than the carbon demand and pushes pH down.</t>
  </si>
  <si>
    <t>CO₂ LIMIT CYCLE — mass-conserving form (wave-4; supersedes the uncoupled block above)</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</si>
  <si>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</si>
  <si>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</si>
  <si>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</si>
  <si>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</si>
  <si>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</si>
  <si>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</si>
  <si>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</si>
  <si>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</si>
  <si>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Fraction of a pooled CO₂ inventory that ends up dissolved.</t>
  </si>
  <si>
    <t>CO₂ added per pulse, as concentration</t>
  </si>
  <si>
    <t>pool_b</t>
  </si>
  <si>
    <t>Pool decay rate through the vent</t>
  </si>
  <si>
    <t>k_eff_CO2</t>
  </si>
  <si>
    <t>Only the headspace share of the pool is exposed to the vent, so the whole inventory decays at the vent rate scaled by that share.</t>
  </si>
  <si>
    <t>Quasi-equilibrium validity ratio</t>
  </si>
  <si>
    <t>pool_beta_ratio</t>
  </si>
  <si>
    <t>Liquid-uptake rate constant ÷ vent rate. Well above 1 means the two compartments stay in Henry equilibrium on the timescale the vent empties them, which is what licenses treating them as one pool. Below about 3 the pooled form should not be trusted and the two compartments need solving separately.</t>
  </si>
  <si>
    <t>Decay factor over the gap</t>
  </si>
  <si>
    <t>pool_e</t>
  </si>
  <si>
    <t>exp(−k_eff·t_gap).</t>
  </si>
  <si>
    <t>Dissolved CO₂ at the start of a pulse</t>
  </si>
  <si>
    <t>C_cycle_start</t>
  </si>
  <si>
    <t>Fixed point of the limit cycle: decay over the gap, then a pulse, repeated. Closed form, no iteration.</t>
  </si>
  <si>
    <t>Dissolved CO₂ just after a pulse</t>
  </si>
  <si>
    <t>C_cycle_peak</t>
  </si>
  <si>
    <t>After the pulse and the fast headspace-to-liquid equilibration (tens of seconds), before the vent has removed much. Bounded by construction: the liquid cannot take up more CO₂ than the pulse delivered.</t>
  </si>
  <si>
    <t>Cycle-average dissolved CO₂</t>
  </si>
  <si>
    <t>CO2_cyc_avg_new</t>
  </si>
  <si>
    <t>Time-average of the exponential decay over the gap. This is what the pH solve consumes.</t>
  </si>
  <si>
    <t>Bounded steady dissolved CO₂ from the mass-conserving limit cycle above; Chemistry D5 reads this. Bounds are air equilibrium below and pure-CO₂ saturation above.</t>
  </si>
  <si>
    <t>SUPERSEDED by the mass-conserving limit cycle below — kept for contrast. The two-compartment form let the headspace vent independently of what the liquid absorbed.</t>
  </si>
  <si>
    <t>SUPERSEDED (see the mass-conserving limit cycle below). This coupling coefficient also has a removable singularity where the surface and vent rates coincide.</t>
  </si>
  <si>
    <t>SUPERSEDED — see C_cycle_start below.</t>
  </si>
  <si>
    <t>SUPERSEDED — see C_cycle_peak below.</t>
  </si>
  <si>
    <t>SUPERSEDED — see CO2_cyc_avg_new below. At long intervals the two agree to a few per cent by coincidence; at short intervals they diverge, and the old form was never bounded by the CO₂ actually delivered.</t>
  </si>
  <si>
    <t>ELECTROCHEMISTRY — CALCULATED (wave-4; hand these to an electrochemist)</t>
  </si>
  <si>
    <t>Fraction of cathode current making H₂ rather than reducing dissolved O₂. Was assumed to be 1.</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</si>
  <si>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</si>
  <si>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</si>
  <si>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</si>
  <si>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</si>
  <si>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</si>
  <si>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How much extra anodic potential chlorine evolution would need. Large = disfavoured.</t>
  </si>
  <si>
    <t>How far an O₂-evolving anode sits above the Cu²⁺/Cu equilibrium.</t>
  </si>
  <si>
    <t>What a probe reads: the charge balance solves on concentrations, a glass electrode reads activity.</t>
  </si>
  <si>
    <t>Surface kLa required for the DO target</t>
  </si>
  <si>
    <t>Below this, no sparge interval holds the target dissolved O₂. Compare with the estimate in use.</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</si>
  <si>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</si>
  <si>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</si>
  <si>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Henderson–Hasselbalch on the activity scale: the tabulated pKa is a thermodynamic constant, so it pairs with the activity-scale pH, not the concentration-scale root.</t>
  </si>
  <si>
    <t>HOB optimum 6.5–7.5 (Pous / Rovira-Alsina), compared against the activity-scale pH a probe would read. A short oxygen-driven sparge interval delivers far more CO₂ than the carbon demand, so this flag is the counterweight to the DO-limited interval on Mass Transfer.</t>
  </si>
  <si>
    <t>Operating pH at the CO₂ trough, on the activity scale a probe reads. Green 6.5–7.5; red outside 6–8.</t>
  </si>
  <si>
    <t>UNIT CONSTANTS (were embedded in formulas)</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</si>
  <si>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</si>
  <si>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</si>
  <si>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</si>
  <si>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</si>
  <si>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</si>
  <si>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</si>
  <si>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</si>
  <si>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</si>
  <si>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</si>
  <si>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</si>
  <si>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</si>
  <si>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</si>
  <si>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</si>
  <si>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</si>
  <si>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</si>
  <si>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</si>
  <si>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</si>
  <si>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 Mass Transfer (R_gas). Was a second, separately typed 8.314 that disagreed with the workbook's own constant in the fifth digit.</t>
  </si>
  <si>
    <t>Sets how far dissolved O₂ must sit above the headspace to shed the surplus, and the feasibility margin behind the whole DO strategy (kLa in use ÷ kLa required). It no longer switches the sheet between two schedules — it moves the answer continuously.</t>
  </si>
  <si>
    <t>Now calculated rather than assumed, from the cathodic O₂ flux — but the calculation rests on an estimated electrode mass-transfer coefficient. Measuring it settles the H₂/O₂ split and the peroxide source at once.</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</si>
  <si>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</si>
  <si>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</si>
  <si>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</si>
  <si>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</si>
  <si>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</si>
  <si>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</si>
  <si>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The voltage budget is a testable prediction (3.3 V of a 5 V rail at 3 %). A multimeter reading across the electrodes either confirms the whole electrochemical picture or localises which term is wrong.</t>
  </si>
  <si>
    <t>Assay dissolved metals in spent medium</t>
  </si>
  <si>
    <t>Cu/Ni/Fe by ICP or a colorimetric kit. An O₂-evolving anode sits ~0.44 V above the Cu²⁺/Cu equilibrium, so dissolution is thermodynamically allowed; this is the unmodelled prime suspect for the Exp-2 death and it also closes the anodic charge budget.</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</si>
  <si>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</si>
  <si>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</si>
  <si>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</si>
  <si>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</si>
  <si>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</si>
  <si>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</si>
  <si>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</si>
  <si>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</si>
  <si>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</si>
  <si>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</si>
  <si>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3.17 kPa at 25 °C, 4.25 kPa at 30 °C — 3–4% of atmospheric, which is exactly the bias it removes from a faradaic-efficiency measurement made by collecting gas over water.</t>
  </si>
  <si>
    <t>Value in use: average of the included runs for the active reactor, taken separately for the H2 (cathode) and O2 (anode) electrodes. The gas volume is corrected for saturated water vapour at the temperature you record, per protocols/faradaic-efficiency.md.</t>
  </si>
  <si>
    <t>Prefers the CO₂-flow calibration recorded on the Calibrations tab (cal_flow); falls back to the per-reactor table on the CO2 flows sheet when no calibration run is included. The Calibrations route was previously computed and consumed by nothing, while protocols/flow-calibration.md told the researcher it fed the model.</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</si>
  <si>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</si>
  <si>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Net electrolytic O₂ minus biological uptake, floored at zero. The floor matters: at the knallgas cap (O₂:H₂ = 0.5, i.e. bio_O2 = 3) uptake exactly consumes the electrolytic surplus and everything downstream that divides by this would blow up. Upper bound in any case, because it rests on the full-H₂-uptake assumption above.</t>
  </si>
  <si>
    <t>The CO₂ actually delivered per pulse (D123, which follows any manual or Summary override), spread over the pooled liquid+headspace capacity. This is the mass-conservation constraint the previous form lacked. It reads the delivered pulse rather than one nominal headspace flush, so an overridden pulse length charges the cycle correctly.</t>
  </si>
  <si>
    <t>C. necator DO_opt 2.6 ÷ DO_toxic 11.5 mg/L (row 52) — the only organism in the table with a measured band, used as the stand-in for the rest. Same optimum ÷ ceiling ratio the row above computes, so the fallback is consistent with the definition. Replaces an unsourced 0.5, which was 2.2× less protective.</t>
  </si>
  <si>
    <t>Steady dissolved O₂ = the headspace-equilibrium floor (set by the CO₂ flush) plus the excess needed to drive the surplus across the free surface. NOTE: when the DO-dilution bound sets the interval, this is solved to sit AT the target by construction, so it restates the target rather than testing it — the real test is the feasibility margin kLa_surf_used ÷ kLa_surf_req (D186). It becomes an independent prediction again whenever carbon supply or a manual override sets the schedule.</t>
  </si>
  <si>
    <t>Effective biocidal chlorine from the medium’s chloride, on the as-Cl₂ basis the literature thresholds use. Green &lt;0.1, red &gt;1 mg/L. Zero for chloride-free media.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</si>
</sst>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s>
  <fonts count="47" x14ac:knownFonts="1">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u/>
      <sz val="8"/>
      <color rgb="FF0563C1"/>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7030A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sz val="11"/>
      <color rgb="FF000000"/>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sz val="10"/>
      <color rgb="FF000000"/>
      <name val="Calibri"/>
      <family val="2"/>
    </font>
    <font>
      <b/>
      <u/>
      <sz val="9"/>
      <color rgb="FF0000FF"/>
      <name val="Calibri"/>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s>
  <fills count="22">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D9E1F2"/>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solid">
        <fgColor rgb="FFFF9999"/>
        <bgColor indexed="64"/>
      </patternFill>
    </fill>
  </fills>
  <borders count="16">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s>
  <cellStyleXfs count="4">
    <xf numFmtId="0" fontId="0" fillId="0" borderId="11"/>
    <xf numFmtId="0" fontId="27" fillId="8" borderId="11"/>
    <xf numFmtId="0" fontId="28" fillId="10" borderId="11"/>
    <xf numFmtId="0" fontId="29" fillId="18" borderId="11"/>
  </cellStyleXfs>
  <cellXfs count="166">
    <xf numFmtId="0" fontId="0" fillId="0" borderId="0" xfId="0" applyBorder="1"/>
    <xf numFmtId="0" fontId="11" fillId="0" borderId="0" xfId="0" applyFont="1" applyBorder="1"/>
    <xf numFmtId="0" fontId="18" fillId="0" borderId="0" xfId="0" applyFont="1" applyBorder="1"/>
    <xf numFmtId="0" fontId="0" fillId="0" borderId="1" xfId="0" applyBorder="1"/>
    <xf numFmtId="0" fontId="8" fillId="0" borderId="1" xfId="0" applyFont="1" applyBorder="1"/>
    <xf numFmtId="0" fontId="9" fillId="13" borderId="1" xfId="0" applyFont="1" applyFill="1" applyBorder="1"/>
    <xf numFmtId="0" fontId="20" fillId="0" borderId="1" xfId="0" applyFont="1" applyBorder="1"/>
    <xf numFmtId="0" fontId="15" fillId="0" borderId="1" xfId="0" applyFont="1" applyBorder="1"/>
    <xf numFmtId="0" fontId="10" fillId="15" borderId="1" xfId="0" applyFont="1" applyFill="1" applyBorder="1"/>
    <xf numFmtId="14" fontId="0" fillId="0" borderId="1" xfId="0" applyNumberFormat="1" applyBorder="1"/>
    <xf numFmtId="0" fontId="10" fillId="14" borderId="1" xfId="0" applyFont="1" applyFill="1" applyBorder="1"/>
    <xf numFmtId="164" fontId="0" fillId="0" borderId="1" xfId="0" applyNumberFormat="1" applyBorder="1"/>
    <xf numFmtId="2" fontId="0" fillId="0" borderId="1" xfId="0" applyNumberFormat="1" applyBorder="1"/>
    <xf numFmtId="0" fontId="21" fillId="0" borderId="1" xfId="0" applyFont="1" applyBorder="1"/>
    <xf numFmtId="0" fontId="22" fillId="0" borderId="1" xfId="0" applyFont="1" applyBorder="1"/>
    <xf numFmtId="0" fontId="0" fillId="0" borderId="2" xfId="0" applyBorder="1"/>
    <xf numFmtId="0" fontId="9" fillId="13"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9" fillId="0" borderId="3" xfId="0" applyFont="1" applyBorder="1"/>
    <xf numFmtId="0" fontId="25" fillId="0" borderId="4" xfId="0" applyFont="1" applyBorder="1"/>
    <xf numFmtId="0" fontId="16" fillId="0" borderId="3" xfId="0" applyFont="1" applyBorder="1"/>
    <xf numFmtId="0" fontId="25" fillId="0" borderId="3" xfId="0" applyFont="1" applyBorder="1"/>
    <xf numFmtId="0" fontId="25" fillId="0" borderId="5" xfId="0" applyFont="1" applyBorder="1"/>
    <xf numFmtId="0" fontId="25" fillId="0" borderId="6" xfId="0" applyFont="1" applyBorder="1"/>
    <xf numFmtId="0" fontId="25" fillId="0" borderId="7" xfId="0" applyFont="1" applyBorder="1"/>
    <xf numFmtId="0" fontId="12" fillId="0" borderId="3" xfId="0" applyFont="1" applyBorder="1"/>
    <xf numFmtId="0" fontId="0" fillId="7" borderId="3" xfId="0" applyFill="1" applyBorder="1"/>
    <xf numFmtId="0" fontId="0" fillId="11" borderId="3" xfId="0" applyFill="1" applyBorder="1"/>
    <xf numFmtId="0" fontId="12" fillId="16" borderId="3" xfId="0" applyFont="1" applyFill="1" applyBorder="1"/>
    <xf numFmtId="0" fontId="12" fillId="10" borderId="3" xfId="0" applyFont="1" applyFill="1" applyBorder="1"/>
    <xf numFmtId="0" fontId="14" fillId="0" borderId="3" xfId="0" applyFont="1" applyBorder="1"/>
    <xf numFmtId="0" fontId="17" fillId="0" borderId="3" xfId="0" applyFont="1" applyBorder="1"/>
    <xf numFmtId="0" fontId="9" fillId="17" borderId="3" xfId="0" applyFont="1" applyFill="1" applyBorder="1"/>
    <xf numFmtId="0" fontId="24" fillId="0" borderId="3" xfId="0" applyFont="1" applyBorder="1"/>
    <xf numFmtId="0" fontId="4" fillId="3" borderId="3" xfId="0" applyFont="1" applyFill="1" applyBorder="1" applyAlignment="1">
      <alignment vertical="top" wrapText="1"/>
    </xf>
    <xf numFmtId="0" fontId="25" fillId="0" borderId="8" xfId="0" applyFont="1" applyBorder="1"/>
    <xf numFmtId="0" fontId="5" fillId="5" borderId="3" xfId="0" applyFont="1" applyFill="1" applyBorder="1" applyAlignment="1">
      <alignment vertical="top" wrapText="1"/>
    </xf>
    <xf numFmtId="2" fontId="25" fillId="0" borderId="3" xfId="0" applyNumberFormat="1" applyFont="1" applyBorder="1"/>
    <xf numFmtId="0" fontId="4" fillId="5" borderId="3" xfId="0" applyFont="1" applyFill="1" applyBorder="1" applyAlignment="1">
      <alignment vertical="top" wrapText="1"/>
    </xf>
    <xf numFmtId="2" fontId="26" fillId="0" borderId="3" xfId="0" applyNumberFormat="1" applyFont="1" applyBorder="1"/>
    <xf numFmtId="165" fontId="26" fillId="0" borderId="3" xfId="0" applyNumberFormat="1" applyFont="1" applyBorder="1"/>
    <xf numFmtId="165" fontId="25" fillId="0" borderId="3" xfId="0" applyNumberFormat="1" applyFont="1" applyBorder="1"/>
    <xf numFmtId="166" fontId="26" fillId="0" borderId="3" xfId="0" applyNumberFormat="1" applyFont="1" applyBorder="1"/>
    <xf numFmtId="167" fontId="26" fillId="0" borderId="3" xfId="0" applyNumberFormat="1" applyFont="1" applyBorder="1"/>
    <xf numFmtId="1" fontId="25" fillId="0" borderId="3" xfId="0" applyNumberFormat="1" applyFont="1" applyBorder="1"/>
    <xf numFmtId="168" fontId="26" fillId="0" borderId="3" xfId="0" applyNumberFormat="1" applyFont="1" applyBorder="1"/>
    <xf numFmtId="1" fontId="12" fillId="0" borderId="3" xfId="0" applyNumberFormat="1" applyFont="1" applyBorder="1"/>
    <xf numFmtId="2" fontId="7" fillId="0" borderId="3" xfId="0" applyNumberFormat="1" applyFont="1" applyBorder="1"/>
    <xf numFmtId="0" fontId="5" fillId="2" borderId="3" xfId="0" applyFont="1" applyFill="1" applyBorder="1" applyAlignment="1">
      <alignment vertical="top" wrapText="1"/>
    </xf>
    <xf numFmtId="0" fontId="7" fillId="0" borderId="3" xfId="0" applyFont="1" applyBorder="1"/>
    <xf numFmtId="1" fontId="25" fillId="0" borderId="8" xfId="0" applyNumberFormat="1" applyFont="1" applyBorder="1"/>
    <xf numFmtId="165" fontId="7" fillId="0" borderId="3" xfId="0" applyNumberFormat="1" applyFont="1" applyBorder="1"/>
    <xf numFmtId="1" fontId="7" fillId="0" borderId="3" xfId="0" applyNumberFormat="1" applyFont="1" applyBorder="1"/>
    <xf numFmtId="169" fontId="7" fillId="0" borderId="3" xfId="0" applyNumberFormat="1" applyFont="1" applyBorder="1"/>
    <xf numFmtId="0" fontId="5" fillId="6" borderId="3" xfId="0" applyFont="1" applyFill="1" applyBorder="1" applyAlignment="1">
      <alignment vertical="top" wrapText="1"/>
    </xf>
    <xf numFmtId="0" fontId="26" fillId="0" borderId="3" xfId="0" applyFont="1" applyBorder="1"/>
    <xf numFmtId="0" fontId="0" fillId="10" borderId="3" xfId="0" applyFill="1" applyBorder="1"/>
    <xf numFmtId="168" fontId="6" fillId="0" borderId="3" xfId="0" applyNumberFormat="1" applyFont="1" applyBorder="1"/>
    <xf numFmtId="0" fontId="5" fillId="3" borderId="3" xfId="0" applyFont="1" applyFill="1" applyBorder="1" applyAlignment="1">
      <alignment vertical="top" wrapText="1"/>
    </xf>
    <xf numFmtId="165" fontId="25" fillId="0" borderId="8" xfId="0" applyNumberFormat="1" applyFont="1" applyBorder="1"/>
    <xf numFmtId="0" fontId="23" fillId="0" borderId="8" xfId="0" applyFont="1" applyBorder="1"/>
    <xf numFmtId="170" fontId="26" fillId="0" borderId="3" xfId="0" applyNumberFormat="1" applyFont="1" applyBorder="1"/>
    <xf numFmtId="0" fontId="4" fillId="2" borderId="3" xfId="0" applyFont="1" applyFill="1" applyBorder="1" applyAlignment="1">
      <alignment vertical="top" wrapText="1"/>
    </xf>
    <xf numFmtId="168" fontId="7" fillId="0" borderId="3" xfId="0" applyNumberFormat="1" applyFont="1" applyBorder="1"/>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25" fillId="10" borderId="3" xfId="0" applyFont="1" applyFill="1" applyBorder="1"/>
    <xf numFmtId="168" fontId="25" fillId="0" borderId="5" xfId="0" applyNumberFormat="1" applyFont="1" applyBorder="1"/>
    <xf numFmtId="0" fontId="16" fillId="11" borderId="3" xfId="0" applyFont="1" applyFill="1" applyBorder="1" applyAlignment="1">
      <alignment vertical="top" wrapText="1"/>
    </xf>
    <xf numFmtId="167" fontId="6" fillId="0" borderId="3" xfId="0" applyNumberFormat="1" applyFont="1" applyBorder="1"/>
    <xf numFmtId="0" fontId="4" fillId="4" borderId="3" xfId="0" applyFont="1" applyFill="1" applyBorder="1" applyAlignment="1">
      <alignment vertical="top" wrapText="1"/>
    </xf>
    <xf numFmtId="171" fontId="26" fillId="0" borderId="3" xfId="0" applyNumberFormat="1" applyFont="1" applyBorder="1"/>
    <xf numFmtId="166" fontId="7" fillId="0" borderId="3" xfId="0" applyNumberFormat="1" applyFont="1" applyBorder="1"/>
    <xf numFmtId="168" fontId="25" fillId="0" borderId="8" xfId="0" applyNumberFormat="1" applyFont="1" applyBorder="1"/>
    <xf numFmtId="168" fontId="25" fillId="0" borderId="3" xfId="0" applyNumberFormat="1" applyFont="1" applyBorder="1"/>
    <xf numFmtId="0" fontId="4" fillId="12" borderId="3" xfId="0" applyFont="1" applyFill="1" applyBorder="1" applyAlignment="1">
      <alignment vertical="top" wrapText="1"/>
    </xf>
    <xf numFmtId="0" fontId="13" fillId="0" borderId="3" xfId="0" applyFont="1" applyBorder="1"/>
    <xf numFmtId="0" fontId="0" fillId="9" borderId="3" xfId="0" applyFill="1" applyBorder="1"/>
    <xf numFmtId="0" fontId="25" fillId="0" borderId="9" xfId="0" applyFont="1" applyBorder="1"/>
    <xf numFmtId="0" fontId="30" fillId="8" borderId="3" xfId="1" applyFont="1" applyBorder="1"/>
    <xf numFmtId="0" fontId="30" fillId="18" borderId="3" xfId="3" applyFont="1" applyBorder="1"/>
    <xf numFmtId="0" fontId="30" fillId="10" borderId="3" xfId="2" applyFont="1" applyBorder="1"/>
    <xf numFmtId="0" fontId="0" fillId="19" borderId="3" xfId="0" applyFill="1" applyBorder="1"/>
    <xf numFmtId="0" fontId="31" fillId="0" borderId="3" xfId="0" applyFont="1" applyBorder="1"/>
    <xf numFmtId="0" fontId="32" fillId="0" borderId="3" xfId="0" applyFont="1" applyBorder="1"/>
    <xf numFmtId="0" fontId="32" fillId="0" borderId="10" xfId="0" applyFont="1" applyBorder="1"/>
    <xf numFmtId="0" fontId="32" fillId="0" borderId="11" xfId="0" applyFont="1"/>
    <xf numFmtId="0" fontId="33" fillId="0" borderId="3" xfId="0" applyFont="1" applyBorder="1"/>
    <xf numFmtId="0" fontId="33" fillId="0" borderId="11" xfId="0" applyFont="1"/>
    <xf numFmtId="0" fontId="32" fillId="0" borderId="12" xfId="0" applyFont="1" applyBorder="1"/>
    <xf numFmtId="0" fontId="32" fillId="0" borderId="13" xfId="0" applyFont="1" applyBorder="1"/>
    <xf numFmtId="0" fontId="32" fillId="0" borderId="14" xfId="0" applyFont="1" applyBorder="1"/>
    <xf numFmtId="0" fontId="0" fillId="0" borderId="11" xfId="0"/>
    <xf numFmtId="0" fontId="33" fillId="9" borderId="3" xfId="0" applyFont="1" applyFill="1" applyBorder="1"/>
    <xf numFmtId="0" fontId="4" fillId="19" borderId="3" xfId="0" applyFont="1" applyFill="1" applyBorder="1" applyAlignment="1">
      <alignment vertical="top" wrapText="1"/>
    </xf>
    <xf numFmtId="0" fontId="5" fillId="19" borderId="3" xfId="0" applyFont="1" applyFill="1" applyBorder="1" applyAlignment="1">
      <alignment vertical="top" wrapText="1"/>
    </xf>
    <xf numFmtId="0" fontId="35" fillId="0" borderId="3" xfId="0" applyFont="1" applyBorder="1"/>
    <xf numFmtId="0" fontId="34" fillId="0" borderId="3" xfId="0" applyFont="1" applyBorder="1"/>
    <xf numFmtId="0" fontId="36" fillId="0" borderId="3" xfId="0" applyFont="1" applyBorder="1"/>
    <xf numFmtId="0" fontId="37" fillId="0" borderId="3" xfId="0" applyFont="1" applyBorder="1"/>
    <xf numFmtId="0" fontId="38" fillId="0" borderId="3" xfId="0" applyFont="1" applyBorder="1"/>
    <xf numFmtId="165" fontId="38" fillId="0" borderId="3" xfId="0" applyNumberFormat="1" applyFont="1" applyBorder="1"/>
    <xf numFmtId="0" fontId="35" fillId="3" borderId="3" xfId="0" applyFont="1" applyFill="1" applyBorder="1" applyAlignment="1">
      <alignment vertical="top" wrapText="1"/>
    </xf>
    <xf numFmtId="2" fontId="38" fillId="0" borderId="3" xfId="0" applyNumberFormat="1" applyFont="1" applyBorder="1"/>
    <xf numFmtId="0" fontId="35" fillId="2" borderId="3" xfId="0" applyFont="1" applyFill="1" applyBorder="1" applyAlignment="1">
      <alignment vertical="top" wrapText="1"/>
    </xf>
    <xf numFmtId="0" fontId="35" fillId="7" borderId="3" xfId="0" applyFont="1" applyFill="1" applyBorder="1" applyAlignment="1">
      <alignment vertical="top" wrapText="1"/>
    </xf>
    <xf numFmtId="0" fontId="35" fillId="5" borderId="3" xfId="0" applyFont="1" applyFill="1" applyBorder="1" applyAlignment="1">
      <alignment vertical="top" wrapText="1"/>
    </xf>
    <xf numFmtId="0" fontId="35" fillId="6" borderId="3" xfId="0" applyFont="1" applyFill="1" applyBorder="1" applyAlignment="1">
      <alignment vertical="top" wrapText="1"/>
    </xf>
    <xf numFmtId="0" fontId="39" fillId="0" borderId="3" xfId="0" applyFont="1" applyBorder="1"/>
    <xf numFmtId="0" fontId="35" fillId="9" borderId="3" xfId="0" applyFont="1" applyFill="1" applyBorder="1" applyAlignment="1">
      <alignment vertical="top" wrapText="1"/>
    </xf>
    <xf numFmtId="0" fontId="35" fillId="19" borderId="3" xfId="0" applyFont="1" applyFill="1" applyBorder="1" applyAlignment="1">
      <alignment vertical="top" wrapText="1"/>
    </xf>
    <xf numFmtId="168" fontId="38" fillId="0" borderId="3" xfId="0" applyNumberFormat="1" applyFont="1" applyBorder="1"/>
    <xf numFmtId="0" fontId="35" fillId="4" borderId="3" xfId="0" applyFont="1" applyFill="1" applyBorder="1" applyAlignment="1">
      <alignment vertical="top" wrapText="1"/>
    </xf>
    <xf numFmtId="0" fontId="35" fillId="11" borderId="3" xfId="0" applyFont="1" applyFill="1" applyBorder="1" applyAlignment="1">
      <alignment vertical="top" wrapText="1"/>
    </xf>
    <xf numFmtId="168" fontId="40" fillId="0" borderId="3" xfId="0" applyNumberFormat="1" applyFont="1" applyBorder="1"/>
    <xf numFmtId="170" fontId="26" fillId="0" borderId="11" xfId="0" applyNumberFormat="1" applyFont="1"/>
    <xf numFmtId="165" fontId="32" fillId="0" borderId="15" xfId="0" applyNumberFormat="1" applyFont="1" applyBorder="1"/>
    <xf numFmtId="1" fontId="25" fillId="0" borderId="11" xfId="0" applyNumberFormat="1" applyFont="1"/>
    <xf numFmtId="168" fontId="38" fillId="0" borderId="11" xfId="0" applyNumberFormat="1" applyFont="1"/>
    <xf numFmtId="168" fontId="26" fillId="0" borderId="11" xfId="0" applyNumberFormat="1" applyFont="1"/>
    <xf numFmtId="0" fontId="1" fillId="0" borderId="11" xfId="0" applyFont="1"/>
    <xf numFmtId="0" fontId="3" fillId="0" borderId="11" xfId="0" applyFont="1"/>
    <xf numFmtId="0" fontId="8" fillId="0" borderId="11" xfId="0" applyFont="1"/>
    <xf numFmtId="0" fontId="9" fillId="13" borderId="11" xfId="0" applyFont="1" applyFill="1"/>
    <xf numFmtId="168" fontId="26" fillId="20" borderId="11" xfId="0" applyNumberFormat="1" applyFont="1" applyFill="1"/>
    <xf numFmtId="0" fontId="0" fillId="20" borderId="11" xfId="0" applyFill="1"/>
    <xf numFmtId="0" fontId="41" fillId="0" borderId="3" xfId="0" applyFont="1" applyBorder="1"/>
    <xf numFmtId="0" fontId="0" fillId="8" borderId="3" xfId="0" applyFill="1" applyBorder="1"/>
    <xf applyFill="1" numFmtId="0" fontId="30" fillId="21" borderId="3" xfId="2" applyFont="1" applyBorder="1"/>
    <xf numFmtId="0" fontId="12" fillId="0" borderId="8" xfId="0" applyFont="1" applyBorder="1"/>
    <xf applyFill="1" numFmtId="0" fontId="16" fillId="8" borderId="3" xfId="0" applyFont="1" applyBorder="1"/>
    <xf numFmtId="0" fontId="42" fillId="0" borderId="3" xfId="0" applyFont="1" applyBorder="1"/>
    <xf numFmtId="2" fontId="42" fillId="0" borderId="3" xfId="0" applyNumberFormat="1" applyFont="1" applyBorder="1"/>
    <xf numFmtId="165" fontId="42" fillId="0" borderId="3" xfId="0" applyNumberFormat="1" applyFont="1" applyBorder="1"/>
    <xf numFmtId="2" fontId="12" fillId="0" borderId="3" xfId="0" applyNumberFormat="1" applyFont="1" applyBorder="1"/>
    <xf numFmtId="165" fontId="12" fillId="0" borderId="3" xfId="0" applyNumberFormat="1" applyFont="1" applyBorder="1"/>
    <xf numFmtId="0" fontId="12" fillId="0" borderId="4" xfId="0" applyFont="1" applyBorder="1"/>
    <xf numFmtId="0" fontId="12" fillId="0" borderId="6" xfId="0" applyFont="1" applyBorder="1"/>
    <xf numFmtId="1" fontId="12" fillId="0" borderId="8" xfId="0" applyNumberFormat="1" applyFont="1" applyBorder="1"/>
    <xf numFmtId="1" fontId="43" fillId="0" borderId="3" xfId="0" applyNumberFormat="1" applyFont="1" applyBorder="1"/>
    <xf numFmtId="169" fontId="43" fillId="0" borderId="3" xfId="0" applyNumberFormat="1" applyFont="1" applyBorder="1"/>
    <xf numFmtId="0" fontId="43" fillId="0" borderId="3" xfId="0" applyFont="1" applyBorder="1"/>
    <xf applyFill="1" numFmtId="0" fontId="35" fillId="8" borderId="3" xfId="0" applyFont="1" applyBorder="1"/>
    <xf numFmtId="0" fontId="6" fillId="0" borderId="3" xfId="0" applyFont="1" applyBorder="1"/>
    <xf numFmtId="165" fontId="12" fillId="0" borderId="8" xfId="0" applyNumberFormat="1" applyFont="1" applyBorder="1"/>
    <xf numFmtId="0" fontId="12" fillId="0" borderId="7" xfId="0" applyFont="1" applyBorder="1"/>
    <xf numFmtId="0" fontId="12" fillId="0" borderId="5" xfId="0" applyFont="1" applyBorder="1"/>
    <xf numFmtId="168" fontId="43" fillId="0" borderId="3" xfId="0" applyNumberFormat="1" applyFont="1" applyBorder="1"/>
    <xf numFmtId="168" fontId="12" fillId="0" borderId="5" xfId="0" applyNumberFormat="1" applyFont="1" applyBorder="1"/>
    <xf numFmtId="165" fontId="43" fillId="0" borderId="3" xfId="0" applyNumberFormat="1" applyFont="1" applyBorder="1"/>
    <xf numFmtId="2" fontId="43" fillId="0" borderId="3" xfId="0" applyNumberFormat="1" applyFont="1" applyBorder="1"/>
    <xf numFmtId="166" fontId="43" fillId="0" borderId="3" xfId="0" applyNumberFormat="1" applyFont="1" applyBorder="1"/>
    <xf numFmtId="168" fontId="12" fillId="0" borderId="8" xfId="0" applyNumberFormat="1" applyFont="1" applyBorder="1"/>
    <xf numFmtId="168" fontId="12" fillId="0" borderId="3" xfId="0" applyNumberFormat="1" applyFont="1" applyBorder="1"/>
    <xf numFmtId="0" fontId="4" fillId="8" borderId="3" xfId="0" applyFont="1" applyFill="1" applyBorder="1" applyAlignment="1">
      <alignment vertical="top" wrapText="1"/>
    </xf>
    <xf applyFill="1" numFmtId="0" fontId="0" fillId="8" borderId="3" xfId="0" applyBorder="1"/>
    <xf numFmtId="0" fontId="44" fillId="0" borderId="3" xfId="0" applyFont="1" applyBorder="1"/>
    <xf numFmtId="0" fontId="12" fillId="0" borderId="9" xfId="0" applyFont="1" applyBorder="1"/>
    <xf applyFont="1" numFmtId="0" fontId="45" fillId="0" borderId="11" xfId="0"/>
    <xf applyFont="1" numFmtId="0" fontId="46" fillId="0" borderId="11" xfId="0"/>
    <xf applyFill="1" numFmtId="0" fontId="0" fillId="8" borderId="11" xfId="0"/>
  </cellXfs>
  <cellStyles count="4">
    <cellStyle name="Bad" xfId="2" builtinId="27"/>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90"/>
  <sheetViews>
    <sheetView tabSelected="1" zoomScale="116" workbookViewId="0">
      <selection activeCell="D5" sqref="D5"/>
    </sheetView>
  </sheetViews>
  <sheetFormatPr baseColWidth="10" defaultColWidth="8.83203125" defaultRowHeight="15" x14ac:dyDescent="0.2"/>
  <cols>
    <col min="1" max="1" width="34" customWidth="1"/>
    <col min="2" max="2" width="13" customWidth="1"/>
    <col min="3" max="3" width="6" customWidth="1"/>
    <col min="4" max="4" width="24.6640625" customWidth="1"/>
    <col min="5" max="5" width="13.1640625" bestFit="1" customWidth="1"/>
    <col min="6" max="6" width="110.5" style="2" bestFit="1" customWidth="1"/>
  </cols>
  <sheetData>
    <row r="1" spans="1:7" x14ac:dyDescent="0.2">
      <c r="A1" s="16" t="s">
        <v>24</v>
      </c>
      <c r="B1" s="16" t="s">
        <v>25</v>
      </c>
      <c r="C1" s="16" t="s">
        <v>26</v>
      </c>
      <c r="D1" s="16" t="s">
        <v>27</v>
      </c>
      <c r="E1" s="16" t="s">
        <v>28</v>
      </c>
      <c r="F1" s="16" t="s">
        <v>29</v>
      </c>
    </row>
    <row r="2" spans="1:7" ht="16" customHeight="1" thickBot="1" x14ac:dyDescent="0.25">
      <c r="A2" s="17" t="s">
        <v>1</v>
      </c>
      <c r="B2" s="18" t="s">
        <v>30</v>
      </c>
      <c r="C2" s="19"/>
      <c r="D2" s="131" t="s">
        <v>16</v>
      </c>
      <c r="E2" s="20" t="s">
        <v>31</v>
      </c>
      <c r="F2" s="21" t="s">
        <v>32</v>
      </c>
    </row>
    <row r="3" spans="1:7" ht="16" customHeight="1" thickBot="1" x14ac:dyDescent="0.25">
      <c r="A3" s="17" t="s">
        <v>33</v>
      </c>
      <c r="B3" s="18" t="s">
        <v>34</v>
      </c>
      <c r="C3" s="19"/>
      <c r="D3" s="131" t="s">
        <v>393</v>
      </c>
      <c r="E3" s="20" t="s">
        <v>31</v>
      </c>
      <c r="F3" s="21" t="inlineStr">
        <is>
          <t xml:space="preserve">Anode material and sparger. Choose from the list (Electrochemistry A35:A38). Dropdown.</t>
        </is>
      </c>
    </row>
    <row r="4" spans="1:7" x14ac:dyDescent="0.2">
      <c r="A4" s="17" t="s">
        <v>37</v>
      </c>
      <c r="B4" s="18" t="s">
        <v>38</v>
      </c>
      <c r="C4" s="19"/>
      <c r="D4" s="131" t="s">
        <v>535</v>
      </c>
      <c r="E4" s="20" t="s">
        <v>31</v>
      </c>
      <c r="F4" s="21" t="s">
        <v>40</v>
      </c>
    </row>
    <row r="5" spans="1:7" x14ac:dyDescent="0.2">
      <c r="A5" s="20" t="s">
        <v>41</v>
      </c>
      <c r="B5" s="18" t="s">
        <v>42</v>
      </c>
      <c r="C5" s="20"/>
      <c r="D5" s="131" t="inlineStr">
        <is>
          <t>UdG phosphate</t>
        </is>
      </c>
      <c r="E5" s="20" t="s">
        <v>31</v>
      </c>
      <c r="F5" s="21" t="s">
        <v>43</v>
      </c>
    </row>
    <row r="6" spans="1:7" x14ac:dyDescent="0.2">
      <c r="A6" s="20" t="s">
        <v>1276</v>
      </c>
      <c r="B6" s="18" t="s">
        <v>44</v>
      </c>
      <c r="C6" s="20" t="s">
        <v>45</v>
      </c>
      <c r="D6" s="131">
        <v>3</v>
      </c>
      <c r="E6" s="20" t="s">
        <v>46</v>
      </c>
      <c r="F6" s="21" t="s">
        <v>1277</v>
      </c>
    </row>
    <row r="7" spans="1:7" x14ac:dyDescent="0.2">
      <c r="A7" s="20" t="s">
        <v>47</v>
      </c>
      <c r="B7" s="18" t="s">
        <v>48</v>
      </c>
      <c r="C7" s="20" t="s">
        <v>49</v>
      </c>
      <c r="D7" s="131">
        <v>1000</v>
      </c>
      <c r="E7" s="20" t="s">
        <v>46</v>
      </c>
      <c r="F7" s="21" t="s">
        <v>50</v>
      </c>
    </row>
    <row r="8" spans="1:7" x14ac:dyDescent="0.2">
      <c r="A8" s="20" t="s">
        <v>51</v>
      </c>
      <c r="B8" s="18" t="s">
        <v>52</v>
      </c>
      <c r="C8" s="20" t="s">
        <v>53</v>
      </c>
      <c r="D8" s="131">
        <v>25</v>
      </c>
      <c r="E8" s="20" t="s">
        <v>46</v>
      </c>
      <c r="F8" s="21" t="s">
        <v>54</v>
      </c>
    </row>
    <row r="9" spans="1:7" x14ac:dyDescent="0.2">
      <c r="A9" s="20" t="s">
        <v>55</v>
      </c>
      <c r="B9" s="18" t="s">
        <v>56</v>
      </c>
      <c r="C9" s="20" t="s">
        <v>57</v>
      </c>
      <c r="D9" s="36"/>
      <c r="E9" s="20" t="s">
        <v>58</v>
      </c>
      <c r="F9" s="21" t="s">
        <v>59</v>
      </c>
    </row>
    <row r="10" spans="1:7" ht="16" customHeight="1" x14ac:dyDescent="0.2">
      <c r="A10" s="20" t="s">
        <v>60</v>
      </c>
      <c r="B10" s="18" t="s">
        <v>61</v>
      </c>
      <c r="C10" s="20" t="s">
        <v>62</v>
      </c>
      <c r="D10" s="36"/>
      <c r="E10" s="20" t="s">
        <v>58</v>
      </c>
      <c r="F10" s="101" t="s">
        <v>63</v>
      </c>
    </row>
    <row r="11" spans="1:7" x14ac:dyDescent="0.2">
      <c r="A11" s="20"/>
      <c r="B11" s="20"/>
      <c r="C11" s="20"/>
      <c r="D11" s="102"/>
      <c r="E11" s="20"/>
      <c r="F11" s="21"/>
    </row>
    <row r="12" spans="1:7" ht="16" customHeight="1" thickBot="1" x14ac:dyDescent="0.25">
      <c r="A12" s="16" t="s">
        <v>64</v>
      </c>
      <c r="B12" s="16" t="s">
        <v>25</v>
      </c>
      <c r="C12" s="16" t="s">
        <v>26</v>
      </c>
      <c r="D12" s="16" t="s">
        <v>27</v>
      </c>
      <c r="E12" s="16" t="s">
        <v>28</v>
      </c>
      <c r="F12" s="16" t="s">
        <v>29</v>
      </c>
      <c r="G12" s="16" t="s">
        <v>1133</v>
      </c>
    </row>
    <row r="13" spans="1:7" ht="16" customHeight="1" thickBot="1" x14ac:dyDescent="0.25">
      <c r="A13" s="28" t="s">
        <v>1058</v>
      </c>
      <c r="B13" s="18" t="inlineStr">
        <is>
          <t xml:space="preserve">res_spg_dur</t>
        </is>
      </c>
      <c r="C13" s="20" t="s">
        <v>13</v>
      </c>
      <c r="D13" s="90">
        <f>IF('Mass Transfer'!$D$119=0,"calibrate this reactor first (see CO2 flows)",'Mass Transfer'!$D$90)</f>
        <v>0.784513049825</v>
      </c>
      <c r="E13" s="23" t="str">
        <f>HYPERLINK("#'Mass Transfer'!D90","→ Mass")</f>
        <v>→ Mass</v>
      </c>
      <c r="F13" s="21" t="s">
        <v>65</v>
      </c>
      <c r="G13" s="36"/>
    </row>
    <row r="14" spans="1:7" s="3" customFormat="1" ht="16" customHeight="1" thickBot="1" x14ac:dyDescent="0.25">
      <c r="A14" s="28" t="s">
        <v>1059</v>
      </c>
      <c r="B14" s="18" t="inlineStr">
        <is>
          <t xml:space="preserve">res_spg_dur_run</t>
        </is>
      </c>
      <c r="C14" s="20" t="s">
        <v>13</v>
      </c>
      <c r="D14" s="91">
        <f>IF(AND(ISNUMBER($G$13),$G$13&gt;0),$G$13,IF(NOT(ISNUMBER(D13)),D13,IF(D13&gt;round_split,ROUND(D13,0),ROUND(D13,1-(1+INT(LOG10(ABS(D13))))))))</f>
        <v>1.0</v>
      </c>
      <c r="E14" s="20"/>
      <c r="F14" s="21"/>
    </row>
    <row r="15" spans="1:7" ht="16" customHeight="1" thickBot="1" x14ac:dyDescent="0.25">
      <c r="A15" s="89" t="s">
        <v>66</v>
      </c>
      <c r="B15" s="18" t="inlineStr">
        <is>
          <t xml:space="preserve">res_spg_int</t>
        </is>
      </c>
      <c r="C15" s="20" t="s">
        <v>67</v>
      </c>
      <c r="D15" s="90">
        <f>IF('Mass Transfer'!$D$119=0,"calibrate this reactor first (see CO2 flows)",'Mass Transfer'!$D$91)</f>
        <v>16.46036421628</v>
      </c>
      <c r="E15" s="23" t="str">
        <f>HYPERLINK("#'Mass Transfer'!D91","→ Mass")</f>
        <v>→ Mass</v>
      </c>
      <c r="F15" s="21" t="inlineStr">
        <is>
          <t xml:space="preserve">Time between doses: the shorter of the carbon-limited interval and the headspace-O₂-dilution interval (binding constraint on Mass Transfer D94). Credits surface O₂ stripping via the kL_surf estimate; measuring kL_surf refines it.</t>
        </is>
      </c>
      <c r="G15" s="36"/>
    </row>
    <row r="16" spans="1:7" x14ac:dyDescent="0.2">
      <c r="A16" s="28" t="s">
        <v>1057</v>
      </c>
      <c r="B16" s="18" t="inlineStr">
        <is>
          <t xml:space="preserve">res_spg_int_run</t>
        </is>
      </c>
      <c r="C16" s="20" t="s">
        <v>67</v>
      </c>
      <c r="D16" s="91">
        <f>IF(AND(ISNUMBER($G$15),$G$15&gt;0),$G$15,IF(NOT(ISNUMBER(D15)),D15,IF(D15&gt;round_split,ROUND(D15,0),ROUND(D15,1-(1+INT(LOG10(ABS(D15))))))))</f>
        <v>16.0</v>
      </c>
      <c r="E16" s="92"/>
      <c r="F16" s="21"/>
    </row>
    <row r="17" spans="1:6" s="3" customFormat="1" x14ac:dyDescent="0.2">
      <c r="A17" s="89"/>
      <c r="B17" s="20"/>
      <c r="C17" s="20"/>
      <c r="D17" s="93"/>
      <c r="E17" s="92"/>
      <c r="F17" s="21"/>
    </row>
    <row r="18" spans="1:6" x14ac:dyDescent="0.2">
      <c r="A18" s="16" t="s">
        <v>69</v>
      </c>
      <c r="B18" s="16"/>
      <c r="C18" s="16"/>
      <c r="D18" s="16" t="s">
        <v>27</v>
      </c>
      <c r="E18" s="16" t="s">
        <v>28</v>
      </c>
      <c r="F18" s="16" t="s">
        <v>29</v>
      </c>
    </row>
    <row r="19" spans="1:6" x14ac:dyDescent="0.2">
      <c r="A19" s="89" t="s">
        <v>70</v>
      </c>
      <c r="B19" s="18" t="inlineStr">
        <is>
          <t xml:space="preserve">chk_geom</t>
        </is>
      </c>
      <c r="C19" s="20"/>
      <c r="D19" s="94" t="str">
        <f>Geometry!$D$90</f>
        <v>VIAL GEOMETRY INCONSISTENT - measure true fill volume &amp; bore depth</v>
      </c>
      <c r="E19" s="23" t="str">
        <f>HYPERLINK("#Geometry!D90","→ Geometry")</f>
        <v>→ Geometry</v>
      </c>
      <c r="F19" s="21" t="inlineStr">
        <is>
          <t xml:space="preserve">Red until the vial headspace is measured (vial-geometry.md); while red, the pulse above is provisional (~4x uncertain). After the headspace runs it reads HEADSPACE MEASURED until the body volume is measured too.</t>
        </is>
      </c>
    </row>
    <row r="20" spans="1:6" x14ac:dyDescent="0.2">
      <c r="A20" s="89" t="s">
        <v>72</v>
      </c>
      <c r="B20" s="18" t="inlineStr">
        <is>
          <t xml:space="preserve">chk_cal</t>
        </is>
      </c>
      <c r="C20" s="20"/>
      <c r="D20" s="90" t="str">
        <f>'Mass Transfer'!$D$120</f>
        <v>calibrated: ed04</v>
      </c>
      <c r="E20" s="23" t="str">
        <f>HYPERLINK("#'Mass Transfer'!D120","→ Mass")</f>
        <v>→ Mass</v>
      </c>
      <c r="F20" s="21" t="s">
        <v>73</v>
      </c>
    </row>
    <row r="21" spans="1:6" x14ac:dyDescent="0.2">
      <c r="A21" s="89" t="s">
        <v>74</v>
      </c>
      <c r="B21" s="18" t="inlineStr">
        <is>
          <t xml:space="preserve">chk_DO_opt</t>
        </is>
      </c>
      <c r="C21" s="20"/>
      <c r="D21" s="90" t="str">
        <f>'Mass Transfer'!$D$109</f>
        <v>organism optimum unknown</v>
      </c>
      <c r="E21" s="23" t="str">
        <f>HYPERLINK("#'Mass Transfer'!D109","→ Mass")</f>
        <v>→ Mass</v>
      </c>
      <c r="F21" s="21" t="s">
        <v>75</v>
      </c>
    </row>
    <row r="22" spans="1:6" x14ac:dyDescent="0.2">
      <c r="A22" s="89" t="s">
        <v>76</v>
      </c>
      <c r="B22" s="18" t="inlineStr">
        <is>
          <t xml:space="preserve">chk_DO_min</t>
        </is>
      </c>
      <c r="C22" s="20"/>
      <c r="D22" s="90" t="str">
        <f>'Mass Transfer'!$D$110</f>
        <v>minimum DO unknown - measure</v>
      </c>
      <c r="E22" s="23" t="str">
        <f>HYPERLINK("#'Mass Transfer'!D110","→ Mass")</f>
        <v>→ Mass</v>
      </c>
      <c r="F22" s="21" t="s">
        <v>77</v>
      </c>
    </row>
    <row r="23" spans="1:6" x14ac:dyDescent="0.2">
      <c r="A23" s="89" t="inlineStr">
        <is>
          <t xml:space="preserve">Can the interval relax to the carbon-limited one?</t>
        </is>
      </c>
      <c r="B23" s="18" t="inlineStr">
        <is>
          <t xml:space="preserve">chk_relax</t>
        </is>
      </c>
      <c r="C23" s="20"/>
      <c r="D23" s="90" t="str">
        <f>'Mass Transfer'!$D$113</f>
        <v>Do NOT relax: at the carbon-limited interval (185 min) DO would be 12.9 mg/L against a 2.6 mg/L target</v>
      </c>
      <c r="E23" s="23" t="str">
        <f>HYPERLINK("#'Mass Transfer'!D113","→ Mass")</f>
        <v>→ Mass</v>
      </c>
      <c r="F23" s="21" t="inlineStr">
        <is>
          <t xml:space="preserve">Green only if CO₂ dosed for carbon alone would still hold dissolved O₂ at the target; otherwise it states the DO the longer interval would give.</t>
        </is>
      </c>
    </row>
    <row r="24" spans="1:6" x14ac:dyDescent="0.2">
      <c r="A24" s="89" t="inlineStr">
        <is>
          <t xml:space="preserve">H₂ headspace flammable?</t>
        </is>
      </c>
      <c r="B24" s="18" t="inlineStr">
        <is>
          <t xml:space="preserve">chk_H2</t>
        </is>
      </c>
      <c r="C24" s="20"/>
      <c r="D24" s="95" t="str">
        <f>Biology!$D$44</f>
        <v>FLAMMABLE HEADSPACE (lag): H₂ 19%, O₂ 9% – until uptake starts, sparge every ≤2.2 min or sweep ≥1.0 mL/min N₂; vent to a hood; no ignition sources</v>
      </c>
      <c r="E24" s="23" t="str">
        <f>HYPERLINK("#Biology!D44","→ Biology")</f>
        <v>→ Biology</v>
      </c>
      <c r="F24" s="21" t="inlineStr">
        <is>
          <t xml:space="preserve">Lag-phase headspace (electrolysis on, no H₂ uptake) against the H₂ flammability limit and the O₂ limiting concentration; the text names the remedy.</t>
        </is>
      </c>
    </row>
    <row r="25" spans="1:6" x14ac:dyDescent="0.2">
      <c r="A25" s="89" t="s">
        <v>82</v>
      </c>
      <c r="B25" s="18" t="inlineStr">
        <is>
          <t xml:space="preserve">chk_bubble</t>
        </is>
      </c>
      <c r="C25" s="20"/>
      <c r="D25" s="90" t="str">
        <f>'Mass Transfer'!$D$64</f>
        <v>Static</v>
      </c>
      <c r="E25" s="23" t="str">
        <f>HYPERLINK("#'Mass Transfer'!D64","→ Mass")</f>
        <v>→ Mass</v>
      </c>
      <c r="F25" s="21" t="s">
        <v>83</v>
      </c>
    </row>
    <row r="26" spans="1:6" x14ac:dyDescent="0.2">
      <c r="A26" s="89" t="s">
        <v>84</v>
      </c>
      <c r="B26" s="18" t="inlineStr">
        <is>
          <t xml:space="preserve">chk_CO2_supply</t>
        </is>
      </c>
      <c r="C26" s="20"/>
      <c r="D26" s="90" t="str">
        <f>IFERROR("×"&amp;TEXT('Mass Transfer'!$D$126,"0.0")&amp;IF('Mass Transfer'!$D$126&gt;=1," OK"," SHORTFALL (CO2 &lt; demand)"),"calibrate this reactor first")</f>
        <v>×22.5 OK</v>
      </c>
      <c r="E26" s="23" t="str">
        <f>HYPERLINK("#'Mass Transfer'!D126","→ Mass")</f>
        <v>→ Mass</v>
      </c>
      <c r="F26" s="21" t="s">
        <v>85</v>
      </c>
    </row>
    <row r="27" spans="1:6" x14ac:dyDescent="0.2">
      <c r="A27" s="89" t="s">
        <v>86</v>
      </c>
      <c r="B27" s="18" t="inlineStr">
        <is>
          <t xml:space="preserve">chk_pulse_floor</t>
        </is>
      </c>
      <c r="C27" s="20"/>
      <c r="D27" s="90" t="str">
        <f>IFERROR('Mass Transfer'!$D$130,"calibrate this reactor first (see CO2 flows)")</f>
        <v>OK</v>
      </c>
      <c r="E27" s="23" t="str">
        <f>HYPERLINK("#'Mass Transfer'!D130","→ Mass")</f>
        <v>→ Mass</v>
      </c>
      <c r="F27" s="21" t="s">
        <v>87</v>
      </c>
    </row>
    <row r="28" spans="1:6" x14ac:dyDescent="0.2">
      <c r="A28" s="89" t="s">
        <v>88</v>
      </c>
      <c r="B28" s="18" t="inlineStr">
        <is>
          <t xml:space="preserve">chk_od_window</t>
        </is>
      </c>
      <c r="C28" s="20"/>
      <c r="D28" s="90" t="str">
        <f>IFERROR('Mass Transfer'!$D$95,"calibrate this reactor first (see CO2 flows)")</f>
        <v>OK</v>
      </c>
      <c r="E28" s="23" t="str">
        <f>HYPERLINK("#'Mass Transfer'!D95","→ Mass")</f>
        <v>→ Mass</v>
      </c>
      <c r="F28" s="21" t="s">
        <v>89</v>
      </c>
    </row>
    <row r="29" spans="1:6" x14ac:dyDescent="0.2">
      <c r="A29" s="89" t="s">
        <v>90</v>
      </c>
      <c r="B29" s="18" t="inlineStr">
        <is>
          <t xml:space="preserve">chk_carryover</t>
        </is>
      </c>
      <c r="C29" s="20"/>
      <c r="D29" s="90" t="str">
        <f>'Mass Transfer'!$D$59</f>
        <v>OK</v>
      </c>
      <c r="E29" s="23" t="str">
        <f>HYPERLINK("#'Mass Transfer'!D59","→ Mass")</f>
        <v>→ Mass</v>
      </c>
      <c r="F29" s="21" t="s">
        <v>91</v>
      </c>
    </row>
    <row r="30" spans="1:6" x14ac:dyDescent="0.2">
      <c r="A30" s="89" t="s">
        <v>92</v>
      </c>
      <c r="B30" s="18" t="inlineStr">
        <is>
          <t xml:space="preserve">chk_tip</t>
        </is>
      </c>
      <c r="C30" s="20"/>
      <c r="D30" s="90" t="str">
        <f>'Mass Transfer'!$D$111</f>
        <v>OK</v>
      </c>
      <c r="E30" s="23" t="str">
        <f>HYPERLINK("#'Mass Transfer'!D111","→ Mass")</f>
        <v>→ Mass</v>
      </c>
      <c r="F30" s="21" t="s">
        <v>93</v>
      </c>
    </row>
    <row r="31" spans="1:6" x14ac:dyDescent="0.2">
      <c r="A31" s="89" t="s">
        <v>94</v>
      </c>
      <c r="B31" s="18" t="inlineStr">
        <is>
          <t xml:space="preserve">chk_media_vol</t>
        </is>
      </c>
      <c r="C31" s="20"/>
      <c r="D31" s="94" t="str">
        <f>Geometry!$D$54</f>
        <v>OK</v>
      </c>
      <c r="E31" s="23" t="str">
        <f>HYPERLINK("#Geometry!D54","→ Geometry")</f>
        <v>→ Geometry</v>
      </c>
      <c r="F31" s="21" t="s">
        <v>95</v>
      </c>
    </row>
    <row r="32" spans="1:6" x14ac:dyDescent="0.2">
      <c r="A32" s="89" t="s">
        <v>96</v>
      </c>
      <c r="B32" s="18" t="inlineStr">
        <is>
          <t xml:space="preserve">chk_level</t>
        </is>
      </c>
      <c r="C32" s="20"/>
      <c r="D32" s="94" t="str">
        <f>Geometry!$D$55</f>
        <v>OK</v>
      </c>
      <c r="E32" s="23" t="str">
        <f>HYPERLINK("#Geometry!D55","→ Geometry")</f>
        <v>→ Geometry</v>
      </c>
      <c r="F32" s="21" t="s">
        <v>97</v>
      </c>
    </row>
    <row r="33" spans="1:6" ht="16" thickBot="1" x14ac:dyDescent="0.25">
      <c r="A33" s="89" t="s">
        <v>98</v>
      </c>
      <c r="B33" s="18" t="inlineStr">
        <is>
          <t xml:space="preserve">chk_led_law</t>
        </is>
      </c>
      <c r="C33" s="20"/>
      <c r="D33" s="96" t="str">
        <f>Electrochemistry!$D$20</f>
        <v>OK</v>
      </c>
      <c r="E33" s="23" t="str">
        <f>HYPERLINK("#Electrochemistry!D20","→ Electrochemistry")</f>
        <v>→ Electrochemistry</v>
      </c>
      <c r="F33" s="21" t="s">
        <v>99</v>
      </c>
    </row>
    <row r="34" ht="16" thickBot="1" x14ac:dyDescent="0.25">
      <c r="A34" s="89" t="s">
        <v>986</v>
      </c>
      <c r="B34" s="18" t="inlineStr">
        <is>
          <t xml:space="preserve">chk_DO_data</t>
        </is>
      </c>
      <c r="C34" s="20"/>
      <c r="D34" s="94" t="str">
        <f>IF(AND(ISNUMBER(Biology!$D$45),ISNUMBER(Biology!$D$46),ISNUMBER(Biology!$D$47),ISNUMBER(Biology!$D$48)),"inputs present","DATA GAP - organism DO thresholds unmeasured; results unreliable")</f>
        <v>DATA GAP - organism DO thresholds unmeasured; results unreliable</v>
      </c>
      <c r="E34" s="23" t="str">
        <f>HYPERLINK("#Biology!D45","→ Biology")</f>
        <v>→ Biology</v>
      </c>
      <c r="F34" s="21" t="s">
        <v>987</v>
      </c>
    </row>
    <row r="35" ht="16" thickBot="1" x14ac:dyDescent="0.25">
      <c r="A35" s="89" t="inlineStr">
        <is>
          <t xml:space="preserve">Cycle-average pH (activity scale, as a probe reads)</t>
        </is>
      </c>
      <c r="B35" s="18" t="inlineStr">
        <is>
          <t xml:space="preserve">res_pH</t>
        </is>
      </c>
      <c r="C35" s="20"/>
      <c r="D35" s="121">
        <f>Chemistry!$D$220</f>
        <v>6.603949596052</v>
      </c>
      <c r="E35" s="23" t="str">
        <f>HYPERLINK("#Chemistry!D220","→ Chemistry")</f>
        <v>→ Chemistry</v>
      </c>
      <c r="F35" s="21" t="inlineStr">
        <is>
          <t xml:space="preserve">pH at the cycle-average dissolved CO₂ of the schedule in use, on the activity scale a probe reads; the trough just after a pulse is lower. Green 6.5–7.5; red outside 6–8.</t>
        </is>
      </c>
    </row>
    <row r="36" ht="16" thickBot="1" x14ac:dyDescent="0.25">
      <c r="A36" s="89" t="s">
        <v>1128</v>
      </c>
      <c r="B36" s="18" t="inlineStr">
        <is>
          <t xml:space="preserve">res_Cl2</t>
        </is>
      </c>
      <c r="C36" s="20" t="s">
        <v>102</v>
      </c>
      <c r="D36" s="121">
        <f>Chemistry!$D$226</f>
        <v>0.500804384457</v>
      </c>
      <c r="E36" s="23" t="str">
        <f>HYPERLINK("#Chemistry!D226","→ Chemistry")</f>
        <v>→ Chemistry</v>
      </c>
      <c r="F36" s="21" t="inlineStr">
        <is>
          <t xml:space="preserve">Effective biocidal chlorine from the medium’s chloride, as Cl₂ (the basis of the thresholds). Onset 0.1 mg/L, kill 2 mg/L (Chemistry D146/D147); colour: green below 0.1, red above 1. Zero for chloride-free media.</t>
        </is>
      </c>
    </row>
    <row r="37" spans="1:6" ht="16" thickBot="1" x14ac:dyDescent="0.25">
      <c r="A37" s="103" t="s">
        <v>100</v>
      </c>
      <c r="B37" s="20"/>
      <c r="C37" s="20"/>
      <c r="D37" s="20"/>
      <c r="E37" s="20"/>
      <c r="F37" s="21"/>
    </row>
    <row r="38" spans="1:6" x14ac:dyDescent="0.2">
      <c r="A38" s="89" t="s">
        <v>101</v>
      </c>
      <c r="B38" s="18" t="inlineStr">
        <is>
          <t xml:space="preserve">res_DO_ss</t>
        </is>
      </c>
      <c r="C38" s="20" t="s">
        <v>102</v>
      </c>
      <c r="D38" s="90">
        <f>'Mass Transfer'!$D$108</f>
        <v>2.638866712696</v>
      </c>
      <c r="E38" s="23" t="str">
        <f>HYPERLINK("#'Mass Transfer'!D108","→ Mass")</f>
        <v>→ Mass</v>
      </c>
      <c r="F38" s="21" t="s">
        <v>103</v>
      </c>
    </row>
    <row r="39" spans="1:6" x14ac:dyDescent="0.2">
      <c r="A39" s="89" t="inlineStr">
        <is>
          <t xml:space="preserve">Carbon-limited sparge interval</t>
        </is>
      </c>
      <c r="B39" s="18" t="inlineStr">
        <is>
          <t xml:space="preserve">res_spg_int_carbon</t>
        </is>
      </c>
      <c r="C39" s="20" t="s">
        <v>67</v>
      </c>
      <c r="D39" s="90">
        <f>'Mass Transfer'!$D$112</f>
        <v>185.240207036777</v>
      </c>
      <c r="E39" s="23" t="str">
        <f>HYPERLINK("#'Mass Transfer'!D112","→ Mass")</f>
        <v>→ Mass</v>
      </c>
      <c r="F39" s="21" t="inlineStr">
        <is>
          <t xml:space="preserve">Interval set by CO₂ supply alone. The schedule uses it only when it is shorter than the O₂-dilution interval.</t>
        </is>
      </c>
    </row>
    <row r="40" spans="1:6" x14ac:dyDescent="0.2">
      <c r="A40" s="89" t="s">
        <v>106</v>
      </c>
      <c r="B40" s="18" t="inlineStr">
        <is>
          <t xml:space="preserve">res_tip_speed</t>
        </is>
      </c>
      <c r="C40" s="20" t="s">
        <v>107</v>
      </c>
      <c r="D40" s="90">
        <f>'Mass Transfer'!$D$68</f>
        <v>0.628318530718</v>
      </c>
      <c r="E40" s="23" t="str">
        <f>HYPERLINK("#'Mass Transfer'!D68","→ Mass")</f>
        <v>→ Mass</v>
      </c>
      <c r="F40" s="21" t="s">
        <v>108</v>
      </c>
    </row>
    <row r="41" spans="1:6" x14ac:dyDescent="0.2">
      <c r="A41" s="89" t="s">
        <v>109</v>
      </c>
      <c r="B41" s="18" t="inlineStr">
        <is>
          <t xml:space="preserve">res_carbon_margin</t>
        </is>
      </c>
      <c r="C41" s="20" t="s">
        <v>110</v>
      </c>
      <c r="D41" s="95">
        <f>Biology!$D$35</f>
        <v>668.745</v>
      </c>
      <c r="E41" s="23" t="str">
        <f>HYPERLINK("#Biology!D35","→ Biology")</f>
        <v>→ Biology</v>
      </c>
      <c r="F41" s="21" t="s">
        <v>111</v>
      </c>
    </row>
    <row r="42" spans="1:6" x14ac:dyDescent="0.2">
      <c r="A42" s="103" t="s">
        <v>1278</v>
      </c>
    </row>
    <row r="43" x14ac:dyDescent="0.2">
      <c r="A43" s="89" t="s">
        <v>1279</v>
      </c>
      <c r="B43" s="18" t="inlineStr">
        <is>
          <t xml:space="preserve">res_I_mA</t>
        </is>
      </c>
      <c r="C43" s="20" t="s">
        <v>325</v>
      </c>
      <c r="D43" s="90">
        <f>Electrochemistry!$D$19*1000</f>
        <v>5.69</v>
      </c>
      <c r="E43" s="23" t="str">
        <f>HYPERLINK("#Electrochemistry!D19","→ Electrochemistry")</f>
        <v>→ Electrochemistry</v>
      </c>
      <c r="F43" s="21" t="s">
        <v>1280</v>
      </c>
    </row>
    <row r="44" x14ac:dyDescent="0.2">
      <c r="A44" s="89" t="s">
        <v>1281</v>
      </c>
      <c r="B44" s="18" t="inlineStr">
        <is>
          <t xml:space="preserve">res_j_anode</t>
        </is>
      </c>
      <c r="C44" s="20" t="s">
        <v>1282</v>
      </c>
      <c r="D44" s="90">
        <f>Electrochemistry!$D$48</f>
        <v>2.826095688296</v>
      </c>
      <c r="E44" s="23" t="str">
        <f>HYPERLINK("#Electrochemistry!D48","→ Electrochemistry")</f>
        <v>→ Electrochemistry</v>
      </c>
      <c r="F44" s="21" t="s">
        <v>1283</v>
      </c>
    </row>
    <row r="45" x14ac:dyDescent="0.2">
      <c r="A45" s="89" t="s">
        <v>1284</v>
      </c>
      <c r="B45" s="18" t="inlineStr">
        <is>
          <t xml:space="preserve">res_j_status</t>
        </is>
      </c>
      <c r="D45" s="90" t="str">
        <f>Electrochemistry!$D$62</f>
        <v>watch - above optimum current density</v>
      </c>
      <c r="E45" s="23" t="str">
        <f>HYPERLINK("#Electrochemistry!D62","→ Electrochemistry")</f>
        <v>→ Electrochemistry</v>
      </c>
      <c r="F45" s="21" t="s">
        <v>1285</v>
      </c>
    </row>
    <row r="46" x14ac:dyDescent="0.2">
      <c r="A46" s="89" t="s">
        <v>1286</v>
      </c>
      <c r="B46" s="18" t="inlineStr">
        <is>
          <t xml:space="preserve">res_power_max</t>
        </is>
      </c>
      <c r="C46" s="20" t="s">
        <v>45</v>
      </c>
      <c r="D46" s="90">
        <f>Electrochemistry!$D$73</f>
        <v>10.0</v>
      </c>
      <c r="E46" s="23" t="str">
        <f>HYPERLINK("#Electrochemistry!D73","→ Electrochemistry")</f>
        <v>→ Electrochemistry</v>
      </c>
      <c r="F46" s="21" t="s">
        <v>1287</v>
      </c>
    </row>
    <row r="47" x14ac:dyDescent="0.2">
      <c r="A47" s="89" t="s">
        <v>1288</v>
      </c>
      <c r="B47" s="18" t="inlineStr">
        <is>
          <t xml:space="preserve">res_I_max</t>
        </is>
      </c>
      <c r="C47" s="20" t="s">
        <v>325</v>
      </c>
      <c r="D47" s="90">
        <f>Electrochemistry!$D$74</f>
        <v>12.9</v>
      </c>
      <c r="E47" s="23" t="str">
        <f>HYPERLINK("#Electrochemistry!D74","→ Electrochemistry")</f>
        <v>→ Electrochemistry</v>
      </c>
      <c r="F47" s="21" t="s">
        <v>1289</v>
      </c>
    </row>
    <row r="48" x14ac:dyDescent="0.2">
      <c r="A48" s="89" t="s">
        <v>1290</v>
      </c>
      <c r="B48" s="18" t="inlineStr">
        <is>
          <t xml:space="preserve">res_j_anode_max</t>
        </is>
      </c>
      <c r="C48" s="20" t="s">
        <v>1282</v>
      </c>
      <c r="D48" s="90">
        <f>Electrochemistry!$D$75</f>
        <v>6.407141367138</v>
      </c>
      <c r="E48" s="23" t="str">
        <f>HYPERLINK("#Electrochemistry!D75","→ Electrochemistry")</f>
        <v>→ Electrochemistry</v>
      </c>
      <c r="F48" s="21" t="s">
        <v>1291</v>
      </c>
    </row>
    <row r="49" x14ac:dyDescent="0.2">
      <c r="A49" s="89" t="s">
        <v>1292</v>
      </c>
      <c r="B49" s="18" t="inlineStr">
        <is>
          <t xml:space="preserve">res_j_status_max</t>
        </is>
      </c>
      <c r="D49" s="90" t="str">
        <f>Electrochemistry!$D$76</f>
        <v>EXCEED - max current over a limit</v>
      </c>
      <c r="E49" s="23" t="str">
        <f>HYPERLINK("#Electrochemistry!D76","→ Electrochemistry")</f>
        <v>→ Electrochemistry</v>
      </c>
      <c r="F49" s="21" t="s">
        <v>1293</v>
      </c>
    </row>
    <row r="50" spans="1:6" x14ac:dyDescent="0.2">
      <c r="A50" s="20"/>
      <c r="B50" s="20"/>
      <c r="C50" s="20"/>
      <c r="D50" s="20"/>
      <c r="E50" s="20"/>
      <c r="F50" s="20"/>
    </row>
    <row r="51" spans="1:6" x14ac:dyDescent="0.2">
      <c r="A51" s="16" t="s">
        <v>112</v>
      </c>
      <c r="B51" s="16"/>
      <c r="C51" s="16"/>
      <c r="D51" s="16"/>
      <c r="E51" s="16"/>
      <c r="F51" s="16"/>
    </row>
    <row r="52" spans="1:6" x14ac:dyDescent="0.2">
      <c r="A52" s="132" t="s">
        <v>113</v>
      </c>
      <c r="B52" s="20"/>
      <c r="C52" s="20"/>
      <c r="D52" s="28"/>
      <c r="E52" s="20"/>
      <c r="F52" s="20"/>
    </row>
    <row r="53" spans="1:6" x14ac:dyDescent="0.2">
      <c r="A53" s="29" t="s">
        <v>114</v>
      </c>
      <c r="B53" s="20"/>
      <c r="C53" s="20"/>
      <c r="D53" s="28"/>
      <c r="E53" s="20"/>
      <c r="F53" s="20"/>
    </row>
    <row r="54" spans="1:6" x14ac:dyDescent="0.2">
      <c r="A54" s="98" t="s">
        <v>115</v>
      </c>
      <c r="B54" s="20"/>
      <c r="C54" s="20"/>
      <c r="D54" s="28"/>
      <c r="E54" s="20"/>
      <c r="F54" s="20"/>
    </row>
    <row r="55" spans="1:6" x14ac:dyDescent="0.2">
      <c r="A55" s="30" t="s">
        <v>116</v>
      </c>
      <c r="B55" s="20"/>
      <c r="C55" s="20"/>
      <c r="D55" s="28"/>
      <c r="E55" s="20"/>
      <c r="F55" s="20"/>
    </row>
    <row r="56" spans="1:6" x14ac:dyDescent="0.2">
      <c r="A56" s="31" t="s">
        <v>117</v>
      </c>
      <c r="B56" s="20"/>
      <c r="C56" s="20"/>
      <c r="D56" s="28"/>
      <c r="E56" s="92"/>
      <c r="F56" s="20"/>
    </row>
    <row r="57" spans="1:6" x14ac:dyDescent="0.2">
      <c r="A57" s="32" t="s">
        <v>118</v>
      </c>
      <c r="B57" s="20"/>
      <c r="C57" s="20"/>
      <c r="D57" s="28"/>
      <c r="E57" s="92"/>
      <c r="F57" s="20"/>
    </row>
    <row r="58" spans="1:6" x14ac:dyDescent="0.2">
      <c r="A58" s="88" t="s">
        <v>119</v>
      </c>
      <c r="B58" s="20"/>
      <c r="C58" s="20"/>
      <c r="D58" s="28"/>
      <c r="E58" s="92"/>
      <c r="F58" s="20"/>
    </row>
    <row r="59" spans="1:6" x14ac:dyDescent="0.2">
      <c r="A59" s="33" t="s">
        <v>120</v>
      </c>
      <c r="B59" s="20"/>
      <c r="C59" s="20"/>
      <c r="D59" s="20"/>
      <c r="E59" s="20"/>
      <c r="F59" s="20"/>
    </row>
    <row r="60" spans="1:6" x14ac:dyDescent="0.2">
      <c r="A60" s="34" t="s">
        <v>121</v>
      </c>
      <c r="B60" s="20"/>
      <c r="C60" s="20"/>
      <c r="D60" s="20"/>
      <c r="E60" s="20"/>
      <c r="F60" s="20"/>
    </row>
    <row r="61" spans="1:6" s="20" customFormat="1" x14ac:dyDescent="0.2">
      <c r="A61" s="84" t="s">
        <v>122</v>
      </c>
    </row>
    <row r="62" spans="1:6" s="20" customFormat="1" x14ac:dyDescent="0.2">
      <c r="A62" s="85" t="s">
        <v>123</v>
      </c>
    </row>
    <row r="63" spans="1:6" x14ac:dyDescent="0.2">
      <c r="A63" s="133" t="s">
        <v>124</v>
      </c>
      <c r="B63" s="20"/>
      <c r="C63" s="20"/>
      <c r="D63" s="20"/>
      <c r="E63" s="20"/>
      <c r="F63" s="20"/>
    </row>
    <row r="64" spans="1:6" x14ac:dyDescent="0.2">
      <c r="A64" s="20"/>
      <c r="B64" s="20"/>
      <c r="C64" s="20"/>
      <c r="D64" s="28"/>
      <c r="E64" s="92"/>
      <c r="F64" s="20"/>
    </row>
    <row r="65" spans="1:6" x14ac:dyDescent="0.2">
      <c r="A65" s="35" t="s">
        <v>125</v>
      </c>
      <c r="B65" s="35" t="s">
        <v>126</v>
      </c>
      <c r="C65" s="35" t="s">
        <v>127</v>
      </c>
      <c r="D65" s="35" t="s">
        <v>128</v>
      </c>
      <c r="E65" s="35"/>
      <c r="F65" s="35" t="s">
        <v>129</v>
      </c>
    </row>
    <row r="66" spans="1:6" x14ac:dyDescent="0.2">
      <c r="A66" s="20" t="s">
        <v>1013</v>
      </c>
      <c r="B66" s="20" t="s">
        <v>1014</v>
      </c>
      <c r="C66" s="20" t="s">
        <v>1015</v>
      </c>
      <c r="D66" s="36" t="str">
        <f>HYPERLINK("https://github.com/amy-bo/electroPioreactor/blob/AEP02/Media/protocols/surface-kla.md","surface-kla.md →")</f>
        <v>surface-kla.md →</v>
      </c>
      <c r="E66" s="103"/>
      <c r="F66" s="21" t="inlineStr">
        <is>
          <t xml:space="preserve">Sets how far dissolved O₂ must sit above the headspace to shed the surplus, and the feasibility margin behind the whole DO strategy (kLa in use ÷ kLa required). It moves the answer continuously.</t>
        </is>
      </c>
    </row>
    <row r="67" spans="1:6" x14ac:dyDescent="0.2">
      <c r="A67" s="20" t="s">
        <v>1016</v>
      </c>
      <c r="B67" s="20" t="s">
        <v>1017</v>
      </c>
      <c r="C67" s="20" t="s">
        <v>1018</v>
      </c>
      <c r="D67" s="36" t="str">
        <f>HYPERLINK("https://github.com/amy-bo/electroPioreactor/blob/AEP02/Media/protocols/vial-geometry.md","vial-geometry.md →")</f>
        <v>vial-geometry.md →</v>
      </c>
      <c r="E67" s="103"/>
      <c r="F67" s="21" t="s">
        <v>1019</v>
      </c>
    </row>
    <row r="68" spans="1:6" x14ac:dyDescent="0.2">
      <c r="A68" s="20" t="s">
        <v>1020</v>
      </c>
      <c r="B68" s="20" t="s">
        <v>1021</v>
      </c>
      <c r="C68" s="20" t="s">
        <v>1022</v>
      </c>
      <c r="D68" s="36" t="str">
        <f>HYPERLINK("https://github.com/amy-bo/electroPioreactor/blob/AEP02/Media/protocols/faradaic-efficiency.md","faradaic-efficiency.md →")</f>
        <v>faradaic-efficiency.md →</v>
      </c>
      <c r="E68" s="103"/>
      <c r="F68" s="21" t="inlineStr">
        <is>
          <t xml:space="preserve">Calculated from the cathodic O₂ flux, but the calculation rests on an estimated electrode mass-transfer coefficient. Measuring it settles the H₂/O₂ split and the peroxide source at once.</t>
        </is>
      </c>
    </row>
    <row r="69" spans="1:6" x14ac:dyDescent="0.2">
      <c r="A69" s="20" t="s">
        <v>1023</v>
      </c>
      <c r="B69" s="20" t="s">
        <v>1024</v>
      </c>
      <c r="C69" s="20" t="s">
        <v>1025</v>
      </c>
      <c r="D69" s="36" t="str">
        <f>HYPERLINK("https://github.com/amy-bo/electroPioreactor/blob/AEP02/Media/protocols/knallgas-stoichiometry.md","knallgas-stoichiometry.md →")</f>
        <v>knallgas-stoichiometry.md →</v>
      </c>
      <c r="E69" s="103"/>
      <c r="F69" s="21" t="s">
        <v>1026</v>
      </c>
    </row>
    <row r="70" spans="1:6" x14ac:dyDescent="0.2">
      <c r="A70" s="20" t="s">
        <v>1027</v>
      </c>
      <c r="B70" s="20" t="s">
        <v>1028</v>
      </c>
      <c r="C70" s="20" t="s">
        <v>1029</v>
      </c>
      <c r="D70" s="36" t="str">
        <f>HYPERLINK("https://github.com/amy-bo/electroPioreactor/blob/AEP02/Media/protocols/faradaic-efficiency.md","faradaic-efficiency.md →")</f>
        <v>faradaic-efficiency.md →</v>
      </c>
      <c r="E70" s="103"/>
      <c r="F70" s="21" t="s">
        <v>1903</v>
      </c>
    </row>
    <row r="71" spans="1:6" x14ac:dyDescent="0.2">
      <c r="A71" s="20" t="s">
        <v>1030</v>
      </c>
      <c r="B71" s="20" t="s">
        <v>1031</v>
      </c>
      <c r="C71" s="20" t="s">
        <v>1032</v>
      </c>
      <c r="D71" s="36" t="str">
        <f>HYPERLINK("https://github.com/amy-bo/electroPioreactor/blob/AEP02/Media/protocols/vial-geometry.md","vial-geometry.md →")</f>
        <v>vial-geometry.md →</v>
      </c>
      <c r="E71" s="103"/>
      <c r="F71" s="21" t="s">
        <v>1033</v>
      </c>
    </row>
    <row r="72" spans="1:6" x14ac:dyDescent="0.2">
      <c r="A72" s="20" t="s">
        <v>1034</v>
      </c>
      <c r="B72" s="20" t="s">
        <v>1035</v>
      </c>
      <c r="C72" s="20" t="s">
        <v>1036</v>
      </c>
      <c r="D72" s="36" t="str">
        <f>HYPERLINK("https://github.com/amy-bo/electroPioreactor/blob/AEP02/Media/protocols/flow-calibration.md","flow-calibration.md →")</f>
        <v>flow-calibration.md →</v>
      </c>
      <c r="E72" s="103"/>
      <c r="F72" s="21" t="s">
        <v>1037</v>
      </c>
    </row>
    <row r="73" spans="1:6" x14ac:dyDescent="0.2">
      <c r="A73" s="20" t="s">
        <v>1038</v>
      </c>
      <c r="B73" s="20" t="s">
        <v>1039</v>
      </c>
      <c r="C73" s="20" t="s">
        <v>1040</v>
      </c>
      <c r="D73" s="36" t="str">
        <f>HYPERLINK("https://github.com/amy-bo/electroPioreactor/blob/AEP02/Media/protocols/dissolved-oxygen.md","dissolved-oxygen.md →")</f>
        <v>dissolved-oxygen.md →</v>
      </c>
      <c r="E73" s="103"/>
      <c r="F73" s="21" t="s">
        <v>1041</v>
      </c>
    </row>
    <row r="74" spans="1:6" x14ac:dyDescent="0.2">
      <c r="A74" s="20" t="s">
        <v>1042</v>
      </c>
      <c r="B74" s="20" t="s">
        <v>1043</v>
      </c>
      <c r="C74" s="20" t="s">
        <v>1044</v>
      </c>
      <c r="D74" s="36" t="str">
        <f>HYPERLINK("https://github.com/amy-bo/electroPioreactor/blob/AEP02/Media/protocols/flow-calibration.md","flow-calibration.md →")</f>
        <v>flow-calibration.md →</v>
      </c>
      <c r="E74" s="103"/>
      <c r="F74" s="21" t="s">
        <v>1045</v>
      </c>
    </row>
    <row r="75" spans="1:6" x14ac:dyDescent="0.2">
      <c r="A75" s="20" t="s">
        <v>1046</v>
      </c>
      <c r="B75" s="20" t="s">
        <v>1047</v>
      </c>
      <c r="C75" s="20" t="s">
        <v>1048</v>
      </c>
      <c r="D75" s="36" t="str">
        <f>HYPERLINK("https://github.com/amy-bo/electroPioreactor/blob/AEP02/Media/protocols/sinter-porosity.md","sinter-porosity.md →")</f>
        <v>sinter-porosity.md →</v>
      </c>
      <c r="E75" s="103"/>
      <c r="F75" s="21" t="s">
        <v>1049</v>
      </c>
    </row>
    <row r="76" spans="1:6" x14ac:dyDescent="0.2">
      <c r="A76" s="20" t="s">
        <v>1050</v>
      </c>
      <c r="B76" s="20" t="s">
        <v>1051</v>
      </c>
      <c r="C76" s="20" t="s">
        <v>1052</v>
      </c>
      <c r="D76" s="36" t="str">
        <f>HYPERLINK("https://github.com/amy-bo/electroPioreactor/blob/AEP02/Media/protocols/README.md","README.md →")</f>
        <v>README.md →</v>
      </c>
      <c r="E76" s="103"/>
      <c r="F76" s="21" t="s">
        <v>1053</v>
      </c>
    </row>
    <row r="77" spans="1:6" x14ac:dyDescent="0.2">
      <c r="A77" t="s">
        <v>1904</v>
      </c>
      <c r="B77" t="s">
        <v>1021</v>
      </c>
      <c r="C77" t="s">
        <v>1052</v>
      </c>
      <c r="D77" s="23" t="str">
        <f>HYPERLINK("https://github.com/amy-bo/electroPioreactor/blob/AEP02/Media/protocols/current-density-screen.md","current-density-screen.md →")</f>
        <v>current-density-screen.md →</v>
      </c>
      <c r="E77" s="20"/>
      <c r="F77" t="s">
        <v>1905</v>
      </c>
    </row>
    <row r="78" spans="1:6" x14ac:dyDescent="0.2">
      <c r="A78" t="s">
        <v>1906</v>
      </c>
      <c r="B78" t="s">
        <v>1043</v>
      </c>
      <c r="C78" t="s">
        <v>1052</v>
      </c>
      <c r="D78" s="23" t="str">
        <f>HYPERLINK("https://github.com/amy-bo/electroPioreactor/blob/AEP02/Media/protocols/vial-geometry.md","vial-geometry.md →")</f>
        <v>vial-geometry.md →</v>
      </c>
      <c r="E78" s="20"/>
      <c r="F78" t="s">
        <v>1907</v>
      </c>
    </row>
    <row r="79" spans="1:6" x14ac:dyDescent="0.2">
      <c r="A79" t="s">
        <v>1908</v>
      </c>
      <c r="B79" t="s">
        <v>1021</v>
      </c>
      <c r="C79" t="s">
        <v>1052</v>
      </c>
      <c r="D79" s="23" t="str">
        <f>HYPERLINK("https://github.com/amy-bo/electroPioreactor/blob/AEP02/Media/protocols/gerrit-current.md","gerrit-current.md →")</f>
        <v>gerrit-current.md →</v>
      </c>
      <c r="E79" s="20"/>
      <c r="F79" t="s">
        <v>1909</v>
      </c>
    </row>
    <row r="80" spans="1:6" x14ac:dyDescent="0.2">
      <c r="A80" t="s">
        <v>1910</v>
      </c>
      <c r="B80" t="s">
        <v>1021</v>
      </c>
      <c r="C80" t="s">
        <v>1029</v>
      </c>
      <c r="D80" s="23" t="str">
        <f>HYPERLINK("https://github.com/amy-bo/electroPioreactor/blob/AEP02/Media/protocols/README.md","README.md →")</f>
        <v>README.md →</v>
      </c>
      <c r="F80" t="inlineStr">
        <is>
          <t xml:space="preserve">Cu/Ni/Fe by ICP or a colorimetric kit. The operating anode sits well above the Cu²⁺/Cu equilibrium (row 88), so dissolution is thermodynamically allowed; this is the unmodelled prime suspect for the Exp-2 death and it also closes the anodic charge budget.</t>
        </is>
      </c>
    </row>
    <row r="81" spans="1:6" x14ac:dyDescent="0.2">
      <c r="A81" s="5" t="inlineStr">
        <is>
          <t xml:space="preserve">ELECTROCHEMISTRY – CALCULATED (hand these to an electrochemist)</t>
        </is>
      </c>
    </row>
    <row r="82" x14ac:dyDescent="0.2">
      <c r="A82" t="s">
        <v>1652</v>
      </c>
      <c r="B82" s="18" t="inlineStr">
        <is>
          <t xml:space="preserve">res_etaF</t>
        </is>
      </c>
      <c r="C82" s="19" t="s">
        <v>1274</v>
      </c>
      <c r="D82" s="22">
        <f>Electrochemistry!$D$88</f>
        <v>0.977475298652</v>
      </c>
      <c r="E82" s="23" t="str">
        <f>HYPERLINK("#Electrochemistry!D88","→ Electrochemistry")</f>
        <v>→ Electrochemistry</v>
      </c>
      <c r="F82" t="inlineStr">
        <is>
          <t xml:space="preserve">Fraction of cathode current making H₂ rather than reducing dissolved O₂.</t>
        </is>
      </c>
    </row>
    <row r="83" x14ac:dyDescent="0.2">
      <c r="A83" t="s">
        <v>1742</v>
      </c>
      <c r="B83" s="18" t="inlineStr">
        <is>
          <t xml:space="preserve">res_V_cell</t>
        </is>
      </c>
      <c r="C83" s="19" t="s">
        <v>1595</v>
      </c>
      <c r="D83" s="22">
        <f>Electrochemistry!$D$119</f>
        <v>3.263760439016</v>
      </c>
      <c r="E83" s="23" t="str">
        <f>HYPERLINK("#Electrochemistry!D119","→ Electrochemistry")</f>
        <v>→ Electrochemistry</v>
      </c>
      <c r="F83" t="s">
        <v>1867</v>
      </c>
    </row>
    <row r="84" x14ac:dyDescent="0.2">
      <c r="A84" t="s">
        <v>1751</v>
      </c>
      <c r="B84" s="18" t="inlineStr">
        <is>
          <t xml:space="preserve">res_V_flag</t>
        </is>
      </c>
      <c r="C84" s="19" t="s">
        <v>1274</v>
      </c>
      <c r="D84" s="22" t="str">
        <f>Electrochemistry!$D$122</f>
        <v>OK — 3.26 V estimated against a 5 V rail</v>
      </c>
      <c r="E84" s="23" t="str">
        <f>HYPERLINK("#Electrochemistry!D122","→ Electrochemistry")</f>
        <v>→ Electrochemistry</v>
      </c>
      <c r="F84" t="s">
        <v>1868</v>
      </c>
    </row>
    <row r="85" x14ac:dyDescent="0.2">
      <c r="A85" t="s">
        <v>1683</v>
      </c>
      <c r="B85" s="18" t="inlineStr">
        <is>
          <t xml:space="preserve">res_H2O2_flag</t>
        </is>
      </c>
      <c r="C85" s="19" t="s">
        <v>1274</v>
      </c>
      <c r="D85" s="22" t="str">
        <f>Electrochemistry!$D$99</f>
        <v>watch — steady growth is clear (0.055 mg/L) but LAG PHASE is not: peroxide passes the threshold in 13 min before biomass can scavenge it</v>
      </c>
      <c r="E85" s="23" t="str">
        <f>HYPERLINK("#Electrochemistry!D99","→ Electrochemistry")</f>
        <v>→ Electrochemistry</v>
      </c>
      <c r="F85" t="s">
        <v>1869</v>
      </c>
    </row>
    <row r="86" x14ac:dyDescent="0.2">
      <c r="A86" t="s">
        <v>1870</v>
      </c>
      <c r="B86" s="18" t="inlineStr">
        <is>
          <t xml:space="preserve">res_buffer_flag</t>
        </is>
      </c>
      <c r="C86" s="19" t="s">
        <v>1274</v>
      </c>
      <c r="D86" s="22" t="str">
        <f>Chemistry!$D$219</f>
        <v>OK — buffer holds the electrode surfaces at the bulk pH</v>
      </c>
      <c r="E86" s="23" t="str">
        <f>HYPERLINK("#Chemistry!D219","→ Chemistry")</f>
        <v>→ Chemistry</v>
      </c>
      <c r="F86" t="s">
        <v>1871</v>
      </c>
    </row>
    <row r="87" x14ac:dyDescent="0.2">
      <c r="A87" t="inlineStr">
        <is>
          <t xml:space="preserve">HOCl/Cl⁻ couple minus anode potential</t>
        </is>
      </c>
      <c r="B87" s="18" t="inlineStr">
        <is>
          <t xml:space="preserve">res_E_Cl_margin</t>
        </is>
      </c>
      <c r="C87" s="19" t="s">
        <v>1595</v>
      </c>
      <c r="D87" s="22">
        <f>Chemistry!$D$209</f>
        <v>-0.422483519032</v>
      </c>
      <c r="E87" s="23" t="str">
        <f>HYPERLINK("#Chemistry!D209","→ Chemistry")</f>
        <v>→ Chemistry</v>
      </c>
      <c r="F87" t="inlineStr">
        <is>
          <t xml:space="preserve">Negative = the anode is above the chloride-oxidation couple: chlorine forms, limited by chloride transport (Chemistry D132).</t>
        </is>
      </c>
    </row>
    <row r="88" x14ac:dyDescent="0.2">
      <c r="A88" t="s">
        <v>1600</v>
      </c>
      <c r="B88" s="18" t="inlineStr">
        <is>
          <t xml:space="preserve">res_E_Cu_margin</t>
        </is>
      </c>
      <c r="C88" s="19" t="s">
        <v>1595</v>
      </c>
      <c r="D88" s="22">
        <f>Chemistry!$D$211</f>
        <v>1.240557060036</v>
      </c>
      <c r="E88" s="23" t="str">
        <f>HYPERLINK("#Chemistry!D211","→ Chemistry")</f>
        <v>→ Chemistry</v>
      </c>
      <c r="F88" t="inlineStr">
        <is>
          <t xml:space="preserve">How far the operating anode sits above the Cu²⁺/Cu standard potential; positive = copper dissolution thermodynamically allowed.</t>
        </is>
      </c>
    </row>
    <row r="89" x14ac:dyDescent="0.2">
      <c r="A89" t="s">
        <v>1622</v>
      </c>
      <c r="B89" s="18" t="inlineStr">
        <is>
          <t xml:space="preserve">res_pH_probe</t>
        </is>
      </c>
      <c r="C89" s="19" t="s">
        <v>1274</v>
      </c>
      <c r="D89" s="22">
        <f>Chemistry!$D$220</f>
        <v>6.603949596052</v>
      </c>
      <c r="E89" s="23" t="str">
        <f>HYPERLINK("#Chemistry!D220","→ Chemistry")</f>
        <v>→ Chemistry</v>
      </c>
      <c r="F89" t="s">
        <v>1874</v>
      </c>
    </row>
    <row r="90" x14ac:dyDescent="0.2">
      <c r="A90" t="s">
        <v>1875</v>
      </c>
      <c r="B90" s="18" t="inlineStr">
        <is>
          <t xml:space="preserve">res_kLa_req</t>
        </is>
      </c>
      <c r="C90" s="19" t="s">
        <v>639</v>
      </c>
      <c r="D90" s="22">
        <f>'Mass Transfer'!$D$186</f>
        <v>0.003317773486</v>
      </c>
      <c r="E90" s="23" t="str">
        <f>HYPERLINK("#'Mass Transfer'!D186","→ Mass Transfer")</f>
        <v>→ Mass Transfer</v>
      </c>
      <c r="F90" t="s">
        <v>1876</v>
      </c>
    </row>
    <row r="92">
      <c r="A92" s="103" t="inlineStr">
        <is>
          <t xml:space="preserve">DISPLAY SETTINGS</t>
        </is>
      </c>
    </row>
    <row r="93">
      <c r="A93" s="20" t="inlineStr">
        <is>
          <t xml:space="preserve">Rounding split</t>
        </is>
      </c>
      <c r="B93" s="18" t="inlineStr">
        <is>
          <t xml:space="preserve">round_split</t>
        </is>
      </c>
      <c r="C93" s="20" t="inlineStr">
        <is>
          <t xml:space="preserve">s or min</t>
        </is>
      </c>
      <c r="D93" s="131">
        <v>0.5</v>
      </c>
      <c r="E93" s="87" t="inlineStr">
        <is>
          <t xml:space="preserve">Defined display rule for rows 14 and 16: whole units above this value, else two significant figures.</t>
        </is>
      </c>
    </row>
  </sheetData>
  <conditionalFormatting sqref="B64:B76">
    <cfRule type="expression" dxfId="45" priority="16" stopIfTrue="1">
      <formula>EXACT(B64,"HIGH")</formula>
    </cfRule>
    <cfRule type="expression" dxfId="44" priority="17" stopIfTrue="1">
      <formula>EXACT(B64,"MED")</formula>
    </cfRule>
    <cfRule type="expression" dxfId="43" priority="18" stopIfTrue="1">
      <formula>EXACT(B64,"LOW")</formula>
    </cfRule>
  </conditionalFormatting>
  <conditionalFormatting sqref="C64:C76">
    <cfRule type="expression" dxfId="42" priority="19" stopIfTrue="1">
      <formula>EXACT(C64,"low")</formula>
    </cfRule>
    <cfRule type="expression" dxfId="41" priority="20" stopIfTrue="1">
      <formula>EXACT(C64,"med")</formula>
    </cfRule>
    <cfRule type="expression" dxfId="40" priority="21" stopIfTrue="1">
      <formula>EXACT(C64,"high")</formula>
    </cfRule>
  </conditionalFormatting>
  <conditionalFormatting sqref="D13:D16">
    <cfRule type="expression" dxfId="39" priority="15" stopIfTrue="1">
      <formula>ISNUMBER(SEARCH("calibrate this",D13))</formula>
    </cfRule>
  </conditionalFormatting>
  <conditionalFormatting sqref="D14">
    <cfRule type="expression" dxfId="38" priority="1" stopIfTrue="1">
      <formula>AND(ISNUMBER($G$13),$G$13&gt;0)</formula>
    </cfRule>
  </conditionalFormatting>
  <conditionalFormatting sqref="D16">
    <cfRule type="expression" dxfId="37" priority="3" stopIfTrue="1">
      <formula>AND(ISNUMBER($G$15),$G$15&gt;0)</formula>
    </cfRule>
  </conditionalFormatting>
  <conditionalFormatting sqref="D19:D36">
    <cfRule type="expression" dxfId="36" priority="12" stopIfTrue="1">
      <formula>OR(ISNUMBER(SEARCH("INCONSISTENT",D19)),ISNUMBER(SEARCH("OVER",D19)),ISNUMBER(SEARCH("BELOW",D19)),ISNUMBER(SEARCH("EXCEED",D19)),ISNUMBER(SEARCH("NO CALIB",D19)),ISNUMBER(SEARCH("calibrate this",D19)),ISNUMBER(SEARCH("RISK",D19)),ISNUMBER(SEARCH("EXPLOSIVE",D19)),ISNUMBER(SEARCH("OOR",D19)),ISNUMBER(SEARCH("insufficient",D19)),ISNUMBER(SEARCH("TIP SPEED",D19)),ISNUMBER(SEARCH("SHORTFALL",D19)),EXACT(D19,"OUT"),EXACT(D19,"LOW"),ISNUMBER(SEARCH("GAP",D19)))</formula>
    </cfRule>
    <cfRule type="expression" dxfId="35" priority="13" stopIfTrue="1">
      <formula>OR(ISNUMBER(SEARCH("above optimum",D19)),ISNUMBER(SEARCH("watch",D19)),ISNUMBER(SEARCH("NEAREST",D19)),ISNUMBER(SEARCH("unknown",D19)),ISNUMBER(SEARCH("TIGHT",D19)))</formula>
    </cfRule>
    <cfRule type="expression" dxfId="34" priority="14" stopIfTrue="1">
      <formula>OR(EXACT(D19,"OK"),ISNUMBER(SEARCH(" OK",D19)),ISNUMBER(SEARCH("calibrated:",D19)),ISNUMBER(SEARCH("optimum",D19)),ISNUMBER(SEARCH("above min",D19)),ISNUMBER(SEARCH("CARBON-limited",D19)),ISNUMBER(SEARCH("Static",D19)),ISNUMBER(SEARCH("Dynamic",D19)),ISNUMBER(SEARCH("present",D19)))</formula>
    </cfRule>
  </conditionalFormatting>
  <conditionalFormatting sqref="D35">
    <cfRule type="expression" dxfId="33" priority="22" stopIfTrue="1">
      <formula>OR(D35&lt;6,D35&gt;8)</formula>
    </cfRule>
    <cfRule type="expression" dxfId="32" priority="23" stopIfTrue="1">
      <formula>OR(D35&lt;6.5,D35&gt;7.5)</formula>
    </cfRule>
    <cfRule type="expression" dxfId="31" priority="24" stopIfTrue="1">
      <formula>ISNUMBER(D35)</formula>
    </cfRule>
  </conditionalFormatting>
  <conditionalFormatting sqref="D36">
    <cfRule type="expression" dxfId="30" priority="25" stopIfTrue="1">
      <formula>D36&gt;1</formula>
    </cfRule>
    <cfRule type="expression" dxfId="29" priority="26" stopIfTrue="1">
      <formula>D36&gt;0.1</formula>
    </cfRule>
    <cfRule type="expression" dxfId="28" priority="27" stopIfTrue="1">
      <formula>ISNUMBER(D36)</formula>
    </cfRule>
  </conditionalFormatting>
  <conditionalFormatting sqref="D45">
    <cfRule type="expression" dxfId="27" priority="40" stopIfTrue="1">
      <formula>ISNUMBER(SEARCH("EXCEED",D45))</formula>
    </cfRule>
    <cfRule type="expression" dxfId="26" priority="41" stopIfTrue="1">
      <formula>ISNUMBER(SEARCH("watch",D45))</formula>
    </cfRule>
    <cfRule type="expression" dxfId="25" priority="42" stopIfTrue="1">
      <formula>ISNUMBER(SEARCH("OK",D45))</formula>
    </cfRule>
  </conditionalFormatting>
  <conditionalFormatting sqref="D49">
    <cfRule type="expression" dxfId="24" priority="43" stopIfTrue="1">
      <formula>ISNUMBER(SEARCH("EXCEED",D49))</formula>
    </cfRule>
    <cfRule type="expression" dxfId="23" priority="44" stopIfTrue="1">
      <formula>ISNUMBER(SEARCH("watch",D49))</formula>
    </cfRule>
    <cfRule type="expression" dxfId="22" priority="45" stopIfTrue="1">
      <formula>ISNUMBER(SEARCH("OK",D49))</formula>
    </cfRule>
  </conditionalFormatting>
  <dataValidations count="4">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5)." sqref="D5" xr:uid="{00000000-0002-0000-0000-000003000000}">
      <formula1>MediaList</formula1>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3"/>
  <sheetViews>
    <sheetView zoomScale="174"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104" t="s">
        <v>130</v>
      </c>
      <c r="B1" s="20"/>
      <c r="C1" s="20"/>
      <c r="D1" s="20"/>
      <c r="E1" s="20"/>
      <c r="F1" s="20"/>
      <c r="G1" s="20"/>
      <c r="H1" s="20"/>
      <c r="I1" s="20"/>
    </row>
    <row r="2" spans="1:9" x14ac:dyDescent="0.2">
      <c r="A2" s="16" t="s">
        <v>24</v>
      </c>
      <c r="B2" s="16" t="s">
        <v>25</v>
      </c>
      <c r="C2" s="16" t="s">
        <v>26</v>
      </c>
      <c r="D2" s="16" t="s">
        <v>27</v>
      </c>
      <c r="E2" s="16" t="s">
        <v>131</v>
      </c>
      <c r="F2" s="20"/>
      <c r="G2" s="20"/>
      <c r="H2" s="20"/>
      <c r="I2" s="20"/>
    </row>
    <row r="3" spans="1:9" x14ac:dyDescent="0.2">
      <c r="A3" s="17"/>
      <c r="B3" s="18"/>
      <c r="C3" s="19"/>
      <c r="D3" s="105"/>
      <c r="E3" s="37"/>
      <c r="F3" s="20"/>
      <c r="G3" s="20"/>
      <c r="H3" s="20"/>
      <c r="I3" s="20"/>
    </row>
    <row r="4" spans="1:9" ht="16" customHeight="1" x14ac:dyDescent="0.2">
      <c r="A4" s="104" t="s">
        <v>132</v>
      </c>
      <c r="B4" s="18"/>
      <c r="C4" s="19"/>
      <c r="D4" s="105"/>
      <c r="E4" s="37"/>
      <c r="F4" s="20"/>
      <c r="G4" s="20"/>
      <c r="H4" s="20"/>
      <c r="I4" s="20"/>
    </row>
    <row r="5" spans="1:9" x14ac:dyDescent="0.2">
      <c r="A5" s="20" t="s">
        <v>133</v>
      </c>
      <c r="B5" s="20" t="s">
        <v>134</v>
      </c>
      <c r="C5" s="20" t="s">
        <v>135</v>
      </c>
      <c r="D5" s="134" t="str">
        <f>Summary!$D$2</f>
        <v>ed04</v>
      </c>
      <c r="E5" s="135" t="str">
        <f>HYPERLINK("#Summary!D2","→ Summary")</f>
        <v>→ Summary</v>
      </c>
      <c r="F5" s="20"/>
      <c r="G5" s="20"/>
      <c r="H5" s="20"/>
      <c r="I5" s="20"/>
    </row>
    <row r="6" spans="1:9" x14ac:dyDescent="0.2">
      <c r="A6" s="20" t="s">
        <v>136</v>
      </c>
      <c r="B6" s="20" t="s">
        <v>56</v>
      </c>
      <c r="C6" s="20" t="s">
        <v>57</v>
      </c>
      <c r="D6" s="134">
        <f>Summary!$D$9</f>
        <v>0.0</v>
      </c>
      <c r="E6" s="135" t="str">
        <f>HYPERLINK("#Summary!D9","→ Summary")</f>
        <v>→ Summary</v>
      </c>
      <c r="F6" s="20"/>
      <c r="G6" s="20"/>
      <c r="H6" s="20"/>
      <c r="I6" s="20"/>
    </row>
    <row r="7" spans="1:9" x14ac:dyDescent="0.2">
      <c r="A7" s="17"/>
      <c r="B7" s="18"/>
      <c r="C7" s="19"/>
      <c r="D7" s="106"/>
      <c r="E7" s="39"/>
      <c r="F7" s="20"/>
      <c r="G7" s="20"/>
      <c r="H7" s="20"/>
      <c r="I7" s="20"/>
    </row>
    <row r="8" spans="1:9" ht="26" customHeight="1" x14ac:dyDescent="0.2">
      <c r="A8" s="17" t="s">
        <v>137</v>
      </c>
      <c r="B8" s="18" t="s">
        <v>138</v>
      </c>
      <c r="C8" s="19" t="s">
        <v>135</v>
      </c>
      <c r="D8" s="136" t="s">
        <v>139</v>
      </c>
      <c r="E8" s="107" t="s">
        <v>140</v>
      </c>
      <c r="F8" s="20"/>
      <c r="G8" s="20"/>
      <c r="H8" s="20"/>
      <c r="I8" s="20"/>
    </row>
    <row r="9" spans="1:9" x14ac:dyDescent="0.2">
      <c r="A9" s="17" t="s">
        <v>141</v>
      </c>
      <c r="B9" s="18" t="s">
        <v>142</v>
      </c>
      <c r="C9" s="19" t="s">
        <v>135</v>
      </c>
      <c r="D9" s="136" t="s">
        <v>143</v>
      </c>
      <c r="E9" s="107" t="s">
        <v>140</v>
      </c>
      <c r="F9" s="20"/>
      <c r="G9" s="20"/>
      <c r="H9" s="20"/>
      <c r="I9" s="20"/>
    </row>
    <row r="10" spans="1:9" ht="24" customHeight="1" x14ac:dyDescent="0.2">
      <c r="A10" s="17" t="s">
        <v>144</v>
      </c>
      <c r="B10" s="18" t="s">
        <v>145</v>
      </c>
      <c r="C10" s="19" t="s">
        <v>146</v>
      </c>
      <c r="D10" s="137">
        <v>27.48</v>
      </c>
      <c r="E10" s="109" t="s">
        <v>140</v>
      </c>
      <c r="F10" s="20"/>
      <c r="G10" s="20"/>
      <c r="H10" s="20"/>
      <c r="I10" s="20"/>
    </row>
    <row r="11" spans="1:9" x14ac:dyDescent="0.2">
      <c r="A11" s="17" t="s">
        <v>147</v>
      </c>
      <c r="B11" s="18" t="s">
        <v>148</v>
      </c>
      <c r="C11" s="19" t="s">
        <v>146</v>
      </c>
      <c r="D11" s="137">
        <v>27.48</v>
      </c>
      <c r="E11" s="110" t="s">
        <v>140</v>
      </c>
      <c r="F11" s="20"/>
      <c r="G11" s="20"/>
      <c r="H11" s="20"/>
      <c r="I11" s="20"/>
    </row>
    <row r="12" spans="1:9" x14ac:dyDescent="0.2">
      <c r="A12" s="17" t="s">
        <v>149</v>
      </c>
      <c r="B12" s="18" t="s">
        <v>150</v>
      </c>
      <c r="C12" s="19" t="s">
        <v>146</v>
      </c>
      <c r="D12" s="138">
        <v>55</v>
      </c>
      <c r="E12" s="111" t="s">
        <v>140</v>
      </c>
      <c r="F12" s="20"/>
      <c r="G12" s="20"/>
      <c r="H12" s="20"/>
      <c r="I12" s="20"/>
    </row>
    <row r="13" spans="1:9" x14ac:dyDescent="0.2">
      <c r="A13" s="17" t="s">
        <v>151</v>
      </c>
      <c r="B13" s="18" t="s">
        <v>152</v>
      </c>
      <c r="C13" s="19" t="s">
        <v>146</v>
      </c>
      <c r="D13" s="138">
        <v>95</v>
      </c>
      <c r="E13" s="111" t="s">
        <v>140</v>
      </c>
      <c r="F13" s="20"/>
      <c r="G13" s="20"/>
      <c r="H13" s="20"/>
      <c r="I13" s="20"/>
    </row>
    <row r="14" spans="1:9" ht="24" customHeight="1" x14ac:dyDescent="0.2">
      <c r="A14" s="17" t="s">
        <v>153</v>
      </c>
      <c r="B14" s="18" t="s">
        <v>154</v>
      </c>
      <c r="C14" s="19" t="s">
        <v>57</v>
      </c>
      <c r="D14" s="138">
        <v>16</v>
      </c>
      <c r="E14" s="109" t="s">
        <v>140</v>
      </c>
      <c r="F14" s="20"/>
      <c r="G14" s="20"/>
      <c r="H14" s="20"/>
      <c r="I14" s="20"/>
    </row>
    <row r="15" spans="1:9" ht="24" customHeight="1" x14ac:dyDescent="0.2">
      <c r="A15" s="17" t="s">
        <v>155</v>
      </c>
      <c r="B15" s="18" t="s">
        <v>156</v>
      </c>
      <c r="C15" s="19" t="s">
        <v>57</v>
      </c>
      <c r="D15" s="138">
        <v>30</v>
      </c>
      <c r="E15" s="109" t="s">
        <v>140</v>
      </c>
      <c r="F15" s="20"/>
      <c r="G15" s="20"/>
      <c r="H15" s="20"/>
      <c r="I15" s="20"/>
    </row>
    <row r="16" spans="1:9" x14ac:dyDescent="0.2">
      <c r="A16" s="17" t="s">
        <v>157</v>
      </c>
      <c r="B16" s="18" t="s">
        <v>158</v>
      </c>
      <c r="C16" s="19" t="s">
        <v>57</v>
      </c>
      <c r="D16" s="138">
        <v>20</v>
      </c>
      <c r="E16" s="112" t="s">
        <v>140</v>
      </c>
      <c r="F16" s="20"/>
      <c r="G16" s="20"/>
      <c r="H16" s="20"/>
      <c r="I16" s="20"/>
    </row>
    <row r="17" spans="1:9" x14ac:dyDescent="0.2">
      <c r="A17" s="17" t="s">
        <v>159</v>
      </c>
      <c r="B17" s="18" t="s">
        <v>160</v>
      </c>
      <c r="C17" s="19" t="s">
        <v>57</v>
      </c>
      <c r="D17" s="138">
        <v>42</v>
      </c>
      <c r="E17" s="112" t="s">
        <v>140</v>
      </c>
      <c r="F17" s="20"/>
      <c r="G17" s="20"/>
      <c r="H17" s="20"/>
      <c r="I17" s="20"/>
    </row>
    <row r="18" spans="1:9" x14ac:dyDescent="0.2">
      <c r="A18" s="17" t="s">
        <v>161</v>
      </c>
      <c r="B18" s="18" t="s">
        <v>162</v>
      </c>
      <c r="C18" s="19" t="s">
        <v>146</v>
      </c>
      <c r="D18" s="139">
        <f>VLOOKUP(rx_ver,$A$84:$I$87,7,FALSE)</f>
        <v>27.48</v>
      </c>
      <c r="E18" s="99" t="s">
        <v>163</v>
      </c>
      <c r="F18" s="20"/>
      <c r="G18" s="20"/>
      <c r="H18" s="20"/>
      <c r="I18" s="20"/>
    </row>
    <row r="19" spans="1:9" ht="24" customHeight="1" x14ac:dyDescent="0.2">
      <c r="A19" s="17" t="s">
        <v>164</v>
      </c>
      <c r="B19" s="18" t="s">
        <v>165</v>
      </c>
      <c r="C19" s="19" t="s">
        <v>146</v>
      </c>
      <c r="D19" s="131">
        <v>1.1000000000000001</v>
      </c>
      <c r="E19" s="41" t="s">
        <v>166</v>
      </c>
      <c r="F19" s="20"/>
      <c r="G19" s="20"/>
      <c r="H19" s="20"/>
      <c r="I19" s="20"/>
    </row>
    <row r="20" spans="1:9" x14ac:dyDescent="0.2">
      <c r="A20" s="17" t="s">
        <v>167</v>
      </c>
      <c r="B20" s="18" t="s">
        <v>168</v>
      </c>
      <c r="C20" s="19" t="s">
        <v>146</v>
      </c>
      <c r="D20" s="42">
        <f>vial_OD-2*vial_wall</f>
        <v>25.28</v>
      </c>
      <c r="E20" s="99" t="s">
        <v>169</v>
      </c>
      <c r="F20" s="20"/>
      <c r="G20" s="20"/>
      <c r="H20" s="20"/>
      <c r="I20" s="20"/>
    </row>
    <row r="21" spans="1:9" x14ac:dyDescent="0.2">
      <c r="A21" s="17" t="s">
        <v>170</v>
      </c>
      <c r="B21" s="18" t="s">
        <v>171</v>
      </c>
      <c r="C21" s="19" t="s">
        <v>172</v>
      </c>
      <c r="D21" s="43">
        <f>PI()/4*vial_ID^2</f>
        <v>501.93100162698</v>
      </c>
      <c r="E21" s="99" t="s">
        <v>173</v>
      </c>
      <c r="F21" s="20"/>
      <c r="G21" s="20"/>
      <c r="H21" s="20"/>
      <c r="I21" s="20"/>
    </row>
    <row r="22" spans="1:9" x14ac:dyDescent="0.2">
      <c r="A22" s="17" t="s">
        <v>174</v>
      </c>
      <c r="B22" s="18" t="s">
        <v>175</v>
      </c>
      <c r="C22" s="19" t="s">
        <v>146</v>
      </c>
      <c r="D22" s="140">
        <f>IF(ISNUMBER(cal_Dint),cal_Dint,VLOOKUP(rx_ver,$A$84:$I$87,4,FALSE))</f>
        <v>55.0</v>
      </c>
      <c r="E22" s="99" t="s">
        <v>176</v>
      </c>
      <c r="F22" s="20"/>
      <c r="G22" s="20"/>
      <c r="H22" s="20"/>
      <c r="I22" s="20"/>
    </row>
    <row r="23" spans="1:9" x14ac:dyDescent="0.2">
      <c r="A23" s="17" t="s">
        <v>177</v>
      </c>
      <c r="B23" s="18" t="s">
        <v>178</v>
      </c>
      <c r="C23" s="19" t="s">
        <v>57</v>
      </c>
      <c r="D23" s="140">
        <f>VLOOKUP(rx_ver,$A$84:$I$87,5,FALSE)</f>
        <v>16.0</v>
      </c>
      <c r="E23" s="99" t="s">
        <v>176</v>
      </c>
      <c r="F23" s="20"/>
      <c r="G23" s="20"/>
      <c r="H23" s="20"/>
      <c r="I23" s="20"/>
    </row>
    <row r="24" spans="1:9" x14ac:dyDescent="0.2">
      <c r="A24" s="17" t="s">
        <v>179</v>
      </c>
      <c r="B24" s="18" t="s">
        <v>180</v>
      </c>
      <c r="C24" s="19" t="s">
        <v>57</v>
      </c>
      <c r="D24" s="140">
        <f>IF(ISNUMBER(cal_Vtot),cal_Vtot,VLOOKUP(rx_ver,$A$84:$I$87,6,FALSE))</f>
        <v>20.0</v>
      </c>
      <c r="E24" s="99" t="s">
        <v>176</v>
      </c>
      <c r="F24" s="20"/>
      <c r="G24" s="20"/>
      <c r="H24" s="20"/>
      <c r="I24" s="20"/>
    </row>
    <row r="25" spans="1:9" x14ac:dyDescent="0.2">
      <c r="A25" s="17" t="s">
        <v>181</v>
      </c>
      <c r="B25" s="18" t="s">
        <v>182</v>
      </c>
      <c r="C25" s="19" t="s">
        <v>146</v>
      </c>
      <c r="D25" s="42">
        <f>V_max*1000/A_x</f>
        <v>31.876891341911</v>
      </c>
      <c r="E25" s="99" t="s">
        <v>183</v>
      </c>
      <c r="F25" s="20"/>
      <c r="G25" s="20"/>
      <c r="H25" s="20"/>
      <c r="I25" s="20"/>
    </row>
    <row r="26" spans="1:9" x14ac:dyDescent="0.2">
      <c r="A26" s="17" t="s">
        <v>184</v>
      </c>
      <c r="B26" s="18" t="s">
        <v>185</v>
      </c>
      <c r="C26" s="19" t="s">
        <v>146</v>
      </c>
      <c r="D26" s="131">
        <v>6</v>
      </c>
      <c r="E26" s="37" t="s">
        <v>186</v>
      </c>
      <c r="F26" s="20"/>
      <c r="G26" s="20"/>
      <c r="H26" s="20"/>
      <c r="I26" s="20"/>
    </row>
    <row r="27" spans="1:9" x14ac:dyDescent="0.2">
      <c r="A27" s="17" t="s">
        <v>187</v>
      </c>
      <c r="B27" s="18" t="s">
        <v>188</v>
      </c>
      <c r="C27" s="19" t="s">
        <v>135</v>
      </c>
      <c r="D27" s="131">
        <v>2</v>
      </c>
      <c r="E27" s="99" t="s">
        <v>189</v>
      </c>
      <c r="F27" s="20"/>
      <c r="G27" s="20"/>
      <c r="H27" s="20"/>
      <c r="I27" s="20"/>
    </row>
    <row r="28" spans="1:9" x14ac:dyDescent="0.2">
      <c r="A28" s="17" t="s">
        <v>190</v>
      </c>
      <c r="B28" s="18" t="s">
        <v>191</v>
      </c>
      <c r="C28" s="19" t="s">
        <v>146</v>
      </c>
      <c r="D28" s="131">
        <v>22</v>
      </c>
      <c r="E28" s="37" t="s">
        <v>192</v>
      </c>
      <c r="F28" s="20"/>
      <c r="G28" s="20"/>
      <c r="H28" s="20"/>
      <c r="I28" s="20"/>
    </row>
    <row r="29" spans="1:9" x14ac:dyDescent="0.2">
      <c r="A29" s="113" t="s">
        <v>193</v>
      </c>
      <c r="B29" s="18" t="s">
        <v>194</v>
      </c>
      <c r="C29" s="19" t="s">
        <v>146</v>
      </c>
      <c r="D29" s="43">
        <f>D_int-elec_clear</f>
        <v>33.0</v>
      </c>
      <c r="E29" s="99" t="s">
        <v>195</v>
      </c>
      <c r="F29" s="20"/>
      <c r="G29" s="20"/>
      <c r="H29" s="20"/>
      <c r="I29" s="20"/>
    </row>
    <row r="30" spans="1:9" x14ac:dyDescent="0.2">
      <c r="A30" s="17" t="s">
        <v>196</v>
      </c>
      <c r="B30" s="18" t="s">
        <v>197</v>
      </c>
      <c r="C30" s="19" t="s">
        <v>146</v>
      </c>
      <c r="D30" s="131">
        <v>3.1749999999999998</v>
      </c>
      <c r="E30" s="99" t="s">
        <v>198</v>
      </c>
      <c r="F30" s="20"/>
      <c r="G30" s="20"/>
      <c r="H30" s="20"/>
      <c r="I30" s="20"/>
    </row>
    <row r="31" spans="1:9" x14ac:dyDescent="0.2">
      <c r="A31" s="17" t="s">
        <v>199</v>
      </c>
      <c r="B31" s="18" t="s">
        <v>200</v>
      </c>
      <c r="C31" s="19" t="s">
        <v>146</v>
      </c>
      <c r="D31" s="131">
        <v>1.5874999999999999</v>
      </c>
      <c r="E31" s="99" t="s">
        <v>201</v>
      </c>
      <c r="F31" s="20"/>
      <c r="G31" s="20"/>
      <c r="H31" s="20"/>
      <c r="I31" s="20"/>
    </row>
    <row r="32" spans="1:9" x14ac:dyDescent="0.2">
      <c r="A32" s="17" t="s">
        <v>202</v>
      </c>
      <c r="B32" s="18" t="s">
        <v>203</v>
      </c>
      <c r="C32" s="19" t="s">
        <v>146</v>
      </c>
      <c r="D32" s="43">
        <f>elec_clear</f>
        <v>22.0</v>
      </c>
      <c r="E32" s="37" t="s">
        <v>204</v>
      </c>
      <c r="F32" s="20"/>
      <c r="G32" s="20"/>
      <c r="H32" s="20"/>
      <c r="I32" s="20"/>
    </row>
    <row r="33" spans="1:9" x14ac:dyDescent="0.2">
      <c r="A33" s="17" t="s">
        <v>205</v>
      </c>
      <c r="B33" s="18" t="s">
        <v>206</v>
      </c>
      <c r="C33" s="19" t="s">
        <v>146</v>
      </c>
      <c r="D33" s="131">
        <v>3.1749999999999998</v>
      </c>
      <c r="E33" s="99" t="s">
        <v>198</v>
      </c>
      <c r="F33" s="20"/>
      <c r="G33" s="20"/>
      <c r="H33" s="20"/>
      <c r="I33" s="20"/>
    </row>
    <row r="34" spans="1:9" x14ac:dyDescent="0.2">
      <c r="A34" s="17" t="s">
        <v>207</v>
      </c>
      <c r="B34" s="18" t="s">
        <v>208</v>
      </c>
      <c r="C34" s="19" t="s">
        <v>146</v>
      </c>
      <c r="D34" s="131">
        <v>1.5874999999999999</v>
      </c>
      <c r="E34" s="99" t="s">
        <v>201</v>
      </c>
      <c r="F34" s="20"/>
      <c r="G34" s="20"/>
      <c r="H34" s="20"/>
      <c r="I34" s="20"/>
    </row>
    <row r="35" spans="1:9" x14ac:dyDescent="0.2">
      <c r="A35" s="17" t="s">
        <v>209</v>
      </c>
      <c r="B35" s="18" t="s">
        <v>210</v>
      </c>
      <c r="C35" s="19" t="s">
        <v>146</v>
      </c>
      <c r="D35" s="42">
        <f>MAX(0,h_datum-elec_clear)</f>
        <v>9.876891341911</v>
      </c>
      <c r="E35" s="99" t="s">
        <v>211</v>
      </c>
      <c r="F35" s="20"/>
      <c r="G35" s="20"/>
      <c r="H35" s="20"/>
      <c r="I35" s="20"/>
    </row>
    <row r="36" spans="1:9" x14ac:dyDescent="0.2">
      <c r="A36" s="17" t="s">
        <v>212</v>
      </c>
      <c r="B36" s="18" t="s">
        <v>213</v>
      </c>
      <c r="C36" s="19" t="s">
        <v>57</v>
      </c>
      <c r="D36" s="45">
        <f>rod_n*(PI()/4*rod_d^2)*elec_sub_L/1000</f>
        <v>0.558525047041</v>
      </c>
      <c r="E36" s="99" t="s">
        <v>214</v>
      </c>
      <c r="F36" s="20"/>
      <c r="G36" s="20"/>
      <c r="H36" s="20"/>
      <c r="I36" s="20"/>
    </row>
    <row r="37" spans="1:9" x14ac:dyDescent="0.2">
      <c r="A37" s="17" t="s">
        <v>215</v>
      </c>
      <c r="B37" s="18" t="s">
        <v>216</v>
      </c>
      <c r="C37" s="19" t="s">
        <v>57</v>
      </c>
      <c r="D37" s="45">
        <f>(PI()/4*spg_OD^2)*MAX(0,h_datum-spg_tip_h)/1000</f>
        <v>0.078198354893</v>
      </c>
      <c r="E37" s="99" t="s">
        <v>217</v>
      </c>
      <c r="F37" s="20"/>
      <c r="G37" s="20"/>
      <c r="H37" s="20"/>
      <c r="I37" s="20"/>
    </row>
    <row r="38" spans="1:9" x14ac:dyDescent="0.2">
      <c r="A38" s="17" t="s">
        <v>218</v>
      </c>
      <c r="B38" s="18" t="s">
        <v>219</v>
      </c>
      <c r="C38" s="19" t="s">
        <v>146</v>
      </c>
      <c r="D38" s="45">
        <f>(eff_OD+eff_ID)/2</f>
        <v>2.38125</v>
      </c>
      <c r="E38" s="37" t="s">
        <v>220</v>
      </c>
      <c r="F38" s="20"/>
      <c r="G38" s="20"/>
      <c r="H38" s="20"/>
      <c r="I38" s="20"/>
    </row>
    <row r="39" spans="1:9" x14ac:dyDescent="0.2">
      <c r="A39" s="17" t="s">
        <v>221</v>
      </c>
      <c r="B39" s="18" t="s">
        <v>222</v>
      </c>
      <c r="C39" s="19" t="s">
        <v>57</v>
      </c>
      <c r="D39" s="46">
        <f>(PI()/4*(eff_OD^2-eff_ID^2))*eff_sub_L/1000</f>
        <v>0.014139810757</v>
      </c>
      <c r="E39" s="37" t="s">
        <v>223</v>
      </c>
      <c r="F39" s="20"/>
      <c r="G39" s="20"/>
      <c r="H39" s="20"/>
      <c r="I39" s="20"/>
    </row>
    <row r="40" spans="1:9" x14ac:dyDescent="0.2">
      <c r="A40" s="17" t="s">
        <v>224</v>
      </c>
      <c r="B40" s="18" t="s">
        <v>225</v>
      </c>
      <c r="C40" s="19" t="s">
        <v>57</v>
      </c>
      <c r="D40" s="45">
        <f>elec_disp+spg_disp+eff_disp</f>
        <v>0.650863212691</v>
      </c>
      <c r="E40" s="99" t="s">
        <v>226</v>
      </c>
      <c r="F40" s="20"/>
      <c r="G40" s="20"/>
      <c r="H40" s="20"/>
      <c r="I40" s="20"/>
    </row>
    <row r="41" spans="1:9" x14ac:dyDescent="0.2">
      <c r="A41" s="113" t="s">
        <v>227</v>
      </c>
      <c r="B41" s="18" t="s">
        <v>228</v>
      </c>
      <c r="C41" s="19" t="s">
        <v>57</v>
      </c>
      <c r="D41" s="49">
        <f>IF(media_volume&gt;0,media_volume,ROUND(V_max-disp_tot,0))</f>
        <v>15.0</v>
      </c>
      <c r="E41" s="99" t="s">
        <v>229</v>
      </c>
      <c r="F41" s="20"/>
      <c r="G41" s="20"/>
      <c r="H41" s="20"/>
      <c r="I41" s="20"/>
    </row>
    <row r="42" spans="1:9" x14ac:dyDescent="0.2">
      <c r="A42" s="113" t="s">
        <v>230</v>
      </c>
      <c r="B42" s="18" t="s">
        <v>231</v>
      </c>
      <c r="C42" s="19" t="s">
        <v>146</v>
      </c>
      <c r="D42" s="42">
        <f>(V_charge+disp_tot)*1000/A_x</f>
        <v>31.18130412738</v>
      </c>
      <c r="E42" s="99" t="s">
        <v>232</v>
      </c>
      <c r="F42" s="20"/>
      <c r="G42" s="20"/>
      <c r="H42" s="20"/>
      <c r="I42" s="20"/>
    </row>
    <row r="43" spans="1:9" x14ac:dyDescent="0.2">
      <c r="A43" s="113" t="s">
        <v>233</v>
      </c>
      <c r="B43" s="18" t="s">
        <v>234</v>
      </c>
      <c r="C43" s="19" t="s">
        <v>146</v>
      </c>
      <c r="D43" s="42">
        <f>MAX(0,h_actual-spg_tip_h)</f>
        <v>9.18130412738</v>
      </c>
      <c r="E43" s="99" t="s">
        <v>235</v>
      </c>
      <c r="F43" s="20"/>
      <c r="G43" s="20"/>
      <c r="H43" s="20"/>
      <c r="I43" s="20"/>
    </row>
    <row r="44" spans="1:9" x14ac:dyDescent="0.2">
      <c r="A44" s="113" t="s">
        <v>236</v>
      </c>
      <c r="B44" s="18" t="s">
        <v>237</v>
      </c>
      <c r="C44" s="19" t="s">
        <v>172</v>
      </c>
      <c r="D44" s="43">
        <f>A_x-(rod_n*(PI()/4*rod_d^2)+(PI()/4*spg_OD^2)+(PI()/4*eff_OD^2))</f>
        <v>429.547725140567</v>
      </c>
      <c r="E44" s="37" t="s">
        <v>238</v>
      </c>
      <c r="F44" s="20"/>
      <c r="G44" s="20"/>
      <c r="H44" s="20"/>
      <c r="I44" s="20"/>
    </row>
    <row r="45" spans="1:9" x14ac:dyDescent="0.2">
      <c r="A45" s="17" t="s">
        <v>239</v>
      </c>
      <c r="B45" s="18" t="s">
        <v>240</v>
      </c>
      <c r="C45" s="19" t="s">
        <v>146</v>
      </c>
      <c r="D45" s="45">
        <f>eff_OD</f>
        <v>3.175</v>
      </c>
      <c r="E45" s="37" t="s">
        <v>241</v>
      </c>
      <c r="F45" s="20"/>
      <c r="G45" s="20"/>
      <c r="H45" s="20"/>
      <c r="I45" s="20"/>
    </row>
    <row r="46" spans="1:9" x14ac:dyDescent="0.2">
      <c r="A46" s="17" t="s">
        <v>242</v>
      </c>
      <c r="B46" s="18" t="s">
        <v>243</v>
      </c>
      <c r="C46" s="19" t="s">
        <v>135</v>
      </c>
      <c r="D46" s="131">
        <v>3</v>
      </c>
      <c r="E46" s="37" t="s">
        <v>244</v>
      </c>
      <c r="F46" s="20"/>
      <c r="G46" s="20"/>
      <c r="H46" s="20"/>
      <c r="I46" s="20"/>
    </row>
    <row r="47" spans="1:9" x14ac:dyDescent="0.2">
      <c r="A47" s="17" t="s">
        <v>245</v>
      </c>
      <c r="B47" s="18" t="s">
        <v>246</v>
      </c>
      <c r="C47" s="19" t="s">
        <v>146</v>
      </c>
      <c r="D47" s="131">
        <v>5</v>
      </c>
      <c r="E47" s="41" t="s">
        <v>247</v>
      </c>
      <c r="F47" s="20"/>
      <c r="G47" s="20"/>
      <c r="H47" s="20"/>
      <c r="I47" s="20"/>
    </row>
    <row r="48" spans="1:9" x14ac:dyDescent="0.2">
      <c r="A48" s="17" t="s">
        <v>248</v>
      </c>
      <c r="B48" s="18" t="s">
        <v>249</v>
      </c>
      <c r="C48" s="19" t="s">
        <v>57</v>
      </c>
      <c r="D48" s="45">
        <f>(rod_n*(PI()/4*rod_d^2)*elec_ins+(PI()/4*spg_OD^2)*spg_len+(PI()/4*(eff_OD^2-eff_ID^2))*(D_int-h_actual)+xtube_n*(PI()/4*xtube_OD^2)*xtube_pro)/1000</f>
        <v>2.387571544083</v>
      </c>
      <c r="E48" s="37" t="s">
        <v>250</v>
      </c>
      <c r="F48" s="20"/>
      <c r="G48" s="20"/>
      <c r="H48" s="20"/>
      <c r="I48" s="20"/>
    </row>
    <row r="49" spans="1:9" x14ac:dyDescent="0.2">
      <c r="A49" s="113" t="s">
        <v>251</v>
      </c>
      <c r="B49" s="18" t="s">
        <v>252</v>
      </c>
      <c r="C49" s="19" t="s">
        <v>57</v>
      </c>
      <c r="D49" s="42">
        <f>IF(AND(ISNUMBER(cal_hs),ISNUMBER(cal_hs_fill)),cal_hs-(V_charge-cal_hs_fill),V_vial_total-V_charge-V_inserts)</f>
        <v>2.612428455917</v>
      </c>
      <c r="E49" s="37" t="inlineStr">
        <is>
          <t xml:space="preserve">Measured when the Calibrations vial-geometry runs exist for this reactor type (headspace at the measured working fill, shifted by any difference between that fill and V_charge); otherwise total vial volume − liquid charged − inserts.</t>
        </is>
      </c>
      <c r="F49" s="20"/>
      <c r="G49" s="20"/>
      <c r="H49" s="20"/>
      <c r="I49" s="20"/>
    </row>
    <row r="50" spans="1:9" x14ac:dyDescent="0.2">
      <c r="A50" s="17" t="s">
        <v>254</v>
      </c>
      <c r="B50" s="18" t="s">
        <v>255</v>
      </c>
      <c r="C50" s="19" t="s">
        <v>146</v>
      </c>
      <c r="D50" s="48">
        <f>D_int-spg_tip_h</f>
        <v>33.0</v>
      </c>
      <c r="E50" s="99" t="s">
        <v>256</v>
      </c>
      <c r="F50" s="20"/>
      <c r="G50" s="20"/>
      <c r="H50" s="20"/>
      <c r="I50" s="20"/>
    </row>
    <row r="51" spans="1:9" x14ac:dyDescent="0.2">
      <c r="A51" s="20" t="s">
        <v>257</v>
      </c>
      <c r="B51" s="20" t="s">
        <v>258</v>
      </c>
      <c r="C51" s="20"/>
      <c r="D51" s="28" t="str">
        <f>VLOOKUP(reactor_sel,$A$59:$B$80,2,FALSE)</f>
        <v>MEP0.3</v>
      </c>
      <c r="E51" s="20"/>
      <c r="F51" s="20"/>
      <c r="G51" s="20"/>
      <c r="H51" s="20"/>
      <c r="I51" s="20"/>
    </row>
    <row r="52" spans="1:9" x14ac:dyDescent="0.2">
      <c r="A52" s="20" t="s">
        <v>259</v>
      </c>
      <c r="B52" s="20" t="s">
        <v>260</v>
      </c>
      <c r="C52" s="20"/>
      <c r="D52" s="28">
        <f>VLOOKUP(rx_ver,$A$84:$I$87,8,FALSE)</f>
        <v>12.0</v>
      </c>
      <c r="E52" s="20"/>
      <c r="F52" s="20"/>
      <c r="G52" s="20"/>
      <c r="H52" s="20"/>
      <c r="I52" s="20"/>
    </row>
    <row r="53" spans="1:9" x14ac:dyDescent="0.2">
      <c r="A53" s="101" t="s">
        <v>261</v>
      </c>
      <c r="B53" s="20"/>
      <c r="C53" s="20"/>
      <c r="D53" s="20"/>
      <c r="E53" s="20"/>
      <c r="F53" s="20"/>
      <c r="G53" s="20"/>
      <c r="H53" s="20"/>
      <c r="I53" s="20"/>
    </row>
    <row r="54" spans="1:9" x14ac:dyDescent="0.2">
      <c r="A54" s="20" t="s">
        <v>262</v>
      </c>
      <c r="B54" s="20" t="s">
        <v>263</v>
      </c>
      <c r="C54" s="20"/>
      <c r="D54" s="28" t="str">
        <f>IF(V_charge&gt;V_max,"MEDIA &gt; MAX WORKING VOLUME","OK")</f>
        <v>OK</v>
      </c>
      <c r="E54" s="20"/>
      <c r="F54" s="20"/>
      <c r="G54" s="20"/>
      <c r="H54" s="20"/>
      <c r="I54" s="20"/>
    </row>
    <row r="55" spans="1:9" x14ac:dyDescent="0.2">
      <c r="A55" s="20" t="s">
        <v>264</v>
      </c>
      <c r="B55" s="20" t="s">
        <v>265</v>
      </c>
      <c r="C55" s="20"/>
      <c r="D55" s="28" t="str">
        <f>IF(h_actual&gt;D_int,"LIQUID OVER USABLE DEPTH","OK")</f>
        <v>OK</v>
      </c>
      <c r="E55" s="20"/>
      <c r="F55" s="20"/>
      <c r="G55" s="20"/>
      <c r="H55" s="20"/>
      <c r="I55" s="20"/>
    </row>
    <row r="56" spans="1:9" x14ac:dyDescent="0.2">
      <c r="A56" s="20"/>
      <c r="B56" s="20"/>
      <c r="C56" s="20"/>
      <c r="D56" s="20"/>
      <c r="E56" s="20"/>
      <c r="F56" s="20"/>
      <c r="G56" s="20"/>
      <c r="H56" s="20"/>
      <c r="I56" s="20"/>
    </row>
    <row r="57" spans="1:9" x14ac:dyDescent="0.2">
      <c r="A57" s="103" t="s">
        <v>266</v>
      </c>
      <c r="B57" s="20"/>
      <c r="C57" s="20"/>
      <c r="D57" s="20"/>
      <c r="E57" s="20"/>
      <c r="F57" s="20"/>
      <c r="G57" s="20"/>
      <c r="H57" s="20"/>
      <c r="I57" s="20"/>
    </row>
    <row r="58" spans="1:9" x14ac:dyDescent="0.2">
      <c r="A58" s="103" t="s">
        <v>1</v>
      </c>
      <c r="B58" s="103" t="s">
        <v>267</v>
      </c>
      <c r="C58" s="20"/>
      <c r="D58" s="20"/>
      <c r="E58" s="20"/>
      <c r="F58" s="20"/>
      <c r="G58" s="20"/>
      <c r="H58" s="20"/>
      <c r="I58" s="20"/>
    </row>
    <row r="59" spans="1:9" x14ac:dyDescent="0.2">
      <c r="A59" s="20" t="s">
        <v>268</v>
      </c>
      <c r="B59" s="20" t="s">
        <v>139</v>
      </c>
      <c r="C59" s="20"/>
      <c r="D59" s="20"/>
      <c r="E59" s="20"/>
      <c r="F59" s="20"/>
      <c r="G59" s="20"/>
      <c r="H59" s="20"/>
      <c r="I59" s="20"/>
    </row>
    <row r="60" spans="1:9" x14ac:dyDescent="0.2">
      <c r="A60" s="20" t="s">
        <v>269</v>
      </c>
      <c r="B60" s="20" t="s">
        <v>139</v>
      </c>
      <c r="C60" s="20"/>
      <c r="D60" s="20"/>
      <c r="E60" s="20"/>
      <c r="F60" s="20"/>
      <c r="G60" s="20"/>
      <c r="H60" s="20"/>
      <c r="I60" s="20"/>
    </row>
    <row r="61" spans="1:9" x14ac:dyDescent="0.2">
      <c r="A61" s="20" t="s">
        <v>270</v>
      </c>
      <c r="B61" s="20" t="s">
        <v>139</v>
      </c>
      <c r="C61" s="20"/>
      <c r="D61" s="20"/>
      <c r="E61" s="20"/>
      <c r="F61" s="20"/>
      <c r="G61" s="20"/>
      <c r="H61" s="20"/>
      <c r="I61" s="20"/>
    </row>
    <row r="62" spans="1:9" x14ac:dyDescent="0.2">
      <c r="A62" s="20" t="s">
        <v>271</v>
      </c>
      <c r="B62" s="20" t="s">
        <v>139</v>
      </c>
      <c r="C62" s="20"/>
      <c r="D62" s="20"/>
      <c r="E62" s="20"/>
      <c r="F62" s="20"/>
      <c r="G62" s="20"/>
      <c r="H62" s="20"/>
      <c r="I62" s="20"/>
    </row>
    <row r="63" spans="1:9" x14ac:dyDescent="0.2">
      <c r="A63" s="20" t="s">
        <v>272</v>
      </c>
      <c r="B63" s="20" t="s">
        <v>139</v>
      </c>
      <c r="C63" s="20"/>
      <c r="D63" s="20"/>
      <c r="E63" s="20"/>
      <c r="F63" s="20"/>
      <c r="G63" s="20"/>
      <c r="H63" s="20"/>
      <c r="I63" s="20"/>
    </row>
    <row r="64" spans="1:9" x14ac:dyDescent="0.2">
      <c r="A64" s="20" t="s">
        <v>273</v>
      </c>
      <c r="B64" s="20" t="s">
        <v>139</v>
      </c>
      <c r="C64" s="20"/>
      <c r="D64" s="20"/>
      <c r="E64" s="20"/>
      <c r="F64" s="20"/>
      <c r="G64" s="20"/>
      <c r="H64" s="20"/>
      <c r="I64" s="20"/>
    </row>
    <row r="65" spans="1:9" x14ac:dyDescent="0.2">
      <c r="A65" s="20" t="s">
        <v>274</v>
      </c>
      <c r="B65" s="20" t="s">
        <v>139</v>
      </c>
      <c r="C65" s="20"/>
      <c r="D65" s="20"/>
      <c r="E65" s="20"/>
      <c r="F65" s="20"/>
      <c r="G65" s="20"/>
      <c r="H65" s="20"/>
      <c r="I65" s="20"/>
    </row>
    <row r="66" spans="1:9" x14ac:dyDescent="0.2">
      <c r="A66" s="20" t="s">
        <v>275</v>
      </c>
      <c r="B66" s="20" t="s">
        <v>139</v>
      </c>
      <c r="C66" s="20"/>
      <c r="D66" s="20"/>
      <c r="E66" s="20"/>
      <c r="F66" s="20"/>
      <c r="G66" s="20"/>
      <c r="H66" s="20"/>
      <c r="I66" s="20"/>
    </row>
    <row r="67" spans="1:9" x14ac:dyDescent="0.2">
      <c r="A67" s="20" t="s">
        <v>276</v>
      </c>
      <c r="B67" s="20" t="s">
        <v>139</v>
      </c>
      <c r="C67" s="20"/>
      <c r="D67" s="20"/>
      <c r="E67" s="20"/>
      <c r="F67" s="20"/>
      <c r="G67" s="20"/>
      <c r="H67" s="20"/>
      <c r="I67" s="20"/>
    </row>
    <row r="68" spans="1:9" x14ac:dyDescent="0.2">
      <c r="A68" s="20" t="s">
        <v>16</v>
      </c>
      <c r="B68" s="20" t="s">
        <v>277</v>
      </c>
      <c r="C68" s="20"/>
      <c r="D68" s="20"/>
      <c r="E68" s="20"/>
      <c r="F68" s="20"/>
      <c r="G68" s="20"/>
      <c r="H68" s="20"/>
      <c r="I68" s="20"/>
    </row>
    <row r="69" spans="1:9" x14ac:dyDescent="0.2">
      <c r="A69" s="20" t="s">
        <v>278</v>
      </c>
      <c r="B69" s="20" t="s">
        <v>277</v>
      </c>
      <c r="C69" s="20"/>
      <c r="D69" s="20"/>
      <c r="E69" s="20"/>
      <c r="F69" s="20"/>
      <c r="G69" s="20"/>
      <c r="H69" s="20"/>
      <c r="I69" s="20"/>
    </row>
    <row r="70" spans="1:9" x14ac:dyDescent="0.2">
      <c r="A70" s="20" t="s">
        <v>279</v>
      </c>
      <c r="B70" s="20" t="s">
        <v>143</v>
      </c>
      <c r="C70" s="20"/>
      <c r="D70" s="20"/>
      <c r="E70" s="20"/>
      <c r="F70" s="20"/>
      <c r="G70" s="20"/>
      <c r="H70" s="20"/>
      <c r="I70" s="20"/>
    </row>
    <row r="71" spans="1:9" x14ac:dyDescent="0.2">
      <c r="A71" s="20" t="s">
        <v>280</v>
      </c>
      <c r="B71" s="20" t="s">
        <v>143</v>
      </c>
      <c r="C71" s="20"/>
      <c r="D71" s="20"/>
      <c r="E71" s="20"/>
      <c r="F71" s="20"/>
      <c r="G71" s="20"/>
      <c r="H71" s="20"/>
      <c r="I71" s="20"/>
    </row>
    <row r="72" spans="1:9" x14ac:dyDescent="0.2">
      <c r="A72" s="20" t="s">
        <v>281</v>
      </c>
      <c r="B72" s="20" t="s">
        <v>143</v>
      </c>
      <c r="C72" s="20"/>
      <c r="D72" s="20"/>
      <c r="E72" s="20"/>
      <c r="F72" s="20"/>
      <c r="G72" s="20"/>
      <c r="H72" s="20"/>
      <c r="I72" s="20"/>
    </row>
    <row r="73" spans="1:9" x14ac:dyDescent="0.2">
      <c r="A73" s="20" t="s">
        <v>282</v>
      </c>
      <c r="B73" s="20" t="s">
        <v>143</v>
      </c>
      <c r="C73" s="20"/>
      <c r="D73" s="20"/>
      <c r="E73" s="20"/>
      <c r="F73" s="20"/>
      <c r="G73" s="20"/>
      <c r="H73" s="20"/>
      <c r="I73" s="20"/>
    </row>
    <row r="74" spans="1:9" x14ac:dyDescent="0.2">
      <c r="A74" s="20" t="s">
        <v>283</v>
      </c>
      <c r="B74" s="20" t="s">
        <v>143</v>
      </c>
      <c r="C74" s="20"/>
      <c r="D74" s="20"/>
      <c r="E74" s="20"/>
      <c r="F74" s="20"/>
      <c r="G74" s="20"/>
      <c r="H74" s="20"/>
      <c r="I74" s="20"/>
    </row>
    <row r="75" spans="1:9" x14ac:dyDescent="0.2">
      <c r="A75" s="20" t="s">
        <v>284</v>
      </c>
      <c r="B75" s="20" t="s">
        <v>143</v>
      </c>
      <c r="C75" s="20"/>
      <c r="D75" s="20"/>
      <c r="E75" s="20"/>
      <c r="F75" s="20"/>
      <c r="G75" s="20"/>
      <c r="H75" s="20"/>
      <c r="I75" s="20"/>
    </row>
    <row r="76" spans="1:9" x14ac:dyDescent="0.2">
      <c r="A76" s="20" t="s">
        <v>285</v>
      </c>
      <c r="B76" s="20" t="s">
        <v>143</v>
      </c>
      <c r="C76" s="20"/>
      <c r="D76" s="20"/>
      <c r="E76" s="20"/>
      <c r="F76" s="20"/>
      <c r="G76" s="20"/>
      <c r="H76" s="20"/>
      <c r="I76" s="20"/>
    </row>
    <row r="77" spans="1:9" x14ac:dyDescent="0.2">
      <c r="A77" s="20" t="s">
        <v>286</v>
      </c>
      <c r="B77" s="20" t="s">
        <v>143</v>
      </c>
      <c r="C77" s="20"/>
      <c r="D77" s="20"/>
      <c r="E77" s="20"/>
      <c r="F77" s="20"/>
      <c r="G77" s="20"/>
      <c r="H77" s="20"/>
      <c r="I77" s="20"/>
    </row>
    <row r="78" spans="1:9" x14ac:dyDescent="0.2">
      <c r="A78" s="20" t="s">
        <v>287</v>
      </c>
      <c r="B78" s="20" t="s">
        <v>143</v>
      </c>
      <c r="C78" s="20"/>
      <c r="D78" s="20"/>
      <c r="E78" s="20"/>
      <c r="F78" s="20"/>
      <c r="G78" s="20"/>
      <c r="H78" s="20"/>
      <c r="I78" s="20"/>
    </row>
    <row r="79" spans="1:9" x14ac:dyDescent="0.2">
      <c r="A79" s="20" t="s">
        <v>288</v>
      </c>
      <c r="B79" s="20" t="s">
        <v>289</v>
      </c>
      <c r="C79" s="20"/>
      <c r="D79" s="20"/>
      <c r="E79" s="20"/>
      <c r="F79" s="20"/>
      <c r="G79" s="20"/>
      <c r="H79" s="20"/>
      <c r="I79" s="20"/>
    </row>
    <row r="80" spans="1:9" x14ac:dyDescent="0.2">
      <c r="A80" s="20" t="s">
        <v>290</v>
      </c>
      <c r="B80" s="20" t="s">
        <v>143</v>
      </c>
      <c r="C80" s="20"/>
      <c r="D80" s="20"/>
      <c r="E80" s="20"/>
      <c r="F80" s="20"/>
      <c r="G80" s="20"/>
      <c r="H80" s="20"/>
      <c r="I80" s="20"/>
    </row>
    <row r="81" spans="1:9" x14ac:dyDescent="0.2">
      <c r="A81" s="20"/>
      <c r="B81" s="20"/>
      <c r="C81" s="20"/>
      <c r="D81" s="20"/>
      <c r="E81" s="20"/>
      <c r="F81" s="20"/>
      <c r="G81" s="20"/>
      <c r="H81" s="20"/>
      <c r="I81" s="20"/>
    </row>
    <row r="82" spans="1:9" x14ac:dyDescent="0.2">
      <c r="A82" s="103" t="s">
        <v>291</v>
      </c>
      <c r="B82" s="20"/>
      <c r="C82" s="20"/>
      <c r="D82" s="20"/>
      <c r="E82" s="20"/>
      <c r="F82" s="20"/>
      <c r="G82" s="20"/>
      <c r="H82" s="20"/>
      <c r="I82" s="20"/>
    </row>
    <row r="83" spans="1:9" x14ac:dyDescent="0.2">
      <c r="A83" s="103" t="s">
        <v>267</v>
      </c>
      <c r="B83" s="103" t="s">
        <v>292</v>
      </c>
      <c r="C83" s="103" t="s">
        <v>293</v>
      </c>
      <c r="D83" s="103" t="s">
        <v>294</v>
      </c>
      <c r="E83" s="103" t="s">
        <v>295</v>
      </c>
      <c r="F83" s="103" t="s">
        <v>296</v>
      </c>
      <c r="G83" s="103" t="s">
        <v>297</v>
      </c>
      <c r="H83" s="103" t="s">
        <v>298</v>
      </c>
      <c r="I83" s="103" t="s">
        <v>299</v>
      </c>
    </row>
    <row r="84" spans="1:9" x14ac:dyDescent="0.2">
      <c r="A84" s="20" t="s">
        <v>139</v>
      </c>
      <c r="B84" s="20" t="s">
        <v>300</v>
      </c>
      <c r="C84" s="20">
        <v>20</v>
      </c>
      <c r="D84" s="20">
        <v>55</v>
      </c>
      <c r="E84" s="20">
        <v>16</v>
      </c>
      <c r="F84" s="20">
        <v>20</v>
      </c>
      <c r="G84" s="20">
        <v>27.48</v>
      </c>
      <c r="H84" s="20">
        <v>12</v>
      </c>
      <c r="I84" s="20">
        <v>3</v>
      </c>
    </row>
    <row r="85" spans="1:9" x14ac:dyDescent="0.2">
      <c r="A85" s="20" t="s">
        <v>277</v>
      </c>
      <c r="B85" s="20" t="s">
        <v>300</v>
      </c>
      <c r="C85" s="20">
        <v>20</v>
      </c>
      <c r="D85" s="20">
        <v>55</v>
      </c>
      <c r="E85" s="20">
        <v>16</v>
      </c>
      <c r="F85" s="20">
        <v>20</v>
      </c>
      <c r="G85" s="20">
        <v>27.48</v>
      </c>
      <c r="H85" s="20">
        <v>12</v>
      </c>
      <c r="I85" s="20">
        <v>3</v>
      </c>
    </row>
    <row r="86" spans="1:9" x14ac:dyDescent="0.2">
      <c r="A86" s="20" t="s">
        <v>143</v>
      </c>
      <c r="B86" s="20" t="s">
        <v>301</v>
      </c>
      <c r="C86" s="20">
        <v>40</v>
      </c>
      <c r="D86" s="20">
        <v>95</v>
      </c>
      <c r="E86" s="20">
        <v>30</v>
      </c>
      <c r="F86" s="20">
        <v>42</v>
      </c>
      <c r="G86" s="20">
        <v>27.48</v>
      </c>
      <c r="H86" s="20">
        <v>15</v>
      </c>
      <c r="I86" s="20">
        <v>6</v>
      </c>
    </row>
    <row r="87" spans="1:9" x14ac:dyDescent="0.2">
      <c r="A87" s="20" t="s">
        <v>289</v>
      </c>
      <c r="B87" s="20" t="s">
        <v>301</v>
      </c>
      <c r="C87" s="20">
        <v>40</v>
      </c>
      <c r="D87" s="20">
        <v>95</v>
      </c>
      <c r="E87" s="20">
        <v>30</v>
      </c>
      <c r="F87" s="20">
        <v>42</v>
      </c>
      <c r="G87" s="20">
        <v>27.48</v>
      </c>
      <c r="H87" s="20">
        <v>15</v>
      </c>
      <c r="I87" s="20">
        <v>6</v>
      </c>
    </row>
    <row r="88" spans="1:9" x14ac:dyDescent="0.2">
      <c r="A88" s="20"/>
      <c r="B88" s="20"/>
      <c r="C88" s="20"/>
      <c r="D88" s="20"/>
      <c r="E88" s="20"/>
      <c r="F88" s="20"/>
      <c r="G88" s="20"/>
      <c r="H88" s="20"/>
      <c r="I88" s="20"/>
    </row>
    <row r="89" spans="1:9" x14ac:dyDescent="0.2">
      <c r="A89" s="103" t="s">
        <v>302</v>
      </c>
      <c r="B89" s="20"/>
      <c r="C89" s="20"/>
      <c r="D89" s="20"/>
      <c r="E89" s="20"/>
      <c r="F89" s="20"/>
      <c r="G89" s="20"/>
      <c r="H89" s="20"/>
      <c r="I89" s="20"/>
    </row>
    <row r="90" spans="1:9" x14ac:dyDescent="0.2">
      <c r="A90" s="20" t="s">
        <v>303</v>
      </c>
      <c r="B90" s="20" t="s">
        <v>304</v>
      </c>
      <c r="C90" s="20"/>
      <c r="D90" s="28" t="str">
        <f>IF(ABS(A_x*D_int/1000-V_vial_total)&lt;=geom_tol_mL,"OK",IF(AND(ISNUMBER(cal_hs),ISNUMBER(cal_hs_fill)),"HEADSPACE MEASURED - bore depth still inconsistent (measure body volume)","VIAL GEOMETRY INCONSISTENT - measure true fill volume &amp; bore depth"))</f>
        <v>VIAL GEOMETRY INCONSISTENT - measure true fill volume &amp; bore depth</v>
      </c>
      <c r="E90" s="20"/>
      <c r="F90" s="101" t="inlineStr">
        <is>
          <t xml:space="preserve">Fires INCONSISTENT for the 20 mL vial because the bare cylinder (A_x x usable depth ~28 mL) overestimates the true 20 mL vial (it tapers/necks, not a full cylinder to 55 mm). Expected tolerance artefact, not a data error - resolved by measuring true bore depth (protocols/vial-geometry.md).</t>
        </is>
      </c>
      <c r="G90" s="20"/>
      <c r="H90" s="20"/>
      <c r="I90" s="20"/>
    </row>
    <row r="91" spans="1:9" x14ac:dyDescent="0.2">
      <c r="A91" s="5" t="inlineStr">
        <is>
          <t xml:space="preserve">ELECTRODE GEOMETRY FOR THE OHMIC DROP</t>
        </is>
      </c>
    </row>
    <row r="92" spans="1:9" ht="36" x14ac:dyDescent="0.2">
      <c r="A92" t="s">
        <v>1466</v>
      </c>
      <c r="B92" s="18" t="s">
        <v>1467</v>
      </c>
      <c r="C92" s="19" t="s">
        <v>146</v>
      </c>
      <c r="D92" s="131">
        <v>14</v>
      </c>
      <c r="E92" s="70" t="s">
        <v>1468</v>
      </c>
    </row>
    <row r="93" spans="1:9" ht="24" x14ac:dyDescent="0.2">
      <c r="A93" t="s">
        <v>1469</v>
      </c>
      <c r="B93" s="18" t="s">
        <v>1470</v>
      </c>
      <c r="C93" s="19" t="s">
        <v>146</v>
      </c>
      <c r="D93" s="141">
        <f>MAX(0,h_actual-elec_clear)</f>
        <v>9.18130412738</v>
      </c>
      <c r="E93" s="99" t="s">
        <v>1471</v>
      </c>
    </row>
    <row r="95">
      <c r="A95" s="103" t="inlineStr">
        <is>
          <t xml:space="preserve">CONSISTENCY-CHECK TOLERANCE</t>
        </is>
      </c>
    </row>
    <row r="96">
      <c r="A96" s="17" t="inlineStr">
        <is>
          <t xml:space="preserve">Vial volume consistency tolerance</t>
        </is>
      </c>
      <c r="B96" s="18" t="inlineStr">
        <is>
          <t xml:space="preserve">geom_tol_mL</t>
        </is>
      </c>
      <c r="C96" s="19" t="inlineStr">
        <is>
          <t xml:space="preserve">mL</t>
        </is>
      </c>
      <c r="D96" s="131">
        <v>3</v>
      </c>
      <c r="E96" s="37" t="inlineStr">
        <is>
          <t xml:space="preserve">Design assumption: allowed gap between the bare-cylinder volume (A_x × D_int) and the total vial volume.</t>
        </is>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22"/>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104" t="s">
        <v>306</v>
      </c>
      <c r="B1" s="20"/>
      <c r="C1" s="20"/>
      <c r="D1" s="20"/>
      <c r="E1" s="20"/>
      <c r="F1" s="20"/>
      <c r="G1" s="20"/>
      <c r="H1" s="20"/>
      <c r="I1" s="20"/>
    </row>
    <row r="2" spans="1:9" x14ac:dyDescent="0.2">
      <c r="A2" s="16" t="s">
        <v>24</v>
      </c>
      <c r="B2" s="16" t="s">
        <v>25</v>
      </c>
      <c r="C2" s="16" t="s">
        <v>26</v>
      </c>
      <c r="D2" s="16" t="s">
        <v>27</v>
      </c>
      <c r="E2" s="16" t="s">
        <v>131</v>
      </c>
      <c r="F2" s="20"/>
      <c r="G2" s="20"/>
      <c r="H2" s="20"/>
      <c r="I2" s="20"/>
    </row>
    <row r="3" spans="1:9" x14ac:dyDescent="0.2">
      <c r="A3" s="17"/>
      <c r="B3" s="18"/>
      <c r="C3" s="19"/>
      <c r="D3" s="49"/>
      <c r="E3" s="37"/>
      <c r="F3" s="20"/>
      <c r="G3" s="20"/>
      <c r="H3" s="20"/>
      <c r="I3" s="20"/>
    </row>
    <row r="4" spans="1:9" ht="16" customHeight="1" x14ac:dyDescent="0.2">
      <c r="A4" s="104" t="s">
        <v>132</v>
      </c>
      <c r="B4" s="18"/>
      <c r="C4" s="19"/>
      <c r="D4" s="50"/>
      <c r="E4" s="51"/>
      <c r="F4" s="20"/>
      <c r="G4" s="20"/>
      <c r="H4" s="20"/>
      <c r="I4" s="20"/>
    </row>
    <row r="5" spans="1:9" x14ac:dyDescent="0.2">
      <c r="A5" s="20" t="s">
        <v>307</v>
      </c>
      <c r="B5" s="20" t="s">
        <v>308</v>
      </c>
      <c r="C5" s="20" t="s">
        <v>309</v>
      </c>
      <c r="D5" s="142">
        <f>Biology!$D$18</f>
        <v>298.15</v>
      </c>
      <c r="E5" s="135" t="str">
        <f>HYPERLINK("#Biology!D18","→ Biology")</f>
        <v>→ Biology</v>
      </c>
      <c r="F5" s="20"/>
      <c r="G5" s="20"/>
      <c r="H5" s="20"/>
      <c r="I5" s="20"/>
    </row>
    <row r="6" spans="1:9" x14ac:dyDescent="0.2">
      <c r="A6" s="20" t="s">
        <v>310</v>
      </c>
      <c r="B6" s="20" t="s">
        <v>311</v>
      </c>
      <c r="C6" s="20" t="s">
        <v>62</v>
      </c>
      <c r="D6" s="142">
        <f>Biology!$D$19</f>
        <v>101325.0</v>
      </c>
      <c r="E6" s="135" t="str">
        <f>HYPERLINK("#Biology!D19","→ Biology")</f>
        <v>→ Biology</v>
      </c>
      <c r="F6" s="20"/>
      <c r="G6" s="20"/>
      <c r="H6" s="20"/>
      <c r="I6" s="20"/>
    </row>
    <row r="7" spans="1:9" x14ac:dyDescent="0.2">
      <c r="A7" s="20" t="s">
        <v>312</v>
      </c>
      <c r="B7" s="20" t="s">
        <v>313</v>
      </c>
      <c r="C7" s="20" t="s">
        <v>314</v>
      </c>
      <c r="D7" s="141">
        <f>'Mass Transfer'!$D$101</f>
        <v>8.314462618</v>
      </c>
      <c r="E7" s="135" t="str">
        <f>HYPERLINK("#'Mass Transfer'!D101","→ Mass Transfer")</f>
        <v>→ Mass Transfer</v>
      </c>
      <c r="F7" s="20"/>
      <c r="G7" s="20"/>
      <c r="H7" s="20"/>
      <c r="I7" s="20"/>
    </row>
    <row r="8" spans="1:9" x14ac:dyDescent="0.2">
      <c r="A8" s="20" t="s">
        <v>315</v>
      </c>
      <c r="B8" s="20" t="s">
        <v>34</v>
      </c>
      <c r="C8" s="20"/>
      <c r="D8" s="134" t="str">
        <f>Summary!$D$3</f>
        <v>Pt/Ti rod</v>
      </c>
      <c r="E8" s="135" t="str">
        <f>HYPERLINK("#Summary!D3","→ Summary")</f>
        <v>→ Summary</v>
      </c>
      <c r="F8" s="20"/>
      <c r="G8" s="20"/>
      <c r="H8" s="20"/>
      <c r="I8" s="20"/>
    </row>
    <row r="9" spans="1:9" x14ac:dyDescent="0.2">
      <c r="A9" s="17"/>
      <c r="B9" s="18"/>
      <c r="C9" s="19"/>
      <c r="D9" s="52"/>
      <c r="E9" s="99"/>
      <c r="F9" s="20"/>
      <c r="G9" s="20"/>
      <c r="H9" s="20"/>
      <c r="I9" s="20"/>
    </row>
    <row r="10" spans="1:9" x14ac:dyDescent="0.2">
      <c r="A10" s="17" t="s">
        <v>316</v>
      </c>
      <c r="B10" s="18" t="s">
        <v>317</v>
      </c>
      <c r="C10" s="19" t="s">
        <v>45</v>
      </c>
      <c r="D10" s="143">
        <f>Summary!$D$6</f>
        <v>3.0</v>
      </c>
      <c r="E10" s="37" t="s">
        <v>318</v>
      </c>
      <c r="F10" s="20"/>
      <c r="G10" s="20"/>
      <c r="H10" s="20"/>
      <c r="I10" s="20"/>
    </row>
    <row r="11" spans="1:9" ht="36" customHeight="1" x14ac:dyDescent="0.2">
      <c r="A11" s="17" t="s">
        <v>319</v>
      </c>
      <c r="B11" s="18" t="s">
        <v>320</v>
      </c>
      <c r="C11" s="19" t="s">
        <v>321</v>
      </c>
      <c r="D11" s="141">
        <f>IF(ISNUMBER(cal_gerrit_slope),cal_gerrit_slope,gerrit_slope_default)</f>
        <v>1.03</v>
      </c>
      <c r="E11" s="109" t="s">
        <v>322</v>
      </c>
      <c r="F11" s="20"/>
      <c r="G11" s="20"/>
      <c r="H11" s="20"/>
      <c r="I11" s="20"/>
    </row>
    <row r="12" spans="1:9" x14ac:dyDescent="0.2">
      <c r="A12" s="17" t="s">
        <v>323</v>
      </c>
      <c r="B12" s="18" t="s">
        <v>324</v>
      </c>
      <c r="C12" s="19" t="s">
        <v>325</v>
      </c>
      <c r="D12" s="141">
        <f>IF(ISNUMBER(cal_gerrit_int),cal_gerrit_int,gerrit_int_default)</f>
        <v>2.6</v>
      </c>
      <c r="E12" s="109" t="s">
        <v>326</v>
      </c>
      <c r="F12" s="20"/>
      <c r="G12" s="20"/>
      <c r="H12" s="20"/>
      <c r="I12" s="20"/>
    </row>
    <row r="13" spans="1:9" x14ac:dyDescent="0.2">
      <c r="A13" s="17" t="s">
        <v>327</v>
      </c>
      <c r="B13" s="18" t="s">
        <v>328</v>
      </c>
      <c r="C13" s="19" t="s">
        <v>45</v>
      </c>
      <c r="D13" s="144">
        <v>3</v>
      </c>
      <c r="E13" s="51" t="s">
        <v>329</v>
      </c>
      <c r="F13" s="20"/>
      <c r="G13" s="20"/>
      <c r="H13" s="20"/>
      <c r="I13" s="20"/>
    </row>
    <row r="14" spans="1:9" x14ac:dyDescent="0.2">
      <c r="A14" s="17" t="s">
        <v>330</v>
      </c>
      <c r="B14" s="18" t="s">
        <v>331</v>
      </c>
      <c r="C14" s="19" t="s">
        <v>45</v>
      </c>
      <c r="D14" s="144">
        <v>25</v>
      </c>
      <c r="E14" s="51" t="s">
        <v>332</v>
      </c>
      <c r="F14" s="20"/>
      <c r="G14" s="20"/>
      <c r="H14" s="20"/>
      <c r="I14" s="20"/>
    </row>
    <row r="15" spans="1:9" x14ac:dyDescent="0.2">
      <c r="A15" s="17" t="s">
        <v>333</v>
      </c>
      <c r="B15" s="18" t="s">
        <v>334</v>
      </c>
      <c r="C15" s="19" t="s">
        <v>335</v>
      </c>
      <c r="D15" s="145">
        <v>96485.332120000006</v>
      </c>
      <c r="E15" s="100" t="s">
        <v>336</v>
      </c>
      <c r="F15" s="20"/>
      <c r="G15" s="20"/>
      <c r="H15" s="20"/>
      <c r="I15" s="20"/>
    </row>
    <row r="16" spans="1:9" x14ac:dyDescent="0.2">
      <c r="A16" s="17" t="s">
        <v>337</v>
      </c>
      <c r="B16" s="18" t="s">
        <v>338</v>
      </c>
      <c r="C16" s="19" t="s">
        <v>135</v>
      </c>
      <c r="D16" s="146">
        <v>2</v>
      </c>
      <c r="E16" s="99" t="s">
        <v>339</v>
      </c>
      <c r="F16" s="20"/>
      <c r="G16" s="20"/>
      <c r="H16" s="20"/>
      <c r="I16" s="20"/>
    </row>
    <row r="17" spans="1:9" x14ac:dyDescent="0.2">
      <c r="A17" s="17" t="s">
        <v>340</v>
      </c>
      <c r="B17" s="18" t="s">
        <v>341</v>
      </c>
      <c r="C17" s="19" t="s">
        <v>135</v>
      </c>
      <c r="D17" s="146">
        <v>4</v>
      </c>
      <c r="E17" s="99" t="s">
        <v>342</v>
      </c>
      <c r="F17" s="20"/>
      <c r="G17" s="20"/>
      <c r="H17" s="20"/>
      <c r="I17" s="20"/>
    </row>
    <row r="18" spans="1:9" ht="24" customHeight="1" x14ac:dyDescent="0.2">
      <c r="A18" s="17" t="s">
        <v>343</v>
      </c>
      <c r="B18" s="18" t="s">
        <v>344</v>
      </c>
      <c r="C18" s="19" t="s">
        <v>135</v>
      </c>
      <c r="D18" s="42">
        <f>IF(ISNUMBER(cal_etaF),cal_etaF,etaF_calc)</f>
        <v>0.977475298652</v>
      </c>
      <c r="E18" s="67" t="inlineStr">
        <is>
          <t xml:space="preserve">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is>
      </c>
      <c r="F18" s="20"/>
      <c r="G18" s="20"/>
      <c r="H18" s="20"/>
      <c r="I18" s="20"/>
    </row>
    <row r="19" spans="1:9" ht="24" customHeight="1" x14ac:dyDescent="0.2">
      <c r="A19" s="17" t="s">
        <v>345</v>
      </c>
      <c r="B19" s="18" t="s">
        <v>346</v>
      </c>
      <c r="C19" s="19" t="s">
        <v>347</v>
      </c>
      <c r="D19" s="46">
        <f>(gerrit_slope*intensity+gerrit_int)/1000</f>
        <v>0.00569</v>
      </c>
      <c r="E19" s="51" t="s">
        <v>348</v>
      </c>
      <c r="F19" s="20"/>
      <c r="G19" s="20"/>
      <c r="H19" s="20"/>
      <c r="I19" s="20"/>
    </row>
    <row r="20" spans="1:9" ht="24" customHeight="1" x14ac:dyDescent="0.2">
      <c r="A20" s="17" t="s">
        <v>349</v>
      </c>
      <c r="B20" s="18" t="s">
        <v>350</v>
      </c>
      <c r="C20" s="19" t="s">
        <v>135</v>
      </c>
      <c r="D20" s="58" t="str">
        <f>IF(AND(intensity&gt;=gerrit_min,intensity&lt;=gerrit_max),"OK","OUT")</f>
        <v>OK</v>
      </c>
      <c r="E20" s="51" t="s">
        <v>351</v>
      </c>
      <c r="F20" s="20"/>
      <c r="G20" s="20"/>
      <c r="H20" s="20"/>
      <c r="I20" s="20"/>
    </row>
    <row r="21" spans="1:9" x14ac:dyDescent="0.2">
      <c r="A21" s="17" t="s">
        <v>352</v>
      </c>
      <c r="B21" s="18" t="s">
        <v>353</v>
      </c>
      <c r="C21" s="19" t="s">
        <v>354</v>
      </c>
      <c r="D21" s="48">
        <f>I_app*etaF/(z_e_H2*F_const)*3600</f>
        <v>0.000103759833633</v>
      </c>
      <c r="E21" s="99" t="s">
        <v>355</v>
      </c>
      <c r="F21" s="20"/>
      <c r="G21" s="20"/>
      <c r="H21" s="20"/>
      <c r="I21" s="20"/>
    </row>
    <row r="22" spans="1:9" x14ac:dyDescent="0.2">
      <c r="A22" s="17" t="s">
        <v>356</v>
      </c>
      <c r="B22" s="18" t="s">
        <v>357</v>
      </c>
      <c r="C22" s="19" t="s">
        <v>354</v>
      </c>
      <c r="D22" s="48">
        <f>I_app*etaF_OER/(z_e_O2*F_const)*3600</f>
        <v>5.175288675179e-05</v>
      </c>
      <c r="E22" s="99" t="s">
        <v>358</v>
      </c>
      <c r="F22" s="20"/>
      <c r="G22" s="20"/>
      <c r="H22" s="20"/>
      <c r="I22" s="20"/>
    </row>
    <row r="23" spans="1:9" x14ac:dyDescent="0.2">
      <c r="A23" s="17" t="s">
        <v>359</v>
      </c>
      <c r="B23" s="18" t="s">
        <v>360</v>
      </c>
      <c r="C23" s="19" t="s">
        <v>361</v>
      </c>
      <c r="D23" s="48">
        <f>rH2_gen/60*R_gas*T_K/P_atm*1000000</f>
        <v>0.042308770289</v>
      </c>
      <c r="E23" s="99" t="s">
        <v>362</v>
      </c>
      <c r="F23" s="20"/>
      <c r="G23" s="20"/>
      <c r="H23" s="20"/>
      <c r="I23" s="20"/>
    </row>
    <row r="24" spans="1:9" x14ac:dyDescent="0.2">
      <c r="A24" s="17" t="s">
        <v>363</v>
      </c>
      <c r="B24" s="18" t="s">
        <v>364</v>
      </c>
      <c r="C24" s="19" t="s">
        <v>361</v>
      </c>
      <c r="D24" s="48">
        <f>rO2_gen/60*R_gas*T_K/P_atm*1000000</f>
        <v>0.021102587781</v>
      </c>
      <c r="E24" s="99" t="s">
        <v>365</v>
      </c>
      <c r="F24" s="20"/>
      <c r="G24" s="20"/>
      <c r="H24" s="20"/>
      <c r="I24" s="20"/>
    </row>
    <row r="25" spans="1:9" ht="24" customHeight="1" x14ac:dyDescent="0.2">
      <c r="A25" s="17" t="s">
        <v>366</v>
      </c>
      <c r="B25" s="18" t="s">
        <v>367</v>
      </c>
      <c r="C25" s="19" t="s">
        <v>361</v>
      </c>
      <c r="D25" s="48">
        <f>V_H2_gen+V_O2_gen</f>
        <v>0.063411358069</v>
      </c>
      <c r="E25" s="99" t="s">
        <v>368</v>
      </c>
      <c r="F25" s="20"/>
      <c r="G25" s="20"/>
      <c r="H25" s="20"/>
      <c r="I25" s="20"/>
    </row>
    <row r="26" spans="1:9" ht="36" x14ac:dyDescent="0.2">
      <c r="A26" s="17" t="s">
        <v>369</v>
      </c>
      <c r="B26" s="18" t="s">
        <v>370</v>
      </c>
      <c r="C26" s="19" t="s">
        <v>135</v>
      </c>
      <c r="D26" s="42">
        <f>IF(ISNUMBER(cal_etaF_OER),cal_etaF_OER,etaF_OER_calc)</f>
        <v>0.975081911036</v>
      </c>
      <c r="E26" s="67" t="inlineStr">
        <is>
          <t xml:space="preserve">Anodic O₂ faradaic efficiency: measured if available, otherwise CALCULATED (etaF_OER_calc) as 1 − the chlorine share − the metal-dissolution share. UdG contains chloride, so the chlorine current is modelled explicitly (D101).</t>
        </is>
      </c>
      <c r="F26" s="20"/>
      <c r="G26" s="20"/>
      <c r="H26" s="20"/>
      <c r="I26" s="20"/>
    </row>
    <row r="27" spans="1:9" ht="24" customHeight="1" x14ac:dyDescent="0.2">
      <c r="A27" s="17" t="s">
        <v>371</v>
      </c>
      <c r="B27" s="18" t="s">
        <v>372</v>
      </c>
      <c r="C27" s="19" t="s">
        <v>135</v>
      </c>
      <c r="D27" s="139">
        <f>VLOOKUP(electrode_sel,$A$35:$I$38,9,FALSE)</f>
        <v>2.0</v>
      </c>
      <c r="E27" s="114" t="s">
        <v>373</v>
      </c>
      <c r="F27" s="20"/>
      <c r="G27" s="20"/>
      <c r="H27" s="20"/>
      <c r="I27" s="20"/>
    </row>
    <row r="28" spans="1:9" x14ac:dyDescent="0.2">
      <c r="A28" s="17" t="s">
        <v>374</v>
      </c>
      <c r="B28" s="18" t="s">
        <v>375</v>
      </c>
      <c r="C28" s="19" t="s">
        <v>354</v>
      </c>
      <c r="D28" s="48">
        <f>I_app*(1-etaF)/(z_e_ORR*F_const)*3600</f>
        <v>2.391016190066e-06</v>
      </c>
      <c r="E28" s="99" t="s">
        <v>376</v>
      </c>
      <c r="F28" s="20"/>
      <c r="G28" s="20"/>
      <c r="H28" s="20"/>
      <c r="I28" s="20"/>
    </row>
    <row r="29" spans="1:9" x14ac:dyDescent="0.2">
      <c r="A29" s="17" t="s">
        <v>377</v>
      </c>
      <c r="B29" s="18" t="s">
        <v>378</v>
      </c>
      <c r="C29" s="19" t="s">
        <v>354</v>
      </c>
      <c r="D29" s="48">
        <f>rO2_gen-O2_cathode_ORR</f>
        <v>4.936187056172e-05</v>
      </c>
      <c r="E29" s="99" t="s">
        <v>379</v>
      </c>
      <c r="F29" s="20"/>
      <c r="G29" s="20"/>
      <c r="H29" s="20"/>
      <c r="I29" s="20"/>
    </row>
    <row r="30" spans="1:9" x14ac:dyDescent="0.2">
      <c r="A30" s="101" t="s">
        <v>380</v>
      </c>
      <c r="B30" s="20"/>
      <c r="C30" s="20"/>
      <c r="D30" s="20"/>
      <c r="E30" s="20"/>
      <c r="F30" s="20"/>
      <c r="G30" s="20"/>
      <c r="H30" s="20"/>
      <c r="I30" s="20"/>
    </row>
    <row r="31" spans="1:9" x14ac:dyDescent="0.2">
      <c r="A31" s="20" t="s">
        <v>381</v>
      </c>
      <c r="B31" s="20" t="s">
        <v>382</v>
      </c>
      <c r="C31" s="20"/>
      <c r="D31" s="28" t="str">
        <f>VLOOKUP(electrode_sel,$A$35:$I$38,4,FALSE)</f>
        <v>Tube</v>
      </c>
      <c r="E31" s="20"/>
      <c r="F31" s="20"/>
      <c r="G31" s="20"/>
      <c r="H31" s="20"/>
      <c r="I31" s="20"/>
    </row>
    <row r="32" spans="1:9" x14ac:dyDescent="0.2">
      <c r="A32" s="20" t="s">
        <v>383</v>
      </c>
      <c r="B32" s="20" t="s">
        <v>384</v>
      </c>
      <c r="C32" s="20"/>
      <c r="D32" s="28">
        <f>IF(ISNUMBER(cal_sinter),cal_sinter,IF(ISNUMBER(VLOOKUP(electrode_sel,$A$35:$I$38,5,FALSE)),VLOOKUP(electrode_sel,$A$35:$I$38,5,FALSE),0))</f>
        <v>0.0</v>
      </c>
      <c r="E32" s="147" t="s">
        <v>385</v>
      </c>
      <c r="F32" s="20"/>
      <c r="G32" s="20"/>
      <c r="H32" s="59"/>
      <c r="I32" s="20"/>
    </row>
    <row r="33" spans="1:14" x14ac:dyDescent="0.2">
      <c r="A33" s="103" t="s">
        <v>386</v>
      </c>
      <c r="B33" s="20"/>
      <c r="C33" s="20"/>
      <c r="D33" s="20"/>
      <c r="E33" s="20"/>
      <c r="F33" s="20"/>
      <c r="G33" s="20"/>
      <c r="H33" s="20"/>
      <c r="I33" s="20"/>
    </row>
    <row r="34" spans="1:14" x14ac:dyDescent="0.2">
      <c r="A34" s="103" t="s">
        <v>33</v>
      </c>
      <c r="B34" s="103" t="s">
        <v>387</v>
      </c>
      <c r="C34" s="103" t="s">
        <v>388</v>
      </c>
      <c r="D34" s="103" t="s">
        <v>389</v>
      </c>
      <c r="E34" s="103" t="s">
        <v>390</v>
      </c>
      <c r="F34" s="103" t="s">
        <v>391</v>
      </c>
      <c r="G34" s="103" t="s">
        <v>392</v>
      </c>
      <c r="H34" s="103" t="s">
        <v>344</v>
      </c>
      <c r="I34" s="103" t="s">
        <v>372</v>
      </c>
      <c r="J34" s="103" t="s">
        <v>1294</v>
      </c>
      <c r="K34" s="103" t="s">
        <v>1295</v>
      </c>
      <c r="L34" s="103" t="s">
        <v>1296</v>
      </c>
      <c r="M34" s="103" t="s">
        <v>1297</v>
      </c>
      <c r="N34" s="103" t="s">
        <v>1298</v>
      </c>
    </row>
    <row r="35" spans="1:14" x14ac:dyDescent="0.2">
      <c r="A35" s="20" t="s">
        <v>393</v>
      </c>
      <c r="B35" s="20" t="s">
        <v>394</v>
      </c>
      <c r="C35" s="20">
        <v>6</v>
      </c>
      <c r="D35" s="20" t="s">
        <v>395</v>
      </c>
      <c r="E35" s="20" t="s">
        <v>396</v>
      </c>
      <c r="F35" s="20" t="s">
        <v>397</v>
      </c>
      <c r="G35" s="20">
        <v>6</v>
      </c>
      <c r="H35" s="59" t="s">
        <v>398</v>
      </c>
      <c r="I35" s="20">
        <v>2</v>
      </c>
      <c r="J35" s="20" t="s">
        <v>1299</v>
      </c>
      <c r="K35" s="20">
        <v>100</v>
      </c>
      <c r="L35" s="20">
        <v>500</v>
      </c>
      <c r="M35" s="20" t="s">
        <v>1299</v>
      </c>
      <c r="N35" s="20" t="s">
        <v>1300</v>
      </c>
    </row>
    <row r="36" spans="1:14" x14ac:dyDescent="0.2">
      <c r="A36" s="20" t="s">
        <v>399</v>
      </c>
      <c r="B36" s="20" t="s">
        <v>400</v>
      </c>
      <c r="C36" s="20">
        <v>6</v>
      </c>
      <c r="D36" s="20" t="s">
        <v>395</v>
      </c>
      <c r="E36" s="20" t="s">
        <v>396</v>
      </c>
      <c r="F36" s="20" t="s">
        <v>397</v>
      </c>
      <c r="G36" s="20">
        <v>6</v>
      </c>
      <c r="H36" s="59" t="s">
        <v>398</v>
      </c>
      <c r="I36" s="20">
        <v>2</v>
      </c>
      <c r="J36" s="20" t="s">
        <v>1299</v>
      </c>
      <c r="K36" s="20">
        <v>50</v>
      </c>
      <c r="L36" s="20">
        <v>500</v>
      </c>
      <c r="M36" s="20" t="s">
        <v>1299</v>
      </c>
      <c r="N36" s="20" t="s">
        <v>1301</v>
      </c>
    </row>
    <row r="37" spans="1:14" x14ac:dyDescent="0.2">
      <c r="A37" s="20" t="s">
        <v>35</v>
      </c>
      <c r="B37" s="20" t="s">
        <v>400</v>
      </c>
      <c r="C37" s="20">
        <v>6</v>
      </c>
      <c r="D37" s="20" t="s">
        <v>401</v>
      </c>
      <c r="E37" s="59">
        <v>0</v>
      </c>
      <c r="F37" s="20" t="s">
        <v>397</v>
      </c>
      <c r="G37" s="20">
        <v>6</v>
      </c>
      <c r="H37" s="59" t="s">
        <v>398</v>
      </c>
      <c r="I37" s="20">
        <v>2</v>
      </c>
      <c r="J37" s="20" t="s">
        <v>1302</v>
      </c>
      <c r="K37" s="20">
        <v>10</v>
      </c>
      <c r="L37" s="20">
        <v>60</v>
      </c>
      <c r="M37" s="20" t="s">
        <v>1299</v>
      </c>
      <c r="N37" s="20" t="s">
        <v>1303</v>
      </c>
    </row>
    <row r="38" spans="1:14" x14ac:dyDescent="0.2">
      <c r="A38" s="20" t="s">
        <v>1304</v>
      </c>
      <c r="B38" s="20" t="s">
        <v>1305</v>
      </c>
      <c r="C38" s="20">
        <v>6</v>
      </c>
      <c r="D38" s="20" t="s">
        <v>395</v>
      </c>
      <c r="E38" s="20" t="s">
        <v>396</v>
      </c>
      <c r="F38" s="20" t="s">
        <v>397</v>
      </c>
      <c r="G38" s="20">
        <v>6</v>
      </c>
      <c r="H38" s="59" t="s">
        <v>398</v>
      </c>
      <c r="I38" s="20">
        <v>2</v>
      </c>
      <c r="J38" s="20" t="s">
        <v>1299</v>
      </c>
      <c r="K38" s="20">
        <v>35</v>
      </c>
      <c r="L38" s="20">
        <v>50</v>
      </c>
      <c r="M38" s="20" t="s">
        <v>1299</v>
      </c>
      <c r="N38" s="20" t="s">
        <v>1306</v>
      </c>
    </row>
    <row r="39" spans="1:14" x14ac:dyDescent="0.2">
      <c r="A39" s="20"/>
      <c r="B39" s="20"/>
      <c r="C39" s="20"/>
      <c r="D39" s="28"/>
      <c r="E39" s="20"/>
      <c r="F39" s="20"/>
      <c r="G39" s="20"/>
      <c r="H39" s="20"/>
      <c r="I39" s="20"/>
    </row>
    <row r="40" spans="1:14" ht="16" x14ac:dyDescent="0.2">
      <c r="A40" s="104" t="s">
        <v>1307</v>
      </c>
    </row>
    <row r="41" spans="1:14" x14ac:dyDescent="0.2">
      <c r="A41" s="17" t="s">
        <v>1308</v>
      </c>
      <c r="B41" s="18" t="s">
        <v>1309</v>
      </c>
      <c r="C41" s="19" t="s">
        <v>135</v>
      </c>
      <c r="D41" s="48" t="str">
        <f>VLOOKUP(electrode_sel,$A$35:$N$38,10,FALSE)</f>
        <v>rod</v>
      </c>
      <c r="E41" s="99" t="s">
        <v>1310</v>
      </c>
    </row>
    <row r="42" spans="1:14" x14ac:dyDescent="0.2">
      <c r="A42" s="17" t="s">
        <v>1311</v>
      </c>
      <c r="B42" s="18" t="s">
        <v>1312</v>
      </c>
      <c r="C42" s="19" t="s">
        <v>146</v>
      </c>
      <c r="D42" s="48">
        <f>VLOOKUP(electrode_sel,$A$35:$N$38,3,FALSE)</f>
        <v>6.0</v>
      </c>
      <c r="E42" s="99" t="s">
        <v>1313</v>
      </c>
    </row>
    <row r="43" spans="1:14" x14ac:dyDescent="0.2">
      <c r="A43" s="17" t="s">
        <v>1314</v>
      </c>
      <c r="B43" s="18" t="s">
        <v>1315</v>
      </c>
      <c r="C43" s="19" t="s">
        <v>135</v>
      </c>
      <c r="D43" s="48" t="str">
        <f>VLOOKUP(electrode_sel,$A$35:$N$38,13,FALSE)</f>
        <v>rod</v>
      </c>
      <c r="E43" s="99" t="s">
        <v>1316</v>
      </c>
    </row>
    <row r="44" spans="1:14" x14ac:dyDescent="0.2">
      <c r="A44" s="17" t="s">
        <v>1317</v>
      </c>
      <c r="B44" s="18" t="s">
        <v>1318</v>
      </c>
      <c r="C44" s="19" t="s">
        <v>146</v>
      </c>
      <c r="D44" s="48">
        <f>VLOOKUP(electrode_sel,$A$35:$N$38,7,FALSE)</f>
        <v>6.0</v>
      </c>
      <c r="E44" s="99" t="s">
        <v>1313</v>
      </c>
    </row>
    <row r="45" spans="1:14" ht="36" x14ac:dyDescent="0.2">
      <c r="A45" s="17" t="s">
        <v>1319</v>
      </c>
      <c r="B45" s="18" t="s">
        <v>1320</v>
      </c>
      <c r="C45" s="19" t="s">
        <v>146</v>
      </c>
      <c r="D45" s="48">
        <f>Geometry!$D$93</f>
        <v>9.18130412738</v>
      </c>
      <c r="E45" s="99" t="inlineStr">
        <is>
          <t xml:space="preserve">Submerged length at the achieved liquid level (Geometry D93), not the bare datum (Geometry D35), which would overstate the wetted area by about 6.5% and understate every current density by the same factor.</t>
        </is>
      </c>
    </row>
    <row r="46" spans="1:14" x14ac:dyDescent="0.2">
      <c r="A46" s="17" t="s">
        <v>1071</v>
      </c>
      <c r="B46" s="18" t="s">
        <v>1321</v>
      </c>
      <c r="C46" s="19" t="s">
        <v>1073</v>
      </c>
      <c r="D46" s="48">
        <f>(PI()*anode_dia*L_sub+IF(anode_shape="rod",PI()/4*anode_dia^2,0))/100</f>
        <v>2.01337839464</v>
      </c>
      <c r="E46" s="99" t="s">
        <v>1322</v>
      </c>
    </row>
    <row r="47" spans="1:14" x14ac:dyDescent="0.2">
      <c r="A47" s="17" t="s">
        <v>1323</v>
      </c>
      <c r="B47" s="18" t="s">
        <v>1324</v>
      </c>
      <c r="C47" s="19" t="s">
        <v>1073</v>
      </c>
      <c r="D47" s="48">
        <f>(PI()*cathode_dia*L_sub+IF(cathode_shape="rod",PI()/4*cathode_dia^2,0))/100</f>
        <v>2.01337839464</v>
      </c>
      <c r="E47" s="99" t="s">
        <v>1325</v>
      </c>
    </row>
    <row r="48" spans="1:14" x14ac:dyDescent="0.2">
      <c r="A48" s="17" t="s">
        <v>1281</v>
      </c>
      <c r="B48" s="18" t="s">
        <v>1326</v>
      </c>
      <c r="C48" s="19" t="s">
        <v>1282</v>
      </c>
      <c r="D48" s="48">
        <f>I_app*1000/A_anode_wet</f>
        <v>2.826095688296</v>
      </c>
      <c r="E48" s="99" t="s">
        <v>1327</v>
      </c>
    </row>
    <row r="49" spans="1:5" x14ac:dyDescent="0.2">
      <c r="A49" s="17" t="s">
        <v>1328</v>
      </c>
      <c r="B49" s="18" t="s">
        <v>1329</v>
      </c>
      <c r="C49" s="19" t="s">
        <v>1282</v>
      </c>
      <c r="D49" s="48">
        <f>I_app*1000/A_cath_wet</f>
        <v>2.826095688296</v>
      </c>
      <c r="E49" s="99" t="s">
        <v>1330</v>
      </c>
    </row>
    <row r="50" spans="1:5" x14ac:dyDescent="0.2">
      <c r="A50" s="17" t="s">
        <v>1331</v>
      </c>
      <c r="B50" s="18" t="s">
        <v>1332</v>
      </c>
      <c r="C50" s="19" t="s">
        <v>1282</v>
      </c>
      <c r="D50" s="48">
        <f>VLOOKUP(electrode_sel,$A$35:$N$38,11,FALSE)</f>
        <v>100.0</v>
      </c>
      <c r="E50" s="99" t="s">
        <v>1333</v>
      </c>
    </row>
    <row r="51" spans="1:5" x14ac:dyDescent="0.2">
      <c r="A51" s="17" t="s">
        <v>1334</v>
      </c>
      <c r="B51" s="18" t="s">
        <v>1335</v>
      </c>
      <c r="C51" s="19" t="s">
        <v>1282</v>
      </c>
      <c r="D51" s="48">
        <f>VLOOKUP(electrode_sel,$A$35:$N$38,12,FALSE)</f>
        <v>500.0</v>
      </c>
      <c r="E51" s="99" t="s">
        <v>1336</v>
      </c>
    </row>
    <row r="52" spans="1:5" x14ac:dyDescent="0.2">
      <c r="A52" s="17" t="s">
        <v>1337</v>
      </c>
      <c r="B52" s="18" t="s">
        <v>1338</v>
      </c>
      <c r="C52" s="19" t="s">
        <v>1282</v>
      </c>
      <c r="D52" s="146">
        <v>80</v>
      </c>
      <c r="E52" s="51" t="s">
        <v>1339</v>
      </c>
    </row>
    <row r="53" spans="1:5" x14ac:dyDescent="0.2">
      <c r="A53" s="17" t="s">
        <v>1340</v>
      </c>
      <c r="B53" s="18" t="s">
        <v>1341</v>
      </c>
      <c r="C53" s="19" t="s">
        <v>1282</v>
      </c>
      <c r="D53" s="146">
        <v>250</v>
      </c>
      <c r="E53" s="51" t="s">
        <v>1342</v>
      </c>
    </row>
    <row r="54" spans="1:5" x14ac:dyDescent="0.2">
      <c r="A54" s="17" t="s">
        <v>1343</v>
      </c>
      <c r="B54" s="18" t="s">
        <v>1344</v>
      </c>
      <c r="C54" s="19" t="s">
        <v>1282</v>
      </c>
      <c r="D54" s="146">
        <v>1</v>
      </c>
      <c r="E54" s="114" t="s">
        <v>1345</v>
      </c>
    </row>
    <row r="55" spans="1:5" x14ac:dyDescent="0.2">
      <c r="A55" s="17" t="s">
        <v>1346</v>
      </c>
      <c r="B55" s="18" t="s">
        <v>1347</v>
      </c>
      <c r="C55" s="19" t="s">
        <v>1282</v>
      </c>
      <c r="D55" s="146">
        <v>2</v>
      </c>
      <c r="E55" s="114" t="s">
        <v>1348</v>
      </c>
    </row>
    <row r="56" spans="1:5" x14ac:dyDescent="0.2">
      <c r="A56" s="17" t="s">
        <v>1349</v>
      </c>
      <c r="B56" s="18" t="s">
        <v>1350</v>
      </c>
      <c r="C56" s="19" t="s">
        <v>1282</v>
      </c>
      <c r="D56" s="48">
        <f>IF(ISNUMBER(cal_j_opt),cal_j_opt,IFERROR(VLOOKUP(Summary!$D$4,$A$66:$E$71,2,FALSE),j_opt_default))</f>
        <v>2.14</v>
      </c>
      <c r="E56" s="99" t="s">
        <v>1351</v>
      </c>
    </row>
    <row r="57" spans="1:5" x14ac:dyDescent="0.2">
      <c r="A57" s="17" t="s">
        <v>1352</v>
      </c>
      <c r="B57" s="18" t="s">
        <v>1353</v>
      </c>
      <c r="C57" s="19" t="s">
        <v>1282</v>
      </c>
      <c r="D57" s="48">
        <f>IF(ISNUMBER(cal_j_ceiling),cal_j_ceiling,IFERROR(VLOOKUP(Summary!$D$4,$A$66:$E$71,3,FALSE),j_ceiling_default))</f>
        <v>4.29</v>
      </c>
      <c r="E57" s="99" t="s">
        <v>1354</v>
      </c>
    </row>
    <row r="58" spans="1:5" x14ac:dyDescent="0.2">
      <c r="A58" s="17" t="s">
        <v>1355</v>
      </c>
      <c r="B58" s="18" t="s">
        <v>1356</v>
      </c>
      <c r="C58" s="19" t="s">
        <v>135</v>
      </c>
      <c r="D58" s="48" t="str">
        <f>IFERROR(VLOOKUP(Summary!$D$4,$A$66:$E$71,4,FALSE),"unknown")</f>
        <v>med</v>
      </c>
      <c r="E58" s="99" t="s">
        <v>1357</v>
      </c>
    </row>
    <row r="59" spans="1:5" x14ac:dyDescent="0.2">
      <c r="A59" s="17" t="s">
        <v>1358</v>
      </c>
      <c r="B59" s="18" t="s">
        <v>1359</v>
      </c>
      <c r="C59" s="19" t="s">
        <v>135</v>
      </c>
      <c r="D59" s="48" t="str">
        <f>IF(j_anode&lt;=j_opt_strain,"OK - at/below optimum",IF(j_anode&lt;=j_ceiling_strain,"watch - above optimum","EXCEED - over strain ceiling"))</f>
        <v>watch - above optimum</v>
      </c>
      <c r="E59" s="99" t="s">
        <v>1360</v>
      </c>
    </row>
    <row r="60" spans="1:5" x14ac:dyDescent="0.2">
      <c r="A60" s="17" t="s">
        <v>1361</v>
      </c>
      <c r="B60" s="18" t="s">
        <v>1362</v>
      </c>
      <c r="C60" s="19" t="s">
        <v>135</v>
      </c>
      <c r="D60" s="48"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99" t="s">
        <v>1363</v>
      </c>
    </row>
    <row r="61" spans="1:5" x14ac:dyDescent="0.2">
      <c r="A61" s="17" t="s">
        <v>1364</v>
      </c>
      <c r="B61" s="18" t="s">
        <v>1365</v>
      </c>
      <c r="C61" s="19" t="s">
        <v>135</v>
      </c>
      <c r="D61" s="48" t="str">
        <f>IF(j_cathode&lt;=cath_j_cont,"OK - cathode within HER norm",IF(j_cathode&lt;=cath_j_max,"watch - high cathodic j","EXCEED - over SS HER norm"))</f>
        <v>OK - cathode within HER norm</v>
      </c>
      <c r="E61" s="99" t="s">
        <v>1366</v>
      </c>
    </row>
    <row r="62" spans="1:5" x14ac:dyDescent="0.2">
      <c r="A62" s="17" t="s">
        <v>1367</v>
      </c>
      <c r="B62" s="18" t="s">
        <v>1368</v>
      </c>
      <c r="C62" s="19" t="s">
        <v>135</v>
      </c>
      <c r="D62" s="48"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99" t="s">
        <v>1369</v>
      </c>
    </row>
    <row r="63" spans="1:5" x14ac:dyDescent="0.2">
      <c r="A63" s="17" t="s">
        <v>1370</v>
      </c>
      <c r="B63" s="18" t="s">
        <v>1371</v>
      </c>
      <c r="C63" s="19" t="s">
        <v>135</v>
      </c>
      <c r="D63" s="48" t="str">
        <f>VLOOKUP(electrode_sel,$A$35:$N$38,2,FALSE)</f>
        <v>Pt/Ti</v>
      </c>
      <c r="E63" s="99" t="s">
        <v>1372</v>
      </c>
    </row>
    <row r="64" spans="1:5" ht="16" x14ac:dyDescent="0.2">
      <c r="A64" s="104" t="s">
        <v>1373</v>
      </c>
    </row>
    <row r="65" spans="1:5" x14ac:dyDescent="0.2">
      <c r="A65" s="103" t="s">
        <v>1374</v>
      </c>
      <c r="B65" s="103" t="s">
        <v>1375</v>
      </c>
      <c r="C65" s="103" t="s">
        <v>1376</v>
      </c>
      <c r="D65" s="103" t="s">
        <v>1377</v>
      </c>
      <c r="E65" s="103" t="s">
        <v>527</v>
      </c>
    </row>
    <row r="66" spans="1:5" x14ac:dyDescent="0.2">
      <c r="A66" s="20" t="s">
        <v>39</v>
      </c>
      <c r="B66" s="20">
        <v>2</v>
      </c>
      <c r="C66" s="20">
        <v>4</v>
      </c>
      <c r="D66" s="20" t="s">
        <v>1018</v>
      </c>
      <c r="E66" s="114" t="s">
        <v>1378</v>
      </c>
    </row>
    <row r="67" spans="1:5" x14ac:dyDescent="0.2">
      <c r="A67" s="20" t="s">
        <v>529</v>
      </c>
      <c r="B67" s="20">
        <v>2</v>
      </c>
      <c r="C67" s="20">
        <v>4</v>
      </c>
      <c r="D67" s="20" t="s">
        <v>1018</v>
      </c>
      <c r="E67" s="114" t="s">
        <v>1379</v>
      </c>
    </row>
    <row r="68" spans="1:5" x14ac:dyDescent="0.2">
      <c r="A68" s="20" t="s">
        <v>531</v>
      </c>
      <c r="B68" s="20">
        <v>2</v>
      </c>
      <c r="C68" s="20">
        <v>4</v>
      </c>
      <c r="D68" s="20" t="s">
        <v>1018</v>
      </c>
      <c r="E68" s="114" t="s">
        <v>1379</v>
      </c>
    </row>
    <row r="69" spans="1:5" x14ac:dyDescent="0.2">
      <c r="A69" s="20" t="s">
        <v>533</v>
      </c>
      <c r="B69" s="20">
        <v>2</v>
      </c>
      <c r="C69" s="20">
        <v>4</v>
      </c>
      <c r="D69" s="20" t="s">
        <v>1018</v>
      </c>
      <c r="E69" s="114" t="s">
        <v>1379</v>
      </c>
    </row>
    <row r="70" spans="1:5" x14ac:dyDescent="0.2">
      <c r="A70" s="20" t="s">
        <v>534</v>
      </c>
      <c r="B70" s="20">
        <v>2</v>
      </c>
      <c r="C70" s="20">
        <v>4</v>
      </c>
      <c r="D70" s="20" t="s">
        <v>1018</v>
      </c>
      <c r="E70" s="114" t="s">
        <v>1380</v>
      </c>
    </row>
    <row r="71" spans="1:5" x14ac:dyDescent="0.2">
      <c r="A71" s="20" t="s">
        <v>535</v>
      </c>
      <c r="B71" s="20">
        <v>2.14</v>
      </c>
      <c r="C71" s="20">
        <v>4.29</v>
      </c>
      <c r="D71" s="20" t="s">
        <v>1015</v>
      </c>
      <c r="E71" s="51" t="s">
        <v>1381</v>
      </c>
    </row>
    <row r="72" spans="1:5" ht="16" x14ac:dyDescent="0.2">
      <c r="A72" s="104" t="s">
        <v>1382</v>
      </c>
    </row>
    <row r="73" spans="1:5" x14ac:dyDescent="0.2">
      <c r="A73" s="17" t="s">
        <v>1383</v>
      </c>
      <c r="B73" s="18" t="s">
        <v>1384</v>
      </c>
      <c r="C73" s="19" t="s">
        <v>45</v>
      </c>
      <c r="D73" s="146">
        <v>10</v>
      </c>
      <c r="E73" s="51" t="s">
        <v>1385</v>
      </c>
    </row>
    <row r="74" spans="1:5" x14ac:dyDescent="0.2">
      <c r="A74" s="17" t="s">
        <v>1288</v>
      </c>
      <c r="B74" s="18" t="s">
        <v>1386</v>
      </c>
      <c r="C74" s="19" t="s">
        <v>325</v>
      </c>
      <c r="D74" s="48">
        <f>gerrit_slope*power_max+gerrit_int</f>
        <v>12.9</v>
      </c>
      <c r="E74" s="99" t="s">
        <v>1387</v>
      </c>
    </row>
    <row r="75" spans="1:5" x14ac:dyDescent="0.2">
      <c r="A75" s="17" t="s">
        <v>1290</v>
      </c>
      <c r="B75" s="18" t="s">
        <v>1388</v>
      </c>
      <c r="C75" s="19" t="s">
        <v>1282</v>
      </c>
      <c r="D75" s="48">
        <f>I_max/A_anode_wet</f>
        <v>6.407141367138</v>
      </c>
      <c r="E75" s="99" t="s">
        <v>1291</v>
      </c>
    </row>
    <row r="76" spans="1:5" x14ac:dyDescent="0.2">
      <c r="A76" s="17" t="s">
        <v>1389</v>
      </c>
      <c r="B76" s="18" t="s">
        <v>1390</v>
      </c>
      <c r="C76" s="19" t="s">
        <v>135</v>
      </c>
      <c r="D76" s="48" t="str">
        <f>IF(OR(j_anode_max&gt;j_ceiling_strain,j_anode_max&gt;anode_j_max),"EXCEED - max current over a limit",IF(OR(j_anode_max&gt;j_opt_strain,j_anode_max&gt;anode_j_cont),"watch - max current above optimum","OK - max current in range"))</f>
        <v>EXCEED - max current over a limit</v>
      </c>
      <c r="E76" s="99" t="s">
        <v>1391</v>
      </c>
    </row>
    <row r="78" spans="1:5" x14ac:dyDescent="0.2">
      <c r="A78" s="5" t="inlineStr">
        <is>
          <t xml:space="preserve">CALCULATED FARADAIC SPLIT – the cathode competes with dissolved O₂</t>
        </is>
      </c>
    </row>
    <row r="79" spans="1:5" x14ac:dyDescent="0.2">
      <c r="A79" t="s">
        <v>1626</v>
      </c>
      <c r="B79" s="18" t="s">
        <v>1627</v>
      </c>
      <c r="C79" s="19" t="s">
        <v>1274</v>
      </c>
      <c r="D79" s="141">
        <f>Biology!$D$60</f>
        <v>0.226086956522</v>
      </c>
      <c r="E79" s="67" t="s">
        <v>1628</v>
      </c>
    </row>
    <row r="80" spans="1:5" x14ac:dyDescent="0.2">
      <c r="A80" t="s">
        <v>1629</v>
      </c>
      <c r="B80" s="18" t="s">
        <v>1630</v>
      </c>
      <c r="C80" s="19" t="s">
        <v>1001</v>
      </c>
      <c r="D80" s="141">
        <f>Biology!$D$27</f>
        <v>0.36477</v>
      </c>
      <c r="E80" s="67" t="s">
        <v>1631</v>
      </c>
    </row>
    <row r="81" spans="1:5" x14ac:dyDescent="0.2">
      <c r="A81" t="s">
        <v>1632</v>
      </c>
      <c r="B81" s="18" t="s">
        <v>1633</v>
      </c>
      <c r="C81" s="19" t="s">
        <v>577</v>
      </c>
      <c r="D81" s="141">
        <f>'Mass Transfer'!$D$32</f>
        <v>1.997672318404e-09</v>
      </c>
      <c r="E81" s="67" t="s">
        <v>1634</v>
      </c>
    </row>
    <row r="82" spans="1:5" x14ac:dyDescent="0.2">
      <c r="A82" t="s">
        <v>1635</v>
      </c>
      <c r="B82" s="18" t="s">
        <v>1636</v>
      </c>
      <c r="C82" s="19" t="s">
        <v>858</v>
      </c>
      <c r="D82" s="141">
        <f>Biology!$D$6/1000</f>
        <v>0.015</v>
      </c>
      <c r="E82" s="67" t="s">
        <v>859</v>
      </c>
    </row>
    <row r="83" spans="1:5" ht="60" x14ac:dyDescent="0.2">
      <c r="A83" t="s">
        <v>1637</v>
      </c>
      <c r="B83" s="18" t="s">
        <v>1638</v>
      </c>
      <c r="C83" s="19" t="s">
        <v>1070</v>
      </c>
      <c r="D83" s="131">
        <v>4.0000000000000001E-3</v>
      </c>
      <c r="E83" s="75" t="s">
        <v>1639</v>
      </c>
    </row>
    <row r="84" spans="1:5" ht="24" x14ac:dyDescent="0.2">
      <c r="A84" t="s">
        <v>1640</v>
      </c>
      <c r="B84" s="18" t="s">
        <v>1641</v>
      </c>
      <c r="C84" s="19" t="s">
        <v>1274</v>
      </c>
      <c r="D84" s="146">
        <v>0.64400000000000002</v>
      </c>
      <c r="E84" s="99" t="s">
        <v>1642</v>
      </c>
    </row>
    <row r="85" spans="1:5" ht="36" x14ac:dyDescent="0.2">
      <c r="A85" t="s">
        <v>1643</v>
      </c>
      <c r="B85" s="18" t="s">
        <v>1644</v>
      </c>
      <c r="C85" s="19" t="s">
        <v>1001</v>
      </c>
      <c r="D85" s="141">
        <f>ec_DO_frac*ec_O2_ceil</f>
        <v>0.08246973913</v>
      </c>
      <c r="E85" s="67" t="s">
        <v>1645</v>
      </c>
    </row>
    <row r="86" spans="1:5" ht="48" x14ac:dyDescent="0.2">
      <c r="A86" t="s">
        <v>1646</v>
      </c>
      <c r="B86" s="18" t="s">
        <v>1647</v>
      </c>
      <c r="C86" s="19" t="s">
        <v>1076</v>
      </c>
      <c r="D86" s="141">
        <f>z_e_ORR*F_const*(km_O2/100)*ec_DO_design*(A_cath_wet/10000)</f>
        <v>0.0001281655506682</v>
      </c>
      <c r="E86" s="67" t="s">
        <v>1648</v>
      </c>
    </row>
    <row r="87" spans="1:5" x14ac:dyDescent="0.2">
      <c r="A87" t="s">
        <v>1649</v>
      </c>
      <c r="B87" s="18" t="s">
        <v>1650</v>
      </c>
      <c r="C87" s="19" t="s">
        <v>1076</v>
      </c>
      <c r="D87" s="141">
        <f>z_e_ORR*F_const*(km_O2/100)*ec_O2_ceil*(A_cath_wet/10000)</f>
        <v>0.0005668860894942</v>
      </c>
      <c r="E87" s="67" t="s">
        <v>1651</v>
      </c>
    </row>
    <row r="88" spans="1:5" ht="36" x14ac:dyDescent="0.2">
      <c r="A88" t="s">
        <v>1652</v>
      </c>
      <c r="B88" s="18" t="s">
        <v>1653</v>
      </c>
      <c r="C88" s="19" t="s">
        <v>1274</v>
      </c>
      <c r="D88" s="141">
        <f>MAX(0,1-i_ORR_design/I_app)</f>
        <v>0.977475298652</v>
      </c>
      <c r="E88" s="67" t="inlineStr">
        <is>
          <t xml:space="preserve">1 − (cathodic O₂ current)/(applied current). Neutral-pH HER on stainless also has its own kinetic losses; this accounts only for the O₂ that competes for the current.</t>
        </is>
      </c>
    </row>
    <row r="89" spans="1:5" x14ac:dyDescent="0.2">
      <c r="A89" t="s">
        <v>1655</v>
      </c>
      <c r="B89" s="18" t="s">
        <v>1656</v>
      </c>
      <c r="C89" s="19" t="s">
        <v>1274</v>
      </c>
      <c r="D89" s="141">
        <f>MAX(0,1-i_ORR_ceiling/I_app)</f>
        <v>0.90037151327</v>
      </c>
      <c r="E89" s="67" t="s">
        <v>1657</v>
      </c>
    </row>
    <row r="90" spans="1:5" x14ac:dyDescent="0.2">
      <c r="A90" s="5" t="s">
        <v>1658</v>
      </c>
    </row>
    <row r="91" spans="1:5" ht="48" x14ac:dyDescent="0.2">
      <c r="A91" t="s">
        <v>1659</v>
      </c>
      <c r="B91" s="18" t="s">
        <v>1660</v>
      </c>
      <c r="C91" s="19" t="s">
        <v>1274</v>
      </c>
      <c r="D91" s="131">
        <v>0.15</v>
      </c>
      <c r="E91" s="75" t="s">
        <v>1661</v>
      </c>
    </row>
    <row r="92" spans="1:5" x14ac:dyDescent="0.2">
      <c r="A92" t="s">
        <v>1662</v>
      </c>
      <c r="B92" s="18" t="s">
        <v>1663</v>
      </c>
      <c r="C92" s="19" t="s">
        <v>1258</v>
      </c>
      <c r="D92" s="146">
        <v>34.014699999999998</v>
      </c>
      <c r="E92" s="99" t="s">
        <v>1664</v>
      </c>
    </row>
    <row r="93" spans="1:5" ht="24" x14ac:dyDescent="0.2">
      <c r="A93" t="s">
        <v>1665</v>
      </c>
      <c r="B93" s="18" t="s">
        <v>1666</v>
      </c>
      <c r="C93" s="19" t="s">
        <v>1266</v>
      </c>
      <c r="D93" s="141">
        <f>f_HOOH*i_ORR_design/(2*F_const)*M_H2O2*1000*3600/ec_V_L</f>
        <v>0.813296984002</v>
      </c>
      <c r="E93" s="67" t="inlineStr">
        <is>
          <t xml:space="preserve">2 electrons per H₂O₂. This source runs whenever there is current and dissolved O₂.</t>
        </is>
      </c>
    </row>
    <row r="94" spans="1:5" ht="48" x14ac:dyDescent="0.2">
      <c r="A94" t="s">
        <v>1668</v>
      </c>
      <c r="B94" s="18" t="s">
        <v>1669</v>
      </c>
      <c r="C94" s="19" t="s">
        <v>639</v>
      </c>
      <c r="D94" s="131">
        <v>4.1000000000000003E-3</v>
      </c>
      <c r="E94" s="75" t="s">
        <v>1670</v>
      </c>
    </row>
    <row r="95" spans="1:5" ht="48" x14ac:dyDescent="0.2">
      <c r="A95" t="s">
        <v>1671</v>
      </c>
      <c r="B95" s="18" t="s">
        <v>1672</v>
      </c>
      <c r="C95" s="19" t="s">
        <v>1270</v>
      </c>
      <c r="D95" s="141">
        <f>r_H2O2/(k_cat_cells*3600)</f>
        <v>0.05510142168</v>
      </c>
      <c r="E95" s="67" t="s">
        <v>1673</v>
      </c>
    </row>
    <row r="96" spans="1:5" x14ac:dyDescent="0.2">
      <c r="A96" t="s">
        <v>1674</v>
      </c>
      <c r="B96" s="18" t="s">
        <v>1675</v>
      </c>
      <c r="C96" s="19" t="s">
        <v>1270</v>
      </c>
      <c r="D96" s="141">
        <f>r_H2O2</f>
        <v>0.813296984002</v>
      </c>
      <c r="E96" s="67" t="s">
        <v>1676</v>
      </c>
    </row>
    <row r="97" spans="1:5" ht="60" x14ac:dyDescent="0.2">
      <c r="A97" t="s">
        <v>1677</v>
      </c>
      <c r="B97" s="18" t="s">
        <v>1678</v>
      </c>
      <c r="C97" s="19" t="s">
        <v>1270</v>
      </c>
      <c r="D97" s="146">
        <v>0.17</v>
      </c>
      <c r="E97" s="67" t="s">
        <v>1679</v>
      </c>
    </row>
    <row r="98" spans="1:5" ht="24" x14ac:dyDescent="0.2">
      <c r="A98" t="s">
        <v>1680</v>
      </c>
      <c r="B98" s="18" t="s">
        <v>1681</v>
      </c>
      <c r="C98" s="19" t="s">
        <v>962</v>
      </c>
      <c r="D98" s="141">
        <f>IF(r_H2O2&gt;0,H2O2_thresh/r_H2O2*60,NA())</f>
        <v>12.541544110741</v>
      </c>
      <c r="E98" s="67" t="s">
        <v>1682</v>
      </c>
    </row>
    <row r="99" spans="1:5" ht="48" x14ac:dyDescent="0.2">
      <c r="A99" t="s">
        <v>1683</v>
      </c>
      <c r="B99" s="18" t="s">
        <v>1684</v>
      </c>
      <c r="C99" s="19" t="s">
        <v>1274</v>
      </c>
      <c r="D99" s="141" t="str">
        <f>IF(H2O2_ss&gt;H2O2_thresh,"PEROXIDE ABOVE THE GROWTH-INHIBITION THRESHOLD even with a full catalase pool ("&amp;TEXT(H2O2_ss,"0.00")&amp;" mg/L)",IF(H2O2_lag_1h&gt;H2O2_thresh,"watch — steady growth is clear ("&amp;TEXT(H2O2_ss,"0.000")&amp;" mg/L) but LAG PHASE is not: peroxide passes the threshold in "&amp;TEXT(t_H2O2_thresh,"0")&amp;" min before biomass can scavenge it","OK — peroxide stays below the growth-inhibition threshold in both phases"))</f>
        <v>watch — steady growth is clear (0.055 mg/L) but LAG PHASE is not: peroxide passes the threshold in 13 min before biomass can scavenge it</v>
      </c>
      <c r="E99" s="67" t="s">
        <v>1685</v>
      </c>
    </row>
    <row r="100" spans="1:5" x14ac:dyDescent="0.2">
      <c r="A100" s="5" t="s">
        <v>1686</v>
      </c>
    </row>
    <row r="101" spans="1:5" x14ac:dyDescent="0.2">
      <c r="A101" t="s">
        <v>1687</v>
      </c>
      <c r="B101" s="18" t="s">
        <v>1688</v>
      </c>
      <c r="C101" s="19" t="s">
        <v>1076</v>
      </c>
      <c r="D101" s="141">
        <f>Chemistry!$D$133</f>
        <v>0.0001417839262056</v>
      </c>
      <c r="E101" s="67" t="s">
        <v>1689</v>
      </c>
    </row>
    <row r="102" spans="1:5" x14ac:dyDescent="0.2">
      <c r="A102" t="s">
        <v>1690</v>
      </c>
      <c r="B102" s="18" t="s">
        <v>1691</v>
      </c>
      <c r="C102" s="19" t="s">
        <v>1274</v>
      </c>
      <c r="D102" s="141">
        <f>Chemistry!$D$158</f>
        <v>0.0</v>
      </c>
      <c r="E102" s="70" t="s">
        <v>1692</v>
      </c>
    </row>
    <row r="103" spans="1:5" ht="36" x14ac:dyDescent="0.2">
      <c r="A103" t="s">
        <v>1693</v>
      </c>
      <c r="B103" s="18" t="s">
        <v>1694</v>
      </c>
      <c r="C103" s="19" t="s">
        <v>1274</v>
      </c>
      <c r="D103" s="141">
        <f>ec_I_Cl/I_app</f>
        <v>0.024918088964</v>
      </c>
      <c r="E103" s="67" t="s">
        <v>1695</v>
      </c>
    </row>
    <row r="104" spans="1:5" ht="36" x14ac:dyDescent="0.2">
      <c r="A104" t="s">
        <v>1696</v>
      </c>
      <c r="B104" s="18" t="s">
        <v>1697</v>
      </c>
      <c r="C104" s="19" t="s">
        <v>1274</v>
      </c>
      <c r="D104" s="141">
        <f>MAX(0,1-f_Cl_anode-IF(ISNUMBER(ec_corr_I),ec_corr_I,0))</f>
        <v>0.975081911036</v>
      </c>
      <c r="E104" s="67" t="inlineStr">
        <is>
          <t xml:space="preserve">1 − chlorine share − metal-dissolution share. It remains an UPPER BOUND while the metal-dissolution charge is unmeasured: a corroding anode takes current that this cell still credits to oxygen.</t>
        </is>
      </c>
    </row>
    <row r="105" spans="1:5" x14ac:dyDescent="0.2">
      <c r="A105" s="5" t="s">
        <v>1699</v>
      </c>
    </row>
    <row r="106" spans="1:5" ht="24" x14ac:dyDescent="0.2">
      <c r="A106" t="s">
        <v>1700</v>
      </c>
      <c r="B106" s="18" t="s">
        <v>1701</v>
      </c>
      <c r="C106" s="19" t="s">
        <v>1595</v>
      </c>
      <c r="D106" s="141">
        <f>Chemistry!$D$201</f>
        <v>1.229</v>
      </c>
      <c r="E106" s="99" t="s">
        <v>1702</v>
      </c>
    </row>
    <row r="107" spans="1:5" ht="48" x14ac:dyDescent="0.2">
      <c r="A107" t="s">
        <v>1703</v>
      </c>
      <c r="B107" s="18" t="s">
        <v>1704</v>
      </c>
      <c r="C107" s="19" t="s">
        <v>1705</v>
      </c>
      <c r="D107" s="131">
        <v>0.12</v>
      </c>
      <c r="E107" s="75" t="s">
        <v>1706</v>
      </c>
    </row>
    <row r="108" spans="1:5" ht="48" x14ac:dyDescent="0.2">
      <c r="A108" t="s">
        <v>1707</v>
      </c>
      <c r="B108" s="18" t="s">
        <v>1708</v>
      </c>
      <c r="C108" s="19" t="s">
        <v>1709</v>
      </c>
      <c r="D108" s="131">
        <v>1E-10</v>
      </c>
      <c r="E108" s="41" t="s">
        <v>1710</v>
      </c>
    </row>
    <row r="109" spans="1:5" ht="36" x14ac:dyDescent="0.2">
      <c r="A109" t="s">
        <v>1711</v>
      </c>
      <c r="B109" s="18" t="s">
        <v>1712</v>
      </c>
      <c r="C109" s="19" t="s">
        <v>1705</v>
      </c>
      <c r="D109" s="131">
        <v>0.14000000000000001</v>
      </c>
      <c r="E109" s="67" t="s">
        <v>1713</v>
      </c>
    </row>
    <row r="110" spans="1:5" ht="24" x14ac:dyDescent="0.2">
      <c r="A110" t="s">
        <v>1714</v>
      </c>
      <c r="B110" s="18" t="s">
        <v>1715</v>
      </c>
      <c r="C110" s="19" t="s">
        <v>1709</v>
      </c>
      <c r="D110" s="131">
        <v>1.5E-6</v>
      </c>
      <c r="E110" s="67" t="s">
        <v>1716</v>
      </c>
    </row>
    <row r="111" spans="1:5" x14ac:dyDescent="0.2">
      <c r="A111" t="s">
        <v>1717</v>
      </c>
      <c r="B111" s="18" t="s">
        <v>1718</v>
      </c>
      <c r="C111" s="19" t="s">
        <v>1595</v>
      </c>
      <c r="D111" s="141">
        <f>b_anode*LOG10(j_anode/1000/j0_anode)</f>
        <v>0.894142423496</v>
      </c>
      <c r="E111" s="67" t="s">
        <v>1719</v>
      </c>
    </row>
    <row r="112" spans="1:5" x14ac:dyDescent="0.2">
      <c r="A112" t="s">
        <v>1720</v>
      </c>
      <c r="B112" s="18" t="s">
        <v>1721</v>
      </c>
      <c r="C112" s="19" t="s">
        <v>1595</v>
      </c>
      <c r="D112" s="141">
        <f>b_cath*LOG10(j_cathode/1000/j0_cath)</f>
        <v>0.458513384477</v>
      </c>
      <c r="E112" s="67" t="s">
        <v>1722</v>
      </c>
    </row>
    <row r="113" spans="1:5" ht="72" x14ac:dyDescent="0.2">
      <c r="A113" t="s">
        <v>1723</v>
      </c>
      <c r="B113" s="18" t="s">
        <v>1724</v>
      </c>
      <c r="C113" s="19" t="s">
        <v>1595</v>
      </c>
      <c r="D113" s="131">
        <v>-0.15</v>
      </c>
      <c r="E113" s="75" t="s">
        <v>1725</v>
      </c>
    </row>
    <row r="114" spans="1:5" x14ac:dyDescent="0.2">
      <c r="A114" t="s">
        <v>1726</v>
      </c>
      <c r="B114" s="18" t="s">
        <v>1727</v>
      </c>
      <c r="C114" s="19" t="s">
        <v>1507</v>
      </c>
      <c r="D114" s="141">
        <f>Chemistry!$D$180</f>
        <v>0.706946657056</v>
      </c>
      <c r="E114" s="67" t="s">
        <v>1728</v>
      </c>
    </row>
    <row r="115" spans="1:5" x14ac:dyDescent="0.2">
      <c r="A115" t="s">
        <v>1729</v>
      </c>
      <c r="B115" s="18" t="s">
        <v>1730</v>
      </c>
      <c r="C115" s="19" t="s">
        <v>146</v>
      </c>
      <c r="D115" s="141">
        <f>Geometry!$D$92</f>
        <v>14.0</v>
      </c>
      <c r="E115" s="70" t="s">
        <v>1731</v>
      </c>
    </row>
    <row r="116" spans="1:5" ht="48" x14ac:dyDescent="0.2">
      <c r="A116" t="s">
        <v>1732</v>
      </c>
      <c r="B116" s="18" t="s">
        <v>1733</v>
      </c>
      <c r="C116" s="19" t="s">
        <v>1274</v>
      </c>
      <c r="D116" s="131">
        <v>2</v>
      </c>
      <c r="E116" s="75" t="s">
        <v>1734</v>
      </c>
    </row>
    <row r="117" spans="1:5" ht="24" x14ac:dyDescent="0.2">
      <c r="A117" t="s">
        <v>1735</v>
      </c>
      <c r="B117" s="18" t="s">
        <v>1736</v>
      </c>
      <c r="C117" s="19" t="s">
        <v>1737</v>
      </c>
      <c r="D117" s="141">
        <f>k_geom*ACOSH(ec_gap/anode_dia)/(PI()*ec_kappa*(L_sub/1000))</f>
        <v>146.239829708796</v>
      </c>
      <c r="E117" s="67" t="s">
        <v>1738</v>
      </c>
    </row>
    <row r="118" spans="1:5" ht="24" x14ac:dyDescent="0.2">
      <c r="A118" t="s">
        <v>1739</v>
      </c>
      <c r="B118" s="18" t="s">
        <v>1740</v>
      </c>
      <c r="C118" s="19" t="s">
        <v>1595</v>
      </c>
      <c r="D118" s="141">
        <f>I_app*R_cell</f>
        <v>0.832104631043</v>
      </c>
      <c r="E118" s="67" t="s">
        <v>1741</v>
      </c>
    </row>
    <row r="119" spans="1:5" ht="36" x14ac:dyDescent="0.2">
      <c r="A119" t="s">
        <v>1742</v>
      </c>
      <c r="B119" s="18" t="s">
        <v>1743</v>
      </c>
      <c r="C119" s="19" t="s">
        <v>1595</v>
      </c>
      <c r="D119" s="141">
        <f>ec_E_rev+eta_anode+eta_cath+pcet_credit+V_IR</f>
        <v>3.263760439016</v>
      </c>
      <c r="E119" s="67" t="s">
        <v>1744</v>
      </c>
    </row>
    <row r="120" spans="1:5" ht="24" x14ac:dyDescent="0.2">
      <c r="A120" t="s">
        <v>1745</v>
      </c>
      <c r="B120" s="18" t="s">
        <v>1746</v>
      </c>
      <c r="C120" s="19" t="s">
        <v>1595</v>
      </c>
      <c r="D120" s="146">
        <v>5</v>
      </c>
      <c r="E120" s="67" t="s">
        <v>1747</v>
      </c>
    </row>
    <row r="121" spans="1:5" x14ac:dyDescent="0.2">
      <c r="A121" t="s">
        <v>1748</v>
      </c>
      <c r="B121" s="18" t="s">
        <v>1749</v>
      </c>
      <c r="C121" s="19" t="s">
        <v>1595</v>
      </c>
      <c r="D121" s="141">
        <f>V_rail-V_cell_est</f>
        <v>1.736239560984</v>
      </c>
      <c r="E121" s="67" t="s">
        <v>1750</v>
      </c>
    </row>
    <row r="122" spans="1:5" ht="24" x14ac:dyDescent="0.2">
      <c r="A122" t="s">
        <v>1751</v>
      </c>
      <c r="B122" s="18" t="s">
        <v>1752</v>
      </c>
      <c r="C122" s="19" t="s">
        <v>1274</v>
      </c>
      <c r="D122" s="141"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3.26 V estimated against a 5 V rail</v>
      </c>
      <c r="E122" s="67" t="s">
        <v>1753</v>
      </c>
    </row>
    <row r="124">
      <c r="A124" s="104" t="inlineStr">
        <is>
          <t xml:space="preserve">NAMED DEFAULTS AND THRESHOLDS</t>
        </is>
      </c>
    </row>
    <row r="125">
      <c r="A125" s="17" t="inlineStr">
        <is>
          <t xml:space="preserve">Gerrit's Law slope (default)</t>
        </is>
      </c>
      <c r="B125" s="18" t="inlineStr">
        <is>
          <t xml:space="preserve">gerrit_slope_default</t>
        </is>
      </c>
      <c r="C125" s="19" t="inlineStr">
        <is>
          <t xml:space="preserve">mA/%</t>
        </is>
      </c>
      <c r="D125" s="131">
        <v>1.03</v>
      </c>
      <c r="E125" s="109" t="inlineStr">
        <is>
          <t xml:space="preserve">Gerrit's Law fit, LED_D current calibration (protocols/gerrit-current.md); used when no Calibrations run is included.</t>
        </is>
      </c>
    </row>
    <row r="126">
      <c r="A126" s="17" t="inlineStr">
        <is>
          <t xml:space="preserve">Gerrit's Law intercept (default)</t>
        </is>
      </c>
      <c r="B126" s="18" t="inlineStr">
        <is>
          <t xml:space="preserve">gerrit_int_default</t>
        </is>
      </c>
      <c r="C126" s="19" t="inlineStr">
        <is>
          <t xml:space="preserve">mA</t>
        </is>
      </c>
      <c r="D126" s="131">
        <v>2.6</v>
      </c>
      <c r="E126" s="109" t="inlineStr">
        <is>
          <t xml:space="preserve">Gerrit's Law fit, LED_D current calibration (protocols/gerrit-current.md); used when no Calibrations run is included.</t>
        </is>
      </c>
    </row>
    <row r="127">
      <c r="A127" s="17" t="inlineStr">
        <is>
          <t xml:space="preserve">Voltage headroom caution margin</t>
        </is>
      </c>
      <c r="B127" s="18" t="inlineStr">
        <is>
          <t xml:space="preserve">V_headroom_min</t>
        </is>
      </c>
      <c r="C127" s="19" t="inlineStr">
        <is>
          <t xml:space="preserve">V</t>
        </is>
      </c>
      <c r="D127" s="131">
        <v>1</v>
      </c>
      <c r="E127" s="114" t="inlineStr">
        <is>
          <t xml:space="preserve">Design assumption: the current law starts to bend within this margin of the drive rail.</t>
        </is>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226"/>
  <sheetViews>
    <sheetView topLeftCell="A218" workbookViewId="0">
      <selection activeCell="E109" sqref="E109"/>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104" t="s">
        <v>834</v>
      </c>
    </row>
    <row r="2" spans="1:6" x14ac:dyDescent="0.2">
      <c r="A2" s="16" t="s">
        <v>835</v>
      </c>
      <c r="B2" s="16" t="s">
        <v>836</v>
      </c>
      <c r="C2" s="16" t="s">
        <v>837</v>
      </c>
      <c r="D2" s="16" t="s">
        <v>838</v>
      </c>
      <c r="E2" s="16" t="s">
        <v>839</v>
      </c>
    </row>
    <row r="3" spans="1:6" x14ac:dyDescent="0.2">
      <c r="A3" s="103" t="s">
        <v>840</v>
      </c>
    </row>
    <row r="4" spans="1:6" x14ac:dyDescent="0.2">
      <c r="A4" s="17" t="s">
        <v>841</v>
      </c>
      <c r="B4" s="18" t="s">
        <v>842</v>
      </c>
      <c r="C4" s="19" t="s">
        <v>843</v>
      </c>
      <c r="D4" s="64">
        <f>Biology!$D$18</f>
        <v>298.15</v>
      </c>
      <c r="E4" s="51" t="s">
        <v>844</v>
      </c>
    </row>
    <row r="5" spans="1:6" ht="36" x14ac:dyDescent="0.2">
      <c r="A5" s="17" t="inlineStr">
        <is>
          <t xml:space="preserve">(import) Dissolved CO₂ (cycle average)</t>
        </is>
      </c>
      <c r="B5" s="18" t="s">
        <v>846</v>
      </c>
      <c r="C5" s="19" t="s">
        <v>847</v>
      </c>
      <c r="D5" s="64">
        <f>'Mass Transfer'!$D$162</f>
        <v>0.008590210622</v>
      </c>
      <c r="E5" s="51" t="inlineStr">
        <is>
          <t xml:space="preserve">Schedule-dependent cycle-average dissolved CO₂ (mass-conserving limit cycle, bounded by air equilibrium and pure-CO₂ saturation).</t>
        </is>
      </c>
    </row>
    <row r="6" spans="1:6" x14ac:dyDescent="0.2">
      <c r="A6" s="17" t="s">
        <v>848</v>
      </c>
      <c r="B6" s="18" t="s">
        <v>849</v>
      </c>
      <c r="C6" s="19" t="s">
        <v>850</v>
      </c>
      <c r="D6" s="64">
        <f>Electrochemistry!$D$19</f>
        <v>0.00569</v>
      </c>
      <c r="E6" s="51" t="s">
        <v>851</v>
      </c>
    </row>
    <row r="7" spans="1:6" x14ac:dyDescent="0.2">
      <c r="A7" s="17" t="s">
        <v>852</v>
      </c>
      <c r="B7" s="18" t="s">
        <v>853</v>
      </c>
      <c r="C7" s="19" t="s">
        <v>854</v>
      </c>
      <c r="D7" s="64">
        <f>Electrochemistry!$D$15</f>
        <v>96485.33212</v>
      </c>
      <c r="E7" s="51" t="s">
        <v>855</v>
      </c>
    </row>
    <row r="8" spans="1:6" x14ac:dyDescent="0.2">
      <c r="A8" s="17" t="s">
        <v>856</v>
      </c>
      <c r="B8" s="18" t="s">
        <v>857</v>
      </c>
      <c r="C8" s="19" t="s">
        <v>858</v>
      </c>
      <c r="D8" s="64">
        <f>Biology!$D$6/1000</f>
        <v>0.015</v>
      </c>
      <c r="E8" s="51" t="s">
        <v>859</v>
      </c>
    </row>
    <row r="9" spans="1:6" x14ac:dyDescent="0.2">
      <c r="A9" s="17" t="s">
        <v>860</v>
      </c>
      <c r="B9" s="18" t="s">
        <v>861</v>
      </c>
      <c r="C9" s="19" t="s">
        <v>862</v>
      </c>
      <c r="D9" s="148">
        <f>'Mass Transfer'!$D$101</f>
        <v>8.314462618</v>
      </c>
      <c r="E9" s="84" t="inlineStr">
        <is>
          <t xml:space="preserve">→ Mass Transfer (R_gas).</t>
        </is>
      </c>
    </row>
    <row r="11" spans="1:6" ht="16" x14ac:dyDescent="0.2">
      <c r="A11" s="104" t="s">
        <v>863</v>
      </c>
      <c r="F11" s="101" t="s">
        <v>864</v>
      </c>
    </row>
    <row r="12" spans="1:6" x14ac:dyDescent="0.2">
      <c r="A12" s="16" t="s">
        <v>865</v>
      </c>
      <c r="B12" s="16" t="s">
        <v>866</v>
      </c>
      <c r="C12" s="16" t="s">
        <v>867</v>
      </c>
      <c r="D12" s="16" t="s">
        <v>868</v>
      </c>
      <c r="E12" s="16" t="s">
        <v>869</v>
      </c>
    </row>
    <row r="13" spans="1:6" x14ac:dyDescent="0.2">
      <c r="A13" s="17" t="s">
        <v>871</v>
      </c>
      <c r="B13" s="52">
        <v>4.4499999999999997E-7</v>
      </c>
      <c r="C13" s="52">
        <v>9.15</v>
      </c>
      <c r="D13" s="64">
        <f>B13*EXP(-C13*1000/R_gas*(1/TKc-1/T_ref))</f>
        <v>4.45e-07</v>
      </c>
      <c r="E13" s="84" t="s">
        <v>870</v>
      </c>
    </row>
    <row r="14" spans="1:6" x14ac:dyDescent="0.2">
      <c r="A14" s="17" t="s">
        <v>872</v>
      </c>
      <c r="B14" s="52">
        <v>4.6900000000000001E-11</v>
      </c>
      <c r="C14" s="52">
        <v>14.9</v>
      </c>
      <c r="D14" s="64">
        <f>B14*EXP(-C14*1000/R_gas*(1/TKc-1/T_ref))</f>
        <v>4.69e-11</v>
      </c>
      <c r="E14" s="84" t="s">
        <v>870</v>
      </c>
    </row>
    <row r="15" spans="1:6" x14ac:dyDescent="0.2">
      <c r="A15" s="17" t="s">
        <v>873</v>
      </c>
      <c r="B15" s="52">
        <v>7.1000000000000004E-3</v>
      </c>
      <c r="C15" s="52">
        <v>-8</v>
      </c>
      <c r="D15" s="64">
        <f>B15*EXP(-C15*1000/R_gas*(1/TKc-1/T_ref))</f>
        <v>0.0071</v>
      </c>
      <c r="E15" s="84" t="s">
        <v>870</v>
      </c>
    </row>
    <row r="16" spans="1:6" x14ac:dyDescent="0.2">
      <c r="A16" s="17" t="s">
        <v>874</v>
      </c>
      <c r="B16" s="52">
        <v>6.3100000000000003E-8</v>
      </c>
      <c r="C16" s="52">
        <v>3.6</v>
      </c>
      <c r="D16" s="64">
        <f>B16*EXP(-C16*1000/R_gas*(1/TKc-1/T_ref))</f>
        <v>6.31e-08</v>
      </c>
      <c r="E16" s="84" t="s">
        <v>870</v>
      </c>
    </row>
    <row r="17" spans="1:6" x14ac:dyDescent="0.2">
      <c r="A17" s="17" t="s">
        <v>1007</v>
      </c>
      <c r="B17" s="52">
        <v>4.1999999999999998E-13</v>
      </c>
      <c r="C17" s="52">
        <v>16</v>
      </c>
      <c r="D17" s="64">
        <f>B17*EXP(-C17*1000/R_gas*(1/TKc-1/T_ref))</f>
        <v>4.2e-13</v>
      </c>
      <c r="E17" s="84" t="s">
        <v>870</v>
      </c>
    </row>
    <row r="18" spans="1:6" x14ac:dyDescent="0.2">
      <c r="A18" s="17" t="s">
        <v>875</v>
      </c>
      <c r="B18" s="52">
        <v>5.6000000000000003E-10</v>
      </c>
      <c r="C18" s="52">
        <v>52.2</v>
      </c>
      <c r="D18" s="64">
        <f>B18*EXP(-C18*1000/R_gas*(1/TKc-1/T_ref))</f>
        <v>5.6e-10</v>
      </c>
      <c r="E18" s="84" t="s">
        <v>870</v>
      </c>
    </row>
    <row r="19" spans="1:6" x14ac:dyDescent="0.2">
      <c r="A19" s="17" t="s">
        <v>876</v>
      </c>
      <c r="B19" s="52">
        <v>1E-14</v>
      </c>
      <c r="C19" s="52">
        <v>55.8</v>
      </c>
      <c r="D19" s="64">
        <f>B19*EXP(-C19*1000/R_gas*(1/TKc-1/T_ref))</f>
        <v>1e-14</v>
      </c>
      <c r="E19" s="84" t="s">
        <v>870</v>
      </c>
    </row>
    <row r="20" spans="1:6" x14ac:dyDescent="0.2">
      <c r="A20" s="17" t="s">
        <v>877</v>
      </c>
      <c r="B20" s="52">
        <v>2.8840315031266057E-8</v>
      </c>
      <c r="C20" s="52">
        <v>13.8</v>
      </c>
      <c r="D20" s="64">
        <f>B20*EXP(-C20*1000/R_gas*(1/TKc-1/T_ref))</f>
        <v>2.884031503127e-08</v>
      </c>
      <c r="E20" s="84" t="s">
        <v>870</v>
      </c>
    </row>
    <row r="21" spans="1:6" x14ac:dyDescent="0.2">
      <c r="A21" s="17" t="s">
        <v>878</v>
      </c>
      <c r="B21" s="18" t="s">
        <v>879</v>
      </c>
      <c r="C21" s="19" t="s">
        <v>880</v>
      </c>
      <c r="D21" s="149">
        <f>-LOG10(Ka_HOCl)</f>
        <v>7.54</v>
      </c>
      <c r="E21" s="51" t="s">
        <v>881</v>
      </c>
    </row>
    <row r="23" spans="1:6" ht="16" x14ac:dyDescent="0.2">
      <c r="A23" s="104" t="s">
        <v>882</v>
      </c>
      <c r="F23" s="101" t="s">
        <v>883</v>
      </c>
    </row>
    <row r="24" spans="1:6" x14ac:dyDescent="0.2">
      <c r="A24" s="16" t="s">
        <v>886</v>
      </c>
      <c r="B24" s="16" t="s">
        <v>887</v>
      </c>
      <c r="C24" s="16" t="s">
        <v>888</v>
      </c>
      <c r="D24" s="16" t="s">
        <v>889</v>
      </c>
      <c r="E24" s="16" t="s">
        <v>890</v>
      </c>
    </row>
    <row r="25" spans="1:6" x14ac:dyDescent="0.2">
      <c r="A25" s="17" t="s">
        <v>891</v>
      </c>
      <c r="B25" s="52">
        <v>136.08600000000001</v>
      </c>
      <c r="C25" s="20">
        <v>0</v>
      </c>
      <c r="D25" s="146">
        <v>2.2999999999999998</v>
      </c>
      <c r="E25" s="51" t="s">
        <v>884</v>
      </c>
    </row>
    <row r="26" spans="1:6" x14ac:dyDescent="0.2">
      <c r="A26" s="17" t="s">
        <v>892</v>
      </c>
      <c r="B26" s="52">
        <v>141.96</v>
      </c>
      <c r="C26" s="52">
        <v>2.895</v>
      </c>
      <c r="D26" s="146">
        <v>2.9</v>
      </c>
      <c r="E26" s="51" t="s">
        <v>885</v>
      </c>
    </row>
    <row r="27" spans="1:6" x14ac:dyDescent="0.2">
      <c r="A27" s="17" t="s">
        <v>893</v>
      </c>
      <c r="B27" s="52">
        <v>156.01</v>
      </c>
      <c r="C27" s="52">
        <v>3.06</v>
      </c>
      <c r="D27" s="20">
        <v>0</v>
      </c>
      <c r="E27" s="51" t="s">
        <v>885</v>
      </c>
    </row>
    <row r="28" spans="1:6" x14ac:dyDescent="0.2">
      <c r="A28" s="17" t="s">
        <v>894</v>
      </c>
      <c r="B28" s="52">
        <v>84.007000000000005</v>
      </c>
      <c r="C28" s="20">
        <v>0</v>
      </c>
      <c r="D28" s="146">
        <v>1.05</v>
      </c>
      <c r="E28" s="51" t="s">
        <v>884</v>
      </c>
    </row>
    <row r="29" spans="1:6" x14ac:dyDescent="0.2">
      <c r="A29" s="17" t="s">
        <v>895</v>
      </c>
      <c r="B29" s="52">
        <v>174.26</v>
      </c>
      <c r="C29" s="52">
        <v>0.17</v>
      </c>
      <c r="D29" s="20">
        <v>0</v>
      </c>
      <c r="E29" s="51" t="s">
        <v>885</v>
      </c>
    </row>
    <row r="30" spans="1:6" x14ac:dyDescent="0.2">
      <c r="A30" s="17" t="s">
        <v>896</v>
      </c>
      <c r="B30" s="52">
        <v>172.17</v>
      </c>
      <c r="C30" s="52">
        <v>9.7000000000000003E-2</v>
      </c>
      <c r="D30" s="20">
        <v>0</v>
      </c>
      <c r="E30" s="51" t="s">
        <v>885</v>
      </c>
    </row>
    <row r="31" spans="1:6" x14ac:dyDescent="0.2">
      <c r="A31" s="17" t="s">
        <v>897</v>
      </c>
      <c r="B31" s="52">
        <v>246.48</v>
      </c>
      <c r="C31" s="52">
        <v>0.8</v>
      </c>
      <c r="D31" s="146">
        <v>0.5</v>
      </c>
      <c r="E31" s="51" t="s">
        <v>885</v>
      </c>
    </row>
    <row r="32" spans="1:6" x14ac:dyDescent="0.2">
      <c r="A32" s="17" t="s">
        <v>898</v>
      </c>
      <c r="B32" s="52">
        <v>132.13999999999999</v>
      </c>
      <c r="C32" s="52">
        <v>0.94299999999999995</v>
      </c>
      <c r="D32" s="146">
        <v>0.47</v>
      </c>
      <c r="E32" s="51" t="s">
        <v>885</v>
      </c>
    </row>
    <row r="33" spans="1:5" ht="24" x14ac:dyDescent="0.2">
      <c r="A33" s="17" t="s">
        <v>899</v>
      </c>
      <c r="B33" s="52">
        <v>110.98</v>
      </c>
      <c r="C33" s="20">
        <v>0</v>
      </c>
      <c r="D33" s="146">
        <v>0.01</v>
      </c>
      <c r="E33" s="51" t="s">
        <v>1062</v>
      </c>
    </row>
    <row r="35" spans="1:5" x14ac:dyDescent="0.2">
      <c r="A35" s="17" t="s">
        <v>900</v>
      </c>
      <c r="B35" s="18" t="s">
        <v>901</v>
      </c>
      <c r="C35" s="19" t="s">
        <v>902</v>
      </c>
      <c r="D35" s="149">
        <f>mc_Na2HPO4/MW_Na2HPO4+mc_NaH2PO4_2H2O/MW_NaH2PO4_2H2O</f>
        <v>0.04000719577</v>
      </c>
      <c r="E35" s="51" t="s">
        <v>903</v>
      </c>
    </row>
    <row r="36" spans="1:5" x14ac:dyDescent="0.2">
      <c r="A36" s="17" t="s">
        <v>904</v>
      </c>
      <c r="B36" s="18" t="s">
        <v>905</v>
      </c>
      <c r="C36" s="19" t="s">
        <v>906</v>
      </c>
      <c r="D36" s="149">
        <f>(2*mc_Na2HPO4/MW_Na2HPO4+mc_NaH2PO4_2H2O/MW_NaH2PO4_2H2O+2*mc_K2SO4/MW_K2SO4+2*mc_MgSO4_7H2O/MW_MgSO4_7H2O+2*mc_CaSO4_2H2O/MW_CaSO4_2H2O)-2*(mc_NH42SO4/MW_NH42SO4+mc_MgSO4_7H2O/MW_MgSO4_7H2O+mc_K2SO4/MW_K2SO4+mc_CaSO4_2H2O/MW_CaSO4_2H2O)</f>
        <v>0.046127523207</v>
      </c>
      <c r="E36" s="51" t="s">
        <v>907</v>
      </c>
    </row>
    <row r="37" spans="1:5" x14ac:dyDescent="0.2">
      <c r="A37" s="17" t="s">
        <v>908</v>
      </c>
      <c r="B37" s="18" t="s">
        <v>909</v>
      </c>
      <c r="C37" s="19" t="s">
        <v>910</v>
      </c>
      <c r="D37" s="149">
        <f>2*mc_NH42SO4/MW_NH42SO4</f>
        <v>0.014272741032</v>
      </c>
      <c r="E37" s="51" t="s">
        <v>911</v>
      </c>
    </row>
    <row r="38" spans="1:5" x14ac:dyDescent="0.2">
      <c r="A38" s="17" t="s">
        <v>912</v>
      </c>
      <c r="B38" s="18" t="s">
        <v>913</v>
      </c>
      <c r="C38" s="19" t="s">
        <v>914</v>
      </c>
      <c r="D38" s="149">
        <f>0</f>
        <v>0.0</v>
      </c>
      <c r="E38" s="51" t="s">
        <v>915</v>
      </c>
    </row>
    <row r="39" spans="1:5" x14ac:dyDescent="0.2">
      <c r="A39" s="17" t="s">
        <v>916</v>
      </c>
      <c r="B39" s="18" t="s">
        <v>917</v>
      </c>
      <c r="C39" s="19" t="s">
        <v>918</v>
      </c>
      <c r="D39" s="149">
        <f>udg_KH2PO4/MW_KH2PO4+udg_Na2HPO4/MW_Na2HPO4</f>
        <v>0.037329366919</v>
      </c>
      <c r="E39" s="51" t="s">
        <v>919</v>
      </c>
    </row>
    <row r="40" spans="1:5" x14ac:dyDescent="0.2">
      <c r="A40" s="17" t="s">
        <v>920</v>
      </c>
      <c r="B40" s="18" t="s">
        <v>921</v>
      </c>
      <c r="C40" s="19" t="s">
        <v>922</v>
      </c>
      <c r="D40" s="149">
        <f>(udg_NaHCO3/MW_NaHCO3+2*udg_Na2HPO4/MW_Na2HPO4+udg_KH2PO4/MW_KH2PO4+2*udg_MgSO4_7H2O/MW_MgSO4_7H2O+2*udg_CaCl2/MW_CaCl2)-(2*(udg_NH42SO4/MW_NH42SO4+udg_MgSO4_7H2O/MW_MgSO4_7H2O)+2*udg_CaCl2/MW_CaCl2)</f>
        <v>0.063142947676</v>
      </c>
      <c r="E40" s="51" t="s">
        <v>923</v>
      </c>
    </row>
    <row r="41" spans="1:5" x14ac:dyDescent="0.2">
      <c r="A41" s="17" t="s">
        <v>924</v>
      </c>
      <c r="B41" s="18" t="s">
        <v>925</v>
      </c>
      <c r="C41" s="19" t="s">
        <v>926</v>
      </c>
      <c r="D41" s="149">
        <f>2*udg_NH42SO4/MW_NH42SO4</f>
        <v>0.007113667323</v>
      </c>
      <c r="E41" s="51" t="s">
        <v>927</v>
      </c>
    </row>
    <row r="42" spans="1:5" x14ac:dyDescent="0.2">
      <c r="A42" s="17" t="s">
        <v>928</v>
      </c>
      <c r="B42" s="18" t="s">
        <v>929</v>
      </c>
      <c r="C42" s="19" t="s">
        <v>930</v>
      </c>
      <c r="D42" s="149">
        <f>2*udg_CaCl2/MW_CaCl2</f>
        <v>0.0001802126509281</v>
      </c>
      <c r="E42" s="51" t="s">
        <v>931</v>
      </c>
    </row>
    <row r="44" spans="1:5" x14ac:dyDescent="0.2">
      <c r="A44" s="17" t="s">
        <v>932</v>
      </c>
      <c r="B44" s="18" t="s">
        <v>933</v>
      </c>
      <c r="C44" s="19" t="s">
        <v>934</v>
      </c>
      <c r="D44" s="149">
        <f>IF(Summary!$D$5="MC02",SID_mc02,IF(Summary!$D$5="UdG phosphate",SID_udg,NA()))</f>
        <v>0.063142947676</v>
      </c>
      <c r="E44" s="51" t="s">
        <v>935</v>
      </c>
    </row>
    <row r="45" spans="1:5" x14ac:dyDescent="0.2">
      <c r="A45" s="17" t="s">
        <v>936</v>
      </c>
      <c r="B45" s="18" t="s">
        <v>937</v>
      </c>
      <c r="C45" s="19" t="s">
        <v>938</v>
      </c>
      <c r="D45" s="149">
        <f>IF(Summary!$D$5="MC02",PT_mc02,IF(Summary!$D$5="UdG phosphate",PT_udg,NA()))</f>
        <v>0.037329366919</v>
      </c>
      <c r="E45" s="51" t="s">
        <v>939</v>
      </c>
    </row>
    <row r="46" spans="1:5" x14ac:dyDescent="0.2">
      <c r="A46" s="17" t="s">
        <v>940</v>
      </c>
      <c r="B46" s="18" t="s">
        <v>941</v>
      </c>
      <c r="C46" s="19" t="s">
        <v>942</v>
      </c>
      <c r="D46" s="149">
        <f>IF(Summary!$D$5="MC02",NT_mc02,IF(Summary!$D$5="UdG phosphate",NT_udg,NA()))</f>
        <v>0.007113667323</v>
      </c>
      <c r="E46" s="51" t="s">
        <v>943</v>
      </c>
    </row>
    <row r="47" spans="1:5" x14ac:dyDescent="0.2">
      <c r="A47" s="17" t="s">
        <v>944</v>
      </c>
      <c r="B47" s="18" t="s">
        <v>945</v>
      </c>
      <c r="C47" s="19" t="s">
        <v>946</v>
      </c>
      <c r="D47" s="149">
        <f>IF(Summary!$D$5="MC02",Cl_mc02,IF(Summary!$D$5="UdG phosphate",Cl_udg,NA()))</f>
        <v>0.0001802126509281</v>
      </c>
      <c r="E47" s="51" t="s">
        <v>947</v>
      </c>
    </row>
    <row r="49" spans="1:3" x14ac:dyDescent="0.2">
      <c r="A49" s="16" t="s">
        <v>1877</v>
      </c>
      <c r="B49" s="16" t="s">
        <v>948</v>
      </c>
      <c r="C49" s="16" t="s">
        <v>949</v>
      </c>
    </row>
    <row r="50" spans="1:3" x14ac:dyDescent="0.2">
      <c r="A50" s="20">
        <v>4</v>
      </c>
      <c r="B50" s="64">
        <f t="shared" ref="B50:B81" si="1">pH_SID + pH_NT*(10^-A50)/((10^-A50)+KaN_c) + (10^-A50) - (pH_PT*Ka1p_c*(10^-A50)^2 + 2*pH_PT*Ka1p_c*Ka2p_c*(10^-A50) + 3*pH_PT*Ka1p_c*Ka2p_c*Ka3p_c)/((10^-A50)^3 + Ka1p_c*(10^-A50)^2 + Ka1p_c*Ka2p_c*(10^-A50) + Ka1p_c*Ka2p_c*Ka3p_c) - Ka1c_c*CO2aqc/(10^-A50) - 2*Ka1c_c*Ka2c_c*CO2aqc/(10^-A50)^2 - Kw_c/(10^-A50)</f>
        <v>0.033213926229</v>
      </c>
      <c r="C50" s="64">
        <f>IF(AND(B50&gt;=0,B51&lt;0),A50+pH_step*B50/(B50-B51),0)</f>
        <v>0.0</v>
      </c>
    </row>
    <row r="51" spans="1:3" x14ac:dyDescent="0.2">
      <c r="A51" s="20">
        <v>4.0999999999999996</v>
      </c>
      <c r="B51" s="64">
        <f t="shared" si="1"/>
        <v>0.033095991179</v>
      </c>
      <c r="C51" s="64">
        <f>IF(AND(B51&gt;=0,B52&lt;0),A51+pH_step*B51/(B51-B52),0)</f>
        <v>0.0</v>
      </c>
    </row>
    <row r="52" spans="1:3" x14ac:dyDescent="0.2">
      <c r="A52" s="20">
        <v>4.2</v>
      </c>
      <c r="B52" s="64">
        <f t="shared" si="1"/>
        <v>0.032986799309</v>
      </c>
      <c r="C52" s="64">
        <f>IF(AND(B52&gt;=0,B53&lt;0),A52+pH_step*B52/(B52-B53),0)</f>
        <v>0.0</v>
      </c>
    </row>
    <row r="53" spans="1:3" x14ac:dyDescent="0.2">
      <c r="A53" s="20">
        <v>4.3</v>
      </c>
      <c r="B53" s="64">
        <f t="shared" si="1"/>
        <v>0.032880652062</v>
      </c>
      <c r="C53" s="64">
        <f>IF(AND(B53&gt;=0,B54&lt;0),A53+pH_step*B53/(B53-B54),0)</f>
        <v>0.0</v>
      </c>
    </row>
    <row r="54" spans="1:3" x14ac:dyDescent="0.2">
      <c r="A54" s="20">
        <v>4.4000000000000004</v>
      </c>
      <c r="B54" s="64">
        <f t="shared" si="1"/>
        <v>0.032771986272</v>
      </c>
      <c r="C54" s="64">
        <f>IF(AND(B54&gt;=0,B55&lt;0),A54+pH_step*B54/(B54-B55),0)</f>
        <v>0.0</v>
      </c>
    </row>
    <row r="55" spans="1:3" x14ac:dyDescent="0.2">
      <c r="A55" s="20">
        <v>4.5</v>
      </c>
      <c r="B55" s="64">
        <f t="shared" si="1"/>
        <v>0.032655096798</v>
      </c>
      <c r="C55" s="64">
        <f>IF(AND(B55&gt;=0,B56&lt;0),A55+pH_step*B55/(B55-B56),0)</f>
        <v>0.0</v>
      </c>
    </row>
    <row r="56" spans="1:3" x14ac:dyDescent="0.2">
      <c r="A56" s="20">
        <v>4.5999999999999996</v>
      </c>
      <c r="B56" s="64">
        <f t="shared" si="1"/>
        <v>0.032523849984</v>
      </c>
      <c r="C56" s="64">
        <f>IF(AND(B56&gt;=0,B57&lt;0),A56+pH_step*B56/(B56-B57),0)</f>
        <v>0.0</v>
      </c>
    </row>
    <row r="57" spans="1:3" x14ac:dyDescent="0.2">
      <c r="A57" s="20">
        <v>4.7</v>
      </c>
      <c r="B57" s="64">
        <f t="shared" si="1"/>
        <v>0.032371376227</v>
      </c>
      <c r="C57" s="64">
        <f>IF(AND(B57&gt;=0,B58&lt;0),A57+pH_step*B57/(B57-B58),0)</f>
        <v>0.0</v>
      </c>
    </row>
    <row r="58" spans="1:3" x14ac:dyDescent="0.2">
      <c r="A58" s="20">
        <v>4.8</v>
      </c>
      <c r="B58" s="64">
        <f t="shared" si="1"/>
        <v>0.032189729231</v>
      </c>
      <c r="C58" s="64">
        <f>IF(AND(B58&gt;=0,B59&lt;0),A58+pH_step*B58/(B58-B59),0)</f>
        <v>0.0</v>
      </c>
    </row>
    <row r="59" spans="1:3" x14ac:dyDescent="0.2">
      <c r="A59" s="20">
        <v>4.9000000000000004</v>
      </c>
      <c r="B59" s="64">
        <f t="shared" si="1"/>
        <v>0.031969498815</v>
      </c>
      <c r="C59" s="64">
        <f>IF(AND(B59&gt;=0,B60&lt;0),A59+pH_step*B59/(B59-B60),0)</f>
        <v>0.0</v>
      </c>
    </row>
    <row r="60" spans="1:3" x14ac:dyDescent="0.2">
      <c r="A60" s="20">
        <v>5</v>
      </c>
      <c r="B60" s="64">
        <f t="shared" si="1"/>
        <v>0.031699363744</v>
      </c>
      <c r="C60" s="64">
        <f>IF(AND(B60&gt;=0,B61&lt;0),A60+pH_step*B60/(B60-B61),0)</f>
        <v>0.0</v>
      </c>
    </row>
    <row r="61" spans="1:3" x14ac:dyDescent="0.2">
      <c r="A61" s="20">
        <v>5.0999999999999996</v>
      </c>
      <c r="B61" s="64">
        <f t="shared" si="1"/>
        <v>0.031365571066</v>
      </c>
      <c r="C61" s="64">
        <f>IF(AND(B61&gt;=0,B62&lt;0),A61+pH_step*B61/(B61-B62),0)</f>
        <v>0.0</v>
      </c>
    </row>
    <row r="62" spans="1:3" x14ac:dyDescent="0.2">
      <c r="A62" s="20">
        <v>5.2</v>
      </c>
      <c r="B62" s="64">
        <f t="shared" si="1"/>
        <v>0.030951329376</v>
      </c>
      <c r="C62" s="64">
        <f>IF(AND(B62&gt;=0,B63&lt;0),A62+pH_step*B62/(B62-B63),0)</f>
        <v>0.0</v>
      </c>
    </row>
    <row r="63" spans="1:3" x14ac:dyDescent="0.2">
      <c r="A63" s="20">
        <v>5.3</v>
      </c>
      <c r="B63" s="64">
        <f t="shared" si="1"/>
        <v>0.030436105853</v>
      </c>
      <c r="C63" s="64">
        <f>IF(AND(B63&gt;=0,B64&lt;0),A63+pH_step*B63/(B63-B64),0)</f>
        <v>0.0</v>
      </c>
    </row>
    <row r="64" spans="1:3" x14ac:dyDescent="0.2">
      <c r="A64" s="20">
        <v>5.4</v>
      </c>
      <c r="B64" s="64">
        <f t="shared" si="1"/>
        <v>0.029794821411</v>
      </c>
      <c r="C64" s="64">
        <f>IF(AND(B64&gt;=0,B65&lt;0),A64+pH_step*B64/(B64-B65),0)</f>
        <v>0.0</v>
      </c>
    </row>
    <row r="65" spans="1:3" x14ac:dyDescent="0.2">
      <c r="A65" s="20">
        <v>5.5</v>
      </c>
      <c r="B65" s="64">
        <f t="shared" si="1"/>
        <v>0.028996945562</v>
      </c>
      <c r="C65" s="64">
        <f>IF(AND(B65&gt;=0,B66&lt;0),A65+pH_step*B65/(B65-B66),0)</f>
        <v>0.0</v>
      </c>
    </row>
    <row r="66" spans="1:3" x14ac:dyDescent="0.2">
      <c r="A66" s="20">
        <v>5.6</v>
      </c>
      <c r="B66" s="64">
        <f t="shared" si="1"/>
        <v>0.028005502639</v>
      </c>
      <c r="C66" s="64">
        <f>IF(AND(B66&gt;=0,B67&lt;0),A66+pH_step*B66/(B66-B67),0)</f>
        <v>0.0</v>
      </c>
    </row>
    <row r="67" spans="1:3" x14ac:dyDescent="0.2">
      <c r="A67" s="20">
        <v>5.7</v>
      </c>
      <c r="B67" s="64">
        <f t="shared" si="1"/>
        <v>0.026776012764</v>
      </c>
      <c r="C67" s="64">
        <f>IF(AND(B67&gt;=0,B68&lt;0),A67+pH_step*B67/(B67-B68),0)</f>
        <v>0.0</v>
      </c>
    </row>
    <row r="68" spans="1:3" x14ac:dyDescent="0.2">
      <c r="A68" s="20">
        <v>5.8</v>
      </c>
      <c r="B68" s="64">
        <f t="shared" si="1"/>
        <v>0.025255400836</v>
      </c>
      <c r="C68" s="64">
        <f>IF(AND(B68&gt;=0,B69&lt;0),A68+pH_step*B68/(B68-B69),0)</f>
        <v>0.0</v>
      </c>
    </row>
    <row r="69" spans="1:3" x14ac:dyDescent="0.2">
      <c r="A69" s="20">
        <v>5.9</v>
      </c>
      <c r="B69" s="64">
        <f t="shared" si="1"/>
        <v>0.02338090709</v>
      </c>
      <c r="C69" s="64">
        <f>IF(AND(B69&gt;=0,B70&lt;0),A69+pH_step*B69/(B69-B70),0)</f>
        <v>0.0</v>
      </c>
    </row>
    <row r="70" spans="1:3" x14ac:dyDescent="0.2">
      <c r="A70" s="20">
        <v>6</v>
      </c>
      <c r="B70" s="64">
        <f t="shared" si="1"/>
        <v>0.021079010121</v>
      </c>
      <c r="C70" s="64">
        <f>IF(AND(B70&gt;=0,B71&lt;0),A70+pH_step*B70/(B70-B71),0)</f>
        <v>0.0</v>
      </c>
    </row>
    <row r="71" spans="1:3" x14ac:dyDescent="0.2">
      <c r="A71" s="20">
        <v>6.1</v>
      </c>
      <c r="B71" s="64">
        <f t="shared" si="1"/>
        <v>0.01826430841</v>
      </c>
      <c r="C71" s="64">
        <f>IF(AND(B71&gt;=0,B72&lt;0),A71+pH_step*B71/(B71-B72),0)</f>
        <v>0.0</v>
      </c>
    </row>
    <row r="72" spans="1:3" x14ac:dyDescent="0.2">
      <c r="A72" s="20">
        <v>6.2</v>
      </c>
      <c r="B72" s="64">
        <f t="shared" si="1"/>
        <v>0.014838178095</v>
      </c>
      <c r="C72" s="64">
        <f>IF(AND(B72&gt;=0,B73&lt;0),A72+pH_step*B72/(B72-B73),0)</f>
        <v>0.0</v>
      </c>
    </row>
    <row r="73" spans="1:3" x14ac:dyDescent="0.2">
      <c r="A73" s="20">
        <v>6.3</v>
      </c>
      <c r="B73" s="64">
        <f t="shared" si="1"/>
        <v>0.010686819787</v>
      </c>
      <c r="C73" s="64">
        <f>IF(AND(B73&gt;=0,B74&lt;0),A73+pH_step*B73/(B73-B74),0)</f>
        <v>0.0</v>
      </c>
    </row>
    <row r="74" spans="1:3" x14ac:dyDescent="0.2">
      <c r="A74" s="20">
        <v>6.4</v>
      </c>
      <c r="B74" s="64">
        <f t="shared" si="1"/>
        <v>0.005678038225</v>
      </c>
      <c r="C74" s="64">
        <f>IF(AND(B74&gt;=0,B75&lt;0),A74+pH_step*B74/(B74-B75),0)</f>
        <v>6.494284837612</v>
      </c>
    </row>
    <row r="75" spans="1:3" x14ac:dyDescent="0.2">
      <c r="A75" s="20">
        <v>6.5</v>
      </c>
      <c r="B75" s="64">
        <f t="shared" si="1"/>
        <v>-0.0003441795237407</v>
      </c>
      <c r="C75" s="64">
        <f>IF(AND(B75&gt;=0,B76&lt;0),A75+pH_step*B75/(B75-B76),0)</f>
        <v>0.0</v>
      </c>
    </row>
    <row r="76" spans="1:3" x14ac:dyDescent="0.2">
      <c r="A76" s="20">
        <v>6.6</v>
      </c>
      <c r="B76" s="64">
        <f t="shared" si="1"/>
        <v>-0.00756840932</v>
      </c>
      <c r="C76" s="64">
        <f>IF(AND(B76&gt;=0,B77&lt;0),A76+pH_step*B76/(B76-B77),0)</f>
        <v>0.0</v>
      </c>
    </row>
    <row r="77" spans="1:3" x14ac:dyDescent="0.2">
      <c r="A77" s="20">
        <v>6.7</v>
      </c>
      <c r="B77" s="64">
        <f t="shared" si="1"/>
        <v>-0.016228970854</v>
      </c>
      <c r="C77" s="64">
        <f>IF(AND(B77&gt;=0,B78&lt;0),A77+pH_step*B77/(B77-B78),0)</f>
        <v>0.0</v>
      </c>
    </row>
    <row r="78" spans="1:3" x14ac:dyDescent="0.2">
      <c r="A78" s="20">
        <v>6.8</v>
      </c>
      <c r="B78" s="64">
        <f t="shared" si="1"/>
        <v>-0.02662440719</v>
      </c>
      <c r="C78" s="64">
        <f>IF(AND(B78&gt;=0,B79&lt;0),A78+pH_step*B78/(B78-B79),0)</f>
        <v>0.0</v>
      </c>
    </row>
    <row r="79" spans="1:3" x14ac:dyDescent="0.2">
      <c r="A79" s="20">
        <v>6.9</v>
      </c>
      <c r="B79" s="64">
        <f t="shared" si="1"/>
        <v>-0.039141735033</v>
      </c>
      <c r="C79" s="64">
        <f>IF(AND(B79&gt;=0,B80&lt;0),A79+pH_step*B79/(B79-B80),0)</f>
        <v>0.0</v>
      </c>
    </row>
    <row r="80" spans="1:3" x14ac:dyDescent="0.2">
      <c r="A80" s="20">
        <v>7</v>
      </c>
      <c r="B80" s="64">
        <f t="shared" si="1"/>
        <v>-0.054286645726</v>
      </c>
      <c r="C80" s="64">
        <f>IF(AND(B80&gt;=0,B81&lt;0),A80+pH_step*B80/(B80-B81),0)</f>
        <v>0.0</v>
      </c>
    </row>
    <row r="81" spans="1:3" x14ac:dyDescent="0.2">
      <c r="A81" s="20">
        <v>7.1</v>
      </c>
      <c r="B81" s="64">
        <f t="shared" si="1"/>
        <v>-0.072719923595</v>
      </c>
      <c r="C81" s="64">
        <f>IF(AND(B81&gt;=0,B82&lt;0),A81+pH_step*B81/(B81-B82),0)</f>
        <v>0.0</v>
      </c>
    </row>
    <row r="82" spans="1:3" x14ac:dyDescent="0.2">
      <c r="A82" s="20">
        <v>7.2</v>
      </c>
      <c r="B82" s="64">
        <f t="shared" ref="B82:B113" si="3">pH_SID + pH_NT*(10^-A82)/((10^-A82)+KaN_c) + (10^-A82) - (pH_PT*Ka1p_c*(10^-A82)^2 + 2*pH_PT*Ka1p_c*Ka2p_c*(10^-A82) + 3*pH_PT*Ka1p_c*Ka2p_c*Ka3p_c)/((10^-A82)^3 + Ka1p_c*(10^-A82)^2 + Ka1p_c*Ka2p_c*(10^-A82) + Ka1p_c*Ka2p_c*Ka3p_c) - Ka1c_c*CO2aqc/(10^-A82) - 2*Ka1c_c*Ka2c_c*CO2aqc/(10^-A82)^2 - Kw_c/(10^-A82)</f>
        <v>-0.095300976728</v>
      </c>
      <c r="C82" s="64">
        <f>IF(AND(B82&gt;=0,B83&lt;0),A82+pH_step*B82/(B82-B83),0)</f>
        <v>0.0</v>
      </c>
    </row>
    <row r="83" spans="1:3" x14ac:dyDescent="0.2">
      <c r="A83" s="20">
        <v>7.3</v>
      </c>
      <c r="B83" s="64">
        <f t="shared" si="3"/>
        <v>-0.123140508482</v>
      </c>
      <c r="C83" s="64">
        <f>IF(AND(B83&gt;=0,B84&lt;0),A83+pH_step*B83/(B83-B84),0)</f>
        <v>0.0</v>
      </c>
    </row>
    <row r="84" spans="1:3" x14ac:dyDescent="0.2">
      <c r="A84" s="20">
        <v>7.4</v>
      </c>
      <c r="B84" s="64">
        <f t="shared" si="3"/>
        <v>-0.157665823938</v>
      </c>
      <c r="C84" s="64">
        <f>IF(AND(B84&gt;=0,B85&lt;0),A84+pH_step*B84/(B84-B85),0)</f>
        <v>0.0</v>
      </c>
    </row>
    <row r="85" spans="1:3" x14ac:dyDescent="0.2">
      <c r="A85" s="20">
        <v>7.5</v>
      </c>
      <c r="B85" s="64">
        <f t="shared" si="3"/>
        <v>-0.200703923131</v>
      </c>
      <c r="C85" s="64">
        <f>IF(AND(B85&gt;=0,B86&lt;0),A85+pH_step*B85/(B85-B86),0)</f>
        <v>0.0</v>
      </c>
    </row>
    <row r="86" spans="1:3" x14ac:dyDescent="0.2">
      <c r="A86" s="20">
        <v>7.6</v>
      </c>
      <c r="B86" s="64">
        <f t="shared" si="3"/>
        <v>-0.2545894166</v>
      </c>
      <c r="C86" s="64">
        <f>IF(AND(B86&gt;=0,B87&lt;0),A86+pH_step*B86/(B86-B87),0)</f>
        <v>0.0</v>
      </c>
    </row>
    <row r="87" spans="1:3" x14ac:dyDescent="0.2">
      <c r="A87" s="20">
        <v>7.7</v>
      </c>
      <c r="B87" s="64">
        <f t="shared" si="3"/>
        <v>-0.322306667774</v>
      </c>
      <c r="C87" s="64">
        <f>IF(AND(B87&gt;=0,B88&lt;0),A87+pH_step*B87/(B87-B88),0)</f>
        <v>0.0</v>
      </c>
    </row>
    <row r="88" spans="1:3" x14ac:dyDescent="0.2">
      <c r="A88" s="20">
        <v>7.8</v>
      </c>
      <c r="B88" s="64">
        <f t="shared" si="3"/>
        <v>-0.407678885978</v>
      </c>
      <c r="C88" s="64">
        <f>IF(AND(B88&gt;=0,B89&lt;0),A88+pH_step*B88/(B88-B89),0)</f>
        <v>0.0</v>
      </c>
    </row>
    <row r="89" spans="1:3" x14ac:dyDescent="0.2">
      <c r="A89" s="20">
        <v>7.9</v>
      </c>
      <c r="B89" s="64">
        <f t="shared" si="3"/>
        <v>-0.515621824235</v>
      </c>
      <c r="C89" s="64">
        <f>IF(AND(B89&gt;=0,B90&lt;0),A89+pH_step*B89/(B89-B90),0)</f>
        <v>0.0</v>
      </c>
    </row>
    <row r="90" spans="1:3" x14ac:dyDescent="0.2">
      <c r="A90" s="20">
        <v>8</v>
      </c>
      <c r="B90" s="64">
        <f t="shared" si="3"/>
        <v>-0.65248719742</v>
      </c>
      <c r="C90" s="64">
        <f>IF(AND(B90&gt;=0,B91&lt;0),A90+pH_step*B90/(B90-B91),0)</f>
        <v>0.0</v>
      </c>
    </row>
    <row r="91" spans="1:3" x14ac:dyDescent="0.2">
      <c r="A91" s="20">
        <v>8.1</v>
      </c>
      <c r="B91" s="64">
        <f t="shared" si="3"/>
        <v>-0.826532271905</v>
      </c>
      <c r="C91" s="64">
        <f>IF(AND(B91&gt;=0,B92&lt;0),A91+pH_step*B91/(B91-B92),0)</f>
        <v>0.0</v>
      </c>
    </row>
    <row r="92" spans="1:3" x14ac:dyDescent="0.2">
      <c r="A92" s="20">
        <v>8.1999999999999993</v>
      </c>
      <c r="B92" s="64">
        <f t="shared" si="3"/>
        <v>-1.048569336646</v>
      </c>
      <c r="C92" s="64">
        <f>IF(AND(B92&gt;=0,B93&lt;0),A92+pH_step*B92/(B92-B93),0)</f>
        <v>0.0</v>
      </c>
    </row>
    <row r="93" spans="1:3" x14ac:dyDescent="0.2">
      <c r="A93" s="20">
        <v>8.3000000000000007</v>
      </c>
      <c r="B93" s="64">
        <f t="shared" si="3"/>
        <v>-1.332875144027</v>
      </c>
      <c r="C93" s="64">
        <f>IF(AND(B93&gt;=0,B94&lt;0),A93+pH_step*B93/(B93-B94),0)</f>
        <v>0.0</v>
      </c>
    </row>
    <row r="94" spans="1:3" x14ac:dyDescent="0.2">
      <c r="A94" s="20">
        <v>8.4</v>
      </c>
      <c r="B94" s="64">
        <f t="shared" si="3"/>
        <v>-1.698480927379</v>
      </c>
      <c r="C94" s="64">
        <f>IF(AND(B94&gt;=0,B95&lt;0),A94+pH_step*B94/(B94-B95),0)</f>
        <v>0.0</v>
      </c>
    </row>
    <row r="95" spans="1:3" x14ac:dyDescent="0.2">
      <c r="A95" s="20">
        <v>8.5</v>
      </c>
      <c r="B95" s="64">
        <f t="shared" si="3"/>
        <v>-2.171026165161</v>
      </c>
      <c r="C95" s="64">
        <f>IF(AND(B95&gt;=0,B96&lt;0),A95+pH_step*B95/(B95-B96),0)</f>
        <v>0.0</v>
      </c>
    </row>
    <row r="96" spans="1:3" x14ac:dyDescent="0.2">
      <c r="A96" s="20">
        <v>8.6</v>
      </c>
      <c r="B96" s="64">
        <f t="shared" si="3"/>
        <v>-2.785456321043</v>
      </c>
      <c r="C96" s="64">
        <f>IF(AND(B96&gt;=0,B97&lt;0),A96+pH_step*B96/(B96-B97),0)</f>
        <v>0.0</v>
      </c>
    </row>
    <row r="97" spans="1:7" x14ac:dyDescent="0.2">
      <c r="A97" s="20">
        <v>8.6999999999999993</v>
      </c>
      <c r="B97" s="64">
        <f t="shared" si="3"/>
        <v>-3.589995975505</v>
      </c>
      <c r="C97" s="64">
        <f>IF(AND(B97&gt;=0,B98&lt;0),A97+pH_step*B97/(B97-B98),0)</f>
        <v>0.0</v>
      </c>
    </row>
    <row r="98" spans="1:7" x14ac:dyDescent="0.2">
      <c r="A98" s="20">
        <v>8.8000000000000007</v>
      </c>
      <c r="B98" s="64">
        <f t="shared" si="3"/>
        <v>-4.652065051273</v>
      </c>
      <c r="C98" s="64">
        <f>IF(AND(B98&gt;=0,B99&lt;0),A98+pH_step*B98/(B98-B99),0)</f>
        <v>0.0</v>
      </c>
    </row>
    <row r="99" spans="1:7" x14ac:dyDescent="0.2">
      <c r="A99" s="20">
        <v>8.9</v>
      </c>
      <c r="B99" s="64">
        <f t="shared" si="3"/>
        <v>-6.067176130696</v>
      </c>
      <c r="C99" s="64">
        <f>IF(AND(B99&gt;=0,B100&lt;0),A99+pH_step*B99/(B99-B100),0)</f>
        <v>0.0</v>
      </c>
    </row>
    <row r="100" spans="1:7" x14ac:dyDescent="0.2">
      <c r="A100" s="20">
        <v>9</v>
      </c>
      <c r="B100" s="64">
        <f t="shared" si="3"/>
        <v>-7.972432454632</v>
      </c>
      <c r="C100" s="64">
        <f>0</f>
        <v>0.0</v>
      </c>
    </row>
    <row r="101" spans="1:7" s="97" customFormat="1" x14ac:dyDescent="0.2">
      <c r="B101" s="120"/>
      <c r="C101" s="120"/>
    </row>
    <row r="102" spans="1:7" x14ac:dyDescent="0.2">
      <c r="A102" s="16" t="s">
        <v>24</v>
      </c>
      <c r="B102" s="16" t="s">
        <v>25</v>
      </c>
      <c r="C102" s="16" t="s">
        <v>26</v>
      </c>
      <c r="D102" s="16" t="s">
        <v>27</v>
      </c>
      <c r="E102" s="16" t="s">
        <v>131</v>
      </c>
    </row>
    <row r="103" spans="1:7" ht="48" x14ac:dyDescent="0.2">
      <c r="A103" s="17" t="inlineStr">
        <is>
          <t xml:space="preserve">OPERATING pH (buffered, cycle average)</t>
        </is>
      </c>
      <c r="B103" s="18" t="s">
        <v>951</v>
      </c>
      <c r="C103" s="19" t="s">
        <v>952</v>
      </c>
      <c r="D103" s="149">
        <f>IF(n_cross=1,SUM(C50:C100),NA())</f>
        <v>6.494284837612</v>
      </c>
      <c r="E103" s="51" t="s">
        <v>1878</v>
      </c>
      <c r="F103" s="101" t="inlineStr">
        <is>
          <t xml:space="preserve">pH at the cycle-average dissolved CO₂ of the schedule in use. The trough just after a CO₂ pulse is lower; a probe with response lag reads near this value, not the trough.</t>
        </is>
      </c>
    </row>
    <row r="104" spans="1:7" ht="36" x14ac:dyDescent="0.2">
      <c r="A104" s="17" t="s">
        <v>954</v>
      </c>
      <c r="B104" s="18" t="s">
        <v>955</v>
      </c>
      <c r="C104" s="19" t="s">
        <v>956</v>
      </c>
      <c r="D104" s="149">
        <f>1/(1+KaHOCl_c/10^-pH_op)</f>
        <v>0.870210730329</v>
      </c>
      <c r="E104" s="51" t="s">
        <v>1879</v>
      </c>
    </row>
    <row r="105" spans="1:7" ht="36" x14ac:dyDescent="0.2">
      <c r="A105" s="17" t="s">
        <v>1003</v>
      </c>
      <c r="B105" s="18" t="s">
        <v>1004</v>
      </c>
      <c r="C105" s="19" t="s">
        <v>1005</v>
      </c>
      <c r="D105" s="149">
        <f>SUMPRODUCT((B50:B99&gt;=0)*(B51:B100&lt;0))</f>
        <v>1.0</v>
      </c>
      <c r="E105" s="51" t="s">
        <v>1006</v>
      </c>
      <c r="F105" s="20"/>
    </row>
    <row r="106" spans="1:7" ht="48" x14ac:dyDescent="0.2">
      <c r="A106" s="104" t="s">
        <v>957</v>
      </c>
      <c r="G106" s="69" t="s">
        <v>1008</v>
      </c>
    </row>
    <row r="107" spans="1:7" ht="328" x14ac:dyDescent="0.2">
      <c r="A107" s="17" t="s">
        <v>1060</v>
      </c>
      <c r="B107" s="18" t="s">
        <v>958</v>
      </c>
      <c r="C107" s="19" t="s">
        <v>959</v>
      </c>
      <c r="D107" s="149">
        <f>Iappc/(2*Fcc)*M_HOCl*3600/VLc</f>
        <v>371.244905447914</v>
      </c>
      <c r="E107" s="51" t="inlineStr">
        <is>
          <t xml:space="preserve">Naïve FE=1 upper bound (all anode current → Cl₂). Superseded by the mass-transport-limited chlorine current I_Cl (D133) and the production rate P_HOCl (D134). Kept only to show the overstatement (~40× at the current operating point).</t>
        </is>
      </c>
      <c r="G107" s="69" t="s">
        <v>1009</v>
      </c>
    </row>
    <row r="108" spans="1:7" ht="284" x14ac:dyDescent="0.2">
      <c r="A108" s="17" t="s">
        <v>960</v>
      </c>
      <c r="B108" s="18" t="s">
        <v>961</v>
      </c>
      <c r="C108" s="19" t="s">
        <v>962</v>
      </c>
      <c r="D108" s="149">
        <f>1/(bleach_rate)*60</f>
        <v>0.161618379457</v>
      </c>
      <c r="E108" s="51" t="s">
        <v>963</v>
      </c>
      <c r="G108" s="69" t="s">
        <v>1010</v>
      </c>
    </row>
    <row r="109" spans="1:7" ht="204" x14ac:dyDescent="0.2">
      <c r="A109" s="17" t="s">
        <v>964</v>
      </c>
      <c r="B109" s="18" t="s">
        <v>965</v>
      </c>
      <c r="C109" s="19" t="s">
        <v>966</v>
      </c>
      <c r="D109" s="64"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sub-lethal 0.50 mg/L as Cl₂ (band 0.00-0.71); chloride-pool-bounded, cannot reach the kill threshold in this medium; does NOT explain the death - see metal_flag</v>
      </c>
      <c r="E109" s="51" t="s">
        <v>1127</v>
      </c>
      <c r="G109" s="69" t="s">
        <v>1011</v>
      </c>
    </row>
    <row r="110" spans="1:7" ht="328" x14ac:dyDescent="0.2">
      <c r="A110" s="17" t="s">
        <v>967</v>
      </c>
      <c r="B110" s="18" t="s">
        <v>968</v>
      </c>
      <c r="C110" s="19" t="s">
        <v>969</v>
      </c>
      <c r="D110" s="64" t="str">
        <f>IF(pH_meas&lt;pH_band_lo,"pH BELOW HOB optimum (&lt;"&amp;TEXT(pH_band_lo,"0.0")&amp;") — reduce the CO₂ dose or lengthen the interval",IF(pH_meas&gt;pH_band_hi,"pH above optimum (&gt;"&amp;TEXT(pH_band_hi,"0.0")&amp;")","pH in HOB band "&amp;TEXT(pH_band_lo,"0.0")&amp;"–"&amp;TEXT(pH_band_hi,"0.0")))</f>
        <v>pH in HOB band 6.5–7.5</v>
      </c>
      <c r="E110" s="51" t="s">
        <v>1880</v>
      </c>
      <c r="G110" s="69" t="s">
        <v>1012</v>
      </c>
    </row>
    <row r="112" spans="1:7" ht="16" x14ac:dyDescent="0.2">
      <c r="A112" s="104" t="s">
        <v>970</v>
      </c>
    </row>
    <row r="113" spans="1:5" x14ac:dyDescent="0.2">
      <c r="A113" s="16" t="s">
        <v>971</v>
      </c>
      <c r="B113" s="16" t="s">
        <v>972</v>
      </c>
      <c r="C113" s="16" t="s">
        <v>973</v>
      </c>
      <c r="D113" s="16" t="s">
        <v>974</v>
      </c>
      <c r="E113" s="16" t="s">
        <v>975</v>
      </c>
    </row>
    <row r="114" spans="1:5" x14ac:dyDescent="0.2">
      <c r="A114" s="20" t="s">
        <v>976</v>
      </c>
      <c r="B114" s="20" t="s">
        <v>977</v>
      </c>
      <c r="C114" s="62">
        <f>PT_mc02*1000</f>
        <v>40.007195769524</v>
      </c>
      <c r="D114" s="20" t="s">
        <v>978</v>
      </c>
      <c r="E114" s="20" t="s">
        <v>979</v>
      </c>
    </row>
    <row r="115" spans="1:5" x14ac:dyDescent="0.2">
      <c r="A115" s="20" t="s">
        <v>980</v>
      </c>
      <c r="B115" s="20" t="s">
        <v>981</v>
      </c>
      <c r="C115" s="62">
        <f>PT_udg*1000</f>
        <v>37.329366919027</v>
      </c>
      <c r="D115" s="20" t="s">
        <v>982</v>
      </c>
      <c r="E115" s="20" t="s">
        <v>983</v>
      </c>
    </row>
    <row r="123" spans="1:5" ht="16" x14ac:dyDescent="0.2">
      <c r="A123" s="104"/>
    </row>
    <row r="125" spans="1:5" ht="48" x14ac:dyDescent="0.2">
      <c r="A125" s="17" t="s">
        <v>1061</v>
      </c>
      <c r="B125" s="18" t="s">
        <v>984</v>
      </c>
      <c r="C125" s="19" t="s">
        <v>985</v>
      </c>
      <c r="D125" s="149">
        <f>pH_Cl*pH_fHOCl*M_HOCl</f>
        <v>8.22693366608</v>
      </c>
      <c r="E125" s="51" t="s">
        <v>1460</v>
      </c>
    </row>
    <row r="127" spans="1:5" ht="16" x14ac:dyDescent="0.2">
      <c r="A127" s="104" t="s">
        <v>1064</v>
      </c>
    </row>
    <row r="128" spans="1:5" ht="60" x14ac:dyDescent="0.2">
      <c r="A128" s="17" t="s">
        <v>1065</v>
      </c>
      <c r="B128" s="18" t="s">
        <v>1066</v>
      </c>
      <c r="C128" s="19" t="s">
        <v>1067</v>
      </c>
      <c r="D128" s="146">
        <v>0.5</v>
      </c>
      <c r="E128" s="51" t="s">
        <v>1461</v>
      </c>
    </row>
    <row r="129" spans="1:5" ht="48" x14ac:dyDescent="0.2">
      <c r="A129" s="17" t="s">
        <v>1068</v>
      </c>
      <c r="B129" s="18" t="s">
        <v>1069</v>
      </c>
      <c r="C129" s="19" t="s">
        <v>1070</v>
      </c>
      <c r="D129" s="146">
        <v>4.0499999999999998E-3</v>
      </c>
      <c r="E129" s="51" t="s">
        <v>1756</v>
      </c>
    </row>
    <row r="130" spans="1:5" ht="24" x14ac:dyDescent="0.2">
      <c r="A130" s="17" t="s">
        <v>1071</v>
      </c>
      <c r="B130" s="18" t="s">
        <v>1072</v>
      </c>
      <c r="C130" s="19" t="s">
        <v>1073</v>
      </c>
      <c r="D130" s="141">
        <f>Electrochemistry!$D$46</f>
        <v>2.01337839464</v>
      </c>
      <c r="E130" s="51" t="s">
        <v>1392</v>
      </c>
    </row>
    <row r="131" spans="1:5" x14ac:dyDescent="0.2">
      <c r="A131" s="17" t="s">
        <v>1074</v>
      </c>
      <c r="B131" s="18" t="s">
        <v>1075</v>
      </c>
      <c r="C131" s="19" t="s">
        <v>1076</v>
      </c>
      <c r="D131" s="149">
        <f>Iappc*FE_CER</f>
        <v>0.002845</v>
      </c>
      <c r="E131" s="51" t="s">
        <v>1077</v>
      </c>
    </row>
    <row r="132" spans="1:5" ht="48" x14ac:dyDescent="0.2">
      <c r="A132" s="17" t="s">
        <v>1078</v>
      </c>
      <c r="B132" s="18" t="s">
        <v>1079</v>
      </c>
      <c r="C132" s="19" t="s">
        <v>1076</v>
      </c>
      <c r="D132" s="149">
        <f>Fcc*km_Cl*(pH_Cl/1000)*A_anode</f>
        <v>0.0001417839262056</v>
      </c>
      <c r="E132" s="51" t="inlineStr">
        <is>
          <t xml:space="preserve">i_lim = n·F·k_m·[Cl⁻]·A, n = 1 per ARRIVING chloride; [Cl⁻] in mol/cm³ = pH_Cl/1000. Caps chlorine at the chloride flux; it binds at trace Cl⁻ such as UdG, so production scales with chloride.</t>
        </is>
      </c>
    </row>
    <row r="133" spans="1:5" x14ac:dyDescent="0.2">
      <c r="A133" s="17" t="s">
        <v>1080</v>
      </c>
      <c r="B133" s="18" t="s">
        <v>1081</v>
      </c>
      <c r="C133" s="19" t="s">
        <v>1076</v>
      </c>
      <c r="D133" s="149">
        <f>MIN(I_Cl_FE,I_Cl_mt)</f>
        <v>0.0001417839262056</v>
      </c>
      <c r="E133" s="51" t="s">
        <v>1082</v>
      </c>
    </row>
    <row r="134" spans="1:5" x14ac:dyDescent="0.2">
      <c r="A134" s="17" t="s">
        <v>1083</v>
      </c>
      <c r="B134" s="18" t="s">
        <v>1084</v>
      </c>
      <c r="C134" s="19" t="s">
        <v>1085</v>
      </c>
      <c r="D134" s="149">
        <f>I_Cl/(n_e_Cl*Fcc*VLc)</f>
        <v>4.898289480563e-08</v>
      </c>
      <c r="E134" s="51" t="s">
        <v>1463</v>
      </c>
    </row>
    <row r="135" spans="1:5" x14ac:dyDescent="0.2">
      <c r="A135" s="17" t="s">
        <v>1086</v>
      </c>
      <c r="B135" s="18" t="s">
        <v>1087</v>
      </c>
      <c r="C135" s="19" t="s">
        <v>1088</v>
      </c>
      <c r="D135" s="149">
        <f>pH_NT*MW_N</f>
        <v>99.641138186772</v>
      </c>
      <c r="E135" s="51" t="s">
        <v>1089</v>
      </c>
    </row>
    <row r="136" spans="1:5" ht="36" x14ac:dyDescent="0.2">
      <c r="A136" s="17" t="s">
        <v>1090</v>
      </c>
      <c r="B136" s="18" t="s">
        <v>1091</v>
      </c>
      <c r="C136" s="19" t="s">
        <v>1092</v>
      </c>
      <c r="D136" s="146">
        <v>4200000</v>
      </c>
      <c r="E136" s="51" t="s">
        <v>1093</v>
      </c>
    </row>
    <row r="137" spans="1:5" ht="48" x14ac:dyDescent="0.2">
      <c r="A137" s="17" t="s">
        <v>1094</v>
      </c>
      <c r="B137" s="18" t="s">
        <v>1095</v>
      </c>
      <c r="C137" s="19" t="s">
        <v>1067</v>
      </c>
      <c r="D137" s="148">
        <f>-LOG10(Ka_NH4)</f>
        <v>9.251811972994</v>
      </c>
      <c r="E137" s="51" t="s">
        <v>1481</v>
      </c>
    </row>
    <row r="138" spans="1:5" ht="24" x14ac:dyDescent="0.2">
      <c r="A138" s="17" t="s">
        <v>1096</v>
      </c>
      <c r="B138" s="18" t="s">
        <v>1097</v>
      </c>
      <c r="C138" s="19" t="s">
        <v>1098</v>
      </c>
      <c r="D138" s="149">
        <f>pH_NT/(1+10^(pKa_NH4-pH_op))</f>
        <v>1.241103645704e-05</v>
      </c>
      <c r="E138" s="51" t="s">
        <v>1099</v>
      </c>
    </row>
    <row r="139" spans="1:5" ht="24" x14ac:dyDescent="0.2">
      <c r="A139" s="17" t="s">
        <v>1100</v>
      </c>
      <c r="B139" s="18" t="s">
        <v>1101</v>
      </c>
      <c r="C139" s="19" t="s">
        <v>1098</v>
      </c>
      <c r="D139" s="149">
        <f>P_HOCl/(k1_NH2Cl*NH3_free)</f>
        <v>9.396954107506e-10</v>
      </c>
      <c r="E139" s="51" t="s">
        <v>1102</v>
      </c>
    </row>
    <row r="140" spans="1:5" ht="24" x14ac:dyDescent="0.2">
      <c r="A140" s="17" t="s">
        <v>1103</v>
      </c>
      <c r="B140" s="18" t="s">
        <v>1104</v>
      </c>
      <c r="C140" s="19" t="s">
        <v>1088</v>
      </c>
      <c r="D140" s="149">
        <f>HOCl_ss*M_HOCl</f>
        <v>4.929642124798e-05</v>
      </c>
      <c r="E140" s="51" t="s">
        <v>1105</v>
      </c>
    </row>
    <row r="141" spans="1:5" ht="48" x14ac:dyDescent="0.2">
      <c r="A141" s="17" t="s">
        <v>1106</v>
      </c>
      <c r="B141" s="18" t="s">
        <v>1107</v>
      </c>
      <c r="C141" s="19" t="s">
        <v>1067</v>
      </c>
      <c r="D141" s="146">
        <v>10</v>
      </c>
      <c r="E141" s="51" t="s">
        <v>1108</v>
      </c>
    </row>
    <row r="142" spans="1:5" ht="36" x14ac:dyDescent="0.2">
      <c r="A142" s="17" t="s">
        <v>1109</v>
      </c>
      <c r="B142" s="18" t="s">
        <v>1110</v>
      </c>
      <c r="C142" s="19" t="s">
        <v>1111</v>
      </c>
      <c r="D142" s="146">
        <v>1</v>
      </c>
      <c r="E142" s="51" t="s">
        <v>1112</v>
      </c>
    </row>
    <row r="143" spans="1:5" ht="36" x14ac:dyDescent="0.2">
      <c r="A143" s="17" t="s">
        <v>1113</v>
      </c>
      <c r="B143" s="18" t="s">
        <v>1114</v>
      </c>
      <c r="C143" s="19" t="s">
        <v>1088</v>
      </c>
      <c r="D143" s="149">
        <f>MIN(P_HOCl*tau_NH2Cl*3600*M_HOCl,cl_per_N*NH3_N,Cl_pool_mgL)</f>
        <v>9.250713581411</v>
      </c>
      <c r="E143" s="51" t="s">
        <v>1115</v>
      </c>
    </row>
    <row r="144" spans="1:5" ht="36" x14ac:dyDescent="0.2">
      <c r="A144" s="17" t="s">
        <v>1116</v>
      </c>
      <c r="B144" s="18" t="s">
        <v>1117</v>
      </c>
      <c r="C144" s="19" t="s">
        <v>1067</v>
      </c>
      <c r="D144" s="146">
        <v>25</v>
      </c>
      <c r="E144" s="51" t="s">
        <v>1118</v>
      </c>
    </row>
    <row r="145" spans="1:5" ht="60" x14ac:dyDescent="0.2">
      <c r="A145" s="17" t="s">
        <v>1119</v>
      </c>
      <c r="B145" s="18" t="s">
        <v>1120</v>
      </c>
      <c r="C145" s="19" t="s">
        <v>1088</v>
      </c>
      <c r="D145" s="149">
        <f>f_local*HOCl_ss_mgL+NH2Cl_mgL/R_chloramine</f>
        <v>0.370521507469</v>
      </c>
      <c r="E145" s="51" t="s">
        <v>1464</v>
      </c>
    </row>
    <row r="146" spans="1:5" ht="36" x14ac:dyDescent="0.2">
      <c r="A146" s="17" t="s">
        <v>1121</v>
      </c>
      <c r="B146" s="18" t="s">
        <v>1122</v>
      </c>
      <c r="C146" s="19" t="s">
        <v>1088</v>
      </c>
      <c r="D146" s="146">
        <v>0.1</v>
      </c>
      <c r="E146" s="51" t="s">
        <v>1123</v>
      </c>
    </row>
    <row r="147" spans="1:5" ht="24" x14ac:dyDescent="0.2">
      <c r="A147" s="17" t="s">
        <v>1124</v>
      </c>
      <c r="B147" s="18" t="s">
        <v>1125</v>
      </c>
      <c r="C147" s="19" t="s">
        <v>1088</v>
      </c>
      <c r="D147" s="146">
        <v>2</v>
      </c>
      <c r="E147" s="51" t="s">
        <v>1126</v>
      </c>
    </row>
    <row r="148" spans="1:5" ht="72" x14ac:dyDescent="0.2">
      <c r="A148" s="17" t="s">
        <v>1213</v>
      </c>
      <c r="B148" s="18" t="s">
        <v>1214</v>
      </c>
      <c r="C148" s="19" t="s">
        <v>1215</v>
      </c>
      <c r="D148" s="149">
        <f>2</f>
        <v>2.0</v>
      </c>
      <c r="E148" s="51" t="s">
        <v>1480</v>
      </c>
    </row>
    <row r="149" spans="1:5" ht="36" x14ac:dyDescent="0.2">
      <c r="A149" s="17" t="s">
        <v>1216</v>
      </c>
      <c r="B149" s="18" t="s">
        <v>1217</v>
      </c>
      <c r="C149" s="19" t="s">
        <v>1218</v>
      </c>
      <c r="D149" s="149">
        <f>pH_Cl*M_HOCl</f>
        <v>9.453955667688</v>
      </c>
      <c r="E149" s="51" t="s">
        <v>1219</v>
      </c>
    </row>
    <row r="150" spans="1:5" ht="24" x14ac:dyDescent="0.2">
      <c r="A150" s="17" t="s">
        <v>1220</v>
      </c>
      <c r="B150" s="18" t="s">
        <v>1221</v>
      </c>
      <c r="C150" s="19" t="s">
        <v>1222</v>
      </c>
      <c r="D150" s="146">
        <v>1.6666666666666666E-2</v>
      </c>
      <c r="E150" s="75" t="s">
        <v>1223</v>
      </c>
    </row>
    <row r="151" spans="1:5" ht="24" x14ac:dyDescent="0.2">
      <c r="A151" s="17" t="s">
        <v>1224</v>
      </c>
      <c r="B151" s="18" t="s">
        <v>1225</v>
      </c>
      <c r="C151" s="19" t="s">
        <v>1226</v>
      </c>
      <c r="D151" s="146">
        <v>5</v>
      </c>
      <c r="E151" s="75" t="s">
        <v>1227</v>
      </c>
    </row>
    <row r="152" spans="1:5" ht="24" x14ac:dyDescent="0.2">
      <c r="A152" s="17" t="s">
        <v>1228</v>
      </c>
      <c r="B152" s="18" t="s">
        <v>1229</v>
      </c>
      <c r="C152" s="19" t="s">
        <v>1230</v>
      </c>
      <c r="D152" s="146">
        <v>18</v>
      </c>
      <c r="E152" s="75" t="s">
        <v>1231</v>
      </c>
    </row>
    <row r="153" spans="1:5" x14ac:dyDescent="0.2">
      <c r="A153" s="17" t="s">
        <v>1232</v>
      </c>
      <c r="B153" s="18" t="s">
        <v>1233</v>
      </c>
      <c r="C153" s="19" t="s">
        <v>1234</v>
      </c>
      <c r="D153" s="146">
        <v>70</v>
      </c>
      <c r="E153" s="75" t="s">
        <v>1235</v>
      </c>
    </row>
    <row r="154" spans="1:5" x14ac:dyDescent="0.2">
      <c r="A154" s="17" t="s">
        <v>1236</v>
      </c>
      <c r="B154" s="18" t="s">
        <v>1237</v>
      </c>
      <c r="C154" s="19" t="s">
        <v>1238</v>
      </c>
      <c r="D154" s="149">
        <f>MIN(P_HOCl*tau_NH2Cl_lo*3600*M_HOCl,cl_per_N*NH3_N,Cl_pool_mgL)</f>
        <v>0.15417855969</v>
      </c>
      <c r="E154" s="51" t="s">
        <v>1239</v>
      </c>
    </row>
    <row r="155" spans="1:5" x14ac:dyDescent="0.2">
      <c r="A155" s="17" t="s">
        <v>1240</v>
      </c>
      <c r="B155" s="18" t="s">
        <v>1241</v>
      </c>
      <c r="C155" s="19" t="s">
        <v>1242</v>
      </c>
      <c r="D155" s="149">
        <f>MIN(P_HOCl*tau_NH2Cl_hi*3600*M_HOCl,cl_per_N*NH3_N,Cl_pool_mgL)</f>
        <v>9.453955667688</v>
      </c>
      <c r="E155" s="51" t="s">
        <v>1243</v>
      </c>
    </row>
    <row r="156" spans="1:5" x14ac:dyDescent="0.2">
      <c r="A156" s="17" t="s">
        <v>1244</v>
      </c>
      <c r="B156" s="18" t="s">
        <v>1245</v>
      </c>
      <c r="C156" s="19" t="s">
        <v>1246</v>
      </c>
      <c r="D156" s="149">
        <f>f_local*HOCl_ss_mgL+NH2Cl_lo/R_chloramine_hi</f>
        <v>0.002695515065</v>
      </c>
      <c r="E156" s="51" t="s">
        <v>1247</v>
      </c>
    </row>
    <row r="157" spans="1:5" ht="24" x14ac:dyDescent="0.2">
      <c r="A157" s="17" t="s">
        <v>1248</v>
      </c>
      <c r="B157" s="18" t="s">
        <v>1249</v>
      </c>
      <c r="C157" s="19" t="s">
        <v>1250</v>
      </c>
      <c r="D157" s="149">
        <f>f_local*HOCl_ss_mgL+NH2Cl_hi/R_chloramine_lo</f>
        <v>0.525712723528</v>
      </c>
      <c r="E157" s="51" t="s">
        <v>1251</v>
      </c>
    </row>
    <row r="158" spans="1:5" ht="24" x14ac:dyDescent="0.2">
      <c r="A158" s="17" t="s">
        <v>1252</v>
      </c>
      <c r="B158" s="18" t="s">
        <v>1253</v>
      </c>
      <c r="C158" s="19" t="s">
        <v>1254</v>
      </c>
      <c r="D158" s="52"/>
      <c r="E158" s="57" t="s">
        <v>1255</v>
      </c>
    </row>
    <row r="159" spans="1:5" x14ac:dyDescent="0.2">
      <c r="A159" s="17" t="s">
        <v>1256</v>
      </c>
      <c r="B159" s="18" t="s">
        <v>1257</v>
      </c>
      <c r="C159" s="19" t="s">
        <v>1258</v>
      </c>
      <c r="D159" s="146">
        <v>63.55</v>
      </c>
      <c r="E159" s="51" t="s">
        <v>1259</v>
      </c>
    </row>
    <row r="160" spans="1:5" x14ac:dyDescent="0.2">
      <c r="A160" s="17" t="s">
        <v>1260</v>
      </c>
      <c r="B160" s="18" t="s">
        <v>1261</v>
      </c>
      <c r="C160" s="19" t="s">
        <v>1262</v>
      </c>
      <c r="D160" s="146">
        <v>2</v>
      </c>
      <c r="E160" s="51" t="s">
        <v>1263</v>
      </c>
    </row>
    <row r="161" spans="1:5" ht="24" x14ac:dyDescent="0.2">
      <c r="A161" s="17" t="s">
        <v>1264</v>
      </c>
      <c r="B161" s="18" t="s">
        <v>1265</v>
      </c>
      <c r="C161" s="19" t="s">
        <v>1266</v>
      </c>
      <c r="D161" s="149" t="e">
        <f>IF(ISNUMBER(corr_I_frac),corr_I_frac*Iappc/(metal_z*Fcc)*metal_MW*1000*3600/VLc,NA())</f>
        <v>#N/A</v>
      </c>
      <c r="E161" s="57" t="s">
        <v>1267</v>
      </c>
    </row>
    <row r="162" spans="1:5" ht="24" x14ac:dyDescent="0.2">
      <c r="A162" s="17" t="s">
        <v>1268</v>
      </c>
      <c r="B162" s="18" t="s">
        <v>1269</v>
      </c>
      <c r="C162" s="19" t="s">
        <v>1270</v>
      </c>
      <c r="D162" s="146">
        <v>0.5</v>
      </c>
      <c r="E162" s="51" t="s">
        <v>1271</v>
      </c>
    </row>
    <row r="163" spans="1:5" x14ac:dyDescent="0.2">
      <c r="A163" s="17" t="s">
        <v>1272</v>
      </c>
      <c r="B163" s="18" t="s">
        <v>1273</v>
      </c>
      <c r="C163" s="19" t="s">
        <v>1274</v>
      </c>
      <c r="D163" s="64"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57" t="s">
        <v>1275</v>
      </c>
    </row>
    <row r="165" spans="1:5" x14ac:dyDescent="0.2">
      <c r="A165" s="5" t="s">
        <v>1482</v>
      </c>
    </row>
    <row r="166" spans="1:5" ht="36" x14ac:dyDescent="0.2">
      <c r="A166" t="s">
        <v>1483</v>
      </c>
      <c r="B166" s="18" t="s">
        <v>1484</v>
      </c>
      <c r="C166" s="19" t="s">
        <v>1485</v>
      </c>
      <c r="D166" s="146">
        <v>50.08</v>
      </c>
      <c r="E166" s="99" t="s">
        <v>1486</v>
      </c>
    </row>
    <row r="167" spans="1:5" ht="36" x14ac:dyDescent="0.2">
      <c r="A167" t="s">
        <v>1487</v>
      </c>
      <c r="B167" s="18" t="s">
        <v>1488</v>
      </c>
      <c r="C167" s="19" t="s">
        <v>1485</v>
      </c>
      <c r="D167" s="146">
        <v>73.48</v>
      </c>
      <c r="E167" s="99" t="s">
        <v>1486</v>
      </c>
    </row>
    <row r="168" spans="1:5" ht="36" x14ac:dyDescent="0.2">
      <c r="A168" t="s">
        <v>1489</v>
      </c>
      <c r="B168" s="18" t="s">
        <v>1490</v>
      </c>
      <c r="C168" s="19" t="s">
        <v>1485</v>
      </c>
      <c r="D168" s="146">
        <v>73.5</v>
      </c>
      <c r="E168" s="99" t="s">
        <v>1486</v>
      </c>
    </row>
    <row r="169" spans="1:5" ht="36" x14ac:dyDescent="0.2">
      <c r="A169" t="s">
        <v>1491</v>
      </c>
      <c r="B169" s="18" t="s">
        <v>1492</v>
      </c>
      <c r="C169" s="19" t="s">
        <v>1485</v>
      </c>
      <c r="D169" s="146">
        <v>106</v>
      </c>
      <c r="E169" s="99" t="s">
        <v>1486</v>
      </c>
    </row>
    <row r="170" spans="1:5" ht="36" x14ac:dyDescent="0.2">
      <c r="A170" t="s">
        <v>1493</v>
      </c>
      <c r="B170" s="18" t="s">
        <v>1494</v>
      </c>
      <c r="C170" s="19" t="s">
        <v>1485</v>
      </c>
      <c r="D170" s="146">
        <v>118.94</v>
      </c>
      <c r="E170" s="99" t="s">
        <v>1486</v>
      </c>
    </row>
    <row r="171" spans="1:5" ht="36" x14ac:dyDescent="0.2">
      <c r="A171" t="s">
        <v>1495</v>
      </c>
      <c r="B171" s="18" t="s">
        <v>1496</v>
      </c>
      <c r="C171" s="19" t="s">
        <v>1485</v>
      </c>
      <c r="D171" s="146">
        <v>36</v>
      </c>
      <c r="E171" s="99" t="s">
        <v>1486</v>
      </c>
    </row>
    <row r="172" spans="1:5" ht="36" x14ac:dyDescent="0.2">
      <c r="A172" t="s">
        <v>1497</v>
      </c>
      <c r="B172" s="18" t="s">
        <v>1498</v>
      </c>
      <c r="C172" s="19" t="s">
        <v>1485</v>
      </c>
      <c r="D172" s="146">
        <v>114</v>
      </c>
      <c r="E172" s="99" t="s">
        <v>1486</v>
      </c>
    </row>
    <row r="173" spans="1:5" ht="36" x14ac:dyDescent="0.2">
      <c r="A173" t="s">
        <v>1499</v>
      </c>
      <c r="B173" s="18" t="s">
        <v>1500</v>
      </c>
      <c r="C173" s="19" t="s">
        <v>1485</v>
      </c>
      <c r="D173" s="146">
        <v>160</v>
      </c>
      <c r="E173" s="99" t="s">
        <v>1486</v>
      </c>
    </row>
    <row r="174" spans="1:5" ht="36" x14ac:dyDescent="0.2">
      <c r="A174" t="s">
        <v>1501</v>
      </c>
      <c r="B174" s="18" t="s">
        <v>1502</v>
      </c>
      <c r="C174" s="19" t="s">
        <v>1485</v>
      </c>
      <c r="D174" s="146">
        <v>44.5</v>
      </c>
      <c r="E174" s="99" t="s">
        <v>1486</v>
      </c>
    </row>
    <row r="175" spans="1:5" ht="36" x14ac:dyDescent="0.2">
      <c r="A175" t="s">
        <v>1503</v>
      </c>
      <c r="B175" s="18" t="s">
        <v>1504</v>
      </c>
      <c r="C175" s="19" t="s">
        <v>1485</v>
      </c>
      <c r="D175" s="146">
        <v>76.31</v>
      </c>
      <c r="E175" s="99" t="s">
        <v>1486</v>
      </c>
    </row>
    <row r="176" spans="1:5" ht="36" x14ac:dyDescent="0.2">
      <c r="A176" t="s">
        <v>1505</v>
      </c>
      <c r="B176" s="18" t="s">
        <v>1506</v>
      </c>
      <c r="C176" s="19" t="s">
        <v>1507</v>
      </c>
      <c r="D176" s="141">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67" t="s">
        <v>1508</v>
      </c>
    </row>
    <row r="177" spans="1:5" x14ac:dyDescent="0.2">
      <c r="A177" t="s">
        <v>1509</v>
      </c>
      <c r="B177" s="18" t="s">
        <v>1510</v>
      </c>
      <c r="C177" s="19" t="s">
        <v>1507</v>
      </c>
      <c r="D177" s="141">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67" t="s">
        <v>1511</v>
      </c>
    </row>
    <row r="178" spans="1:5" ht="72" x14ac:dyDescent="0.2">
      <c r="A178" t="s">
        <v>1512</v>
      </c>
      <c r="B178" s="18" t="s">
        <v>1513</v>
      </c>
      <c r="C178" s="19" t="s">
        <v>1274</v>
      </c>
      <c r="D178" s="146">
        <v>0.78</v>
      </c>
      <c r="E178" s="75" t="s">
        <v>1514</v>
      </c>
    </row>
    <row r="179" spans="1:5" ht="48" x14ac:dyDescent="0.2">
      <c r="A179" t="s">
        <v>1515</v>
      </c>
      <c r="B179" s="18" t="s">
        <v>1516</v>
      </c>
      <c r="C179" s="19" t="s">
        <v>1517</v>
      </c>
      <c r="D179" s="146">
        <v>0.02</v>
      </c>
      <c r="E179" s="67" t="s">
        <v>1518</v>
      </c>
    </row>
    <row r="180" spans="1:5" ht="24" x14ac:dyDescent="0.2">
      <c r="A180" t="s">
        <v>1519</v>
      </c>
      <c r="B180" s="18" t="s">
        <v>1520</v>
      </c>
      <c r="C180" s="19" t="s">
        <v>1507</v>
      </c>
      <c r="D180" s="141">
        <f>IF(Summary!$D$5="MC02",kappa0_mc02,IF(Summary!$D$5="UdG phosphate",kappa0_udg,NA()))*kappa_fI*(1+kappa_TC*(TKc-T_ref))</f>
        <v>0.706946657056</v>
      </c>
      <c r="E180" s="67" t="s">
        <v>1521</v>
      </c>
    </row>
    <row r="182" spans="1:5" x14ac:dyDescent="0.2">
      <c r="A182" s="5" t="s">
        <v>1522</v>
      </c>
    </row>
    <row r="183" spans="1:5" ht="36" x14ac:dyDescent="0.2">
      <c r="A183" t="s">
        <v>1523</v>
      </c>
      <c r="B183" s="18" t="s">
        <v>1524</v>
      </c>
      <c r="C183" s="19" t="s">
        <v>1098</v>
      </c>
      <c r="D183" s="141">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67" t="s">
        <v>1525</v>
      </c>
    </row>
    <row r="184" spans="1:5" x14ac:dyDescent="0.2">
      <c r="A184" t="s">
        <v>1526</v>
      </c>
      <c r="B184" s="18" t="s">
        <v>1527</v>
      </c>
      <c r="C184" s="19" t="s">
        <v>1098</v>
      </c>
      <c r="D184" s="141">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67" t="s">
        <v>1511</v>
      </c>
    </row>
    <row r="185" spans="1:5" x14ac:dyDescent="0.2">
      <c r="A185" t="s">
        <v>1528</v>
      </c>
      <c r="B185" s="18" t="s">
        <v>1529</v>
      </c>
      <c r="C185" s="19" t="s">
        <v>1098</v>
      </c>
      <c r="D185" s="141">
        <f>IF(Summary!$D$5="MC02",I_mc02,IF(Summary!$D$5="UdG phosphate",I_udg,NA()))</f>
        <v>0.109739973238</v>
      </c>
      <c r="E185" s="67" t="s">
        <v>947</v>
      </c>
    </row>
    <row r="186" spans="1:5" ht="36" x14ac:dyDescent="0.2">
      <c r="A186" t="s">
        <v>1530</v>
      </c>
      <c r="B186" s="18" t="s">
        <v>1531</v>
      </c>
      <c r="C186" s="19" t="s">
        <v>1274</v>
      </c>
      <c r="D186" s="141">
        <f>DH_const*(eps_water_298*(T_ref/TKc)^eps_T_exp)^-1.5*TKc^-1.5</f>
        <v>0.507905390447</v>
      </c>
      <c r="E186" s="67" t="s">
        <v>1532</v>
      </c>
    </row>
    <row r="187" spans="1:5" ht="36" x14ac:dyDescent="0.2">
      <c r="A187" t="s">
        <v>1533</v>
      </c>
      <c r="B187" s="18" t="s">
        <v>1534</v>
      </c>
      <c r="C187" s="19" t="s">
        <v>1274</v>
      </c>
      <c r="D187" s="141">
        <f>10^(-A_DH*1*(SQRT(I_ionic)/(1+SQRT(I_ionic))-davies_c*I_ionic))</f>
        <v>0.776846550354</v>
      </c>
      <c r="E187" s="67" t="s">
        <v>1535</v>
      </c>
    </row>
    <row r="188" spans="1:5" ht="36" x14ac:dyDescent="0.2">
      <c r="A188" t="s">
        <v>1536</v>
      </c>
      <c r="B188" s="18" t="s">
        <v>1537</v>
      </c>
      <c r="C188" s="19" t="s">
        <v>1274</v>
      </c>
      <c r="D188" s="141">
        <f>10^(-A_DH*4*(SQRT(I_ionic)/(1+SQRT(I_ionic))-davies_c*I_ionic))</f>
        <v>0.364200859384</v>
      </c>
      <c r="E188" s="67" t="s">
        <v>1535</v>
      </c>
    </row>
    <row r="189" spans="1:5" ht="36" x14ac:dyDescent="0.2">
      <c r="A189" t="s">
        <v>1538</v>
      </c>
      <c r="B189" s="18" t="s">
        <v>1539</v>
      </c>
      <c r="C189" s="19" t="s">
        <v>1274</v>
      </c>
      <c r="D189" s="141">
        <f>10^(-A_DH*9*(SQRT(I_ionic)/(1+SQRT(I_ionic))-davies_c*I_ionic))</f>
        <v>0.103042686755</v>
      </c>
      <c r="E189" s="67" t="s">
        <v>1535</v>
      </c>
    </row>
    <row r="190" spans="1:5" ht="36" x14ac:dyDescent="0.2">
      <c r="A190" t="s">
        <v>1540</v>
      </c>
      <c r="B190" s="18" t="s">
        <v>1541</v>
      </c>
      <c r="C190" s="19" t="s">
        <v>1098</v>
      </c>
      <c r="D190" s="141">
        <f>Ka1c/gamma_1^2</f>
        <v>7.373768993803e-07</v>
      </c>
      <c r="E190" s="67" t="s">
        <v>1542</v>
      </c>
    </row>
    <row r="191" spans="1:5" ht="36" x14ac:dyDescent="0.2">
      <c r="A191" t="s">
        <v>1543</v>
      </c>
      <c r="B191" s="18" t="s">
        <v>1544</v>
      </c>
      <c r="C191" s="19" t="s">
        <v>1098</v>
      </c>
      <c r="D191" s="141">
        <f>Ka2c/gamma_2</f>
        <v>1.287750942688e-10</v>
      </c>
      <c r="E191" s="67" t="s">
        <v>1545</v>
      </c>
    </row>
    <row r="192" spans="1:5" ht="36" x14ac:dyDescent="0.2">
      <c r="A192" t="s">
        <v>1546</v>
      </c>
      <c r="B192" s="18" t="s">
        <v>1547</v>
      </c>
      <c r="C192" s="19" t="s">
        <v>1098</v>
      </c>
      <c r="D192" s="141">
        <f>Ka1p/gamma_1^2</f>
        <v>0.011764889855</v>
      </c>
      <c r="E192" s="67" t="s">
        <v>1548</v>
      </c>
    </row>
    <row r="193" spans="1:5" ht="60" x14ac:dyDescent="0.2">
      <c r="A193" t="s">
        <v>1549</v>
      </c>
      <c r="B193" s="18" t="s">
        <v>1550</v>
      </c>
      <c r="C193" s="19" t="s">
        <v>1098</v>
      </c>
      <c r="D193" s="141">
        <f>Ka2p/gamma_2</f>
        <v>1.732560436751e-07</v>
      </c>
      <c r="E193" s="67" t="s">
        <v>1551</v>
      </c>
    </row>
    <row r="194" spans="1:5" ht="36" x14ac:dyDescent="0.2">
      <c r="A194" t="s">
        <v>1552</v>
      </c>
      <c r="B194" s="18" t="s">
        <v>1553</v>
      </c>
      <c r="C194" s="19" t="s">
        <v>1098</v>
      </c>
      <c r="D194" s="141">
        <f>Ka3p*gamma_2/(gamma_1*gamma_3)</f>
        <v>1.910899474681e-12</v>
      </c>
      <c r="E194" s="67" t="s">
        <v>1554</v>
      </c>
    </row>
    <row r="195" spans="1:5" ht="24" x14ac:dyDescent="0.2">
      <c r="A195" t="s">
        <v>1555</v>
      </c>
      <c r="B195" s="18" t="s">
        <v>1556</v>
      </c>
      <c r="C195" s="19" t="s">
        <v>1098</v>
      </c>
      <c r="D195" s="141">
        <f>Kw_w/gamma_1^2</f>
        <v>1.65702674018e-14</v>
      </c>
      <c r="E195" s="67" t="s">
        <v>1557</v>
      </c>
    </row>
    <row r="196" spans="1:5" ht="36" x14ac:dyDescent="0.2">
      <c r="A196" t="s">
        <v>1558</v>
      </c>
      <c r="B196" s="18" t="s">
        <v>1559</v>
      </c>
      <c r="C196" s="19" t="s">
        <v>1098</v>
      </c>
      <c r="D196" s="141">
        <f>Ka_HOCl/gamma_1^2</f>
        <v>4.778917320203e-08</v>
      </c>
      <c r="E196" s="67" t="s">
        <v>1560</v>
      </c>
    </row>
    <row r="197" spans="1:5" ht="36" x14ac:dyDescent="0.2">
      <c r="A197" t="s">
        <v>1561</v>
      </c>
      <c r="B197" s="18" t="s">
        <v>1562</v>
      </c>
      <c r="C197" s="19" t="s">
        <v>1098</v>
      </c>
      <c r="D197" s="141">
        <f>Ka_NH4</f>
        <v>5.6e-10</v>
      </c>
      <c r="E197" s="99" t="s">
        <v>1563</v>
      </c>
    </row>
    <row r="199" spans="1:5" x14ac:dyDescent="0.2">
      <c r="A199" s="5" t="s">
        <v>1564</v>
      </c>
    </row>
    <row r="200" spans="1:5" x14ac:dyDescent="0.2">
      <c r="A200" t="s">
        <v>1565</v>
      </c>
      <c r="B200" s="18" t="s">
        <v>1566</v>
      </c>
      <c r="C200" s="19" t="s">
        <v>1567</v>
      </c>
      <c r="D200" s="141">
        <f>R_gas*TKc/Fcc*LN(10)</f>
        <v>0.059159349686</v>
      </c>
      <c r="E200" s="99" t="s">
        <v>1568</v>
      </c>
    </row>
    <row r="201" spans="1:5" ht="36" x14ac:dyDescent="0.2">
      <c r="A201" t="s">
        <v>1569</v>
      </c>
      <c r="B201" s="18" t="s">
        <v>1570</v>
      </c>
      <c r="C201" s="19" t="s">
        <v>1571</v>
      </c>
      <c r="D201" s="146">
        <v>1.2290000000000001</v>
      </c>
      <c r="E201" s="99" t="s">
        <v>1572</v>
      </c>
    </row>
    <row r="202" spans="1:5" ht="24" x14ac:dyDescent="0.2">
      <c r="A202" t="s">
        <v>1573</v>
      </c>
      <c r="B202" s="18" t="s">
        <v>1574</v>
      </c>
      <c r="C202" s="19" t="s">
        <v>1571</v>
      </c>
      <c r="D202" s="146">
        <v>0</v>
      </c>
      <c r="E202" s="99" t="s">
        <v>1575</v>
      </c>
    </row>
    <row r="203" spans="1:5" x14ac:dyDescent="0.2">
      <c r="A203" t="s">
        <v>1576</v>
      </c>
      <c r="B203" s="18" t="s">
        <v>1577</v>
      </c>
      <c r="C203" s="19" t="s">
        <v>1571</v>
      </c>
      <c r="D203" s="146">
        <v>1.3580000000000001</v>
      </c>
      <c r="E203" s="99" t="s">
        <v>1578</v>
      </c>
    </row>
    <row r="204" spans="1:5" x14ac:dyDescent="0.2">
      <c r="A204" t="s">
        <v>1579</v>
      </c>
      <c r="B204" s="18" t="s">
        <v>1580</v>
      </c>
      <c r="C204" s="19" t="s">
        <v>1571</v>
      </c>
      <c r="D204" s="146">
        <v>0.69499999999999995</v>
      </c>
      <c r="E204" s="99" t="s">
        <v>1581</v>
      </c>
    </row>
    <row r="205" spans="1:5" x14ac:dyDescent="0.2">
      <c r="A205" t="s">
        <v>1582</v>
      </c>
      <c r="B205" s="18" t="s">
        <v>1583</v>
      </c>
      <c r="C205" s="19" t="s">
        <v>1571</v>
      </c>
      <c r="D205" s="146">
        <v>0.34189999999999998</v>
      </c>
      <c r="E205" s="99" t="s">
        <v>1578</v>
      </c>
    </row>
    <row r="206" spans="1:5" ht="24" x14ac:dyDescent="0.2">
      <c r="A206" t="s">
        <v>1584</v>
      </c>
      <c r="B206" s="18" t="s">
        <v>1585</v>
      </c>
      <c r="C206" s="19" t="s">
        <v>1571</v>
      </c>
      <c r="D206" s="141">
        <f>E0_OER-nernst_slope*pH_meas</f>
        <v>0.83831463654</v>
      </c>
      <c r="E206" s="99" t="s">
        <v>1586</v>
      </c>
    </row>
    <row r="207" spans="1:5" x14ac:dyDescent="0.2">
      <c r="A207" t="s">
        <v>1587</v>
      </c>
      <c r="B207" s="18" t="s">
        <v>1588</v>
      </c>
      <c r="C207" s="19" t="s">
        <v>1571</v>
      </c>
      <c r="D207" s="141">
        <f>E0_HER-nernst_slope*pH_meas</f>
        <v>-0.39068536346</v>
      </c>
      <c r="E207" s="99" t="s">
        <v>1589</v>
      </c>
    </row>
    <row r="208" spans="1:5" ht="24" x14ac:dyDescent="0.2">
      <c r="A208" t="inlineStr">
        <is>
          <t xml:space="preserve">Cl₂/Cl⁻ potential at the medium chloride (Cl₂ gas at 1 atm, reference only)</t>
        </is>
      </c>
      <c r="B208" s="18" t="s">
        <v>1591</v>
      </c>
      <c r="C208" s="19" t="s">
        <v>1571</v>
      </c>
      <c r="D208" s="141">
        <f>E0_Cl2+nernst_slope*(-LOG10(MAX(pH_Cl,Cl_floor_molL)))</f>
        <v>1.579505308204</v>
      </c>
      <c r="E208" s="67" t="s">
        <v>1592</v>
      </c>
    </row>
    <row r="209" spans="1:5" ht="60" x14ac:dyDescent="0.2">
      <c r="A209" t="inlineStr">
        <is>
          <t xml:space="preserve">HOCl/Cl⁻ couple minus operating anode potential</t>
        </is>
      </c>
      <c r="B209" s="18" t="s">
        <v>1594</v>
      </c>
      <c r="C209" s="19" t="s">
        <v>1595</v>
      </c>
      <c r="D209" s="141">
        <f>E_HOCl_Cl-E_anode_op</f>
        <v>-0.422483519032</v>
      </c>
      <c r="E209" s="67" t="inlineStr">
        <is>
          <t xml:space="preserve">Negative = the anode sits above the HOCl/Cl⁻ couple, so chloride oxidation is thermodynamically accessible and, on Pt, transport-limited (Chemistry D132). Cl₂ gas at 1 atm (D208) is a reference only: at trace chloride the product is HOCl.</t>
        </is>
      </c>
    </row>
    <row r="210" spans="1:5" ht="48" x14ac:dyDescent="0.2">
      <c r="A210" t="s">
        <v>1597</v>
      </c>
      <c r="B210" s="18" t="s">
        <v>1598</v>
      </c>
      <c r="C210" s="19" t="s">
        <v>1571</v>
      </c>
      <c r="D210" s="141">
        <f>E0_ORR2-nernst_slope*pH_meas</f>
        <v>0.30431463654</v>
      </c>
      <c r="E210" s="67" t="s">
        <v>1599</v>
      </c>
    </row>
    <row r="211" spans="1:5" ht="48" x14ac:dyDescent="0.2">
      <c r="A211" t="inlineStr">
        <is>
          <t xml:space="preserve">Operating anode potential above Cu²⁺/Cu</t>
        </is>
      </c>
      <c r="B211" s="18" t="s">
        <v>1601</v>
      </c>
      <c r="C211" s="19" t="s">
        <v>1595</v>
      </c>
      <c r="D211" s="141">
        <f>E_anode_op-E0_Cu</f>
        <v>1.240557060036</v>
      </c>
      <c r="E211" s="67" t="s">
        <v>1602</v>
      </c>
    </row>
    <row r="213" spans="1:5" x14ac:dyDescent="0.2">
      <c r="A213" s="5" t="s">
        <v>1603</v>
      </c>
    </row>
    <row r="214" spans="1:5" ht="24" x14ac:dyDescent="0.2">
      <c r="A214" t="s">
        <v>1604</v>
      </c>
      <c r="B214" s="18" t="s">
        <v>1605</v>
      </c>
      <c r="C214" s="19" t="s">
        <v>577</v>
      </c>
      <c r="D214" s="146">
        <v>7.5899999999999996E-10</v>
      </c>
      <c r="E214" s="99" t="s">
        <v>1606</v>
      </c>
    </row>
    <row r="215" spans="1:5" ht="60" x14ac:dyDescent="0.2">
      <c r="A215" t="s">
        <v>1607</v>
      </c>
      <c r="B215" s="18" t="s">
        <v>1608</v>
      </c>
      <c r="C215" s="19" t="s">
        <v>580</v>
      </c>
      <c r="D215" s="131">
        <v>40</v>
      </c>
      <c r="E215" s="75" t="s">
        <v>1609</v>
      </c>
    </row>
    <row r="216" spans="1:5" ht="60" x14ac:dyDescent="0.2">
      <c r="A216" t="s">
        <v>1610</v>
      </c>
      <c r="B216" s="18" t="s">
        <v>1611</v>
      </c>
      <c r="C216" s="19" t="s">
        <v>1282</v>
      </c>
      <c r="D216" s="141">
        <f>Fcc*(D_HPO4*HPO4_op+D_HCO3*HCO3_op)*1000/(delta_diff/1000000)/10</f>
        <v>8.049160263403</v>
      </c>
      <c r="E216" s="67" t="inlineStr">
        <is>
          <t xml:space="preserve">j_lim = F·Σ(D·C)/δ over the proton acceptors reaching the anode: hydrogen phosphate and bicarbonate (D251–D253). At the CO₂-dosed operating point bicarbonate is the larger term; at air equilibrium it falls to ~0.4 mM and the phosphate term alone applies, so re-read this verdict whenever the schedule changes.</t>
        </is>
      </c>
    </row>
    <row r="217" spans="1:5" x14ac:dyDescent="0.2">
      <c r="A217" t="s">
        <v>1613</v>
      </c>
      <c r="B217" s="18" t="s">
        <v>1614</v>
      </c>
      <c r="C217" s="19" t="s">
        <v>1282</v>
      </c>
      <c r="D217" s="141">
        <f>Electrochemistry!$D$48</f>
        <v>2.826095688296</v>
      </c>
      <c r="E217" s="67" t="s">
        <v>1615</v>
      </c>
    </row>
    <row r="218" spans="1:5" ht="48" x14ac:dyDescent="0.2">
      <c r="A218" t="s">
        <v>1616</v>
      </c>
      <c r="B218" s="18" t="s">
        <v>1617</v>
      </c>
      <c r="C218" s="19" t="s">
        <v>1274</v>
      </c>
      <c r="D218" s="141">
        <f>j_anode_c/j_buffer_lim</f>
        <v>0.35110441286</v>
      </c>
      <c r="E218" s="67" t="s">
        <v>1618</v>
      </c>
    </row>
    <row r="219" spans="1:5" ht="48" x14ac:dyDescent="0.2">
      <c r="A219" t="s">
        <v>1619</v>
      </c>
      <c r="B219" s="18" t="s">
        <v>1620</v>
      </c>
      <c r="C219" s="19" t="s">
        <v>1274</v>
      </c>
      <c r="D219" s="141"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s="67" t="s">
        <v>1621</v>
      </c>
    </row>
    <row r="220" spans="1:5" ht="60" x14ac:dyDescent="0.2">
      <c r="A220" t="s">
        <v>1622</v>
      </c>
      <c r="B220" s="18" t="s">
        <v>1623</v>
      </c>
      <c r="C220" s="19" t="s">
        <v>1274</v>
      </c>
      <c r="D220" s="141">
        <f>pH_op-LOG10(gamma_1)</f>
        <v>6.603949596052</v>
      </c>
      <c r="E220" s="67" t="s">
        <v>1624</v>
      </c>
    </row>
    <row r="221" spans="1:5" x14ac:dyDescent="0.2">
      <c r="A221" s="5" t="inlineStr">
        <is>
          <t xml:space="preserve">UNIT CONSTANTS</t>
        </is>
      </c>
    </row>
    <row r="222" spans="1:5" ht="48" x14ac:dyDescent="0.2">
      <c r="A222" t="s">
        <v>1883</v>
      </c>
      <c r="B222" s="18" t="s">
        <v>1884</v>
      </c>
      <c r="C222" s="19" t="s">
        <v>1885</v>
      </c>
      <c r="D222" s="146">
        <v>52460</v>
      </c>
      <c r="E222" s="99" t="s">
        <v>1886</v>
      </c>
    </row>
    <row r="223" spans="1:5" x14ac:dyDescent="0.2">
      <c r="A223" t="s">
        <v>1887</v>
      </c>
      <c r="B223" s="18" t="s">
        <v>1888</v>
      </c>
      <c r="C223" s="19" t="s">
        <v>1885</v>
      </c>
      <c r="D223" s="146">
        <v>70906</v>
      </c>
      <c r="E223" s="99" t="s">
        <v>1889</v>
      </c>
    </row>
    <row r="224" spans="1:5" ht="48" x14ac:dyDescent="0.2">
      <c r="A224" t="s">
        <v>1890</v>
      </c>
      <c r="B224" s="18" t="s">
        <v>1891</v>
      </c>
      <c r="C224" s="19" t="s">
        <v>1892</v>
      </c>
      <c r="D224" s="146">
        <v>5.0599999999999996</v>
      </c>
      <c r="E224" s="67" t="s">
        <v>1893</v>
      </c>
    </row>
    <row r="225" spans="1:5" x14ac:dyDescent="0.2">
      <c r="A225" t="s">
        <v>1894</v>
      </c>
      <c r="B225" s="18" t="s">
        <v>1895</v>
      </c>
      <c r="C225" s="19" t="s">
        <v>1885</v>
      </c>
      <c r="D225" s="146">
        <v>14007</v>
      </c>
      <c r="E225" s="99" t="s">
        <v>1896</v>
      </c>
    </row>
    <row r="226" spans="1:5" ht="48" x14ac:dyDescent="0.2">
      <c r="A226" t="s">
        <v>1897</v>
      </c>
      <c r="B226" s="18" t="s">
        <v>1898</v>
      </c>
      <c r="C226" s="19" t="s">
        <v>1270</v>
      </c>
      <c r="D226" s="141">
        <f>C_eff*M_Cl2/M_HOCl</f>
        <v>0.500804384457</v>
      </c>
      <c r="E226" s="67" t="s">
        <v>1899</v>
      </c>
    </row>
    <row r="228">
      <c r="A228" s="104" t="inlineStr">
        <is>
          <t xml:space="preserve">NAMED CONSTANTS, THRESHOLDS AND IMPORTS</t>
        </is>
      </c>
    </row>
    <row r="229">
      <c r="A229" s="17" t="inlineStr">
        <is>
          <t xml:space="preserve">(import) Reference temperature (25 °C)</t>
        </is>
      </c>
      <c r="B229" s="18" t="inlineStr">
        <is>
          <t xml:space="preserve">T_ref</t>
        </is>
      </c>
      <c r="C229" s="19" t="inlineStr">
        <is>
          <t xml:space="preserve">K</t>
        </is>
      </c>
      <c r="D229" s="141">
        <f>Biology!$D$23</f>
        <v>298.15</v>
      </c>
      <c r="E229" s="51" t="inlineStr">
        <is>
          <t xml:space="preserve">Import from Biology!D23</t>
        </is>
      </c>
    </row>
    <row r="230">
      <c r="A230" s="17" t="inlineStr">
        <is>
          <t xml:space="preserve">Debye–Hückel A coefficient constant</t>
        </is>
      </c>
      <c r="B230" s="18" t="inlineStr">
        <is>
          <t xml:space="preserve">DH_const</t>
        </is>
      </c>
      <c r="C230" s="19" t="inlineStr">
        <is>
          <t xml:space="preserve">K^1.5</t>
        </is>
      </c>
      <c r="D230" s="131">
        <v>1820000</v>
      </c>
      <c r="E230" s="84" t="inlineStr">
        <is>
          <t xml:space="preserve">A = 1.82×10⁶·(εT)^-1.5 (standard Debye–Hückel form; gives 0.509 at 25 °C).</t>
        </is>
      </c>
    </row>
    <row r="231">
      <c r="A231" s="17" t="inlineStr">
        <is>
          <t xml:space="preserve">Relative permittivity of water at 298.15 K</t>
        </is>
      </c>
      <c r="B231" s="18" t="inlineStr">
        <is>
          <t xml:space="preserve">eps_water_298</t>
        </is>
      </c>
      <c r="C231" s="19" t="inlineStr">
        <is>
          <t xml:space="preserve">-</t>
        </is>
      </c>
      <c r="D231" s="131">
        <v>78.54</v>
      </c>
      <c r="E231" s="84" t="inlineStr">
        <is>
          <t xml:space="preserve">CRC Handbook, water dielectric constant at 25 °C.</t>
        </is>
      </c>
    </row>
    <row r="232">
      <c r="A232" s="17" t="inlineStr">
        <is>
          <t xml:space="preserve">Permittivity temperature exponent</t>
        </is>
      </c>
      <c r="B232" s="18" t="inlineStr">
        <is>
          <t xml:space="preserve">eps_T_exp</t>
        </is>
      </c>
      <c r="C232" s="19" t="inlineStr">
        <is>
          <t xml:space="preserve">-</t>
        </is>
      </c>
      <c r="D232" s="131">
        <v>1.368</v>
      </c>
      <c r="E232" s="67" t="inlineStr">
        <is>
          <t xml:space="preserve">ε(T) = ε₂₉₈·(298.15/T)^n, power-law fit to the water permittivity (as in E186).</t>
        </is>
      </c>
    </row>
    <row r="233">
      <c r="A233" s="17" t="inlineStr">
        <is>
          <t xml:space="preserve">Davies equation linear coefficient</t>
        </is>
      </c>
      <c r="B233" s="18" t="inlineStr">
        <is>
          <t xml:space="preserve">davies_c</t>
        </is>
      </c>
      <c r="C233" s="19" t="inlineStr">
        <is>
          <t xml:space="preserve">-</t>
        </is>
      </c>
      <c r="D233" s="131">
        <v>0.3</v>
      </c>
      <c r="E233" s="84" t="inlineStr">
        <is>
          <t xml:space="preserve">Davies (1962): log γ = −A z²(√I/(1+√I) − 0.3 I).</t>
        </is>
      </c>
    </row>
    <row r="234">
      <c r="A234" s="17" t="inlineStr">
        <is>
          <t xml:space="preserve">Chloride numerical floor</t>
        </is>
      </c>
      <c r="B234" s="18" t="inlineStr">
        <is>
          <t xml:space="preserve">Cl_floor_molL</t>
        </is>
      </c>
      <c r="C234" s="19" t="inlineStr">
        <is>
          <t xml:space="preserve">mol/L</t>
        </is>
      </c>
      <c r="D234" s="131">
        <v>1e-12</v>
      </c>
      <c r="E234" s="84" t="inlineStr">
        <is>
          <t xml:space="preserve">Defined: numerical floor so LOG10 never sees zero chloride; far below any real chloride level.</t>
        </is>
      </c>
    </row>
    <row r="235">
      <c r="A235" s="17" t="inlineStr">
        <is>
          <t xml:space="preserve">pH solve grid step</t>
        </is>
      </c>
      <c r="B235" s="18" t="inlineStr">
        <is>
          <t xml:space="preserve">pH_step</t>
        </is>
      </c>
      <c r="C235" s="19" t="inlineStr">
        <is>
          <t xml:space="preserve">pH</t>
        </is>
      </c>
      <c r="D235" s="131">
        <v>0.1</v>
      </c>
      <c r="E235" s="84" t="inlineStr">
        <is>
          <t xml:space="preserve">Defined: spacing of the typed pH grid A50:A100 (4.0 to 9.0).</t>
        </is>
      </c>
    </row>
    <row r="236">
      <c r="A236" s="17" t="inlineStr">
        <is>
          <t xml:space="preserve">HOB pH band, lower edge</t>
        </is>
      </c>
      <c r="B236" s="18" t="inlineStr">
        <is>
          <t xml:space="preserve">pH_band_lo</t>
        </is>
      </c>
      <c r="C236" s="19" t="inlineStr">
        <is>
          <t xml:space="preserve">pH</t>
        </is>
      </c>
      <c r="D236" s="131">
        <v>6.5</v>
      </c>
      <c r="E236" s="67" t="inlineStr">
        <is>
          <t xml:space="preserve">HOB optimum 6.5–7.5 (Pous 2022/23; Rovira-Alsina 2025).</t>
        </is>
      </c>
    </row>
    <row r="237">
      <c r="A237" s="17" t="inlineStr">
        <is>
          <t xml:space="preserve">HOB pH band, upper edge</t>
        </is>
      </c>
      <c r="B237" s="18" t="inlineStr">
        <is>
          <t xml:space="preserve">pH_band_hi</t>
        </is>
      </c>
      <c r="C237" s="19" t="inlineStr">
        <is>
          <t xml:space="preserve">pH</t>
        </is>
      </c>
      <c r="D237" s="131">
        <v>7.5</v>
      </c>
      <c r="E237" s="67" t="inlineStr">
        <is>
          <t xml:space="preserve">HOB optimum 6.5–7.5 (Pous 2022/23; Rovira-Alsina 2025).</t>
        </is>
      </c>
    </row>
    <row r="238">
      <c r="A238" s="17" t="inlineStr">
        <is>
          <t xml:space="preserve">Buffer caution fraction</t>
        </is>
      </c>
      <c r="B238" s="18" t="inlineStr">
        <is>
          <t xml:space="preserve">buffer_caution_frac</t>
        </is>
      </c>
      <c r="C238" s="19" t="inlineStr">
        <is>
          <t xml:space="preserve">-</t>
        </is>
      </c>
      <c r="D238" s="131">
        <v>0.5</v>
      </c>
      <c r="E238" s="75" t="inlineStr">
        <is>
          <t xml:space="preserve">Coarse estimate: flag "watch" above this fraction of the buffer-limited current density.</t>
        </is>
      </c>
    </row>
    <row r="250">
      <c r="A250" s="5" t="inlineStr">
        <is>
          <t xml:space="preserve">ELECTRODE-SURFACE CHEMISTRY AT THE OPERATING POINT</t>
        </is>
      </c>
    </row>
    <row r="251">
      <c r="A251" t="inlineStr">
        <is>
          <t xml:space="preserve">Diffusion coefficient — HCO₃⁻</t>
        </is>
      </c>
      <c r="B251" s="18" t="inlineStr">
        <is>
          <t xml:space="preserve">D_HCO3</t>
        </is>
      </c>
      <c r="C251" s="19" t="inlineStr">
        <is>
          <t xml:space="preserve">m²/s</t>
        </is>
      </c>
      <c r="D251" s="146">
        <v>1.185e-09</v>
      </c>
      <c r="E251" s="99" t="inlineStr">
        <is>
          <t xml:space="preserve">CRC Handbook (Vanýsek), ionic diffusion coefficient at 25 °C, 1.185×10⁻⁵ cm²/s.</t>
        </is>
      </c>
    </row>
    <row r="252">
      <c r="A252" t="inlineStr">
        <is>
          <t xml:space="preserve">Bicarbonate at the operating point</t>
        </is>
      </c>
      <c r="B252" s="18" t="inlineStr">
        <is>
          <t xml:space="preserve">HCO3_op</t>
        </is>
      </c>
      <c r="C252" s="19" t="inlineStr">
        <is>
          <t xml:space="preserve">mol/L</t>
        </is>
      </c>
      <c r="D252" s="141">
        <f>Ka1c_c*CO2aqc/10^-pH_op</f>
        <v>0.01976870305</v>
      </c>
      <c r="E252" s="67" t="inlineStr">
        <is>
          <t xml:space="preserve">Concentration scale, same speciation the charge balance solves (Ka1c_c with pH_op).</t>
        </is>
      </c>
    </row>
    <row r="253">
      <c r="A253" t="inlineStr">
        <is>
          <t xml:space="preserve">Hydrogen phosphate at the operating point</t>
        </is>
      </c>
      <c r="B253" s="18" t="inlineStr">
        <is>
          <t xml:space="preserve">HPO4_op</t>
        </is>
      </c>
      <c r="C253" s="19" t="inlineStr">
        <is>
          <t xml:space="preserve">mol/L</t>
        </is>
      </c>
      <c r="D253" s="141">
        <f>pH_PT/(1+10^(-LOG10(Ka2p_c)-pH_op))</f>
        <v>0.013100861499</v>
      </c>
      <c r="E253" s="67" t="inlineStr">
        <is>
          <t xml:space="preserve">Concentration scale: HPO₄²⁻ share of total phosphate at pH_op with the concentration-scale pKa2.</t>
        </is>
      </c>
    </row>
    <row r="254">
      <c r="A254" t="inlineStr">
        <is>
          <t xml:space="preserve">(import) anode overpotential</t>
        </is>
      </c>
      <c r="B254" s="18" t="inlineStr">
        <is>
          <t xml:space="preserve">eta_anode_c</t>
        </is>
      </c>
      <c r="C254" s="19" t="inlineStr">
        <is>
          <t xml:space="preserve">V</t>
        </is>
      </c>
      <c r="D254" s="141">
        <f>Electrochemistry!$D$111</f>
        <v>0.894142423496</v>
      </c>
      <c r="E254" s="67" t="inlineStr">
        <is>
          <t xml:space="preserve">Import from Electrochemistry!D111 (Tafel, at the operating current density).</t>
        </is>
      </c>
    </row>
    <row r="255">
      <c r="A255" t="inlineStr">
        <is>
          <t xml:space="preserve">(import) proton-coupled credit</t>
        </is>
      </c>
      <c r="B255" s="18" t="inlineStr">
        <is>
          <t xml:space="preserve">pcet_credit_c</t>
        </is>
      </c>
      <c r="C255" s="19" t="inlineStr">
        <is>
          <t xml:space="preserve">V</t>
        </is>
      </c>
      <c r="D255" s="141">
        <f>Electrochemistry!$D$113</f>
        <v>-0.15</v>
      </c>
      <c r="E255" s="67" t="inlineStr">
        <is>
          <t xml:space="preserve">Import from Electrochemistry!D113.</t>
        </is>
      </c>
    </row>
    <row r="256">
      <c r="A256" t="inlineStr">
        <is>
          <t xml:space="preserve">Operating anode potential</t>
        </is>
      </c>
      <c r="B256" s="18" t="inlineStr">
        <is>
          <t xml:space="preserve">E_anode_op</t>
        </is>
      </c>
      <c r="C256" s="19" t="inlineStr">
        <is>
          <t xml:space="preserve">V vs SHE</t>
        </is>
      </c>
      <c r="D256" s="141">
        <f>E_OER+eta_anode_c+pcet_credit_c</f>
        <v>1.582457060036</v>
      </c>
      <c r="E256" s="67" t="inlineStr">
        <is>
          <t xml:space="preserve">Reversible O₂/H₂O potential at the bulk pH plus the anode overpotential and the proton-coupled credit from the cell-voltage budget.</t>
        </is>
      </c>
    </row>
    <row r="257">
      <c r="A257" t="inlineStr">
        <is>
          <t xml:space="preserve">Standard potential — HOCl + H⁺ + 2e⁻ → Cl⁻ + H₂O</t>
        </is>
      </c>
      <c r="B257" s="18" t="inlineStr">
        <is>
          <t xml:space="preserve">E0_HOCl</t>
        </is>
      </c>
      <c r="C257" s="19" t="inlineStr">
        <is>
          <t xml:space="preserve">V</t>
        </is>
      </c>
      <c r="D257" s="146">
        <v>1.482</v>
      </c>
      <c r="E257" s="99" t="inlineStr">
        <is>
          <t xml:space="preserve">CRC Handbook §5, ±0.002 V.</t>
        </is>
      </c>
    </row>
    <row r="258">
      <c r="A258" t="inlineStr">
        <is>
          <t xml:space="preserve">HOCl/Cl⁻ potential at the operating point</t>
        </is>
      </c>
      <c r="B258" s="18" t="inlineStr">
        <is>
          <t xml:space="preserve">E_HOCl_Cl</t>
        </is>
      </c>
      <c r="C258" s="19" t="inlineStr">
        <is>
          <t xml:space="preserve">V vs SHE</t>
        </is>
      </c>
      <c r="D258" s="141">
        <f>E0_HOCl+nernst_slope/2*(LOG10(MAX(HOCl_ss*f_local,1E-12))-pH_meas-LOG10(MAX(pH_Cl,1E-12)))</f>
        <v>1.159973541004</v>
      </c>
      <c r="E258" s="67" t="inlineStr">
        <is>
          <t xml:space="preserve">Nernst for the couple actually formed at trace chloride (HOCl at nanomolar level, not Cl₂ gas at 1 atm), at the electrode-enriched HOCl.</t>
        </is>
      </c>
    </row>
    <row r="259">
      <c r="A259" t="inlineStr">
        <is>
          <t xml:space="preserve">Free chlorine low end, as Cl₂</t>
        </is>
      </c>
      <c r="B259" s="18" t="inlineStr">
        <is>
          <t xml:space="preserve">C_eff_lo_Cl2</t>
        </is>
      </c>
      <c r="C259" s="19" t="inlineStr">
        <is>
          <t xml:space="preserve">mg/L</t>
        </is>
      </c>
      <c r="D259" s="141">
        <f>C_eff_lo*M_Cl2/M_HOCl</f>
        <v>0.003643312833</v>
      </c>
      <c r="E259" s="67" t="inlineStr">
        <is>
          <t xml:space="preserve">C_eff_lo on the as-Cl₂ basis the thresholds use.</t>
        </is>
      </c>
    </row>
    <row r="260">
      <c r="A260" t="inlineStr">
        <is>
          <t xml:space="preserve">Free chlorine high end, as Cl₂</t>
        </is>
      </c>
      <c r="B260" s="18" t="inlineStr">
        <is>
          <t xml:space="preserve">C_eff_hi_Cl2</t>
        </is>
      </c>
      <c r="C260" s="19" t="inlineStr">
        <is>
          <t xml:space="preserve">mg/L</t>
        </is>
      </c>
      <c r="D260" s="141">
        <f>C_eff_hi*M_Cl2/M_HOCl</f>
        <v>0.710563979689</v>
      </c>
      <c r="E260" s="67" t="inlineStr">
        <is>
          <t xml:space="preserve">C_eff_hi on the as-Cl₂ basis the thresholds use.</t>
        </is>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61"/>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104" t="s">
        <v>402</v>
      </c>
      <c r="B1" s="20"/>
      <c r="C1" s="20"/>
      <c r="D1" s="20"/>
      <c r="E1" s="20"/>
      <c r="F1" s="20"/>
    </row>
    <row r="2" spans="1:6" x14ac:dyDescent="0.2">
      <c r="A2" s="16" t="s">
        <v>24</v>
      </c>
      <c r="B2" s="16" t="s">
        <v>25</v>
      </c>
      <c r="C2" s="16" t="s">
        <v>26</v>
      </c>
      <c r="D2" s="16" t="s">
        <v>27</v>
      </c>
      <c r="E2" s="16" t="s">
        <v>131</v>
      </c>
      <c r="F2" s="20"/>
    </row>
    <row r="3" spans="1:6" ht="16" customHeight="1" x14ac:dyDescent="0.2">
      <c r="A3" s="104" t="s">
        <v>132</v>
      </c>
      <c r="B3" s="18"/>
      <c r="C3" s="19"/>
      <c r="D3" s="105"/>
      <c r="E3" s="20"/>
      <c r="F3" s="20"/>
    </row>
    <row r="4" spans="1:6" x14ac:dyDescent="0.2">
      <c r="A4" s="20" t="s">
        <v>403</v>
      </c>
      <c r="B4" s="18" t="s">
        <v>353</v>
      </c>
      <c r="C4" s="20" t="s">
        <v>354</v>
      </c>
      <c r="D4" s="150">
        <f>Electrochemistry!$D$21</f>
        <v>0.000103759833633</v>
      </c>
      <c r="E4" s="135" t="str">
        <f>HYPERLINK("#Electrochemistry!D21","→ Electrochemistry")</f>
        <v>→ Electrochemistry</v>
      </c>
      <c r="F4" s="20"/>
    </row>
    <row r="5" spans="1:6" x14ac:dyDescent="0.2">
      <c r="A5" s="20" t="s">
        <v>404</v>
      </c>
      <c r="B5" s="18" t="s">
        <v>378</v>
      </c>
      <c r="C5" s="20" t="s">
        <v>354</v>
      </c>
      <c r="D5" s="150">
        <f>Electrochemistry!$D$29</f>
        <v>4.936187056172e-05</v>
      </c>
      <c r="E5" s="135" t="str">
        <f>HYPERLINK("#Electrochemistry!D29","→ Electrochemistry")</f>
        <v>→ Electrochemistry</v>
      </c>
      <c r="F5" s="20"/>
    </row>
    <row r="6" spans="1:6" x14ac:dyDescent="0.2">
      <c r="A6" s="20" t="s">
        <v>405</v>
      </c>
      <c r="B6" s="18" t="s">
        <v>228</v>
      </c>
      <c r="C6" s="20" t="s">
        <v>57</v>
      </c>
      <c r="D6" s="151">
        <f>Geometry!$D$41</f>
        <v>15.0</v>
      </c>
      <c r="E6" s="135" t="str">
        <f>HYPERLINK("#Geometry!D41","→ Geometry")</f>
        <v>→ Geometry</v>
      </c>
      <c r="F6" s="20"/>
    </row>
    <row r="7" spans="1:6" x14ac:dyDescent="0.2">
      <c r="A7" s="20" t="s">
        <v>406</v>
      </c>
      <c r="B7" s="18" t="s">
        <v>38</v>
      </c>
      <c r="C7" s="20"/>
      <c r="D7" s="134" t="str">
        <f>Summary!$D$4</f>
        <v>UdG (mixed)</v>
      </c>
      <c r="E7" s="135" t="str">
        <f>HYPERLINK("#Summary!D4","→ Summary")</f>
        <v>→ Summary</v>
      </c>
      <c r="F7" s="20"/>
    </row>
    <row r="8" spans="1:6" s="15" customFormat="1" x14ac:dyDescent="0.2">
      <c r="A8" s="20" t="s">
        <v>406</v>
      </c>
      <c r="B8" s="18" t="s">
        <v>38</v>
      </c>
      <c r="C8" s="20"/>
      <c r="D8" s="38" t="str">
        <f>Summary!$D$4</f>
        <v>UdG (mixed)</v>
      </c>
      <c r="E8" s="23" t="str">
        <f>HYPERLINK("#Summary!D4","→ Summary")</f>
        <v>→ Summary</v>
      </c>
      <c r="F8" s="20"/>
    </row>
    <row r="9" spans="1:6" x14ac:dyDescent="0.2">
      <c r="A9" s="113"/>
      <c r="B9" s="18"/>
      <c r="C9" s="19"/>
      <c r="D9" s="60"/>
      <c r="E9" s="20"/>
      <c r="F9" s="20"/>
    </row>
    <row r="10" spans="1:6" ht="36" customHeight="1" x14ac:dyDescent="0.2">
      <c r="A10" s="17" t="s">
        <v>407</v>
      </c>
      <c r="B10" s="18" t="s">
        <v>408</v>
      </c>
      <c r="C10" s="19" t="s">
        <v>135</v>
      </c>
      <c r="D10" s="58">
        <f>IF(ISNUMBER(cal_knall_H2),cal_knall_H2,knall_H2_default)</f>
        <v>6.0</v>
      </c>
      <c r="E10" s="61" t="s">
        <v>409</v>
      </c>
      <c r="F10" s="20"/>
    </row>
    <row r="11" spans="1:6" x14ac:dyDescent="0.2">
      <c r="A11" s="17" t="s">
        <v>410</v>
      </c>
      <c r="B11" s="18" t="s">
        <v>411</v>
      </c>
      <c r="C11" s="19" t="s">
        <v>135</v>
      </c>
      <c r="D11" s="58">
        <f>IF(ISNUMBER(cal_knall_O2),cal_knall_O2,knall_O2_default)</f>
        <v>2.0</v>
      </c>
      <c r="E11" s="61" t="s">
        <v>412</v>
      </c>
      <c r="F11" s="20"/>
    </row>
    <row r="12" spans="1:6" x14ac:dyDescent="0.2">
      <c r="A12" s="17" t="s">
        <v>413</v>
      </c>
      <c r="B12" s="18" t="s">
        <v>414</v>
      </c>
      <c r="C12" s="19" t="s">
        <v>135</v>
      </c>
      <c r="D12" s="58">
        <f>IF(ISNUMBER(cal_knall_CO2),cal_knall_CO2,knall_CO2_default)</f>
        <v>1.0</v>
      </c>
      <c r="E12" s="61" t="s">
        <v>415</v>
      </c>
      <c r="F12" s="20"/>
    </row>
    <row r="13" spans="1:6" x14ac:dyDescent="0.2">
      <c r="A13" s="17" t="s">
        <v>416</v>
      </c>
      <c r="B13" s="18" t="s">
        <v>417</v>
      </c>
      <c r="C13" s="19" t="s">
        <v>354</v>
      </c>
      <c r="D13" s="48">
        <f>rH2_gen</f>
        <v>0.000103759833633</v>
      </c>
      <c r="E13" s="37" t="s">
        <v>418</v>
      </c>
      <c r="F13" s="20"/>
    </row>
    <row r="14" spans="1:6" ht="26" customHeight="1" x14ac:dyDescent="0.2">
      <c r="A14" s="17" t="s">
        <v>419</v>
      </c>
      <c r="B14" s="18" t="s">
        <v>420</v>
      </c>
      <c r="C14" s="19" t="s">
        <v>354</v>
      </c>
      <c r="D14" s="48">
        <f>H2_cons*bio_O2/bio_H2</f>
        <v>3.4586611211e-05</v>
      </c>
      <c r="E14" s="107" t="s">
        <v>421</v>
      </c>
      <c r="F14" s="20"/>
    </row>
    <row r="15" spans="1:6" x14ac:dyDescent="0.2">
      <c r="A15" s="17" t="s">
        <v>422</v>
      </c>
      <c r="B15" s="18" t="s">
        <v>423</v>
      </c>
      <c r="C15" s="19" t="s">
        <v>354</v>
      </c>
      <c r="D15" s="48">
        <f>H2_cons*bio_CO2/bio_H2</f>
        <v>1.72933056055e-05</v>
      </c>
      <c r="E15" s="37" t="s">
        <v>424</v>
      </c>
      <c r="F15" s="20"/>
    </row>
    <row r="16" spans="1:6" ht="52" x14ac:dyDescent="0.2">
      <c r="A16" s="113" t="s">
        <v>425</v>
      </c>
      <c r="B16" s="18" t="s">
        <v>426</v>
      </c>
      <c r="C16" s="19" t="s">
        <v>354</v>
      </c>
      <c r="D16" s="48">
        <f>MAX(0,O2_net_gen-O2_cons)</f>
        <v>1.477525935072e-05</v>
      </c>
      <c r="E16" s="115" t="s">
        <v>1926</v>
      </c>
      <c r="F16" s="20"/>
    </row>
    <row r="17" spans="1:6" x14ac:dyDescent="0.2">
      <c r="A17" s="17" t="s">
        <v>427</v>
      </c>
      <c r="B17" s="18" t="s">
        <v>428</v>
      </c>
      <c r="C17" s="19" t="s">
        <v>53</v>
      </c>
      <c r="D17" s="149">
        <f>Summary!$D$8</f>
        <v>25.0</v>
      </c>
      <c r="E17" s="37" t="s">
        <v>429</v>
      </c>
      <c r="F17" s="20"/>
    </row>
    <row r="18" spans="1:6" ht="24" customHeight="1" x14ac:dyDescent="0.2">
      <c r="A18" s="17" t="s">
        <v>430</v>
      </c>
      <c r="B18" s="18" t="s">
        <v>308</v>
      </c>
      <c r="C18" s="19" t="s">
        <v>309</v>
      </c>
      <c r="D18" s="42">
        <f>T_C+T_zero_C</f>
        <v>298.15</v>
      </c>
      <c r="E18" s="99" t="s">
        <v>431</v>
      </c>
      <c r="F18" s="20"/>
    </row>
    <row r="19" spans="1:6" x14ac:dyDescent="0.2">
      <c r="A19" s="17" t="s">
        <v>432</v>
      </c>
      <c r="B19" s="18" t="s">
        <v>311</v>
      </c>
      <c r="C19" s="19" t="s">
        <v>62</v>
      </c>
      <c r="D19" s="134">
        <f>IF(P_atm_set&gt;0,P_atm_set,Pa_per_atm)</f>
        <v>101325.0</v>
      </c>
      <c r="E19" s="37" t="s">
        <v>433</v>
      </c>
      <c r="F19" s="20"/>
    </row>
    <row r="20" spans="1:6" x14ac:dyDescent="0.2">
      <c r="A20" s="17" t="s">
        <v>434</v>
      </c>
      <c r="B20" s="18" t="s">
        <v>435</v>
      </c>
      <c r="C20" s="19" t="s">
        <v>436</v>
      </c>
      <c r="D20" s="146">
        <v>101325</v>
      </c>
      <c r="E20" s="99" t="s">
        <v>437</v>
      </c>
      <c r="F20" s="20"/>
    </row>
    <row r="21" spans="1:6" x14ac:dyDescent="0.2">
      <c r="A21" s="17" t="s">
        <v>438</v>
      </c>
      <c r="B21" s="18" t="s">
        <v>439</v>
      </c>
      <c r="C21" s="19" t="s">
        <v>440</v>
      </c>
      <c r="D21" s="146">
        <v>1.2E-5</v>
      </c>
      <c r="E21" s="51" t="s">
        <v>441</v>
      </c>
      <c r="F21" s="20"/>
    </row>
    <row r="22" spans="1:6" x14ac:dyDescent="0.2">
      <c r="A22" s="17" t="s">
        <v>442</v>
      </c>
      <c r="B22" s="18" t="s">
        <v>443</v>
      </c>
      <c r="C22" s="19" t="s">
        <v>309</v>
      </c>
      <c r="D22" s="146">
        <v>1500</v>
      </c>
      <c r="E22" s="51" t="s">
        <v>444</v>
      </c>
      <c r="F22" s="20"/>
    </row>
    <row r="23" spans="1:6" x14ac:dyDescent="0.2">
      <c r="A23" s="17" t="s">
        <v>445</v>
      </c>
      <c r="B23" s="18" t="s">
        <v>446</v>
      </c>
      <c r="C23" s="19" t="s">
        <v>309</v>
      </c>
      <c r="D23" s="146">
        <v>298.14999999999998</v>
      </c>
      <c r="E23" s="99" t="s">
        <v>447</v>
      </c>
      <c r="F23" s="20"/>
    </row>
    <row r="24" spans="1:6" x14ac:dyDescent="0.2">
      <c r="A24" s="17" t="s">
        <v>448</v>
      </c>
      <c r="B24" s="18" t="s">
        <v>449</v>
      </c>
      <c r="C24" s="19" t="s">
        <v>440</v>
      </c>
      <c r="D24" s="64">
        <f>H_O2ref*EXP(H_O2T*(1/T_K-1/T_ref))</f>
        <v>1.2e-05</v>
      </c>
      <c r="E24" s="99" t="s">
        <v>450</v>
      </c>
      <c r="F24" s="20"/>
    </row>
    <row r="25" spans="1:6" ht="24" customHeight="1" x14ac:dyDescent="0.2">
      <c r="A25" s="17" t="s">
        <v>451</v>
      </c>
      <c r="B25" s="18" t="s">
        <v>452</v>
      </c>
      <c r="C25" s="19" t="s">
        <v>453</v>
      </c>
      <c r="D25" s="146">
        <v>0.3</v>
      </c>
      <c r="E25" s="51" t="s">
        <v>454</v>
      </c>
      <c r="F25" s="20"/>
    </row>
    <row r="26" spans="1:6" x14ac:dyDescent="0.2">
      <c r="A26" s="17" t="s">
        <v>455</v>
      </c>
      <c r="B26" s="18" t="s">
        <v>456</v>
      </c>
      <c r="C26" s="19" t="s">
        <v>62</v>
      </c>
      <c r="D26" s="43">
        <f>O2_ceil_atm*Pa_per_atm</f>
        <v>30397.5</v>
      </c>
      <c r="E26" s="99" t="s">
        <v>457</v>
      </c>
      <c r="F26" s="20"/>
    </row>
    <row r="27" spans="1:6" x14ac:dyDescent="0.2">
      <c r="A27" s="17" t="s">
        <v>458</v>
      </c>
      <c r="B27" s="18" t="s">
        <v>459</v>
      </c>
      <c r="C27" s="19" t="s">
        <v>460</v>
      </c>
      <c r="D27" s="46">
        <f>H_O2_T*O2_ceil_Pa</f>
        <v>0.36477</v>
      </c>
      <c r="E27" s="99" t="s">
        <v>461</v>
      </c>
      <c r="F27" s="20"/>
    </row>
    <row r="28" spans="1:6" x14ac:dyDescent="0.2">
      <c r="A28" s="113" t="s">
        <v>458</v>
      </c>
      <c r="B28" s="18" t="s">
        <v>462</v>
      </c>
      <c r="C28" s="19" t="s">
        <v>463</v>
      </c>
      <c r="D28" s="43">
        <f>O2_ceil_C*1000</f>
        <v>364.77</v>
      </c>
      <c r="E28" s="65" t="s">
        <v>464</v>
      </c>
      <c r="F28" s="20"/>
    </row>
    <row r="29" spans="1:6" x14ac:dyDescent="0.2">
      <c r="A29" s="17" t="s">
        <v>465</v>
      </c>
      <c r="B29" s="18" t="s">
        <v>466</v>
      </c>
      <c r="C29" s="19" t="s">
        <v>440</v>
      </c>
      <c r="D29" s="152">
        <v>3.3E-4</v>
      </c>
      <c r="E29" s="67" t="s">
        <v>1054</v>
      </c>
      <c r="F29" s="20"/>
    </row>
    <row r="30" spans="1:6" ht="24" customHeight="1" x14ac:dyDescent="0.2">
      <c r="A30" s="17" t="s">
        <v>467</v>
      </c>
      <c r="B30" s="18" t="s">
        <v>468</v>
      </c>
      <c r="C30" s="19" t="s">
        <v>309</v>
      </c>
      <c r="D30" s="152">
        <v>2400</v>
      </c>
      <c r="E30" s="67" t="s">
        <v>469</v>
      </c>
      <c r="F30" s="20"/>
    </row>
    <row r="31" spans="1:6" x14ac:dyDescent="0.2">
      <c r="A31" s="17" t="s">
        <v>470</v>
      </c>
      <c r="B31" s="18" t="s">
        <v>471</v>
      </c>
      <c r="C31" s="19" t="s">
        <v>440</v>
      </c>
      <c r="D31" s="48">
        <f>H_CO2ref*EXP(H_CO2T*(1/T_K-1/T_ref))</f>
        <v>0.00033</v>
      </c>
      <c r="E31" s="99" t="s">
        <v>472</v>
      </c>
      <c r="F31" s="20"/>
    </row>
    <row r="32" spans="1:6" x14ac:dyDescent="0.2">
      <c r="A32" s="17" t="s">
        <v>473</v>
      </c>
      <c r="B32" s="18" t="s">
        <v>474</v>
      </c>
      <c r="C32" s="19" t="s">
        <v>62</v>
      </c>
      <c r="D32" s="48">
        <f>P_atm</f>
        <v>101325.0</v>
      </c>
      <c r="E32" s="68" t="s">
        <v>475</v>
      </c>
      <c r="F32" s="20"/>
    </row>
    <row r="33" spans="1:6" x14ac:dyDescent="0.2">
      <c r="A33" s="17" t="s">
        <v>476</v>
      </c>
      <c r="B33" s="18" t="s">
        <v>477</v>
      </c>
      <c r="C33" s="19" t="s">
        <v>460</v>
      </c>
      <c r="D33" s="48">
        <f>H_CO2_T*p_CO2_sparge</f>
        <v>33.43725</v>
      </c>
      <c r="E33" s="99" t="s">
        <v>478</v>
      </c>
      <c r="F33" s="20"/>
    </row>
    <row r="34" spans="1:6" x14ac:dyDescent="0.2">
      <c r="A34" s="17" t="s">
        <v>479</v>
      </c>
      <c r="B34" s="18" t="s">
        <v>480</v>
      </c>
      <c r="C34" s="19" t="s">
        <v>463</v>
      </c>
      <c r="D34" s="131">
        <v>50</v>
      </c>
      <c r="E34" s="69" t="s">
        <v>481</v>
      </c>
      <c r="F34" s="20"/>
    </row>
    <row r="35" spans="1:6" ht="24" customHeight="1" x14ac:dyDescent="0.2">
      <c r="A35" s="17" t="s">
        <v>482</v>
      </c>
      <c r="B35" s="18" t="s">
        <v>483</v>
      </c>
      <c r="C35" s="19" t="s">
        <v>110</v>
      </c>
      <c r="D35" s="48">
        <f>CO2_diss*1000/Km_CO2</f>
        <v>668.745</v>
      </c>
      <c r="E35" s="99" t="s">
        <v>484</v>
      </c>
      <c r="F35" s="20"/>
    </row>
    <row r="36" spans="1:6" x14ac:dyDescent="0.2">
      <c r="A36" s="17" t="s">
        <v>485</v>
      </c>
      <c r="B36" s="18" t="s">
        <v>486</v>
      </c>
      <c r="C36" s="19" t="s">
        <v>487</v>
      </c>
      <c r="D36" s="152">
        <v>4.4499999999999997E-7</v>
      </c>
      <c r="E36" s="67" t="s">
        <v>488</v>
      </c>
      <c r="F36" s="20"/>
    </row>
    <row r="37" spans="1:6" ht="24" customHeight="1" x14ac:dyDescent="0.2">
      <c r="A37" s="17" t="s">
        <v>489</v>
      </c>
      <c r="B37" s="18" t="s">
        <v>490</v>
      </c>
      <c r="C37" s="19" t="s">
        <v>135</v>
      </c>
      <c r="D37" s="48">
        <f>-LOG10(SQRT(Ka1_carb*(CO2_diss/1000)))</f>
        <v>3.913704718364</v>
      </c>
      <c r="E37" s="69" t="s">
        <v>491</v>
      </c>
      <c r="F37" s="20"/>
    </row>
    <row r="38" spans="1:6" x14ac:dyDescent="0.2">
      <c r="A38" s="17" t="s">
        <v>492</v>
      </c>
      <c r="B38" s="18" t="s">
        <v>493</v>
      </c>
      <c r="C38" s="19" t="s">
        <v>440</v>
      </c>
      <c r="D38" s="152">
        <v>7.7999999999999999E-6</v>
      </c>
      <c r="E38" s="67" t="s">
        <v>1055</v>
      </c>
      <c r="F38" s="20"/>
    </row>
    <row r="39" spans="1:6" x14ac:dyDescent="0.2">
      <c r="A39" s="17" t="s">
        <v>494</v>
      </c>
      <c r="B39" s="18" t="s">
        <v>495</v>
      </c>
      <c r="C39" s="19" t="s">
        <v>309</v>
      </c>
      <c r="D39" s="152">
        <v>500</v>
      </c>
      <c r="E39" s="67" t="s">
        <v>496</v>
      </c>
      <c r="F39" s="20"/>
    </row>
    <row r="40" spans="1:6" x14ac:dyDescent="0.2">
      <c r="A40" s="17" t="s">
        <v>497</v>
      </c>
      <c r="B40" s="18" t="s">
        <v>498</v>
      </c>
      <c r="C40" s="19" t="s">
        <v>440</v>
      </c>
      <c r="D40" s="48">
        <f>H_H2ref*EXP(H_H2T*(1/T_K-1/T_ref))</f>
        <v>7.8e-06</v>
      </c>
      <c r="E40" s="99" t="s">
        <v>472</v>
      </c>
      <c r="F40" s="20"/>
    </row>
    <row r="41" spans="1:6" x14ac:dyDescent="0.2">
      <c r="A41" s="17" t="s">
        <v>499</v>
      </c>
      <c r="B41" s="18" t="s">
        <v>500</v>
      </c>
      <c r="C41" s="19" t="s">
        <v>460</v>
      </c>
      <c r="D41" s="48">
        <f>H_H2_T*P_atm</f>
        <v>0.790335</v>
      </c>
      <c r="E41" s="99" t="s">
        <v>501</v>
      </c>
      <c r="F41" s="20"/>
    </row>
    <row r="42" spans="1:6" ht="24" customHeight="1" x14ac:dyDescent="0.2">
      <c r="A42" s="17" t="s">
        <v>502</v>
      </c>
      <c r="B42" s="18" t="s">
        <v>503</v>
      </c>
      <c r="C42" s="19" t="s">
        <v>67</v>
      </c>
      <c r="D42" s="48">
        <f>C_H2_sat*(V_charge/1000000)/rH2_gen*60</f>
        <v>6.855268316214</v>
      </c>
      <c r="E42" s="99" t="s">
        <v>504</v>
      </c>
      <c r="F42" s="20"/>
    </row>
    <row r="43" spans="1:6" x14ac:dyDescent="0.2">
      <c r="A43" s="17" t="s">
        <v>505</v>
      </c>
      <c r="B43" s="18" t="s">
        <v>506</v>
      </c>
      <c r="C43" s="19" t="s">
        <v>507</v>
      </c>
      <c r="D43" s="48">
        <f>rH2_gen/(V_charge/1000000)/C_H2_sat</f>
        <v>8.75239264641</v>
      </c>
      <c r="E43" s="69" t="s">
        <v>508</v>
      </c>
      <c r="F43" s="20"/>
    </row>
    <row r="44" spans="1:6" ht="24" customHeight="1" x14ac:dyDescent="0.2">
      <c r="A44" s="17" t="inlineStr">
        <is>
          <t xml:space="preserve">H₂ headspace flammability verdict</t>
        </is>
      </c>
      <c r="B44" s="18" t="s">
        <v>510</v>
      </c>
      <c r="C44" s="19" t="s">
        <v>135</v>
      </c>
      <c r="D44" s="48" t="str">
        <f>IF(AND(y_H2_hs_lag&gt;=H2_LFL,y_O2_hs_lag&gt;=O2_LOC_H2*LOC_margin),"FLAMMABLE HEADSPACE (lag): H₂ "&amp;TEXT(y_H2_hs_lag,"0%")&amp;", O₂ "&amp;TEXT(y_O2_hs_lag,"0%")&amp;" – until uptake starts, sparge every ≤"&amp;TEXT(spg_int_H2safe/2,"0.0")&amp;" min or sweep ≥"&amp;TEXT(N2_sweep_H2safe,"0.0")&amp;" mL/min N₂; vent to a hood; no ignition sources","Below the H₂ LFL or under the O₂ LOC margin (lag basis)")</f>
        <v>FLAMMABLE HEADSPACE (lag): H₂ 19%, O₂ 9% – until uptake starts, sparge every ≤2.2 min or sweep ≥1.0 mL/min N₂; vent to a hood; no ignition sources</v>
      </c>
      <c r="E44" s="70" t="inlineStr">
        <is>
          <t xml:space="preserve">Tests the lag-phase headspace mix (rows 84–85) against the H₂ lower flammability limit and the limiting O₂ concentration with a design margin. Replaces a dissolved-H₂ turnover proxy, which said nothing about flammability.</t>
        </is>
      </c>
      <c r="F44" s="101" t="inlineStr">
        <is>
          <t xml:space="preserve">Hazard verdict (lag-phase headspace flammability), not a data gap.</t>
        </is>
      </c>
    </row>
    <row r="45" spans="1:6" x14ac:dyDescent="0.2">
      <c r="A45" s="20" t="s">
        <v>513</v>
      </c>
      <c r="B45" s="20" t="s">
        <v>514</v>
      </c>
      <c r="C45" s="20" t="s">
        <v>102</v>
      </c>
      <c r="D45" s="32" t="e">
        <f>IF(ISNUMBER(cal_DO_min),cal_DO_min,IF(ISNUMBER(VLOOKUP(organism_sel,$A$52:$F$57,2,FALSE)),VLOOKUP(organism_sel,$A$52:$F$57,2,FALSE),NA()))</f>
        <v>#N/A</v>
      </c>
      <c r="E45" s="20"/>
      <c r="F45" s="20"/>
    </row>
    <row r="46" spans="1:6" x14ac:dyDescent="0.2">
      <c r="A46" s="20" t="s">
        <v>515</v>
      </c>
      <c r="B46" s="20" t="s">
        <v>516</v>
      </c>
      <c r="C46" s="20" t="s">
        <v>102</v>
      </c>
      <c r="D46" s="28" t="e">
        <f>IF(ISNUMBER(cal_DO_opt),cal_DO_opt,IF(ISNUMBER(VLOOKUP(organism_sel,$A$52:$F$57,3,FALSE)),VLOOKUP(organism_sel,$A$52:$F$57,3,FALSE),NA()))</f>
        <v>#N/A</v>
      </c>
      <c r="E46" s="20"/>
      <c r="F46" s="20"/>
    </row>
    <row r="47" spans="1:6" x14ac:dyDescent="0.2">
      <c r="A47" s="20" t="s">
        <v>517</v>
      </c>
      <c r="B47" s="20" t="s">
        <v>518</v>
      </c>
      <c r="C47" s="20" t="s">
        <v>102</v>
      </c>
      <c r="D47" s="28" t="e">
        <f>IF(ISNUMBER(cal_DO_impair),cal_DO_impair,IF(ISNUMBER(VLOOKUP(organism_sel,$A$52:$F$57,4,FALSE)),VLOOKUP(organism_sel,$A$52:$F$57,4,FALSE),NA()))</f>
        <v>#N/A</v>
      </c>
      <c r="E47" s="20"/>
      <c r="F47" s="20"/>
    </row>
    <row r="48" spans="1:6" x14ac:dyDescent="0.2">
      <c r="A48" s="20" t="s">
        <v>519</v>
      </c>
      <c r="B48" s="20" t="s">
        <v>520</v>
      </c>
      <c r="C48" s="20" t="s">
        <v>102</v>
      </c>
      <c r="D48" s="28" t="e">
        <f>IF(ISNUMBER(cal_DO_toxic),cal_DO_toxic,IF(ISNUMBER(VLOOKUP(organism_sel,$A$52:$F$57,5,FALSE)),VLOOKUP(organism_sel,$A$52:$F$57,5,FALSE),NA()))</f>
        <v>#N/A</v>
      </c>
      <c r="E48" s="20"/>
      <c r="F48" s="20"/>
    </row>
    <row r="49" spans="1:6" x14ac:dyDescent="0.2">
      <c r="A49" s="20"/>
      <c r="B49" s="59"/>
      <c r="C49" s="59"/>
      <c r="D49" s="59"/>
      <c r="E49" s="59"/>
      <c r="F49" s="20"/>
    </row>
    <row r="50" spans="1:6" x14ac:dyDescent="0.2">
      <c r="A50" s="103" t="s">
        <v>521</v>
      </c>
      <c r="B50" s="20"/>
      <c r="C50" s="20"/>
      <c r="D50" s="20"/>
      <c r="E50" s="20"/>
      <c r="F50" s="20"/>
    </row>
    <row r="51" spans="1:6" x14ac:dyDescent="0.2">
      <c r="A51" s="103" t="s">
        <v>522</v>
      </c>
      <c r="B51" s="103" t="s">
        <v>523</v>
      </c>
      <c r="C51" s="103" t="s">
        <v>524</v>
      </c>
      <c r="D51" s="103" t="s">
        <v>525</v>
      </c>
      <c r="E51" s="103" t="s">
        <v>526</v>
      </c>
      <c r="F51" s="103" t="s">
        <v>527</v>
      </c>
    </row>
    <row r="52" spans="1:6" x14ac:dyDescent="0.2">
      <c r="A52" s="20" t="s">
        <v>39</v>
      </c>
      <c r="B52" s="59" t="s">
        <v>398</v>
      </c>
      <c r="C52" s="20">
        <v>2.6</v>
      </c>
      <c r="D52" s="20">
        <v>3</v>
      </c>
      <c r="E52" s="20">
        <v>11.5</v>
      </c>
      <c r="F52" s="101" t="s">
        <v>528</v>
      </c>
    </row>
    <row r="53" spans="1:6" x14ac:dyDescent="0.2">
      <c r="A53" s="20" t="s">
        <v>529</v>
      </c>
      <c r="B53" s="59" t="s">
        <v>398</v>
      </c>
      <c r="C53" s="59" t="s">
        <v>398</v>
      </c>
      <c r="D53" s="59" t="s">
        <v>398</v>
      </c>
      <c r="E53" s="20">
        <v>11.5</v>
      </c>
      <c r="F53" s="20" t="s">
        <v>530</v>
      </c>
    </row>
    <row r="54" spans="1:6" x14ac:dyDescent="0.2">
      <c r="A54" s="20" t="s">
        <v>531</v>
      </c>
      <c r="B54" s="59" t="s">
        <v>398</v>
      </c>
      <c r="C54" s="59" t="s">
        <v>398</v>
      </c>
      <c r="D54" s="59" t="s">
        <v>398</v>
      </c>
      <c r="E54" s="59" t="s">
        <v>398</v>
      </c>
      <c r="F54" s="20" t="s">
        <v>532</v>
      </c>
    </row>
    <row r="55" spans="1:6" x14ac:dyDescent="0.2">
      <c r="A55" s="20" t="s">
        <v>533</v>
      </c>
      <c r="B55" s="59" t="s">
        <v>398</v>
      </c>
      <c r="C55" s="59" t="s">
        <v>398</v>
      </c>
      <c r="D55" s="59" t="s">
        <v>398</v>
      </c>
      <c r="E55" s="59" t="s">
        <v>398</v>
      </c>
      <c r="F55" s="20" t="s">
        <v>532</v>
      </c>
    </row>
    <row r="56" spans="1:6" x14ac:dyDescent="0.2">
      <c r="A56" s="20" t="s">
        <v>534</v>
      </c>
      <c r="B56" s="59" t="s">
        <v>398</v>
      </c>
      <c r="C56" s="59" t="s">
        <v>398</v>
      </c>
      <c r="D56" s="59" t="s">
        <v>398</v>
      </c>
      <c r="E56" s="59" t="s">
        <v>398</v>
      </c>
      <c r="F56" s="20" t="s">
        <v>532</v>
      </c>
    </row>
    <row r="57" spans="1:6" x14ac:dyDescent="0.2">
      <c r="A57" s="20" t="s">
        <v>535</v>
      </c>
      <c r="B57" s="59" t="s">
        <v>398</v>
      </c>
      <c r="C57" s="59" t="s">
        <v>398</v>
      </c>
      <c r="D57" s="59" t="s">
        <v>398</v>
      </c>
      <c r="E57" s="59" t="s">
        <v>398</v>
      </c>
      <c r="F57" s="20" t="s">
        <v>536</v>
      </c>
    </row>
    <row r="58" spans="1:6" x14ac:dyDescent="0.2">
      <c r="A58" s="20"/>
      <c r="B58" s="20"/>
      <c r="C58" s="20"/>
      <c r="D58" s="32"/>
      <c r="E58" s="20"/>
      <c r="F58" s="20"/>
    </row>
    <row r="59" spans="1:6" x14ac:dyDescent="0.2">
      <c r="A59" s="5" t="inlineStr">
        <is>
          <t xml:space="preserve">TARGET DISSOLVED-OXYGEN FRACTION (one definition, used by every guard)</t>
        </is>
      </c>
    </row>
    <row r="60" spans="1:6" ht="24" x14ac:dyDescent="0.2">
      <c r="A60" t="s">
        <v>1474</v>
      </c>
      <c r="B60" s="18" t="s">
        <v>1475</v>
      </c>
      <c r="C60" s="19" t="s">
        <v>1274</v>
      </c>
      <c r="D60" s="141">
        <f>IF(AND(ISNUMBER(DO_opt),ISNUMBER(DO_toxic)),DO_opt/DO_toxic,DO_frac_fallback)</f>
        <v>0.226086956522</v>
      </c>
      <c r="E60" s="67" t="s">
        <v>1476</v>
      </c>
    </row>
    <row r="61" spans="1:6" ht="48" x14ac:dyDescent="0.2">
      <c r="A61" t="s">
        <v>1477</v>
      </c>
      <c r="B61" s="18" t="s">
        <v>1478</v>
      </c>
      <c r="C61" s="19" t="s">
        <v>1274</v>
      </c>
      <c r="D61" s="146">
        <v>0.22608695652173899</v>
      </c>
      <c r="E61" s="68" t="inlineStr">
        <is>
          <t xml:space="preserve">C. necator DO_opt 2.6 ÷ DO_toxic 11.5 mg/L (row 52), the only organism in the table with a measured band, used as the stand-in for the rest. Same optimum ÷ ceiling ratio the row above computes, so the fallback is consistent with the definition.</t>
        </is>
      </c>
    </row>
    <row r="62">
      <c r="A62" s="5" t="inlineStr">
        <is>
          <t xml:space="preserve">NAMED DEFAULTS, CONSTANTS AND IMPORTS</t>
        </is>
      </c>
    </row>
    <row r="63">
      <c r="A63" s="17" t="inlineStr">
        <is>
          <t xml:space="preserve">Default H₂ uptake ratio (no calibration)</t>
        </is>
      </c>
      <c r="B63" s="18" t="inlineStr">
        <is>
          <t xml:space="preserve">knall_H2_default</t>
        </is>
      </c>
      <c r="C63" s="19" t="inlineStr">
        <is>
          <t xml:space="preserve">-</t>
        </is>
      </c>
      <c r="D63" s="131">
        <v>6</v>
      </c>
      <c r="E63" s="61" t="inlineStr">
        <is>
          <t xml:space="preserve">Used when no Calibrations knallgas run is included. 6:2:1 = mid-range central uptake ratio (Lu &amp; Yu 2019; feed optimum 7:2:1, Ishizaki 2001).</t>
        </is>
      </c>
    </row>
    <row r="64">
      <c r="A64" s="17" t="inlineStr">
        <is>
          <t xml:space="preserve">Default O₂ uptake ratio (no calibration)</t>
        </is>
      </c>
      <c r="B64" s="18" t="inlineStr">
        <is>
          <t xml:space="preserve">knall_O2_default</t>
        </is>
      </c>
      <c r="C64" s="19" t="inlineStr">
        <is>
          <t xml:space="preserve">-</t>
        </is>
      </c>
      <c r="D64" s="131">
        <v>2</v>
      </c>
      <c r="E64" s="61" t="inlineStr">
        <is>
          <t xml:space="preserve">As above: O₂:H₂ uptake 0.29–0.35 (×6 → 1.75–2.1), 2 = central.</t>
        </is>
      </c>
    </row>
    <row r="65">
      <c r="A65" s="17" t="inlineStr">
        <is>
          <t xml:space="preserve">Default CO₂ uptake ratio (no calibration)</t>
        </is>
      </c>
      <c r="B65" s="18" t="inlineStr">
        <is>
          <t xml:space="preserve">knall_CO2_default</t>
        </is>
      </c>
      <c r="C65" s="19" t="inlineStr">
        <is>
          <t xml:space="preserve">-</t>
        </is>
      </c>
      <c r="D65" s="131">
        <v>1</v>
      </c>
      <c r="E65" s="61" t="inlineStr">
        <is>
          <t xml:space="preserve">As above: CO₂:H₂ uptake 0.15–0.19 (×6 → 0.9–1.15), 1 = central.</t>
        </is>
      </c>
    </row>
    <row r="66">
      <c r="A66" s="17" t="inlineStr">
        <is>
          <t xml:space="preserve">Celsius-to-kelvin offset</t>
        </is>
      </c>
      <c r="B66" s="18" t="inlineStr">
        <is>
          <t xml:space="preserve">T_zero_C</t>
        </is>
      </c>
      <c r="C66" s="19" t="inlineStr">
        <is>
          <t xml:space="preserve">K</t>
        </is>
      </c>
      <c r="D66" s="131">
        <v>273.15</v>
      </c>
      <c r="E66" s="99" t="inlineStr">
        <is>
          <t xml:space="preserve">Defined (SI): 0 °C = 273.15 K exactly.</t>
        </is>
      </c>
    </row>
    <row r="67">
      <c r="A67" s="20" t="inlineStr">
        <is>
          <t xml:space="preserve">(import) Ambient pressure setpoint</t>
        </is>
      </c>
      <c r="B67" s="18" t="inlineStr">
        <is>
          <t xml:space="preserve">P_atm_set</t>
        </is>
      </c>
      <c r="C67" s="20" t="inlineStr">
        <is>
          <t xml:space="preserve">Pa</t>
        </is>
      </c>
      <c r="D67" s="151">
        <f>Summary!$D$10</f>
        <v>0.0</v>
      </c>
      <c r="E67" s="135" t="inlineStr">
        <is>
          <t xml:space="preserve">Import from Summary!D10 (blank reads as 0, so P_atm falls back to Pa_per_atm).</t>
        </is>
      </c>
    </row>
    <row r="75">
      <c r="A75" s="5" t="inlineStr">
        <is>
          <t xml:space="preserve">HEADSPACE FLAMMABILITY (lag phase: electrolysis running, no H₂ uptake yet)</t>
        </is>
      </c>
    </row>
    <row r="76">
      <c r="A76" s="20" t="inlineStr">
        <is>
          <t xml:space="preserve">(import) average CO₂ supply rate</t>
        </is>
      </c>
      <c r="B76" s="18" t="inlineStr">
        <is>
          <t xml:space="preserve">CO2_supply_b</t>
        </is>
      </c>
      <c r="C76" s="20" t="inlineStr">
        <is>
          <t xml:space="preserve">mol/h</t>
        </is>
      </c>
      <c r="D76" s="150">
        <f>'Mass Transfer'!$D$100</f>
        <v>0.0003892277799716</v>
      </c>
      <c r="E76" s="135" t="inlineStr">
        <is>
          <t xml:space="preserve">Import from Mass Transfer!D100 (schedule in use).</t>
        </is>
      </c>
    </row>
    <row r="77">
      <c r="A77" s="20" t="inlineStr">
        <is>
          <t xml:space="preserve">(import) CO₂ rate while the valve is open</t>
        </is>
      </c>
      <c r="B77" s="18" t="inlineStr">
        <is>
          <t xml:space="preserve">CO2_rate_full_b</t>
        </is>
      </c>
      <c r="C77" s="20" t="inlineStr">
        <is>
          <t xml:space="preserve">mol/h</t>
        </is>
      </c>
      <c r="D77" s="150">
        <f>'Mass Transfer'!$D$178</f>
        <v>0.489998045758</v>
      </c>
      <c r="E77" s="135" t="inlineStr">
        <is>
          <t xml:space="preserve">Import from Mass Transfer!D178.</t>
        </is>
      </c>
    </row>
    <row r="78">
      <c r="A78" s="20" t="inlineStr">
        <is>
          <t xml:space="preserve">(import) pulse duration</t>
        </is>
      </c>
      <c r="B78" s="18" t="inlineStr">
        <is>
          <t xml:space="preserve">spg_dur_b</t>
        </is>
      </c>
      <c r="C78" s="20" t="inlineStr">
        <is>
          <t xml:space="preserve">s</t>
        </is>
      </c>
      <c r="D78" s="150">
        <f>'Mass Transfer'!$D$90</f>
        <v>0.784513049825</v>
      </c>
      <c r="E78" s="135" t="inlineStr">
        <is>
          <t xml:space="preserve">Import from Mass Transfer!D90.</t>
        </is>
      </c>
    </row>
    <row r="79">
      <c r="A79" s="20" t="inlineStr">
        <is>
          <t xml:space="preserve">(import) ideal gas constant</t>
        </is>
      </c>
      <c r="B79" s="18" t="inlineStr">
        <is>
          <t xml:space="preserve">R_gas_b</t>
        </is>
      </c>
      <c r="C79" s="20" t="inlineStr">
        <is>
          <t xml:space="preserve">J/(mol·K)</t>
        </is>
      </c>
      <c r="D79" s="150">
        <f>'Mass Transfer'!$D$101</f>
        <v>8.314462618</v>
      </c>
      <c r="E79" s="135" t="inlineStr">
        <is>
          <t xml:space="preserve">Import from Mass Transfer!D101.</t>
        </is>
      </c>
    </row>
    <row r="80">
      <c r="A80" s="17" t="inlineStr">
        <is>
          <t xml:space="preserve">H₂ lower flammability limit</t>
        </is>
      </c>
      <c r="B80" s="18" t="inlineStr">
        <is>
          <t xml:space="preserve">H2_LFL</t>
        </is>
      </c>
      <c r="C80" s="19" t="inlineStr">
        <is>
          <t xml:space="preserve">-</t>
        </is>
      </c>
      <c r="D80" s="146">
        <v>0.04</v>
      </c>
      <c r="E80" s="99" t="inlineStr">
        <is>
          <t xml:space="preserve">4.0 vol% in air or O₂ (Coward &amp; Jones 1952; Zabetakis 1965, USBM Bulletin 627).</t>
        </is>
      </c>
    </row>
    <row r="81">
      <c r="A81" s="17" t="inlineStr">
        <is>
          <t xml:space="preserve">Limiting O₂ concentration for H₂, CO₂ diluent</t>
        </is>
      </c>
      <c r="B81" s="18" t="inlineStr">
        <is>
          <t xml:space="preserve">O2_LOC_H2</t>
        </is>
      </c>
      <c r="C81" s="19" t="inlineStr">
        <is>
          <t xml:space="preserve">-</t>
        </is>
      </c>
      <c r="D81" s="146">
        <v>0.052</v>
      </c>
      <c r="E81" s="99" t="inlineStr">
        <is>
          <t xml:space="preserve">About 5.2 vol% O₂ with CO₂ as diluent (5.0 % with N₂): Zabetakis 1965; NFPA 69 annex table.</t>
        </is>
      </c>
    </row>
    <row r="82">
      <c r="A82" s="17" t="inlineStr">
        <is>
          <t xml:space="preserve">Design margin on the LOC</t>
        </is>
      </c>
      <c r="B82" s="18" t="inlineStr">
        <is>
          <t xml:space="preserve">LOC_margin</t>
        </is>
      </c>
      <c r="C82" s="19" t="inlineStr">
        <is>
          <t xml:space="preserve">-</t>
        </is>
      </c>
      <c r="D82" s="146">
        <v>0.6</v>
      </c>
      <c r="E82" s="99" t="inlineStr">
        <is>
          <t xml:space="preserve">NFPA 69: hold O₂ at or below 60 % of the LOC when it is not monitored continuously (check the edition in force).</t>
        </is>
      </c>
    </row>
    <row r="83">
      <c r="A83" s="17" t="inlineStr">
        <is>
          <t xml:space="preserve">Gas evolved into the headspace (lag)</t>
        </is>
      </c>
      <c r="B83" s="18" t="inlineStr">
        <is>
          <t xml:space="preserve">n_flamm_src</t>
        </is>
      </c>
      <c r="C83" s="19" t="inlineStr">
        <is>
          <t xml:space="preserve">mol/h</t>
        </is>
      </c>
      <c r="D83" s="48">
        <f>rH2_gen+O2_net_gen</f>
        <v>0.0001531217041947</v>
      </c>
      <c r="E83" s="69" t="inlineStr">
        <is>
          <t xml:space="preserve">Lag phase: no uptake, so all electrolytic H₂ and net O₂ reach the headspace.</t>
        </is>
      </c>
    </row>
    <row r="84">
      <c r="A84" s="17" t="inlineStr">
        <is>
          <t xml:space="preserve">Headspace H₂ fraction (lag, mean-field)</t>
        </is>
      </c>
      <c r="B84" s="18" t="inlineStr">
        <is>
          <t xml:space="preserve">y_H2_hs_lag</t>
        </is>
      </c>
      <c r="C84" s="19" t="inlineStr">
        <is>
          <t xml:space="preserve">-</t>
        </is>
      </c>
      <c r="D84" s="48">
        <f>rH2_gen/(n_flamm_src+CO2_supply_b)</f>
        <v>0.191315446335</v>
      </c>
      <c r="E84" s="69" t="inlineStr">
        <is>
          <t xml:space="preserve">Outflow-only mean-field balance: H₂ over all gas entering the headspace. Air ingress through the vent would lower H₂ and raise O₂.</t>
        </is>
      </c>
    </row>
    <row r="85">
      <c r="A85" s="17" t="inlineStr">
        <is>
          <t xml:space="preserve">Headspace O₂ fraction (lag, mean-field)</t>
        </is>
      </c>
      <c r="B85" s="18" t="inlineStr">
        <is>
          <t xml:space="preserve">y_O2_hs_lag</t>
        </is>
      </c>
      <c r="C85" s="19" t="inlineStr">
        <is>
          <t xml:space="preserve">-</t>
        </is>
      </c>
      <c r="D85" s="48">
        <f>O2_net_gen/(n_flamm_src+CO2_supply_b)</f>
        <v>0.0910148751</v>
      </c>
      <c r="E85" s="69" t="inlineStr">
        <is>
          <t xml:space="preserve">As above, for O₂.</t>
        </is>
      </c>
    </row>
    <row r="86">
      <c r="A86" s="17" t="inlineStr">
        <is>
          <t xml:space="preserve">CO₂ duty that makes the lag headspace non-flammable</t>
        </is>
      </c>
      <c r="B86" s="18" t="inlineStr">
        <is>
          <t xml:space="preserve">duty_H2safe</t>
        </is>
      </c>
      <c r="C86" s="19" t="inlineStr">
        <is>
          <t xml:space="preserve">-</t>
        </is>
      </c>
      <c r="D86" s="48">
        <f>MAX(0,MIN(rH2_gen/H2_LFL-n_flamm_src,O2_net_gen/(O2_LOC_H2*LOC_margin)-n_flamm_src))/CO2_rate_full_b</f>
        <v>0.002916316798</v>
      </c>
      <c r="E86" s="69" t="inlineStr">
        <is>
          <t xml:space="preserve">Least valve-open fraction that brings H₂ below the LFL or O₂ below the LOC margin, whichever needs less CO₂.</t>
        </is>
      </c>
    </row>
    <row r="87">
      <c r="A87" s="17" t="inlineStr">
        <is>
          <t xml:space="preserve">Interval that makes the lag headspace non-flammable</t>
        </is>
      </c>
      <c r="B87" s="18" t="inlineStr">
        <is>
          <t xml:space="preserve">spg_int_H2safe</t>
        </is>
      </c>
      <c r="C87" s="19" t="inlineStr">
        <is>
          <t xml:space="preserve">min</t>
        </is>
      </c>
      <c r="D87" s="48">
        <f>IF(duty_H2safe&gt;0,spg_dur_b/(60*duty_H2safe),NA())</f>
        <v>4.483469527972</v>
      </c>
      <c r="E87" s="69" t="inlineStr">
        <is>
          <t xml:space="preserve">Mean-field; the pulse-to-pulse sawtooth peaks need roughly half this interval.</t>
        </is>
      </c>
    </row>
    <row r="88">
      <c r="A88" s="17" t="inlineStr">
        <is>
          <t xml:space="preserve">N₂ sweep that keeps lag H₂ below the LFL</t>
        </is>
      </c>
      <c r="B88" s="18" t="inlineStr">
        <is>
          <t xml:space="preserve">N2_sweep_H2safe</t>
        </is>
      </c>
      <c r="C88" s="19" t="inlineStr">
        <is>
          <t xml:space="preserve">mL/min</t>
        </is>
      </c>
      <c r="D88" s="48">
        <f>MAX(0,rH2_gen/H2_LFL-n_flamm_src)/3600*R_gas_b*T_K/P_atm*1000000*60</f>
        <v>0.995282852087</v>
      </c>
      <c r="E88" s="69" t="inlineStr">
        <is>
          <t xml:space="preserve">Continuous inert headspace sweep that dilutes H₂ below the LFL with no CO₂ at all.</t>
        </is>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F206"/>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104" t="s">
        <v>537</v>
      </c>
      <c r="B1" s="20"/>
      <c r="C1" s="20"/>
      <c r="D1" s="20"/>
      <c r="E1" s="20"/>
      <c r="F1" s="20"/>
    </row>
    <row r="2" spans="1:6" x14ac:dyDescent="0.2">
      <c r="A2" s="16" t="s">
        <v>24</v>
      </c>
      <c r="B2" s="16" t="s">
        <v>25</v>
      </c>
      <c r="C2" s="16" t="s">
        <v>26</v>
      </c>
      <c r="D2" s="16" t="s">
        <v>27</v>
      </c>
      <c r="E2" s="16" t="s">
        <v>131</v>
      </c>
      <c r="F2" s="20"/>
    </row>
    <row r="3" spans="1:6" x14ac:dyDescent="0.2">
      <c r="A3" s="17"/>
      <c r="B3" s="18"/>
      <c r="C3" s="19"/>
      <c r="D3" s="105"/>
      <c r="E3" s="37"/>
      <c r="F3" s="20"/>
    </row>
    <row r="4" spans="1:6" ht="16" customHeight="1" x14ac:dyDescent="0.2">
      <c r="A4" s="104" t="s">
        <v>132</v>
      </c>
      <c r="B4" s="18"/>
      <c r="C4" s="19"/>
      <c r="D4" s="105"/>
      <c r="E4" s="37"/>
      <c r="F4" s="20"/>
    </row>
    <row r="5" spans="1:6" x14ac:dyDescent="0.2">
      <c r="A5" s="17" t="s">
        <v>538</v>
      </c>
      <c r="B5" s="18" t="s">
        <v>539</v>
      </c>
      <c r="C5" s="19" t="s">
        <v>146</v>
      </c>
      <c r="D5" s="153">
        <f>Geometry!$D$52</f>
        <v>12.0</v>
      </c>
      <c r="E5" s="73" t="str">
        <f>HYPERLINK("#Geometry!D52","→ Geometry")</f>
        <v>→ Geometry</v>
      </c>
      <c r="F5" s="101" t="inlineStr">
        <is>
          <t xml:space="preserve">Magnetic stir bar. Pioreactor max 20 mm; confirm the supplied bar's length.</t>
        </is>
      </c>
    </row>
    <row r="6" spans="1:6" x14ac:dyDescent="0.2">
      <c r="A6" s="20" t="s">
        <v>541</v>
      </c>
      <c r="B6" s="20" t="s">
        <v>459</v>
      </c>
      <c r="C6" s="20" t="s">
        <v>460</v>
      </c>
      <c r="D6" s="142">
        <f>Biology!$D$27</f>
        <v>0.36477</v>
      </c>
      <c r="E6" s="135" t="str">
        <f>HYPERLINK("#Biology!D27","→ Biology")</f>
        <v>→ Biology</v>
      </c>
      <c r="F6" s="20"/>
    </row>
    <row r="7" spans="1:6" x14ac:dyDescent="0.2">
      <c r="A7" s="20" t="s">
        <v>542</v>
      </c>
      <c r="B7" s="20" t="s">
        <v>456</v>
      </c>
      <c r="C7" s="20" t="s">
        <v>62</v>
      </c>
      <c r="D7" s="142">
        <f>Biology!$D$26</f>
        <v>30397.5</v>
      </c>
      <c r="E7" s="135" t="str">
        <f>HYPERLINK("#Biology!D26","→ Biology")</f>
        <v>→ Biology</v>
      </c>
      <c r="F7" s="20"/>
    </row>
    <row r="8" spans="1:6" ht="24" customHeight="1" x14ac:dyDescent="0.2">
      <c r="A8" s="20" t="s">
        <v>307</v>
      </c>
      <c r="B8" s="20" t="s">
        <v>308</v>
      </c>
      <c r="C8" s="20" t="s">
        <v>309</v>
      </c>
      <c r="D8" s="142">
        <f>Biology!$D$18</f>
        <v>298.15</v>
      </c>
      <c r="E8" s="135" t="str">
        <f>HYPERLINK("#Biology!D18","→ Biology")</f>
        <v>→ Biology</v>
      </c>
      <c r="F8" s="20"/>
    </row>
    <row r="9" spans="1:6" x14ac:dyDescent="0.2">
      <c r="A9" s="20" t="s">
        <v>310</v>
      </c>
      <c r="B9" s="20" t="s">
        <v>311</v>
      </c>
      <c r="C9" s="20" t="s">
        <v>62</v>
      </c>
      <c r="D9" s="142">
        <f>Biology!$D$19</f>
        <v>101325.0</v>
      </c>
      <c r="E9" s="135" t="str">
        <f>HYPERLINK("#Biology!D19","→ Biology")</f>
        <v>→ Biology</v>
      </c>
      <c r="F9" s="20"/>
    </row>
    <row r="10" spans="1:6" x14ac:dyDescent="0.2">
      <c r="A10" s="20" t="s">
        <v>543</v>
      </c>
      <c r="B10" s="20" t="s">
        <v>423</v>
      </c>
      <c r="C10" s="20" t="s">
        <v>354</v>
      </c>
      <c r="D10" s="142">
        <f>Biology!$D$15</f>
        <v>1.72933056055e-05</v>
      </c>
      <c r="E10" s="135" t="str">
        <f>HYPERLINK("#Biology!D15","→ Biology")</f>
        <v>→ Biology</v>
      </c>
      <c r="F10" s="20"/>
    </row>
    <row r="11" spans="1:6" x14ac:dyDescent="0.2">
      <c r="A11" s="20" t="s">
        <v>544</v>
      </c>
      <c r="B11" s="20" t="s">
        <v>426</v>
      </c>
      <c r="C11" s="20" t="s">
        <v>354</v>
      </c>
      <c r="D11" s="142">
        <f>Biology!$D$16</f>
        <v>1.477525935072e-05</v>
      </c>
      <c r="E11" s="135" t="str">
        <f>HYPERLINK("#Biology!D16","→ Biology")</f>
        <v>→ Biology</v>
      </c>
      <c r="F11" s="20"/>
    </row>
    <row r="12" spans="1:6" x14ac:dyDescent="0.2">
      <c r="A12" s="20" t="s">
        <v>545</v>
      </c>
      <c r="B12" s="20" t="s">
        <v>449</v>
      </c>
      <c r="C12" s="20" t="s">
        <v>440</v>
      </c>
      <c r="D12" s="142">
        <f>Biology!$D$24</f>
        <v>1.2e-05</v>
      </c>
      <c r="E12" s="135" t="str">
        <f>HYPERLINK("#Biology!D24","→ Biology")</f>
        <v>→ Biology</v>
      </c>
      <c r="F12" s="20"/>
    </row>
    <row r="13" spans="1:6" x14ac:dyDescent="0.2">
      <c r="A13" s="20" t="s">
        <v>404</v>
      </c>
      <c r="B13" s="20" t="s">
        <v>378</v>
      </c>
      <c r="C13" s="20" t="s">
        <v>354</v>
      </c>
      <c r="D13" s="150">
        <f>Electrochemistry!$D$29</f>
        <v>4.936187056172e-05</v>
      </c>
      <c r="E13" s="135" t="str">
        <f>HYPERLINK("#Electrochemistry!D29","→ Electrochemistry")</f>
        <v>→ Electrochemistry</v>
      </c>
      <c r="F13" s="20"/>
    </row>
    <row r="14" spans="1:6" x14ac:dyDescent="0.2">
      <c r="A14" s="20" t="s">
        <v>546</v>
      </c>
      <c r="B14" s="20" t="s">
        <v>237</v>
      </c>
      <c r="C14" s="20" t="s">
        <v>172</v>
      </c>
      <c r="D14" s="151">
        <f>Geometry!$D$44</f>
        <v>429.547725140567</v>
      </c>
      <c r="E14" s="135" t="str">
        <f>HYPERLINK("#Geometry!D44","→ Geometry")</f>
        <v>→ Geometry</v>
      </c>
      <c r="F14" s="20"/>
    </row>
    <row r="15" spans="1:6" x14ac:dyDescent="0.2">
      <c r="A15" s="20" t="s">
        <v>547</v>
      </c>
      <c r="B15" s="20" t="s">
        <v>168</v>
      </c>
      <c r="C15" s="20" t="s">
        <v>146</v>
      </c>
      <c r="D15" s="151">
        <f>Geometry!$D$20</f>
        <v>25.28</v>
      </c>
      <c r="E15" s="135" t="str">
        <f>HYPERLINK("#Geometry!D20","→ Geometry")</f>
        <v>→ Geometry</v>
      </c>
      <c r="F15" s="20"/>
    </row>
    <row r="16" spans="1:6" x14ac:dyDescent="0.2">
      <c r="A16" s="20" t="s">
        <v>405</v>
      </c>
      <c r="B16" s="20" t="s">
        <v>228</v>
      </c>
      <c r="C16" s="20" t="s">
        <v>57</v>
      </c>
      <c r="D16" s="151">
        <f>Geometry!$D$41</f>
        <v>15.0</v>
      </c>
      <c r="E16" s="135" t="str">
        <f>HYPERLINK("#Geometry!D41","→ Geometry")</f>
        <v>→ Geometry</v>
      </c>
      <c r="F16" s="20"/>
    </row>
    <row r="17" spans="1:6" x14ac:dyDescent="0.2">
      <c r="A17" s="20" t="s">
        <v>548</v>
      </c>
      <c r="B17" s="20" t="s">
        <v>171</v>
      </c>
      <c r="C17" s="20" t="s">
        <v>172</v>
      </c>
      <c r="D17" s="151">
        <f>Geometry!$D$21</f>
        <v>501.93100162698</v>
      </c>
      <c r="E17" s="135" t="str">
        <f>HYPERLINK("#Geometry!D21","→ Geometry")</f>
        <v>→ Geometry</v>
      </c>
      <c r="F17" s="20"/>
    </row>
    <row r="18" spans="1:6" ht="24" customHeight="1" x14ac:dyDescent="0.2">
      <c r="A18" s="20" t="s">
        <v>549</v>
      </c>
      <c r="B18" s="20" t="s">
        <v>200</v>
      </c>
      <c r="C18" s="20" t="s">
        <v>146</v>
      </c>
      <c r="D18" s="151">
        <f>Geometry!$D$31</f>
        <v>1.5875</v>
      </c>
      <c r="E18" s="135" t="str">
        <f>HYPERLINK("#Geometry!D31","→ Geometry")</f>
        <v>→ Geometry</v>
      </c>
      <c r="F18" s="20"/>
    </row>
    <row r="19" spans="1:6" x14ac:dyDescent="0.2">
      <c r="A19" s="20" t="s">
        <v>550</v>
      </c>
      <c r="B19" s="20" t="s">
        <v>252</v>
      </c>
      <c r="C19" s="20" t="s">
        <v>57</v>
      </c>
      <c r="D19" s="151">
        <f>Geometry!$D$49</f>
        <v>2.612428455917</v>
      </c>
      <c r="E19" s="135" t="str">
        <f>HYPERLINK("#Geometry!D49","→ Geometry")</f>
        <v>→ Geometry</v>
      </c>
      <c r="F19" s="20"/>
    </row>
    <row r="20" spans="1:6" x14ac:dyDescent="0.2">
      <c r="A20" s="20" t="s">
        <v>551</v>
      </c>
      <c r="B20" s="20" t="s">
        <v>552</v>
      </c>
      <c r="C20" s="20" t="s">
        <v>553</v>
      </c>
      <c r="D20" s="150">
        <f>Electrochemistry!$D$32</f>
        <v>0.0</v>
      </c>
      <c r="E20" s="135" t="str">
        <f>HYPERLINK("#Electrochemistry!D32","→ Electrochemistry")</f>
        <v>→ Electrochemistry</v>
      </c>
      <c r="F20" s="20"/>
    </row>
    <row r="21" spans="1:6" x14ac:dyDescent="0.2">
      <c r="A21" s="20" t="s">
        <v>554</v>
      </c>
      <c r="B21" s="20" t="s">
        <v>389</v>
      </c>
      <c r="C21" s="20" t="s">
        <v>135</v>
      </c>
      <c r="D21" s="150" t="str">
        <f>Electrochemistry!$D$31</f>
        <v>Tube</v>
      </c>
      <c r="E21" s="135" t="str">
        <f>HYPERLINK("#Electrochemistry!D31","→ Electrochemistry")</f>
        <v>→ Electrochemistry</v>
      </c>
      <c r="F21" s="20"/>
    </row>
    <row r="22" spans="1:6" ht="36" customHeight="1" x14ac:dyDescent="0.2">
      <c r="A22" s="20" t="s">
        <v>555</v>
      </c>
      <c r="B22" s="20" t="s">
        <v>516</v>
      </c>
      <c r="C22" s="20"/>
      <c r="D22" s="142" t="e">
        <f>Biology!$D$46</f>
        <v>#N/A</v>
      </c>
      <c r="E22" s="135" t="str">
        <f>HYPERLINK("#Biology!D46","→ Biology")</f>
        <v>→ Biology</v>
      </c>
      <c r="F22" s="20"/>
    </row>
    <row r="23" spans="1:6" x14ac:dyDescent="0.2">
      <c r="A23" s="20" t="s">
        <v>556</v>
      </c>
      <c r="B23" s="20" t="s">
        <v>518</v>
      </c>
      <c r="C23" s="20"/>
      <c r="D23" s="142" t="e">
        <f>Biology!$D$47</f>
        <v>#N/A</v>
      </c>
      <c r="E23" s="135" t="str">
        <f>HYPERLINK("#Biology!D47","→ Biology")</f>
        <v>→ Biology</v>
      </c>
      <c r="F23" s="20"/>
    </row>
    <row r="24" spans="1:6" x14ac:dyDescent="0.2">
      <c r="A24" s="20" t="s">
        <v>557</v>
      </c>
      <c r="B24" s="20" t="s">
        <v>520</v>
      </c>
      <c r="C24" s="20"/>
      <c r="D24" s="142" t="e">
        <f>Biology!$D$48</f>
        <v>#N/A</v>
      </c>
      <c r="E24" s="135" t="str">
        <f>HYPERLINK("#Biology!D48","→ Biology")</f>
        <v>→ Biology</v>
      </c>
      <c r="F24" s="20"/>
    </row>
    <row r="25" spans="1:6" x14ac:dyDescent="0.2">
      <c r="A25" s="20" t="s">
        <v>558</v>
      </c>
      <c r="B25" s="20" t="s">
        <v>514</v>
      </c>
      <c r="C25" s="20"/>
      <c r="D25" s="142" t="e">
        <f>Biology!$D$45</f>
        <v>#N/A</v>
      </c>
      <c r="E25" s="135" t="str">
        <f>HYPERLINK("#Biology!D45","→ Biology")</f>
        <v>→ Biology</v>
      </c>
      <c r="F25" s="20"/>
    </row>
    <row r="26" spans="1:6" x14ac:dyDescent="0.2">
      <c r="A26" s="17"/>
      <c r="B26" s="18"/>
      <c r="C26" s="19"/>
      <c r="D26" s="74"/>
      <c r="E26" s="75"/>
      <c r="F26" s="20"/>
    </row>
    <row r="27" spans="1:6" x14ac:dyDescent="0.2">
      <c r="A27" s="17" t="s">
        <v>559</v>
      </c>
      <c r="B27" s="18" t="s">
        <v>560</v>
      </c>
      <c r="C27" s="19" t="s">
        <v>135</v>
      </c>
      <c r="D27" s="131" t="s">
        <v>395</v>
      </c>
      <c r="E27" s="37" t="s">
        <v>561</v>
      </c>
      <c r="F27" s="20"/>
    </row>
    <row r="28" spans="1:6" x14ac:dyDescent="0.2">
      <c r="A28" s="17" t="s">
        <v>562</v>
      </c>
      <c r="B28" s="18" t="s">
        <v>563</v>
      </c>
      <c r="C28" s="19" t="s">
        <v>135</v>
      </c>
      <c r="D28" s="131" t="s">
        <v>401</v>
      </c>
      <c r="E28" s="37" t="s">
        <v>564</v>
      </c>
      <c r="F28" s="20"/>
    </row>
    <row r="29" spans="1:6" ht="24" x14ac:dyDescent="0.2">
      <c r="A29" s="17" t="s">
        <v>565</v>
      </c>
      <c r="B29" s="18" t="s">
        <v>566</v>
      </c>
      <c r="C29" s="19" t="s">
        <v>567</v>
      </c>
      <c r="D29" s="141">
        <f>sigma_0+sigma_k*(T_K-T_zero_C)</f>
        <v>0.071965</v>
      </c>
      <c r="E29" s="51" t="inlineStr">
        <is>
          <t xml:space="preserve">IAPWS R1-76(2014), evaluated at the reactor temperature (T_C). Feeds the bubble-detachment diameter.</t>
        </is>
      </c>
      <c r="F29" s="20"/>
    </row>
    <row r="30" spans="1:6" ht="24" customHeight="1" x14ac:dyDescent="0.2">
      <c r="A30" s="17" t="s">
        <v>568</v>
      </c>
      <c r="B30" s="18" t="s">
        <v>569</v>
      </c>
      <c r="C30" s="19" t="s">
        <v>570</v>
      </c>
      <c r="D30" s="141">
        <f>rho_0+rho_k*(T_K-T_zero_C)</f>
        <v>996.94</v>
      </c>
      <c r="E30" s="51" t="s">
        <v>1786</v>
      </c>
      <c r="F30" s="20"/>
    </row>
    <row r="31" spans="1:6" x14ac:dyDescent="0.2">
      <c r="A31" s="17" t="s">
        <v>571</v>
      </c>
      <c r="B31" s="18" t="s">
        <v>572</v>
      </c>
      <c r="C31" s="19" t="s">
        <v>573</v>
      </c>
      <c r="D31" s="145">
        <v>9.8066499999999994</v>
      </c>
      <c r="E31" s="100" t="s">
        <v>574</v>
      </c>
      <c r="F31" s="20"/>
    </row>
    <row r="32" spans="1:6" ht="24" customHeight="1" x14ac:dyDescent="0.2">
      <c r="A32" s="17" t="s">
        <v>575</v>
      </c>
      <c r="B32" s="18" t="s">
        <v>576</v>
      </c>
      <c r="C32" s="19" t="s">
        <v>577</v>
      </c>
      <c r="D32" s="141">
        <f>10^(HB_a+HB_b/T_K-(HB_c/T_K)^2)/10000</f>
        <v>1.997672318404e-09</v>
      </c>
      <c r="E32" s="37" t="inlineStr">
        <is>
          <t xml:space="preserve">Han &amp; Bartels (1996) evaluated at the reactor temperature. At 25 °C this is 2.00e-9 m²/s.</t>
        </is>
      </c>
      <c r="F32" s="20"/>
    </row>
    <row r="33" spans="1:6" x14ac:dyDescent="0.2">
      <c r="A33" s="17" t="s">
        <v>578</v>
      </c>
      <c r="B33" s="18" t="s">
        <v>579</v>
      </c>
      <c r="C33" s="19" t="s">
        <v>580</v>
      </c>
      <c r="D33" s="146">
        <v>205</v>
      </c>
      <c r="E33" s="51" t="s">
        <v>581</v>
      </c>
      <c r="F33" s="20"/>
    </row>
    <row r="34" spans="1:6" ht="24" customHeight="1" x14ac:dyDescent="0.2">
      <c r="A34" s="17" t="s">
        <v>582</v>
      </c>
      <c r="B34" s="18" t="s">
        <v>583</v>
      </c>
      <c r="C34" s="19" t="s">
        <v>580</v>
      </c>
      <c r="D34" s="146">
        <v>130</v>
      </c>
      <c r="E34" s="51" t="s">
        <v>584</v>
      </c>
      <c r="F34" s="20"/>
    </row>
    <row r="35" spans="1:6" x14ac:dyDescent="0.2">
      <c r="A35" s="17" t="s">
        <v>585</v>
      </c>
      <c r="B35" s="18" t="s">
        <v>586</v>
      </c>
      <c r="C35" s="19" t="s">
        <v>580</v>
      </c>
      <c r="D35" s="146">
        <v>70</v>
      </c>
      <c r="E35" s="51" t="s">
        <v>587</v>
      </c>
      <c r="F35" s="20"/>
    </row>
    <row r="36" spans="1:6" x14ac:dyDescent="0.2">
      <c r="A36" s="17" t="s">
        <v>588</v>
      </c>
      <c r="B36" s="18" t="s">
        <v>589</v>
      </c>
      <c r="C36" s="19" t="s">
        <v>580</v>
      </c>
      <c r="D36" s="146">
        <v>28</v>
      </c>
      <c r="E36" s="51" t="s">
        <v>590</v>
      </c>
      <c r="F36" s="20"/>
    </row>
    <row r="37" spans="1:6" x14ac:dyDescent="0.2">
      <c r="A37" s="17" t="s">
        <v>591</v>
      </c>
      <c r="B37" s="18" t="s">
        <v>592</v>
      </c>
      <c r="C37" s="19" t="s">
        <v>580</v>
      </c>
      <c r="D37" s="146">
        <v>13</v>
      </c>
      <c r="E37" s="51" t="s">
        <v>593</v>
      </c>
      <c r="F37" s="20"/>
    </row>
    <row r="38" spans="1:6" x14ac:dyDescent="0.2">
      <c r="A38" s="17" t="s">
        <v>594</v>
      </c>
      <c r="B38" s="18" t="s">
        <v>595</v>
      </c>
      <c r="C38" s="19" t="s">
        <v>580</v>
      </c>
      <c r="D38" s="154">
        <v>1.3</v>
      </c>
      <c r="E38" s="51" t="s">
        <v>596</v>
      </c>
      <c r="F38" s="20"/>
    </row>
    <row r="39" spans="1:6" x14ac:dyDescent="0.2">
      <c r="A39" s="17" t="s">
        <v>597</v>
      </c>
      <c r="B39" s="18" t="s">
        <v>598</v>
      </c>
      <c r="C39" s="19" t="s">
        <v>599</v>
      </c>
      <c r="D39" s="76">
        <f>CHOOSE(por_grade+1,por0_um,por1_um,por2_um,por3_um,por4_um,por5_um)/1000000</f>
        <v>0.000205</v>
      </c>
      <c r="E39" s="99" t="s">
        <v>600</v>
      </c>
      <c r="F39" s="20"/>
    </row>
    <row r="40" spans="1:6" ht="24" customHeight="1" x14ac:dyDescent="0.2">
      <c r="A40" s="17" t="s">
        <v>601</v>
      </c>
      <c r="B40" s="18" t="s">
        <v>602</v>
      </c>
      <c r="C40" s="19" t="s">
        <v>599</v>
      </c>
      <c r="D40" s="76">
        <f>spg_ID/1000</f>
        <v>0.0015875</v>
      </c>
      <c r="E40" s="99" t="s">
        <v>603</v>
      </c>
      <c r="F40" s="20"/>
    </row>
    <row r="41" spans="1:6" x14ac:dyDescent="0.2">
      <c r="A41" s="17" t="s">
        <v>604</v>
      </c>
      <c r="B41" s="18" t="s">
        <v>605</v>
      </c>
      <c r="C41" s="19" t="s">
        <v>599</v>
      </c>
      <c r="D41" s="76">
        <f>IF(sparger=spg_name_1,tube_d_m,IF(sparger=spg_name_2,por_pore,NA()))</f>
        <v>0.0015875</v>
      </c>
      <c r="E41" s="99" t="s">
        <v>606</v>
      </c>
      <c r="F41" s="20"/>
    </row>
    <row r="42" spans="1:6" ht="24" customHeight="1" x14ac:dyDescent="0.2">
      <c r="A42" s="113" t="s">
        <v>607</v>
      </c>
      <c r="B42" s="18" t="s">
        <v>608</v>
      </c>
      <c r="C42" s="19" t="s">
        <v>599</v>
      </c>
      <c r="D42" s="48">
        <f>(6*d_orifice*sigma/(rho_L*g_const))^(1/3)</f>
        <v>0.004123495634</v>
      </c>
      <c r="E42" s="75" t="s">
        <v>609</v>
      </c>
      <c r="F42" s="20"/>
    </row>
    <row r="43" spans="1:6" x14ac:dyDescent="0.2">
      <c r="A43" s="113" t="s">
        <v>610</v>
      </c>
      <c r="B43" s="18" t="s">
        <v>611</v>
      </c>
      <c r="C43" s="19" t="s">
        <v>146</v>
      </c>
      <c r="D43" s="45">
        <f>d_bubble*1000</f>
        <v>4.123495633555</v>
      </c>
      <c r="E43" s="75"/>
      <c r="F43" s="20"/>
    </row>
    <row r="44" spans="1:6" x14ac:dyDescent="0.2">
      <c r="A44" s="17" t="s">
        <v>612</v>
      </c>
      <c r="B44" s="18" t="s">
        <v>613</v>
      </c>
      <c r="C44" s="19" t="s">
        <v>135</v>
      </c>
      <c r="D44" s="155">
        <v>2.14</v>
      </c>
      <c r="E44" s="75" t="s">
        <v>614</v>
      </c>
      <c r="F44" s="20"/>
    </row>
    <row r="45" spans="1:6" x14ac:dyDescent="0.2">
      <c r="A45" s="17" t="s">
        <v>615</v>
      </c>
      <c r="B45" s="18" t="s">
        <v>616</v>
      </c>
      <c r="C45" s="19" t="s">
        <v>135</v>
      </c>
      <c r="D45" s="156">
        <v>0.505</v>
      </c>
      <c r="E45" s="75" t="s">
        <v>617</v>
      </c>
      <c r="F45" s="20"/>
    </row>
    <row r="46" spans="1:6" ht="36" customHeight="1" x14ac:dyDescent="0.2">
      <c r="A46" s="17" t="s">
        <v>618</v>
      </c>
      <c r="B46" s="18" t="s">
        <v>619</v>
      </c>
      <c r="C46" s="19" t="s">
        <v>107</v>
      </c>
      <c r="D46" s="46">
        <f>SQRT(mend_a*sigma/(rho_L*d_bubble)+mend_b*g_const*d_bubble)</f>
        <v>0.24059063627</v>
      </c>
      <c r="E46" s="75" t="s">
        <v>620</v>
      </c>
      <c r="F46" s="20"/>
    </row>
    <row r="47" spans="1:6" x14ac:dyDescent="0.2">
      <c r="A47" s="17" t="s">
        <v>621</v>
      </c>
      <c r="B47" s="18" t="s">
        <v>622</v>
      </c>
      <c r="C47" s="19" t="s">
        <v>107</v>
      </c>
      <c r="D47" s="48">
        <f>(Q_CO2/1000000/60)/(A_x/1000000)</f>
        <v>0.006634378011</v>
      </c>
      <c r="E47" s="99" t="s">
        <v>623</v>
      </c>
      <c r="F47" s="20"/>
    </row>
    <row r="48" spans="1:6" x14ac:dyDescent="0.2">
      <c r="A48" s="17" t="s">
        <v>624</v>
      </c>
      <c r="B48" s="18" t="s">
        <v>625</v>
      </c>
      <c r="C48" s="19" t="s">
        <v>135</v>
      </c>
      <c r="D48" s="48">
        <f>u_sg/u_rise</f>
        <v>0.027575379131</v>
      </c>
      <c r="E48" s="75" t="s">
        <v>626</v>
      </c>
      <c r="F48" s="20"/>
    </row>
    <row r="49" spans="1:6" x14ac:dyDescent="0.2">
      <c r="A49" s="17" t="s">
        <v>627</v>
      </c>
      <c r="B49" s="18" t="s">
        <v>628</v>
      </c>
      <c r="C49" s="19" t="s">
        <v>629</v>
      </c>
      <c r="D49" s="42">
        <f>6*holdup/d_bubble</f>
        <v>40.124275491043</v>
      </c>
      <c r="E49" s="75" t="s">
        <v>630</v>
      </c>
      <c r="F49" s="20"/>
    </row>
    <row r="50" spans="1:6" x14ac:dyDescent="0.2">
      <c r="A50" s="17" t="s">
        <v>631</v>
      </c>
      <c r="B50" s="18" t="s">
        <v>632</v>
      </c>
      <c r="C50" s="19" t="s">
        <v>13</v>
      </c>
      <c r="D50" s="46">
        <f>d_bubble/u_rise</f>
        <v>0.017139052864</v>
      </c>
      <c r="E50" s="75" t="s">
        <v>633</v>
      </c>
      <c r="F50" s="20"/>
    </row>
    <row r="51" spans="1:6" x14ac:dyDescent="0.2">
      <c r="A51" s="17" t="s">
        <v>634</v>
      </c>
      <c r="B51" s="18" t="s">
        <v>635</v>
      </c>
      <c r="C51" s="19" t="s">
        <v>107</v>
      </c>
      <c r="D51" s="48">
        <f>2*SQRT(D_O2/(PI()*t_contact))</f>
        <v>0.000385233260093</v>
      </c>
      <c r="E51" s="75" t="s">
        <v>636</v>
      </c>
      <c r="F51" s="20"/>
    </row>
    <row r="52" spans="1:6" x14ac:dyDescent="0.2">
      <c r="A52" s="113" t="s">
        <v>637</v>
      </c>
      <c r="B52" s="18" t="s">
        <v>638</v>
      </c>
      <c r="C52" s="19" t="s">
        <v>639</v>
      </c>
      <c r="D52" s="48">
        <f>kL*a_int</f>
        <v>0.015457205456</v>
      </c>
      <c r="E52" s="75" t="s">
        <v>640</v>
      </c>
      <c r="F52" s="20"/>
    </row>
    <row r="53" spans="1:6" x14ac:dyDescent="0.2">
      <c r="A53" s="17" t="s">
        <v>641</v>
      </c>
      <c r="B53" s="18" t="s">
        <v>642</v>
      </c>
      <c r="C53" s="19" t="s">
        <v>639</v>
      </c>
      <c r="D53" s="64">
        <f>kLa_sparge*duty</f>
        <v>1.22783627739e-05</v>
      </c>
      <c r="E53" s="117" t="s">
        <v>643</v>
      </c>
      <c r="F53" s="20"/>
    </row>
    <row r="54" spans="1:6" ht="24" customHeight="1" x14ac:dyDescent="0.2">
      <c r="A54" s="17" t="s">
        <v>644</v>
      </c>
      <c r="B54" s="18" t="s">
        <v>645</v>
      </c>
      <c r="C54" s="19" t="s">
        <v>354</v>
      </c>
      <c r="D54" s="48">
        <f>IF(d_bubble&lt;d_bubble_min_m,0,kLa_sparge*(V_charge/1000000)*O2_ceil_C*3600)</f>
        <v>0.0003044695410516</v>
      </c>
      <c r="E54" s="75" t="s">
        <v>646</v>
      </c>
      <c r="F54" s="20"/>
    </row>
    <row r="55" spans="1:6" ht="24" customHeight="1" x14ac:dyDescent="0.2">
      <c r="A55" s="113" t="s">
        <v>647</v>
      </c>
      <c r="B55" s="18" t="s">
        <v>648</v>
      </c>
      <c r="C55" s="19" t="s">
        <v>354</v>
      </c>
      <c r="D55" s="48">
        <f>strip_sparge*duty</f>
        <v>2.418540330079e-07</v>
      </c>
      <c r="E55" s="75" t="s">
        <v>649</v>
      </c>
      <c r="F55" s="20"/>
    </row>
    <row r="56" spans="1:6" x14ac:dyDescent="0.2">
      <c r="A56" s="113" t="s">
        <v>650</v>
      </c>
      <c r="B56" s="18" t="s">
        <v>651</v>
      </c>
      <c r="C56" s="19" t="s">
        <v>110</v>
      </c>
      <c r="D56" s="45">
        <f>IF(O2_excess&gt;0,strip_avg/O2_excess,NA())</f>
        <v>0.016368851962</v>
      </c>
      <c r="E56" s="75" t="s">
        <v>652</v>
      </c>
      <c r="F56" s="20"/>
    </row>
    <row r="57" spans="1:6" ht="36" customHeight="1" x14ac:dyDescent="0.2">
      <c r="A57" s="17" t="s">
        <v>653</v>
      </c>
      <c r="B57" s="18" t="s">
        <v>654</v>
      </c>
      <c r="C57" s="19" t="s">
        <v>639</v>
      </c>
      <c r="D57" s="48">
        <f>IF(O2_excess&gt;0,O2_excess/3600/((V_charge/1000000)*O2_ceil_C),NA())</f>
        <v>0.0007501053099273</v>
      </c>
      <c r="E57" s="75" t="s">
        <v>655</v>
      </c>
      <c r="F57" s="20"/>
    </row>
    <row r="58" spans="1:6" ht="24" customHeight="1" x14ac:dyDescent="0.2">
      <c r="A58" s="17" t="s">
        <v>656</v>
      </c>
      <c r="B58" s="18" t="s">
        <v>657</v>
      </c>
      <c r="C58" s="19" t="s">
        <v>107</v>
      </c>
      <c r="D58" s="131">
        <v>0.05</v>
      </c>
      <c r="E58" s="75" t="s">
        <v>658</v>
      </c>
      <c r="F58" s="20"/>
    </row>
    <row r="59" spans="1:6" x14ac:dyDescent="0.2">
      <c r="A59" s="113" t="s">
        <v>659</v>
      </c>
      <c r="B59" s="18" t="s">
        <v>660</v>
      </c>
      <c r="C59" s="19" t="s">
        <v>135</v>
      </c>
      <c r="D59" s="58" t="str">
        <f>IF(u_sg&gt;u_g_max,"RISK","OK")</f>
        <v>OK</v>
      </c>
      <c r="E59" s="75" t="s">
        <v>661</v>
      </c>
      <c r="F59" s="20"/>
    </row>
    <row r="60" spans="1:6" x14ac:dyDescent="0.2">
      <c r="A60" s="17" t="s">
        <v>662</v>
      </c>
      <c r="B60" s="18" t="s">
        <v>663</v>
      </c>
      <c r="C60" s="19" t="s">
        <v>570</v>
      </c>
      <c r="D60" s="48">
        <f>P_atm*(M_CO2/1000)/(R_gas*T_K)</f>
        <v>1.798846262493</v>
      </c>
      <c r="E60" s="99" t="s">
        <v>664</v>
      </c>
      <c r="F60" s="20"/>
    </row>
    <row r="61" spans="1:6" x14ac:dyDescent="0.2">
      <c r="A61" s="17" t="s">
        <v>665</v>
      </c>
      <c r="B61" s="18" t="s">
        <v>666</v>
      </c>
      <c r="C61" s="19" t="s">
        <v>135</v>
      </c>
      <c r="D61" s="131">
        <v>1</v>
      </c>
      <c r="E61" s="70" t="s">
        <v>667</v>
      </c>
      <c r="F61" s="20"/>
    </row>
    <row r="62" spans="1:6" x14ac:dyDescent="0.2">
      <c r="A62" s="17" t="s">
        <v>668</v>
      </c>
      <c r="B62" s="18" t="s">
        <v>669</v>
      </c>
      <c r="C62" s="19" t="s">
        <v>107</v>
      </c>
      <c r="D62" s="48">
        <f>(Q_CO2/1000000/60)/(n_pores_active*(PI()/4*d_orifice^2))</f>
        <v>1.68239079778</v>
      </c>
      <c r="E62" s="115" t="s">
        <v>643</v>
      </c>
      <c r="F62" s="20"/>
    </row>
    <row r="63" spans="1:6" x14ac:dyDescent="0.2">
      <c r="A63" s="17" t="s">
        <v>670</v>
      </c>
      <c r="B63" s="18" t="s">
        <v>671</v>
      </c>
      <c r="C63" s="19" t="s">
        <v>135</v>
      </c>
      <c r="D63" s="48">
        <f>rho_CO2*v_orifice^2*d_orifice/sigma</f>
        <v>0.112315636035</v>
      </c>
      <c r="E63" s="115" t="s">
        <v>643</v>
      </c>
      <c r="F63" s="20"/>
    </row>
    <row r="64" spans="1:6" ht="24" customHeight="1" x14ac:dyDescent="0.2">
      <c r="A64" s="17" t="s">
        <v>672</v>
      </c>
      <c r="B64" s="18" t="s">
        <v>673</v>
      </c>
      <c r="C64" s="19" t="s">
        <v>135</v>
      </c>
      <c r="D64" s="48" t="str">
        <f>IF(d_bubble&lt;d_bubble_min_m,"Sinter OOR – add fine-bubble model",IF(We_orifice&lt;We_static_max,"Static","Dynamic"))</f>
        <v>Static</v>
      </c>
      <c r="E64" s="99" t="s">
        <v>674</v>
      </c>
      <c r="F64" s="20"/>
    </row>
    <row r="65" spans="1:6" ht="24" customHeight="1" x14ac:dyDescent="0.2">
      <c r="A65" s="17" t="s">
        <v>675</v>
      </c>
      <c r="B65" s="18" t="s">
        <v>676</v>
      </c>
      <c r="C65" s="19" t="s">
        <v>67</v>
      </c>
      <c r="D65" s="48">
        <f>O2_ceil_C*(V_charge/1000000)/O2_excess*60</f>
        <v>22.21910236615</v>
      </c>
      <c r="E65" s="99" t="inlineStr">
        <is>
          <t xml:space="preserve">Minutes to reach the O₂ ceiling from ~0 with no removal (steady growth: the O₂ excess after biological uptake), the O₂ timescale.</t>
        </is>
      </c>
      <c r="F65" s="20"/>
    </row>
    <row r="66" spans="1:6" ht="24" customHeight="1" x14ac:dyDescent="0.2">
      <c r="A66" s="17" t="s">
        <v>678</v>
      </c>
      <c r="B66" s="18" t="s">
        <v>679</v>
      </c>
      <c r="C66" s="19" t="s">
        <v>67</v>
      </c>
      <c r="D66" s="48">
        <f>IF(O2_excess-strip_avg&gt;0,O2_ceil_C*(V_charge/1000000)/(O2_excess-strip_avg)*60,cleared_min)</f>
        <v>22.588856006099</v>
      </c>
      <c r="E66" s="99" t="s">
        <v>680</v>
      </c>
      <c r="F66" s="20"/>
    </row>
    <row r="67" spans="1:6" x14ac:dyDescent="0.2">
      <c r="A67" s="17" t="s">
        <v>681</v>
      </c>
      <c r="B67" s="18" t="s">
        <v>682</v>
      </c>
      <c r="C67" s="19" t="s">
        <v>683</v>
      </c>
      <c r="D67" s="157">
        <f>Summary!$D$7</f>
        <v>1000.0</v>
      </c>
      <c r="E67" s="68" t="s">
        <v>684</v>
      </c>
      <c r="F67" s="20"/>
    </row>
    <row r="68" spans="1:6" ht="24" customHeight="1" x14ac:dyDescent="0.2">
      <c r="A68" s="17" t="s">
        <v>106</v>
      </c>
      <c r="B68" s="18" t="s">
        <v>685</v>
      </c>
      <c r="C68" s="19" t="s">
        <v>107</v>
      </c>
      <c r="D68" s="48">
        <f>PI()*(stir_len/1000)*stir_rpm/60</f>
        <v>0.628318530718</v>
      </c>
      <c r="E68" s="99" t="s">
        <v>686</v>
      </c>
      <c r="F68" s="20"/>
    </row>
    <row r="69" spans="1:6" x14ac:dyDescent="0.2">
      <c r="A69" s="17" t="s">
        <v>687</v>
      </c>
      <c r="B69" s="18" t="s">
        <v>688</v>
      </c>
      <c r="C69" s="19" t="s">
        <v>639</v>
      </c>
      <c r="D69" s="48">
        <f>tip_speed/(vial_ID/1000)</f>
        <v>24.854372259413</v>
      </c>
      <c r="E69" s="69" t="s">
        <v>689</v>
      </c>
      <c r="F69" s="20"/>
    </row>
    <row r="70" spans="1:6" ht="24" x14ac:dyDescent="0.2">
      <c r="A70" s="17" t="s">
        <v>690</v>
      </c>
      <c r="B70" s="18" t="s">
        <v>691</v>
      </c>
      <c r="C70" s="19" t="s">
        <v>107</v>
      </c>
      <c r="D70" s="48">
        <f>2*SQRT(D_O2*s_renew/PI())</f>
        <v>0.0002514308621282</v>
      </c>
      <c r="E70" s="69" t="s">
        <v>1056</v>
      </c>
      <c r="F70" s="20"/>
    </row>
    <row r="71" spans="1:6" x14ac:dyDescent="0.2">
      <c r="A71" s="17" t="s">
        <v>692</v>
      </c>
      <c r="B71" s="18" t="s">
        <v>693</v>
      </c>
      <c r="C71" s="19" t="s">
        <v>629</v>
      </c>
      <c r="D71" s="48">
        <f>interface_A/V_charge</f>
        <v>28.636515009371</v>
      </c>
      <c r="E71" s="99" t="s">
        <v>694</v>
      </c>
      <c r="F71" s="20"/>
    </row>
    <row r="72" spans="1:6" x14ac:dyDescent="0.2">
      <c r="A72" s="17" t="s">
        <v>695</v>
      </c>
      <c r="B72" s="18" t="s">
        <v>696</v>
      </c>
      <c r="C72" s="19" t="s">
        <v>639</v>
      </c>
      <c r="D72" s="48">
        <f>kL_surf*a_surf</f>
        <v>0.007200103657</v>
      </c>
      <c r="E72" s="69" t="s">
        <v>697</v>
      </c>
      <c r="F72" s="20"/>
    </row>
    <row r="73" spans="1:6" ht="36" customHeight="1" x14ac:dyDescent="0.2">
      <c r="A73" s="17" t="s">
        <v>698</v>
      </c>
      <c r="B73" s="18" t="s">
        <v>699</v>
      </c>
      <c r="C73" s="19" t="s">
        <v>354</v>
      </c>
      <c r="D73" s="48">
        <f>kLa_surf_used*(V_charge/1000000)*O2_ceil_C*3600</f>
        <v>0.0001418246177951</v>
      </c>
      <c r="E73" s="69" t="s">
        <v>1002</v>
      </c>
      <c r="F73" s="20"/>
    </row>
    <row r="74" spans="1:6" ht="24" customHeight="1" x14ac:dyDescent="0.2">
      <c r="A74" s="17" t="s">
        <v>700</v>
      </c>
      <c r="B74" s="18" t="s">
        <v>701</v>
      </c>
      <c r="C74" s="19" t="s">
        <v>110</v>
      </c>
      <c r="D74" s="48">
        <f>IF(O2_excess&gt;0,surf_strip/O2_excess,NA())</f>
        <v>9.59879041231</v>
      </c>
      <c r="E74" s="69" t="s">
        <v>702</v>
      </c>
      <c r="F74" s="20"/>
    </row>
    <row r="75" spans="1:6" ht="24" customHeight="1" x14ac:dyDescent="0.2">
      <c r="A75" s="17" t="s">
        <v>703</v>
      </c>
      <c r="B75" s="18" t="s">
        <v>704</v>
      </c>
      <c r="C75" s="19" t="s">
        <v>135</v>
      </c>
      <c r="D75" s="48">
        <f>IF(CO2_supply&gt;0,O2_excess/(O2_excess+CO2_supply),NA())</f>
        <v>0.036572149</v>
      </c>
      <c r="E75" s="99" t="s">
        <v>705</v>
      </c>
      <c r="F75" s="20"/>
    </row>
    <row r="76" spans="1:6" ht="36" x14ac:dyDescent="0.2">
      <c r="A76" s="17" t="s">
        <v>706</v>
      </c>
      <c r="B76" s="18" t="s">
        <v>707</v>
      </c>
      <c r="C76" s="19" t="s">
        <v>463</v>
      </c>
      <c r="D76" s="48">
        <f>H_O2_T*y_O2_vent*P_atm*1000</f>
        <v>44.468075969604</v>
      </c>
      <c r="E76" s="69" t="inlineStr">
        <is>
          <t xml:space="preserve">Dissolved O₂ in equilibrium with that vent headspace fraction, in µM; the same quantity as DO_hs_floor (D188) ×1000. Compare with the inhibition ceiling (Biology D28). Diagnostic, not a backstop.</t>
        </is>
      </c>
      <c r="F76" s="20"/>
    </row>
    <row r="77" spans="1:6" x14ac:dyDescent="0.2">
      <c r="A77" s="17" t="s">
        <v>708</v>
      </c>
      <c r="B77" s="18" t="s">
        <v>709</v>
      </c>
      <c r="C77" s="19" t="s">
        <v>67</v>
      </c>
      <c r="D77" s="48">
        <f>headspace_V/(Q_CO2*duty)</f>
        <v>16.46036421628</v>
      </c>
      <c r="E77" s="99" t="s">
        <v>710</v>
      </c>
      <c r="F77" s="20"/>
    </row>
    <row r="78" spans="1:6" ht="26" customHeight="1" x14ac:dyDescent="0.2">
      <c r="A78" s="17" t="s">
        <v>711</v>
      </c>
      <c r="B78" s="18" t="s">
        <v>712</v>
      </c>
      <c r="C78" s="19" t="s">
        <v>110</v>
      </c>
      <c r="D78" s="48">
        <f>IF(O2_excess&gt;0,(strip_avg+surf_strip)/O2_excess,NA())</f>
        <v>9.615159264271</v>
      </c>
      <c r="E78" s="118" t="s">
        <v>713</v>
      </c>
      <c r="F78" s="20"/>
    </row>
    <row r="79" spans="1:6" x14ac:dyDescent="0.2">
      <c r="A79" s="17" t="s">
        <v>714</v>
      </c>
      <c r="B79" s="18" t="s">
        <v>715</v>
      </c>
      <c r="C79" s="19" t="s">
        <v>67</v>
      </c>
      <c r="D79" s="48">
        <f>O2_ceil_C*(V_charge/1000000)/O2_net_gen*60</f>
        <v>6.650740668134</v>
      </c>
      <c r="E79" s="99" t="s">
        <v>716</v>
      </c>
      <c r="F79" s="20"/>
    </row>
    <row r="80" spans="1:6" ht="36" customHeight="1" x14ac:dyDescent="0.2">
      <c r="A80" s="17" t="s">
        <v>717</v>
      </c>
      <c r="B80" s="18" t="s">
        <v>718</v>
      </c>
      <c r="C80" s="19" t="s">
        <v>67</v>
      </c>
      <c r="D80" s="48">
        <f>IF(O2_net_gen-strip_avg-surf_strip&gt;0,O2_ceil_C*(V_charge/1000000)/(O2_net_gen-strip_avg-surf_strip)*60,cleared_min)</f>
        <v>9999.0</v>
      </c>
      <c r="E80" s="69" t="s">
        <v>1458</v>
      </c>
      <c r="F80" s="20"/>
    </row>
    <row r="81" spans="1:6" ht="24" customHeight="1" x14ac:dyDescent="0.2">
      <c r="A81" s="17" t="s">
        <v>719</v>
      </c>
      <c r="B81" s="18" t="s">
        <v>720</v>
      </c>
      <c r="C81" s="19" t="s">
        <v>135</v>
      </c>
      <c r="D81" s="131" t="s">
        <v>721</v>
      </c>
      <c r="E81" s="68" t="s">
        <v>1129</v>
      </c>
      <c r="F81" s="20"/>
    </row>
    <row r="82" spans="1:6" ht="24" x14ac:dyDescent="0.2">
      <c r="A82" s="17" t="s">
        <v>722</v>
      </c>
      <c r="B82" s="18" t="s">
        <v>723</v>
      </c>
      <c r="C82" s="19" t="s">
        <v>13</v>
      </c>
      <c r="D82" s="131">
        <v>1</v>
      </c>
      <c r="E82" s="68" t="s">
        <v>1130</v>
      </c>
      <c r="F82" s="20"/>
    </row>
    <row r="83" spans="1:6" ht="24" x14ac:dyDescent="0.2">
      <c r="A83" s="17" t="s">
        <v>724</v>
      </c>
      <c r="B83" s="18" t="s">
        <v>725</v>
      </c>
      <c r="C83" s="19" t="s">
        <v>67</v>
      </c>
      <c r="D83" s="131">
        <v>1</v>
      </c>
      <c r="E83" s="68" t="s">
        <v>1131</v>
      </c>
      <c r="F83" s="20"/>
    </row>
    <row r="84" spans="1:6" ht="36" x14ac:dyDescent="0.2">
      <c r="A84" s="17" t="s">
        <v>726</v>
      </c>
      <c r="B84" s="18" t="s">
        <v>727</v>
      </c>
      <c r="C84" s="19" t="s">
        <v>135</v>
      </c>
      <c r="D84" s="158">
        <f>Biology!$D$60</f>
        <v>0.226086956522</v>
      </c>
      <c r="E84" s="68" t="s">
        <v>1479</v>
      </c>
      <c r="F84" s="20"/>
    </row>
    <row r="85" spans="1:6" x14ac:dyDescent="0.2">
      <c r="A85" s="17" t="s">
        <v>728</v>
      </c>
      <c r="B85" s="18" t="s">
        <v>729</v>
      </c>
      <c r="C85" s="19" t="s">
        <v>135</v>
      </c>
      <c r="D85" s="131">
        <v>2</v>
      </c>
      <c r="E85" s="68" t="s">
        <v>730</v>
      </c>
      <c r="F85" s="20"/>
    </row>
    <row r="86" spans="1:6" x14ac:dyDescent="0.2">
      <c r="A86" s="17" t="s">
        <v>731</v>
      </c>
      <c r="B86" s="18" t="s">
        <v>732</v>
      </c>
      <c r="C86" s="19" t="s">
        <v>135</v>
      </c>
      <c r="D86" s="48">
        <f>carbon_margin_min*CO2_cons/(nCO2_rate*3600)</f>
        <v>7.058520235019e-05</v>
      </c>
      <c r="E86" s="99" t="s">
        <v>733</v>
      </c>
      <c r="F86" s="20"/>
    </row>
    <row r="87" spans="1:6" ht="24" customHeight="1" x14ac:dyDescent="0.2">
      <c r="A87" s="17" t="s">
        <v>734</v>
      </c>
      <c r="B87" s="18" t="s">
        <v>735</v>
      </c>
      <c r="C87" s="19" t="s">
        <v>135</v>
      </c>
      <c r="D87" s="48">
        <f>O2_src_guard/(target_DO_frac*(O2_ceil_Pa/P_atm))/(nCO2_rate*3600)</f>
        <v>0.001485253206</v>
      </c>
      <c r="E87" s="99" t="s">
        <v>1063</v>
      </c>
      <c r="F87" s="20"/>
    </row>
    <row r="88" spans="1:6" ht="24" customHeight="1" x14ac:dyDescent="0.2">
      <c r="A88" s="17" t="s">
        <v>736</v>
      </c>
      <c r="B88" s="18" t="s">
        <v>737</v>
      </c>
      <c r="C88" s="19" t="s">
        <v>135</v>
      </c>
      <c r="D88" s="48">
        <f>MAX(duty_carbon,duty_O2vent)</f>
        <v>0.001485253206</v>
      </c>
      <c r="E88" s="69" t="inlineStr">
        <is>
          <t xml:space="preserve">Least feasible CO₂ duty (the larger of the two floors). Informative only: D91 takes the interval from the carbon (D112) and DO-dilution (D185) intervals, not from this duty.</t>
        </is>
      </c>
      <c r="F88" s="20"/>
    </row>
    <row r="89" spans="1:6" ht="36" x14ac:dyDescent="0.2">
      <c r="A89" s="17" t="s">
        <v>738</v>
      </c>
      <c r="B89" s="18" t="s">
        <v>739</v>
      </c>
      <c r="C89" s="19" t="s">
        <v>67</v>
      </c>
      <c r="D89" s="48">
        <f>target_DO_frac*O2_ceil_C*(V_charge/1000000)/O2_src_guard*60</f>
        <v>1.503645716274</v>
      </c>
      <c r="E89" s="99" t="inlineStr">
        <is>
          <t xml:space="preserve">O₂-limited fallback interval: zero-surface worst case (no surface credit; sizes on O2_src_guard D132). D91 uses it only when the DO target is unreachable (spg_int_DO, D185, is #N/A).</t>
        </is>
      </c>
      <c r="F89" s="20"/>
    </row>
    <row r="90" spans="1:6" x14ac:dyDescent="0.2">
      <c r="A90" s="17" t="s">
        <v>740</v>
      </c>
      <c r="B90" s="18" t="s">
        <v>741</v>
      </c>
      <c r="C90" s="19" t="s">
        <v>13</v>
      </c>
      <c r="D90" s="48">
        <f>MAX(pulse_floor,flush_factor*headspace_V/(Q_CO2/60))</f>
        <v>0.784513049825</v>
      </c>
      <c r="E90" s="159" t="s">
        <v>742</v>
      </c>
      <c r="F90" s="20"/>
    </row>
    <row r="91" spans="1:6" ht="24" customHeight="1" x14ac:dyDescent="0.2">
      <c r="A91" s="17" t="s">
        <v>743</v>
      </c>
      <c r="B91" s="18" t="s">
        <v>744</v>
      </c>
      <c r="C91" s="19" t="s">
        <v>67</v>
      </c>
      <c r="D91" s="48">
        <f>IF(ISNUMBER(spg_int_DO),MIN(spg_int_carbon,spg_int_DO),MIN(spg_int_carbon,spg_int_max))</f>
        <v>16.46036421628</v>
      </c>
      <c r="E91" s="159" t="inlineStr">
        <is>
          <t xml:space="preserve">ANSWER. The shorter of the two upper bounds on the interval: carbon supply (D112) and headspace-oxygen dilution (spg_int_DO). If the DO target is unreachable at this surface kLa the sheet falls back to the lag-accumulation cap (D89) and D134 says so. kL_surf moves the answer continuously; no branch depends on it.</t>
        </is>
      </c>
      <c r="F91" s="20"/>
    </row>
    <row r="92" spans="1:6" x14ac:dyDescent="0.2">
      <c r="A92" s="17" t="s">
        <v>745</v>
      </c>
      <c r="B92" s="18" t="s">
        <v>746</v>
      </c>
      <c r="C92" s="19" t="s">
        <v>13</v>
      </c>
      <c r="D92" s="48">
        <f>spg_int_opt*60</f>
        <v>987.621852976796</v>
      </c>
      <c r="E92" s="159" t="s">
        <v>747</v>
      </c>
      <c r="F92" s="20"/>
    </row>
    <row r="93" spans="1:6" x14ac:dyDescent="0.2">
      <c r="A93" s="17" t="inlineStr">
        <is>
          <t xml:space="preserve">  resulting duty</t>
        </is>
      </c>
      <c r="B93" s="18" t="s">
        <v>749</v>
      </c>
      <c r="C93" s="19" t="s">
        <v>135</v>
      </c>
      <c r="D93" s="48">
        <f>spg_dur_opt/(spg_int_opt*60)</f>
        <v>0.0007943455761538</v>
      </c>
      <c r="E93" s="99" t="s">
        <v>750</v>
      </c>
      <c r="F93" s="20"/>
    </row>
    <row r="94" spans="1:6" ht="36" x14ac:dyDescent="0.2">
      <c r="A94" s="17" t="s">
        <v>751</v>
      </c>
      <c r="B94" s="18" t="s">
        <v>752</v>
      </c>
      <c r="C94" s="19" t="s">
        <v>135</v>
      </c>
      <c r="D94" s="48" t="str">
        <f>IF(NOT(ISNUMBER(spg_int_DO)),"O2-INFEASIBLE (see D134)",IF(spg_int_DO&lt;=spg_int_carbon,"O2-DILUTION (headspace O2 sets the interval)","CARBON (CO2 supply sets the interval)"))</f>
        <v>O2-DILUTION (headspace O2 sets the interval)</v>
      </c>
      <c r="E94" s="99" t="s">
        <v>1828</v>
      </c>
      <c r="F94" s="20"/>
    </row>
    <row r="95" spans="1:6" ht="24" x14ac:dyDescent="0.2">
      <c r="A95" s="17" t="s">
        <v>753</v>
      </c>
      <c r="B95" s="18" t="s">
        <v>754</v>
      </c>
      <c r="C95" s="19" t="s">
        <v>135</v>
      </c>
      <c r="D95" s="48" t="str">
        <f>IF(spg_int*60-spg_dur&gt;=od_gap_min_s,"OK","TIGHT")</f>
        <v>OK</v>
      </c>
      <c r="E95" s="99" t="s">
        <v>1132</v>
      </c>
      <c r="F95" s="20"/>
    </row>
    <row r="96" spans="1:6" ht="36" customHeight="1" x14ac:dyDescent="0.2">
      <c r="A96" s="17" t="s">
        <v>755</v>
      </c>
      <c r="B96" s="18" t="s">
        <v>756</v>
      </c>
      <c r="C96" s="19" t="s">
        <v>135</v>
      </c>
      <c r="D96" s="48" t="str">
        <f>"see note →"</f>
        <v>see note →</v>
      </c>
      <c r="E96" s="69" t="s">
        <v>757</v>
      </c>
      <c r="F96" s="20"/>
    </row>
    <row r="97" spans="1:6" ht="24" customHeight="1" x14ac:dyDescent="0.2">
      <c r="A97" s="17" t="s">
        <v>758</v>
      </c>
      <c r="B97" s="18" t="s">
        <v>759</v>
      </c>
      <c r="C97" s="19" t="s">
        <v>507</v>
      </c>
      <c r="D97" s="48">
        <f>IF(ISNUMBER(cal_kLa),cal_kLa,0)</f>
        <v>0.0</v>
      </c>
      <c r="E97" s="69" t="s">
        <v>760</v>
      </c>
      <c r="F97" s="20"/>
    </row>
    <row r="98" spans="1:6" ht="24" customHeight="1" x14ac:dyDescent="0.2">
      <c r="A98" s="17" t="s">
        <v>761</v>
      </c>
      <c r="B98" s="18" t="s">
        <v>762</v>
      </c>
      <c r="C98" s="19" t="s">
        <v>639</v>
      </c>
      <c r="D98" s="48">
        <f>IF(AND(ISNUMBER(kLa_meas),kLa_meas&gt;0),kLa_meas/3600,kLa_surf)</f>
        <v>0.007200103657</v>
      </c>
      <c r="E98" s="99" t="s">
        <v>1925</v>
      </c>
      <c r="F98" s="20"/>
    </row>
    <row r="99" spans="1:6" x14ac:dyDescent="0.2">
      <c r="A99" s="20" t="s">
        <v>763</v>
      </c>
      <c r="B99" s="20" t="s">
        <v>764</v>
      </c>
      <c r="C99" s="20" t="s">
        <v>13</v>
      </c>
      <c r="D99" s="28">
        <f>min_sparge_cal</f>
        <v>0.25</v>
      </c>
      <c r="E99" s="160" t="s">
        <v>765</v>
      </c>
      <c r="F99" s="20"/>
    </row>
    <row r="100" spans="1:6" x14ac:dyDescent="0.2">
      <c r="A100" s="20" t="s">
        <v>766</v>
      </c>
      <c r="B100" s="20" t="s">
        <v>767</v>
      </c>
      <c r="C100" s="20" t="s">
        <v>354</v>
      </c>
      <c r="D100" s="28">
        <f>CO2_pulse*pulses_h</f>
        <v>0.0003892277799716</v>
      </c>
      <c r="E100" s="160" t="s">
        <v>765</v>
      </c>
      <c r="F100" s="20"/>
    </row>
    <row r="101" spans="1:6" x14ac:dyDescent="0.2">
      <c r="A101" s="20" t="s">
        <v>768</v>
      </c>
      <c r="B101" s="20" t="s">
        <v>313</v>
      </c>
      <c r="C101" s="20" t="s">
        <v>314</v>
      </c>
      <c r="D101" s="161">
        <v>8.3144626180000003</v>
      </c>
      <c r="E101" s="20" t="s">
        <v>765</v>
      </c>
      <c r="F101" s="20"/>
    </row>
    <row r="102" spans="1:6" x14ac:dyDescent="0.2">
      <c r="A102" s="20" t="s">
        <v>769</v>
      </c>
      <c r="B102" s="20" t="s">
        <v>770</v>
      </c>
      <c r="C102" s="20" t="s">
        <v>361</v>
      </c>
      <c r="D102" s="28">
        <f>IF(has_cal&gt;0,flowrate_cal*60,NA())</f>
        <v>199.8</v>
      </c>
      <c r="E102" s="160" t="s">
        <v>765</v>
      </c>
      <c r="F102" s="20"/>
    </row>
    <row r="103" spans="1:6" x14ac:dyDescent="0.2">
      <c r="A103" s="20" t="s">
        <v>771</v>
      </c>
      <c r="B103" s="20" t="s">
        <v>772</v>
      </c>
      <c r="C103" s="20" t="s">
        <v>773</v>
      </c>
      <c r="D103" s="161">
        <v>44.009500000000003</v>
      </c>
      <c r="E103" s="20" t="s">
        <v>765</v>
      </c>
      <c r="F103" s="20"/>
    </row>
    <row r="104" spans="1:6" x14ac:dyDescent="0.2">
      <c r="A104" s="20" t="s">
        <v>774</v>
      </c>
      <c r="B104" s="20" t="s">
        <v>775</v>
      </c>
      <c r="C104" s="20" t="s">
        <v>776</v>
      </c>
      <c r="D104" s="28">
        <f>P_atm*(Q_CO2/1000000/60)/(R_gas*T_K)</f>
        <v>0.000136110568266</v>
      </c>
      <c r="E104" s="160" t="s">
        <v>765</v>
      </c>
      <c r="F104" s="20"/>
    </row>
    <row r="105" spans="1:6" x14ac:dyDescent="0.2">
      <c r="A105" s="20" t="s">
        <v>777</v>
      </c>
      <c r="B105" s="20" t="s">
        <v>778</v>
      </c>
      <c r="C105" s="20" t="s">
        <v>135</v>
      </c>
      <c r="D105" s="28">
        <f>spg_dur/(spg_int*60)</f>
        <v>0.0007943455761538</v>
      </c>
      <c r="E105" s="160" t="s">
        <v>765</v>
      </c>
      <c r="F105" s="20"/>
    </row>
    <row r="106" spans="1:6" x14ac:dyDescent="0.2">
      <c r="A106" s="20" t="s">
        <v>779</v>
      </c>
      <c r="B106" s="20" t="s">
        <v>780</v>
      </c>
      <c r="C106" s="20" t="s">
        <v>135</v>
      </c>
      <c r="D106" s="161">
        <v>1</v>
      </c>
      <c r="E106" s="20" t="s">
        <v>765</v>
      </c>
      <c r="F106" s="20"/>
    </row>
    <row r="107" spans="1:6" x14ac:dyDescent="0.2">
      <c r="A107" s="103" t="s">
        <v>781</v>
      </c>
      <c r="B107" s="20"/>
      <c r="C107" s="20"/>
      <c r="D107" s="20"/>
      <c r="E107" s="20"/>
      <c r="F107" s="20"/>
    </row>
    <row r="108" spans="1:6" x14ac:dyDescent="0.2">
      <c r="A108" s="20" t="s">
        <v>782</v>
      </c>
      <c r="B108" s="20" t="s">
        <v>783</v>
      </c>
      <c r="C108" s="20" t="s">
        <v>102</v>
      </c>
      <c r="D108" s="28">
        <f>(DO_hs_floor+DO_surf_excess)*M_O2</f>
        <v>2.638866712696</v>
      </c>
      <c r="E108" s="160" t="s">
        <v>1929</v>
      </c>
      <c r="F108" s="20"/>
    </row>
    <row r="109" spans="1:6" x14ac:dyDescent="0.2">
      <c r="A109" s="20" t="s">
        <v>784</v>
      </c>
      <c r="B109" s="20" t="s">
        <v>785</v>
      </c>
      <c r="C109" s="20"/>
      <c r="D109" s="28" t="str">
        <f>IF(ISNUMBER(DO_opt),IF(DO_ss&lt;=DO_opt,"at/under optimum",IF(DO_ss&lt;DO_impair,"above optimum, under impairment","OVER IMPAIRMENT - surface strip insufficient")),"organism optimum unknown")</f>
        <v>organism optimum unknown</v>
      </c>
      <c r="E109" s="20"/>
      <c r="F109" s="20"/>
    </row>
    <row r="110" spans="1:6" x14ac:dyDescent="0.2">
      <c r="A110" s="20" t="s">
        <v>786</v>
      </c>
      <c r="B110" s="20" t="s">
        <v>787</v>
      </c>
      <c r="C110" s="20"/>
      <c r="D110" s="28" t="str">
        <f>IF(ISNUMBER(DO_min),IF(DO_ss&gt;=DO_min,"above minimum","BELOW MINIMUM"),"minimum DO unknown - measure")</f>
        <v>minimum DO unknown - measure</v>
      </c>
      <c r="E110" s="20"/>
      <c r="F110" s="20"/>
    </row>
    <row r="111" spans="1:6" x14ac:dyDescent="0.2">
      <c r="A111" s="20" t="str">
        <f>"Tip-speed shear flag (&lt;"&amp;TEXT(tip_speed_max,"0.0")&amp;" m/s)"</f>
        <v>Tip-speed shear flag (&lt;1.5 m/s)</v>
      </c>
      <c r="B111" s="20" t="s">
        <v>789</v>
      </c>
      <c r="C111" s="20"/>
      <c r="D111" s="28" t="str">
        <f>IF(tip_speed&gt;tip_speed_max,"TIP SPEED &gt; "&amp;TEXT(tip_speed_max,"0.0")&amp;" m/s","OK")</f>
        <v>OK</v>
      </c>
      <c r="E111" s="82" t="s">
        <v>790</v>
      </c>
      <c r="F111" s="20"/>
    </row>
    <row r="112" spans="1:6" x14ac:dyDescent="0.2">
      <c r="A112" s="20" t="s">
        <v>791</v>
      </c>
      <c r="B112" s="20" t="s">
        <v>792</v>
      </c>
      <c r="C112" s="20" t="s">
        <v>67</v>
      </c>
      <c r="D112" s="28">
        <f>spg_dur_opt/(60*duty_carbon)</f>
        <v>185.240207036777</v>
      </c>
      <c r="E112" s="20"/>
      <c r="F112" s="20"/>
    </row>
    <row r="113" spans="1:6" x14ac:dyDescent="0.2">
      <c r="A113" s="20" t="s">
        <v>793</v>
      </c>
      <c r="B113" s="20" t="s">
        <v>794</v>
      </c>
      <c r="C113" s="20"/>
      <c r="D113" s="28" t="str">
        <f>IF(DO_at_carbon&lt;=DO_target,"Carbon supply alone holds the DO target – the interval may relax to "&amp;TEXT(spg_int_carbon,"0")&amp;" min","Do NOT relax: at the carbon-limited interval ("&amp;TEXT(spg_int_carbon,"0")&amp;" min) DO would be "&amp;TEXT(DO_at_carbon*M_O2,"0.0")&amp;" mg/L against a "&amp;TEXT(DO_target*M_O2,"0.0")&amp;" mg/L target")</f>
        <v>Do NOT relax: at the carbon-limited interval (185 min) DO would be 12.9 mg/L against a 2.6 mg/L target</v>
      </c>
      <c r="E113" s="82" t="inlineStr">
        <is>
          <t xml:space="preserve">Tests the carbon-limited interval against the same DO balance the schedule uses (D232). Replaces a test of DO_ss against the impairment level, which was circular (DO_ss sits at the target by construction) and invited an unsafe 185 min interval.</t>
        </is>
      </c>
      <c r="F113" s="20"/>
    </row>
    <row r="114" spans="1:6" x14ac:dyDescent="0.2">
      <c r="A114" s="103" t="inlineStr">
        <is>
          <t xml:space="preserve">CO₂ DOSING &amp; SCHEDULE</t>
        </is>
      </c>
      <c r="B114" s="20"/>
      <c r="C114" s="20"/>
      <c r="D114" s="20"/>
      <c r="E114" s="20"/>
      <c r="F114" s="20"/>
    </row>
    <row r="115" spans="1:6" x14ac:dyDescent="0.2">
      <c r="A115" s="20" t="s">
        <v>797</v>
      </c>
      <c r="B115" s="20" t="s">
        <v>1</v>
      </c>
      <c r="C115" s="20"/>
      <c r="D115" s="134" t="str">
        <f>Summary!$D$2</f>
        <v>ed04</v>
      </c>
      <c r="E115" s="20"/>
      <c r="F115" s="20"/>
    </row>
    <row r="116" spans="1:6" x14ac:dyDescent="0.2">
      <c r="A116" s="20" t="s">
        <v>798</v>
      </c>
      <c r="B116" s="20" t="s">
        <v>799</v>
      </c>
      <c r="C116" s="20"/>
      <c r="D116" s="162">
        <f>SUMPRODUCT(MAX(('CO2 flows'!$A$4:$A$201=Reactor)*('CO2 flows'!$J$4:$J$201&gt;0)*'CO2 flows'!$B$4:$B$201))</f>
        <v>46190.0</v>
      </c>
      <c r="E116" s="20"/>
      <c r="F116" s="20"/>
    </row>
    <row r="117" spans="1:6" x14ac:dyDescent="0.2">
      <c r="A117" s="20" t="s">
        <v>800</v>
      </c>
      <c r="B117" s="20" t="s">
        <v>801</v>
      </c>
      <c r="C117" s="20" t="inlineStr">
        <is>
          <t xml:space="preserve">mL/s</t>
        </is>
      </c>
      <c r="D117" s="162">
        <f>IF(ISNUMBER(cal_flow),cal_flow,SUMPRODUCT(('CO2 flows'!$A$4:$A$201=Reactor)*('CO2 flows'!$B$4:$B$201=latest_date)*'CO2 flows'!$J$4:$J$201)/MAX(1,SUMPRODUCT(('CO2 flows'!$A$4:$A$201=Reactor)*('CO2 flows'!$B$4:$B$201=latest_date)*('CO2 flows'!$J$4:$J$201&gt;0)*1)))</f>
        <v>3.33</v>
      </c>
      <c r="E117" s="160" t="inlineStr">
        <is>
          <t xml:space="preserve">Prefers the CO₂-flow calibration recorded on the Calibrations tab (cal_flow); falls back to the per-reactor table on the CO2 flows sheet when no calibration run is included.</t>
        </is>
      </c>
      <c r="F117" s="20"/>
    </row>
    <row r="118" spans="1:6" x14ac:dyDescent="0.2">
      <c r="A118" s="20" t="s">
        <v>802</v>
      </c>
      <c r="B118" s="20" t="s">
        <v>803</v>
      </c>
      <c r="C118" s="20" t="s">
        <v>13</v>
      </c>
      <c r="D118" s="162">
        <f>SUMPRODUCT(('CO2 flows'!$A$4:$A$201=Reactor)*('CO2 flows'!$B$4:$B$201=latest_date)*'CO2 flows'!$I$4:$I$201)/MAX(1,SUMPRODUCT(('CO2 flows'!$A$4:$A$201=Reactor)*('CO2 flows'!$B$4:$B$201=latest_date)*('CO2 flows'!$J$4:$J$201&gt;0)*1))</f>
        <v>0.25</v>
      </c>
      <c r="E118" s="20"/>
      <c r="F118" s="20"/>
    </row>
    <row r="119" spans="1:6" x14ac:dyDescent="0.2">
      <c r="A119" s="20" t="s">
        <v>804</v>
      </c>
      <c r="B119" s="20" t="s">
        <v>805</v>
      </c>
      <c r="C119" s="20" t="s">
        <v>806</v>
      </c>
      <c r="D119" s="162">
        <f>SUMPRODUCT(('CO2 flows'!$A$4:$A$201=Reactor)*('CO2 flows'!$J$4:$J$201&gt;0)*1)</f>
        <v>1.0</v>
      </c>
      <c r="E119" s="20"/>
      <c r="F119" s="20"/>
    </row>
    <row r="120" spans="1:6" x14ac:dyDescent="0.2">
      <c r="A120" s="20" t="s">
        <v>807</v>
      </c>
      <c r="B120" s="20" t="s">
        <v>808</v>
      </c>
      <c r="C120" s="20"/>
      <c r="D120" s="28" t="str">
        <f>IF(has_cal&gt;0,"calibrated: "&amp;Reactor,"NO CALIBRATION for "&amp;Reactor&amp;" - add a row in CO2 flows with nominal flowrate + minimum sparge")</f>
        <v>calibrated: ed04</v>
      </c>
      <c r="E120" s="20"/>
      <c r="F120" s="20"/>
    </row>
    <row r="121" spans="1:6" x14ac:dyDescent="0.2">
      <c r="A121" s="20" t="s">
        <v>809</v>
      </c>
      <c r="B121" s="20" t="s">
        <v>810</v>
      </c>
      <c r="C121" s="20" t="s">
        <v>13</v>
      </c>
      <c r="D121" s="28">
        <f>IF(AND(ISNUMBER(Summary!$G$13),Summary!$G$13&gt;0),Summary!$G$13,IF(sched_mode="Manual",spg_dur_man,spg_dur_opt))</f>
        <v>0.784513049825</v>
      </c>
      <c r="E121" s="20"/>
      <c r="F121" s="20"/>
    </row>
    <row r="122" spans="1:6" x14ac:dyDescent="0.2">
      <c r="A122" s="20" t="s">
        <v>811</v>
      </c>
      <c r="B122" s="20" t="s">
        <v>812</v>
      </c>
      <c r="C122" s="20" t="s">
        <v>67</v>
      </c>
      <c r="D122" s="28">
        <f>IF(AND(ISNUMBER(Summary!$G$15),Summary!$G$15&gt;0),Summary!$G$15,IF(sched_mode="Manual",spg_int_man,spg_int_opt))</f>
        <v>16.46036421628</v>
      </c>
      <c r="E122" s="20"/>
      <c r="F122" s="20"/>
    </row>
    <row r="123" spans="1:6" x14ac:dyDescent="0.2">
      <c r="A123" s="20" t="s">
        <v>813</v>
      </c>
      <c r="B123" s="20" t="s">
        <v>814</v>
      </c>
      <c r="C123" s="20" t="s">
        <v>815</v>
      </c>
      <c r="D123" s="28">
        <f>nCO2_rate*spg_dur</f>
        <v>0.0001067805170238</v>
      </c>
      <c r="E123" s="20"/>
      <c r="F123" s="20"/>
    </row>
    <row r="124" spans="1:6" x14ac:dyDescent="0.2">
      <c r="A124" s="20" t="s">
        <v>816</v>
      </c>
      <c r="B124" s="20" t="s">
        <v>817</v>
      </c>
      <c r="C124" s="20" t="s">
        <v>818</v>
      </c>
      <c r="D124" s="28">
        <f>60/spg_int</f>
        <v>3.645119829163</v>
      </c>
      <c r="E124" s="20"/>
      <c r="F124" s="20"/>
    </row>
    <row r="125" spans="1:6" x14ac:dyDescent="0.2">
      <c r="A125" s="20" t="s">
        <v>819</v>
      </c>
      <c r="B125" s="20" t="s">
        <v>820</v>
      </c>
      <c r="C125" s="20" t="s">
        <v>821</v>
      </c>
      <c r="D125" s="28">
        <f>pulses_h*24</f>
        <v>87.482875899902</v>
      </c>
      <c r="E125" s="20"/>
      <c r="F125" s="20"/>
    </row>
    <row r="126" spans="1:6" x14ac:dyDescent="0.2">
      <c r="A126" s="20" t="s">
        <v>822</v>
      </c>
      <c r="B126" s="20" t="s">
        <v>823</v>
      </c>
      <c r="C126" s="20" t="s">
        <v>110</v>
      </c>
      <c r="D126" s="28">
        <f>IF(CO2_cons&gt;0,CO2_supply/CO2_cons,NA())</f>
        <v>22.507425060931</v>
      </c>
      <c r="E126" s="20"/>
      <c r="F126" s="20"/>
    </row>
    <row r="127" spans="1:6" x14ac:dyDescent="0.2">
      <c r="A127" s="20" t="s">
        <v>824</v>
      </c>
      <c r="B127" s="20" t="s">
        <v>825</v>
      </c>
      <c r="C127" s="20" t="s">
        <v>815</v>
      </c>
      <c r="D127" s="28">
        <f>O2_excess/60*spg_int</f>
        <v>4.05343583838e-06</v>
      </c>
      <c r="E127" s="20"/>
      <c r="F127" s="20"/>
    </row>
    <row r="128" spans="1:6" x14ac:dyDescent="0.2">
      <c r="A128" s="20" t="s">
        <v>826</v>
      </c>
      <c r="B128" s="20" t="s">
        <v>827</v>
      </c>
      <c r="C128" s="20" t="s">
        <v>815</v>
      </c>
      <c r="D128" s="28">
        <f>strip_sparge/3600*spg_dur</f>
        <v>6.635009117477e-08</v>
      </c>
      <c r="E128" s="20"/>
      <c r="F128" s="20"/>
    </row>
    <row r="129" spans="1:6" x14ac:dyDescent="0.2">
      <c r="A129" s="20" t="s">
        <v>828</v>
      </c>
      <c r="B129" s="20" t="s">
        <v>829</v>
      </c>
      <c r="C129" s="20" t="s">
        <v>110</v>
      </c>
      <c r="D129" s="28">
        <f>IF(O2_accum&gt;0,O2_strip_pulse/O2_accum,NA())</f>
        <v>0.016368851962</v>
      </c>
      <c r="E129" s="20"/>
      <c r="F129" s="20"/>
    </row>
    <row r="130" spans="1:6" x14ac:dyDescent="0.2">
      <c r="A130" s="20" t="s">
        <v>830</v>
      </c>
      <c r="B130" s="20" t="s">
        <v>831</v>
      </c>
      <c r="C130" s="20"/>
      <c r="D130" s="28" t="str">
        <f>IF(spg_dur&gt;=pulse_floor,"OK","LOW")</f>
        <v>OK</v>
      </c>
      <c r="E130" s="20"/>
      <c r="F130" s="20"/>
    </row>
    <row r="131" spans="1:6" x14ac:dyDescent="0.2">
      <c r="A131" s="20" t="inlineStr">
        <is>
          <t xml:space="preserve">Critical surface kL_surf (DO held at the target DO)</t>
        </is>
      </c>
      <c r="B131" s="20" t="s">
        <v>833</v>
      </c>
      <c r="C131" s="20" t="s">
        <v>107</v>
      </c>
      <c r="D131" s="28">
        <f>kLa_surf_req/a_surf</f>
        <v>0.0001158581442306</v>
      </c>
      <c r="E131" s="147" t="s">
        <v>1825</v>
      </c>
      <c r="F131" s="20"/>
    </row>
    <row r="132" spans="1:6" ht="24" x14ac:dyDescent="0.2">
      <c r="A132" s="17" t="s">
        <v>989</v>
      </c>
      <c r="B132" s="18" t="s">
        <v>990</v>
      </c>
      <c r="C132" s="19" t="s">
        <v>991</v>
      </c>
      <c r="D132" s="28">
        <f>O2_net_gen</f>
        <v>4.936187056172e-05</v>
      </c>
      <c r="E132" s="69" t="s">
        <v>992</v>
      </c>
      <c r="F132" s="20"/>
    </row>
    <row r="133" spans="1:6" x14ac:dyDescent="0.2">
      <c r="A133" s="17" t="s">
        <v>993</v>
      </c>
      <c r="B133" s="18" t="s">
        <v>994</v>
      </c>
      <c r="C133" s="19" t="s">
        <v>995</v>
      </c>
      <c r="D133" s="28">
        <f>DO_hs_floor+DO_surf_excess</f>
        <v>0.08246973913</v>
      </c>
      <c r="E133" s="69" t="s">
        <v>1823</v>
      </c>
      <c r="F133" s="20"/>
    </row>
    <row r="134" spans="1:6" ht="48" x14ac:dyDescent="0.2">
      <c r="A134" s="20" t="s">
        <v>996</v>
      </c>
      <c r="B134" s="20" t="s">
        <v>997</v>
      </c>
      <c r="C134" s="20" t="s">
        <v>998</v>
      </c>
      <c r="D134" s="28" t="str">
        <f>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16.5 min; confirm by measuring kL_surf</v>
      </c>
      <c r="E134" s="69" t="inlineStr">
        <is>
          <t xml:space="preserve">Whether the dissolved-O₂ target is reachable at all, and whether the surface coefficient behind that verdict has been measured or is still the ~375%-uncertain estimate.</t>
        </is>
      </c>
      <c r="F134" s="20"/>
    </row>
    <row r="135" spans="1:6" ht="24" x14ac:dyDescent="0.2">
      <c r="A135" s="20" t="s">
        <v>999</v>
      </c>
      <c r="B135" s="20" t="s">
        <v>1000</v>
      </c>
      <c r="C135" s="20" t="s">
        <v>1001</v>
      </c>
      <c r="D135" s="28">
        <f>DO_hs_floor+DO_surf_excess_lag</f>
        <v>0.171425791807</v>
      </c>
      <c r="E135" s="69" t="s">
        <v>1824</v>
      </c>
      <c r="F135" s="20"/>
    </row>
    <row r="137" spans="1:6" x14ac:dyDescent="0.2">
      <c r="A137" s="20" t="s">
        <v>1134</v>
      </c>
      <c r="B137" s="20"/>
      <c r="C137" s="20"/>
      <c r="D137" s="20"/>
      <c r="E137" s="20" t="s">
        <v>1135</v>
      </c>
      <c r="F137" s="20"/>
    </row>
    <row r="138" spans="1:6" x14ac:dyDescent="0.2">
      <c r="A138" s="17" t="s">
        <v>1136</v>
      </c>
      <c r="B138" s="18" t="s">
        <v>1137</v>
      </c>
      <c r="C138" s="19" t="s">
        <v>577</v>
      </c>
      <c r="D138" s="141">
        <f>D_CO2_ref*EXP(-Ea_D_CO2/R_gas*(1/T_K-1/T_ref))</f>
        <v>1.92e-09</v>
      </c>
      <c r="E138" s="67" t="s">
        <v>1788</v>
      </c>
      <c r="F138" s="20"/>
    </row>
    <row r="139" spans="1:6" x14ac:dyDescent="0.2">
      <c r="A139" s="17" t="s">
        <v>1159</v>
      </c>
      <c r="B139" s="18" t="s">
        <v>1138</v>
      </c>
      <c r="C139" s="19" t="s">
        <v>62</v>
      </c>
      <c r="D139" s="131">
        <v>40</v>
      </c>
      <c r="E139" s="67" t="s">
        <v>1160</v>
      </c>
      <c r="F139" s="20"/>
    </row>
    <row r="140" spans="1:6" x14ac:dyDescent="0.2">
      <c r="A140" s="17" t="s">
        <v>1161</v>
      </c>
      <c r="B140" s="18" t="s">
        <v>1162</v>
      </c>
      <c r="C140" s="19" t="s">
        <v>1163</v>
      </c>
      <c r="D140" s="48">
        <f>headspace_V/1000000</f>
        <v>2.612428455917e-06</v>
      </c>
      <c r="E140" s="67" t="s">
        <v>1164</v>
      </c>
      <c r="F140" s="20"/>
    </row>
    <row r="141" spans="1:6" x14ac:dyDescent="0.2">
      <c r="A141" s="17" t="s">
        <v>1165</v>
      </c>
      <c r="B141" s="18" t="s">
        <v>1166</v>
      </c>
      <c r="C141" s="19" t="s">
        <v>1163</v>
      </c>
      <c r="D141" s="48">
        <f>V_charge/1000000</f>
        <v>1.5e-05</v>
      </c>
      <c r="E141" s="67" t="s">
        <v>1167</v>
      </c>
      <c r="F141" s="20"/>
    </row>
    <row r="142" spans="1:6" ht="36" x14ac:dyDescent="0.2">
      <c r="A142" s="17" t="s">
        <v>1168</v>
      </c>
      <c r="B142" s="18" t="s">
        <v>1169</v>
      </c>
      <c r="C142" s="19" t="s">
        <v>361</v>
      </c>
      <c r="D142" s="131">
        <v>0.5</v>
      </c>
      <c r="E142" s="69" t="s">
        <v>1170</v>
      </c>
      <c r="F142" s="20"/>
    </row>
    <row r="143" spans="1:6" x14ac:dyDescent="0.2">
      <c r="A143" s="17" t="s">
        <v>1171</v>
      </c>
      <c r="B143" s="18" t="s">
        <v>1172</v>
      </c>
      <c r="C143" s="19" t="s">
        <v>639</v>
      </c>
      <c r="D143" s="48">
        <f>(Q_vent/1000000/60)/headspace_V_m3</f>
        <v>0.003189880019</v>
      </c>
      <c r="E143" s="67" t="s">
        <v>1173</v>
      </c>
      <c r="F143" s="20"/>
    </row>
    <row r="144" spans="1:6" x14ac:dyDescent="0.2">
      <c r="A144" s="17" t="s">
        <v>1174</v>
      </c>
      <c r="B144" s="18" t="s">
        <v>1175</v>
      </c>
      <c r="C144" s="19" t="s">
        <v>67</v>
      </c>
      <c r="D144" s="48">
        <f>headspace_V_m3/(Q_vent/1000000/60)/60</f>
        <v>5.224856911834</v>
      </c>
      <c r="E144" s="67" t="s">
        <v>1176</v>
      </c>
      <c r="F144" s="20"/>
    </row>
    <row r="145" spans="1:6" x14ac:dyDescent="0.2">
      <c r="A145" s="17" t="s">
        <v>1139</v>
      </c>
      <c r="B145" s="18" t="s">
        <v>1140</v>
      </c>
      <c r="C145" s="19" t="s">
        <v>460</v>
      </c>
      <c r="D145" s="48">
        <f>Biology!$D$31*P_atm</f>
        <v>33.43725</v>
      </c>
      <c r="E145" s="67" t="s">
        <v>1177</v>
      </c>
      <c r="F145" s="20"/>
    </row>
    <row r="146" spans="1:6" x14ac:dyDescent="0.2">
      <c r="A146" s="17" t="s">
        <v>1141</v>
      </c>
      <c r="B146" s="18" t="s">
        <v>1142</v>
      </c>
      <c r="C146" s="19" t="s">
        <v>460</v>
      </c>
      <c r="D146" s="48">
        <f>Biology!$D$31*pCO2_air</f>
        <v>0.0132</v>
      </c>
      <c r="E146" s="67" t="s">
        <v>1178</v>
      </c>
      <c r="F146" s="20"/>
    </row>
    <row r="147" spans="1:6" x14ac:dyDescent="0.2">
      <c r="A147" s="17" t="s">
        <v>1179</v>
      </c>
      <c r="B147" s="18" t="s">
        <v>1143</v>
      </c>
      <c r="C147" s="19" t="s">
        <v>135</v>
      </c>
      <c r="D147" s="48">
        <f>SQRT(D_CO2/D_O2)</f>
        <v>0.9803665585</v>
      </c>
      <c r="E147" s="67" t="s">
        <v>1180</v>
      </c>
      <c r="F147" s="20"/>
    </row>
    <row r="148" spans="1:6" x14ac:dyDescent="0.2">
      <c r="A148" s="17" t="s">
        <v>1181</v>
      </c>
      <c r="B148" s="18" t="s">
        <v>1144</v>
      </c>
      <c r="C148" s="19" t="s">
        <v>639</v>
      </c>
      <c r="D148" s="48">
        <f>kLa_surf*sqrtD_CO2</f>
        <v>0.007058740843</v>
      </c>
      <c r="E148" s="67" t="s">
        <v>1182</v>
      </c>
      <c r="F148" s="20"/>
    </row>
    <row r="149" spans="1:6" x14ac:dyDescent="0.2">
      <c r="A149" s="17" t="s">
        <v>1183</v>
      </c>
      <c r="B149" s="18" t="s">
        <v>1184</v>
      </c>
      <c r="C149" s="19" t="s">
        <v>67</v>
      </c>
      <c r="D149" s="48">
        <f>1/kLa_CO2_off/60</f>
        <v>2.361138769205</v>
      </c>
      <c r="E149" s="67" t="s">
        <v>1185</v>
      </c>
      <c r="F149" s="20"/>
    </row>
    <row r="150" spans="1:6" x14ac:dyDescent="0.2">
      <c r="A150" s="17" t="s">
        <v>1186</v>
      </c>
      <c r="B150" s="18" t="s">
        <v>1187</v>
      </c>
      <c r="C150" s="19" t="s">
        <v>815</v>
      </c>
      <c r="D150" s="48">
        <f>P_atm*headspace_V_m3/(R_gas*T_K)</f>
        <v>0.0001067805170238</v>
      </c>
      <c r="E150" s="67" t="s">
        <v>1188</v>
      </c>
      <c r="F150" s="20"/>
    </row>
    <row r="151" spans="1:6" x14ac:dyDescent="0.2">
      <c r="A151" s="17" t="s">
        <v>1145</v>
      </c>
      <c r="B151" s="18" t="s">
        <v>1146</v>
      </c>
      <c r="C151" s="19" t="s">
        <v>13</v>
      </c>
      <c r="D151" s="48">
        <f>spg_dur</f>
        <v>0.784513049825</v>
      </c>
      <c r="E151" s="67" t="s">
        <v>1189</v>
      </c>
      <c r="F151" s="20"/>
    </row>
    <row r="152" spans="1:6" x14ac:dyDescent="0.2">
      <c r="A152" s="17" t="s">
        <v>1147</v>
      </c>
      <c r="B152" s="18" t="s">
        <v>1148</v>
      </c>
      <c r="C152" s="19" t="s">
        <v>13</v>
      </c>
      <c r="D152" s="48">
        <f>MAX(0,spg_int*60-spg_dur)</f>
        <v>986.837339926971</v>
      </c>
      <c r="E152" s="67" t="s">
        <v>1190</v>
      </c>
      <c r="F152" s="20"/>
    </row>
    <row r="153" spans="1:6" ht="24" x14ac:dyDescent="0.2">
      <c r="A153" s="17" t="s">
        <v>1191</v>
      </c>
      <c r="B153" s="18" t="s">
        <v>1192</v>
      </c>
      <c r="C153" s="19" t="s">
        <v>135</v>
      </c>
      <c r="D153" s="48">
        <f>EXP(-kLa_CO2_off*t_on_CO2)</f>
        <v>0.994477630348</v>
      </c>
      <c r="E153" s="67" t="s">
        <v>1860</v>
      </c>
      <c r="F153" s="20"/>
    </row>
    <row r="154" spans="1:6" x14ac:dyDescent="0.2">
      <c r="A154" s="17" t="s">
        <v>1193</v>
      </c>
      <c r="B154" s="18" t="s">
        <v>1194</v>
      </c>
      <c r="C154" s="19" t="s">
        <v>135</v>
      </c>
      <c r="D154" s="48">
        <f>EXP(-kLa_CO2_off*t_off_CO2)</f>
        <v>0.0009435803483064</v>
      </c>
      <c r="E154" s="67" t="s">
        <v>1195</v>
      </c>
      <c r="F154" s="20"/>
    </row>
    <row r="155" spans="1:6" x14ac:dyDescent="0.2">
      <c r="A155" s="17" t="s">
        <v>1196</v>
      </c>
      <c r="B155" s="18" t="s">
        <v>1197</v>
      </c>
      <c r="C155" s="19" t="s">
        <v>135</v>
      </c>
      <c r="D155" s="48">
        <f>EXP(-k_vent*t_off_CO2)</f>
        <v>0.042942523813</v>
      </c>
      <c r="E155" s="67" t="s">
        <v>1198</v>
      </c>
      <c r="F155" s="20"/>
    </row>
    <row r="156" spans="1:6" ht="24" x14ac:dyDescent="0.2">
      <c r="A156" s="17" t="s">
        <v>1199</v>
      </c>
      <c r="B156" s="18" t="s">
        <v>1200</v>
      </c>
      <c r="C156" s="19" t="s">
        <v>460</v>
      </c>
      <c r="D156" s="48">
        <f>(C_sat_CO2-C_air_CO2)*kLa_CO2_off/(kLa_CO2_off-k_vent)</f>
        <v>60.982216114206</v>
      </c>
      <c r="E156" s="67" t="s">
        <v>1861</v>
      </c>
      <c r="F156" s="20"/>
    </row>
    <row r="157" spans="1:6" x14ac:dyDescent="0.2">
      <c r="A157" s="17" t="s">
        <v>1201</v>
      </c>
      <c r="B157" s="18" t="s">
        <v>1202</v>
      </c>
      <c r="C157" s="19" t="s">
        <v>460</v>
      </c>
      <c r="D157" s="48">
        <f>(e1_CO2*C_sat_CO2*(1-eon_CO2)+C_air_CO2*(1-e1_CO2)+coef_CO2*(e2_CO2-e1_CO2))/(1-e1_CO2*eon_CO2)</f>
        <v>2.576968575334</v>
      </c>
      <c r="E157" s="67" t="s">
        <v>1862</v>
      </c>
      <c r="F157" s="20"/>
    </row>
    <row r="158" spans="1:6" x14ac:dyDescent="0.2">
      <c r="A158" s="17" t="s">
        <v>1203</v>
      </c>
      <c r="B158" s="18" t="s">
        <v>1204</v>
      </c>
      <c r="C158" s="19" t="s">
        <v>460</v>
      </c>
      <c r="D158" s="48">
        <f>C_sat_CO2+(Ca_CO2-C_sat_CO2)*eon_CO2</f>
        <v>2.747390456932</v>
      </c>
      <c r="E158" s="67" t="s">
        <v>1863</v>
      </c>
      <c r="F158" s="20"/>
    </row>
    <row r="159" spans="1:6" x14ac:dyDescent="0.2">
      <c r="A159" s="17" t="s">
        <v>1205</v>
      </c>
      <c r="B159" s="18" t="s">
        <v>1149</v>
      </c>
      <c r="C159" s="19" t="s">
        <v>1150</v>
      </c>
      <c r="D159" s="48">
        <f>C_sat_CO2*t_on_CO2+(Ca_CO2-C_sat_CO2)/kLa_CO2_off*(1-eon_CO2)</f>
        <v>2.088576269438</v>
      </c>
      <c r="E159" s="67" t="s">
        <v>1206</v>
      </c>
      <c r="F159" s="20"/>
    </row>
    <row r="160" spans="1:6" x14ac:dyDescent="0.2">
      <c r="A160" s="17" t="s">
        <v>1207</v>
      </c>
      <c r="B160" s="18" t="s">
        <v>1151</v>
      </c>
      <c r="C160" s="19" t="s">
        <v>1150</v>
      </c>
      <c r="D160" s="48">
        <f>C_air_CO2*t_off_CO2+(Cb_CO2-C_air_CO2)/kLa_CO2_off*(1-e1_CO2)+coef_CO2*((1-e2_CO2)/k_vent-(1-e1_CO2)/kLa_CO2_off)</f>
        <v>10065.36403274</v>
      </c>
      <c r="E160" s="67" t="s">
        <v>1208</v>
      </c>
      <c r="F160" s="20"/>
    </row>
    <row r="161" spans="1:6" ht="36" x14ac:dyDescent="0.2">
      <c r="A161" s="17" t="s">
        <v>1152</v>
      </c>
      <c r="B161" s="18" t="s">
        <v>1153</v>
      </c>
      <c r="C161" s="19" t="s">
        <v>460</v>
      </c>
      <c r="D161" s="48">
        <f>(CO2_int_on+CO2_int_off)/(t_on_CO2+t_off_CO2)</f>
        <v>10.193630870628</v>
      </c>
      <c r="E161" s="67" t="s">
        <v>1864</v>
      </c>
      <c r="F161" s="20"/>
    </row>
    <row r="162" spans="1:6" ht="24" x14ac:dyDescent="0.2">
      <c r="A162" s="17" t="s">
        <v>1154</v>
      </c>
      <c r="B162" s="18" t="s">
        <v>1155</v>
      </c>
      <c r="C162" s="19" t="s">
        <v>487</v>
      </c>
      <c r="D162" s="48">
        <f>MIN(C_sat_CO2,MAX(C_air_CO2,CO2_cyc_avg_new))/1000</f>
        <v>0.008590210622</v>
      </c>
      <c r="E162" s="67" t="s">
        <v>1859</v>
      </c>
      <c r="F162" s="20"/>
    </row>
    <row r="163" spans="1:6" x14ac:dyDescent="0.2">
      <c r="A163" s="17" t="s">
        <v>1209</v>
      </c>
      <c r="B163" s="18" t="s">
        <v>1210</v>
      </c>
      <c r="C163" s="19" t="s">
        <v>135</v>
      </c>
      <c r="D163" s="48" t="str">
        <f>IF(tau_hs&gt;=tau_surf_floor,"vent is slow path - OK","WARNING: surface clears faster than vent - run2 cannot stay acidic")</f>
        <v>vent is slow path - OK</v>
      </c>
      <c r="E163" s="67" t="s">
        <v>1211</v>
      </c>
      <c r="F163" s="20"/>
    </row>
    <row r="164" spans="1:6" x14ac:dyDescent="0.2">
      <c r="A164" s="17" t="s">
        <v>1156</v>
      </c>
      <c r="B164" s="18" t="s">
        <v>1157</v>
      </c>
      <c r="C164" s="19" t="s">
        <v>135</v>
      </c>
      <c r="D164" s="48" t="str">
        <f>IF(spg_int*60&gt;=spg_dur,"OK","INVALID: interval &lt; pulse")</f>
        <v>OK</v>
      </c>
      <c r="E164" s="67" t="s">
        <v>1212</v>
      </c>
      <c r="F164" s="20"/>
    </row>
    <row r="166" spans="1:6" x14ac:dyDescent="0.2">
      <c r="A166" s="5" t="inlineStr">
        <is>
          <t xml:space="preserve">TEMPERATURE-DEPENDENT WATER PROPERTIES</t>
        </is>
      </c>
    </row>
    <row r="167" spans="1:6" ht="24" x14ac:dyDescent="0.2">
      <c r="A167" t="s">
        <v>1758</v>
      </c>
      <c r="B167" s="18" t="s">
        <v>1759</v>
      </c>
      <c r="C167" s="19" t="s">
        <v>567</v>
      </c>
      <c r="D167" s="146">
        <v>7.5889999999999999E-2</v>
      </c>
      <c r="E167" s="99" t="s">
        <v>1760</v>
      </c>
    </row>
    <row r="168" spans="1:6" x14ac:dyDescent="0.2">
      <c r="A168" t="s">
        <v>1761</v>
      </c>
      <c r="B168" s="18" t="s">
        <v>1762</v>
      </c>
      <c r="C168" s="19" t="s">
        <v>1763</v>
      </c>
      <c r="D168" s="146">
        <v>-1.5699999999999999E-4</v>
      </c>
      <c r="E168" s="99" t="s">
        <v>1764</v>
      </c>
    </row>
    <row r="169" spans="1:6" x14ac:dyDescent="0.2">
      <c r="A169" t="s">
        <v>1765</v>
      </c>
      <c r="B169" s="18" t="s">
        <v>1766</v>
      </c>
      <c r="C169" s="19" t="s">
        <v>570</v>
      </c>
      <c r="D169" s="146">
        <v>1003.33</v>
      </c>
      <c r="E169" s="99" t="s">
        <v>1767</v>
      </c>
    </row>
    <row r="170" spans="1:6" x14ac:dyDescent="0.2">
      <c r="A170" t="s">
        <v>1768</v>
      </c>
      <c r="B170" s="18" t="s">
        <v>1769</v>
      </c>
      <c r="C170" s="19" t="s">
        <v>1770</v>
      </c>
      <c r="D170" s="146">
        <v>-0.25559999999999999</v>
      </c>
      <c r="E170" s="99" t="s">
        <v>1764</v>
      </c>
    </row>
    <row r="171" spans="1:6" ht="24" x14ac:dyDescent="0.2">
      <c r="A171" t="s">
        <v>1771</v>
      </c>
      <c r="B171" s="18" t="s">
        <v>1772</v>
      </c>
      <c r="C171" s="19" t="s">
        <v>1274</v>
      </c>
      <c r="D171" s="146">
        <v>-4.41</v>
      </c>
      <c r="E171" s="99" t="inlineStr">
        <is>
          <t xml:space="preserve">Han &amp; Bartels (1996): log₁₀(D[cm²/s]) = a + b/T − (c/T)², evaluated at the reactor temperature.</t>
        </is>
      </c>
    </row>
    <row r="172" spans="1:6" x14ac:dyDescent="0.2">
      <c r="A172" t="s">
        <v>1774</v>
      </c>
      <c r="B172" s="18" t="s">
        <v>1775</v>
      </c>
      <c r="C172" s="19" t="s">
        <v>843</v>
      </c>
      <c r="D172" s="146">
        <v>773.8</v>
      </c>
      <c r="E172" s="99" t="s">
        <v>1764</v>
      </c>
    </row>
    <row r="173" spans="1:6" x14ac:dyDescent="0.2">
      <c r="A173" t="s">
        <v>1776</v>
      </c>
      <c r="B173" s="18" t="s">
        <v>1777</v>
      </c>
      <c r="C173" s="19" t="s">
        <v>843</v>
      </c>
      <c r="D173" s="146">
        <v>506.4</v>
      </c>
      <c r="E173" s="99" t="s">
        <v>1764</v>
      </c>
    </row>
    <row r="174" spans="1:6" x14ac:dyDescent="0.2">
      <c r="A174" t="s">
        <v>1778</v>
      </c>
      <c r="B174" s="18" t="s">
        <v>1779</v>
      </c>
      <c r="C174" s="19" t="s">
        <v>577</v>
      </c>
      <c r="D174" s="146">
        <v>1.92E-9</v>
      </c>
      <c r="E174" s="67" t="s">
        <v>1780</v>
      </c>
    </row>
    <row r="175" spans="1:6" ht="24" x14ac:dyDescent="0.2">
      <c r="A175" t="s">
        <v>1781</v>
      </c>
      <c r="B175" s="18" t="s">
        <v>1782</v>
      </c>
      <c r="C175" s="19" t="s">
        <v>1783</v>
      </c>
      <c r="D175" s="146">
        <v>19000</v>
      </c>
      <c r="E175" s="67" t="s">
        <v>1784</v>
      </c>
    </row>
    <row r="177" spans="1:5" x14ac:dyDescent="0.2">
      <c r="A177" s="5" t="inlineStr">
        <is>
          <t xml:space="preserve">HEADSPACE O₂ BALANCE AND THE DO-LIMITED INTERVAL</t>
        </is>
      </c>
    </row>
    <row r="178" spans="1:5" ht="24" x14ac:dyDescent="0.2">
      <c r="A178" t="s">
        <v>1790</v>
      </c>
      <c r="B178" s="18" t="s">
        <v>1791</v>
      </c>
      <c r="C178" s="19" t="s">
        <v>991</v>
      </c>
      <c r="D178" s="141">
        <f>nCO2_rate*3600</f>
        <v>0.489998045758</v>
      </c>
      <c r="E178" s="99" t="s">
        <v>1792</v>
      </c>
    </row>
    <row r="179" spans="1:5" x14ac:dyDescent="0.2">
      <c r="A179" t="s">
        <v>1793</v>
      </c>
      <c r="B179" s="18" t="s">
        <v>1794</v>
      </c>
      <c r="C179" s="19" t="s">
        <v>1001</v>
      </c>
      <c r="D179" s="141">
        <f>target_DO_frac*O2_ceil_C</f>
        <v>0.08246973913</v>
      </c>
      <c r="E179" s="99" t="s">
        <v>1795</v>
      </c>
    </row>
    <row r="180" spans="1:5" ht="36" x14ac:dyDescent="0.2">
      <c r="A180" t="s">
        <v>1796</v>
      </c>
      <c r="B180" s="18" t="s">
        <v>1797</v>
      </c>
      <c r="C180" s="19" t="s">
        <v>1001</v>
      </c>
      <c r="D180" s="141">
        <f>O2_excess/(kLa_surf_used*3600*(V_charge/1000000))</f>
        <v>0.038001663161</v>
      </c>
      <c r="E180" s="67" t="s">
        <v>1798</v>
      </c>
    </row>
    <row r="181" spans="1:5" x14ac:dyDescent="0.2">
      <c r="A181" t="s">
        <v>1799</v>
      </c>
      <c r="B181" s="18" t="s">
        <v>1800</v>
      </c>
      <c r="C181" s="19" t="s">
        <v>1001</v>
      </c>
      <c r="D181" s="141">
        <f>O2_net_gen/(kLa_surf_used*3600*(V_charge/1000000))</f>
        <v>0.126957715838</v>
      </c>
      <c r="E181" s="67" t="s">
        <v>1801</v>
      </c>
    </row>
    <row r="182" spans="1:5" ht="36" x14ac:dyDescent="0.2">
      <c r="A182" t="s">
        <v>1802</v>
      </c>
      <c r="B182" s="18" t="s">
        <v>1803</v>
      </c>
      <c r="C182" s="19" t="s">
        <v>1001</v>
      </c>
      <c r="D182" s="141">
        <f>DO_target-DO_surf_excess</f>
        <v>0.04446807597</v>
      </c>
      <c r="E182" s="67" t="s">
        <v>1804</v>
      </c>
    </row>
    <row r="183" spans="1:5" ht="24" x14ac:dyDescent="0.2">
      <c r="A183" t="s">
        <v>1805</v>
      </c>
      <c r="B183" s="18" t="s">
        <v>1806</v>
      </c>
      <c r="C183" s="19" t="s">
        <v>1274</v>
      </c>
      <c r="D183" s="141">
        <f>IF(hs_O2_allow&gt;0,hs_O2_allow/(H_O2_T*P_atm),NA())</f>
        <v>0.036572149</v>
      </c>
      <c r="E183" s="67" t="s">
        <v>1807</v>
      </c>
    </row>
    <row r="184" spans="1:5" ht="48" x14ac:dyDescent="0.2">
      <c r="A184" t="s">
        <v>1808</v>
      </c>
      <c r="B184" s="18" t="s">
        <v>1809</v>
      </c>
      <c r="C184" s="19" t="s">
        <v>1274</v>
      </c>
      <c r="D184" s="141">
        <f>IF(ISNUMBER(y_O2_star),O2_excess*(1-y_O2_star)/(y_O2_star*CO2_rate_full),NA())</f>
        <v>0.0007943455761538</v>
      </c>
      <c r="E184" s="67" t="inlineStr">
        <is>
          <t xml:space="preserve">At steady state everything entering the headspace leaves through the vent, so the vent-gas composition is the flux composition: y = O₂ flux/(O₂ flux + CO₂ flux). Solving for the CO₂ flux that dilutes oxygen to y* gives this duty. Unlike duty_O2vent (D87), it accounts for the surface-transfer excess and the (1−y) term.</t>
        </is>
      </c>
    </row>
    <row r="185" spans="1:5" ht="24" x14ac:dyDescent="0.2">
      <c r="A185" t="s">
        <v>1811</v>
      </c>
      <c r="B185" s="18" t="s">
        <v>1812</v>
      </c>
      <c r="C185" s="19" t="s">
        <v>962</v>
      </c>
      <c r="D185" s="141">
        <f>IF(ISNUMBER(duty_DO),IF(duty_DO&gt;0,spg_dur_opt/(60*duty_DO),spg_int_carbon),NA())</f>
        <v>16.46036421628</v>
      </c>
      <c r="E185" s="67" t="s">
        <v>1813</v>
      </c>
    </row>
    <row r="186" spans="1:5" ht="36" x14ac:dyDescent="0.2">
      <c r="A186" t="s">
        <v>1814</v>
      </c>
      <c r="B186" s="18" t="s">
        <v>1815</v>
      </c>
      <c r="C186" s="19" t="s">
        <v>639</v>
      </c>
      <c r="D186" s="141">
        <f>O2_excess/(DO_target*3600*(V_charge/1000000))</f>
        <v>0.003317773486</v>
      </c>
      <c r="E186" s="67" t="s">
        <v>1816</v>
      </c>
    </row>
    <row r="187" spans="1:5" ht="36" x14ac:dyDescent="0.2">
      <c r="A187" t="s">
        <v>1817</v>
      </c>
      <c r="B187" s="18" t="s">
        <v>1818</v>
      </c>
      <c r="C187" s="19" t="s">
        <v>1274</v>
      </c>
      <c r="D187" s="141">
        <f>IF(CO2_supply&gt;0,O2_excess/(O2_excess+CO2_supply),NA())</f>
        <v>0.036572149</v>
      </c>
      <c r="E187" s="67" t="s">
        <v>1819</v>
      </c>
    </row>
    <row r="188" spans="1:5" ht="36" x14ac:dyDescent="0.2">
      <c r="A188" t="s">
        <v>1820</v>
      </c>
      <c r="B188" s="18" t="s">
        <v>1821</v>
      </c>
      <c r="C188" s="19" t="s">
        <v>1001</v>
      </c>
      <c r="D188" s="141">
        <f>IF(ISNUMBER(y_O2_actual),H_O2_T*y_O2_actual*P_atm,NA())</f>
        <v>0.04446807597</v>
      </c>
      <c r="E188" s="67" t="s">
        <v>1822</v>
      </c>
    </row>
    <row r="190" spans="1:5" x14ac:dyDescent="0.2">
      <c r="A190" s="5" t="inlineStr">
        <is>
          <t xml:space="preserve">CO₂ LIMIT CYCLE – mass-conserving form (supersedes the uncoupled block above)</t>
        </is>
      </c>
    </row>
    <row r="191" spans="1:5" x14ac:dyDescent="0.2">
      <c r="A191" t="s">
        <v>1830</v>
      </c>
      <c r="B191" s="18" t="s">
        <v>1831</v>
      </c>
      <c r="C191" s="19" t="s">
        <v>440</v>
      </c>
      <c r="D191" s="141">
        <f>Biology!$D$31</f>
        <v>0.00033</v>
      </c>
      <c r="E191" s="67" t="s">
        <v>1832</v>
      </c>
    </row>
    <row r="192" spans="1:5" ht="24" x14ac:dyDescent="0.2">
      <c r="A192" t="s">
        <v>1833</v>
      </c>
      <c r="B192" s="18" t="s">
        <v>1834</v>
      </c>
      <c r="C192" s="19" t="s">
        <v>1163</v>
      </c>
      <c r="D192" s="141">
        <f>headspace_V_m3/(hs_H_CO2*R_gas*T_K)</f>
        <v>3.193459899477e-06</v>
      </c>
      <c r="E192" s="99" t="s">
        <v>1835</v>
      </c>
    </row>
    <row r="193" spans="1:5" x14ac:dyDescent="0.2">
      <c r="A193" t="s">
        <v>1836</v>
      </c>
      <c r="B193" s="18" t="s">
        <v>1837</v>
      </c>
      <c r="C193" s="19" t="s">
        <v>1274</v>
      </c>
      <c r="D193" s="141">
        <f>V_L_m3/(V_L_m3+Vg_CO2)</f>
        <v>0.824472095076</v>
      </c>
      <c r="E193" s="99" t="s">
        <v>1838</v>
      </c>
    </row>
    <row r="194" spans="1:5" ht="48" x14ac:dyDescent="0.2">
      <c r="A194" t="s">
        <v>1839</v>
      </c>
      <c r="B194" s="18" t="s">
        <v>1840</v>
      </c>
      <c r="C194" s="19" t="s">
        <v>1001</v>
      </c>
      <c r="D194" s="141">
        <f>CO2_pulse/(V_L_m3+Vg_CO2)</f>
        <v>5.869170438925</v>
      </c>
      <c r="E194" s="99" t="inlineStr">
        <is>
          <t xml:space="preserve">The CO₂ actually delivered per pulse (D123, which follows any manual or Summary override), spread over the pooled liquid+headspace capacity: the mass-conservation constraint. It reads the delivered pulse rather than one nominal headspace flush, so an overridden pulse length charges the cycle correctly.</t>
        </is>
      </c>
    </row>
    <row r="195" spans="1:5" ht="24" x14ac:dyDescent="0.2">
      <c r="A195" t="s">
        <v>1841</v>
      </c>
      <c r="B195" s="18" t="s">
        <v>1842</v>
      </c>
      <c r="C195" s="19" t="s">
        <v>639</v>
      </c>
      <c r="D195" s="141">
        <f>k_vent*Vg_CO2/(V_L_m3+Vg_CO2)</f>
        <v>0.000559912956744</v>
      </c>
      <c r="E195" s="99" t="s">
        <v>1843</v>
      </c>
    </row>
    <row r="196" spans="1:5" ht="36" x14ac:dyDescent="0.2">
      <c r="A196" t="s">
        <v>1844</v>
      </c>
      <c r="B196" s="18" t="s">
        <v>1845</v>
      </c>
      <c r="C196" s="19" t="s">
        <v>110</v>
      </c>
      <c r="D196" s="141">
        <f>(kLa_CO2_off*V_L_m3/Vg_CO2)/k_vent</f>
        <v>10.393999248454</v>
      </c>
      <c r="E196" s="67" t="s">
        <v>1846</v>
      </c>
    </row>
    <row r="197" spans="1:5" x14ac:dyDescent="0.2">
      <c r="A197" t="s">
        <v>1847</v>
      </c>
      <c r="B197" s="18" t="s">
        <v>1848</v>
      </c>
      <c r="C197" s="19" t="s">
        <v>1274</v>
      </c>
      <c r="D197" s="141">
        <f>EXP(-k_eff_CO2*t_off_CO2)</f>
        <v>0.575484483576</v>
      </c>
      <c r="E197" s="99" t="s">
        <v>1849</v>
      </c>
    </row>
    <row r="198" spans="1:5" x14ac:dyDescent="0.2">
      <c r="A198" t="s">
        <v>1850</v>
      </c>
      <c r="B198" s="18" t="s">
        <v>1851</v>
      </c>
      <c r="C198" s="19" t="s">
        <v>1001</v>
      </c>
      <c r="D198" s="141">
        <f>(C_air_CO2*(1-pool_e)+pool_b*pool_e)/(1-pool_a*pool_e)</f>
        <v>6.437740764668</v>
      </c>
      <c r="E198" s="99" t="s">
        <v>1852</v>
      </c>
    </row>
    <row r="199" spans="1:5" ht="24" x14ac:dyDescent="0.2">
      <c r="A199" t="s">
        <v>1853</v>
      </c>
      <c r="B199" s="18" t="s">
        <v>1854</v>
      </c>
      <c r="C199" s="19" t="s">
        <v>1001</v>
      </c>
      <c r="D199" s="141">
        <f>pool_a*C_cycle_start+pool_b</f>
        <v>11.176908054727</v>
      </c>
      <c r="E199" s="99" t="s">
        <v>1855</v>
      </c>
    </row>
    <row r="200" spans="1:5" x14ac:dyDescent="0.2">
      <c r="A200" t="s">
        <v>1856</v>
      </c>
      <c r="B200" s="18" t="s">
        <v>1857</v>
      </c>
      <c r="C200" s="19" t="s">
        <v>1001</v>
      </c>
      <c r="D200" s="141">
        <f>C_air_CO2+(C_cycle_peak-C_air_CO2)*(1-pool_e)/(k_eff_CO2*t_off_CO2)</f>
        <v>8.59021062192</v>
      </c>
      <c r="E200" s="99" t="s">
        <v>1858</v>
      </c>
    </row>
    <row r="202" spans="1:5" x14ac:dyDescent="0.2">
      <c r="A202" s="5" t="s">
        <v>1912</v>
      </c>
    </row>
    <row r="203" spans="1:5" ht="24" x14ac:dyDescent="0.2">
      <c r="A203" t="s">
        <v>1913</v>
      </c>
      <c r="B203" s="18" t="s">
        <v>1914</v>
      </c>
      <c r="C203" s="19" t="s">
        <v>62</v>
      </c>
      <c r="D203" s="146">
        <v>610.94000000000005</v>
      </c>
      <c r="E203" s="99" t="s">
        <v>1915</v>
      </c>
    </row>
    <row r="204" spans="1:5" x14ac:dyDescent="0.2">
      <c r="A204" t="s">
        <v>1916</v>
      </c>
      <c r="B204" s="18" t="s">
        <v>1917</v>
      </c>
      <c r="C204" s="19" t="s">
        <v>1274</v>
      </c>
      <c r="D204" s="146">
        <v>17.625</v>
      </c>
      <c r="E204" s="99" t="s">
        <v>1764</v>
      </c>
    </row>
    <row r="205" spans="1:5" x14ac:dyDescent="0.2">
      <c r="A205" t="s">
        <v>1918</v>
      </c>
      <c r="B205" s="18" t="s">
        <v>1919</v>
      </c>
      <c r="C205" s="19" t="s">
        <v>53</v>
      </c>
      <c r="D205" s="146">
        <v>243.04</v>
      </c>
      <c r="E205" s="99" t="s">
        <v>1764</v>
      </c>
    </row>
    <row r="206" spans="1:5" ht="24" x14ac:dyDescent="0.2">
      <c r="A206" t="s">
        <v>1920</v>
      </c>
      <c r="B206" s="18" t="s">
        <v>1921</v>
      </c>
      <c r="C206" s="19" t="s">
        <v>62</v>
      </c>
      <c r="D206" s="141">
        <f>pw_A*EXP(pw_B*(T_K-T_zero_C)/((T_K-T_zero_C)+pw_C))</f>
        <v>3161.736035696692</v>
      </c>
      <c r="E206" s="99" t="inlineStr">
        <is>
          <t xml:space="preserve">3.16 kPa at 25 °C, 4.24 kPa at 30 °C, 3–4% of atmospheric, which is exactly the bias it removes from a faradaic-efficiency measurement made by collecting gas over water.</t>
        </is>
      </c>
    </row>
    <row r="208">
      <c r="A208" s="103" t="inlineStr">
        <is>
          <t xml:space="preserve">NAMED CONSTANTS, THRESHOLDS AND IMPORTS</t>
        </is>
      </c>
    </row>
    <row r="209">
      <c r="A209" s="20" t="inlineStr">
        <is>
          <t xml:space="preserve">(import) Reference temperature (25 °C)</t>
        </is>
      </c>
      <c r="B209" s="20" t="inlineStr">
        <is>
          <t xml:space="preserve">T_ref</t>
        </is>
      </c>
      <c r="C209" s="20" t="inlineStr">
        <is>
          <t xml:space="preserve">K</t>
        </is>
      </c>
      <c r="D209" s="142">
        <f>Biology!$D$23</f>
        <v>298.15</v>
      </c>
      <c r="E209" s="135" t="inlineStr">
        <is>
          <t xml:space="preserve">Import from Biology!D23</t>
        </is>
      </c>
    </row>
    <row r="210">
      <c r="A210" s="20" t="inlineStr">
        <is>
          <t xml:space="preserve">(import) Celsius-to-kelvin offset</t>
        </is>
      </c>
      <c r="B210" s="20" t="inlineStr">
        <is>
          <t xml:space="preserve">T_zero_C</t>
        </is>
      </c>
      <c r="C210" s="20" t="inlineStr">
        <is>
          <t xml:space="preserve">K</t>
        </is>
      </c>
      <c r="D210" s="142">
        <f>Biology!$D$66</f>
        <v>273.15</v>
      </c>
      <c r="E210" s="135" t="inlineStr">
        <is>
          <t xml:space="preserve">Import from Biology!D66</t>
        </is>
      </c>
    </row>
    <row r="211">
      <c r="A211" s="17" t="inlineStr">
        <is>
          <t xml:space="preserve">Minimum bubble diameter for the bubble model</t>
        </is>
      </c>
      <c r="B211" s="18" t="inlineStr">
        <is>
          <t xml:space="preserve">d_bubble_min_m</t>
        </is>
      </c>
      <c r="C211" s="19" t="inlineStr">
        <is>
          <t xml:space="preserve">m</t>
        </is>
      </c>
      <c r="D211" s="131">
        <v>0.001</v>
      </c>
      <c r="E211" s="67" t="inlineStr">
        <is>
          <t xml:space="preserve">Mendelson rise correlation valid ~1–10 mm (E46); sub-mm bubbles are out of range.</t>
        </is>
      </c>
    </row>
    <row r="212">
      <c r="A212" s="17" t="inlineStr">
        <is>
          <t xml:space="preserve">Quasi-static detachment Weber limit</t>
        </is>
      </c>
      <c r="B212" s="18" t="inlineStr">
        <is>
          <t xml:space="preserve">We_static_max</t>
        </is>
      </c>
      <c r="C212" s="19" t="inlineStr">
        <is>
          <t xml:space="preserve">-</t>
        </is>
      </c>
      <c r="D212" s="131">
        <v>2</v>
      </c>
      <c r="E212" s="67" t="inlineStr">
        <is>
          <t xml:space="preserve">Tate's-law quasi-static detachment holds for We &lt; ~2 (E64).</t>
        </is>
      </c>
    </row>
    <row r="213">
      <c r="A213" s="17" t="inlineStr">
        <is>
          <t xml:space="preserve">Cleared-ceiling display value</t>
        </is>
      </c>
      <c r="B213" s="18" t="inlineStr">
        <is>
          <t xml:space="preserve">cleared_min</t>
        </is>
      </c>
      <c r="C213" s="19" t="inlineStr">
        <is>
          <t xml:space="preserve">min</t>
        </is>
      </c>
      <c r="D213" s="131">
        <v>9999</v>
      </c>
      <c r="E213" s="99" t="inlineStr">
        <is>
          <t xml:space="preserve">Defined display sentinel: removal exceeds the source, so the ceiling is never reached.</t>
        </is>
      </c>
    </row>
    <row r="214">
      <c r="A214" s="17" t="inlineStr">
        <is>
          <t xml:space="preserve">Minimum sparge-free gap for an OD read</t>
        </is>
      </c>
      <c r="B214" s="18" t="inlineStr">
        <is>
          <t xml:space="preserve">od_gap_min_s</t>
        </is>
      </c>
      <c r="C214" s="19" t="inlineStr">
        <is>
          <t xml:space="preserve">s</t>
        </is>
      </c>
      <c r="D214" s="131">
        <v>5</v>
      </c>
      <c r="E214" s="68" t="inlineStr">
        <is>
          <t xml:space="preserve">Design assumption: time for one Pioreactor OD read between pulses.</t>
        </is>
      </c>
    </row>
    <row r="216">
      <c r="A216" s="17" t="inlineStr">
        <is>
          <t xml:space="preserve">Stir-bar tip-speed shear limit</t>
        </is>
      </c>
      <c r="B216" s="18" t="inlineStr">
        <is>
          <t xml:space="preserve">tip_speed_max</t>
        </is>
      </c>
      <c r="C216" s="19" t="inlineStr">
        <is>
          <t xml:space="preserve">m/s</t>
        </is>
      </c>
      <c r="D216" s="131">
        <v>1.5</v>
      </c>
      <c r="E216" s="82" t="inlineStr">
        <is>
          <t xml:space="preserve">Conservative impeller-tip limit for cell culture (BioProcess International); precautionary for HOB.</t>
        </is>
      </c>
    </row>
    <row r="230">
      <c r="A230" s="5" t="inlineStr">
        <is>
          <t xml:space="preserve">CARBON-LIMITED INTERVAL: IS IT SAFE?</t>
        </is>
      </c>
    </row>
    <row r="231">
      <c r="A231" t="inlineStr">
        <is>
          <t xml:space="preserve">O₂ molar mass</t>
        </is>
      </c>
      <c r="B231" s="18" t="inlineStr">
        <is>
          <t xml:space="preserve">M_O2</t>
        </is>
      </c>
      <c r="C231" s="19" t="inlineStr">
        <is>
          <t xml:space="preserve">g/mol</t>
        </is>
      </c>
      <c r="D231" s="146">
        <v>31.998</v>
      </c>
      <c r="E231" s="99" t="inlineStr">
        <is>
          <t xml:space="preserve">IUPAC standard atomic weights: 2 × 15.999.</t>
        </is>
      </c>
    </row>
    <row r="232">
      <c r="A232" t="inlineStr">
        <is>
          <t xml:space="preserve">DO if the interval relaxed to the carbon-limited one</t>
        </is>
      </c>
      <c r="B232" s="18" t="inlineStr">
        <is>
          <t xml:space="preserve">DO_at_carbon</t>
        </is>
      </c>
      <c r="C232" s="19" t="inlineStr">
        <is>
          <t xml:space="preserve">mol/m³</t>
        </is>
      </c>
      <c r="D232" s="141">
        <f>H_O2_T*P_atm*O2_excess/(O2_excess+CO2_rate_full*duty_carbon)+DO_surf_excess</f>
        <v>0.401951360368</v>
      </c>
      <c r="E232" s="99" t="inlineStr">
        <is>
          <t xml:space="preserve">Same headspace back-pressure + surface-excess balance as D188/D180, evaluated at the carbon-limited duty instead of the DO-limited one.</t>
        </is>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4" t="s">
        <v>0</v>
      </c>
      <c r="B1" s="3"/>
      <c r="C1" s="3"/>
      <c r="D1" s="3"/>
      <c r="E1" s="3"/>
      <c r="F1" s="3"/>
      <c r="G1" s="3"/>
      <c r="H1" s="3"/>
      <c r="I1" s="3"/>
      <c r="J1" s="3"/>
      <c r="K1" s="3"/>
      <c r="L1" s="3"/>
      <c r="M1" s="3"/>
      <c r="N1" s="3"/>
      <c r="O1" s="3"/>
      <c r="P1" s="3"/>
      <c r="Q1" s="3"/>
    </row>
    <row r="2" spans="1:17" x14ac:dyDescent="0.2">
      <c r="A2" s="5" t="s">
        <v>1</v>
      </c>
      <c r="B2" s="5" t="s">
        <v>2</v>
      </c>
      <c r="C2" s="5" t="s">
        <v>3</v>
      </c>
      <c r="D2" s="5" t="s">
        <v>4</v>
      </c>
      <c r="E2" s="5" t="s">
        <v>5</v>
      </c>
      <c r="F2" s="5" t="s">
        <v>6</v>
      </c>
      <c r="G2" s="5" t="s">
        <v>7</v>
      </c>
      <c r="H2" s="5" t="s">
        <v>8</v>
      </c>
      <c r="I2" s="5" t="s">
        <v>9</v>
      </c>
      <c r="J2" s="5" t="s">
        <v>10</v>
      </c>
      <c r="K2" s="3"/>
      <c r="L2" s="7" t="s">
        <v>11</v>
      </c>
      <c r="M2" s="3"/>
      <c r="N2" s="6"/>
      <c r="O2" s="3"/>
      <c r="P2" s="3"/>
      <c r="Q2" s="3"/>
    </row>
    <row r="3" spans="1:17" x14ac:dyDescent="0.2">
      <c r="A3" s="5"/>
      <c r="B3" s="5"/>
      <c r="C3" s="5" t="inlineStr">
        <is>
          <t xml:space="preserve">mL</t>
        </is>
      </c>
      <c r="D3" s="5" t="inlineStr">
        <is>
          <t xml:space="preserve">mL</t>
        </is>
      </c>
      <c r="E3" s="5" t="inlineStr">
        <is>
          <t xml:space="preserve">mL</t>
        </is>
      </c>
      <c r="F3" s="5" t="s">
        <v>13</v>
      </c>
      <c r="G3" s="5" t="inlineStr">
        <is>
          <t xml:space="preserve">mL/s</t>
        </is>
      </c>
      <c r="H3" s="5" t="inlineStr">
        <is>
          <t xml:space="preserve">mL/s</t>
        </is>
      </c>
      <c r="I3" s="5" t="s">
        <v>13</v>
      </c>
      <c r="J3" s="5" t="inlineStr">
        <is>
          <t xml:space="preserve">mL/s</t>
        </is>
      </c>
      <c r="K3" s="3"/>
      <c r="L3" s="8" t="s">
        <v>15</v>
      </c>
      <c r="M3" s="3"/>
      <c r="N3" s="6"/>
      <c r="O3" s="6"/>
      <c r="P3" s="6"/>
      <c r="Q3" s="6"/>
    </row>
    <row r="4" spans="1:17" x14ac:dyDescent="0.2">
      <c r="A4" s="3" t="s">
        <v>16</v>
      </c>
      <c r="B4" s="9">
        <v>46190</v>
      </c>
      <c r="C4" s="3">
        <v>50</v>
      </c>
      <c r="D4" s="3">
        <v>0</v>
      </c>
      <c r="E4" s="3"/>
      <c r="F4" s="3"/>
      <c r="G4" s="3"/>
      <c r="H4" s="3"/>
      <c r="I4" s="3">
        <v>0.25</v>
      </c>
      <c r="J4" s="3">
        <v>3.33</v>
      </c>
      <c r="K4" s="3"/>
      <c r="L4" s="10" t="s">
        <v>17</v>
      </c>
      <c r="M4" s="3"/>
      <c r="N4" s="3"/>
      <c r="O4" s="11"/>
      <c r="P4" s="12"/>
      <c r="Q4" s="3"/>
    </row>
    <row r="5" spans="1:17" x14ac:dyDescent="0.2">
      <c r="A5" s="3" t="s">
        <v>16</v>
      </c>
      <c r="B5" s="9">
        <v>46190</v>
      </c>
      <c r="C5" s="3">
        <v>50</v>
      </c>
      <c r="D5" s="3">
        <v>50</v>
      </c>
      <c r="E5" s="8">
        <f>D5-D4</f>
        <v>50.0</v>
      </c>
      <c r="F5" s="8">
        <v>15</v>
      </c>
      <c r="G5" s="3">
        <f>E5/F5</f>
        <v>3.333333333333</v>
      </c>
      <c r="H5" s="3">
        <f>AVERAGE(G5)</f>
        <v>3.333333333333</v>
      </c>
      <c r="I5" s="3"/>
      <c r="J5" s="3"/>
      <c r="K5" s="3"/>
      <c r="L5" s="3"/>
      <c r="M5" s="3"/>
      <c r="N5" s="13"/>
      <c r="O5" s="3"/>
      <c r="P5" s="3"/>
      <c r="Q5" s="3"/>
    </row>
    <row r="6" spans="1:17" x14ac:dyDescent="0.2">
      <c r="A6" s="3" t="s">
        <v>16</v>
      </c>
      <c r="B6" s="9">
        <v>46190</v>
      </c>
      <c r="C6" s="3">
        <v>50</v>
      </c>
      <c r="D6" s="3">
        <v>0</v>
      </c>
      <c r="E6" s="3"/>
      <c r="F6" s="3"/>
      <c r="G6" s="3"/>
      <c r="H6" s="3"/>
      <c r="I6" s="3"/>
      <c r="J6" s="3"/>
      <c r="K6" s="7" t="s">
        <v>18</v>
      </c>
      <c r="L6" s="7" t="s">
        <v>19</v>
      </c>
      <c r="M6" s="3"/>
      <c r="N6" s="3"/>
      <c r="O6" s="3"/>
      <c r="P6" s="3"/>
      <c r="Q6" s="3"/>
    </row>
    <row r="7" spans="1:17" x14ac:dyDescent="0.2">
      <c r="A7" s="3" t="s">
        <v>16</v>
      </c>
      <c r="B7" s="9">
        <v>46190</v>
      </c>
      <c r="C7" s="3">
        <v>50</v>
      </c>
      <c r="D7" s="3">
        <v>12</v>
      </c>
      <c r="E7" s="3">
        <f>D7-D6</f>
        <v>12.0</v>
      </c>
      <c r="F7" s="3">
        <v>4</v>
      </c>
      <c r="G7" s="3">
        <f>E7/F7</f>
        <v>3.0</v>
      </c>
      <c r="H7" s="3">
        <f>AVERAGE(G7:G9)</f>
        <v>3.333333333333</v>
      </c>
      <c r="I7" s="3"/>
      <c r="J7" s="3"/>
      <c r="K7" s="3" t="s">
        <v>20</v>
      </c>
      <c r="L7" s="3" t="inlineStr">
        <is>
          <t xml:space="preserve">CO2 collected in measuring cylinder over CO2-saturated water</t>
        </is>
      </c>
      <c r="M7" s="3"/>
      <c r="N7" s="6"/>
      <c r="O7" s="3"/>
      <c r="P7" s="3"/>
      <c r="Q7" s="3"/>
    </row>
    <row r="8" spans="1:17" x14ac:dyDescent="0.2">
      <c r="A8" s="3" t="s">
        <v>16</v>
      </c>
      <c r="B8" s="9">
        <v>46190</v>
      </c>
      <c r="C8" s="3">
        <v>50</v>
      </c>
      <c r="D8" s="3">
        <v>26</v>
      </c>
      <c r="E8" s="3">
        <f>D8-D7</f>
        <v>14.0</v>
      </c>
      <c r="F8" s="3">
        <v>4</v>
      </c>
      <c r="G8" s="3">
        <f>E8/F8</f>
        <v>3.5</v>
      </c>
      <c r="H8" s="3"/>
      <c r="I8" s="3"/>
      <c r="J8" s="3"/>
      <c r="K8" s="9">
        <v>46190</v>
      </c>
      <c r="L8" s="3" t="s">
        <v>22</v>
      </c>
      <c r="M8" s="3"/>
      <c r="N8" s="3"/>
      <c r="O8" s="3"/>
      <c r="P8" s="3"/>
      <c r="Q8" s="3"/>
    </row>
    <row r="9" spans="1:17" x14ac:dyDescent="0.2">
      <c r="A9" s="3" t="s">
        <v>16</v>
      </c>
      <c r="B9" s="9">
        <v>46190</v>
      </c>
      <c r="C9" s="3">
        <v>50</v>
      </c>
      <c r="D9" s="3">
        <v>40</v>
      </c>
      <c r="E9" s="3">
        <f>D9-D8</f>
        <v>14.0</v>
      </c>
      <c r="F9" s="3">
        <v>4</v>
      </c>
      <c r="G9" s="3">
        <f>E9/F9</f>
        <v>3.5</v>
      </c>
      <c r="H9" s="3"/>
      <c r="I9" s="3"/>
      <c r="J9" s="3"/>
      <c r="K9" s="9">
        <v>46190</v>
      </c>
      <c r="L9" s="3" t="inlineStr">
        <is>
          <t xml:space="preserve">Collected over saturated NaHCO3 solution</t>
        </is>
      </c>
      <c r="M9" s="3"/>
      <c r="N9" s="3"/>
      <c r="O9" s="3"/>
      <c r="P9" s="3"/>
      <c r="Q9" s="3"/>
    </row>
    <row r="10" spans="1:17" x14ac:dyDescent="0.2">
      <c r="A10" s="3" t="s">
        <v>16</v>
      </c>
      <c r="B10" s="9">
        <v>46190</v>
      </c>
      <c r="C10" s="3">
        <v>50</v>
      </c>
      <c r="D10" s="3">
        <v>0</v>
      </c>
      <c r="E10" s="3"/>
      <c r="F10" s="3"/>
      <c r="G10" s="3"/>
      <c r="H10" s="3"/>
      <c r="I10" s="3"/>
      <c r="J10" s="3"/>
      <c r="K10" s="3"/>
      <c r="L10" s="3"/>
      <c r="M10" s="3"/>
      <c r="N10" s="3"/>
      <c r="O10" s="3"/>
      <c r="P10" s="3"/>
      <c r="Q10" s="3"/>
    </row>
    <row r="11" spans="1:17" x14ac:dyDescent="0.2">
      <c r="A11" s="3" t="s">
        <v>16</v>
      </c>
      <c r="B11" s="9">
        <v>46190</v>
      </c>
      <c r="C11" s="3">
        <v>50</v>
      </c>
      <c r="D11" s="3">
        <v>6</v>
      </c>
      <c r="E11" s="3">
        <f t="shared" ref="E11:E16" si="0">D11-D10</f>
        <v>6.0</v>
      </c>
      <c r="F11" s="3">
        <v>2</v>
      </c>
      <c r="G11" s="3">
        <f t="shared" ref="G11:G16" si="1">E11/F11</f>
        <v>3.0</v>
      </c>
      <c r="H11" s="3">
        <f>AVERAGE(G11:G16)</f>
        <v>3.75</v>
      </c>
      <c r="I11" s="3"/>
      <c r="J11" s="3"/>
      <c r="K11" s="3"/>
      <c r="L11" s="3"/>
      <c r="M11" s="3"/>
      <c r="N11" s="3"/>
      <c r="O11" s="3"/>
      <c r="P11" s="3"/>
      <c r="Q11" s="3"/>
    </row>
    <row r="12" spans="1:17" x14ac:dyDescent="0.2">
      <c r="A12" s="3" t="s">
        <v>16</v>
      </c>
      <c r="B12" s="9">
        <v>46190</v>
      </c>
      <c r="C12" s="3">
        <v>50</v>
      </c>
      <c r="D12" s="3">
        <v>15</v>
      </c>
      <c r="E12" s="3">
        <f t="shared" si="0"/>
        <v>9.0</v>
      </c>
      <c r="F12" s="3">
        <v>2</v>
      </c>
      <c r="G12" s="3">
        <f t="shared" si="1"/>
        <v>4.5</v>
      </c>
      <c r="H12" s="3"/>
      <c r="I12" s="3"/>
      <c r="J12" s="3"/>
      <c r="K12" s="3"/>
      <c r="L12" s="3"/>
      <c r="M12" s="3"/>
      <c r="N12" s="3"/>
      <c r="O12" s="3"/>
      <c r="P12" s="3"/>
      <c r="Q12" s="3"/>
    </row>
    <row r="13" spans="1:17" x14ac:dyDescent="0.2">
      <c r="A13" s="3" t="s">
        <v>16</v>
      </c>
      <c r="B13" s="9">
        <v>46190</v>
      </c>
      <c r="C13" s="3">
        <v>50</v>
      </c>
      <c r="D13" s="3">
        <v>21</v>
      </c>
      <c r="E13" s="3">
        <f t="shared" si="0"/>
        <v>6.0</v>
      </c>
      <c r="F13" s="3">
        <v>2</v>
      </c>
      <c r="G13" s="3">
        <f t="shared" si="1"/>
        <v>3.0</v>
      </c>
      <c r="H13" s="3"/>
      <c r="I13" s="3"/>
      <c r="J13" s="3"/>
      <c r="K13" s="3"/>
      <c r="L13" s="3"/>
      <c r="M13" s="3"/>
      <c r="N13" s="3"/>
      <c r="O13" s="3"/>
      <c r="P13" s="3"/>
      <c r="Q13" s="3"/>
    </row>
    <row r="14" spans="1:17" x14ac:dyDescent="0.2">
      <c r="A14" s="3" t="s">
        <v>16</v>
      </c>
      <c r="B14" s="9">
        <v>46190</v>
      </c>
      <c r="C14" s="3">
        <v>50</v>
      </c>
      <c r="D14" s="3">
        <v>29</v>
      </c>
      <c r="E14" s="3">
        <f t="shared" si="0"/>
        <v>8.0</v>
      </c>
      <c r="F14" s="3">
        <v>2</v>
      </c>
      <c r="G14" s="3">
        <f t="shared" si="1"/>
        <v>4.0</v>
      </c>
      <c r="H14" s="3"/>
      <c r="I14" s="3"/>
      <c r="J14" s="3"/>
      <c r="K14" s="3"/>
      <c r="L14" s="3"/>
      <c r="M14" s="3"/>
      <c r="N14" s="3"/>
      <c r="O14" s="3"/>
      <c r="P14" s="3"/>
      <c r="Q14" s="3"/>
    </row>
    <row r="15" spans="1:17" x14ac:dyDescent="0.2">
      <c r="A15" s="3" t="s">
        <v>16</v>
      </c>
      <c r="B15" s="9">
        <v>46190</v>
      </c>
      <c r="C15" s="3">
        <v>50</v>
      </c>
      <c r="D15" s="3">
        <v>35</v>
      </c>
      <c r="E15" s="3">
        <f t="shared" si="0"/>
        <v>6.0</v>
      </c>
      <c r="F15" s="3">
        <v>2</v>
      </c>
      <c r="G15" s="3">
        <f t="shared" si="1"/>
        <v>3.0</v>
      </c>
      <c r="H15" s="3"/>
      <c r="I15" s="3"/>
      <c r="J15" s="3"/>
      <c r="K15" s="3"/>
      <c r="L15" s="3"/>
      <c r="M15" s="3"/>
      <c r="N15" s="3"/>
      <c r="O15" s="3"/>
      <c r="P15" s="3"/>
      <c r="Q15" s="3"/>
    </row>
    <row r="16" spans="1:17" x14ac:dyDescent="0.2">
      <c r="A16" s="3" t="s">
        <v>16</v>
      </c>
      <c r="B16" s="9">
        <v>46190</v>
      </c>
      <c r="C16" s="3">
        <v>50</v>
      </c>
      <c r="D16" s="3">
        <v>45</v>
      </c>
      <c r="E16" s="3">
        <f t="shared" si="0"/>
        <v>10.0</v>
      </c>
      <c r="F16" s="3">
        <v>2</v>
      </c>
      <c r="G16" s="3">
        <f t="shared" si="1"/>
        <v>5.0</v>
      </c>
      <c r="H16" s="3"/>
      <c r="I16" s="3"/>
      <c r="J16" s="3"/>
      <c r="K16" s="3"/>
      <c r="L16" s="3"/>
      <c r="M16" s="3"/>
      <c r="N16" s="3"/>
      <c r="O16" s="3"/>
      <c r="P16" s="3"/>
      <c r="Q16" s="3"/>
    </row>
    <row r="17" spans="1:17" x14ac:dyDescent="0.2">
      <c r="A17" s="3" t="s">
        <v>16</v>
      </c>
      <c r="B17" s="9">
        <v>46190</v>
      </c>
      <c r="C17" s="3">
        <v>50</v>
      </c>
      <c r="D17" s="3">
        <v>0</v>
      </c>
      <c r="E17" s="3"/>
      <c r="F17" s="3"/>
      <c r="G17" s="3"/>
      <c r="H17" s="3"/>
      <c r="I17" s="3"/>
      <c r="J17" s="3"/>
      <c r="K17" s="3"/>
      <c r="L17" s="3"/>
      <c r="M17" s="3"/>
      <c r="N17" s="3"/>
      <c r="O17" s="3"/>
      <c r="P17" s="3"/>
      <c r="Q17" s="3"/>
    </row>
    <row r="18" spans="1:17" x14ac:dyDescent="0.2">
      <c r="A18" s="3" t="s">
        <v>16</v>
      </c>
      <c r="B18" s="9">
        <v>46190</v>
      </c>
      <c r="C18" s="3">
        <v>50</v>
      </c>
      <c r="D18" s="3">
        <v>4</v>
      </c>
      <c r="E18" s="3">
        <f t="shared" ref="E18:E23" si="2">D18-D17</f>
        <v>4.0</v>
      </c>
      <c r="F18" s="3">
        <v>1</v>
      </c>
      <c r="G18" s="3">
        <f t="shared" ref="G18:G23" si="3">E18/F18</f>
        <v>4.0</v>
      </c>
      <c r="H18" s="3">
        <f>AVERAGE(G18:G23)</f>
        <v>3.833333333333</v>
      </c>
      <c r="I18" s="3"/>
      <c r="J18" s="3"/>
      <c r="K18" s="3"/>
      <c r="L18" s="3"/>
      <c r="M18" s="3"/>
      <c r="N18" s="3"/>
      <c r="O18" s="3"/>
      <c r="P18" s="3"/>
      <c r="Q18" s="3"/>
    </row>
    <row r="19" spans="1:17" x14ac:dyDescent="0.2">
      <c r="A19" s="3" t="s">
        <v>16</v>
      </c>
      <c r="B19" s="9">
        <v>46190</v>
      </c>
      <c r="C19" s="3">
        <v>50</v>
      </c>
      <c r="D19" s="3">
        <v>8</v>
      </c>
      <c r="E19" s="3">
        <f t="shared" si="2"/>
        <v>4.0</v>
      </c>
      <c r="F19" s="3">
        <v>1</v>
      </c>
      <c r="G19" s="3">
        <f t="shared" si="3"/>
        <v>4.0</v>
      </c>
      <c r="H19" s="3"/>
      <c r="I19" s="3"/>
      <c r="J19" s="3"/>
      <c r="K19" s="3"/>
      <c r="L19" s="3"/>
      <c r="M19" s="3"/>
      <c r="N19" s="3"/>
      <c r="O19" s="3"/>
      <c r="P19" s="3"/>
      <c r="Q19" s="3"/>
    </row>
    <row r="20" spans="1:17" x14ac:dyDescent="0.2">
      <c r="A20" s="3" t="s">
        <v>16</v>
      </c>
      <c r="B20" s="9">
        <v>46190</v>
      </c>
      <c r="C20" s="3">
        <v>50</v>
      </c>
      <c r="D20" s="3">
        <v>11</v>
      </c>
      <c r="E20" s="3">
        <f t="shared" si="2"/>
        <v>3.0</v>
      </c>
      <c r="F20" s="3">
        <v>1</v>
      </c>
      <c r="G20" s="3">
        <f t="shared" si="3"/>
        <v>3.0</v>
      </c>
      <c r="H20" s="3"/>
      <c r="I20" s="3"/>
      <c r="J20" s="3"/>
      <c r="K20" s="3"/>
      <c r="L20" s="3"/>
      <c r="M20" s="3"/>
      <c r="N20" s="3"/>
      <c r="O20" s="3"/>
      <c r="P20" s="3"/>
      <c r="Q20" s="3"/>
    </row>
    <row r="21" spans="1:17" x14ac:dyDescent="0.2">
      <c r="A21" s="3" t="s">
        <v>16</v>
      </c>
      <c r="B21" s="9">
        <v>46190</v>
      </c>
      <c r="C21" s="3">
        <v>50</v>
      </c>
      <c r="D21" s="3">
        <v>15</v>
      </c>
      <c r="E21" s="3">
        <f t="shared" si="2"/>
        <v>4.0</v>
      </c>
      <c r="F21" s="3">
        <v>1</v>
      </c>
      <c r="G21" s="3">
        <f t="shared" si="3"/>
        <v>4.0</v>
      </c>
      <c r="H21" s="3"/>
      <c r="I21" s="3"/>
      <c r="J21" s="3"/>
      <c r="K21" s="3"/>
      <c r="L21" s="3"/>
      <c r="M21" s="3"/>
      <c r="N21" s="3"/>
      <c r="O21" s="3"/>
      <c r="P21" s="3"/>
      <c r="Q21" s="3"/>
    </row>
    <row r="22" spans="1:17" x14ac:dyDescent="0.2">
      <c r="A22" s="3" t="s">
        <v>16</v>
      </c>
      <c r="B22" s="9">
        <v>46190</v>
      </c>
      <c r="C22" s="3">
        <v>50</v>
      </c>
      <c r="D22" s="3">
        <v>19</v>
      </c>
      <c r="E22" s="3">
        <f t="shared" si="2"/>
        <v>4.0</v>
      </c>
      <c r="F22" s="3">
        <v>1</v>
      </c>
      <c r="G22" s="3">
        <f t="shared" si="3"/>
        <v>4.0</v>
      </c>
      <c r="H22" s="3"/>
      <c r="I22" s="3"/>
      <c r="J22" s="3"/>
      <c r="K22" s="3"/>
      <c r="L22" s="3"/>
      <c r="M22" s="3"/>
      <c r="N22" s="3"/>
      <c r="O22" s="3"/>
      <c r="P22" s="3"/>
      <c r="Q22" s="3"/>
    </row>
    <row r="23" spans="1:17" x14ac:dyDescent="0.2">
      <c r="A23" s="3" t="s">
        <v>16</v>
      </c>
      <c r="B23" s="9">
        <v>46190</v>
      </c>
      <c r="C23" s="3">
        <v>50</v>
      </c>
      <c r="D23" s="3">
        <v>23</v>
      </c>
      <c r="E23" s="3">
        <f t="shared" si="2"/>
        <v>4.0</v>
      </c>
      <c r="F23" s="3">
        <v>1</v>
      </c>
      <c r="G23" s="3">
        <f t="shared" si="3"/>
        <v>4.0</v>
      </c>
      <c r="H23" s="3"/>
      <c r="I23" s="3"/>
      <c r="J23" s="3"/>
      <c r="K23" s="3"/>
      <c r="L23" s="3"/>
      <c r="M23" s="3"/>
      <c r="N23" s="3"/>
      <c r="O23" s="3"/>
      <c r="P23" s="3"/>
      <c r="Q23" s="3"/>
    </row>
    <row r="24" spans="1:17" x14ac:dyDescent="0.2">
      <c r="A24" s="3" t="s">
        <v>16</v>
      </c>
      <c r="B24" s="9">
        <v>46190</v>
      </c>
      <c r="C24" s="3">
        <v>50</v>
      </c>
      <c r="D24" s="3">
        <v>31</v>
      </c>
      <c r="E24" s="3"/>
      <c r="F24" s="3"/>
      <c r="G24" s="3"/>
      <c r="H24" s="3"/>
      <c r="I24" s="3"/>
      <c r="J24" s="3"/>
      <c r="K24" s="3"/>
      <c r="L24" s="3"/>
      <c r="M24" s="3"/>
      <c r="N24" s="3"/>
      <c r="O24" s="3"/>
      <c r="P24" s="3"/>
      <c r="Q24" s="3"/>
    </row>
    <row r="25" spans="1:17" x14ac:dyDescent="0.2">
      <c r="A25" s="3" t="s">
        <v>16</v>
      </c>
      <c r="B25" s="9">
        <v>46190</v>
      </c>
      <c r="C25" s="3">
        <v>50</v>
      </c>
      <c r="D25" s="3">
        <v>33</v>
      </c>
      <c r="E25" s="3">
        <f t="shared" ref="E25:E39" si="4">D25-D24</f>
        <v>2.0</v>
      </c>
      <c r="F25" s="3">
        <v>0.5</v>
      </c>
      <c r="G25" s="3">
        <f t="shared" ref="G25:G34" si="5">E25/F25</f>
        <v>4.0</v>
      </c>
      <c r="H25" s="3">
        <f>AVERAGE(G25:G29)</f>
        <v>4.0</v>
      </c>
      <c r="I25" s="3"/>
      <c r="J25" s="3"/>
      <c r="K25" s="3"/>
      <c r="L25" s="3"/>
      <c r="M25" s="3"/>
      <c r="N25" s="3"/>
      <c r="O25" s="3"/>
      <c r="P25" s="3"/>
      <c r="Q25" s="3"/>
    </row>
    <row r="26" spans="1:17" x14ac:dyDescent="0.2">
      <c r="A26" s="3" t="s">
        <v>16</v>
      </c>
      <c r="B26" s="9">
        <v>46190</v>
      </c>
      <c r="C26" s="3">
        <v>50</v>
      </c>
      <c r="D26" s="3">
        <v>35</v>
      </c>
      <c r="E26" s="3">
        <f t="shared" si="4"/>
        <v>2.0</v>
      </c>
      <c r="F26" s="3">
        <v>0.5</v>
      </c>
      <c r="G26" s="3">
        <f t="shared" si="5"/>
        <v>4.0</v>
      </c>
      <c r="H26" s="3"/>
      <c r="I26" s="3"/>
      <c r="J26" s="3"/>
      <c r="K26" s="3"/>
      <c r="L26" s="3"/>
      <c r="M26" s="3"/>
      <c r="N26" s="3"/>
      <c r="O26" s="3"/>
      <c r="P26" s="3"/>
      <c r="Q26" s="3"/>
    </row>
    <row r="27" spans="1:17" x14ac:dyDescent="0.2">
      <c r="A27" s="3" t="s">
        <v>16</v>
      </c>
      <c r="B27" s="9">
        <v>46190</v>
      </c>
      <c r="C27" s="3">
        <v>50</v>
      </c>
      <c r="D27" s="3">
        <v>37</v>
      </c>
      <c r="E27" s="3">
        <f t="shared" si="4"/>
        <v>2.0</v>
      </c>
      <c r="F27" s="3">
        <v>0.5</v>
      </c>
      <c r="G27" s="3">
        <f t="shared" si="5"/>
        <v>4.0</v>
      </c>
      <c r="H27" s="3"/>
      <c r="I27" s="3"/>
      <c r="J27" s="3"/>
      <c r="K27" s="3"/>
      <c r="L27" s="3"/>
      <c r="M27" s="3"/>
      <c r="N27" s="3"/>
      <c r="O27" s="3"/>
      <c r="P27" s="3"/>
      <c r="Q27" s="3"/>
    </row>
    <row r="28" spans="1:17" x14ac:dyDescent="0.2">
      <c r="A28" s="3" t="s">
        <v>16</v>
      </c>
      <c r="B28" s="9">
        <v>46190</v>
      </c>
      <c r="C28" s="3">
        <v>50</v>
      </c>
      <c r="D28" s="3">
        <v>39</v>
      </c>
      <c r="E28" s="3">
        <f t="shared" si="4"/>
        <v>2.0</v>
      </c>
      <c r="F28" s="3">
        <v>0.5</v>
      </c>
      <c r="G28" s="3">
        <f t="shared" si="5"/>
        <v>4.0</v>
      </c>
      <c r="H28" s="3"/>
      <c r="I28" s="3"/>
      <c r="J28" s="3"/>
      <c r="K28" s="3"/>
      <c r="L28" s="3"/>
      <c r="M28" s="3"/>
      <c r="N28" s="3"/>
      <c r="O28" s="3"/>
      <c r="P28" s="3"/>
      <c r="Q28" s="3"/>
    </row>
    <row r="29" spans="1:17" x14ac:dyDescent="0.2">
      <c r="A29" s="3" t="s">
        <v>16</v>
      </c>
      <c r="B29" s="9">
        <v>46190</v>
      </c>
      <c r="C29" s="3">
        <v>50</v>
      </c>
      <c r="D29" s="3">
        <v>41</v>
      </c>
      <c r="E29" s="3">
        <f t="shared" si="4"/>
        <v>2.0</v>
      </c>
      <c r="F29" s="3">
        <v>0.5</v>
      </c>
      <c r="G29" s="3">
        <f t="shared" si="5"/>
        <v>4.0</v>
      </c>
      <c r="H29" s="3"/>
      <c r="I29" s="3"/>
      <c r="J29" s="3"/>
      <c r="K29" s="3"/>
      <c r="L29" s="3"/>
      <c r="M29" s="3"/>
      <c r="N29" s="3"/>
      <c r="O29" s="3"/>
      <c r="P29" s="3"/>
      <c r="Q29" s="3"/>
    </row>
    <row r="30" spans="1:17" x14ac:dyDescent="0.2">
      <c r="A30" s="3" t="s">
        <v>16</v>
      </c>
      <c r="B30" s="9">
        <v>46190</v>
      </c>
      <c r="C30" s="3">
        <v>50</v>
      </c>
      <c r="D30" s="3">
        <v>42</v>
      </c>
      <c r="E30" s="3">
        <f t="shared" si="4"/>
        <v>1.0</v>
      </c>
      <c r="F30" s="3">
        <v>0.25</v>
      </c>
      <c r="G30" s="3">
        <f t="shared" si="5"/>
        <v>4.0</v>
      </c>
      <c r="H30" s="3">
        <f>AVERAGE(G30:G34)</f>
        <v>4.0</v>
      </c>
      <c r="I30" s="3"/>
      <c r="J30" s="3"/>
      <c r="K30" s="3"/>
      <c r="L30" s="3"/>
      <c r="M30" s="3"/>
      <c r="N30" s="3"/>
      <c r="O30" s="3"/>
      <c r="P30" s="3"/>
      <c r="Q30" s="3"/>
    </row>
    <row r="31" spans="1:17" x14ac:dyDescent="0.2">
      <c r="A31" s="3" t="s">
        <v>16</v>
      </c>
      <c r="B31" s="9">
        <v>46190</v>
      </c>
      <c r="C31" s="3">
        <v>50</v>
      </c>
      <c r="D31" s="3">
        <v>43</v>
      </c>
      <c r="E31" s="3">
        <f t="shared" si="4"/>
        <v>1.0</v>
      </c>
      <c r="F31" s="3">
        <v>0.25</v>
      </c>
      <c r="G31" s="3">
        <f t="shared" si="5"/>
        <v>4.0</v>
      </c>
      <c r="H31" s="3"/>
      <c r="I31" s="3"/>
      <c r="J31" s="3"/>
      <c r="K31" s="3"/>
      <c r="L31" s="3"/>
      <c r="M31" s="3"/>
      <c r="N31" s="3"/>
      <c r="O31" s="3"/>
      <c r="P31" s="3"/>
      <c r="Q31" s="3"/>
    </row>
    <row r="32" spans="1:17" x14ac:dyDescent="0.2">
      <c r="A32" s="3" t="s">
        <v>16</v>
      </c>
      <c r="B32" s="9">
        <v>46190</v>
      </c>
      <c r="C32" s="3">
        <v>50</v>
      </c>
      <c r="D32" s="3">
        <v>44</v>
      </c>
      <c r="E32" s="3">
        <f t="shared" si="4"/>
        <v>1.0</v>
      </c>
      <c r="F32" s="3">
        <v>0.25</v>
      </c>
      <c r="G32" s="3">
        <f t="shared" si="5"/>
        <v>4.0</v>
      </c>
      <c r="H32" s="3"/>
      <c r="I32" s="3"/>
      <c r="J32" s="3"/>
      <c r="K32" s="3"/>
      <c r="L32" s="3"/>
      <c r="M32" s="3"/>
      <c r="N32" s="3"/>
      <c r="O32" s="3"/>
      <c r="P32" s="3"/>
      <c r="Q32" s="3"/>
    </row>
    <row r="33" spans="1:17" x14ac:dyDescent="0.2">
      <c r="A33" s="3" t="s">
        <v>16</v>
      </c>
      <c r="B33" s="9">
        <v>46190</v>
      </c>
      <c r="C33" s="3">
        <v>50</v>
      </c>
      <c r="D33" s="3">
        <v>45</v>
      </c>
      <c r="E33" s="3">
        <f t="shared" si="4"/>
        <v>1.0</v>
      </c>
      <c r="F33" s="3">
        <v>0.25</v>
      </c>
      <c r="G33" s="3">
        <f t="shared" si="5"/>
        <v>4.0</v>
      </c>
      <c r="H33" s="3"/>
      <c r="I33" s="3"/>
      <c r="J33" s="3"/>
      <c r="K33" s="3"/>
      <c r="L33" s="3"/>
      <c r="M33" s="3"/>
      <c r="N33" s="3"/>
      <c r="O33" s="3"/>
      <c r="P33" s="3"/>
      <c r="Q33" s="3"/>
    </row>
    <row r="34" spans="1:17" x14ac:dyDescent="0.2">
      <c r="A34" s="3" t="s">
        <v>16</v>
      </c>
      <c r="B34" s="9">
        <v>46190</v>
      </c>
      <c r="C34" s="3">
        <v>50</v>
      </c>
      <c r="D34" s="3">
        <v>46</v>
      </c>
      <c r="E34" s="3">
        <f t="shared" si="4"/>
        <v>1.0</v>
      </c>
      <c r="F34" s="3">
        <v>0.25</v>
      </c>
      <c r="G34" s="3">
        <f t="shared" si="5"/>
        <v>4.0</v>
      </c>
      <c r="H34" s="3"/>
      <c r="I34" s="3"/>
      <c r="J34" s="3"/>
      <c r="K34" s="3"/>
      <c r="L34" s="3"/>
      <c r="M34" s="3"/>
      <c r="N34" s="3"/>
      <c r="O34" s="3"/>
      <c r="P34" s="3"/>
      <c r="Q34" s="3"/>
    </row>
    <row r="35" spans="1:17" x14ac:dyDescent="0.2">
      <c r="A35" s="3" t="s">
        <v>16</v>
      </c>
      <c r="B35" s="9">
        <v>46190</v>
      </c>
      <c r="C35" s="3">
        <v>10</v>
      </c>
      <c r="D35" s="3">
        <v>0</v>
      </c>
      <c r="E35" s="3">
        <f t="shared" si="4"/>
        <v>-46.0</v>
      </c>
      <c r="F35" s="3"/>
      <c r="G35" s="3"/>
      <c r="H35" s="3"/>
      <c r="I35" s="3"/>
      <c r="J35" s="3"/>
      <c r="K35" s="3"/>
      <c r="L35" s="3"/>
      <c r="M35" s="3"/>
      <c r="N35" s="3"/>
      <c r="O35" s="3"/>
      <c r="P35" s="3"/>
      <c r="Q35" s="3"/>
    </row>
    <row r="36" spans="1:17" x14ac:dyDescent="0.2">
      <c r="A36" s="3" t="s">
        <v>16</v>
      </c>
      <c r="B36" s="9">
        <v>46190</v>
      </c>
      <c r="C36" s="3">
        <v>10</v>
      </c>
      <c r="D36" s="3">
        <v>0.4</v>
      </c>
      <c r="E36" s="3">
        <f t="shared" si="4"/>
        <v>0.4</v>
      </c>
      <c r="F36" s="3">
        <v>0.2</v>
      </c>
      <c r="G36" s="10">
        <f>E36/F36</f>
        <v>2.0</v>
      </c>
      <c r="H36" s="3"/>
      <c r="I36" s="3"/>
      <c r="J36" s="3"/>
      <c r="K36" s="3"/>
      <c r="L36" s="3"/>
      <c r="M36" s="3"/>
      <c r="N36" s="3"/>
      <c r="O36" s="3"/>
      <c r="P36" s="3"/>
      <c r="Q36" s="3"/>
    </row>
    <row r="37" spans="1:17" x14ac:dyDescent="0.2">
      <c r="A37" s="3" t="s">
        <v>16</v>
      </c>
      <c r="B37" s="9">
        <v>46190</v>
      </c>
      <c r="C37" s="3">
        <v>10</v>
      </c>
      <c r="D37" s="3">
        <v>1.2</v>
      </c>
      <c r="E37" s="3">
        <f t="shared" si="4"/>
        <v>0.8</v>
      </c>
      <c r="F37" s="3">
        <v>0.2</v>
      </c>
      <c r="G37" s="3">
        <f>E37/F37</f>
        <v>4.0</v>
      </c>
      <c r="H37" s="3">
        <f>AVERAGE(G37:G39)</f>
        <v>4.333333333333</v>
      </c>
      <c r="I37" s="3"/>
      <c r="J37" s="3"/>
      <c r="K37" s="3"/>
      <c r="L37" s="3"/>
      <c r="M37" s="3"/>
      <c r="N37" s="3"/>
      <c r="O37" s="3"/>
      <c r="P37" s="3"/>
      <c r="Q37" s="3"/>
    </row>
    <row r="38" spans="1:17" x14ac:dyDescent="0.2">
      <c r="A38" s="3" t="s">
        <v>16</v>
      </c>
      <c r="B38" s="9">
        <v>46190</v>
      </c>
      <c r="C38" s="3">
        <v>10</v>
      </c>
      <c r="D38" s="3">
        <v>2.2000000000000002</v>
      </c>
      <c r="E38" s="3">
        <f t="shared" si="4"/>
        <v>1.0</v>
      </c>
      <c r="F38" s="3">
        <v>0.2</v>
      </c>
      <c r="G38" s="3">
        <f>E38/F38</f>
        <v>5.0</v>
      </c>
      <c r="H38" s="3"/>
      <c r="I38" s="3"/>
      <c r="J38" s="3"/>
      <c r="K38" s="3"/>
      <c r="L38" s="3"/>
      <c r="M38" s="3"/>
      <c r="N38" s="3"/>
      <c r="O38" s="3"/>
      <c r="P38" s="3"/>
      <c r="Q38" s="3"/>
    </row>
    <row r="39" spans="1:17" x14ac:dyDescent="0.2">
      <c r="A39" s="3" t="s">
        <v>16</v>
      </c>
      <c r="B39" s="9">
        <v>46190</v>
      </c>
      <c r="C39" s="3">
        <v>10</v>
      </c>
      <c r="D39" s="3">
        <v>3</v>
      </c>
      <c r="E39" s="3">
        <f t="shared" si="4"/>
        <v>0.8</v>
      </c>
      <c r="F39" s="3">
        <v>0.2</v>
      </c>
      <c r="G39" s="3">
        <f>E39/F39</f>
        <v>4.0</v>
      </c>
      <c r="H39" s="3"/>
      <c r="I39" s="3"/>
      <c r="J39" s="3"/>
      <c r="K39" s="3"/>
      <c r="L39" s="3"/>
      <c r="M39" s="3"/>
      <c r="N39" s="3"/>
      <c r="O39" s="3"/>
      <c r="P39" s="3"/>
      <c r="Q39" s="3"/>
    </row>
    <row r="40" spans="1:17" x14ac:dyDescent="0.2">
      <c r="A40" s="3" t="s">
        <v>16</v>
      </c>
      <c r="B40" s="9">
        <v>46190</v>
      </c>
      <c r="C40" s="3">
        <v>10</v>
      </c>
      <c r="D40" s="3">
        <v>0</v>
      </c>
      <c r="E40" s="3"/>
      <c r="F40" s="3"/>
      <c r="G40" s="3"/>
      <c r="H40" s="3"/>
      <c r="I40" s="3"/>
      <c r="J40" s="3"/>
      <c r="K40" s="3"/>
      <c r="L40" s="3"/>
      <c r="M40" s="3"/>
      <c r="N40" s="3"/>
      <c r="O40" s="3"/>
      <c r="P40" s="3"/>
      <c r="Q40" s="3"/>
    </row>
    <row r="41" spans="1:17" x14ac:dyDescent="0.2">
      <c r="A41" s="3" t="s">
        <v>16</v>
      </c>
      <c r="B41" s="9">
        <v>46190</v>
      </c>
      <c r="C41" s="3">
        <v>10</v>
      </c>
      <c r="D41" s="3">
        <v>0.4</v>
      </c>
      <c r="E41" s="3">
        <f t="shared" ref="E41:E46" si="6">D41-D40</f>
        <v>0.4</v>
      </c>
      <c r="F41" s="3">
        <v>0.1</v>
      </c>
      <c r="G41" s="3">
        <f t="shared" ref="G41:G46" si="7">E41/F41</f>
        <v>4.0</v>
      </c>
      <c r="H41" s="3">
        <f>AVERAGE(G41:G45)</f>
        <v>5.2</v>
      </c>
      <c r="I41" s="3"/>
      <c r="J41" s="3"/>
      <c r="K41" s="3"/>
      <c r="L41" s="3"/>
      <c r="M41" s="3"/>
      <c r="N41" s="3"/>
      <c r="O41" s="3"/>
      <c r="P41" s="3"/>
      <c r="Q41" s="3"/>
    </row>
    <row r="42" spans="1:17" x14ac:dyDescent="0.2">
      <c r="A42" s="3" t="s">
        <v>16</v>
      </c>
      <c r="B42" s="9">
        <v>46190</v>
      </c>
      <c r="C42" s="3">
        <v>10</v>
      </c>
      <c r="D42" s="3">
        <v>0.8</v>
      </c>
      <c r="E42" s="3">
        <f t="shared" si="6"/>
        <v>0.4</v>
      </c>
      <c r="F42" s="3">
        <v>0.1</v>
      </c>
      <c r="G42" s="3">
        <f t="shared" si="7"/>
        <v>4.0</v>
      </c>
      <c r="H42" s="3"/>
      <c r="I42" s="3"/>
      <c r="J42" s="3"/>
      <c r="K42" s="3"/>
      <c r="L42" s="3"/>
      <c r="M42" s="3"/>
      <c r="N42" s="3"/>
      <c r="O42" s="3"/>
      <c r="P42" s="3"/>
      <c r="Q42" s="3"/>
    </row>
    <row r="43" spans="1:17" x14ac:dyDescent="0.2">
      <c r="A43" s="3" t="s">
        <v>16</v>
      </c>
      <c r="B43" s="9">
        <v>46190</v>
      </c>
      <c r="C43" s="3">
        <v>10</v>
      </c>
      <c r="D43" s="3">
        <v>1.4</v>
      </c>
      <c r="E43" s="3">
        <f t="shared" si="6"/>
        <v>0.6</v>
      </c>
      <c r="F43" s="3">
        <v>0.1</v>
      </c>
      <c r="G43" s="3">
        <f t="shared" si="7"/>
        <v>6.0</v>
      </c>
      <c r="H43" s="3"/>
      <c r="I43" s="3"/>
      <c r="J43" s="3"/>
      <c r="K43" s="3"/>
      <c r="L43" s="3"/>
      <c r="M43" s="3"/>
      <c r="N43" s="3"/>
      <c r="O43" s="3"/>
      <c r="P43" s="3"/>
      <c r="Q43" s="3"/>
    </row>
    <row r="44" spans="1:17" x14ac:dyDescent="0.2">
      <c r="A44" s="3" t="s">
        <v>16</v>
      </c>
      <c r="B44" s="9">
        <v>46190</v>
      </c>
      <c r="C44" s="3">
        <v>10</v>
      </c>
      <c r="D44" s="3">
        <v>2</v>
      </c>
      <c r="E44" s="3">
        <f t="shared" si="6"/>
        <v>0.6</v>
      </c>
      <c r="F44" s="3">
        <v>0.1</v>
      </c>
      <c r="G44" s="3">
        <f t="shared" si="7"/>
        <v>6.0</v>
      </c>
      <c r="H44" s="3"/>
      <c r="I44" s="3"/>
      <c r="J44" s="3"/>
      <c r="K44" s="3"/>
      <c r="L44" s="3"/>
      <c r="M44" s="3"/>
      <c r="N44" s="3"/>
      <c r="O44" s="3"/>
      <c r="P44" s="3"/>
      <c r="Q44" s="3"/>
    </row>
    <row r="45" spans="1:17" x14ac:dyDescent="0.2">
      <c r="A45" s="3" t="s">
        <v>16</v>
      </c>
      <c r="B45" s="9">
        <v>46190</v>
      </c>
      <c r="C45" s="3">
        <v>10</v>
      </c>
      <c r="D45" s="3">
        <v>2.6</v>
      </c>
      <c r="E45" s="3">
        <f t="shared" si="6"/>
        <v>0.6</v>
      </c>
      <c r="F45" s="3">
        <v>0.1</v>
      </c>
      <c r="G45" s="3">
        <f t="shared" si="7"/>
        <v>6.0</v>
      </c>
      <c r="H45" s="3"/>
      <c r="I45" s="3"/>
      <c r="J45" s="3"/>
      <c r="K45" s="3"/>
      <c r="L45" s="3"/>
      <c r="M45" s="3"/>
      <c r="N45" s="3"/>
      <c r="O45" s="3"/>
      <c r="P45" s="3"/>
      <c r="Q45" s="3"/>
    </row>
    <row r="46" spans="1:17" x14ac:dyDescent="0.2">
      <c r="A46" s="3" t="s">
        <v>16</v>
      </c>
      <c r="B46" s="9">
        <v>46190</v>
      </c>
      <c r="C46" s="3">
        <v>10</v>
      </c>
      <c r="D46" s="3">
        <v>2.8</v>
      </c>
      <c r="E46" s="3">
        <f t="shared" si="6"/>
        <v>0.2</v>
      </c>
      <c r="F46" s="3">
        <v>0.1</v>
      </c>
      <c r="G46" s="10">
        <f t="shared" si="7"/>
        <v>2.0</v>
      </c>
      <c r="H46" s="3"/>
      <c r="I46" s="3"/>
      <c r="J46" s="3"/>
      <c r="K46" s="3"/>
      <c r="L46" s="3"/>
      <c r="M46" s="3"/>
      <c r="N46" s="3"/>
      <c r="O46" s="3"/>
      <c r="P46" s="3"/>
      <c r="Q46" s="3"/>
    </row>
    <row r="47" spans="1:17" x14ac:dyDescent="0.2">
      <c r="A47" s="3"/>
      <c r="B47" s="9"/>
      <c r="C47" s="3"/>
      <c r="D47" s="3"/>
      <c r="E47" s="3"/>
      <c r="F47" s="3"/>
      <c r="G47" s="3"/>
      <c r="H47" s="3"/>
      <c r="I47" s="3"/>
      <c r="J47" s="3"/>
      <c r="K47" s="3"/>
      <c r="L47" s="3"/>
      <c r="M47" s="3"/>
      <c r="N47" s="3"/>
      <c r="O47" s="3"/>
      <c r="P47" s="3"/>
      <c r="Q47" s="3"/>
    </row>
    <row r="48" spans="1:17" x14ac:dyDescent="0.2">
      <c r="A48" s="3"/>
      <c r="B48" s="3"/>
      <c r="C48" s="3"/>
      <c r="D48" s="3"/>
      <c r="E48" s="3"/>
      <c r="F48" s="3"/>
      <c r="G48" s="3"/>
      <c r="H48" s="3"/>
      <c r="I48" s="3"/>
      <c r="J48" s="3"/>
      <c r="K48" s="3"/>
      <c r="L48" s="3"/>
      <c r="M48" s="3"/>
      <c r="N48" s="3"/>
      <c r="O48" s="3"/>
      <c r="P48" s="3"/>
      <c r="Q48" s="3"/>
    </row>
    <row r="49" spans="1:17" x14ac:dyDescent="0.2">
      <c r="A49" s="14"/>
      <c r="B49" s="3"/>
      <c r="C49" s="3"/>
      <c r="D49" s="3"/>
      <c r="E49" s="3"/>
      <c r="F49" s="3"/>
      <c r="G49" s="3"/>
      <c r="H49" s="3"/>
      <c r="I49" s="3"/>
      <c r="J49" s="3"/>
      <c r="K49" s="3"/>
      <c r="L49" s="3"/>
      <c r="M49" s="3"/>
      <c r="N49" s="3"/>
      <c r="O49" s="3"/>
      <c r="P49" s="3"/>
      <c r="Q49" s="3"/>
    </row>
    <row r="50" spans="1:17" x14ac:dyDescent="0.2">
      <c r="A50" s="6"/>
      <c r="B50" s="6"/>
      <c r="C50" s="6"/>
      <c r="D50" s="6"/>
      <c r="E50" s="6"/>
      <c r="F50" s="3"/>
      <c r="G50" s="3"/>
      <c r="H50" s="3"/>
      <c r="I50" s="3"/>
      <c r="J50" s="3"/>
      <c r="K50" s="3"/>
      <c r="L50" s="3"/>
      <c r="M50" s="3"/>
      <c r="N50" s="3"/>
      <c r="O50" s="3"/>
      <c r="P50" s="3"/>
      <c r="Q50" s="3"/>
    </row>
    <row r="51" spans="1:17" x14ac:dyDescent="0.2">
      <c r="A51" s="3"/>
      <c r="B51" s="11"/>
      <c r="C51" s="3"/>
      <c r="D51" s="3"/>
      <c r="E51" s="3"/>
      <c r="F51" s="3"/>
      <c r="G51" s="3"/>
      <c r="H51" s="3"/>
      <c r="I51" s="3"/>
      <c r="J51" s="3"/>
      <c r="K51" s="3"/>
      <c r="L51" s="3"/>
      <c r="M51" s="3"/>
      <c r="N51" s="3"/>
      <c r="O51" s="3"/>
      <c r="P51" s="3"/>
      <c r="Q51" s="3"/>
    </row>
    <row r="52" spans="1:17" x14ac:dyDescent="0.2">
      <c r="A52" s="13"/>
      <c r="B52" s="3"/>
      <c r="C52" s="3"/>
      <c r="D52" s="3"/>
      <c r="E52" s="3"/>
      <c r="F52" s="3"/>
      <c r="G52" s="3"/>
      <c r="H52" s="3"/>
      <c r="I52" s="3"/>
      <c r="J52" s="3"/>
      <c r="K52" s="3"/>
      <c r="L52" s="3"/>
      <c r="M52" s="3"/>
      <c r="N52" s="3"/>
      <c r="O52" s="3"/>
      <c r="P52" s="3"/>
      <c r="Q52" s="3"/>
    </row>
    <row r="53" spans="1:17" x14ac:dyDescent="0.2">
      <c r="A53" s="3"/>
      <c r="B53" s="3"/>
      <c r="C53" s="3"/>
      <c r="D53" s="3"/>
      <c r="E53" s="3"/>
      <c r="F53" s="3"/>
      <c r="G53" s="3"/>
      <c r="H53" s="3"/>
      <c r="I53" s="3"/>
      <c r="J53" s="3"/>
      <c r="K53" s="3"/>
      <c r="L53" s="3"/>
      <c r="M53" s="3"/>
      <c r="N53" s="3"/>
      <c r="O53" s="3"/>
      <c r="P53" s="3"/>
      <c r="Q53" s="3"/>
    </row>
    <row r="54" spans="1:17" x14ac:dyDescent="0.2">
      <c r="A54" s="14"/>
      <c r="B54" s="3"/>
      <c r="C54" s="3"/>
      <c r="D54" s="3"/>
      <c r="E54" s="3"/>
      <c r="F54" s="3"/>
      <c r="G54" s="3"/>
      <c r="H54" s="3"/>
      <c r="I54" s="3"/>
      <c r="J54" s="3"/>
      <c r="K54" s="3"/>
      <c r="L54" s="3"/>
      <c r="M54" s="3"/>
      <c r="N54" s="3"/>
      <c r="O54" s="3"/>
      <c r="P54" s="3"/>
      <c r="Q54" s="3"/>
    </row>
    <row r="55" spans="1:17" x14ac:dyDescent="0.2">
      <c r="A55" s="3"/>
      <c r="B55" s="3"/>
      <c r="C55" s="3"/>
      <c r="D55" s="3"/>
      <c r="E55" s="3"/>
      <c r="F55" s="3"/>
      <c r="G55" s="3"/>
      <c r="H55" s="3"/>
      <c r="I55" s="3"/>
      <c r="J55" s="3"/>
      <c r="K55" s="3"/>
      <c r="L55" s="3"/>
      <c r="M55" s="3"/>
      <c r="N55" s="3"/>
      <c r="O55" s="3"/>
      <c r="P55" s="3"/>
      <c r="Q55" s="3"/>
    </row>
    <row r="56" spans="1:17" x14ac:dyDescent="0.2">
      <c r="A56" s="3"/>
      <c r="B56" s="3"/>
      <c r="C56" s="3"/>
      <c r="D56" s="3"/>
      <c r="E56" s="3"/>
      <c r="F56" s="3"/>
      <c r="G56" s="3"/>
      <c r="H56" s="3"/>
      <c r="I56" s="3"/>
      <c r="J56" s="3"/>
      <c r="K56" s="3"/>
      <c r="L56" s="3"/>
      <c r="M56" s="3"/>
      <c r="N56" s="3"/>
      <c r="O56" s="3"/>
      <c r="P56" s="3"/>
      <c r="Q56" s="3"/>
    </row>
    <row r="57" spans="1:17" x14ac:dyDescent="0.2">
      <c r="A57" s="3"/>
      <c r="B57" s="3"/>
      <c r="C57" s="3"/>
      <c r="D57" s="3"/>
      <c r="E57" s="3"/>
      <c r="F57" s="3"/>
      <c r="G57" s="3"/>
      <c r="H57" s="3"/>
      <c r="I57" s="3"/>
      <c r="J57" s="3"/>
      <c r="K57" s="3"/>
      <c r="L57" s="3"/>
      <c r="M57" s="3"/>
      <c r="N57" s="3"/>
      <c r="O57" s="3"/>
      <c r="P57" s="3"/>
      <c r="Q57" s="3"/>
    </row>
    <row r="58" spans="1:17" x14ac:dyDescent="0.2">
      <c r="A58" s="3"/>
      <c r="B58" s="3"/>
      <c r="C58" s="3"/>
      <c r="D58" s="3"/>
      <c r="E58" s="3"/>
      <c r="F58" s="3"/>
      <c r="G58" s="3"/>
      <c r="H58" s="3"/>
      <c r="I58" s="3"/>
      <c r="J58" s="3"/>
      <c r="K58" s="3"/>
      <c r="L58" s="3"/>
      <c r="M58" s="3"/>
      <c r="N58" s="3"/>
      <c r="O58" s="3"/>
      <c r="P58" s="3"/>
      <c r="Q58" s="3"/>
    </row>
    <row r="59" spans="1:17" x14ac:dyDescent="0.2">
      <c r="A59" s="3"/>
      <c r="B59" s="3"/>
      <c r="C59" s="3"/>
      <c r="D59" s="3"/>
      <c r="E59" s="3"/>
      <c r="F59" s="3"/>
      <c r="G59" s="3"/>
      <c r="H59" s="3"/>
      <c r="I59" s="3"/>
      <c r="J59" s="3"/>
      <c r="K59" s="3"/>
      <c r="L59" s="3"/>
      <c r="M59" s="3"/>
      <c r="N59" s="3"/>
      <c r="O59" s="3"/>
      <c r="P59" s="3"/>
      <c r="Q59" s="3"/>
    </row>
    <row r="60" spans="1:17" x14ac:dyDescent="0.2">
      <c r="A60" s="3"/>
      <c r="B60" s="3"/>
      <c r="C60" s="3"/>
      <c r="D60" s="3"/>
      <c r="E60" s="3"/>
      <c r="F60" s="3"/>
      <c r="G60" s="3"/>
      <c r="H60" s="3"/>
      <c r="I60" s="3"/>
      <c r="J60" s="3"/>
      <c r="K60" s="3"/>
      <c r="L60" s="3"/>
      <c r="M60" s="3"/>
      <c r="N60" s="3"/>
      <c r="O60" s="3"/>
      <c r="P60" s="3"/>
      <c r="Q60" s="3"/>
    </row>
    <row r="61" spans="1:17" x14ac:dyDescent="0.2">
      <c r="A61" s="3"/>
      <c r="B61" s="3"/>
      <c r="C61" s="3"/>
      <c r="D61" s="3"/>
      <c r="E61" s="3"/>
      <c r="F61" s="3"/>
      <c r="G61" s="3"/>
      <c r="H61" s="3"/>
      <c r="I61" s="3"/>
      <c r="J61" s="3"/>
      <c r="K61" s="3"/>
      <c r="L61" s="3"/>
      <c r="M61" s="3"/>
      <c r="N61" s="3"/>
      <c r="O61" s="3"/>
      <c r="P61" s="3"/>
      <c r="Q61" s="3"/>
    </row>
    <row r="62" spans="1:17" x14ac:dyDescent="0.2">
      <c r="A62" s="3"/>
      <c r="B62" s="3"/>
      <c r="C62" s="3"/>
      <c r="D62" s="3"/>
      <c r="E62" s="3"/>
      <c r="F62" s="3"/>
      <c r="G62" s="3"/>
      <c r="H62" s="3"/>
      <c r="I62" s="3"/>
      <c r="J62" s="3"/>
      <c r="K62" s="3"/>
      <c r="L62" s="3"/>
      <c r="M62" s="3"/>
      <c r="N62" s="3"/>
      <c r="O62" s="3"/>
      <c r="P62" s="3"/>
      <c r="Q62" s="3"/>
    </row>
    <row r="63" spans="1:17" x14ac:dyDescent="0.2">
      <c r="A63" s="3"/>
      <c r="B63" s="3"/>
      <c r="C63" s="3"/>
      <c r="D63" s="3"/>
      <c r="E63" s="3"/>
      <c r="F63" s="3"/>
      <c r="G63" s="3"/>
      <c r="H63" s="3"/>
      <c r="I63" s="3"/>
      <c r="J63" s="3"/>
      <c r="K63" s="3"/>
      <c r="L63" s="3"/>
      <c r="M63" s="3"/>
      <c r="N63" s="3"/>
      <c r="O63" s="3"/>
      <c r="P63" s="3"/>
      <c r="Q63" s="3"/>
    </row>
    <row r="64" spans="1:17" x14ac:dyDescent="0.2">
      <c r="A64" s="3"/>
      <c r="B64" s="3"/>
      <c r="C64" s="3"/>
      <c r="D64" s="3"/>
      <c r="E64" s="3"/>
      <c r="F64" s="3"/>
      <c r="G64" s="3"/>
      <c r="H64" s="3"/>
      <c r="I64" s="3"/>
      <c r="J64" s="3"/>
      <c r="K64" s="3"/>
      <c r="L64" s="3"/>
      <c r="M64" s="3"/>
      <c r="N64" s="3"/>
      <c r="O64" s="3"/>
      <c r="P64" s="3"/>
      <c r="Q64" s="3"/>
    </row>
    <row r="65" spans="1:17" x14ac:dyDescent="0.2">
      <c r="A65" s="3"/>
      <c r="B65" s="3"/>
      <c r="C65" s="3"/>
      <c r="D65" s="3"/>
      <c r="E65" s="3"/>
      <c r="F65" s="3"/>
      <c r="G65" s="3"/>
      <c r="H65" s="3"/>
      <c r="I65" s="3"/>
      <c r="J65" s="3"/>
      <c r="K65" s="3"/>
      <c r="L65" s="3"/>
      <c r="M65" s="3"/>
      <c r="N65" s="3"/>
      <c r="O65" s="3"/>
      <c r="P65" s="3"/>
      <c r="Q65" s="3"/>
    </row>
    <row r="66" spans="1:17" x14ac:dyDescent="0.2">
      <c r="A66" s="3"/>
      <c r="B66" s="3"/>
      <c r="C66" s="3"/>
      <c r="D66" s="3"/>
      <c r="E66" s="3"/>
      <c r="F66" s="3"/>
      <c r="G66" s="3"/>
      <c r="H66" s="3"/>
      <c r="I66" s="3"/>
      <c r="J66" s="3"/>
      <c r="K66" s="3"/>
      <c r="L66" s="3"/>
      <c r="M66" s="3"/>
      <c r="N66" s="3"/>
      <c r="O66" s="3"/>
      <c r="P66" s="3"/>
      <c r="Q66" s="3"/>
    </row>
    <row r="67" spans="1:17" x14ac:dyDescent="0.2">
      <c r="A67" s="3"/>
      <c r="B67" s="3"/>
      <c r="C67" s="3"/>
      <c r="D67" s="3"/>
      <c r="E67" s="3"/>
      <c r="F67" s="3"/>
      <c r="G67" s="3"/>
      <c r="H67" s="3"/>
      <c r="I67" s="3"/>
      <c r="J67" s="3"/>
      <c r="K67" s="3"/>
      <c r="L67" s="3"/>
      <c r="M67" s="3"/>
      <c r="N67" s="3"/>
      <c r="O67" s="3"/>
      <c r="P67" s="3"/>
      <c r="Q67" s="3"/>
    </row>
    <row r="68" spans="1:17" x14ac:dyDescent="0.2">
      <c r="A68" s="3"/>
      <c r="B68" s="3"/>
      <c r="C68" s="3"/>
      <c r="D68" s="3"/>
      <c r="E68" s="3"/>
      <c r="F68" s="3"/>
      <c r="G68" s="3"/>
      <c r="H68" s="3"/>
      <c r="I68" s="3"/>
      <c r="J68" s="3"/>
      <c r="K68" s="3"/>
      <c r="L68" s="3"/>
      <c r="M68" s="3"/>
      <c r="N68" s="3"/>
      <c r="O68" s="3"/>
      <c r="P68" s="3"/>
      <c r="Q68" s="3"/>
    </row>
    <row r="69" spans="1:17" x14ac:dyDescent="0.2">
      <c r="A69" s="3"/>
      <c r="B69" s="3"/>
      <c r="C69" s="3"/>
      <c r="D69" s="3"/>
      <c r="E69" s="3"/>
      <c r="F69" s="3"/>
      <c r="G69" s="3"/>
      <c r="H69" s="3"/>
      <c r="I69" s="3"/>
      <c r="J69" s="3"/>
      <c r="K69" s="3"/>
      <c r="L69" s="3"/>
      <c r="M69" s="3"/>
      <c r="N69" s="3"/>
      <c r="O69" s="3"/>
      <c r="P69" s="3"/>
      <c r="Q69" s="3"/>
    </row>
    <row r="70" spans="1:17" x14ac:dyDescent="0.2">
      <c r="A70" s="3"/>
      <c r="B70" s="3"/>
      <c r="C70" s="3"/>
      <c r="D70" s="3"/>
      <c r="E70" s="3"/>
      <c r="F70" s="3"/>
      <c r="G70" s="3"/>
      <c r="H70" s="3"/>
      <c r="I70" s="3"/>
      <c r="J70" s="3"/>
      <c r="K70" s="3"/>
      <c r="L70" s="3"/>
      <c r="M70" s="3"/>
      <c r="N70" s="3"/>
      <c r="O70" s="3"/>
      <c r="P70" s="3"/>
      <c r="Q70" s="3"/>
    </row>
    <row r="71" spans="1:17" x14ac:dyDescent="0.2">
      <c r="A71" s="3"/>
      <c r="B71" s="3"/>
      <c r="C71" s="3"/>
      <c r="D71" s="3"/>
      <c r="E71" s="3"/>
      <c r="F71" s="3"/>
      <c r="G71" s="3"/>
      <c r="H71" s="3"/>
      <c r="I71" s="3"/>
      <c r="J71" s="3"/>
      <c r="K71" s="3"/>
      <c r="L71" s="3"/>
      <c r="M71" s="3"/>
      <c r="N71" s="3"/>
      <c r="O71" s="3"/>
      <c r="P71" s="3"/>
      <c r="Q71" s="3"/>
    </row>
    <row r="72" spans="1:17" x14ac:dyDescent="0.2">
      <c r="A72" s="13"/>
      <c r="B72" s="3"/>
      <c r="C72" s="3"/>
      <c r="D72" s="3"/>
      <c r="E72" s="3"/>
      <c r="F72" s="3"/>
      <c r="G72" s="3"/>
      <c r="H72" s="3"/>
      <c r="I72" s="3"/>
      <c r="J72" s="3"/>
      <c r="K72" s="3"/>
      <c r="L72" s="3"/>
      <c r="M72" s="3"/>
      <c r="N72" s="3"/>
      <c r="O72" s="3"/>
      <c r="P72" s="3"/>
      <c r="Q72" s="3"/>
    </row>
    <row r="73" spans="1:17" x14ac:dyDescent="0.2">
      <c r="A73" s="13"/>
      <c r="B73" s="3"/>
      <c r="C73" s="3"/>
      <c r="D73" s="3"/>
      <c r="E73" s="3"/>
      <c r="F73" s="3"/>
      <c r="G73" s="3"/>
      <c r="H73" s="3"/>
      <c r="I73" s="3"/>
      <c r="J73" s="3"/>
      <c r="K73" s="3"/>
      <c r="L73" s="3"/>
      <c r="M73" s="3"/>
      <c r="N73" s="3"/>
      <c r="O73" s="3"/>
      <c r="P73" s="3"/>
      <c r="Q73" s="3"/>
    </row>
    <row r="74" spans="1:17" x14ac:dyDescent="0.2">
      <c r="A74" s="3"/>
      <c r="B74" s="3"/>
      <c r="C74" s="3"/>
      <c r="D74" s="3"/>
      <c r="E74" s="3"/>
      <c r="F74" s="3"/>
      <c r="G74" s="3"/>
      <c r="H74" s="3"/>
      <c r="I74" s="3"/>
      <c r="J74" s="3"/>
      <c r="K74" s="3"/>
      <c r="L74" s="3"/>
      <c r="M74" s="3"/>
      <c r="N74" s="3"/>
      <c r="O74" s="3"/>
      <c r="P74" s="3"/>
      <c r="Q74" s="3"/>
    </row>
    <row r="75" spans="1:17" x14ac:dyDescent="0.2">
      <c r="A75" s="14"/>
      <c r="B75" s="3"/>
      <c r="C75" s="3"/>
      <c r="D75" s="3"/>
      <c r="E75" s="3"/>
      <c r="F75" s="3"/>
      <c r="G75" s="3"/>
      <c r="H75" s="3"/>
      <c r="I75" s="3"/>
      <c r="J75" s="3"/>
      <c r="K75" s="3"/>
      <c r="L75" s="3"/>
      <c r="M75" s="3"/>
      <c r="N75" s="3"/>
      <c r="O75" s="3"/>
      <c r="P75" s="3"/>
      <c r="Q75" s="3"/>
    </row>
    <row r="76" spans="1:17" x14ac:dyDescent="0.2">
      <c r="A76" s="1"/>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39"/>
  <sheetViews>
    <sheetView topLeftCell="A98" workbookViewId="0">
      <selection activeCell="H130" sqref="H130"/>
    </sheetView>
  </sheetViews>
  <sheetFormatPr baseColWidth="10" defaultColWidth="8.83203125" defaultRowHeight="15" x14ac:dyDescent="0.2"/>
  <cols>
    <col min="1" max="16" width="12" customWidth="1"/>
  </cols>
  <sheetData>
    <row r="1" spans="1:8" ht="16" x14ac:dyDescent="0.2">
      <c r="A1" s="4" t="s">
        <v>1393</v>
      </c>
    </row>
    <row r="2" spans="1:8" x14ac:dyDescent="0.2">
      <c r="A2" t="s">
        <v>1394</v>
      </c>
    </row>
    <row r="3" spans="1:8" x14ac:dyDescent="0.2">
      <c r="A3" t="s">
        <v>1395</v>
      </c>
    </row>
    <row r="5" spans="1:8" ht="16" x14ac:dyDescent="0.2">
      <c r="A5" s="4" t="str">
        <f>HYPERLINK("https://github.com/amy-bo/electroPioreactor/blob/AEP02/Media/protocols/gerrit-current.md","ELECTROLYSIS CURRENT")</f>
        <v>ELECTROLYSIS CURRENT</v>
      </c>
    </row>
    <row r="6" spans="1:8" x14ac:dyDescent="0.2">
      <c r="A6" t="s">
        <v>1396</v>
      </c>
    </row>
    <row r="7" spans="1:8" x14ac:dyDescent="0.2">
      <c r="A7" s="16" t="s">
        <v>1397</v>
      </c>
      <c r="B7" s="16" t="s">
        <v>1398</v>
      </c>
      <c r="C7" s="16" t="s">
        <v>1</v>
      </c>
      <c r="D7" s="16" t="s">
        <v>1399</v>
      </c>
      <c r="E7" s="16" t="s">
        <v>1400</v>
      </c>
      <c r="F7" s="16" t="s">
        <v>1401</v>
      </c>
      <c r="G7" s="16" t="s">
        <v>1402</v>
      </c>
      <c r="H7" s="16" t="s">
        <v>1403</v>
      </c>
    </row>
    <row r="8" spans="1:8" x14ac:dyDescent="0.2">
      <c r="A8" s="122"/>
      <c r="B8" s="123"/>
      <c r="C8" s="122"/>
      <c r="D8" s="123"/>
      <c r="E8" s="123"/>
      <c r="F8" s="129" t="str">
        <f>IFERROR(VLOOKUP(C8,Geometry!$A$59:$B$80,2,FALSE),"")</f>
        <v/>
      </c>
      <c r="G8" s="122"/>
      <c r="H8" s="122"/>
    </row>
    <row r="9" spans="1:8" x14ac:dyDescent="0.2">
      <c r="A9" s="122"/>
      <c r="B9" s="123"/>
      <c r="C9" s="122"/>
      <c r="D9" s="123"/>
      <c r="E9" s="123"/>
      <c r="F9" s="129" t="str">
        <f>IFERROR(VLOOKUP(C9,Geometry!$A$59:$B$80,2,FALSE),"")</f>
        <v/>
      </c>
      <c r="G9" s="122"/>
      <c r="H9" s="122"/>
    </row>
    <row r="10" spans="1:8" x14ac:dyDescent="0.2">
      <c r="A10" s="122"/>
      <c r="B10" s="123"/>
      <c r="C10" s="122"/>
      <c r="D10" s="123"/>
      <c r="E10" s="123"/>
      <c r="F10" s="129" t="str">
        <f>IFERROR(VLOOKUP(C10,Geometry!$A$59:$B$80,2,FALSE),"")</f>
        <v/>
      </c>
      <c r="G10" s="122"/>
      <c r="H10" s="122"/>
    </row>
    <row r="11" spans="1:8" x14ac:dyDescent="0.2">
      <c r="A11" s="122"/>
      <c r="B11" s="123"/>
      <c r="C11" s="122"/>
      <c r="D11" s="123"/>
      <c r="E11" s="123"/>
      <c r="F11" s="129" t="str">
        <f>IFERROR(VLOOKUP(C11,Geometry!$A$59:$B$80,2,FALSE),"")</f>
        <v/>
      </c>
      <c r="G11" s="122"/>
      <c r="H11" s="122"/>
    </row>
    <row r="12" spans="1:8" x14ac:dyDescent="0.2">
      <c r="A12" s="122"/>
      <c r="B12" s="123"/>
      <c r="C12" s="122"/>
      <c r="D12" s="123"/>
      <c r="E12" s="123"/>
      <c r="F12" s="129" t="str">
        <f>IFERROR(VLOOKUP(C12,Geometry!$A$59:$B$80,2,FALSE),"")</f>
        <v/>
      </c>
      <c r="G12" s="122"/>
      <c r="H12" s="122"/>
    </row>
    <row r="13" spans="1:8" x14ac:dyDescent="0.2">
      <c r="A13" s="122"/>
      <c r="B13" s="123"/>
      <c r="C13" s="122"/>
      <c r="D13" s="123"/>
      <c r="E13" s="123"/>
      <c r="F13" s="129" t="str">
        <f>IFERROR(VLOOKUP(C13,Geometry!$A$59:$B$80,2,FALSE),"")</f>
        <v/>
      </c>
      <c r="G13" s="122"/>
      <c r="H13" s="122"/>
    </row>
    <row r="14" spans="1:8" x14ac:dyDescent="0.2">
      <c r="A14" s="122"/>
      <c r="B14" s="123"/>
      <c r="C14" s="122"/>
      <c r="D14" s="123"/>
      <c r="E14" s="123"/>
      <c r="F14" s="129" t="str">
        <f>IFERROR(VLOOKUP(C14,Geometry!$A$59:$B$80,2,FALSE),"")</f>
        <v/>
      </c>
      <c r="G14" s="122"/>
      <c r="H14" s="122"/>
    </row>
    <row r="15" spans="1:8" x14ac:dyDescent="0.2">
      <c r="A15" s="122"/>
      <c r="B15" s="123"/>
      <c r="C15" s="122"/>
      <c r="D15" s="123"/>
      <c r="E15" s="123"/>
      <c r="F15" s="129" t="str">
        <f>IFERROR(VLOOKUP(C15,Geometry!$A$59:$B$80,2,FALSE),"")</f>
        <v/>
      </c>
      <c r="G15" s="122"/>
      <c r="H15" s="122"/>
    </row>
    <row r="16" spans="1:8" x14ac:dyDescent="0.2">
      <c r="A16" s="17" t="s">
        <v>1404</v>
      </c>
      <c r="C16" s="19" t="s">
        <v>321</v>
      </c>
      <c r="D16" s="48" t="str">
        <f>IFERROR((COUNTIFS(C8:C15,Summary!$D$2,G8:G15,"y")*SUMPRODUCT((C8:C15=Summary!$D$2)*(G8:G15="y")*D8:D15*E8:E15)-SUMIFS(D8:D15,C8:C15,Summary!$D$2,G8:G15,"y")*SUMIFS(E8:E15,C8:C15,Summary!$D$2,G8:G15,"y"))/(COUNTIFS(C8:C15,Summary!$D$2,G8:G15,"y")*SUMPRODUCT((C8:C15=Summary!$D$2)*(G8:G15="y")*D8:D15*D8:D15)-SUMIFS(D8:D15,C8:C15,Summary!$D$2,G8:G15,"y")*SUMIFS(D8:D15,C8:C15,Summary!$D$2,G8:G15,"y")),"no included runs — model uses its default")</f>
        <v>no included runs — model uses its default</v>
      </c>
    </row>
    <row r="17" spans="1:13" x14ac:dyDescent="0.2">
      <c r="A17" s="17" t="s">
        <v>1405</v>
      </c>
      <c r="C17" s="19" t="s">
        <v>325</v>
      </c>
      <c r="D17" s="48" t="str">
        <f>IFERROR((SUMIFS(E8:E15,C8:C15,Summary!$D$2,G8:G15,"y")-((COUNTIFS(C8:C15,Summary!$D$2,G8:G15,"y")*SUMPRODUCT((C8:C15=Summary!$D$2)*(G8:G15="y")*D8:D15*E8:E15)-SUMIFS(D8:D15,C8:C15,Summary!$D$2,G8:G15,"y")*SUMIFS(E8:E15,C8:C15,Summary!$D$2,G8:G15,"y"))/(COUNTIFS(C8:C15,Summary!$D$2,G8:G15,"y")*SUMPRODUCT((C8:C15=Summary!$D$2)*(G8:G15="y")*D8:D15*D8:D15)-SUMIFS(D8:D15,C8:C15,Summary!$D$2,G8:G15,"y")*SUMIFS(D8:D15,C8:C15,Summary!$D$2,G8:G15,"y")))*SUMIFS(D8:D15,C8:C15,Summary!$D$2,G8:G15,"y"))/COUNTIFS(C8:C15,Summary!$D$2,G8:G15,"y"),"no included runs — model uses its default")</f>
        <v>no included runs — model uses its default</v>
      </c>
    </row>
    <row r="20" spans="1:13" ht="16" x14ac:dyDescent="0.2">
      <c r="A20" s="4" t="str">
        <f>HYPERLINK("https://github.com/amy-bo/electroPioreactor/blob/AEP02/Media/protocols/faradaic-efficiency.md","FARADAIC EFFICIENCY  (cathodic etaF, anodic etaF_OER)")</f>
        <v>FARADAIC EFFICIENCY  (cathodic etaF, anodic etaF_OER)</v>
      </c>
    </row>
    <row r="21" spans="1:13" x14ac:dyDescent="0.2">
      <c r="A21" t="s">
        <v>1923</v>
      </c>
    </row>
    <row r="22" spans="1:13" x14ac:dyDescent="0.2">
      <c r="A22" s="16" t="s">
        <v>1397</v>
      </c>
      <c r="B22" s="16" t="s">
        <v>1398</v>
      </c>
      <c r="C22" s="16" t="s">
        <v>1</v>
      </c>
      <c r="D22" s="16" t="s">
        <v>1406</v>
      </c>
      <c r="E22" s="16" t="s">
        <v>1407</v>
      </c>
      <c r="F22" s="16" t="s">
        <v>1408</v>
      </c>
      <c r="G22" s="16" t="s">
        <v>1409</v>
      </c>
      <c r="H22" s="16" t="s">
        <v>33</v>
      </c>
      <c r="I22" s="16" t="s">
        <v>1410</v>
      </c>
      <c r="J22" s="16" t="s">
        <v>1401</v>
      </c>
      <c r="K22" s="16" t="s">
        <v>1402</v>
      </c>
      <c r="L22" s="16" t="s">
        <v>1403</v>
      </c>
    </row>
    <row r="23" spans="1:13" x14ac:dyDescent="0.2">
      <c r="A23" s="122"/>
      <c r="B23" s="123"/>
      <c r="C23" s="122"/>
      <c r="D23" s="123"/>
      <c r="E23" s="123"/>
      <c r="F23" s="123"/>
      <c r="G23" s="123"/>
      <c r="H23" s="123"/>
      <c r="I23" s="129" t="str">
        <f>IFERROR(((G23-'Mass Transfer'!$D$206)*(E23/1000000)/('Mass Transfer'!$D$101*(F23+T_zero_C)))/(D23/(IF(H23="H2",z_e_H2,IF(H23="O2",z_e_O2,NA()))*Electrochemistry!$D$15)),"")</f>
        <v/>
      </c>
      <c r="J23" s="129" t="str">
        <f>IFERROR(VLOOKUP(C23,Geometry!$A$59:$B$80,2,FALSE),"")</f>
        <v/>
      </c>
      <c r="K23" s="122"/>
      <c r="L23" s="122"/>
      <c r="M23" s="97"/>
    </row>
    <row r="24" spans="1:13" x14ac:dyDescent="0.2">
      <c r="A24" s="122"/>
      <c r="B24" s="123"/>
      <c r="C24" s="122"/>
      <c r="D24" s="123"/>
      <c r="E24" s="123"/>
      <c r="F24" s="123"/>
      <c r="G24" s="123"/>
      <c r="H24" s="123"/>
      <c r="I24" s="129" t="str">
        <f>IFERROR(((G24-'Mass Transfer'!$D$206)*(E24/1000000)/('Mass Transfer'!$D$101*(F24+T_zero_C)))/(D24/(IF(H24="H2",z_e_H2,IF(H24="O2",z_e_O2,NA()))*Electrochemistry!$D$15)),"")</f>
        <v/>
      </c>
      <c r="J24" s="129" t="str">
        <f>IFERROR(VLOOKUP(C24,Geometry!$A$59:$B$80,2,FALSE),"")</f>
        <v/>
      </c>
      <c r="K24" s="122"/>
      <c r="L24" s="122"/>
      <c r="M24" s="97"/>
    </row>
    <row r="25" spans="1:13" x14ac:dyDescent="0.2">
      <c r="A25" s="122"/>
      <c r="B25" s="123"/>
      <c r="C25" s="122"/>
      <c r="D25" s="123"/>
      <c r="E25" s="123"/>
      <c r="F25" s="123"/>
      <c r="G25" s="123"/>
      <c r="H25" s="123"/>
      <c r="I25" s="129" t="str">
        <f>IFERROR(((G25-'Mass Transfer'!$D$206)*(E25/1000000)/('Mass Transfer'!$D$101*(F25+T_zero_C)))/(D25/(IF(H25="H2",z_e_H2,IF(H25="O2",z_e_O2,NA()))*Electrochemistry!$D$15)),"")</f>
        <v/>
      </c>
      <c r="J25" s="129" t="str">
        <f>IFERROR(VLOOKUP(C25,Geometry!$A$59:$B$80,2,FALSE),"")</f>
        <v/>
      </c>
      <c r="K25" s="122"/>
      <c r="L25" s="122"/>
      <c r="M25" s="97"/>
    </row>
    <row r="26" spans="1:13" x14ac:dyDescent="0.2">
      <c r="A26" s="122"/>
      <c r="B26" s="123"/>
      <c r="C26" s="122"/>
      <c r="D26" s="123"/>
      <c r="E26" s="123"/>
      <c r="F26" s="123"/>
      <c r="G26" s="123"/>
      <c r="H26" s="123"/>
      <c r="I26" s="129" t="str">
        <f>IFERROR(((G26-'Mass Transfer'!$D$206)*(E26/1000000)/('Mass Transfer'!$D$101*(F26+T_zero_C)))/(D26/(IF(H26="H2",z_e_H2,IF(H26="O2",z_e_O2,NA()))*Electrochemistry!$D$15)),"")</f>
        <v/>
      </c>
      <c r="J26" s="129" t="str">
        <f>IFERROR(VLOOKUP(C26,Geometry!$A$59:$B$80,2,FALSE),"")</f>
        <v/>
      </c>
      <c r="K26" s="122"/>
      <c r="L26" s="122"/>
      <c r="M26" s="97"/>
    </row>
    <row r="27" spans="1:13" x14ac:dyDescent="0.2">
      <c r="A27" s="122"/>
      <c r="B27" s="123"/>
      <c r="C27" s="122"/>
      <c r="D27" s="123"/>
      <c r="E27" s="123"/>
      <c r="F27" s="123"/>
      <c r="G27" s="123"/>
      <c r="H27" s="123"/>
      <c r="I27" s="129" t="str">
        <f>IFERROR(((G27-'Mass Transfer'!$D$206)*(E27/1000000)/('Mass Transfer'!$D$101*(F27+T_zero_C)))/(D27/(IF(H27="H2",z_e_H2,IF(H27="O2",z_e_O2,NA()))*Electrochemistry!$D$15)),"")</f>
        <v/>
      </c>
      <c r="J27" s="129" t="str">
        <f>IFERROR(VLOOKUP(C27,Geometry!$A$59:$B$80,2,FALSE),"")</f>
        <v/>
      </c>
      <c r="K27" s="122"/>
      <c r="L27" s="122"/>
      <c r="M27" s="97"/>
    </row>
    <row r="28" spans="1:13" x14ac:dyDescent="0.2">
      <c r="A28" s="122"/>
      <c r="B28" s="123"/>
      <c r="C28" s="122"/>
      <c r="D28" s="123"/>
      <c r="E28" s="123"/>
      <c r="F28" s="123"/>
      <c r="G28" s="123"/>
      <c r="H28" s="123"/>
      <c r="I28" s="129" t="str">
        <f>IFERROR(((G28-'Mass Transfer'!$D$206)*(E28/1000000)/('Mass Transfer'!$D$101*(F28+T_zero_C)))/(D28/(IF(H28="H2",z_e_H2,IF(H28="O2",z_e_O2,NA()))*Electrochemistry!$D$15)),"")</f>
        <v/>
      </c>
      <c r="J28" s="129" t="str">
        <f>IFERROR(VLOOKUP(C28,Geometry!$A$59:$B$80,2,FALSE),"")</f>
        <v/>
      </c>
      <c r="K28" s="122"/>
      <c r="L28" s="122"/>
      <c r="M28" s="97"/>
    </row>
    <row r="29" spans="1:13" x14ac:dyDescent="0.2">
      <c r="A29" s="122"/>
      <c r="B29" s="123"/>
      <c r="C29" s="122"/>
      <c r="D29" s="123"/>
      <c r="E29" s="123"/>
      <c r="F29" s="123"/>
      <c r="G29" s="123"/>
      <c r="H29" s="123"/>
      <c r="I29" s="129" t="str">
        <f>IFERROR(((G29-'Mass Transfer'!$D$206)*(E29/1000000)/('Mass Transfer'!$D$101*(F29+T_zero_C)))/(D29/(IF(H29="H2",z_e_H2,IF(H29="O2",z_e_O2,NA()))*Electrochemistry!$D$15)),"")</f>
        <v/>
      </c>
      <c r="J29" s="129" t="str">
        <f>IFERROR(VLOOKUP(C29,Geometry!$A$59:$B$80,2,FALSE),"")</f>
        <v/>
      </c>
      <c r="K29" s="122"/>
      <c r="L29" s="122"/>
      <c r="M29" s="97"/>
    </row>
    <row r="30" spans="1:13" x14ac:dyDescent="0.2">
      <c r="A30" s="122"/>
      <c r="B30" s="123"/>
      <c r="C30" s="122"/>
      <c r="D30" s="123"/>
      <c r="E30" s="123"/>
      <c r="F30" s="123"/>
      <c r="G30" s="123"/>
      <c r="H30" s="123"/>
      <c r="I30" s="129" t="str">
        <f>IFERROR(((G30-'Mass Transfer'!$D$206)*(E30/1000000)/('Mass Transfer'!$D$101*(F30+T_zero_C)))/(D30/(IF(H30="H2",z_e_H2,IF(H30="O2",z_e_O2,NA()))*Electrochemistry!$D$15)),"")</f>
        <v/>
      </c>
      <c r="J30" s="129" t="str">
        <f>IFERROR(VLOOKUP(C30,Geometry!$A$59:$B$80,2,FALSE),"")</f>
        <v/>
      </c>
      <c r="K30" s="122"/>
      <c r="L30" s="122"/>
      <c r="M30" s="97"/>
    </row>
    <row r="31" spans="1:13" x14ac:dyDescent="0.2">
      <c r="A31" s="125" t="s">
        <v>1411</v>
      </c>
      <c r="B31" s="97"/>
      <c r="C31" s="126" t="s">
        <v>135</v>
      </c>
      <c r="D31" s="124" t="str">
        <f>IFERROR(AVERAGEIFS(I23:I30,C23:C30,Summary!$D$2,K23:K30,"y",H23:H30,"H2"),"no included runs — model uses its default")</f>
        <v>no included runs — model uses its default</v>
      </c>
      <c r="E31" s="97"/>
      <c r="F31" s="97"/>
      <c r="G31" s="97"/>
      <c r="H31" s="97"/>
      <c r="I31" s="97"/>
      <c r="J31" s="97"/>
      <c r="K31" s="97"/>
      <c r="L31" s="97"/>
      <c r="M31" s="97"/>
    </row>
    <row r="32" spans="1:13" x14ac:dyDescent="0.2">
      <c r="A32" s="125" t="s">
        <v>1412</v>
      </c>
      <c r="B32" s="97"/>
      <c r="C32" s="126" t="s">
        <v>135</v>
      </c>
      <c r="D32" s="124" t="str">
        <f>IFERROR(AVERAGEIFS(I23:I30,C23:C30,Summary!$D$2,K23:K30,"y",H23:H30,"O2"),"no included runs — model uses its default")</f>
        <v>no included runs — model uses its default</v>
      </c>
      <c r="E32" s="97"/>
      <c r="F32" s="97"/>
      <c r="G32" s="97"/>
      <c r="H32" s="97"/>
      <c r="I32" s="97"/>
      <c r="J32" s="97"/>
      <c r="K32" s="97"/>
      <c r="L32" s="97"/>
      <c r="M32" s="97"/>
    </row>
    <row r="33" spans="1:13" x14ac:dyDescent="0.2">
      <c r="A33" s="97"/>
      <c r="B33" s="97"/>
      <c r="C33" s="97"/>
      <c r="D33" s="97"/>
      <c r="E33" s="97"/>
      <c r="F33" s="97"/>
      <c r="G33" s="97"/>
      <c r="H33" s="97"/>
      <c r="I33" s="97"/>
      <c r="J33" s="97"/>
      <c r="K33" s="97"/>
      <c r="L33" s="97"/>
      <c r="M33" s="97"/>
    </row>
    <row r="34" spans="1:13" x14ac:dyDescent="0.2">
      <c r="A34" s="97"/>
      <c r="B34" s="97"/>
      <c r="C34" s="97"/>
      <c r="D34" s="97"/>
      <c r="E34" s="97"/>
      <c r="F34" s="97"/>
      <c r="G34" s="97"/>
      <c r="H34" s="97"/>
      <c r="I34" s="97"/>
      <c r="J34" s="97"/>
      <c r="K34" s="97"/>
      <c r="L34" s="97"/>
      <c r="M34" s="97"/>
    </row>
    <row r="35" spans="1:13" ht="16" x14ac:dyDescent="0.2">
      <c r="A35" s="127" t="str">
        <f>HYPERLINK("https://github.com/amy-bo/electroPioreactor/blob/AEP02/Media/protocols/surface-kla.md","SURFACE kLa  (oxygen surface transfer)")</f>
        <v>SURFACE kLa  (oxygen surface transfer)</v>
      </c>
      <c r="B35" s="97"/>
      <c r="C35" s="97"/>
      <c r="D35" s="97"/>
      <c r="E35" s="97"/>
      <c r="F35" s="97"/>
      <c r="G35" s="97"/>
      <c r="H35" s="97"/>
      <c r="I35" s="97"/>
      <c r="J35" s="97"/>
      <c r="K35" s="97"/>
      <c r="L35" s="97"/>
      <c r="M35" s="97"/>
    </row>
    <row r="36" spans="1:13" x14ac:dyDescent="0.2">
      <c r="A36" s="97" t="s">
        <v>1413</v>
      </c>
      <c r="B36" s="97"/>
      <c r="C36" s="97"/>
      <c r="D36" s="97"/>
      <c r="E36" s="97"/>
      <c r="F36" s="97"/>
      <c r="G36" s="97"/>
      <c r="H36" s="97"/>
      <c r="I36" s="97"/>
      <c r="J36" s="97"/>
      <c r="K36" s="97"/>
      <c r="L36" s="97"/>
      <c r="M36" s="97"/>
    </row>
    <row r="37" spans="1:13" x14ac:dyDescent="0.2">
      <c r="A37" s="128" t="s">
        <v>1397</v>
      </c>
      <c r="B37" s="128" t="s">
        <v>1398</v>
      </c>
      <c r="C37" s="128" t="s">
        <v>1</v>
      </c>
      <c r="D37" s="128" t="s">
        <v>1414</v>
      </c>
      <c r="E37" s="128" t="s">
        <v>1401</v>
      </c>
      <c r="F37" s="128" t="s">
        <v>1402</v>
      </c>
      <c r="G37" s="128" t="s">
        <v>1403</v>
      </c>
      <c r="H37" s="97"/>
      <c r="I37" s="97"/>
      <c r="J37" s="97"/>
      <c r="K37" s="97"/>
      <c r="L37" s="97"/>
      <c r="M37" s="97"/>
    </row>
    <row r="38" spans="1:13" x14ac:dyDescent="0.2">
      <c r="A38" s="122"/>
      <c r="B38" s="123"/>
      <c r="C38" s="122"/>
      <c r="D38" s="123"/>
      <c r="E38" s="129" t="str">
        <f>IFERROR(VLOOKUP(C38,Geometry!$A$59:$B$80,2,FALSE),"")</f>
        <v/>
      </c>
      <c r="F38" s="122"/>
      <c r="G38" s="122"/>
      <c r="H38" s="97"/>
      <c r="I38" s="97"/>
      <c r="J38" s="97"/>
      <c r="K38" s="97"/>
      <c r="L38" s="97"/>
      <c r="M38" s="97"/>
    </row>
    <row r="39" spans="1:13" x14ac:dyDescent="0.2">
      <c r="A39" s="122"/>
      <c r="B39" s="123"/>
      <c r="C39" s="122"/>
      <c r="D39" s="123"/>
      <c r="E39" s="129" t="str">
        <f>IFERROR(VLOOKUP(C39,Geometry!$A$59:$B$80,2,FALSE),"")</f>
        <v/>
      </c>
      <c r="F39" s="122"/>
      <c r="G39" s="122"/>
      <c r="H39" s="97"/>
      <c r="I39" s="97"/>
      <c r="J39" s="97"/>
      <c r="K39" s="97"/>
      <c r="L39" s="97"/>
      <c r="M39" s="97"/>
    </row>
    <row r="40" spans="1:13" x14ac:dyDescent="0.2">
      <c r="A40" s="122"/>
      <c r="B40" s="123"/>
      <c r="C40" s="122"/>
      <c r="D40" s="123"/>
      <c r="E40" s="129" t="str">
        <f>IFERROR(VLOOKUP(C40,Geometry!$A$59:$B$80,2,FALSE),"")</f>
        <v/>
      </c>
      <c r="F40" s="122"/>
      <c r="G40" s="122"/>
      <c r="H40" s="97"/>
      <c r="I40" s="97"/>
      <c r="J40" s="97"/>
      <c r="K40" s="97"/>
      <c r="L40" s="97"/>
      <c r="M40" s="97"/>
    </row>
    <row r="41" spans="1:13" x14ac:dyDescent="0.2">
      <c r="A41" s="122"/>
      <c r="B41" s="123"/>
      <c r="C41" s="122"/>
      <c r="D41" s="123"/>
      <c r="E41" s="129" t="str">
        <f>IFERROR(VLOOKUP(C41,Geometry!$A$59:$B$80,2,FALSE),"")</f>
        <v/>
      </c>
      <c r="F41" s="122"/>
      <c r="G41" s="122"/>
      <c r="H41" s="97"/>
      <c r="I41" s="97"/>
      <c r="J41" s="97"/>
      <c r="K41" s="97"/>
      <c r="L41" s="97"/>
      <c r="M41" s="97"/>
    </row>
    <row r="42" spans="1:13" x14ac:dyDescent="0.2">
      <c r="A42" s="122"/>
      <c r="B42" s="123"/>
      <c r="C42" s="122"/>
      <c r="D42" s="123"/>
      <c r="E42" s="129" t="str">
        <f>IFERROR(VLOOKUP(C42,Geometry!$A$59:$B$80,2,FALSE),"")</f>
        <v/>
      </c>
      <c r="F42" s="122"/>
      <c r="G42" s="122"/>
      <c r="H42" s="97"/>
      <c r="I42" s="97"/>
      <c r="J42" s="97"/>
      <c r="K42" s="97"/>
      <c r="L42" s="97"/>
      <c r="M42" s="97"/>
    </row>
    <row r="43" spans="1:13" x14ac:dyDescent="0.2">
      <c r="A43" s="122"/>
      <c r="B43" s="123"/>
      <c r="C43" s="122"/>
      <c r="D43" s="123"/>
      <c r="E43" s="129" t="str">
        <f>IFERROR(VLOOKUP(C43,Geometry!$A$59:$B$80,2,FALSE),"")</f>
        <v/>
      </c>
      <c r="F43" s="122"/>
      <c r="G43" s="122"/>
      <c r="H43" s="97"/>
      <c r="I43" s="97"/>
      <c r="J43" s="97"/>
      <c r="K43" s="97"/>
      <c r="L43" s="97"/>
      <c r="M43" s="97"/>
    </row>
    <row r="44" spans="1:13" x14ac:dyDescent="0.2">
      <c r="A44" s="122"/>
      <c r="B44" s="123"/>
      <c r="C44" s="122"/>
      <c r="D44" s="123"/>
      <c r="E44" s="129" t="str">
        <f>IFERROR(VLOOKUP(C44,Geometry!$A$59:$B$80,2,FALSE),"")</f>
        <v/>
      </c>
      <c r="F44" s="122"/>
      <c r="G44" s="122"/>
      <c r="H44" s="97"/>
      <c r="I44" s="97"/>
      <c r="J44" s="97"/>
      <c r="K44" s="97"/>
      <c r="L44" s="97"/>
      <c r="M44" s="97"/>
    </row>
    <row r="45" spans="1:13" x14ac:dyDescent="0.2">
      <c r="A45" s="122"/>
      <c r="B45" s="123"/>
      <c r="C45" s="122"/>
      <c r="D45" s="123"/>
      <c r="E45" s="129" t="str">
        <f>IFERROR(VLOOKUP(C45,Geometry!$A$59:$B$80,2,FALSE),"")</f>
        <v/>
      </c>
      <c r="F45" s="122"/>
      <c r="G45" s="122"/>
      <c r="H45" s="97"/>
      <c r="I45" s="97"/>
      <c r="J45" s="97"/>
      <c r="K45" s="97"/>
      <c r="L45" s="97"/>
      <c r="M45" s="97"/>
    </row>
    <row r="46" spans="1:13" x14ac:dyDescent="0.2">
      <c r="A46" s="125" t="s">
        <v>1415</v>
      </c>
      <c r="B46" s="97"/>
      <c r="C46" s="126" t="s">
        <v>507</v>
      </c>
      <c r="D46" s="124" t="str">
        <f>IFERROR(AVERAGEIFS(D38:D45,C38:C45,Summary!$D$2,F38:F45,"y"),"no included runs — model uses its default")</f>
        <v>no included runs — model uses its default</v>
      </c>
      <c r="E46" s="97"/>
      <c r="F46" s="97"/>
      <c r="G46" s="97"/>
      <c r="H46" s="97"/>
      <c r="I46" s="97"/>
      <c r="J46" s="97"/>
      <c r="K46" s="97"/>
      <c r="L46" s="97"/>
      <c r="M46" s="97"/>
    </row>
    <row r="47" spans="1:13" x14ac:dyDescent="0.2">
      <c r="A47" s="97"/>
      <c r="B47" s="97"/>
      <c r="C47" s="97"/>
      <c r="D47" s="97"/>
      <c r="E47" s="97"/>
      <c r="F47" s="97"/>
      <c r="G47" s="97"/>
      <c r="H47" s="97"/>
      <c r="I47" s="97"/>
      <c r="J47" s="97"/>
      <c r="K47" s="97"/>
      <c r="L47" s="97"/>
      <c r="M47" s="97"/>
    </row>
    <row r="48" spans="1:13" x14ac:dyDescent="0.2">
      <c r="A48" s="97"/>
      <c r="B48" s="97"/>
      <c r="C48" s="97"/>
      <c r="D48" s="97"/>
      <c r="E48" s="97"/>
      <c r="F48" s="97"/>
      <c r="G48" s="97"/>
      <c r="H48" s="97"/>
      <c r="I48" s="97"/>
      <c r="J48" s="97"/>
      <c r="K48" s="97"/>
      <c r="L48" s="97"/>
      <c r="M48" s="97"/>
    </row>
    <row r="49" spans="1:13" ht="16" x14ac:dyDescent="0.2">
      <c r="A49" s="127" t="str">
        <f>HYPERLINK("https://github.com/amy-bo/electroPioreactor/blob/AEP02/Media/protocols/flow-calibration.md","CO2 FLOW  (dosing flow rate)")</f>
        <v>CO2 FLOW  (dosing flow rate)</v>
      </c>
      <c r="B49" s="97"/>
      <c r="C49" s="97"/>
      <c r="D49" s="97"/>
      <c r="E49" s="97"/>
      <c r="F49" s="97"/>
      <c r="G49" s="97"/>
      <c r="H49" s="97"/>
      <c r="I49" s="97"/>
      <c r="J49" s="97"/>
      <c r="K49" s="97"/>
      <c r="L49" s="97"/>
      <c r="M49" s="97"/>
    </row>
    <row r="50" spans="1:13" x14ac:dyDescent="0.2">
      <c r="A50" s="97" t="s">
        <v>1416</v>
      </c>
      <c r="B50" s="97"/>
      <c r="C50" s="97"/>
      <c r="D50" s="97"/>
      <c r="E50" s="97"/>
      <c r="F50" s="97"/>
      <c r="G50" s="97"/>
      <c r="H50" s="97"/>
      <c r="I50" s="97"/>
      <c r="J50" s="97"/>
      <c r="K50" s="97"/>
      <c r="L50" s="97"/>
      <c r="M50" s="97"/>
    </row>
    <row r="51" spans="1:13" x14ac:dyDescent="0.2">
      <c r="A51" s="128" t="s">
        <v>1397</v>
      </c>
      <c r="B51" s="128" t="s">
        <v>1398</v>
      </c>
      <c r="C51" s="128" t="s">
        <v>1</v>
      </c>
      <c r="D51" s="128" t="s">
        <v>1417</v>
      </c>
      <c r="E51" s="128" t="s">
        <v>1418</v>
      </c>
      <c r="F51" s="128" t="s">
        <v>1419</v>
      </c>
      <c r="G51" s="128" t="s">
        <v>1401</v>
      </c>
      <c r="H51" s="128" t="s">
        <v>1402</v>
      </c>
      <c r="I51" s="128" t="s">
        <v>1403</v>
      </c>
      <c r="J51" s="97"/>
      <c r="K51" s="97"/>
      <c r="L51" s="97"/>
      <c r="M51" s="97"/>
    </row>
    <row r="52" spans="1:13" x14ac:dyDescent="0.2">
      <c r="A52" s="122"/>
      <c r="B52" s="123"/>
      <c r="C52" s="122"/>
      <c r="D52" s="123"/>
      <c r="E52" s="123"/>
      <c r="F52" s="129" t="str">
        <f t="shared" ref="F52:F59" si="0">IFERROR(D52/E52,"")</f>
        <v/>
      </c>
      <c r="G52" s="129" t="str">
        <f>IFERROR(VLOOKUP(C52,Geometry!$A$59:$B$80,2,FALSE),"")</f>
        <v/>
      </c>
      <c r="H52" s="122"/>
      <c r="I52" s="122"/>
      <c r="J52" s="97"/>
      <c r="K52" s="97"/>
      <c r="L52" s="97"/>
      <c r="M52" s="97"/>
    </row>
    <row r="53" spans="1:13" x14ac:dyDescent="0.2">
      <c r="A53" s="122"/>
      <c r="B53" s="123"/>
      <c r="C53" s="122"/>
      <c r="D53" s="123"/>
      <c r="E53" s="123"/>
      <c r="F53" s="129" t="str">
        <f t="shared" si="0"/>
        <v/>
      </c>
      <c r="G53" s="129" t="str">
        <f>IFERROR(VLOOKUP(C53,Geometry!$A$59:$B$80,2,FALSE),"")</f>
        <v/>
      </c>
      <c r="H53" s="122"/>
      <c r="I53" s="122"/>
      <c r="J53" s="97"/>
      <c r="K53" s="97"/>
      <c r="L53" s="97"/>
      <c r="M53" s="97"/>
    </row>
    <row r="54" spans="1:13" x14ac:dyDescent="0.2">
      <c r="A54" s="122"/>
      <c r="B54" s="123"/>
      <c r="C54" s="122"/>
      <c r="D54" s="123"/>
      <c r="E54" s="123"/>
      <c r="F54" s="129" t="str">
        <f t="shared" si="0"/>
        <v/>
      </c>
      <c r="G54" s="129" t="str">
        <f>IFERROR(VLOOKUP(C54,Geometry!$A$59:$B$80,2,FALSE),"")</f>
        <v/>
      </c>
      <c r="H54" s="122"/>
      <c r="I54" s="122"/>
      <c r="J54" s="97"/>
      <c r="K54" s="97"/>
      <c r="L54" s="97"/>
      <c r="M54" s="97"/>
    </row>
    <row r="55" spans="1:13" x14ac:dyDescent="0.2">
      <c r="A55" s="122"/>
      <c r="B55" s="123"/>
      <c r="C55" s="122"/>
      <c r="D55" s="123"/>
      <c r="E55" s="123"/>
      <c r="F55" s="129" t="str">
        <f t="shared" si="0"/>
        <v/>
      </c>
      <c r="G55" s="129" t="str">
        <f>IFERROR(VLOOKUP(C55,Geometry!$A$59:$B$80,2,FALSE),"")</f>
        <v/>
      </c>
      <c r="H55" s="122"/>
      <c r="I55" s="122"/>
      <c r="J55" s="97"/>
      <c r="K55" s="97"/>
      <c r="L55" s="97"/>
      <c r="M55" s="97"/>
    </row>
    <row r="56" spans="1:13" x14ac:dyDescent="0.2">
      <c r="A56" s="122"/>
      <c r="B56" s="123"/>
      <c r="C56" s="122"/>
      <c r="D56" s="123"/>
      <c r="E56" s="123"/>
      <c r="F56" s="129" t="str">
        <f t="shared" si="0"/>
        <v/>
      </c>
      <c r="G56" s="129" t="str">
        <f>IFERROR(VLOOKUP(C56,Geometry!$A$59:$B$80,2,FALSE),"")</f>
        <v/>
      </c>
      <c r="H56" s="122"/>
      <c r="I56" s="122"/>
      <c r="J56" s="97"/>
      <c r="K56" s="97"/>
      <c r="L56" s="97"/>
      <c r="M56" s="97"/>
    </row>
    <row r="57" spans="1:13" x14ac:dyDescent="0.2">
      <c r="A57" s="122"/>
      <c r="B57" s="123"/>
      <c r="C57" s="122"/>
      <c r="D57" s="123"/>
      <c r="E57" s="123"/>
      <c r="F57" s="129" t="str">
        <f t="shared" si="0"/>
        <v/>
      </c>
      <c r="G57" s="129" t="str">
        <f>IFERROR(VLOOKUP(C57,Geometry!$A$59:$B$80,2,FALSE),"")</f>
        <v/>
      </c>
      <c r="H57" s="122"/>
      <c r="I57" s="122"/>
      <c r="J57" s="97"/>
      <c r="K57" s="97"/>
      <c r="L57" s="97"/>
      <c r="M57" s="97"/>
    </row>
    <row r="58" spans="1:13" x14ac:dyDescent="0.2">
      <c r="A58" s="122"/>
      <c r="B58" s="123"/>
      <c r="C58" s="122"/>
      <c r="D58" s="123"/>
      <c r="E58" s="123"/>
      <c r="F58" s="129" t="str">
        <f t="shared" si="0"/>
        <v/>
      </c>
      <c r="G58" s="129" t="str">
        <f>IFERROR(VLOOKUP(C58,Geometry!$A$59:$B$80,2,FALSE),"")</f>
        <v/>
      </c>
      <c r="H58" s="122"/>
      <c r="I58" s="122"/>
      <c r="J58" s="97"/>
      <c r="K58" s="97"/>
      <c r="L58" s="97"/>
      <c r="M58" s="97"/>
    </row>
    <row r="59" spans="1:13" x14ac:dyDescent="0.2">
      <c r="A59" s="122"/>
      <c r="B59" s="123"/>
      <c r="C59" s="122"/>
      <c r="D59" s="123"/>
      <c r="E59" s="123"/>
      <c r="F59" s="129" t="str">
        <f t="shared" si="0"/>
        <v/>
      </c>
      <c r="G59" s="129" t="str">
        <f>IFERROR(VLOOKUP(C59,Geometry!$A$59:$B$80,2,FALSE),"")</f>
        <v/>
      </c>
      <c r="H59" s="122"/>
      <c r="I59" s="122"/>
      <c r="J59" s="97"/>
      <c r="K59" s="97"/>
      <c r="L59" s="97"/>
      <c r="M59" s="97"/>
    </row>
    <row r="60" spans="1:13" x14ac:dyDescent="0.2">
      <c r="A60" s="125" t="s">
        <v>1420</v>
      </c>
      <c r="B60" s="97"/>
      <c r="C60" s="126" t="s">
        <v>1421</v>
      </c>
      <c r="D60" s="124" t="str">
        <f>IFERROR(AVERAGEIFS(F52:F59,C52:C59,Summary!$D$2,H52:H59,"y",B52:B59,SUMPRODUCT(MAX((C52:C59=Summary!$D$2)*(H52:H59="y")*B52:B59))),"no included runs — model uses its default")</f>
        <v>no included runs — model uses its default</v>
      </c>
      <c r="E60" s="97"/>
      <c r="F60" s="97"/>
      <c r="G60" s="97"/>
      <c r="H60" s="97"/>
      <c r="I60" s="97"/>
      <c r="J60" s="97"/>
      <c r="K60" s="97"/>
      <c r="L60" s="97"/>
      <c r="M60" s="97"/>
    </row>
    <row r="61" spans="1:13" x14ac:dyDescent="0.2">
      <c r="A61" s="97"/>
      <c r="B61" s="97"/>
      <c r="C61" s="97"/>
      <c r="D61" s="97"/>
      <c r="E61" s="97"/>
      <c r="F61" s="97"/>
      <c r="G61" s="97"/>
      <c r="H61" s="97"/>
      <c r="I61" s="97"/>
      <c r="J61" s="97"/>
      <c r="K61" s="97"/>
      <c r="L61" s="97"/>
      <c r="M61" s="97"/>
    </row>
    <row r="62" spans="1:13" x14ac:dyDescent="0.2">
      <c r="A62" s="97"/>
      <c r="B62" s="97"/>
      <c r="C62" s="97"/>
      <c r="D62" s="97"/>
      <c r="E62" s="97"/>
      <c r="F62" s="97"/>
      <c r="G62" s="97"/>
      <c r="H62" s="97"/>
      <c r="I62" s="97"/>
      <c r="J62" s="97"/>
      <c r="K62" s="97"/>
      <c r="L62" s="97"/>
      <c r="M62" s="97"/>
    </row>
    <row r="63" spans="1:13" ht="16" x14ac:dyDescent="0.2">
      <c r="A63" s="127" t="str">
        <f>HYPERLINK("https://github.com/amy-bo/electroPioreactor/blob/AEP02/Media/protocols/vial-geometry.md","VIAL GEOMETRY  (true volume &amp; bore depth)")</f>
        <v>VIAL GEOMETRY  (true volume &amp; bore depth)</v>
      </c>
      <c r="B63" s="97"/>
      <c r="C63" s="97"/>
      <c r="D63" s="97"/>
      <c r="E63" s="97"/>
      <c r="F63" s="97"/>
      <c r="G63" s="97"/>
      <c r="H63" s="97"/>
      <c r="I63" s="97"/>
      <c r="J63" s="97"/>
      <c r="K63" s="97"/>
      <c r="L63" s="97"/>
      <c r="M63" s="97"/>
    </row>
    <row r="64" spans="1:13" x14ac:dyDescent="0.2">
      <c r="A64" s="97" t="s">
        <v>1422</v>
      </c>
      <c r="B64" s="97"/>
      <c r="C64" s="97"/>
      <c r="D64" s="97"/>
      <c r="E64" s="97"/>
      <c r="F64" s="97"/>
      <c r="G64" s="97"/>
      <c r="H64" s="97"/>
      <c r="I64" s="97"/>
      <c r="J64" s="97"/>
      <c r="K64" s="97"/>
      <c r="L64" s="97"/>
      <c r="M64" s="97"/>
    </row>
    <row r="65" x14ac:dyDescent="0.2">
      <c r="A65" s="128" t="s">
        <v>1397</v>
      </c>
      <c r="B65" s="128" t="s">
        <v>1398</v>
      </c>
      <c r="C65" s="128" t="s">
        <v>1</v>
      </c>
      <c r="D65" s="128" t="s">
        <v>1423</v>
      </c>
      <c r="E65" s="128" t="s">
        <v>1424</v>
      </c>
      <c r="F65" s="128" t="s">
        <v>1408</v>
      </c>
      <c r="G65" s="128" t="s">
        <v>1425</v>
      </c>
      <c r="H65" s="128" t="s">
        <v>1426</v>
      </c>
      <c r="I65" s="128" t="s">
        <v>1401</v>
      </c>
      <c r="J65" s="128" t="s">
        <v>1402</v>
      </c>
      <c r="K65" s="128" t="s">
        <v>1403</v>
      </c>
      <c r="L65" s="128" t="inlineStr">
        <is>
          <t xml:space="preserve">Headspace (computed)</t>
        </is>
      </c>
      <c r="M65" s="128" t="inlineStr">
        <is>
          <t xml:space="preserve">Working-fill mass</t>
        </is>
      </c>
      <c r="N65" s="128" t="inlineStr">
        <is>
          <t xml:space="preserve">Working fill (computed)</t>
        </is>
      </c>
    </row>
    <row r="66" x14ac:dyDescent="0.2">
      <c r="A66" s="122"/>
      <c r="B66" s="123"/>
      <c r="C66" s="122"/>
      <c r="D66" s="123"/>
      <c r="E66" s="123"/>
      <c r="F66" s="123"/>
      <c r="G66" s="129" t="str">
        <f>IF(E66="","",IFERROR(E66/(0.99705-0.00028*(F66-25)),""))</f>
        <v/>
      </c>
      <c r="H66" s="129" t="str">
        <f>IF(E66="","",IFERROR((E66/(0.99705-0.00028*(F66-25)))*1000/Geometry!$D$21,""))</f>
        <v/>
      </c>
      <c r="I66" s="129" t="str">
        <f>IFERROR(VLOOKUP(C66,Geometry!$A$59:$B$80,2,FALSE),"")</f>
        <v/>
      </c>
      <c r="J66" s="122"/>
      <c r="K66" s="122"/>
      <c r="L66" s="129" t="str">
        <f>IF(D66="","",IFERROR(D66/(0.99705-0.00028*(F66-25)),""))</f>
        <v/>
      </c>
      <c r="M66" s="123"/>
      <c r="N66" s="129" t="str">
        <f>IF(M66="","",IFERROR(M66/(0.99705-0.00028*(F66-25)),""))</f>
        <v/>
      </c>
    </row>
    <row r="67" x14ac:dyDescent="0.2">
      <c r="A67" s="122"/>
      <c r="B67" s="123"/>
      <c r="C67" s="122"/>
      <c r="D67" s="123"/>
      <c r="E67" s="123"/>
      <c r="F67" s="123"/>
      <c r="G67" s="129" t="str">
        <f>IF(E67="","",IFERROR(E67/(0.99705-0.00028*(F67-25)),""))</f>
        <v/>
      </c>
      <c r="H67" s="129" t="str">
        <f>IF(E67="","",IFERROR((E67/(0.99705-0.00028*(F67-25)))*1000/Geometry!$D$21,""))</f>
        <v/>
      </c>
      <c r="I67" s="129" t="str">
        <f>IFERROR(VLOOKUP(C67,Geometry!$A$59:$B$80,2,FALSE),"")</f>
        <v/>
      </c>
      <c r="J67" s="122"/>
      <c r="K67" s="122"/>
      <c r="L67" s="129" t="str">
        <f>IF(D67="","",IFERROR(D67/(0.99705-0.00028*(F67-25)),""))</f>
        <v/>
      </c>
      <c r="M67" s="123"/>
      <c r="N67" s="129" t="str">
        <f>IF(M67="","",IFERROR(M67/(0.99705-0.00028*(F67-25)),""))</f>
        <v/>
      </c>
    </row>
    <row r="68" x14ac:dyDescent="0.2">
      <c r="A68" s="122"/>
      <c r="B68" s="123"/>
      <c r="C68" s="122"/>
      <c r="D68" s="123"/>
      <c r="E68" s="123"/>
      <c r="F68" s="123"/>
      <c r="G68" s="129" t="str">
        <f>IF(E68="","",IFERROR(E68/(0.99705-0.00028*(F68-25)),""))</f>
        <v/>
      </c>
      <c r="H68" s="129" t="str">
        <f>IF(E68="","",IFERROR((E68/(0.99705-0.00028*(F68-25)))*1000/Geometry!$D$21,""))</f>
        <v/>
      </c>
      <c r="I68" s="129" t="str">
        <f>IFERROR(VLOOKUP(C68,Geometry!$A$59:$B$80,2,FALSE),"")</f>
        <v/>
      </c>
      <c r="J68" s="122"/>
      <c r="K68" s="122"/>
      <c r="L68" s="129" t="str">
        <f>IF(D68="","",IFERROR(D68/(0.99705-0.00028*(F68-25)),""))</f>
        <v/>
      </c>
      <c r="M68" s="123"/>
      <c r="N68" s="129" t="str">
        <f>IF(M68="","",IFERROR(M68/(0.99705-0.00028*(F68-25)),""))</f>
        <v/>
      </c>
    </row>
    <row r="69" x14ac:dyDescent="0.2">
      <c r="A69" s="122"/>
      <c r="B69" s="123"/>
      <c r="C69" s="122"/>
      <c r="D69" s="123"/>
      <c r="E69" s="123"/>
      <c r="F69" s="123"/>
      <c r="G69" s="129" t="str">
        <f>IF(E69="","",IFERROR(E69/(0.99705-0.00028*(F69-25)),""))</f>
        <v/>
      </c>
      <c r="H69" s="129" t="str">
        <f>IF(E69="","",IFERROR((E69/(0.99705-0.00028*(F69-25)))*1000/Geometry!$D$21,""))</f>
        <v/>
      </c>
      <c r="I69" s="129" t="str">
        <f>IFERROR(VLOOKUP(C69,Geometry!$A$59:$B$80,2,FALSE),"")</f>
        <v/>
      </c>
      <c r="J69" s="122"/>
      <c r="K69" s="122"/>
      <c r="L69" s="129" t="str">
        <f>IF(D69="","",IFERROR(D69/(0.99705-0.00028*(F69-25)),""))</f>
        <v/>
      </c>
      <c r="M69" s="123"/>
      <c r="N69" s="129" t="str">
        <f>IF(M69="","",IFERROR(M69/(0.99705-0.00028*(F69-25)),""))</f>
        <v/>
      </c>
    </row>
    <row r="70" x14ac:dyDescent="0.2">
      <c r="A70" s="122"/>
      <c r="B70" s="123"/>
      <c r="C70" s="122"/>
      <c r="D70" s="123"/>
      <c r="E70" s="123"/>
      <c r="F70" s="123"/>
      <c r="G70" s="129" t="str">
        <f>IF(E70="","",IFERROR(E70/(0.99705-0.00028*(F70-25)),""))</f>
        <v/>
      </c>
      <c r="H70" s="129" t="str">
        <f>IF(E70="","",IFERROR((E70/(0.99705-0.00028*(F70-25)))*1000/Geometry!$D$21,""))</f>
        <v/>
      </c>
      <c r="I70" s="129" t="str">
        <f>IFERROR(VLOOKUP(C70,Geometry!$A$59:$B$80,2,FALSE),"")</f>
        <v/>
      </c>
      <c r="J70" s="122"/>
      <c r="K70" s="122"/>
      <c r="L70" s="129" t="str">
        <f>IF(D70="","",IFERROR(D70/(0.99705-0.00028*(F70-25)),""))</f>
        <v/>
      </c>
      <c r="M70" s="123"/>
      <c r="N70" s="129" t="str">
        <f>IF(M70="","",IFERROR(M70/(0.99705-0.00028*(F70-25)),""))</f>
        <v/>
      </c>
    </row>
    <row r="71" x14ac:dyDescent="0.2">
      <c r="A71" s="122"/>
      <c r="B71" s="123"/>
      <c r="C71" s="122"/>
      <c r="D71" s="123"/>
      <c r="E71" s="123"/>
      <c r="F71" s="123"/>
      <c r="G71" s="129" t="str">
        <f>IF(E71="","",IFERROR(E71/(0.99705-0.00028*(F71-25)),""))</f>
        <v/>
      </c>
      <c r="H71" s="129" t="str">
        <f>IF(E71="","",IFERROR((E71/(0.99705-0.00028*(F71-25)))*1000/Geometry!$D$21,""))</f>
        <v/>
      </c>
      <c r="I71" s="129" t="str">
        <f>IFERROR(VLOOKUP(C71,Geometry!$A$59:$B$80,2,FALSE),"")</f>
        <v/>
      </c>
      <c r="J71" s="122"/>
      <c r="K71" s="122"/>
      <c r="L71" s="129" t="str">
        <f>IF(D71="","",IFERROR(D71/(0.99705-0.00028*(F71-25)),""))</f>
        <v/>
      </c>
      <c r="M71" s="123"/>
      <c r="N71" s="129" t="str">
        <f>IF(M71="","",IFERROR(M71/(0.99705-0.00028*(F71-25)),""))</f>
        <v/>
      </c>
    </row>
    <row r="72" x14ac:dyDescent="0.2">
      <c r="A72" s="122"/>
      <c r="B72" s="123"/>
      <c r="C72" s="122"/>
      <c r="D72" s="123"/>
      <c r="E72" s="123"/>
      <c r="F72" s="123"/>
      <c r="G72" s="129" t="str">
        <f>IF(E72="","",IFERROR(E72/(0.99705-0.00028*(F72-25)),""))</f>
        <v/>
      </c>
      <c r="H72" s="129" t="str">
        <f>IF(E72="","",IFERROR((E72/(0.99705-0.00028*(F72-25)))*1000/Geometry!$D$21,""))</f>
        <v/>
      </c>
      <c r="I72" s="129" t="str">
        <f>IFERROR(VLOOKUP(C72,Geometry!$A$59:$B$80,2,FALSE),"")</f>
        <v/>
      </c>
      <c r="J72" s="122"/>
      <c r="K72" s="122"/>
      <c r="L72" s="129" t="str">
        <f>IF(D72="","",IFERROR(D72/(0.99705-0.00028*(F72-25)),""))</f>
        <v/>
      </c>
      <c r="M72" s="123"/>
      <c r="N72" s="129" t="str">
        <f>IF(M72="","",IFERROR(M72/(0.99705-0.00028*(F72-25)),""))</f>
        <v/>
      </c>
    </row>
    <row r="73" x14ac:dyDescent="0.2">
      <c r="A73" s="122"/>
      <c r="B73" s="123"/>
      <c r="C73" s="122"/>
      <c r="D73" s="123"/>
      <c r="E73" s="123"/>
      <c r="F73" s="123"/>
      <c r="G73" s="129" t="str">
        <f>IF(E73="","",IFERROR(E73/(0.99705-0.00028*(F73-25)),""))</f>
        <v/>
      </c>
      <c r="H73" s="129" t="str">
        <f>IF(E73="","",IFERROR((E73/(0.99705-0.00028*(F73-25)))*1000/Geometry!$D$21,""))</f>
        <v/>
      </c>
      <c r="I73" s="129" t="str">
        <f>IFERROR(VLOOKUP(C73,Geometry!$A$59:$B$80,2,FALSE),"")</f>
        <v/>
      </c>
      <c r="J73" s="122"/>
      <c r="K73" s="122"/>
      <c r="L73" s="129" t="str">
        <f>IF(D73="","",IFERROR(D73/(0.99705-0.00028*(F73-25)),""))</f>
        <v/>
      </c>
      <c r="M73" s="123"/>
      <c r="N73" s="129" t="str">
        <f>IF(M73="","",IFERROR(M73/(0.99705-0.00028*(F73-25)),""))</f>
        <v/>
      </c>
    </row>
    <row r="74" spans="1:13" x14ac:dyDescent="0.2">
      <c r="A74" s="125" t="s">
        <v>1427</v>
      </c>
      <c r="B74" s="97"/>
      <c r="C74" s="126" t="s">
        <v>57</v>
      </c>
      <c r="D74" s="124" t="str">
        <f>IFERROR(AVERAGEIFS(G66:G73,I66:I73,Geometry!$D$51,J66:J73,"y"),"no included runs — model uses its default")</f>
        <v>no included runs — model uses its default</v>
      </c>
      <c r="E74" s="97"/>
      <c r="F74" s="97"/>
      <c r="G74" s="97"/>
      <c r="H74" s="97"/>
      <c r="I74" s="97"/>
      <c r="J74" s="97"/>
      <c r="K74" s="97"/>
      <c r="L74" s="97"/>
      <c r="M74" s="97"/>
    </row>
    <row r="75" spans="1:13" x14ac:dyDescent="0.2">
      <c r="A75" s="125" t="s">
        <v>1428</v>
      </c>
      <c r="B75" s="97"/>
      <c r="C75" s="126" t="s">
        <v>146</v>
      </c>
      <c r="D75" s="124" t="str">
        <f>IFERROR(AVERAGEIFS(H66:H73,I66:I73,Geometry!$D$51,J66:J73,"y"),"no included runs — model uses its default")</f>
        <v>no included runs — model uses its default</v>
      </c>
      <c r="E75" s="97"/>
      <c r="F75" s="97"/>
      <c r="G75" s="97"/>
      <c r="H75" s="97"/>
      <c r="I75" s="97"/>
      <c r="J75" s="97"/>
      <c r="K75" s="97"/>
      <c r="L75" s="97"/>
      <c r="M75" s="97"/>
    </row>
    <row r="76" spans="1:13" x14ac:dyDescent="0.2">
      <c r="A76" s="125" t="inlineStr">
        <is>
          <t xml:space="preserve">Value in use - headspace at working fill</t>
        </is>
      </c>
      <c r="B76" s="97"/>
      <c r="C76" s="126" t="inlineStr">
        <is>
          <t xml:space="preserve">mL</t>
        </is>
      </c>
      <c r="D76" s="124" t="str">
        <f>IFERROR(AVERAGEIFS(L66:L73,I66:I73,Geometry!$D$51,J66:J73,"y"),"no included runs — model uses its default")</f>
        <v>no included runs — model uses its default</v>
      </c>
      <c r="E76" s="97"/>
      <c r="F76" s="97"/>
      <c r="G76" s="97"/>
      <c r="H76" s="97"/>
      <c r="I76" s="97"/>
      <c r="J76" s="97"/>
      <c r="K76" s="97"/>
      <c r="L76" s="97"/>
      <c r="M76" s="97"/>
    </row>
    <row r="77" spans="1:13" x14ac:dyDescent="0.2">
      <c r="A77" s="125" t="inlineStr">
        <is>
          <t xml:space="preserve">Value in use - working fill behind that headspace</t>
        </is>
      </c>
      <c r="B77" s="97"/>
      <c r="C77" s="126" t="inlineStr">
        <is>
          <t xml:space="preserve">mL</t>
        </is>
      </c>
      <c r="D77" s="124" t="str">
        <f>IFERROR(AVERAGEIFS(N66:N73,I66:I73,Geometry!$D$51,J66:J73,"y"),"no included runs — model uses its default")</f>
        <v>no included runs — model uses its default</v>
      </c>
      <c r="E77" s="97"/>
      <c r="F77" s="97"/>
      <c r="G77" s="97"/>
      <c r="H77" s="97"/>
      <c r="I77" s="97"/>
      <c r="J77" s="97"/>
      <c r="K77" s="97"/>
      <c r="L77" s="97"/>
      <c r="M77" s="97"/>
    </row>
    <row r="78" spans="1:13" ht="16" x14ac:dyDescent="0.2">
      <c r="A78" s="127" t="str">
        <f>HYPERLINK("https://github.com/amy-bo/electroPioreactor/blob/AEP02/Media/protocols/sinter-porosity.md","SINTER POROSITY  (sparger frit grade)")</f>
        <v>SINTER POROSITY  (sparger frit grade)</v>
      </c>
      <c r="B78" s="97"/>
      <c r="C78" s="97"/>
      <c r="D78" s="97"/>
      <c r="E78" s="97"/>
      <c r="F78" s="97"/>
      <c r="G78" s="97"/>
      <c r="H78" s="97"/>
      <c r="I78" s="97"/>
      <c r="J78" s="97"/>
      <c r="K78" s="97"/>
      <c r="L78" s="97"/>
      <c r="M78" s="97"/>
    </row>
    <row r="79" spans="1:13" x14ac:dyDescent="0.2">
      <c r="A79" s="97" t="s">
        <v>1429</v>
      </c>
      <c r="B79" s="97"/>
      <c r="C79" s="97"/>
      <c r="D79" s="97"/>
      <c r="E79" s="97"/>
      <c r="F79" s="123"/>
      <c r="G79" s="97"/>
      <c r="H79" s="97"/>
      <c r="I79" s="97"/>
      <c r="J79" s="97"/>
      <c r="K79" s="97"/>
      <c r="L79" s="97"/>
      <c r="M79" s="97"/>
    </row>
    <row r="80" spans="1:13" x14ac:dyDescent="0.2">
      <c r="A80" s="128" t="s">
        <v>1397</v>
      </c>
      <c r="B80" s="128" t="s">
        <v>1398</v>
      </c>
      <c r="C80" s="128" t="s">
        <v>1</v>
      </c>
      <c r="D80" s="128" t="s">
        <v>1430</v>
      </c>
      <c r="E80" s="128" t="s">
        <v>1431</v>
      </c>
      <c r="F80" s="128" t="s">
        <v>1401</v>
      </c>
      <c r="G80" s="128" t="s">
        <v>1402</v>
      </c>
      <c r="H80" s="128" t="s">
        <v>1403</v>
      </c>
      <c r="I80" s="97"/>
      <c r="J80" s="97"/>
      <c r="K80" s="97"/>
      <c r="L80" s="97"/>
      <c r="M80" s="97"/>
    </row>
    <row r="81" spans="1:13" x14ac:dyDescent="0.2">
      <c r="A81" s="122"/>
      <c r="B81" s="123"/>
      <c r="C81" s="122"/>
      <c r="D81" s="123"/>
      <c r="E81" s="129" t="str">
        <f>IFERROR(IF((bp_const/D81)&gt;por_break_1,0,IF((bp_const/D81)&gt;por_break_2,1,IF((bp_const/D81)&gt;por_break_3,2,IF((bp_const/D81)&gt;por_break_4,3,IF((bp_const/D81)&gt;por_break_5,4,5))))),"")</f>
        <v/>
      </c>
      <c r="F81" s="129" t="str">
        <f>IFERROR(VLOOKUP(C81,Geometry!$A$59:$B$80,2,FALSE),"")</f>
        <v/>
      </c>
      <c r="G81" s="122"/>
      <c r="H81" s="122"/>
      <c r="I81" s="97"/>
      <c r="J81" s="97"/>
      <c r="K81" s="97"/>
      <c r="L81" s="97"/>
      <c r="M81" s="97"/>
    </row>
    <row r="82" spans="1:13" x14ac:dyDescent="0.2">
      <c r="A82" s="122"/>
      <c r="B82" s="123"/>
      <c r="C82" s="122"/>
      <c r="D82" s="123"/>
      <c r="E82" s="129" t="str">
        <f>IFERROR(IF((bp_const/D82)&gt;por_break_1,0,IF((bp_const/D82)&gt;por_break_2,1,IF((bp_const/D82)&gt;por_break_3,2,IF((bp_const/D82)&gt;por_break_4,3,IF((bp_const/D82)&gt;por_break_5,4,5))))),"")</f>
        <v/>
      </c>
      <c r="F82" s="130" t="str">
        <f>IFERROR(VLOOKUP(C82,Geometry!$A$59:$B$80,2,FALSE),"")</f>
        <v/>
      </c>
      <c r="G82" s="122"/>
      <c r="H82" s="122"/>
      <c r="I82" s="97"/>
      <c r="J82" s="97"/>
      <c r="K82" s="97"/>
      <c r="L82" s="97"/>
      <c r="M82" s="97"/>
    </row>
    <row r="83" spans="1:13" x14ac:dyDescent="0.2">
      <c r="A83" s="122"/>
      <c r="B83" s="123"/>
      <c r="C83" s="122"/>
      <c r="D83" s="123"/>
      <c r="E83" s="129" t="str">
        <f>IFERROR(IF((bp_const/D83)&gt;por_break_1,0,IF((bp_const/D83)&gt;por_break_2,1,IF((bp_const/D83)&gt;por_break_3,2,IF((bp_const/D83)&gt;por_break_4,3,IF((bp_const/D83)&gt;por_break_5,4,5))))),"")</f>
        <v/>
      </c>
      <c r="F83" s="130" t="str">
        <f>IFERROR(VLOOKUP(C83,Geometry!$A$59:$B$80,2,FALSE),"")</f>
        <v/>
      </c>
      <c r="G83" s="122"/>
      <c r="H83" s="122"/>
      <c r="I83" s="97"/>
      <c r="J83" s="97"/>
      <c r="K83" s="97"/>
      <c r="L83" s="97"/>
      <c r="M83" s="97"/>
    </row>
    <row r="84" spans="1:13" x14ac:dyDescent="0.2">
      <c r="A84" s="122"/>
      <c r="B84" s="123"/>
      <c r="C84" s="122"/>
      <c r="D84" s="123"/>
      <c r="E84" s="129" t="str">
        <f>IFERROR(IF((bp_const/D84)&gt;por_break_1,0,IF((bp_const/D84)&gt;por_break_2,1,IF((bp_const/D84)&gt;por_break_3,2,IF((bp_const/D84)&gt;por_break_4,3,IF((bp_const/D84)&gt;por_break_5,4,5))))),"")</f>
        <v/>
      </c>
      <c r="F84" s="130" t="str">
        <f>IFERROR(VLOOKUP(C84,Geometry!$A$59:$B$80,2,FALSE),"")</f>
        <v/>
      </c>
      <c r="G84" s="122"/>
      <c r="H84" s="122"/>
      <c r="I84" s="97"/>
      <c r="J84" s="97"/>
      <c r="K84" s="97"/>
      <c r="L84" s="97"/>
      <c r="M84" s="97"/>
    </row>
    <row r="85" spans="1:13" x14ac:dyDescent="0.2">
      <c r="A85" s="122"/>
      <c r="B85" s="123"/>
      <c r="C85" s="122"/>
      <c r="D85" s="123"/>
      <c r="E85" s="129" t="str">
        <f>IFERROR(IF((bp_const/D85)&gt;por_break_1,0,IF((bp_const/D85)&gt;por_break_2,1,IF((bp_const/D85)&gt;por_break_3,2,IF((bp_const/D85)&gt;por_break_4,3,IF((bp_const/D85)&gt;por_break_5,4,5))))),"")</f>
        <v/>
      </c>
      <c r="F85" s="130" t="str">
        <f>IFERROR(VLOOKUP(C85,Geometry!$A$59:$B$80,2,FALSE),"")</f>
        <v/>
      </c>
      <c r="G85" s="122"/>
      <c r="H85" s="122"/>
      <c r="I85" s="97"/>
      <c r="J85" s="97"/>
      <c r="K85" s="97"/>
      <c r="L85" s="97"/>
      <c r="M85" s="97"/>
    </row>
    <row r="86" spans="1:13" x14ac:dyDescent="0.2">
      <c r="A86" s="122"/>
      <c r="B86" s="123"/>
      <c r="C86" s="122"/>
      <c r="D86" s="123"/>
      <c r="E86" s="129" t="str">
        <f>IFERROR(IF((bp_const/D86)&gt;por_break_1,0,IF((bp_const/D86)&gt;por_break_2,1,IF((bp_const/D86)&gt;por_break_3,2,IF((bp_const/D86)&gt;por_break_4,3,IF((bp_const/D86)&gt;por_break_5,4,5))))),"")</f>
        <v/>
      </c>
      <c r="F86" s="129" t="str">
        <f>IFERROR(VLOOKUP(C86,Geometry!$A$59:$B$80,2,FALSE),"")</f>
        <v/>
      </c>
      <c r="G86" s="122"/>
      <c r="H86" s="122"/>
      <c r="I86" s="97"/>
      <c r="J86" s="97"/>
      <c r="K86" s="97"/>
      <c r="L86" s="97"/>
      <c r="M86" s="97"/>
    </row>
    <row r="87" spans="1:13" x14ac:dyDescent="0.2">
      <c r="A87" s="122"/>
      <c r="B87" s="123"/>
      <c r="C87" s="122"/>
      <c r="D87" s="123"/>
      <c r="E87" s="129" t="str">
        <f>IFERROR(IF((bp_const/D87)&gt;por_break_1,0,IF((bp_const/D87)&gt;por_break_2,1,IF((bp_const/D87)&gt;por_break_3,2,IF((bp_const/D87)&gt;por_break_4,3,IF((bp_const/D87)&gt;por_break_5,4,5))))),"")</f>
        <v/>
      </c>
      <c r="F87" s="129" t="str">
        <f>IFERROR(VLOOKUP(C87,Geometry!$A$59:$B$80,2,FALSE),"")</f>
        <v/>
      </c>
      <c r="G87" s="122"/>
      <c r="H87" s="122"/>
      <c r="I87" s="97"/>
      <c r="J87" s="97"/>
      <c r="K87" s="97"/>
      <c r="L87" s="97"/>
      <c r="M87" s="97"/>
    </row>
    <row r="88" spans="1:13" x14ac:dyDescent="0.2">
      <c r="A88" s="122"/>
      <c r="B88" s="123"/>
      <c r="C88" s="122"/>
      <c r="D88" s="123"/>
      <c r="E88" s="129" t="str">
        <f>IFERROR(IF((bp_const/D88)&gt;por_break_1,0,IF((bp_const/D88)&gt;por_break_2,1,IF((bp_const/D88)&gt;por_break_3,2,IF((bp_const/D88)&gt;por_break_4,3,IF((bp_const/D88)&gt;por_break_5,4,5))))),"")</f>
        <v/>
      </c>
      <c r="F88" s="129" t="str">
        <f>IFERROR(VLOOKUP(C88,Geometry!$A$59:$B$80,2,FALSE),"")</f>
        <v/>
      </c>
      <c r="G88" s="122"/>
      <c r="H88" s="122"/>
      <c r="I88" s="97"/>
      <c r="J88" s="97"/>
      <c r="K88" s="97"/>
      <c r="L88" s="97"/>
      <c r="M88" s="97"/>
    </row>
    <row r="89" spans="1:13" x14ac:dyDescent="0.2">
      <c r="A89" s="125" t="s">
        <v>1432</v>
      </c>
      <c r="B89" s="97"/>
      <c r="C89" s="126" t="s">
        <v>553</v>
      </c>
      <c r="D89" s="124" t="str">
        <f>IFERROR(AVERAGEIFS(E81:E88,C81:C88,Summary!$D$2,G81:G88,"y",B81:B88,SUMPRODUCT(MAX((C81:C88=Summary!$D$2)*(G81:G88="y")*B81:B88))),"no included runs — model uses its default")</f>
        <v>no included runs — model uses its default</v>
      </c>
      <c r="E89" s="97"/>
      <c r="F89" s="97"/>
      <c r="G89" s="97"/>
      <c r="H89" s="97"/>
      <c r="I89" s="97"/>
      <c r="J89" s="97"/>
      <c r="K89" s="97"/>
      <c r="L89" s="97"/>
      <c r="M89" s="97"/>
    </row>
    <row r="90" spans="1:13" x14ac:dyDescent="0.2">
      <c r="A90" s="97"/>
      <c r="B90" s="97"/>
      <c r="C90" s="97"/>
      <c r="D90" s="97"/>
      <c r="E90" s="97"/>
      <c r="F90" s="97"/>
      <c r="G90" s="97"/>
      <c r="H90" s="97"/>
      <c r="I90" s="97"/>
      <c r="J90" s="97"/>
      <c r="K90" s="97"/>
      <c r="L90" s="97"/>
      <c r="M90" s="97"/>
    </row>
    <row r="91" spans="1:13" x14ac:dyDescent="0.2">
      <c r="A91" s="97"/>
      <c r="B91" s="97"/>
      <c r="C91" s="97"/>
      <c r="D91" s="97"/>
      <c r="E91" s="97"/>
      <c r="F91" s="97"/>
      <c r="G91" s="97"/>
      <c r="H91" s="97"/>
      <c r="I91" s="97"/>
      <c r="J91" s="97"/>
      <c r="K91" s="97"/>
      <c r="L91" s="97"/>
      <c r="M91" s="97"/>
    </row>
    <row r="92" spans="1:13" ht="16" x14ac:dyDescent="0.2">
      <c r="A92" s="127" t="str">
        <f>HYPERLINK("https://github.com/amy-bo/electroPioreactor/blob/AEP02/Media/protocols/dissolved-oxygen.md","DISSOLVED-OXYGEN THRESHOLDS  (per organism)")</f>
        <v>DISSOLVED-OXYGEN THRESHOLDS  (per organism)</v>
      </c>
      <c r="B92" s="97"/>
      <c r="C92" s="97"/>
      <c r="D92" s="97"/>
      <c r="E92" s="97"/>
      <c r="F92" s="97"/>
      <c r="G92" s="97"/>
      <c r="H92" s="97"/>
      <c r="I92" s="97"/>
      <c r="J92" s="97"/>
      <c r="K92" s="97"/>
      <c r="L92" s="97"/>
      <c r="M92" s="97"/>
    </row>
    <row r="93" spans="1:13" x14ac:dyDescent="0.2">
      <c r="A93" s="97" t="s">
        <v>1433</v>
      </c>
      <c r="B93" s="97"/>
      <c r="C93" s="97"/>
      <c r="D93" s="97"/>
      <c r="E93" s="97"/>
      <c r="F93" s="97"/>
      <c r="G93" s="97"/>
      <c r="H93" s="97"/>
      <c r="I93" s="97"/>
      <c r="J93" s="97"/>
      <c r="K93" s="97"/>
      <c r="L93" s="97"/>
      <c r="M93" s="97"/>
    </row>
    <row r="94" spans="1:13" x14ac:dyDescent="0.2">
      <c r="A94" s="128" t="s">
        <v>1397</v>
      </c>
      <c r="B94" s="128" t="s">
        <v>1398</v>
      </c>
      <c r="C94" s="128" t="s">
        <v>522</v>
      </c>
      <c r="D94" s="128" t="s">
        <v>1434</v>
      </c>
      <c r="E94" s="128" t="s">
        <v>1435</v>
      </c>
      <c r="F94" s="128" t="s">
        <v>1436</v>
      </c>
      <c r="G94" s="128" t="s">
        <v>1437</v>
      </c>
      <c r="H94" s="128" t="s">
        <v>1402</v>
      </c>
      <c r="I94" s="128" t="s">
        <v>1403</v>
      </c>
      <c r="J94" s="97"/>
      <c r="K94" s="97"/>
      <c r="L94" s="97"/>
      <c r="M94" s="97"/>
    </row>
    <row r="95" spans="1:13" x14ac:dyDescent="0.2">
      <c r="A95" s="122"/>
      <c r="B95" s="123"/>
      <c r="C95" s="122"/>
      <c r="D95" s="123"/>
      <c r="E95" s="123"/>
      <c r="F95" s="123"/>
      <c r="G95" s="123"/>
      <c r="H95" s="122"/>
      <c r="I95" s="122"/>
      <c r="J95" s="97"/>
      <c r="K95" s="97"/>
      <c r="L95" s="97"/>
      <c r="M95" s="97"/>
    </row>
    <row r="96" spans="1:13" x14ac:dyDescent="0.2">
      <c r="A96" s="122"/>
      <c r="B96" s="123"/>
      <c r="C96" s="122"/>
      <c r="D96" s="123"/>
      <c r="E96" s="123"/>
      <c r="F96" s="123"/>
      <c r="G96" s="123"/>
      <c r="H96" s="122"/>
      <c r="I96" s="122"/>
      <c r="J96" s="97"/>
      <c r="K96" s="97"/>
      <c r="L96" s="97"/>
      <c r="M96" s="97"/>
    </row>
    <row r="97" spans="1:13" x14ac:dyDescent="0.2">
      <c r="A97" s="122"/>
      <c r="B97" s="123"/>
      <c r="C97" s="122"/>
      <c r="D97" s="123"/>
      <c r="E97" s="123"/>
      <c r="F97" s="123"/>
      <c r="G97" s="123"/>
      <c r="H97" s="122"/>
      <c r="I97" s="122"/>
      <c r="J97" s="97"/>
      <c r="K97" s="97"/>
      <c r="L97" s="97"/>
      <c r="M97" s="97"/>
    </row>
    <row r="98" spans="1:13" x14ac:dyDescent="0.2">
      <c r="A98" s="122"/>
      <c r="B98" s="123"/>
      <c r="C98" s="122"/>
      <c r="D98" s="123"/>
      <c r="E98" s="123"/>
      <c r="F98" s="123"/>
      <c r="G98" s="123"/>
      <c r="H98" s="122"/>
      <c r="I98" s="122"/>
      <c r="J98" s="97"/>
      <c r="K98" s="97"/>
      <c r="L98" s="97"/>
      <c r="M98" s="97"/>
    </row>
    <row r="99" spans="1:13" x14ac:dyDescent="0.2">
      <c r="A99" s="122"/>
      <c r="B99" s="123"/>
      <c r="C99" s="122"/>
      <c r="D99" s="123"/>
      <c r="E99" s="123"/>
      <c r="F99" s="123"/>
      <c r="G99" s="123"/>
      <c r="H99" s="122"/>
      <c r="I99" s="122"/>
      <c r="J99" s="97"/>
      <c r="K99" s="97"/>
      <c r="L99" s="97"/>
      <c r="M99" s="97"/>
    </row>
    <row r="100" spans="1:13" x14ac:dyDescent="0.2">
      <c r="A100" s="122"/>
      <c r="B100" s="123"/>
      <c r="C100" s="122"/>
      <c r="D100" s="123"/>
      <c r="E100" s="123"/>
      <c r="F100" s="123"/>
      <c r="G100" s="123"/>
      <c r="H100" s="122"/>
      <c r="I100" s="122"/>
      <c r="J100" s="97"/>
      <c r="K100" s="97"/>
      <c r="L100" s="97"/>
      <c r="M100" s="97"/>
    </row>
    <row r="101" spans="1:13" x14ac:dyDescent="0.2">
      <c r="A101" s="122"/>
      <c r="B101" s="123"/>
      <c r="C101" s="122"/>
      <c r="D101" s="123"/>
      <c r="E101" s="123"/>
      <c r="F101" s="123"/>
      <c r="G101" s="123"/>
      <c r="H101" s="122"/>
      <c r="I101" s="122"/>
      <c r="J101" s="97"/>
      <c r="K101" s="97"/>
      <c r="L101" s="97"/>
      <c r="M101" s="97"/>
    </row>
    <row r="102" spans="1:13" x14ac:dyDescent="0.2">
      <c r="A102" s="122"/>
      <c r="B102" s="123"/>
      <c r="C102" s="122"/>
      <c r="D102" s="123"/>
      <c r="E102" s="123"/>
      <c r="F102" s="123"/>
      <c r="G102" s="123"/>
      <c r="H102" s="122"/>
      <c r="I102" s="122"/>
      <c r="J102" s="97"/>
      <c r="K102" s="97"/>
      <c r="L102" s="97"/>
      <c r="M102" s="97"/>
    </row>
    <row r="103" spans="1:13" x14ac:dyDescent="0.2">
      <c r="A103" s="125" t="s">
        <v>1438</v>
      </c>
      <c r="B103" s="97"/>
      <c r="C103" s="126" t="s">
        <v>102</v>
      </c>
      <c r="D103" s="124" t="str">
        <f>IFERROR(AVERAGEIFS(D95:D102,C95:C102,Summary!$D$4,H95:H102,"y"),"no included runs — model uses its default")</f>
        <v>no included runs — model uses its default</v>
      </c>
      <c r="E103" s="97"/>
      <c r="F103" s="97"/>
      <c r="G103" s="97"/>
      <c r="H103" s="97"/>
      <c r="I103" s="97"/>
      <c r="J103" s="97"/>
      <c r="K103" s="97"/>
      <c r="L103" s="97"/>
      <c r="M103" s="97"/>
    </row>
    <row r="104" spans="1:13" x14ac:dyDescent="0.2">
      <c r="A104" s="125" t="s">
        <v>1439</v>
      </c>
      <c r="B104" s="97"/>
      <c r="C104" s="126" t="s">
        <v>102</v>
      </c>
      <c r="D104" s="124" t="str">
        <f>IFERROR(AVERAGEIFS(E95:E102,C95:C102,Summary!$D$4,H95:H102,"y"),"no included runs — model uses its default")</f>
        <v>no included runs — model uses its default</v>
      </c>
      <c r="E104" s="97"/>
      <c r="F104" s="97"/>
      <c r="G104" s="97"/>
      <c r="H104" s="97"/>
      <c r="I104" s="97"/>
      <c r="J104" s="97"/>
      <c r="K104" s="97"/>
      <c r="L104" s="97"/>
      <c r="M104" s="97"/>
    </row>
    <row r="105" spans="1:13" x14ac:dyDescent="0.2">
      <c r="A105" s="125" t="s">
        <v>1440</v>
      </c>
      <c r="B105" s="97"/>
      <c r="C105" s="126" t="s">
        <v>102</v>
      </c>
      <c r="D105" s="124" t="str">
        <f>IFERROR(AVERAGEIFS(F95:F102,C95:C102,Summary!$D$4,H95:H102,"y"),"no included runs — model uses its default")</f>
        <v>no included runs — model uses its default</v>
      </c>
      <c r="E105" s="97"/>
      <c r="F105" s="97"/>
      <c r="G105" s="97"/>
      <c r="H105" s="97"/>
      <c r="I105" s="97"/>
      <c r="J105" s="97"/>
      <c r="K105" s="97"/>
      <c r="L105" s="97"/>
      <c r="M105" s="97"/>
    </row>
    <row r="106" spans="1:13" x14ac:dyDescent="0.2">
      <c r="A106" s="125" t="s">
        <v>1441</v>
      </c>
      <c r="B106" s="97"/>
      <c r="C106" s="126" t="s">
        <v>102</v>
      </c>
      <c r="D106" s="124" t="str">
        <f>IFERROR(AVERAGEIFS(G95:G102,C95:C102,Summary!$D$4,H95:H102,"y"),"no included runs — model uses its default")</f>
        <v>no included runs — model uses its default</v>
      </c>
      <c r="E106" s="97"/>
      <c r="F106" s="97"/>
      <c r="G106" s="97"/>
      <c r="H106" s="97"/>
      <c r="I106" s="97"/>
      <c r="J106" s="97"/>
      <c r="K106" s="97"/>
      <c r="L106" s="97"/>
      <c r="M106" s="97"/>
    </row>
    <row r="107" spans="1:13" x14ac:dyDescent="0.2">
      <c r="A107" s="97"/>
      <c r="B107" s="97"/>
      <c r="C107" s="97"/>
      <c r="D107" s="97"/>
      <c r="E107" s="97"/>
      <c r="F107" s="97"/>
      <c r="G107" s="97"/>
      <c r="H107" s="97"/>
      <c r="I107" s="97"/>
      <c r="J107" s="97"/>
      <c r="K107" s="97"/>
      <c r="L107" s="97"/>
      <c r="M107" s="97"/>
    </row>
    <row r="108" spans="1:13" x14ac:dyDescent="0.2">
      <c r="A108" s="97"/>
      <c r="B108" s="97"/>
      <c r="C108" s="97"/>
      <c r="D108" s="97"/>
      <c r="E108" s="97"/>
      <c r="F108" s="97"/>
      <c r="G108" s="97"/>
      <c r="H108" s="97"/>
      <c r="I108" s="97"/>
      <c r="J108" s="97"/>
      <c r="K108" s="97"/>
      <c r="L108" s="97"/>
      <c r="M108" s="97"/>
    </row>
    <row r="109" spans="1:13" ht="16" x14ac:dyDescent="0.2">
      <c r="A109" s="127" t="str">
        <f>HYPERLINK("https://github.com/amy-bo/electroPioreactor/blob/AEP02/Media/protocols/knallgas-stoichiometry.md","KNALLGAS UPTAKE RATIO  (per organism)")</f>
        <v>KNALLGAS UPTAKE RATIO  (per organism)</v>
      </c>
      <c r="B109" s="97"/>
      <c r="C109" s="97"/>
      <c r="D109" s="97"/>
      <c r="E109" s="97"/>
      <c r="F109" s="97"/>
      <c r="G109" s="97"/>
      <c r="H109" s="97"/>
      <c r="I109" s="97"/>
      <c r="J109" s="97"/>
      <c r="K109" s="97"/>
      <c r="L109" s="97"/>
      <c r="M109" s="97"/>
    </row>
    <row r="110" spans="1:13" x14ac:dyDescent="0.2">
      <c r="A110" s="97" t="s">
        <v>1442</v>
      </c>
      <c r="B110" s="97"/>
      <c r="C110" s="97"/>
      <c r="D110" s="97"/>
      <c r="E110" s="97"/>
      <c r="F110" s="97"/>
      <c r="G110" s="97"/>
      <c r="H110" s="97"/>
      <c r="I110" s="97"/>
      <c r="J110" s="97"/>
      <c r="K110" s="97"/>
      <c r="L110" s="97"/>
      <c r="M110" s="97"/>
    </row>
    <row r="111" spans="1:13" x14ac:dyDescent="0.2">
      <c r="A111" s="128" t="s">
        <v>1397</v>
      </c>
      <c r="B111" s="128" t="s">
        <v>1398</v>
      </c>
      <c r="C111" s="128" t="s">
        <v>522</v>
      </c>
      <c r="D111" s="128" t="s">
        <v>1443</v>
      </c>
      <c r="E111" s="128" t="s">
        <v>1444</v>
      </c>
      <c r="F111" s="128" t="s">
        <v>1445</v>
      </c>
      <c r="G111" s="128" t="s">
        <v>1402</v>
      </c>
      <c r="H111" s="128" t="s">
        <v>1403</v>
      </c>
      <c r="I111" s="97"/>
      <c r="J111" s="97"/>
      <c r="K111" s="97"/>
      <c r="L111" s="97"/>
      <c r="M111" s="97"/>
    </row>
    <row r="112" spans="1:13" x14ac:dyDescent="0.2">
      <c r="A112" s="122"/>
      <c r="B112" s="123"/>
      <c r="C112" s="122"/>
      <c r="D112" s="123"/>
      <c r="E112" s="123"/>
      <c r="F112" s="123"/>
      <c r="G112" s="122"/>
      <c r="H112" s="122"/>
      <c r="I112" s="97"/>
      <c r="J112" s="97"/>
      <c r="K112" s="97"/>
      <c r="L112" s="97"/>
      <c r="M112" s="97"/>
    </row>
    <row r="113" spans="1:13" x14ac:dyDescent="0.2">
      <c r="A113" s="122"/>
      <c r="B113" s="123"/>
      <c r="C113" s="122"/>
      <c r="D113" s="123"/>
      <c r="E113" s="123"/>
      <c r="F113" s="123"/>
      <c r="G113" s="122"/>
      <c r="H113" s="122"/>
      <c r="I113" s="97"/>
      <c r="J113" s="97"/>
      <c r="K113" s="97"/>
      <c r="L113" s="97"/>
      <c r="M113" s="97"/>
    </row>
    <row r="114" spans="1:13" x14ac:dyDescent="0.2">
      <c r="A114" s="122"/>
      <c r="B114" s="123"/>
      <c r="C114" s="122"/>
      <c r="D114" s="123"/>
      <c r="E114" s="123"/>
      <c r="F114" s="123"/>
      <c r="G114" s="122"/>
      <c r="H114" s="122"/>
      <c r="I114" s="97"/>
      <c r="J114" s="97"/>
      <c r="K114" s="97"/>
      <c r="L114" s="97"/>
      <c r="M114" s="97"/>
    </row>
    <row r="115" spans="1:13" x14ac:dyDescent="0.2">
      <c r="A115" s="122"/>
      <c r="B115" s="123"/>
      <c r="C115" s="122"/>
      <c r="D115" s="123"/>
      <c r="E115" s="123"/>
      <c r="F115" s="123"/>
      <c r="G115" s="122"/>
      <c r="H115" s="122"/>
      <c r="I115" s="97"/>
      <c r="J115" s="97"/>
      <c r="K115" s="97"/>
      <c r="L115" s="97"/>
      <c r="M115" s="97"/>
    </row>
    <row r="116" spans="1:13" x14ac:dyDescent="0.2">
      <c r="A116" s="122"/>
      <c r="B116" s="123"/>
      <c r="C116" s="122"/>
      <c r="D116" s="123"/>
      <c r="E116" s="123"/>
      <c r="F116" s="123"/>
      <c r="G116" s="122"/>
      <c r="H116" s="122"/>
      <c r="I116" s="97"/>
      <c r="J116" s="97"/>
      <c r="K116" s="97"/>
      <c r="L116" s="97"/>
      <c r="M116" s="97"/>
    </row>
    <row r="117" spans="1:13" x14ac:dyDescent="0.2">
      <c r="A117" s="122"/>
      <c r="B117" s="123"/>
      <c r="C117" s="122"/>
      <c r="D117" s="123"/>
      <c r="E117" s="123"/>
      <c r="F117" s="123"/>
      <c r="G117" s="122"/>
      <c r="H117" s="122"/>
      <c r="I117" s="97"/>
      <c r="J117" s="97"/>
      <c r="K117" s="97"/>
      <c r="L117" s="97"/>
      <c r="M117" s="97"/>
    </row>
    <row r="118" spans="1:13" x14ac:dyDescent="0.2">
      <c r="A118" s="122"/>
      <c r="B118" s="123"/>
      <c r="C118" s="122"/>
      <c r="D118" s="123"/>
      <c r="E118" s="123"/>
      <c r="F118" s="123"/>
      <c r="G118" s="122"/>
      <c r="H118" s="122"/>
      <c r="I118" s="97"/>
      <c r="J118" s="97"/>
      <c r="K118" s="97"/>
      <c r="L118" s="97"/>
      <c r="M118" s="97"/>
    </row>
    <row r="119" spans="1:13" x14ac:dyDescent="0.2">
      <c r="A119" s="122"/>
      <c r="B119" s="123"/>
      <c r="C119" s="122"/>
      <c r="D119" s="123"/>
      <c r="E119" s="123"/>
      <c r="F119" s="123"/>
      <c r="G119" s="122"/>
      <c r="H119" s="122"/>
      <c r="I119" s="97"/>
      <c r="J119" s="97"/>
      <c r="K119" s="97"/>
      <c r="L119" s="97"/>
      <c r="M119" s="97"/>
    </row>
    <row r="120" spans="1:13" x14ac:dyDescent="0.2">
      <c r="A120" s="125" t="s">
        <v>1446</v>
      </c>
      <c r="B120" s="97"/>
      <c r="C120" s="126" t="s">
        <v>1447</v>
      </c>
      <c r="D120" s="124" t="str">
        <f>IFERROR(AVERAGEIFS(D112:D119,C112:C119,Summary!$D$4,G112:G119,"y"),"no included runs — model uses its default")</f>
        <v>no included runs — model uses its default</v>
      </c>
      <c r="E120" s="97"/>
      <c r="F120" s="97"/>
      <c r="G120" s="97"/>
      <c r="H120" s="97"/>
      <c r="I120" s="97"/>
      <c r="J120" s="97"/>
      <c r="K120" s="97"/>
      <c r="L120" s="97"/>
      <c r="M120" s="97"/>
    </row>
    <row r="121" spans="1:13" x14ac:dyDescent="0.2">
      <c r="A121" s="125" t="s">
        <v>1448</v>
      </c>
      <c r="B121" s="97"/>
      <c r="C121" s="126" t="s">
        <v>1447</v>
      </c>
      <c r="D121" s="124" t="str">
        <f>IFERROR(AVERAGEIFS(E112:E119,C112:C119,Summary!$D$4,G112:G119,"y"),"no included runs — model uses its default")</f>
        <v>no included runs — model uses its default</v>
      </c>
      <c r="E121" s="97"/>
      <c r="F121" s="97"/>
      <c r="G121" s="97"/>
      <c r="H121" s="97"/>
      <c r="I121" s="97"/>
      <c r="J121" s="97"/>
      <c r="K121" s="97"/>
      <c r="L121" s="97"/>
      <c r="M121" s="97"/>
    </row>
    <row r="122" spans="1:13" x14ac:dyDescent="0.2">
      <c r="A122" s="125" t="s">
        <v>1449</v>
      </c>
      <c r="B122" s="97"/>
      <c r="C122" s="126" t="s">
        <v>1447</v>
      </c>
      <c r="D122" s="124" t="str">
        <f>IFERROR(AVERAGEIFS(F112:F119,C112:C119,Summary!$D$4,G112:G119,"y"),"no included runs — model uses its default")</f>
        <v>no included runs — model uses its default</v>
      </c>
      <c r="E122" s="97"/>
      <c r="F122" s="97"/>
      <c r="G122" s="97"/>
      <c r="H122" s="97"/>
      <c r="I122" s="97"/>
      <c r="J122" s="97"/>
      <c r="K122" s="97"/>
      <c r="L122" s="97"/>
      <c r="M122" s="97"/>
    </row>
    <row r="123" spans="1:13" x14ac:dyDescent="0.2">
      <c r="A123" s="97"/>
      <c r="B123" s="97"/>
      <c r="C123" s="97"/>
      <c r="D123" s="97"/>
      <c r="E123" s="97"/>
      <c r="F123" s="97"/>
      <c r="G123" s="97"/>
      <c r="H123" s="97"/>
      <c r="I123" s="97"/>
      <c r="J123" s="97"/>
      <c r="K123" s="97"/>
      <c r="L123" s="97"/>
      <c r="M123" s="97"/>
    </row>
    <row r="124" spans="1:13" x14ac:dyDescent="0.2">
      <c r="A124" s="97"/>
      <c r="B124" s="97"/>
      <c r="C124" s="97"/>
      <c r="D124" s="97"/>
      <c r="E124" s="97"/>
      <c r="F124" s="97"/>
      <c r="G124" s="97"/>
      <c r="H124" s="97"/>
      <c r="I124" s="97"/>
      <c r="J124" s="97"/>
      <c r="K124" s="97"/>
      <c r="L124" s="97"/>
      <c r="M124" s="97"/>
    </row>
    <row r="125" spans="1:13" ht="16" x14ac:dyDescent="0.2">
      <c r="A125" s="127" t="str">
        <f>HYPERLINK("https://github.com/amy-bo/electroPioreactor/blob/AEP02/Media/protocols/current-density-screen.md","CURRENT-DENSITY TOLERANCE  (per organism)")</f>
        <v>CURRENT-DENSITY TOLERANCE  (per organism)</v>
      </c>
      <c r="B125" s="97"/>
      <c r="C125" s="97"/>
      <c r="D125" s="97"/>
      <c r="E125" s="97"/>
      <c r="F125" s="97"/>
      <c r="G125" s="97"/>
      <c r="H125" s="97"/>
      <c r="I125" s="97"/>
      <c r="J125" s="97"/>
      <c r="K125" s="97"/>
      <c r="L125" s="97"/>
      <c r="M125" s="97"/>
    </row>
    <row r="126" spans="1:13" x14ac:dyDescent="0.2">
      <c r="A126" s="97" t="s">
        <v>1450</v>
      </c>
      <c r="B126" s="97"/>
      <c r="C126" s="97"/>
      <c r="D126" s="97"/>
      <c r="E126" s="97"/>
      <c r="F126" s="97"/>
      <c r="G126" s="97"/>
      <c r="H126" s="97"/>
      <c r="I126" s="97"/>
      <c r="J126" s="97"/>
      <c r="K126" s="97"/>
      <c r="L126" s="97"/>
      <c r="M126" s="97"/>
    </row>
    <row r="127" spans="1:13" x14ac:dyDescent="0.2">
      <c r="A127" s="128" t="s">
        <v>1397</v>
      </c>
      <c r="B127" s="128" t="s">
        <v>1398</v>
      </c>
      <c r="C127" s="128" t="s">
        <v>522</v>
      </c>
      <c r="D127" s="128" t="s">
        <v>1451</v>
      </c>
      <c r="E127" s="128" t="s">
        <v>1452</v>
      </c>
      <c r="F127" s="128" t="s">
        <v>1402</v>
      </c>
      <c r="G127" s="128" t="s">
        <v>1403</v>
      </c>
      <c r="H127" s="97"/>
      <c r="I127" s="97"/>
      <c r="J127" s="97"/>
      <c r="K127" s="97"/>
      <c r="L127" s="97"/>
      <c r="M127" s="97"/>
    </row>
    <row r="128" spans="1:13" x14ac:dyDescent="0.2">
      <c r="A128" s="122"/>
      <c r="B128" s="123"/>
      <c r="C128" s="122"/>
      <c r="D128" s="123"/>
      <c r="E128" s="123"/>
      <c r="F128" s="122"/>
      <c r="G128" s="122"/>
      <c r="H128" s="97"/>
      <c r="I128" s="97"/>
      <c r="J128" s="97"/>
      <c r="K128" s="97"/>
      <c r="L128" s="97"/>
      <c r="M128" s="97"/>
    </row>
    <row r="129" spans="1:13" x14ac:dyDescent="0.2">
      <c r="A129" s="122"/>
      <c r="B129" s="123"/>
      <c r="C129" s="122"/>
      <c r="D129" s="123"/>
      <c r="E129" s="123"/>
      <c r="F129" s="122"/>
      <c r="G129" s="122"/>
      <c r="H129" s="97"/>
      <c r="I129" s="97"/>
      <c r="J129" s="97"/>
      <c r="K129" s="97"/>
      <c r="L129" s="97"/>
      <c r="M129" s="97"/>
    </row>
    <row r="130" spans="1:13" x14ac:dyDescent="0.2">
      <c r="A130" s="122"/>
      <c r="B130" s="123"/>
      <c r="C130" s="122"/>
      <c r="D130" s="123"/>
      <c r="E130" s="123"/>
      <c r="F130" s="122"/>
      <c r="G130" s="122"/>
      <c r="H130" s="97"/>
      <c r="I130" s="97"/>
      <c r="J130" s="97"/>
      <c r="K130" s="97"/>
      <c r="L130" s="97"/>
      <c r="M130" s="97"/>
    </row>
    <row r="131" spans="1:13" x14ac:dyDescent="0.2">
      <c r="A131" s="122"/>
      <c r="B131" s="123"/>
      <c r="C131" s="122"/>
      <c r="D131" s="123"/>
      <c r="E131" s="123"/>
      <c r="F131" s="122"/>
      <c r="G131" s="122"/>
      <c r="H131" s="97"/>
      <c r="I131" s="97"/>
      <c r="J131" s="97"/>
      <c r="K131" s="97"/>
      <c r="L131" s="97"/>
      <c r="M131" s="97"/>
    </row>
    <row r="132" spans="1:13" x14ac:dyDescent="0.2">
      <c r="A132" s="122"/>
      <c r="B132" s="123"/>
      <c r="C132" s="122"/>
      <c r="D132" s="123"/>
      <c r="E132" s="123"/>
      <c r="F132" s="122"/>
      <c r="G132" s="122"/>
      <c r="H132" s="97"/>
      <c r="I132" s="97"/>
      <c r="J132" s="97"/>
      <c r="K132" s="97"/>
      <c r="L132" s="97"/>
      <c r="M132" s="97"/>
    </row>
    <row r="133" spans="1:13" x14ac:dyDescent="0.2">
      <c r="A133" s="122"/>
      <c r="B133" s="123"/>
      <c r="C133" s="122"/>
      <c r="D133" s="123"/>
      <c r="E133" s="123"/>
      <c r="F133" s="122"/>
      <c r="G133" s="122"/>
      <c r="H133" s="97"/>
      <c r="I133" s="97"/>
      <c r="J133" s="97"/>
      <c r="K133" s="97"/>
      <c r="L133" s="97"/>
      <c r="M133" s="97"/>
    </row>
    <row r="134" spans="1:13" x14ac:dyDescent="0.2">
      <c r="A134" s="122"/>
      <c r="B134" s="123"/>
      <c r="C134" s="122"/>
      <c r="D134" s="123"/>
      <c r="E134" s="123"/>
      <c r="F134" s="122"/>
      <c r="G134" s="122"/>
      <c r="H134" s="97"/>
      <c r="I134" s="97"/>
      <c r="J134" s="97"/>
      <c r="K134" s="97"/>
      <c r="L134" s="97"/>
      <c r="M134" s="97"/>
    </row>
    <row r="135" spans="1:13" x14ac:dyDescent="0.2">
      <c r="A135" s="122"/>
      <c r="B135" s="123"/>
      <c r="C135" s="122"/>
      <c r="D135" s="123"/>
      <c r="E135" s="123"/>
      <c r="F135" s="122"/>
      <c r="G135" s="122"/>
      <c r="H135" s="97"/>
      <c r="I135" s="97"/>
      <c r="J135" s="97"/>
      <c r="K135" s="97"/>
      <c r="L135" s="97"/>
      <c r="M135" s="97"/>
    </row>
    <row r="136" spans="1:13" x14ac:dyDescent="0.2">
      <c r="A136" s="125" t="s">
        <v>1453</v>
      </c>
      <c r="B136" s="97"/>
      <c r="C136" s="126" t="s">
        <v>1282</v>
      </c>
      <c r="D136" s="124" t="str">
        <f>IFERROR(AVERAGEIFS(D128:D135,C128:C135,Summary!$D$4,F128:F135,"y"),"no included runs — model uses its default")</f>
        <v>no included runs — model uses its default</v>
      </c>
      <c r="E136" s="97"/>
      <c r="F136" s="97"/>
      <c r="G136" s="97"/>
      <c r="H136" s="97"/>
      <c r="I136" s="97"/>
      <c r="J136" s="97"/>
      <c r="K136" s="97"/>
      <c r="L136" s="97"/>
      <c r="M136" s="97"/>
    </row>
    <row r="137" spans="1:13" x14ac:dyDescent="0.2">
      <c r="A137" s="125" t="s">
        <v>1454</v>
      </c>
      <c r="B137" s="97"/>
      <c r="C137" s="126" t="s">
        <v>1282</v>
      </c>
      <c r="D137" s="124" t="str">
        <f>IFERROR(AVERAGEIFS(E128:E135,C128:C135,Summary!$D$4,F128:F135,"y"),"no included runs — model uses its default")</f>
        <v>no included runs — model uses its default</v>
      </c>
      <c r="E137" s="97"/>
      <c r="F137" s="97"/>
      <c r="G137" s="97"/>
      <c r="H137" s="97"/>
      <c r="I137" s="97"/>
      <c r="J137" s="97"/>
      <c r="K137" s="97"/>
      <c r="L137" s="97"/>
      <c r="M137" s="97"/>
    </row>
    <row r="138" spans="1:13" x14ac:dyDescent="0.2">
      <c r="A138" s="97"/>
      <c r="B138" s="97"/>
      <c r="C138" s="97"/>
      <c r="D138" s="97"/>
      <c r="E138" s="97"/>
      <c r="F138" s="97"/>
      <c r="G138" s="97"/>
      <c r="H138" s="97"/>
      <c r="I138" s="97"/>
      <c r="J138" s="97"/>
      <c r="K138" s="97"/>
      <c r="L138" s="97"/>
      <c r="M138" s="97"/>
    </row>
    <row r="139" spans="1:13" x14ac:dyDescent="0.2">
      <c r="A139" s="4" t="inlineStr">
        <is>
          <t xml:space="preserve">NAMED CONSTANTS AND IMPORTS</t>
        </is>
      </c>
      <c r="B139" s="97"/>
      <c r="C139" s="97"/>
      <c r="D139" s="97"/>
      <c r="E139" s="97"/>
      <c r="F139" s="97"/>
      <c r="G139" s="97"/>
      <c r="H139" s="97"/>
      <c r="I139" s="97"/>
      <c r="J139" s="97"/>
      <c r="K139" s="97"/>
      <c r="L139" s="97"/>
      <c r="M139" s="97"/>
    </row>
    <row r="140">
      <c r="A140" s="17" t="inlineStr">
        <is>
          <t xml:space="preserve">Bubble-point constant (water)</t>
        </is>
      </c>
      <c r="B140" s="97" t="inlineStr">
        <is>
          <t xml:space="preserve">bp_const</t>
        </is>
      </c>
      <c r="C140" s="19" t="inlineStr">
        <is>
          <t xml:space="preserve">µm·kPa</t>
        </is>
      </c>
      <c r="D140" s="163">
        <v>291.2</v>
      </c>
      <c r="E140" s="97" t="inlineStr">
        <is>
          <t xml:space="preserve">Bubble-point law d = 4σ/ΔP for water (σ = 72.8 mN/m, θ = 0): d in µm with ΔP in kPa.</t>
        </is>
      </c>
    </row>
    <row r="141">
      <c r="A141" s="17" t="inlineStr">
        <is>
          <t xml:space="preserve">Sinter grade boundary P0/P1</t>
        </is>
      </c>
      <c r="B141" s="97" t="inlineStr">
        <is>
          <t xml:space="preserve">por_break_1</t>
        </is>
      </c>
      <c r="C141" s="19" t="inlineStr">
        <is>
          <t xml:space="preserve">µm</t>
        </is>
      </c>
      <c r="D141" s="163">
        <v>160</v>
      </c>
      <c r="E141" s="97" t="inlineStr">
        <is>
          <t xml:space="preserve">ISO 4793 / DURAN pore-size grade boundary between P0 and P1 (Mass Transfer E33:E38).</t>
        </is>
      </c>
    </row>
    <row r="142">
      <c r="A142" s="17" t="inlineStr">
        <is>
          <t xml:space="preserve">Sinter grade boundary P1/P2</t>
        </is>
      </c>
      <c r="B142" s="97" t="inlineStr">
        <is>
          <t xml:space="preserve">por_break_2</t>
        </is>
      </c>
      <c r="C142" s="19" t="inlineStr">
        <is>
          <t xml:space="preserve">µm</t>
        </is>
      </c>
      <c r="D142" s="163">
        <v>100</v>
      </c>
      <c r="E142" s="97" t="inlineStr">
        <is>
          <t xml:space="preserve">ISO 4793 / DURAN pore-size grade boundary between P1 and P2 (Mass Transfer E33:E38).</t>
        </is>
      </c>
    </row>
    <row r="143">
      <c r="A143" s="17" t="inlineStr">
        <is>
          <t xml:space="preserve">Sinter grade boundary P2/P3</t>
        </is>
      </c>
      <c r="B143" s="97" t="inlineStr">
        <is>
          <t xml:space="preserve">por_break_3</t>
        </is>
      </c>
      <c r="C143" s="19" t="inlineStr">
        <is>
          <t xml:space="preserve">µm</t>
        </is>
      </c>
      <c r="D143" s="163">
        <v>40</v>
      </c>
      <c r="E143" s="97" t="inlineStr">
        <is>
          <t xml:space="preserve">ISO 4793 / DURAN pore-size grade boundary between P2 and P3 (Mass Transfer E33:E38).</t>
        </is>
      </c>
    </row>
    <row r="144">
      <c r="A144" s="17" t="inlineStr">
        <is>
          <t xml:space="preserve">Sinter grade boundary P3/P4</t>
        </is>
      </c>
      <c r="B144" s="97" t="inlineStr">
        <is>
          <t xml:space="preserve">por_break_4</t>
        </is>
      </c>
      <c r="C144" s="19" t="inlineStr">
        <is>
          <t xml:space="preserve">µm</t>
        </is>
      </c>
      <c r="D144" s="163">
        <v>16</v>
      </c>
      <c r="E144" s="97" t="inlineStr">
        <is>
          <t xml:space="preserve">ISO 4793 / DURAN pore-size grade boundary between P3 and P4 (Mass Transfer E33:E38).</t>
        </is>
      </c>
    </row>
    <row r="145">
      <c r="A145" s="17" t="inlineStr">
        <is>
          <t xml:space="preserve">Sinter grade boundary P4/P5</t>
        </is>
      </c>
      <c r="B145" s="97" t="inlineStr">
        <is>
          <t xml:space="preserve">por_break_5</t>
        </is>
      </c>
      <c r="C145" s="19" t="inlineStr">
        <is>
          <t xml:space="preserve">µm</t>
        </is>
      </c>
      <c r="D145" s="163">
        <v>10</v>
      </c>
      <c r="E145" s="97" t="inlineStr">
        <is>
          <t xml:space="preserve">ISO 4793 / DURAN pore-size grade boundary between P4 and P5 (Mass Transfer E33:E38).</t>
        </is>
      </c>
    </row>
    <row r="146">
      <c r="A146" s="17" t="inlineStr">
        <is>
          <t xml:space="preserve">(import) Electrons per H₂</t>
        </is>
      </c>
      <c r="B146" s="97" t="inlineStr">
        <is>
          <t xml:space="preserve">z_e_H2</t>
        </is>
      </c>
      <c r="C146" s="19" t="inlineStr">
        <is>
          <t xml:space="preserve">-</t>
        </is>
      </c>
      <c r="D146" s="164">
        <f>Electrochemistry!$D$16</f>
        <v>2.0</v>
      </c>
      <c r="E146" s="165" t="inlineStr">
        <is>
          <t xml:space="preserve">Import from Electrochemistry!D16</t>
        </is>
      </c>
    </row>
    <row r="147">
      <c r="A147" s="17" t="inlineStr">
        <is>
          <t xml:space="preserve">(import) Electrons per O₂</t>
        </is>
      </c>
      <c r="B147" s="97" t="inlineStr">
        <is>
          <t xml:space="preserve">z_e_O2</t>
        </is>
      </c>
      <c r="C147" s="19" t="inlineStr">
        <is>
          <t xml:space="preserve">-</t>
        </is>
      </c>
      <c r="D147" s="164">
        <f>Electrochemistry!$D$17</f>
        <v>4.0</v>
      </c>
      <c r="E147" s="165" t="inlineStr">
        <is>
          <t xml:space="preserve">Import from Electrochemistry!D17</t>
        </is>
      </c>
    </row>
    <row r="148">
      <c r="A148" s="17" t="inlineStr">
        <is>
          <t xml:space="preserve">(import) Celsius-to-kelvin offset</t>
        </is>
      </c>
      <c r="B148" s="97" t="inlineStr">
        <is>
          <t xml:space="preserve">T_zero_C</t>
        </is>
      </c>
      <c r="C148" s="19" t="inlineStr">
        <is>
          <t xml:space="preserve">K</t>
        </is>
      </c>
      <c r="D148" s="164">
        <f>Biology!$D$66</f>
        <v>273.15</v>
      </c>
      <c r="E148" s="165" t="inlineStr">
        <is>
          <t xml:space="preserve">Import from Biology!D66</t>
        </is>
      </c>
    </row>
  </sheetData>
  <dataValidations count="4">
    <dataValidation type="list" allowBlank="1" showInputMessage="1" showErrorMessage="1" sqref="C8:C15 C81:C88 C66:C73 C52:C59 C38:C45 C23:C30" xr:uid="{00000000-0002-0000-0700-000000000000}">
      <formula1>ReactorList</formula1>
    </dataValidation>
    <dataValidation type="list" allowBlank="1" showInputMessage="1" showErrorMessage="1" sqref="G8:G15 F128:F135 G112:G119 H95:H102 G81:G88 J66:J73 H52:H59 F38:F45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28:C135 C112:C119" xr:uid="{00000000-0002-0000-0700-00000D000000}">
      <formula1>OrganismList</formula1>
    </dataValidation>
  </dataValidations>
  <pageMargins left="0.75" right="0.75" top="1" bottom="1" header="0.5" footer="0.5"/>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557</vt:i4>
      </vt:variant>
    </vt:vector>
  </HeadingPairs>
  <TitlesOfParts>
    <vt:vector size="565" baseType="lpstr">
      <vt:lpstr>Summary</vt:lpstr>
      <vt:lpstr>Geometry</vt:lpstr>
      <vt:lpstr>Electrochemistry</vt:lpstr>
      <vt:lpstr>Chemistry</vt:lpstr>
      <vt:lpstr>Biology</vt:lpstr>
      <vt:lpstr>Mass Transfer</vt:lpstr>
      <vt:lpstr>CO2 flows</vt:lpstr>
      <vt:lpstr>Calibrations</vt:lpstr>
      <vt:lpstr>Chemistry!A_anode</vt:lpstr>
      <vt:lpstr>Electrochemistry!A_anode_wet</vt:lpstr>
      <vt:lpstr>Electrochemistry!A_cath_wet</vt:lpstr>
      <vt:lpstr>Chemistry!A_DH</vt:lpstr>
      <vt:lpstr>'Mass Transfer'!a_int</vt:lpstr>
      <vt:lpstr>'Mass Transfer'!a_surf</vt:lpstr>
      <vt:lpstr>Geometry!A_x</vt:lpstr>
      <vt:lpstr>'Mass Transfer'!A_x</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Biology!bio_CO2</vt:lpstr>
      <vt:lpstr>Biology!bio_H2</vt:lpstr>
      <vt:lpstr>Biology!bio_O2</vt:lpstr>
      <vt:lpstr>Chemistry!bleach_flag</vt:lpstr>
      <vt:lpstr>Chemistry!bleach_rate</vt:lpstr>
      <vt:lpstr>Chemistry!bleach_t1ppm</vt:lpstr>
      <vt:lpstr>'Mass Transfer'!bubble_regime</vt:lpstr>
      <vt:lpstr>Chemistry!buffer_flag</vt:lpstr>
      <vt:lpstr>'Mass Transfer'!C_air_CO2</vt:lpstr>
      <vt:lpstr>'Mass Transfer'!C_cycle_peak</vt:lpstr>
      <vt:lpstr>'Mass Transfer'!C_cycle_start</vt:lpstr>
      <vt:lpstr>Chemistry!C_eff</vt:lpstr>
      <vt:lpstr>Chemistry!C_eff_Cl2</vt:lpstr>
      <vt:lpstr>Chemistry!C_eff_hi</vt:lpstr>
      <vt:lpstr>Chemistry!C_eff_lo</vt:lpstr>
      <vt:lpstr>Biology!C_H2_sat</vt:lpstr>
      <vt:lpstr>'Mass Transfer'!C_sat_CO2</vt:lpstr>
      <vt:lpstr>'Mass Transfer'!Ca_CO2</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cal_j_ceiling</vt:lpstr>
      <vt:lpstr>cal_j_opt</vt:lpstr>
      <vt:lpstr>cal_kLa</vt:lpstr>
      <vt:lpstr>cal_knall_CO2</vt:lpstr>
      <vt:lpstr>cal_knall_H2</vt:lpstr>
      <vt:lpstr>cal_knall_O2</vt:lpstr>
      <vt:lpstr>cal_sinter</vt:lpstr>
      <vt:lpstr>cal_Vtot</vt:lpstr>
      <vt:lpstr>'Mass Transfer'!cal_warning</vt:lpstr>
      <vt:lpstr>'Mass Transfer'!carbon_margin_min</vt:lpstr>
      <vt:lpstr>'Mass Transfer'!carry_flag</vt:lpstr>
      <vt:lpstr>Electrochemistry!cath_j_cont</vt:lpstr>
      <vt:lpstr>Electrochemistry!cath_j_max</vt:lpstr>
      <vt:lpstr>Electrochemistry!cathode_dia</vt:lpstr>
      <vt:lpstr>Electrochemistry!cathode_shape</vt:lpstr>
      <vt:lpstr>'Mass Transfer'!Cb_CO2</vt:lpstr>
      <vt:lpstr>Chemistry!Cl_kill</vt:lpstr>
      <vt:lpstr>Chemistry!Cl_mc02</vt:lpstr>
      <vt:lpstr>Chemistry!Cl_onset</vt:lpstr>
      <vt:lpstr>Chemistry!cl_per_N</vt:lpstr>
      <vt:lpstr>Chemistry!Cl_pool_mgL</vt:lpstr>
      <vt:lpstr>Chemistry!Cl_udg</vt:lpstr>
      <vt:lpstr>Biology!CO2_carbon_margin</vt:lpstr>
      <vt:lpstr>Biology!CO2_cons</vt:lpstr>
      <vt:lpstr>'Mass Transfer'!CO2_cons</vt:lpstr>
      <vt:lpstr>'Mass Transfer'!CO2_cyc_avg</vt:lpstr>
      <vt:lpstr>'Mass Transfer'!CO2_cyc_avg_new</vt:lpstr>
      <vt:lpstr>Biology!CO2_diss</vt:lpstr>
      <vt:lpstr>'Mass Transfer'!CO2_int_off</vt:lpstr>
      <vt:lpstr>'Mass Transfer'!CO2_int_on</vt:lpstr>
      <vt:lpstr>'Mass Transfer'!CO2_pulse</vt:lpstr>
      <vt:lpstr>'Mass Transfer'!CO2_rate_full</vt:lpstr>
      <vt:lpstr>'Mass Transfer'!CO2_sd_ratio</vt:lpstr>
      <vt:lpstr>'Mass Transfer'!CO2_supply</vt:lpstr>
      <vt:lpstr>Chemistry!CO2aqc</vt:lpstr>
      <vt:lpstr>'Mass Transfer'!CO2aqc_ss</vt:lpstr>
      <vt:lpstr>'Mass Transfer'!coef_CO2</vt:lpstr>
      <vt:lpstr>Chemistry!corr_I_frac</vt:lpstr>
      <vt:lpstr>'Mass Transfer'!d_bubble</vt:lpstr>
      <vt:lpstr>'Mass Transfer'!d_bubble_mm</vt:lpstr>
      <vt:lpstr>'Mass Transfer'!D_CO2</vt:lpstr>
      <vt:lpstr>'Mass Transfer'!D_CO2_ref</vt:lpstr>
      <vt:lpstr>Chemistry!D_HPO4</vt:lpstr>
      <vt:lpstr>Geometry!D_int</vt:lpstr>
      <vt:lpstr>Geometry!D_int_1</vt:lpstr>
      <vt:lpstr>Geometry!D_int_2</vt:lpstr>
      <vt:lpstr>'Mass Transfer'!D_O2</vt:lpstr>
      <vt:lpstr>'Mass Transfer'!d_orifice</vt:lpstr>
      <vt:lpstr>Chemistry!delta_diff</vt:lpstr>
      <vt:lpstr>Geometry!depth_warn</vt:lpstr>
      <vt:lpstr>Geometry!disp_tot</vt:lpstr>
      <vt:lpstr>Biology!DO_frac_fallback</vt:lpstr>
      <vt:lpstr>Biology!DO_frac_target</vt:lpstr>
      <vt:lpstr>'Mass Transfer'!DO_hs_floor</vt:lpstr>
      <vt:lpstr>Biology!DO_impair</vt:lpstr>
      <vt:lpstr>'Mass Transfer'!DO_impair</vt:lpstr>
      <vt:lpstr>Biology!DO_min</vt:lpstr>
      <vt:lpstr>'Mass Transfer'!DO_min</vt:lpstr>
      <vt:lpstr>Biology!DO_opt</vt:lpstr>
      <vt:lpstr>'Mass Transfer'!DO_opt</vt:lpstr>
      <vt:lpstr>'Mass Transfer'!DO_ss</vt:lpstr>
      <vt:lpstr>'Mass Transfer'!DO_ss_sawtooth</vt:lpstr>
      <vt:lpstr>'Mass Transfer'!DO_ss_sawtooth_lag</vt:lpstr>
      <vt:lpstr>'Mass Transfer'!DO_ss_vs_min</vt:lpstr>
      <vt:lpstr>'Mass Transfer'!DO_ss_vs_opt</vt:lpstr>
      <vt:lpstr>'Mass Transfer'!DO_surf_excess</vt:lpstr>
      <vt:lpstr>'Mass Transfer'!DO_surf_excess_lag</vt:lpstr>
      <vt:lpstr>'Mass Transfer'!DO_target</vt:lpstr>
      <vt:lpstr>Biology!DO_toxic</vt:lpstr>
      <vt:lpstr>'Mass Transfer'!DO_toxic</vt:lpstr>
      <vt:lpstr>'Mass Transfer'!DO_vent_eq</vt:lpstr>
      <vt:lpstr>'Mass Transfer'!dur_ok</vt:lpstr>
      <vt:lpstr>'Mass Transfer'!duty</vt:lpstr>
      <vt:lpstr>'Mass Transfer'!duty_actual</vt:lpstr>
      <vt:lpstr>'Mass Transfer'!duty_carbon</vt:lpstr>
      <vt:lpstr>'Mass Transfer'!duty_DO</vt:lpstr>
      <vt:lpstr>'Mass Transfer'!duty_O2vent</vt:lpstr>
      <vt:lpstr>'Mass Transfer'!duty_opt</vt:lpstr>
      <vt:lpstr>Chemistry!E_Cl_margin</vt:lpstr>
      <vt:lpstr>Chemistry!E_Cl2</vt:lpstr>
      <vt:lpstr>Chemistry!E_Cu_margin</vt:lpstr>
      <vt:lpstr>Chemistry!E_HER</vt:lpstr>
      <vt:lpstr>Chemistry!E_OER</vt:lpstr>
      <vt:lpstr>Chemistry!E_ORR2</vt:lpstr>
      <vt:lpstr>Chemistry!E0_Cl2</vt:lpstr>
      <vt:lpstr>Chemistry!E0_Cu</vt:lpstr>
      <vt:lpstr>Chemistry!E0_HER</vt:lpstr>
      <vt:lpstr>Chemistry!E0_OER</vt:lpstr>
      <vt:lpstr>Chemistry!E0_ORR2</vt:lpstr>
      <vt:lpstr>'Mass Transfer'!e1_CO2</vt:lpstr>
      <vt:lpstr>'Mass Transfer'!e2_CO2</vt:lpstr>
      <vt:lpstr>'Mass Transfer'!Ea_D_CO2</vt:lpstr>
      <vt:lpstr>Electrochemistry!ec_corr_I</vt:lpstr>
      <vt:lpstr>Electrochemistry!ec_D_O2</vt:lpstr>
      <vt:lpstr>Electrochemistry!ec_DO_design</vt:lpstr>
      <vt:lpstr>Electrochemistry!ec_DO_frac</vt:lpstr>
      <vt:lpstr>Electrochemistry!ec_E_rev</vt:lpstr>
      <vt:lpstr>Electrochemistry!ec_gap</vt:lpstr>
      <vt:lpstr>Electrochemistry!ec_I_Cl</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'Mass Transfer'!eon_CO2</vt:lpstr>
      <vt:lpstr>Electrochemistry!eta_anode</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Electrochemistry!F_const</vt:lpstr>
      <vt:lpstr>Electrochemistry!f_HOOH</vt:lpstr>
      <vt:lpstr>Chemistry!f_local</vt:lpstr>
      <vt:lpstr>Chemistry!Fcc</vt:lpstr>
      <vt:lpstr>Chemistry!FE_CER</vt:lpstr>
      <vt:lpstr>'Mass Transfer'!flowrate_cal</vt:lpstr>
      <vt:lpstr>'Mass Transfer'!flush_factor</vt:lpstr>
      <vt:lpstr>'Mass Transfer'!g_const</vt:lpstr>
      <vt:lpstr>Chemistry!gamma_1</vt:lpstr>
      <vt:lpstr>Chemistry!gamma_2</vt:lpstr>
      <vt:lpstr>Chemistry!gamma_3</vt:lpstr>
      <vt:lpstr>Geometry!geom_check</vt:lpstr>
      <vt:lpstr>Electrochemistry!gerrit_int</vt:lpstr>
      <vt:lpstr>Electrochemistry!gerrit_max</vt:lpstr>
      <vt:lpstr>Electrochemistry!gerrit_min</vt:lpstr>
      <vt:lpstr>Electrochemistry!gerrit_slope</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Biology!H2_cons</vt:lpstr>
      <vt:lpstr>Biology!H2_safety</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Geometry!headspace_V</vt:lpstr>
      <vt:lpstr>'Mass Transfer'!headspace_V</vt:lpstr>
      <vt:lpstr>'Mass Transfer'!headspace_V_m3</vt:lpstr>
      <vt:lpstr>Chemistry!HOCl_max</vt:lpstr>
      <vt:lpstr>Chemistry!HOCl_ss</vt:lpstr>
      <vt:lpstr>Chemistry!HOCl_ss_mgL</vt:lpstr>
      <vt:lpstr>'Mass Transfer'!holdup</vt:lpstr>
      <vt:lpstr>'Mass Transfer'!hs_flush_time</vt:lpstr>
      <vt:lpstr>'Mass Transfer'!hs_H_CO2</vt:lpstr>
      <vt:lpstr>'Mass Transfer'!hs_O2_allow</vt:lpstr>
      <vt:lpstr>Electrochemistry!I_app</vt:lpstr>
      <vt:lpstr>Chemistry!I_Cl</vt:lpstr>
      <vt:lpstr>Chemistry!I_Cl_FE</vt:lpstr>
      <vt:lpstr>Chemistry!I_Cl_mt</vt:lpstr>
      <vt:lpstr>Chemistry!I_ionic</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'Mass Transfer'!k_eff_CO2</vt:lpstr>
      <vt:lpstr>Electrochemistry!k_geom</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Transfer'!kLa_meas</vt:lpstr>
      <vt:lpstr>'Mass Transfer'!kLa_req</vt:lpstr>
      <vt:lpstr>'Mass Transfer'!kLa_sparge</vt:lpstr>
      <vt:lpstr>'Mass Transfer'!kLa_surf</vt:lpstr>
      <vt:lpstr>'Mass Transfer'!kLa_surf_req</vt:lpstr>
      <vt:lpstr>'Mass Transfer'!kLa_surf_used</vt:lpstr>
      <vt:lpstr>Chemistry!km_Cl</vt:lpstr>
      <vt:lpstr>Biology!Km_CO2</vt:lpstr>
      <vt:lpstr>Electrochemistry!km_exp</vt:lpstr>
      <vt:lpstr>Electrochemistry!km_O2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Chemistry!M_Cl2</vt:lpstr>
      <vt:lpstr>'Mass Transfer'!M_CO2</vt:lpstr>
      <vt:lpstr>Electrochemistry!M_H2O2</vt:lpstr>
      <vt:lpstr>Chemistry!M_HOCl</vt:lpstr>
      <vt:lpstr>Chemistry!mc_CaSO4_2H2O</vt:lpstr>
      <vt:lpstr>Chemistry!mc_K2SO4</vt:lpstr>
      <vt:lpstr>Chemistry!mc_MgSO4_7H2O</vt:lpstr>
      <vt:lpstr>Chemistry!mc_Na2HPO4</vt:lpstr>
      <vt:lpstr>Chemistry!mc_NaH2PO4_2H2O</vt:lpstr>
      <vt:lpstr>Chemistry!mc_NH42SO4</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'Mass Transfer'!n_hs_gas</vt:lpstr>
      <vt:lpstr>'Mass Transfer'!n_pores_active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Biology!O2_net_gen</vt:lpstr>
      <vt:lpstr>Electrochemistry!O2_net_gen</vt:lpstr>
      <vt:lpstr>'Mass Transfer'!O2_net_gen</vt:lpstr>
      <vt:lpstr>'Mass Transfer'!O2_removal_ratio</vt:lpstr>
      <vt:lpstr>'Mass Transfer'!O2_src_guard</vt:lpstr>
      <vt:lpstr>'Mass Transfer'!O2_strip_pulse</vt:lpstr>
      <vt:lpstr>'Mass Transfer'!od_ok</vt:lpstr>
      <vt:lpstr>'Mass Transfer'!opt_binding</vt:lpstr>
      <vt:lpstr>Biology!organism_sel</vt:lpstr>
      <vt:lpstr>Summary!organism_sel</vt:lpstr>
      <vt:lpstr>OrganismList</vt:lpstr>
      <vt:lpstr>Biology!P_atm</vt:lpstr>
      <vt:lpstr>Electrochemistry!P_atm</vt:lpstr>
      <vt:lpstr>'Mass Transfer'!P_atm</vt:lpstr>
      <vt:lpstr>Summary!P_atm_set</vt:lpstr>
      <vt:lpstr>Biology!p_CO2_sparge</vt:lpstr>
      <vt:lpstr>Chemistry!P_HOCl</vt:lpstr>
      <vt:lpstr>'Mass Transfer'!p_sat_w</vt:lpstr>
      <vt:lpstr>Biology!Pa_per_atm</vt:lpstr>
      <vt:lpstr>Electrochemistry!pcet_credit</vt:lpstr>
      <vt:lpstr>'Mass Transfer'!pCO2_air</vt:lpstr>
      <vt:lpstr>Chemistry!pH_band_flag</vt:lpstr>
      <vt:lpstr>Chemistry!pH_Cl</vt:lpstr>
      <vt:lpstr>Biology!pH_CO2_unbuf</vt:lpstr>
      <vt:lpstr>Chemistry!pH_fHOCl</vt:lpstr>
      <vt:lpstr>Chemistry!pH_meas</vt:lpstr>
      <vt:lpstr>Chemistry!pH_NT</vt:lpstr>
      <vt:lpstr>Chemistry!pH_op</vt:lpstr>
      <vt:lpstr>Chemistry!pH_PT</vt:lpstr>
      <vt:lpstr>Chemistry!pH_SID</vt:lpstr>
      <vt:lpstr>Chemistry!pKa_HOCl</vt:lpstr>
      <vt:lpstr>Chemistry!pKa_NH4</vt:lpstr>
      <vt:lpstr>'Mass Transfer'!pool_a</vt:lpstr>
      <vt:lpstr>'Mass Transfer'!pool_b</vt:lpstr>
      <vt:lpstr>'Mass Transfer'!pool_beta_ratio</vt:lpstr>
      <vt:lpstr>'Mass Transfer'!pool_e</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Chemistry!PT_mc02</vt:lpstr>
      <vt:lpstr>Chemistry!PT_udg</vt:lpstr>
      <vt:lpstr>'Mass Transfer'!pulse_floor</vt:lpstr>
      <vt:lpstr>'Mass Transfer'!pulses_d</vt:lpstr>
      <vt:lpstr>'Mass Transfer'!pulses_h</vt:lpstr>
      <vt:lpstr>'Mass Transfer'!pw_A</vt:lpstr>
      <vt:lpstr>'Mass Transfer'!pw_B</vt:lpstr>
      <vt:lpstr>'Mass Transfer'!pw_C</vt:lpstr>
      <vt:lpstr>'Mass Transfer'!Q_CO2</vt:lpstr>
      <vt:lpstr>'Mass Transfer'!Q_vent</vt:lpstr>
      <vt:lpstr>Electrochemistry!R_cell</vt:lpstr>
      <vt:lpstr>Chemistry!R_chloramine</vt:lpstr>
      <vt:lpstr>Chemistry!R_chloramine_hi</vt:lpstr>
      <vt:lpstr>Chemistry!R_chloramine_lo</vt:lpstr>
      <vt:lpstr>Chemistry!R_gas</vt:lpstr>
      <vt:lpstr>Electrochemistry!R_gas</vt:lpstr>
      <vt:lpstr>'Mass Transfer'!R_gas</vt:lpstr>
      <vt:lpstr>Electrochemistry!r_H2O2</vt:lpstr>
      <vt:lpstr>'Mass Transfer'!Reactor</vt:lpstr>
      <vt:lpstr>Geometry!reactor_sel</vt:lpstr>
      <vt:lpstr>Summary!Reactor_sel</vt:lpstr>
      <vt:lpstr>ReactorList</vt:lpstr>
      <vt:lpstr>Biology!rH2_gen</vt:lpstr>
      <vt:lpstr>Electrochemistry!rH2_gen</vt:lpstr>
      <vt:lpstr>'Mass Transfer'!rho_0</vt:lpstr>
      <vt:lpstr>'Mass Transfer'!rho_CO2</vt:lpstr>
      <vt:lpstr>'Mass Transfer'!rho_k</vt:lpstr>
      <vt:lpstr>'Mass Transfer'!rho_L</vt:lpstr>
      <vt:lpstr>Electrochemistry!rO2_gen</vt:lpstr>
      <vt:lpstr>Geometry!rod_d</vt:lpstr>
      <vt:lpstr>Geometry!rod_n</vt:lpstr>
      <vt:lpstr>Geometry!rx_ver</vt:lpstr>
      <vt:lpstr>'Mass Transfer'!s_renew</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'Mass Transfer'!spg_dur_man</vt:lpstr>
      <vt:lpstr>'Mass Transfer'!spg_dur_opt</vt:lpstr>
      <vt:lpstr>Geometry!spg_ID</vt:lpstr>
      <vt:lpstr>'Mass Transfer'!spg_ID</vt:lpstr>
      <vt:lpstr>'Mass Transfer'!spg_int</vt:lpstr>
      <vt:lpstr>'Mass Transfer'!spg_int_carbon</vt:lpstr>
      <vt:lpstr>'Mass Transfer'!spg_int_DO</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'Mass Transfer'!target_DO_frac</vt:lpstr>
      <vt:lpstr>'Mass Transfer'!tau_hs</vt:lpstr>
      <vt:lpstr>Chemistry!tau_NH2Cl</vt:lpstr>
      <vt:lpstr>Chemistry!tau_NH2Cl_hi</vt:lpstr>
      <vt:lpstr>Chemistry!tau_NH2Cl_lo</vt:lpstr>
      <vt:lpstr>'Mass Transfer'!tau_surf_floor</vt:lpstr>
      <vt:lpstr>Summary!temp_C</vt:lpstr>
      <vt:lpstr>'Mass Transfer'!tip_speed</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Electrochemistry!V_cell_est</vt:lpstr>
      <vt:lpstr>Biology!V_charge</vt:lpstr>
      <vt:lpstr>Geometry!V_charge</vt:lpstr>
      <vt:lpstr>'Mass Transfer'!V_charge</vt:lpstr>
      <vt:lpstr>Electrochemistry!V_flag</vt:lpstr>
      <vt:lpstr>Electrochemistry!V_gas_total</vt:lpstr>
      <vt:lpstr>Electrochemistry!V_H2_gen</vt:lpstr>
      <vt:lpstr>Electrochemistry!V_headroom</vt:lpstr>
      <vt:lpstr>Geometry!V_inserts</vt:lpstr>
      <vt:lpstr>Electrochemistry!V_IR</vt:lpstr>
      <vt:lpstr>'Mass Transfer'!V_L_m3</vt:lpstr>
      <vt:lpstr>Geometry!V_max</vt:lpstr>
      <vt:lpstr>Electrochemistry!V_O2_gen</vt:lpstr>
      <vt:lpstr>'Mass Transfer'!v_orifice</vt:lpstr>
      <vt:lpstr>Electrochemistry!V_rail</vt:lpstr>
      <vt:lpstr>Geometry!V_vial_total</vt:lpstr>
      <vt:lpstr>'Mass Transfer'!vent_floor_chk</vt:lpstr>
      <vt:lpstr>Geometry!ver_name_1</vt:lpstr>
      <vt:lpstr>Geometry!ver_name_2</vt:lpstr>
      <vt:lpstr>'Mass Transfer'!Vg_CO2</vt:lpstr>
      <vt:lpstr>Geometry!vial_ID</vt:lpstr>
      <vt:lpstr>'Mass Transfer'!vial_ID</vt:lpstr>
      <vt:lpstr>Geometry!vial_OD</vt:lpstr>
      <vt:lpstr>Geometry!vial_OD_1</vt:lpstr>
      <vt:lpstr>Geometry!vial_OD_2</vt:lpstr>
      <vt:lpstr>Geometry!vial_wall</vt:lpstr>
      <vt:lpstr>Chemistry!VLc</vt:lpstr>
      <vt:lpstr>Geometry!Vmax_1</vt:lpstr>
      <vt:lpstr>Geometry!Vmax_2</vt:lpstr>
      <vt:lpstr>Geometry!Vtot_1</vt:lpstr>
      <vt:lpstr>Geometry!Vtot_2</vt:lpstr>
      <vt:lpstr>'Mass Transfer'!We_orifice</vt:lpstr>
      <vt:lpstr>Geometry!xtube_n</vt:lpstr>
      <vt:lpstr>Geometry!xtube_OD</vt:lpstr>
      <vt:lpstr>Geometry!xtube_pro</vt:lpstr>
      <vt:lpstr>'Mass Transfer'!y_O2_actual</vt:lpstr>
      <vt:lpstr>'Mass Transfer'!y_O2_star</vt:lpstr>
      <vt:lpstr>'Mass Transfer'!y_O2_vent</vt:lpstr>
      <vt:lpstr>Electrochemistry!z_e_H2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2026-08-12T13:10:48Z</dcterms:modified>
  <dc:language>en-US</dc:language>
</cp:coreProperties>
</file>