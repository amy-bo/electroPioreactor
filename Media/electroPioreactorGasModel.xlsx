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 name="k_Cl_turn" localSheetId="3">Chemistry!$D$271</definedName>
    <definedName name="n_ORR_eff" localSheetId="2">Electrochemistry!$D$141</definedName>
    <definedName name="I_at_gerrit_max" localSheetId="2">Electrochemistry!$D$142</definedName>
    <definedName name="V_at_gerrit_max" localSheetId="2">Electrochemistry!$D$143</definedName>
    <definedName name="V_gerrit_flag" localSheetId="2">Electrochemistry!$D$144</definedName>
    <definedName name="f_HOR_anode" localSheetId="2">Electrochemistry!$D$145</definedName>
    <definedName name="ec_C_H2_sat" localSheetId="2">Electrochemistry!$D$146</definedName>
    <definedName name="i_HOR_lim" localSheetId="2">Electrochemistry!$D$147</definedName>
    <definedName name="f_HOR_lim" localSheetId="2">Electrochemistry!$D$148</definedName>
    <definedName name="r_H2_HOR" localSheetId="2">Electrochemistry!$D$149</definedName>
    <definedName name="H2_HOR_b" localSheetId="4">Biology!$D$96</definedName>
    <definedName name="ec_DO_lag" localSheetId="2">Electrochemistry!$D$150</definedName>
    <definedName name="k_H2O2_anode" localSheetId="2">Electrochemistry!$D$151</definedName>
    <definedName name="r_H2O2_lag" localSheetId="2">Electrochemistry!$D$152</definedName>
    <definedName name="km_O2_c" localSheetId="3">Chemistry!$D$272</definedName>
    <definedName name="km_exp_c" localSheetId="3">Chemistry!$D$273</definedName>
    <definedName name="D_O2_c" localSheetId="3">Chemistry!$D$274</definedName>
    <definedName name="km_HPO4" localSheetId="3">Chemistry!$D$275</definedName>
    <definedName name="km_HCO3" localSheetId="3">Chemistry!$D$276</definedName>
    <definedName name="ca_rho_0" localSheetId="7">Calibrations!$D$155</definedName>
    <definedName name="ca_rho_k" localSheetId="7">Calibrations!$D$156</definedName>
    <definedName name="C_cycle_start_b" localSheetId="4">Biology!$D$97</definedName>
    <definedName name="CO2_margin_trough" localSheetId="4">Biology!$D$98</definedName>
    <definedName name="pulse_res" localSheetId="5">'Mass Transfer'!$D$241</definedName>
    <definedName name="spg_dur_run" localSheetId="5">'Mass Transfer'!$D$242</definedName>
    <definedName name="D_Cl" localSheetId="3">Chemistry!$D$277</definedName>
    <definedName name="Cl_free_frac" localSheetId="3">Chemistry!$D$278</definedName>
    <definedName name="vent_model" localSheetId="5">'Mass Transfer'!$D$301</definedName>
    <definedName name="vent_name_1" localSheetId="5">'Mass Transfer'!$D$302</definedName>
    <definedName name="vent_name_2" localSheetId="5">'Mass Transfer'!$D$303</definedName>
    <definedName name="O2_sizing_phase" localSheetId="5">'Mass Transfer'!$D$304</definedName>
    <definedName name="phase_name_1" localSheetId="5">'Mass Transfer'!$D$305</definedName>
    <definedName name="phase_name_2" localSheetId="5">'Mass Transfer'!$D$306</definedName>
    <definedName name="y_O2_air" localSheetId="5">'Mass Transfer'!$D$307</definedName>
    <definedName name="F_vent_ex" localSheetId="5">'Mass Transfer'!$D$308</definedName>
    <definedName name="O2_src_g" localSheetId="5">'Mass Transfer'!$D$309</definedName>
    <definedName name="O2_src_l" localSheetId="5">'Mass Transfer'!$D$310</definedName>
    <definedName name="rH2_gen" localSheetId="5">'Mass Transfer'!$D$311</definedName>
    <definedName name="H2_cons" localSheetId="5">'Mass Transfer'!$D$312</definedName>
    <definedName name="H2_src_g" localSheetId="5">'Mass Transfer'!$D$313</definedName>
    <definedName name="H2_src_l" localSheetId="5">'Mass Transfer'!$D$314</definedName>
    <definedName name="CO2_fix_g" localSheetId="5">'Mass Transfer'!$D$315</definedName>
    <definedName name="CO2_fix_l" localSheetId="5">'Mass Transfer'!$D$316</definedName>
    <definedName name="O2_src_sched" localSheetId="5">'Mass Transfer'!$D$317</definedName>
    <definedName name="H2_src_sched" localSheetId="5">'Mass Transfer'!$D$318</definedName>
    <definedName name="CO2_fix_sched" localSheetId="5">'Mass Transfer'!$D$319</definedName>
    <definedName name="flush_vol_opt" localSheetId="5">'Mass Transfer'!$D$320</definedName>
    <definedName name="flush_ret_opt" localSheetId="5">'Mass Transfer'!$D$321</definedName>
    <definedName name="saw_factor" localSheetId="5">'Mass Transfer'!$D$322</definedName>
    <definedName name="flush_vol" localSheetId="5">'Mass Transfer'!$D$323</definedName>
    <definedName name="flush_ret" localSheetId="5">'Mass Transfer'!$D$324</definedName>
    <definedName name="t_gap_h" localSheetId="5">'Mass Transfer'!$D$325</definedName>
    <definedName name="tau_L_h" localSheetId="5">'Mass Transfer'!$D$326</definedName>
    <definedName name="S_O2_g" localSheetId="5">'Mass Transfer'!$D$327</definedName>
    <definedName name="F_hs_net_g" localSheetId="5">'Mass Transfer'!$D$328</definedName>
    <definedName name="y_O2_mf_g" localSheetId="5">'Mass Transfer'!$D$329</definedName>
    <definedName name="y_H2_mf_g" localSheetId="5">'Mass Transfer'!$D$330</definedName>
    <definedName name="F_gap_g" localSheetId="5">'Mass Transfer'!$D$331</definedName>
    <definedName name="x_hs_g" localSheetId="5">'Mass Transfer'!$D$332</definedName>
    <definedName name="phi_hs_g" localSheetId="5">'Mass Transfer'!$D$333</definedName>
    <definedName name="psi_hs_g" localSheetId="5">'Mass Transfer'!$D$334</definedName>
    <definedName name="dy_O2_g" localSheetId="5">'Mass Transfer'!$D$335</definedName>
    <definedName name="y_O2_end_g" localSheetId="5">'Mass Transfer'!$D$336</definedName>
    <definedName name="y_O2_post_g" localSheetId="5">'Mass Transfer'!$D$337</definedName>
    <definedName name="y_O2_avg_g" localSheetId="5">'Mass Transfer'!$D$338</definedName>
    <definedName name="DO_surf_excess_g" localSheetId="5">'Mass Transfer'!$D$339</definedName>
    <definedName name="DO_mf_g" localSheetId="5">'Mass Transfer'!$D$340</definedName>
    <definedName name="DO_avg_g" localSheetId="5">'Mass Transfer'!$D$341</definedName>
    <definedName name="DO_peak_g" localSheetId="5">'Mass Transfer'!$D$342</definedName>
    <definedName name="DO_avg_g_mgL" localSheetId="5">'Mass Transfer'!$D$343</definedName>
    <definedName name="DO_peak_g_mgL" localSheetId="5">'Mass Transfer'!$D$344</definedName>
    <definedName name="kLa_surf_req_g" localSheetId="5">'Mass Transfer'!$D$345</definedName>
    <definedName name="kLa_margin_g" localSheetId="5">'Mass Transfer'!$D$346</definedName>
    <definedName name="DO_feas_g" localSheetId="5">'Mass Transfer'!$D$347</definedName>
    <definedName name="DO_peak_chk_g" localSheetId="5">'Mass Transfer'!$D$348</definedName>
    <definedName name="S_O2_l" localSheetId="5">'Mass Transfer'!$D$349</definedName>
    <definedName name="F_hs_net_l" localSheetId="5">'Mass Transfer'!$D$350</definedName>
    <definedName name="y_O2_mf_l" localSheetId="5">'Mass Transfer'!$D$351</definedName>
    <definedName name="y_H2_mf_l" localSheetId="5">'Mass Transfer'!$D$352</definedName>
    <definedName name="F_gap_l" localSheetId="5">'Mass Transfer'!$D$353</definedName>
    <definedName name="x_hs_l" localSheetId="5">'Mass Transfer'!$D$354</definedName>
    <definedName name="phi_hs_l" localSheetId="5">'Mass Transfer'!$D$355</definedName>
    <definedName name="psi_hs_l" localSheetId="5">'Mass Transfer'!$D$356</definedName>
    <definedName name="dy_O2_l" localSheetId="5">'Mass Transfer'!$D$357</definedName>
    <definedName name="y_O2_end_l" localSheetId="5">'Mass Transfer'!$D$358</definedName>
    <definedName name="y_O2_post_l" localSheetId="5">'Mass Transfer'!$D$359</definedName>
    <definedName name="y_O2_avg_l" localSheetId="5">'Mass Transfer'!$D$360</definedName>
    <definedName name="DO_mf_l" localSheetId="5">'Mass Transfer'!$D$361</definedName>
    <definedName name="DO_avg_l" localSheetId="5">'Mass Transfer'!$D$362</definedName>
    <definedName name="DO_peak_l" localSheetId="5">'Mass Transfer'!$D$363</definedName>
    <definedName name="DO_avg_l_mgL" localSheetId="5">'Mass Transfer'!$D$364</definedName>
    <definedName name="DO_peak_l_mgL" localSheetId="5">'Mass Transfer'!$D$365</definedName>
    <definedName name="kLa_surf_req_l" localSheetId="5">'Mass Transfer'!$D$366</definedName>
    <definedName name="kLa_margin_l" localSheetId="5">'Mass Transfer'!$D$367</definedName>
    <definedName name="DO_feas_l" localSheetId="5">'Mass Transfer'!$D$368</definedName>
    <definedName name="DO_peak_chk_l" localSheetId="5">'Mass Transfer'!$D$369</definedName>
    <definedName name="F_gap_sched" localSheetId="5">'Mass Transfer'!$D$371</definedName>
    <definedName name="DO_avg_sched" localSheetId="5">'Mass Transfer'!$D$372</definedName>
    <definedName name="DO_peak_sched" localSheetId="5">'Mass Transfer'!$D$373</definedName>
    <definedName name="DO_peak_band" localSheetId="5">'Mass Transfer'!$D$374</definedName>
    <definedName name="pool_D_raw" localSheetId="5">'Mass Transfer'!$D$375</definedName>
    <definedName name="pool_x" localSheetId="5">'Mass Transfer'!$D$376</definedName>
    <definedName name="pool_phi" localSheetId="5">'Mass Transfer'!$D$377</definedName>
    <definedName name="pool_psi" localSheetId="5">'Mass Transfer'!$D$378</definedName>
    <definedName name="pool_D_gap" localSheetId="5">'Mass Transfer'!$D$379</definedName>
    <definedName name="pool_ret" localSheetId="5">'Mass Transfer'!$D$380</definedName>
    <definedName name="y_CO2_mf" localSheetId="5">'Mass Transfer'!$D$381</definedName>
    <definedName name="C_CO2_mf" localSheetId="5">'Mass Transfer'!$D$382</definedName>
    <definedName name="F_vent_ex_b" localSheetId="4">Biology!$D$111</definedName>
    <definedName name="y_O2_air_b" localSheetId="4">Biology!$D$112</definedName>
    <definedName name="vent_model_sel" localSheetId="0">Summary!$D$111</definedName>
    <definedName name="O2_phase_sel" localSheetId="0">Summary!$D$112</definedName>
    <definedName name="vent_name_3" localSheetId="5">'Mass Transfer'!$D$384</definedName>
    <definedName name="Q_backdraw" localSheetId="5">'Mass Transfer'!$D$385</definedName>
    <definedName name="Q_vent_used" localSheetId="5">'Mass Transfer'!$D$386</definedName>
    <definedName name="H2_HOR_mt" localSheetId="5">'Mass Transfer'!$D$387</definedName>
    <definedName name="H2_src_l_b" localSheetId="4">Biology!$D$113</definedName>
    <definedName name="y_H2_end_l" localSheetId="5">'Mass Transfer'!$D$388</definedName>
    <definedName name="y_H2_end_b" localSheetId="4">Biology!$D$114</definedName>
    <definedName name="hs_sag" localSheetId="5">'Mass Transfer'!$D$389</definedName>
    <definedName name="hs_sag_max" localSheetId="5">'Mass Transfer'!$D$390</definedName>
    <definedName name="hs_sag_chk" localSheetId="5">'Mass Transfer'!$D$391</definedName>
    <definedName name="Reactor_sel" localSheetId="7">Calibrations!$D$157</definedName>
    <definedName name="organism_sel" localSheetId="7">Calibrations!$D$158</definedName>
    <definedName name="rx_ver" localSheetId="7">Calibrations!$D$159</definedName>
    <definedName name="A_x" localSheetId="7">Calibrations!$D$160</definedName>
    <definedName name="R_gas" localSheetId="7">Calibrations!$D$161</definedName>
    <definedName name="F_const" localSheetId="7">Calibrations!$D$162</definedName>
    <definedName name="p_sat_w" localSheetId="7">Calibrations!$D$163</definedName>
    <definedName name="V_charge" localSheetId="2">Electrochemistry!$D$153</definedName>
    <definedName name="organism_sel" localSheetId="2">Electrochemistry!$D$154</definedName>
    <definedName name="V_charge" localSheetId="3">Chemistry!$D$279</definedName>
    <definedName name="media_sel" localSheetId="3">Chemistry!$D$280</definedName>
    <definedName name="override_spg_dur_s" localSheetId="0">Summary!$G$13</definedName>
    <definedName name="override_spg_int_min" localSheetId="0">Summary!$G$15</definedName>
    <definedName name="override_spg_dur_s" localSheetId="5">'Mass Transfer'!$D$392</definedName>
    <definedName name="override_spg_int_min" localSheetId="5">'Mass Transfer'!$D$393</definedName>
    <definedName name="fit_n" localSheetId="5">'Mass Transfer'!$D$401</definedName>
    <definedName name="fit_St" localSheetId="5">'Mass Transfer'!$D$402</definedName>
    <definedName name="fit_SV" localSheetId="5">'Mass Transfer'!$D$403</definedName>
    <definedName name="fit_Stt" localSheetId="5">'Mass Transfer'!$D$404</definedName>
    <definedName name="fit_StV" localSheetId="5">'Mass Transfer'!$D$405</definedName>
    <definedName name="fit_n_min" localSheetId="5">'Mass Transfer'!$D$406</definedName>
    <definedName name="Q_CO2_fit" localSheetId="5">'Mass Transfer'!$D$407</definedName>
    <definedName name="pulse_V0" localSheetId="5">'Mass Transfer'!$D$408</definedName>
    <definedName name="spg_dur_eq_opt" localSheetId="5">'Mass Transfer'!$D$409</definedName>
    <definedName name="spg_dur_eq" localSheetId="5">'Mass Transfer'!$D$410</definedName>
    <definedName name="V_pulse" localSheetId="5">'Mass Transfer'!$D$411</definedName>
    <definedName name="carry_n" localSheetId="5">'Mass Transfer'!$D$412</definedName>
    <definedName name="Q_carry_max" localSheetId="5">'Mass Transfer'!$D$413</definedName>
    <definedName name="carry_flag_usg" localSheetId="5">'Mass Transfer'!$D$414</definedName>
    <definedName name="chk_carry_usg" localSheetId="0">Summary!$D$136</definedName>
    <definedName name="CO2_uptake_ratio" localSheetId="5">'Mass Transfer'!$D$417</definedName>
    <definedName name="res_CO2_uptake" localSheetId="0">Summary!$D$135</definedName>
    <definedName name="pH_ref_DIC" localSheetId="3">Chemistry!$D$291</definedName>
    <definedName name="h_ref_DIC" localSheetId="3">Chemistry!$D$292</definedName>
    <definedName name="r_HCO3_ref" localSheetId="3">Chemistry!$D$293</definedName>
    <definedName name="HCO3_ref" localSheetId="3">Chemistry!$D$294</definedName>
    <definedName name="beta_nonC" localSheetId="3">Chemistry!$D$295</definedName>
    <definedName name="DIC_cap" localSheetId="3">Chemistry!$D$296</definedName>
    <definedName name="DIC_cap_mt" localSheetId="5">'Mass Transfer'!$D$415</definedName>
    <definedName name="V_L_CO2" localSheetId="5">'Mass Transfer'!$D$416</definedName>
    <definedName name="P_dry" localSheetId="5">'Mass Transfer'!$D$418</definedName>
    <definedName name="I_ionic_b" localSheetId="4">Biology!$D$121</definedName>
    <definedName name="ks_O2" localSheetId="4">Biology!$D$122</definedName>
    <definedName name="f_salt_O2" localSheetId="4">Biology!$D$123</definedName>
    <definedName name="ec_jbuf_ratio" localSheetId="2">Electrochemistry!$D$161</definedName>
    <definedName name="pcet_credit_op" localSheetId="2">Electrochemistry!$D$162</definedName>
    <definedName name="pcet_credit_gmax" localSheetId="2">Electrochemistry!$D$163</definedName>
    <definedName name="pH_red_lo" localSheetId="3">Chemistry!$D$299</definedName>
    <definedName name="pH_red_hi" localSheetId="3">Chemistry!$D$300</definedName>
    <definedName name="cf_pH_red_lo" localSheetId="0">Summary!$D$138</definedName>
    <definedName name="cf_pH_lo" localSheetId="0">Summary!$D$139</definedName>
    <definedName name="cf_pH_hi" localSheetId="0">Summary!$D$140</definedName>
    <definedName name="cf_pH_red_hi" localSheetId="0">Summary!$D$141</definedName>
    <definedName name="cf_Cl_onset" localSheetId="0">Summary!$D$142</definedName>
    <definedName name="cf_Cl_kill" localSheetId="0">Summary!$D$143</definedName>
    <definedName name="ReactorTypeList">Geometry!$B$59:$B$80</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<sst xmlns="http://schemas.openxmlformats.org/spreadsheetml/2006/main" count="2678" uniqueCount="1931">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</sst>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0.674076519917</v>
      </c>
      <c r="E13" s="23" t="str">
        <f>HYPERLINK("#'Mass Transfer'!D90","→ Mass")</f>
        <v>→ Mass</v>
      </c>
      <c r="F13" s="21" t="s">
        <v>65</v>
      </c>
      <c r="G13" s="36"/>
    </row>
    <row r="14" spans="1:7" s="3" customFormat="1" ht="16" customHeight="1" thickBot="1" x14ac:dyDescent="0.25">
      <c r="A14" s="28" t="inlineStr">
        <is>
          <t xml:space="preserve">CO₂ sparge duration (as run)</t>
        </is>
      </c>
      <c r="B14" s="18" t="inlineStr">
        <is>
          <t xml:space="preserve">res_spg_dur_run</t>
        </is>
      </c>
      <c r="C14" s="20" t="s">
        <v>13</v>
      </c>
      <c r="D14" s="91">
        <f>IF(AND(ISNUMBER($G$13),$G$13&gt;0),$G$13,IF(NOT(ISNUMBER(D13)),D13,'Mass Transfer'!$D$242))</f>
        <v>0.65</v>
      </c>
      <c r="E14" s="20"/>
      <c r="F14" s="21" t="inlineStr">
        <is>
          <t xml:space="preserve">Pulse to type in: the optimum rounded to the solenoid command resolution (Mass Transfer D241–D242). An override in G13 wins.</t>
        </is>
      </c>
    </row>
    <row r="15" spans="1:7" ht="16" customHeight="1" thickBot="1" x14ac:dyDescent="0.25">
      <c r="A15" s="89" t="str">
        <f>"CO₂ sparge interval ("&amp;vent_model_sel&amp;", sized on "&amp;O2_phase_sel&amp;")"</f>
        <v>CO₂ sparge interval (Open vent, sized on Growth)</v>
      </c>
      <c r="B15" s="18" t="inlineStr">
        <is>
          <t xml:space="preserve">res_spg_int</t>
        </is>
      </c>
      <c r="C15" s="20" t="s">
        <v>67</v>
      </c>
      <c r="D15" s="90">
        <f>IF('Mass Transfer'!$D$119=0,"calibrate this reactor first (see CO2 flows)",'Mass Transfer'!$D$91)</f>
        <v>8.95302011459</v>
      </c>
      <c r="E15" s="23" t="str">
        <f>HYPERLINK("#'Mass Transfer'!D91","→ Mass")</f>
        <v>→ Mass</v>
      </c>
      <c r="F15" s="21" t="inlineStr">
        <is>
          <t xml:space="preserve">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is>
      </c>
      <c r="G15" s="36"/>
    </row>
    <row r="16" spans="1:7" x14ac:dyDescent="0.2">
      <c r="A16" s="28" t="inlineStr">
        <is>
          <t xml:space="preserve">CO₂ sparge interval (as run)</t>
        </is>
      </c>
      <c r="B16" s="18" t="inlineStr">
        <is>
          <t xml:space="preserve">res_spg_int_run</t>
        </is>
      </c>
      <c r="C16" s="20" t="s">
        <v>67</v>
      </c>
      <c r="D16" s="91">
        <f>IF(AND(ISNUMBER($G$15),$G$15&gt;0),$G$15,IF(NOT(ISNUMBER(D15)),D15,ROUND(('Mass Transfer'!$D$408+'Mass Transfer'!$D$407*D14)/('Mass Transfer'!$D$102/60)/(60*'Mass Transfer'!$D$93),0)))</f>
        <v>9.0</v>
      </c>
      <c r="E16" s="92"/>
      <c r="F16" s="21" t="inlineStr">
        <is>
          <t xml:space="preserve">Interval to type in: the as-run pulse converted to delivered CO₂ (V₀ + Q·t, Mass Transfer D407–D408) at the optimised full-flow-equivalent duty (D93), rounded to whole minutes, so rounding does not shift the CO₂ dose (row 95). An override in G15 wins.</t>
        </is>
      </c>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inlineStr">
        <is>
          <t xml:space="preserve">O₂ within the organism band (mean vs optimum, peak vs impairment)?</t>
        </is>
      </c>
      <c r="B21" s="18" t="inlineStr">
        <is>
          <t xml:space="preserve">chk_DO_opt</t>
        </is>
      </c>
      <c r="C21" s="20"/>
      <c r="D21" s="90" t="str">
        <f>'Mass Transfer'!$D$374</f>
        <v>organism band unknown – peak 2.8 mg/L is under the inhibition ceiling</v>
      </c>
      <c r="E21" s="23" t="str">
        <f>HYPERLINK("#'Mass Transfer'!D374","→ Mass Transfer")</f>
        <v>→ Mass Transfer</v>
      </c>
      <c r="F21" s="21" t="inlineStr">
        <is>
          <t xml:space="preserve">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is>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(189 min) the cycle-mean DO would be ≈15 mg/L, above the 11.3 mg/L inhibition ceiling (peaks higher)</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11% mean, 17% before each pulse; O₂ 6% – until uptake starts, sparge every ≤1.9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demand)")&amp;" delivered; ×"&amp;TEXT('Mass Transfer'!$D$417,"0.0")&amp;" absorbed per pulse (row 135)","calibrate this reactor first")</f>
        <v>×42.1 OK delivered; ×2.4 absorbed per pulse (row 135)</v>
      </c>
      <c r="E26" s="23" t="str">
        <f>HYPERLINK("#'Mass Transfer'!D126","→ Mass")</f>
        <v>→ Mass</v>
      </c>
      <c r="F26" s="21" t="inlineStr">
        <is>
          <t xml:space="preserve">Ratio of CO₂ delivered to carbon demand (should be ≥ 1), with the absorbed ratio beside it (row 135): delivered counts gas the pulse expels unabsorbed, absorbed does not.</t>
        </is>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not measured – record the max flow without carryover for ed04 in CO2 flows column M</v>
      </c>
      <c r="E29" s="23" t="str">
        <f>HYPERLINK("#'Mass Transfer'!D59","→ Mass")</f>
        <v>→ Mass</v>
      </c>
      <c r="F29" s="21" t="inlineStr">
        <is>
          <t xml:space="preserve">Pulse flow against the measured no-carryover maximum for this reactor (CO2 flows column M). Reads "not measured" (amber) until one is recorded; the superficial-velocity rule of thumb is row 136.</t>
        </is>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6.199874888233</v>
      </c>
      <c r="E35" s="23" t="str">
        <f>HYPERLINK("#Chemistry!D220","→ Chemistry")</f>
        <v>→ Chemistry</v>
      </c>
      <c r="F35" s="21"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is>
      </c>
    </row>
    <row r="36" ht="16" thickBot="1" x14ac:dyDescent="0.25">
      <c r="A36" s="89" t="s">
        <v>1128</v>
      </c>
      <c r="B36" s="18" t="inlineStr">
        <is>
          <t xml:space="preserve">res_Cl2</t>
        </is>
      </c>
      <c r="C36" s="20" t="s">
        <v>102</v>
      </c>
      <c r="D36" s="121">
        <f>Chemistry!$D$226</f>
        <v>0.339248526308</v>
      </c>
      <c r="E36" s="23" t="str">
        <f>HYPERLINK("#Chemistry!D226","→ Chemistry")</f>
        <v>→ Chemistry</v>
      </c>
      <c r="F36" s="21" t="inlineStr">
        <is>
          <t xml:space="preserve">Effective biocidal chlorine from the medium’s chloride, as Cl₂ (the basis of the thresholds). Colour: green below the onset (Chemistry Cl_onset, 0.1 mg/L), amber up to the kill threshold (Cl_kill, 2 mg/L), red above it; thresholds in rows 142–143. Zero for chloride-free media.</t>
        </is>
      </c>
    </row>
    <row r="37" spans="1:6" ht="16" thickBot="1" x14ac:dyDescent="0.25">
      <c r="A37" s="103" t="s">
        <v>100</v>
      </c>
      <c r="B37" s="20"/>
      <c r="C37" s="20"/>
      <c r="D37" s="20"/>
      <c r="E37" s="20"/>
      <c r="F37" s="21"/>
    </row>
    <row r="38" spans="1:6" x14ac:dyDescent="0.2">
      <c r="A38" s="89" t="inlineStr">
        <is>
          <t xml:space="preserve">Cycle-mean DO (sawtooth, sizing phase)</t>
        </is>
      </c>
      <c r="B38" s="18" t="inlineStr">
        <is>
          <t xml:space="preserve">res_DO_ss</t>
        </is>
      </c>
      <c r="C38" s="20" t="s">
        <v>102</v>
      </c>
      <c r="D38" s="90">
        <f>'Mass Transfer'!$D$108</f>
        <v>2.543598660379</v>
      </c>
      <c r="E38" s="23" t="str">
        <f>HYPERLINK("#'Mass Transfer'!D108","→ Mass")</f>
        <v>→ Mass</v>
      </c>
      <c r="F38" s="21" t="inlineStr">
        <is>
          <t xml:space="preserve">Time-mean dissolved O₂ of the sawtooth model at the schedule in use, on the sizing phase; near the target by construction when O₂ dilution binds. Both phases, mean and peak: rows 114–117.</t>
        </is>
      </c>
    </row>
    <row r="39" spans="1:6" x14ac:dyDescent="0.2">
      <c r="A39" s="89" t="inlineStr">
        <is>
          <t xml:space="preserve">Carbon-limited sparge interval</t>
        </is>
      </c>
      <c r="B39" s="18" t="inlineStr">
        <is>
          <t xml:space="preserve">res_spg_int_carbon</t>
        </is>
      </c>
      <c r="C39" s="20" t="s">
        <v>67</v>
      </c>
      <c r="D39" s="90">
        <f>'Mass Transfer'!$D$112</f>
        <v>188.655905904325</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inlineStr">
        <is>
          <t xml:space="preserve">Carbon margin at the cycle trough</t>
        </is>
      </c>
      <c r="B41" s="18" t="inlineStr">
        <is>
          <t xml:space="preserve">res_carbon_margin</t>
        </is>
      </c>
      <c r="C41" s="20" t="s">
        <v>110</v>
      </c>
      <c r="D41" s="95">
        <f>Biology!$D$98</f>
        <v>575.774841144035</v>
      </c>
      <c r="E41" s="23" t="str">
        <f>HYPERLINK("#Biology!D98","→ Biology")</f>
        <v>→ Biology</v>
      </c>
      <c r="F41" s="21" t="inlineStr">
        <is>
          <t xml:space="preserve">Dissolved CO₂ at the lowest point of the dosing cycle vs RuBisCO Km (was the in-sparge saturation peak, which a sub-second pulse never reaches); large = ample carbon. Complements the supply:demand ratio (D26).</t>
        </is>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inlineStr">
        <is>
          <t xml:space="preserve">The voltage budget is a testable prediction (about 2.8 V of a 5 V rail at 3 %, 3.5 V at 10 %). A multimeter reading across the electrodes discriminates the cell-constant choice (k_geom 1 vs 2: 2.85 vs 3.26 V at 3 %) and, with the 25 % point, bounds the j₀ errors.</t>
        </is>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0.959777674745</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2.847708123495</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2.85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(0.053 mg/L) but LAG PHASE is not: peroxide passes the threshold in 5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-0.427526678634</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1.264461856975</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6.199874888233</v>
      </c>
      <c r="E89" s="23" t="str">
        <f>HYPERLINK("#Chemistry!D220","→ Chemistry")</f>
        <v>→ Chemistry</v>
      </c>
      <c r="F89" t="s">
        <v>1874</v>
      </c>
    </row>
    <row r="90" x14ac:dyDescent="0.2">
      <c r="A90" t="s">
        <v>1875</v>
      </c>
      <c r="B90" s="18" t="inlineStr">
        <is>
          <t xml:space="preserve">res_kLa_req</t>
        </is>
      </c>
      <c r="C90" s="19" t="s">
        <v>639</v>
      </c>
      <c r="D90" s="22">
        <f>'Mass Transfer'!$D$186</f>
        <v>0.003701930458</v>
      </c>
      <c r="E90" s="23" t="str">
        <f>HYPERLINK("#'Mass Transfer'!D186","→ Mass Transfer")</f>
        <v>→ Mass Transfer</v>
      </c>
      <c r="F90" t="inlineStr">
        <is>
          <t xml:space="preserve">Below this, no sparge interval holds the target dissolved O₂ on the sizing phase. Both phases and their margins: rows 120–123.</t>
        </is>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Former display rule for rows 14 and 16 (whole units above this value, else two significant figures); superseded by the pulse-resolution rounding (Mass Transfer D241) and no longer referenced.</t>
        </is>
      </c>
    </row>
    <row r="95">
      <c r="A95" s="89" t="inlineStr">
        <is>
          <t xml:space="preserve">As-run duty ÷ optimised duty</t>
        </is>
      </c>
      <c r="C95" s="20" t="inlineStr">
        <is>
          <t xml:space="preserve">×</t>
        </is>
      </c>
      <c r="D95" s="95">
        <f>IF(AND(ISNUMBER(D14),ISNUMBER(D16),ISNUMBER('Mass Transfer'!$D$93)),('Mass Transfer'!$D$408+'Mass Transfer'!$D$407*D14)/('Mass Transfer'!$D$102/60)/(60*D16)/'Mass Transfer'!$D$93,"calibrate this reactor first (see CO2 flows)")</f>
        <v>0.964353979896</v>
      </c>
      <c r="E95" s="23" t="str">
        <f>HYPERLINK("#'Mass Transfer'!D93","→ Mass")</f>
        <v>→ Mass</v>
      </c>
      <c r="F95" s="21" t="inlineStr">
        <is>
          <t xml:space="preserve">Duty of the schedule as typed in (rows 14 and 16) against the optimised duty; 1 = rounding has not moved the CO₂ dose, pH or DO. Should sit within a few per cent.</t>
        </is>
      </c>
    </row>
    <row r="110">
      <c r="A110" s="103" t="inlineStr">
        <is>
          <t xml:space="preserve">HEADSPACE MODEL — owner decisions (dropdowns) and both-phase dissolved O₂</t>
        </is>
      </c>
    </row>
    <row r="111">
      <c r="A111" s="17" t="inlineStr">
        <is>
          <t xml:space="preserve">Vent model</t>
        </is>
      </c>
      <c r="B111" s="18" t="inlineStr">
        <is>
          <t xml:space="preserve">vent_model_sel</t>
        </is>
      </c>
      <c r="C111" s="19" t="inlineStr">
        <is>
          <t xml:space="preserve">-</t>
        </is>
      </c>
      <c r="D111" s="131" t="inlineStr">
        <is>
          <t xml:space="preserve">Open vent</t>
        </is>
      </c>
      <c r="E111" s="20" t="inlineStr">
        <is>
          <t xml:space="preserve">select</t>
        </is>
      </c>
      <c r="F111" s="21" t="inlineStr">
        <is>
          <t xml:space="preserve">"Outflow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is>
      </c>
    </row>
    <row r="112">
      <c r="A112" s="17" t="inlineStr">
        <is>
          <t xml:space="preserve">O₂ sizing phase</t>
        </is>
      </c>
      <c r="B112" s="18" t="inlineStr">
        <is>
          <t xml:space="preserve">O2_phase_sel</t>
        </is>
      </c>
      <c r="C112" s="19" t="inlineStr">
        <is>
          <t xml:space="preserve">-</t>
        </is>
      </c>
      <c r="D112" s="131" t="inlineStr">
        <is>
          <t xml:space="preserve">Growth</t>
        </is>
      </c>
      <c r="E112" s="20" t="inlineStr">
        <is>
          <t xml:space="preserve">select</t>
        </is>
      </c>
      <c r="F112" s="21" t="inlineStr">
        <is>
          <t xml:space="preserve">"Growth"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is>
      </c>
    </row>
    <row r="113">
      <c r="A113" s="89" t="inlineStr">
        <is>
          <t xml:space="preserve">Vent air ingress in use</t>
        </is>
      </c>
      <c r="C113" s="20" t="inlineStr">
        <is>
          <t xml:space="preserve">mL/min</t>
        </is>
      </c>
      <c r="D113" s="90">
        <f>'Mass Transfer'!$D$386</f>
        <v>0.015</v>
      </c>
      <c r="E113" s="23" t="str">
        <f>HYPERLINK("#'Mass Transfer'!D386","→ Mass Transfer")</f>
        <v>→ Mass Transfer</v>
      </c>
      <c r="F113" s="21" t="inlineStr">
        <is>
          <t xml:space="preserve">0 for "Outflow only"; Q_backdraw (Mass Transfer D385, an estimate) for "Open vent"; the measured Q_vent (D142) for "Air exchange". The single number that reconciles the O₂, CO₂ and flammability blocks — measure it.</t>
        </is>
      </c>
    </row>
    <row r="114">
      <c r="A114" s="89" t="inlineStr">
        <is>
          <t xml:space="preserve">Cycle-mean DO — growth phase</t>
        </is>
      </c>
      <c r="C114" s="20" t="inlineStr">
        <is>
          <t xml:space="preserve">mg/L</t>
        </is>
      </c>
      <c r="D114" s="90">
        <f>'Mass Transfer'!$D$343</f>
        <v>2.543598660379</v>
      </c>
      <c r="E114" s="23" t="str">
        <f>HYPERLINK("#'Mass Transfer'!D343","→ Mass Transfer")</f>
        <v>→ Mass Transfer</v>
      </c>
      <c r="F114" s="21" t="inlineStr">
        <is>
          <t xml:space="preserve">Time-mean dissolved O₂ at the schedule in use with the growth-phase O₂ surplus (sawtooth model).</t>
        </is>
      </c>
    </row>
    <row r="115">
      <c r="A115" s="89" t="inlineStr">
        <is>
          <t xml:space="preserve">Peak DO — growth phase</t>
        </is>
      </c>
      <c r="C115" s="20" t="inlineStr">
        <is>
          <t xml:space="preserve">mg/L</t>
        </is>
      </c>
      <c r="D115" s="90">
        <f>'Mass Transfer'!$D$344</f>
        <v>2.82014387887</v>
      </c>
      <c r="E115" s="23" t="str">
        <f>HYPERLINK("#'Mass Transfer'!D344","→ Mass Transfer")</f>
        <v>→ Mass Transfer</v>
      </c>
      <c r="F115" s="21" t="inlineStr">
        <is>
          <t xml:space="preserve">Dissolved O₂ just before a pulse, growth phase. Compare with the organism band and the ceiling.</t>
        </is>
      </c>
    </row>
    <row r="116">
      <c r="A116" s="89" t="inlineStr">
        <is>
          <t xml:space="preserve">Cycle-mean DO — lag phase</t>
        </is>
      </c>
      <c r="C116" s="20" t="inlineStr">
        <is>
          <t xml:space="preserve">mg/L</t>
        </is>
      </c>
      <c r="D116" s="90">
        <f>'Mass Transfer'!$D$364</f>
        <v>6.605507737565</v>
      </c>
      <c r="E116" s="23" t="str">
        <f>HYPERLINK("#'Mass Transfer'!D364","→ Mass Transfer")</f>
        <v>→ Mass Transfer</v>
      </c>
      <c r="F116" s="21" t="inlineStr">
        <is>
          <t xml:space="preserve">Same schedule, no uptake yet: the whole net electrolytic O₂ crosses the surface. Expect this from inoculation until growth is established, and in every abiotic run.</t>
        </is>
      </c>
    </row>
    <row r="117">
      <c r="A117" s="89" t="inlineStr">
        <is>
          <t xml:space="preserve">Peak DO — lag phase</t>
        </is>
      </c>
      <c r="C117" s="20" t="inlineStr">
        <is>
          <t xml:space="preserve">mg/L</t>
        </is>
      </c>
      <c r="D117" s="90">
        <f>'Mass Transfer'!$D$365</f>
        <v>7.175982939307</v>
      </c>
      <c r="E117" s="23" t="str">
        <f>HYPERLINK("#'Mass Transfer'!D365","→ Mass Transfer")</f>
        <v>→ Mass Transfer</v>
      </c>
      <c r="F117" s="21" t="inlineStr">
        <is>
          <t xml:space="preserve">Lag-phase sawtooth peak; the discriminating prediction for an abiotic DO trace (R2 experiment 2).</t>
        </is>
      </c>
    </row>
    <row r="118">
      <c r="A118" s="89" t="inlineStr">
        <is>
          <t xml:space="preserve">Peak DO under the inhibition ceiling? — growth</t>
        </is>
      </c>
      <c r="D118" s="90" t="str">
        <f>'Mass Transfer'!$D$348</f>
        <v>peak 2.8 mg/L under the 11.3 mg/L ceiling</v>
      </c>
      <c r="E118" s="23" t="str">
        <f>HYPERLINK("#'Mass Transfer'!D348","→ Mass Transfer")</f>
        <v>→ Mass Transfer</v>
      </c>
      <c r="F118" s="21" t="inlineStr">
        <is>
          <t xml:space="preserve">Red = the growth-phase sawtooth peaks above the 0.30 atm growth-inhibition ceiling.</t>
        </is>
      </c>
    </row>
    <row r="119">
      <c r="A119" s="89" t="inlineStr">
        <is>
          <t xml:space="preserve">Peak DO under the inhibition ceiling? — lag</t>
        </is>
      </c>
      <c r="D119" s="90" t="str">
        <f>'Mass Transfer'!$D$369</f>
        <v>peak 7.2 mg/L under the 11.3 mg/L ceiling</v>
      </c>
      <c r="E119" s="23" t="str">
        <f>HYPERLINK("#'Mass Transfer'!D369","→ Mass Transfer")</f>
        <v>→ Mass Transfer</v>
      </c>
      <c r="F119" s="21" t="inlineStr">
        <is>
          <t xml:space="preserve">Red = the lag-phase peak breaches the ceiling at this schedule; the culture would then be inhibited before it starts.</t>
        </is>
      </c>
    </row>
    <row r="120">
      <c r="A120" s="89" t="inlineStr">
        <is>
          <t xml:space="preserve">DO target reachable? — growth</t>
        </is>
      </c>
      <c r="D120" s="90" t="str">
        <f>'Mass Transfer'!$D$347</f>
        <v>reachable – kLa margin 1.94×</v>
      </c>
      <c r="E120" s="23" t="str">
        <f>HYPERLINK("#'Mass Transfer'!D347","→ Mass Transfer")</f>
        <v>→ Mass Transfer</v>
      </c>
      <c r="F120" s="21" t="inlineStr">
        <is>
          <t xml:space="preserve">Surface kLa in use ÷ kLa required on the growth source. Below 1× no interval holds the target.</t>
        </is>
      </c>
    </row>
    <row r="121">
      <c r="A121" s="89" t="inlineStr">
        <is>
          <t xml:space="preserve">DO target reachable? — lag</t>
        </is>
      </c>
      <c r="D121" s="90" t="str">
        <f>'Mass Transfer'!$D$368</f>
        <v>UNREACHABLE at this surface kLa – margin 0.62× (raise kL_surf, lower the current, or accept a higher DO)</v>
      </c>
      <c r="E121" s="23" t="str">
        <f>HYPERLINK("#'Mass Transfer'!D368","→ Mass Transfer")</f>
        <v>→ Mass Transfer</v>
      </c>
      <c r="F121" s="21"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0.62×: the target cannot be held during lag at the kLa in use, whatever the schedule — an owner decision (target the ceiling with a margin during lag?).</v>
      </c>
    </row>
    <row r="122">
      <c r="A122" s="89" t="inlineStr">
        <is>
          <t xml:space="preserve">Surface kLa required — growth</t>
        </is>
      </c>
      <c r="C122" s="20" t="inlineStr">
        <is>
          <t xml:space="preserve">1/s</t>
        </is>
      </c>
      <c r="D122" s="90">
        <f>'Mass Transfer'!$D$345</f>
        <v>0.003701930458</v>
      </c>
      <c r="E122" s="23" t="str">
        <f>HYPERLINK("#'Mass Transfer'!D345","→ Mass Transfer")</f>
        <v>→ Mass Transfer</v>
      </c>
      <c r="F122" s="21" t="inlineStr">
        <is>
          <t xml:space="preserve">Compare with the estimate in use (Mass Transfer D98).</t>
        </is>
      </c>
    </row>
    <row r="123">
      <c r="A123" s="89" t="inlineStr">
        <is>
          <t xml:space="preserve">Surface kLa required — lag</t>
        </is>
      </c>
      <c r="C123" s="20" t="inlineStr">
        <is>
          <t xml:space="preserve">1/s</t>
        </is>
      </c>
      <c r="D123" s="90">
        <f>'Mass Transfer'!$D$366</f>
        <v>0.01160231226</v>
      </c>
      <c r="E123" s="23" t="str">
        <f>HYPERLINK("#'Mass Transfer'!D366","→ Mass Transfer")</f>
        <v>→ Mass Transfer</v>
      </c>
      <c r="F123" s="21" t="inlineStr">
        <is>
          <t xml:space="preserve">Compare with the estimate in use (Mass Transfer D98).</t>
        </is>
      </c>
    </row>
    <row r="124">
      <c r="A124" s="89" t="inlineStr">
        <is>
          <t xml:space="preserve">Headspace O₂ fraction (flux-mean; the headspace swings around it) — growth</t>
        </is>
      </c>
      <c r="C124" s="20" t="inlineStr">
        <is>
          <t xml:space="preserve">-</t>
        </is>
      </c>
      <c r="D124" s="90">
        <f>'Mass Transfer'!$D$329</f>
        <v>0.031437574558</v>
      </c>
      <c r="E124" s="23" t="str">
        <f>HYPERLINK("#'Mass Transfer'!D329","→ Mass Transfer")</f>
        <v>→ Mass Transfer</v>
      </c>
      <c r="F124" s="21" t="inlineStr">
        <is>
          <t xml:space="preserve">Flux-mean O₂ in the vent gas at the schedule in use, growth phase.</t>
        </is>
      </c>
    </row>
    <row r="125">
      <c r="A125" s="89" t="inlineStr">
        <is>
          <t xml:space="preserve">Headspace O₂ fraction (mean-field) — lag</t>
        </is>
      </c>
      <c r="C125" s="20" t="inlineStr">
        <is>
          <t xml:space="preserve">-</t>
        </is>
      </c>
      <c r="D125" s="90">
        <f>'Mass Transfer'!$D$351</f>
        <v>0.063684612076</v>
      </c>
      <c r="E125" s="23" t="str">
        <f>HYPERLINK("#'Mass Transfer'!D351","→ Mass Transfer")</f>
        <v>→ Mass Transfer</v>
      </c>
      <c r="F125" s="21" t="inlineStr">
        <is>
          <t xml:space="preserve">Lag phase; with the H₂ fraction below it, the flammability basis of row 24.</t>
        </is>
      </c>
    </row>
    <row r="126">
      <c r="A126" s="89" t="inlineStr">
        <is>
          <t xml:space="preserve">Headspace H₂ fraction (mean-field) — lag</t>
        </is>
      </c>
      <c r="C126" s="20" t="inlineStr">
        <is>
          <t xml:space="preserve">-</t>
        </is>
      </c>
      <c r="D126" s="90">
        <f>'Mass Transfer'!$D$352</f>
        <v>0.112682153807</v>
      </c>
      <c r="E126" s="23" t="str">
        <f>HYPERLINK("#'Mass Transfer'!D352","→ Mass Transfer")</f>
        <v>→ Mass Transfer</v>
      </c>
      <c r="F126" s="21" t="inlineStr">
        <is>
          <t xml:space="preserve">Lag-phase H₂ in the headspace (LFL 4 %). Growth is zero only by the 100 % uptake assumption.</t>
        </is>
      </c>
    </row>
    <row r="127">
      <c r="A127" s="89" t="inlineStr">
        <is>
          <t xml:space="preserve">Headspace CO₂ fraction (mean-field, sizing phase)</t>
        </is>
      </c>
      <c r="C127" s="20" t="inlineStr">
        <is>
          <t xml:space="preserve">-</t>
        </is>
      </c>
      <c r="D127" s="90">
        <f>'Mass Transfer'!$D$381</f>
        <v>0.929877016008</v>
      </c>
      <c r="E127" s="23" t="str">
        <f>HYPERLINK("#'Mass Transfer'!D381","→ Mass Transfer")</f>
        <v>→ Mass Transfer</v>
      </c>
      <c r="F127" s="21" t="inlineStr">
        <is>
          <t xml:space="preserve">What the vent model implies for the CO₂ the pH rests on: ~97 % for "Outflow only", lower when air enters ("Open vent", "Air exchange"). The pool model (Mass Transfer D200) should agree within the sawtooth.</t>
        </is>
      </c>
    </row>
    <row r="128">
      <c r="A128" s="89" t="inlineStr">
        <is>
          <t xml:space="preserve">DO target and pH band met together at the schedule in use?</t>
        </is>
      </c>
      <c r="D128" s="90" t="str">
        <f>IF(ISNA('Mass Transfer'!$D$308+'Mass Transfer'!$D$317),"#N/A – check the selectors in D111/D112",IF(NOT(ISNUMBER('Mass Transfer'!$D$185)),"DO target unreachable on the sizing phase (rows 120–121) – the schedule is the legacy O₂ flush guard (Mass Transfer D89)",IF(Chemistry!$D$220&gt;=Chemistry!$D$236,"yes – the schedule holds the DO target at pH "&amp;TEXT(Chemistry!$D$220,"0.00")&amp;", within the band",IF('Mass Transfer'!$D$185&lt;='Mass Transfer'!$D$112,"NO – holding the DO target drives pH to "&amp;TEXT(Chemistry!$D$220,"0.00")&amp;", below the "&amp;TEXT(Chemistry!$D$236,"0.0")&amp;" band floor","NO – the carbon-limited interval (not the DO target) gives pH "&amp;TEXT(Chemistry!$D$220,"0.00")&amp;", below the "&amp;TEXT(Chemistry!$D$236,"0.0")&amp;" band floor"))))</f>
        <v>NO – holding the DO target drives pH to 6.20, below the 6.5 band floor</v>
      </c>
      <c r="E128" s="23" t="str">
        <f>HYPERLINK("#Chemistry!D220","→ Chemistry")</f>
        <v>→ Chemistry</v>
      </c>
      <c r="F128" s="21" t="inlineStr">
        <is>
          <t xml:space="preserve">The vent model couples the two: when O₂ dilution binds, CO₂ is doing the O₂ dilution, so the DO-limited interval sets the pH (the text says which constraint binds). Red means the two targets conflict under the vent model in use — decouple them (inert sweep) or measure the vent before trusting either. #N/A = a selector in D111/D112 is not a listed value.</t>
        </is>
      </c>
    </row>
    <row r="129">
      <c r="A129" s="89" t="inlineStr">
        <is>
          <t xml:space="preserve">Headspace sag per cycle if the vent held a vacuum</t>
        </is>
      </c>
      <c r="C129" s="20" t="inlineStr">
        <is>
          <t xml:space="preserve">-</t>
        </is>
      </c>
      <c r="D129" s="90">
        <f>'Mass Transfer'!$D$389</f>
        <v>0.059032852289</v>
      </c>
      <c r="E129" s="23" t="str">
        <f>HYPERLINK("#'Mass Transfer'!D389","→ Mass Transfer")</f>
        <v>→ Mass Transfer</v>
      </c>
      <c r="F129" s="21" t="inlineStr">
        <is>
          <t xml:space="preserve">Upper bound on the per-cycle pressure deficit (fraction of 1 atm) that the "Outflow only" model implies at the schedule in use; 0.05 = 5 %.</t>
        </is>
      </c>
    </row>
    <row r="130">
      <c r="A130" s="89" t="inlineStr">
        <is>
          <t xml:space="preserve">Outflow-only headspace physically plausible?</t>
        </is>
      </c>
      <c r="D130" s="90" t="str">
        <f>'Mass Transfer'!$D$391</f>
        <v>n/a – the vent admits air (Open vent / Air exchange), so the headspace refills</v>
      </c>
      <c r="E130" s="23" t="str">
        <f>HYPERLINK("#'Mass Transfer'!D391","→ Mass Transfer")</f>
        <v>→ Mass Transfer</v>
      </c>
      <c r="F130" s="21" t="inlineStr">
        <is>
          <t xml:space="preserve">"HEADSPACE SAGS" = the check-valve model needs more vacuum than a real cap holds: switch D111 to Open vent or Air exchange. n/a when the vent model already admits air.</t>
        </is>
      </c>
    </row>
    <row r="135">
      <c r="A135" s="89" t="inlineStr">
        <is>
          <t xml:space="preserve">CO₂ absorbed per pulse : carbon demand (dissolved, not delivered)</t>
        </is>
      </c>
      <c r="B135" s="18" t="inlineStr">
        <is>
          <t xml:space="preserve">res_CO2_uptake</t>
        </is>
      </c>
      <c r="C135" s="20" t="inlineStr">
        <is>
          <t xml:space="preserve">×</t>
        </is>
      </c>
      <c r="D135" s="90">
        <f>'Mass Transfer'!$D$417</f>
        <v>2.425083542153</v>
      </c>
      <c r="E135" s="23" t="str">
        <f>HYPERLINK("#'Mass Transfer'!D417","→ Mass Transfer")</f>
        <v>→ Mass Transfer</v>
      </c>
      <c r="F135" s="21" t="inlineStr">
        <is>
          <t xml:space="preserve">Shown beside D26: CO₂ the liquid takes up after each pulse (incl. bicarbonate), per hour, over fixation. Informative, not pass/fail: below 1 the culture also draws on headspace CO₂ between pulses. Carbon sufficiency is row 41.</t>
        </is>
      </c>
    </row>
    <row r="136">
      <c r="A136" s="89" t="inlineStr">
        <is>
          <t xml:space="preserve">Carryover — superficial-velocity rule of thumb (secondary)</t>
        </is>
      </c>
      <c r="B136" s="18" t="inlineStr">
        <is>
          <t xml:space="preserve">chk_carry_usg</t>
        </is>
      </c>
      <c r="D136" s="90" t="str">
        <f>'Mass Transfer'!$D$414</f>
        <v>OK – 6.6 mm/s against the 50 mm/s rule of thumb</v>
      </c>
      <c r="E136" s="23" t="str">
        <f>HYPERLINK("#'Mass Transfer'!D414","→ Mass Transfer")</f>
        <v>→ Mass Transfer</v>
      </c>
      <c r="F136" s="21" t="inlineStr">
        <is>
          <t xml:space="preserve">Secondary to row 29: gas velocity against the provisional 50 mm/s entrainment rule of thumb. It cannot fail at bench flows; row 29 tests the measured limit.</t>
        </is>
      </c>
    </row>
    <row r="137">
      <c r="A137" s="103" t="inlineStr">
        <is>
          <t xml:space="preserve">COLOUR THRESHOLDS (the conditional formatting on D35 and D36 reads these cells)</t>
        </is>
      </c>
    </row>
    <row r="138">
      <c r="A138" s="89" t="inlineStr">
        <is>
          <t xml:space="preserve">pH red below</t>
        </is>
      </c>
      <c r="B138" s="18" t="inlineStr">
        <is>
          <t xml:space="preserve">cf_pH_red_lo</t>
        </is>
      </c>
      <c r="C138" s="20" t="inlineStr">
        <is>
          <t xml:space="preserve">pH</t>
        </is>
      </c>
      <c r="D138" s="90">
        <f>Chemistry!$D$299</f>
        <v>6.0</v>
      </c>
      <c r="E138" s="23" t="str">
        <f>HYPERLINK("#Chemistry!D299","→ Chemistry")</f>
        <v>→ Chemistry</v>
      </c>
      <c r="F138" s="21" t="inlineStr">
        <is>
          <t xml:space="preserve">Same-sheet copy so the conditional-format rule can reference it by a Summary-local name.</t>
        </is>
      </c>
    </row>
    <row r="139">
      <c r="A139" s="89" t="inlineStr">
        <is>
          <t xml:space="preserve">pH amber below (band floor)</t>
        </is>
      </c>
      <c r="B139" s="18" t="inlineStr">
        <is>
          <t xml:space="preserve">cf_pH_lo</t>
        </is>
      </c>
      <c r="C139" s="20" t="inlineStr">
        <is>
          <t xml:space="preserve">pH</t>
        </is>
      </c>
      <c r="D139" s="90">
        <f>Chemistry!$D$236</f>
        <v>6.5</v>
      </c>
      <c r="E139" s="23" t="str">
        <f>HYPERLINK("#Chemistry!D236","→ Chemistry")</f>
        <v>→ Chemistry</v>
      </c>
      <c r="F139" s="21" t="inlineStr">
        <is>
          <t xml:space="preserve">Same-sheet copy so the conditional-format rule can reference it by a Summary-local name.</t>
        </is>
      </c>
    </row>
    <row r="140">
      <c r="A140" s="89" t="inlineStr">
        <is>
          <t xml:space="preserve">pH amber above (band ceiling)</t>
        </is>
      </c>
      <c r="B140" s="18" t="inlineStr">
        <is>
          <t xml:space="preserve">cf_pH_hi</t>
        </is>
      </c>
      <c r="C140" s="20" t="inlineStr">
        <is>
          <t xml:space="preserve">pH</t>
        </is>
      </c>
      <c r="D140" s="90">
        <f>Chemistry!$D$237</f>
        <v>7.5</v>
      </c>
      <c r="E140" s="23" t="str">
        <f>HYPERLINK("#Chemistry!D237","→ Chemistry")</f>
        <v>→ Chemistry</v>
      </c>
      <c r="F140" s="21" t="inlineStr">
        <is>
          <t xml:space="preserve">Same-sheet copy so the conditional-format rule can reference it by a Summary-local name.</t>
        </is>
      </c>
    </row>
    <row r="141">
      <c r="A141" s="89" t="inlineStr">
        <is>
          <t xml:space="preserve">pH red above</t>
        </is>
      </c>
      <c r="B141" s="18" t="inlineStr">
        <is>
          <t xml:space="preserve">cf_pH_red_hi</t>
        </is>
      </c>
      <c r="C141" s="20" t="inlineStr">
        <is>
          <t xml:space="preserve">pH</t>
        </is>
      </c>
      <c r="D141" s="90">
        <f>Chemistry!$D$300</f>
        <v>8.0</v>
      </c>
      <c r="E141" s="23" t="str">
        <f>HYPERLINK("#Chemistry!D300","→ Chemistry")</f>
        <v>→ Chemistry</v>
      </c>
      <c r="F141" s="21" t="inlineStr">
        <is>
          <t xml:space="preserve">Same-sheet copy so the conditional-format rule can reference it by a Summary-local name.</t>
        </is>
      </c>
    </row>
    <row r="142">
      <c r="A142" s="89" t="inlineStr">
        <is>
          <t xml:space="preserve">Chlorine amber above (onset)</t>
        </is>
      </c>
      <c r="B142" s="18" t="inlineStr">
        <is>
          <t xml:space="preserve">cf_Cl_onset</t>
        </is>
      </c>
      <c r="C142" s="20" t="inlineStr">
        <is>
          <t xml:space="preserve">mg/L</t>
        </is>
      </c>
      <c r="D142" s="90">
        <f>Chemistry!$D$146</f>
        <v>0.1</v>
      </c>
      <c r="E142" s="23" t="str">
        <f>HYPERLINK("#Chemistry!D146","→ Chemistry")</f>
        <v>→ Chemistry</v>
      </c>
      <c r="F142" s="21" t="inlineStr">
        <is>
          <t xml:space="preserve">Same-sheet copy so the conditional-format rule can reference it by a Summary-local name.</t>
        </is>
      </c>
    </row>
    <row r="143">
      <c r="A143" s="89" t="inlineStr">
        <is>
          <t xml:space="preserve">Chlorine red above (kill)</t>
        </is>
      </c>
      <c r="B143" s="18" t="inlineStr">
        <is>
          <t xml:space="preserve">cf_Cl_kill</t>
        </is>
      </c>
      <c r="C143" s="20" t="inlineStr">
        <is>
          <t xml:space="preserve">mg/L</t>
        </is>
      </c>
      <c r="D143" s="90">
        <f>Chemistry!$D$147</f>
        <v>2.0</v>
      </c>
      <c r="E143" s="23" t="str">
        <f>HYPERLINK("#Chemistry!D147","→ Chemistry")</f>
        <v>→ Chemistry</v>
      </c>
      <c r="F143" s="21" t="inlineStr">
        <is>
          <t xml:space="preserve">Same-sheet copy so the conditional-format rule can reference it by a Summary-local name.</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operator="between" type="decimal" allowBlank="1" showErrorMessage="1" errorTitle="Invalid value" error="Electrolysis power is 0–25 % (Gerrit's Law is validated to 25 %; the plugin clamps at 10 %)." sqref="D6">
      <formula1>0</formula1>
      <formula2>25</formula2>
    </dataValidation>
    <dataValidation operator="between" type="whole" allowBlank="1" showErrorMessage="1" errorTitle="Invalid value" error="Stirrer rate 125–2000 rpm." sqref="D7">
      <formula1>125</formula1>
      <formula2>2000</formula2>
    </dataValidation>
    <dataValidation operator="between" type="decimal" allowBlank="1" showErrorMessage="1" errorTitle="Invalid value" error="Temperature 15–40 °C: the water-property fits are valid in that range." sqref="D8">
      <formula1>15</formula1>
      <formula2>40</formula2>
    </dataValidation>
    <dataValidation operator="greaterThan" type="decimal" allowBlank="1" showErrorMessage="1" errorTitle="Invalid value" error="Media volume in mL, or leave blank for the recommended working volume." sqref="D9">
      <formula1>0</formula1>
    </dataValidation>
    <dataValidation operator="between" type="decimal" allowBlank="1" showErrorMessage="1" errorTitle="Invalid value" error="Ambient pressure in Pa (80000–110000), or leave blank for 101325 Pa." sqref="D10">
      <formula1>80000</formula1>
      <formula2>110000</formula2>
    </dataValidation>
    <dataValidation type="list" allowBlank="1" showErrorMessage="1" errorTitle="Invalid value" error="Choose Growth or Lag." sqref="D112">
      <formula1>"Growth,Lag"</formula1>
    </dataValidation>
    <dataValidation type="list" allowBlank="1" showErrorMessage="1" errorTitle="Invalid value" error="Choose Outflow only, Open vent or Air exchange." sqref="D111">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VLOOKUP(rx_ver,$A$84:$I$87,MATCH("vial OD (mm)",$A$83:$I$83,0),FALSE)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IF(ISNUMBER(cal_Dint),cal_Dint,VLOOKUP(rx_ver,$A$84:$I$87,MATCH("usable depth (mm)",$A$83:$I$83,0),FALSE))</f>
        <v>55.0</v>
      </c>
      <c r="E22" s="99" t="s">
        <v>176</v>
      </c>
      <c r="F22" s="20"/>
      <c r="G22" s="20"/>
      <c r="H22" s="20"/>
      <c r="I22" s="20"/>
    </row>
    <row r="23" spans="1:9" x14ac:dyDescent="0.2">
      <c r="A23" s="17" t="s">
        <v>177</v>
      </c>
      <c r="B23" s="18" t="s">
        <v>178</v>
      </c>
      <c r="C23" s="19" t="s">
        <v>57</v>
      </c>
      <c r="D23" s="140">
        <f>VLOOKUP(rx_ver,$A$84:$I$87,MATCH("max working (mL)",$A$83:$I$83,0),FALSE)</f>
        <v>16.0</v>
      </c>
      <c r="E23" s="99" t="s">
        <v>176</v>
      </c>
      <c r="F23" s="20"/>
      <c r="G23" s="20"/>
      <c r="H23" s="20"/>
      <c r="I23" s="20"/>
    </row>
    <row r="24" spans="1:9" x14ac:dyDescent="0.2">
      <c r="A24" s="17" t="s">
        <v>179</v>
      </c>
      <c r="B24" s="18" t="s">
        <v>180</v>
      </c>
      <c r="C24" s="19" t="s">
        <v>57</v>
      </c>
      <c r="D24" s="140">
        <f>IF(ISNUMBER(cal_Vtot),cal_Vtot,VLOOKUP(rx_ver,$A$84:$I$87,MATCH("total vial (mL)",$A$83:$I$83,0),FALSE))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VLOOKUP(reactor_sel,$A$59:$B$80,MATCH("Type",$A$58:$B$58,0),FALSE)</f>
        <v>MEP0.3</v>
      </c>
      <c r="E51" s="20"/>
      <c r="F51" s="20"/>
      <c r="G51" s="20"/>
      <c r="H51" s="20"/>
      <c r="I51" s="20"/>
    </row>
    <row r="52" spans="1:9" x14ac:dyDescent="0.2">
      <c r="A52" s="20" t="s">
        <v>259</v>
      </c>
      <c r="B52" s="20" t="s">
        <v>260</v>
      </c>
      <c r="C52" s="20"/>
      <c r="D52" s="28">
        <f>VLOOKUP(rx_ver,$A$84:$I$87,MATCH("stir bar L (mm)",$A$83:$I$83,0),FALSE)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0.959777674745</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0.0001018812158154</v>
      </c>
      <c r="E21" s="99" t="s">
        <v>355</v>
      </c>
      <c r="F21" s="20"/>
      <c r="G21" s="20"/>
      <c r="H21" s="20"/>
      <c r="I21" s="20"/>
    </row>
    <row r="22" spans="1:9" x14ac:dyDescent="0.2">
      <c r="A22" s="17" t="s">
        <v>356</v>
      </c>
      <c r="B22" s="18" t="s">
        <v>357</v>
      </c>
      <c r="C22" s="19" t="s">
        <v>354</v>
      </c>
      <c r="D22" s="48">
        <f>I_app*etaF_OER/(z_e_O2*F_const)*3600</f>
        <v>5.218135137208e-05</v>
      </c>
      <c r="E22" s="99" t="s">
        <v>358</v>
      </c>
      <c r="F22" s="20"/>
      <c r="G22" s="20"/>
      <c r="H22" s="20"/>
      <c r="I22" s="20"/>
    </row>
    <row r="23" spans="1:9" x14ac:dyDescent="0.2">
      <c r="A23" s="17" t="s">
        <v>359</v>
      </c>
      <c r="B23" s="18" t="s">
        <v>360</v>
      </c>
      <c r="C23" s="19" t="s">
        <v>361</v>
      </c>
      <c r="D23" s="48">
        <f>rH2_gen/60*R_gas*T_K/P_atm*1000000</f>
        <v>0.041542751234</v>
      </c>
      <c r="E23" s="99" t="s">
        <v>362</v>
      </c>
      <c r="F23" s="20"/>
      <c r="G23" s="20"/>
      <c r="H23" s="20"/>
      <c r="I23" s="20"/>
    </row>
    <row r="24" spans="1:9" x14ac:dyDescent="0.2">
      <c r="A24" s="17" t="s">
        <v>363</v>
      </c>
      <c r="B24" s="18" t="s">
        <v>364</v>
      </c>
      <c r="C24" s="19" t="s">
        <v>361</v>
      </c>
      <c r="D24" s="48">
        <f>rO2_gen/60*R_gas*T_K/P_atm*1000000</f>
        <v>0.021277297113</v>
      </c>
      <c r="E24" s="99" t="s">
        <v>365</v>
      </c>
      <c r="F24" s="20"/>
      <c r="G24" s="20"/>
      <c r="H24" s="20"/>
      <c r="I24" s="20"/>
    </row>
    <row r="25" spans="1:9" ht="24" customHeight="1" x14ac:dyDescent="0.2">
      <c r="A25" s="17" t="s">
        <v>366</v>
      </c>
      <c r="B25" s="18" t="s">
        <v>367</v>
      </c>
      <c r="C25" s="19" t="s">
        <v>361</v>
      </c>
      <c r="D25" s="48">
        <f>V_H2_gen+V_O2_gen</f>
        <v>0.062820048346</v>
      </c>
      <c r="E25" s="99" t="s">
        <v>368</v>
      </c>
      <c r="F25" s="20"/>
      <c r="G25" s="20"/>
      <c r="H25" s="20"/>
      <c r="I25" s="20"/>
    </row>
    <row r="26" spans="1:9" ht="36" x14ac:dyDescent="0.2">
      <c r="A26" s="17" t="s">
        <v>369</v>
      </c>
      <c r="B26" s="18" t="s">
        <v>370</v>
      </c>
      <c r="C26" s="19" t="s">
        <v>135</v>
      </c>
      <c r="D26" s="42">
        <f>IF(ISNUMBER(cal_etaF_OER),cal_etaF_OER,etaF_OER_calc)</f>
        <v>0.983154660731</v>
      </c>
      <c r="E26" s="67" t="inlineStr">
        <is>
          <t xml:space="preserve">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is>
      </c>
      <c r="F26" s="20"/>
      <c r="G26" s="20"/>
      <c r="H26" s="20"/>
      <c r="I26" s="20"/>
    </row>
    <row r="27" spans="1:9" ht="24" customHeight="1" x14ac:dyDescent="0.2">
      <c r="A27" s="17" t="inlineStr">
        <is>
          <t xml:space="preserve">Electrons per O₂ on the peroxide branch (cathode)</t>
        </is>
      </c>
      <c r="B27" s="18" t="s">
        <v>372</v>
      </c>
      <c r="C27" s="19" t="s">
        <v>135</v>
      </c>
      <c r="D27" s="139">
        <f>VLOOKUP(electrode_sel,$A$35:$N$38,MATCH("z_e_ORR",$A$34:$N$34,0),FALSE)</f>
        <v>2.0</v>
      </c>
      <c r="E27" s="114" t="inlineStr">
        <is>
          <t xml:space="preserve">Electrode lookup: 2 e⁻ per O₂ on the peroxide branch (SS cathode, neutral pH) for every current electrode. The current drawn per O₂ is the weighted n_ORR_eff (D141), not this value.</t>
        </is>
      </c>
      <c r="F27" s="20"/>
      <c r="G27" s="20"/>
      <c r="H27" s="20"/>
      <c r="I27" s="20"/>
    </row>
    <row r="28" spans="1:9" x14ac:dyDescent="0.2">
      <c r="A28" s="17" t="s">
        <v>374</v>
      </c>
      <c r="B28" s="18" t="s">
        <v>375</v>
      </c>
      <c r="C28" s="19" t="s">
        <v>354</v>
      </c>
      <c r="D28" s="48">
        <f>I_app*(1-etaF)/(n_ORR_eff*F_const)*3600</f>
        <v>2.307910274443e-06</v>
      </c>
      <c r="E28" s="99" t="inlineStr">
        <is>
          <t xml:space="preserve">Moles of O₂ reduced: the non-H₂ cathodic current (1−etaF) divided by n_ORR_eff·F. Equals the transport-limited O₂ flux when etaF is calculated; stays consistent if a measured etaF is in use. 0 at etaF = 1.</t>
        </is>
      </c>
      <c r="F28" s="20"/>
      <c r="G28" s="20"/>
      <c r="H28" s="20"/>
      <c r="I28" s="20"/>
    </row>
    <row r="29" spans="1:9" x14ac:dyDescent="0.2">
      <c r="A29" s="17" t="s">
        <v>377</v>
      </c>
      <c r="B29" s="18" t="s">
        <v>378</v>
      </c>
      <c r="C29" s="19" t="s">
        <v>354</v>
      </c>
      <c r="D29" s="48">
        <f>rO2_gen-O2_cathode_ORR</f>
        <v>4.987344109764e-05</v>
      </c>
      <c r="E29" s="99" t="s">
        <v>379</v>
      </c>
      <c r="F29" s="20"/>
      <c r="G29" s="20"/>
      <c r="H29" s="20"/>
      <c r="I29" s="20"/>
    </row>
    <row r="30" spans="1:9" x14ac:dyDescent="0.2">
      <c r="A30" s="101" t="inlineStr">
        <is>
          <t xml:space="preserve">z_e_ORR = 2 is the peroxide branch only; the current per O₂ is n_ORR_eff (D141, 2 and 4 e⁻ weighted by f_HOOH). etaF unmeasured — both live here per electrode.</t>
        </is>
      </c>
      <c r="B30" s="20"/>
      <c r="C30" s="20"/>
      <c r="D30" s="20"/>
      <c r="E30" s="20"/>
      <c r="F30" s="20"/>
      <c r="G30" s="20"/>
      <c r="H30" s="20"/>
      <c r="I30" s="20"/>
    </row>
    <row r="31" spans="1:9" x14ac:dyDescent="0.2">
      <c r="A31" s="20" t="s">
        <v>381</v>
      </c>
      <c r="B31" s="20" t="s">
        <v>382</v>
      </c>
      <c r="C31" s="20"/>
      <c r="D31" s="28" t="str">
        <f>VLOOKUP(electrode_sel,$A$35:$N$38,MATCH("sparger",$A$34:$N$34,0),FALSE)</f>
        <v>Tube</v>
      </c>
      <c r="E31" s="20"/>
      <c r="F31" s="20"/>
      <c r="G31" s="20"/>
      <c r="H31" s="20"/>
      <c r="I31" s="20"/>
    </row>
    <row r="32" spans="1:9" x14ac:dyDescent="0.2">
      <c r="A32" s="20" t="s">
        <v>383</v>
      </c>
      <c r="B32" s="20" t="s">
        <v>384</v>
      </c>
      <c r="C32" s="20"/>
      <c r="D32" s="28">
        <f>IF(ISNUMBER(cal_sinter),cal_sinter,IF(ISNUMBER(VLOOKUP(electrode_sel,$A$35:$N$38,MATCH("sinter porosity",$A$34:$N$34,0),FALSE)),VLOOKUP(electrode_sel,$A$35:$N$38,MATCH("sinter porosity",$A$34:$N$34,0),FALSE),0))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VLOOKUP(electrode_sel,$A$35:$N$38,MATCH("anode shape",$A$34:$N$34,0),FALSE)</f>
        <v>rod</v>
      </c>
      <c r="E41" s="99" t="s">
        <v>1310</v>
      </c>
    </row>
    <row r="42" spans="1:14" x14ac:dyDescent="0.2">
      <c r="A42" s="17" t="s">
        <v>1311</v>
      </c>
      <c r="B42" s="18" t="s">
        <v>1312</v>
      </c>
      <c r="C42" s="19" t="s">
        <v>146</v>
      </c>
      <c r="D42" s="48">
        <f>VLOOKUP(electrode_sel,$A$35:$N$38,MATCH("anode dia (mm)",$A$34:$N$34,0),FALSE)</f>
        <v>6.0</v>
      </c>
      <c r="E42" s="99" t="s">
        <v>1313</v>
      </c>
    </row>
    <row r="43" spans="1:14" x14ac:dyDescent="0.2">
      <c r="A43" s="17" t="s">
        <v>1314</v>
      </c>
      <c r="B43" s="18" t="s">
        <v>1315</v>
      </c>
      <c r="C43" s="19" t="s">
        <v>135</v>
      </c>
      <c r="D43" s="48" t="str">
        <f>VLOOKUP(electrode_sel,$A$35:$N$38,MATCH("cathode shape",$A$34:$N$34,0),FALSE)</f>
        <v>rod</v>
      </c>
      <c r="E43" s="99" t="s">
        <v>1316</v>
      </c>
    </row>
    <row r="44" spans="1:14" x14ac:dyDescent="0.2">
      <c r="A44" s="17" t="s">
        <v>1317</v>
      </c>
      <c r="B44" s="18" t="s">
        <v>1318</v>
      </c>
      <c r="C44" s="19" t="s">
        <v>146</v>
      </c>
      <c r="D44" s="48">
        <f>VLOOKUP(electrode_sel,$A$35:$N$38,MATCH("cathode dia (mm)",$A$34:$N$34,0),FALSE)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VLOOKUP(electrode_sel,$A$35:$N$38,MATCH("anode j cont (mA/cm²)",$A$34:$N$34,0),FALSE)</f>
        <v>100.0</v>
      </c>
      <c r="E50" s="99" t="s">
        <v>1333</v>
      </c>
    </row>
    <row r="51" spans="1:5" x14ac:dyDescent="0.2">
      <c r="A51" s="17" t="s">
        <v>1334</v>
      </c>
      <c r="B51" s="18" t="s">
        <v>1335</v>
      </c>
      <c r="C51" s="19" t="s">
        <v>1282</v>
      </c>
      <c r="D51" s="48">
        <f>VLOOKUP(electrode_sel,$A$35:$N$38,MATCH("anode j max (mA/cm²)",$A$34:$N$34,0),FALSE)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IF(ISNUMBER(cal_j_opt),cal_j_opt,IFERROR(VLOOKUP(organism_sel,$A$66:$E$71,MATCH("j_opt",$A$65:$E$65,0),FALSE),j_opt_default))</f>
        <v>2.14</v>
      </c>
      <c r="E56" s="99" t="s">
        <v>1351</v>
      </c>
    </row>
    <row r="57" spans="1:5" x14ac:dyDescent="0.2">
      <c r="A57" s="17" t="s">
        <v>1352</v>
      </c>
      <c r="B57" s="18" t="s">
        <v>1353</v>
      </c>
      <c r="C57" s="19" t="s">
        <v>1282</v>
      </c>
      <c r="D57" s="48">
        <f>IF(ISNUMBER(cal_j_ceiling),cal_j_ceiling,IFERROR(VLOOKUP(organism_sel,$A$66:$E$71,MATCH("j_ceiling",$A$65:$E$65,0),FALSE),j_ceiling_default))</f>
        <v>4.29</v>
      </c>
      <c r="E57" s="99" t="s">
        <v>1354</v>
      </c>
    </row>
    <row r="58" spans="1:5" x14ac:dyDescent="0.2">
      <c r="A58" s="17" t="s">
        <v>1355</v>
      </c>
      <c r="B58" s="18" t="s">
        <v>1356</v>
      </c>
      <c r="C58" s="19" t="s">
        <v>135</v>
      </c>
      <c r="D58" s="48" t="str">
        <f>IFERROR(VLOOKUP(organism_sel,$A$66:$E$71,MATCH("confidence",$A$65:$E$65,0),FALSE),"unknown")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VLOOKUP(electrode_sel,$A$35:$N$38,MATCH("anode material",$A$34:$N$34,0),FALSE)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0.352091480729</v>
      </c>
      <c r="E80" s="67" t="s">
        <v>1631</v>
      </c>
    </row>
    <row r="81" spans="1:5" x14ac:dyDescent="0.2">
      <c r="A81" t="s">
        <v>1632</v>
      </c>
      <c r="B81" s="18" t="s">
        <v>1633</v>
      </c>
      <c r="C81" s="19" t="s">
        <v>577</v>
      </c>
      <c r="D81" s="141">
        <f>'Mass Transfer'!$D$32</f>
        <v>1.997672318404e-09</v>
      </c>
      <c r="E81" s="67" t="s">
        <v>1634</v>
      </c>
    </row>
    <row r="82" spans="1:5" x14ac:dyDescent="0.2">
      <c r="A82" t="inlineStr">
        <is>
          <t xml:space="preserve">Reactor liquid volume (V_charge in litres)</t>
        </is>
      </c>
      <c r="B82" s="18" t="s">
        <v>1636</v>
      </c>
      <c r="C82" s="19" t="s">
        <v>858</v>
      </c>
      <c r="D82" s="141">
        <f>V_charge/1000</f>
        <v>0.015</v>
      </c>
      <c r="E82" s="67" t="inlineStr">
        <is>
          <t xml:space="preserve">V_charge (D153, mL) / 1000 → L</t>
        </is>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0.079603291295</v>
      </c>
      <c r="E85" s="67" t="s">
        <v>1645</v>
      </c>
    </row>
    <row r="86" spans="1:5" ht="48" x14ac:dyDescent="0.2">
      <c r="A86" t="s">
        <v>1646</v>
      </c>
      <c r="B86" s="18" t="s">
        <v>1647</v>
      </c>
      <c r="C86" s="19" t="s">
        <v>1076</v>
      </c>
      <c r="D86" s="141">
        <f>n_ORR_eff*F_const*(km_O2/100)*ec_DO_design*(A_cath_wet/10000)</f>
        <v>0.0002288650307031</v>
      </c>
      <c r="E86" s="67" t="inlineStr">
        <is>
          <t xml:space="preserve">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is>
      </c>
    </row>
    <row r="87" spans="1:5" x14ac:dyDescent="0.2">
      <c r="A87" t="s">
        <v>1649</v>
      </c>
      <c r="B87" s="18" t="s">
        <v>1650</v>
      </c>
      <c r="C87" s="19" t="s">
        <v>1076</v>
      </c>
      <c r="D87" s="141">
        <f>n_ORR_eff*F_const*(km_O2/100)*ec_O2_ceil*(A_cath_wet/10000)</f>
        <v>0.001012287636</v>
      </c>
      <c r="E87" s="67" t="s">
        <v>1651</v>
      </c>
    </row>
    <row r="88" spans="1:5" ht="36" x14ac:dyDescent="0.2">
      <c r="A88" t="s">
        <v>1652</v>
      </c>
      <c r="B88" s="18" t="s">
        <v>1653</v>
      </c>
      <c r="C88" s="19" t="s">
        <v>1274</v>
      </c>
      <c r="D88" s="141">
        <f>MAX(0,1-i_ORR_design/I_app)</f>
        <v>0.959777674745</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0.82209356137</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f_HOOH*I_app*(1-etaF)/(n_ORR_eff*F_const)*M_H2O2*1000*3600/ec_V_L</f>
        <v>0.785028756121</v>
      </c>
      <c r="E93" s="67" t="inlineStr">
        <is>
          <t xml:space="preserve">Peroxide-branch share of the moles of O₂ reduced (f_HOOH × D28 flux), so it follows a measured etaF too. One H₂O₂ per O₂ on that branch.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0.053186230089</v>
      </c>
      <c r="E95" s="67" t="s">
        <v>1673</v>
      </c>
    </row>
    <row r="96" spans="1:5" x14ac:dyDescent="0.2">
      <c r="A96" t="s">
        <v>1674</v>
      </c>
      <c r="B96" s="18" t="s">
        <v>1675</v>
      </c>
      <c r="C96" s="19" t="s">
        <v>1270</v>
      </c>
      <c r="D96" s="141">
        <f>r_H2O2_lag/(k_H2O2_anode*3600)*(1-EXP(-k_H2O2_anode*3600))</f>
        <v>0.900827055797</v>
      </c>
      <c r="E96" s="67" t="inlineStr">
        <is>
          <t xml:space="preserve">No catalase pool at inoculation: peroxide accumulates at the lag-phase rate (D152) against the anodic sink (D151), approaching the plateau r/k. This is the exposed window.</t>
        </is>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IF(r_H2O2_lag&gt;0,IF(1-H2O2_thresh*k_H2O2_anode*3600/r_H2O2_lag&gt;0,-LN(1-H2O2_thresh*k_H2O2_anode*3600/r_H2O2_lag)/k_H2O2_anode/60,NA()),NA())</f>
        <v>5.464176174322</v>
      </c>
      <c r="E98" s="67" t="inlineStr">
        <is>
          <t xml:space="preserve">Time for an un-inoculated or just-inoculated vessel to pass the growth-inhibition threshold, with the anodic sink. #N/A = the plateau r/k never reaches the threshold.</t>
        </is>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(0.053 mg/L) but LAG PHASE is not: peroxide passes the threshold in 5 min before biomass can scavenge it</v>
      </c>
      <c r="E99" s="67" t="s">
        <v>1685</v>
      </c>
    </row>
    <row r="100" spans="1:5" x14ac:dyDescent="0.2">
      <c r="A100" s="5" t="s">
        <v>1686</v>
      </c>
    </row>
    <row r="101" spans="1:5" x14ac:dyDescent="0.2">
      <c r="A101" t="s">
        <v>1687</v>
      </c>
      <c r="B101" s="18" t="s">
        <v>1688</v>
      </c>
      <c r="C101" s="19" t="s">
        <v>1076</v>
      </c>
      <c r="D101" s="141">
        <f>Chemistry!$D$133</f>
        <v>9.584998043788e-05</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0.016845339269</v>
      </c>
      <c r="E103" s="67" t="inlineStr">
        <is>
          <t xml:space="preserve">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is>
      </c>
    </row>
    <row r="104" spans="1:5" ht="36" x14ac:dyDescent="0.2">
      <c r="A104" t="s">
        <v>1696</v>
      </c>
      <c r="B104" s="18" t="s">
        <v>1697</v>
      </c>
      <c r="C104" s="19" t="s">
        <v>1274</v>
      </c>
      <c r="D104" s="141">
        <f>MAX(0,1-f_Cl_anode-IF(ISNUMBER(ec_corr_I),ec_corr_I,0)-IF(ISNUMBER(f_HOR_anode),f_HOR_anode,0))</f>
        <v>0.983154660731</v>
      </c>
      <c r="E104" s="67" t="inlineStr">
        <is>
          <t xml:space="preserve">1 − chlorine share − metal-dissolution share − anodic H₂-oxidation share (f_HOR_anode, D145). It remains an UPPER BOUND while those charges are unmeasured: a corroding anode, or one oxidising crossed-over H₂ (ceiling ~22 %, D148),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inlineStr">
        <is>
          <t xml:space="preserve">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is>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1</v>
      </c>
      <c r="E116" s="75" t="inlineStr">
        <is>
          <t xml:space="preserve">Parallel-cylinder (2D) formula taken at face value. Lateral confinement by the 25 mm wall raises the resistance and current spreading through the ~22 mm of liquid below the rod tips lowers it; for rods with L/d ≈ 1.5 the two roughly cancel. Bounded above at ~1.2 by Gerrit’s Law holding linear to 25 % on a 5 V rail (D143–D144). Measure with a conductivity standard.</t>
        </is>
      </c>
    </row>
    <row r="117" spans="1:5" ht="24" x14ac:dyDescent="0.2">
      <c r="A117" t="s">
        <v>1735</v>
      </c>
      <c r="B117" s="18" t="s">
        <v>1736</v>
      </c>
      <c r="C117" s="19" t="s">
        <v>1737</v>
      </c>
      <c r="D117" s="141">
        <f>k_geom*ACOSH(ec_gap/anode_dia)/(PI()*ec_kappa*(L_sub/1000))</f>
        <v>73.119914854398</v>
      </c>
      <c r="E117" s="67" t="s">
        <v>1738</v>
      </c>
    </row>
    <row r="118" spans="1:5" ht="24" x14ac:dyDescent="0.2">
      <c r="A118" t="s">
        <v>1739</v>
      </c>
      <c r="B118" s="18" t="s">
        <v>1740</v>
      </c>
      <c r="C118" s="19" t="s">
        <v>1595</v>
      </c>
      <c r="D118" s="141">
        <f>I_app*R_cell</f>
        <v>0.416052315522</v>
      </c>
      <c r="E118" s="67" t="s">
        <v>1741</v>
      </c>
    </row>
    <row r="119" spans="1:5" ht="36" x14ac:dyDescent="0.2">
      <c r="A119" t="s">
        <v>1742</v>
      </c>
      <c r="B119" s="18" t="s">
        <v>1743</v>
      </c>
      <c r="C119" s="19" t="s">
        <v>1595</v>
      </c>
      <c r="D119" s="141">
        <f>ec_E_rev+eta_anode+eta_cath+pcet_credit_op+V_IR</f>
        <v>2.847708123495</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2.152291876505</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2.85 V estimated against a 5 V rail</v>
      </c>
      <c r="E122" s="67" t="inlineStr">
        <is>
          <t xml:space="preserve">Cross-check on Gerrit's Law: the fit is validated linear to gerrit_max (25 %), so the budget evaluated there (V_at_gerrit_max, D143) must stay at or below V_rail; D144 tests it live (about 4.7 V at 25 % with k_geom = 1).</t>
        </is>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row r="140">
      <c r="A140" s="104" t="inlineStr">
        <is>
          <t xml:space="preserve">PHYSICS CORRECTIONS — ORR electron count, voltage cross-check, anodic H₂ oxidation, lag-phase peroxide</t>
        </is>
      </c>
    </row>
    <row r="141">
      <c r="A141" t="inlineStr">
        <is>
          <t xml:space="preserve">Effective electrons per O₂ reduced (cathode)</t>
        </is>
      </c>
      <c r="B141" s="18" t="inlineStr">
        <is>
          <t xml:space="preserve">n_ORR_eff</t>
        </is>
      </c>
      <c r="C141" s="19" t="inlineStr">
        <is>
          <t xml:space="preserve">e⁻/O₂</t>
        </is>
      </c>
      <c r="D141" s="141">
        <f>z_e_ORR*f_HOOH+z_e_O2*(1-f_HOOH)</f>
        <v>3.7</v>
      </c>
      <c r="E141" s="114" t="inlineStr">
        <is>
          <t xml:space="preserve">Effective electrons per O₂ reduced at the SS cathode: 2 on the peroxide branch (z_e_ORR), 4 to water (z_e_O2, direct or 2+2 in series), weighted by the RRDE escape fraction f_HOOH (Le Bozec 2001). This is the mixed 2e⁻/4e⁻ regime E86 cites.</t>
        </is>
      </c>
    </row>
    <row r="142">
      <c r="A142" t="inlineStr">
        <is>
          <t xml:space="preserve">Current at the top of the validated Gerrit band</t>
        </is>
      </c>
      <c r="B142" s="18" t="inlineStr">
        <is>
          <t xml:space="preserve">I_at_gerrit_max</t>
        </is>
      </c>
      <c r="C142" s="19" t="inlineStr">
        <is>
          <t xml:space="preserve">A</t>
        </is>
      </c>
      <c r="D142" s="141">
        <f>(gerrit_slope*gerrit_max+gerrit_int)/1000</f>
        <v>0.02835</v>
      </c>
      <c r="E142" s="67" t="inlineStr">
        <is>
          <t xml:space="preserve">Gerrit's Law at gerrit_max (25 %), where the fit is still validated linear.</t>
        </is>
      </c>
    </row>
    <row r="143">
      <c r="A143" t="inlineStr">
        <is>
          <t xml:space="preserve">Cell voltage budget at the top of the validated band</t>
        </is>
      </c>
      <c r="B143" s="18" t="inlineStr">
        <is>
          <t xml:space="preserve">V_at_gerrit_max</t>
        </is>
      </c>
      <c r="C143" s="19" t="inlineStr">
        <is>
          <t xml:space="preserve">V</t>
        </is>
      </c>
      <c r="D143" s="141">
        <f>ec_E_rev+b_anode*LOG10(I_at_gerrit_max/A_anode_wet/j0_anode)+b_cath*LOG10(I_at_gerrit_max/A_cath_wet/j0_cath)+pcet_credit_gmax+I_at_gerrit_max*R_cell</f>
        <v>4.835940001272</v>
      </c>
      <c r="E143" s="75" t="inlineStr">
        <is>
          <t xml:space="preserve">Same budget as D119, evaluated at I_at_gerrit_max (j in A/cm²). A current source on the rail cannot deliver that current into a load needing more than V_rail, so this must not exceed V_rail.</t>
        </is>
      </c>
    </row>
    <row r="144">
      <c r="A144" t="inlineStr">
        <is>
          <t xml:space="preserve">Voltage budget vs validated Gerrit band</t>
        </is>
      </c>
      <c r="B144" s="18" t="inlineStr">
        <is>
          <t xml:space="preserve">V_gerrit_flag</t>
        </is>
      </c>
      <c r="C144" s="19" t="inlineStr">
        <is>
          <t xml:space="preserve">-</t>
        </is>
      </c>
      <c r="D144" s="14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4.84 V at 25 %, under the 5 V rail across the validated band</v>
      </c>
      <c r="E144" s="67" t="inlineStr">
        <is>
          <t xml:space="preserve">Live form of the E122 cross-check: the voltage budget and the empirical current law must agree across the band the law is validated on.</t>
        </is>
      </c>
    </row>
    <row r="145">
      <c r="A145" t="inlineStr">
        <is>
          <t xml:space="preserve">Anodic current oxidising crossed-over H₂</t>
        </is>
      </c>
      <c r="B145" s="18" t="inlineStr">
        <is>
          <t xml:space="preserve">f_HOR_anode</t>
        </is>
      </c>
      <c r="C145" s="19" t="inlineStr">
        <is>
          <t xml:space="preserve">-</t>
        </is>
      </c>
      <c r="D145" s="131"/>
      <c r="E145" s="70" t="inlineStr">
        <is>
          <t xml:space="preserve">DATA GAP — fraction of the anodic current oxidising dissolved H₂ on the Pt anode (or recombining H₂ + O₂). Measure: anode-gas O₂ collection per faradaic-efficiency.md, or initial-slope vs plateau rates with a divided cell. Left empty = not modelled (0); transport ceiling D148.</t>
        </is>
      </c>
    </row>
    <row r="146">
      <c r="A146" t="inlineStr">
        <is>
          <t xml:space="preserve">(import) dissolved-H₂ saturation</t>
        </is>
      </c>
      <c r="B146" s="18" t="inlineStr">
        <is>
          <t xml:space="preserve">ec_C_H2_sat</t>
        </is>
      </c>
      <c r="C146" s="19" t="inlineStr">
        <is>
          <t xml:space="preserve">mol/m³</t>
        </is>
      </c>
      <c r="D146" s="141">
        <f>Biology!$D$41</f>
        <v>0.790335</v>
      </c>
      <c r="E146" s="67" t="inlineStr">
        <is>
          <t xml:space="preserve">→ Biology (C_H2_sat, 1 atm)</t>
        </is>
      </c>
    </row>
    <row r="147">
      <c r="A147" t="inlineStr">
        <is>
          <t xml:space="preserve">Anodic H₂ oxidation — transport-limited ceiling</t>
        </is>
      </c>
      <c r="B147" s="18" t="inlineStr">
        <is>
          <t xml:space="preserve">i_HOR_lim</t>
        </is>
      </c>
      <c r="C147" s="19" t="inlineStr">
        <is>
          <t xml:space="preserve">A</t>
        </is>
      </c>
      <c r="D147" s="141">
        <f>z_e_H2*F_const*(km_O2/100)*ec_C_H2_sat*(A_anode_wet/10000)</f>
        <v>0.001228253194</v>
      </c>
      <c r="E147" s="75" t="inlineStr">
        <is>
          <t xml:space="preserve">Informational ceiling: every H₂ molecule reaching the anode at k_m(O₂) and saturated H₂ is oxidised. The actual value depends on HOR activity of hydrous-oxide Pt at ~1.6 V (strongly suppressed; PEM anodes pass crossover H₂ largely unoxidised) — unmeasured.</t>
        </is>
      </c>
    </row>
    <row r="148">
      <c r="A148" t="inlineStr">
        <is>
          <t xml:space="preserve">Same, as a fraction of the applied current</t>
        </is>
      </c>
      <c r="B148" s="18" t="inlineStr">
        <is>
          <t xml:space="preserve">f_HOR_lim</t>
        </is>
      </c>
      <c r="C148" s="19" t="inlineStr">
        <is>
          <t xml:space="preserve">-</t>
        </is>
      </c>
      <c r="D148" s="141">
        <f>i_HOR_lim/I_app</f>
        <v>0.215861721249</v>
      </c>
      <c r="E148" s="75" t="inlineStr">
        <is>
          <t xml:space="preserve">Upper bound for f_HOR_anode (D145).</t>
        </is>
      </c>
    </row>
    <row r="149">
      <c r="A149" t="inlineStr">
        <is>
          <t xml:space="preserve">H₂ oxidised at the anode</t>
        </is>
      </c>
      <c r="B149" s="18" t="inlineStr">
        <is>
          <t xml:space="preserve">r_H2_HOR</t>
        </is>
      </c>
      <c r="C149" s="19" t="inlineStr">
        <is>
          <t xml:space="preserve">mol/h</t>
        </is>
      </c>
      <c r="D149" s="141">
        <f>IF(ISNUMBER(f_HOR_anode),f_HOR_anode*I_app/(z_e_H2*F_const)*3600,0)</f>
        <v>0.0</v>
      </c>
      <c r="E149" s="67" t="inlineStr">
        <is>
          <t xml:space="preserve">Crossed-over H₂ consumed by the anode; 0 while f_HOR_anode is a data gap. Subtracted from the H₂ the culture receives (Biology H2_cons).</t>
        </is>
      </c>
    </row>
    <row r="150">
      <c r="A150" t="inlineStr">
        <is>
          <t xml:space="preserve">(import) lag-phase dissolved O₂</t>
        </is>
      </c>
      <c r="B150" s="18" t="inlineStr">
        <is>
          <t xml:space="preserve">ec_DO_lag</t>
        </is>
      </c>
      <c r="C150" s="19" t="inlineStr">
        <is>
          <t xml:space="preserve">mol/m³</t>
        </is>
      </c>
      <c r="D150" s="141">
        <f>'Mass Transfer'!$D$135</f>
        <v>0.206435018988</v>
      </c>
      <c r="E150" s="67" t="inlineStr">
        <is>
          <t xml:space="preserve">→ Mass Transfer (DO_ss_sawtooth_lag: steady DO with the lag source, no uptake)</t>
        </is>
      </c>
    </row>
    <row r="151">
      <c r="A151" t="inlineStr">
        <is>
          <t xml:space="preserve">Anodic peroxide sink (transport-limited)</t>
        </is>
      </c>
      <c r="B151" s="18" t="inlineStr">
        <is>
          <t xml:space="preserve">k_H2O2_anode</t>
        </is>
      </c>
      <c r="C151" s="19" t="inlineStr">
        <is>
          <t xml:space="preserve">1/s</t>
        </is>
      </c>
      <c r="D151" s="141">
        <f>(km_O2/100)*(A_anode_wet/10000)/(ec_V_L/1000)</f>
        <v>0.0005369009052374</v>
      </c>
      <c r="E151" s="75" t="inlineStr">
        <is>
          <t xml:space="preserve">H₂O₂ is oxidised at the anode (E° 0.695 V, ~0.9 V below the anode potential) at the transport limit: k = k_m·A/V. Reuses the ferricyanide-measurable km_O2, so no new unknown; heterogeneous decomposition on Pt would add to it.</t>
        </is>
      </c>
    </row>
    <row r="152">
      <c r="A152" t="inlineStr">
        <is>
          <t xml:space="preserve">Peroxide production during lag</t>
        </is>
      </c>
      <c r="B152" s="18" t="inlineStr">
        <is>
          <t xml:space="preserve">r_H2O2_lag</t>
        </is>
      </c>
      <c r="C152" s="19" t="inlineStr">
        <is>
          <t xml:space="preserve">mg/L/h</t>
        </is>
      </c>
      <c r="D152" s="141">
        <f>r_H2O2*ec_DO_lag/ec_DO_design</f>
        <v>2.035813137102</v>
      </c>
      <c r="E152" s="67" t="inlineStr">
        <is>
          <t xml:space="preserve">r_H2O2 scaled to the lag-phase DO (D150): the cathodic O₂ flux is first order in DO, and before uptake starts DO runs above the design value.</t>
        </is>
      </c>
    </row>
    <row r="153">
      <c r="A153" t="inlineStr">
        <is>
          <t xml:space="preserve">(import) reactor liquid charge</t>
        </is>
      </c>
      <c r="B153" s="18" t="inlineStr">
        <is>
          <t xml:space="preserve">V_charge</t>
        </is>
      </c>
      <c r="C153" s="19" t="inlineStr">
        <is>
          <t xml:space="preserve">mL</t>
        </is>
      </c>
      <c r="D153" s="141">
        <f>Biology!$D$6</f>
        <v>15.0</v>
      </c>
      <c r="E153" s="67" t="inlineStr">
        <is>
          <t xml:space="preserve">→ Biology (V_charge)</t>
        </is>
      </c>
    </row>
    <row r="154">
      <c r="A154" t="inlineStr">
        <is>
          <t xml:space="preserve">(import) organism selected on Summary</t>
        </is>
      </c>
      <c r="B154" s="18" t="inlineStr">
        <is>
          <t xml:space="preserve">organism_sel</t>
        </is>
      </c>
      <c r="C154" s="19" t="inlineStr">
        <is>
          <t xml:space="preserve">-</t>
        </is>
      </c>
      <c r="D154" s="141" t="str">
        <f>Summary!$D$4</f>
        <v>UdG (mixed)</v>
      </c>
      <c r="E154" s="67" t="inlineStr">
        <is>
          <t xml:space="preserve">→ Summary (organism_sel)</t>
        </is>
      </c>
    </row>
    <row r="160">
      <c r="A160" s="104" t="inlineStr">
        <is>
          <t xml:space="preserve">PROTON-COUPLED CREDIT vs THE BUFFER LIMIT (review R1-14)</t>
        </is>
      </c>
    </row>
    <row r="161">
      <c r="A161" t="inlineStr">
        <is>
          <t xml:space="preserve">(import) operating : buffer-limited current</t>
        </is>
      </c>
      <c r="B161" s="18" t="inlineStr">
        <is>
          <t xml:space="preserve">ec_jbuf_ratio</t>
        </is>
      </c>
      <c r="C161" s="19" t="inlineStr">
        <is>
          <t xml:space="preserve">-</t>
        </is>
      </c>
      <c r="D161" s="141">
        <f>Chemistry!$D$218</f>
        <v>0.328374783131</v>
      </c>
      <c r="E161" s="135" t="inlineStr">
        <is>
          <t xml:space="preserve">Import from Chemistry!D218 (j_buffer_ratio).</t>
        </is>
      </c>
    </row>
    <row r="162">
      <c r="A162" t="inlineStr">
        <is>
          <t xml:space="preserve">Proton-coupled credit at the operating current</t>
        </is>
      </c>
      <c r="B162" s="18" t="inlineStr">
        <is>
          <t xml:space="preserve">pcet_credit_op</t>
        </is>
      </c>
      <c r="C162" s="19" t="inlineStr">
        <is>
          <t xml:space="preserve">V</t>
        </is>
      </c>
      <c r="D162" s="141">
        <f>IF(ec_jbuf_ratio&gt;1,0,pcet_credit)</f>
        <v>-0.15</v>
      </c>
      <c r="E162" s="75" t="inlineStr">
        <is>
          <t xml:space="preserve">Full credit while the buffer holds the anode surface (ratio ≤ 1); none past the buffer-limited current, where no buffer base reaches the surface to accept the proton. No partial scaling in between: how the credit fades with surface depletion on Pt is unmeasured.</t>
        </is>
      </c>
    </row>
    <row r="163">
      <c r="A163" t="inlineStr">
        <is>
          <t xml:space="preserve">Same, at the top of the validated Gerrit band</t>
        </is>
      </c>
      <c r="B163" s="18" t="inlineStr">
        <is>
          <t xml:space="preserve">pcet_credit_gmax</t>
        </is>
      </c>
      <c r="C163" s="19" t="inlineStr">
        <is>
          <t xml:space="preserve">V</t>
        </is>
      </c>
      <c r="D163" s="141">
        <f>IF(ec_jbuf_ratio*I_at_gerrit_max/I_app&gt;1,0,pcet_credit)</f>
        <v>0.0</v>
      </c>
      <c r="E163" s="75" t="inlineStr">
        <is>
          <t xml:space="preserve">Buffer ratio scaled to I_at_gerrit_max (j ∝ I at the bulk pH): at 25 % the anode runs ~1.6× past the buffer limit, so the credit is withdrawn for the D143 cross-check.</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0.02896589844</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inlineStr">
        <is>
          <t xml:space="preserve">Reactor liquid volume (V_charge in litres)</t>
        </is>
      </c>
      <c r="B8" s="18" t="s">
        <v>857</v>
      </c>
      <c r="C8" s="19" t="s">
        <v>858</v>
      </c>
      <c r="D8" s="64">
        <f>V_charge/1000</f>
        <v>0.015</v>
      </c>
      <c r="E8" s="51" t="inlineStr">
        <is>
          <t xml:space="preserve">V_charge (D279, mL) / 1000 → L</t>
        </is>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IF(media_sel=INDEX(MediaList,1),SID_mc02,IF(media_sel=INDEX(MediaList,2),SID_udg,NA()))</f>
        <v>0.063142947676</v>
      </c>
      <c r="E44" s="51" t="s">
        <v>935</v>
      </c>
    </row>
    <row r="45" spans="1:5" x14ac:dyDescent="0.2">
      <c r="A45" s="17" t="s">
        <v>936</v>
      </c>
      <c r="B45" s="18" t="s">
        <v>937</v>
      </c>
      <c r="C45" s="19" t="s">
        <v>938</v>
      </c>
      <c r="D45" s="149">
        <f>IF(media_sel=INDEX(MediaList,1),PT_mc02,IF(media_sel=INDEX(MediaList,2),PT_udg,NA()))</f>
        <v>0.037329366919</v>
      </c>
      <c r="E45" s="51" t="s">
        <v>939</v>
      </c>
    </row>
    <row r="46" spans="1:5" x14ac:dyDescent="0.2">
      <c r="A46" s="17" t="s">
        <v>940</v>
      </c>
      <c r="B46" s="18" t="s">
        <v>941</v>
      </c>
      <c r="C46" s="19" t="s">
        <v>942</v>
      </c>
      <c r="D46" s="149">
        <f>IF(media_sel=INDEX(MediaList,1),NT_mc02,IF(media_sel=INDEX(MediaList,2),NT_udg,NA()))</f>
        <v>0.007113667323</v>
      </c>
      <c r="E46" s="51" t="s">
        <v>943</v>
      </c>
    </row>
    <row r="47" spans="1:5" x14ac:dyDescent="0.2">
      <c r="A47" s="17" t="s">
        <v>944</v>
      </c>
      <c r="B47" s="18" t="s">
        <v>945</v>
      </c>
      <c r="C47" s="19" t="s">
        <v>946</v>
      </c>
      <c r="D47" s="149">
        <f>IF(media_sel=INDEX(MediaList,1),Cl_mc02,IF(media_sel=INDEX(MediaList,2),Cl_udg,NA()))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0.033063680227</v>
      </c>
      <c r="C50" s="64">
        <f>IF(AND(B50&gt;=0,B51&lt;0),A50+pH_step*B50/(B50-B51),0)</f>
        <v>0.0</v>
      </c>
    </row>
    <row r="51" spans="1:3" x14ac:dyDescent="0.2">
      <c r="A51" s="20">
        <v>4.0999999999999996</v>
      </c>
      <c r="B51" s="64">
        <f t="shared" si="1"/>
        <v>0.032906842542</v>
      </c>
      <c r="C51" s="64">
        <f>IF(AND(B51&gt;=0,B52&lt;0),A51+pH_step*B51/(B51-B52),0)</f>
        <v>0.0</v>
      </c>
    </row>
    <row r="52" spans="1:3" x14ac:dyDescent="0.2">
      <c r="A52" s="20">
        <v>4.2</v>
      </c>
      <c r="B52" s="64">
        <f t="shared" si="1"/>
        <v>0.032748675085</v>
      </c>
      <c r="C52" s="64">
        <f>IF(AND(B52&gt;=0,B53&lt;0),A52+pH_step*B52/(B52-B53),0)</f>
        <v>0.0</v>
      </c>
    </row>
    <row r="53" spans="1:3" x14ac:dyDescent="0.2">
      <c r="A53" s="20">
        <v>4.3</v>
      </c>
      <c r="B53" s="64">
        <f t="shared" si="1"/>
        <v>0.032580871108</v>
      </c>
      <c r="C53" s="64">
        <f>IF(AND(B53&gt;=0,B54&lt;0),A53+pH_step*B53/(B53-B54),0)</f>
        <v>0.0</v>
      </c>
    </row>
    <row r="54" spans="1:3" x14ac:dyDescent="0.2">
      <c r="A54" s="20">
        <v>4.4000000000000004</v>
      </c>
      <c r="B54" s="64">
        <f t="shared" si="1"/>
        <v>0.032394583909</v>
      </c>
      <c r="C54" s="64">
        <f>IF(AND(B54&gt;=0,B55&lt;0),A54+pH_step*B54/(B54-B55),0)</f>
        <v>0.0</v>
      </c>
    </row>
    <row r="55" spans="1:3" x14ac:dyDescent="0.2">
      <c r="A55" s="20">
        <v>4.5</v>
      </c>
      <c r="B55" s="64">
        <f t="shared" si="1"/>
        <v>0.032179974577</v>
      </c>
      <c r="C55" s="64">
        <f>IF(AND(B55&gt;=0,B56&lt;0),A55+pH_step*B55/(B55-B56),0)</f>
        <v>0.0</v>
      </c>
    </row>
    <row r="56" spans="1:3" x14ac:dyDescent="0.2">
      <c r="A56" s="20">
        <v>4.5999999999999996</v>
      </c>
      <c r="B56" s="64">
        <f t="shared" si="1"/>
        <v>0.031925705284</v>
      </c>
      <c r="C56" s="64">
        <f>IF(AND(B56&gt;=0,B57&lt;0),A56+pH_step*B56/(B56-B57),0)</f>
        <v>0.0</v>
      </c>
    </row>
    <row r="57" spans="1:3" x14ac:dyDescent="0.2">
      <c r="A57" s="20">
        <v>4.7</v>
      </c>
      <c r="B57" s="64">
        <f t="shared" si="1"/>
        <v>0.031618354665</v>
      </c>
      <c r="C57" s="64">
        <f>IF(AND(B57&gt;=0,B58&lt;0),A57+pH_step*B57/(B57-B58),0)</f>
        <v>0.0</v>
      </c>
    </row>
    <row r="58" spans="1:3" x14ac:dyDescent="0.2">
      <c r="A58" s="20">
        <v>4.8</v>
      </c>
      <c r="B58" s="64">
        <f t="shared" si="1"/>
        <v>0.031241728083</v>
      </c>
      <c r="C58" s="64">
        <f>IF(AND(B58&gt;=0,B59&lt;0),A58+pH_step*B58/(B58-B59),0)</f>
        <v>0.0</v>
      </c>
    </row>
    <row r="59" spans="1:3" x14ac:dyDescent="0.2">
      <c r="A59" s="20">
        <v>4.9000000000000004</v>
      </c>
      <c r="B59" s="64">
        <f t="shared" si="1"/>
        <v>0.030776031058</v>
      </c>
      <c r="C59" s="64">
        <f>IF(AND(B59&gt;=0,B60&lt;0),A59+pH_step*B59/(B59-B60),0)</f>
        <v>0.0</v>
      </c>
    </row>
    <row r="60" spans="1:3" x14ac:dyDescent="0.2">
      <c r="A60" s="20">
        <v>5</v>
      </c>
      <c r="B60" s="64">
        <f t="shared" si="1"/>
        <v>0.030196868898</v>
      </c>
      <c r="C60" s="64">
        <f>IF(AND(B60&gt;=0,B61&lt;0),A60+pH_step*B60/(B60-B61),0)</f>
        <v>0.0</v>
      </c>
    </row>
    <row r="61" spans="1:3" x14ac:dyDescent="0.2">
      <c r="A61" s="20">
        <v>5.0999999999999996</v>
      </c>
      <c r="B61" s="64">
        <f t="shared" si="1"/>
        <v>0.029474029509</v>
      </c>
      <c r="C61" s="64">
        <f>IF(AND(B61&gt;=0,B62&lt;0),A61+pH_step*B61/(B61-B62),0)</f>
        <v>0.0</v>
      </c>
    </row>
    <row r="62" spans="1:3" x14ac:dyDescent="0.2">
      <c r="A62" s="20">
        <v>5.2</v>
      </c>
      <c r="B62" s="64">
        <f t="shared" si="1"/>
        <v>0.028569999651</v>
      </c>
      <c r="C62" s="64">
        <f>IF(AND(B62&gt;=0,B63&lt;0),A62+pH_step*B62/(B62-B63),0)</f>
        <v>0.0</v>
      </c>
    </row>
    <row r="63" spans="1:3" x14ac:dyDescent="0.2">
      <c r="A63" s="20">
        <v>5.3</v>
      </c>
      <c r="B63" s="64">
        <f t="shared" si="1"/>
        <v>0.027438157665</v>
      </c>
      <c r="C63" s="64">
        <f>IF(AND(B63&gt;=0,B64&lt;0),A63+pH_step*B63/(B63-B64),0)</f>
        <v>0.0</v>
      </c>
    </row>
    <row r="64" spans="1:3" x14ac:dyDescent="0.2">
      <c r="A64" s="20">
        <v>5.4</v>
      </c>
      <c r="B64" s="64">
        <f t="shared" si="1"/>
        <v>0.026020578038</v>
      </c>
      <c r="C64" s="64">
        <f>IF(AND(B64&gt;=0,B65&lt;0),A64+pH_step*B64/(B64-B65),0)</f>
        <v>0.0</v>
      </c>
    </row>
    <row r="65" spans="1:3" x14ac:dyDescent="0.2">
      <c r="A65" s="20">
        <v>5.5</v>
      </c>
      <c r="B65" s="64">
        <f t="shared" si="1"/>
        <v>0.024245375084</v>
      </c>
      <c r="C65" s="64">
        <f>IF(AND(B65&gt;=0,B66&lt;0),A65+pH_step*B65/(B65-B66),0)</f>
        <v>0.0</v>
      </c>
    </row>
    <row r="66" spans="1:3" x14ac:dyDescent="0.2">
      <c r="A66" s="20">
        <v>5.6</v>
      </c>
      <c r="B66" s="64">
        <f t="shared" si="1"/>
        <v>0.022023503682</v>
      </c>
      <c r="C66" s="64">
        <f>IF(AND(B66&gt;=0,B67&lt;0),A66+pH_step*B66/(B66-B67),0)</f>
        <v>0.0</v>
      </c>
    </row>
    <row r="67" spans="1:3" x14ac:dyDescent="0.2">
      <c r="A67" s="20">
        <v>5.7</v>
      </c>
      <c r="B67" s="64">
        <f t="shared" si="1"/>
        <v>0.019244922352</v>
      </c>
      <c r="C67" s="64">
        <f>IF(AND(B67&gt;=0,B68&lt;0),A67+pH_step*B67/(B67-B68),0)</f>
        <v>0.0</v>
      </c>
    </row>
    <row r="68" spans="1:3" x14ac:dyDescent="0.2">
      <c r="A68" s="20">
        <v>5.8</v>
      </c>
      <c r="B68" s="64">
        <f t="shared" si="1"/>
        <v>0.015774002899</v>
      </c>
      <c r="C68" s="64">
        <f>IF(AND(B68&gt;=0,B69&lt;0),A68+pH_step*B68/(B68-B69),0)</f>
        <v>0.0</v>
      </c>
    </row>
    <row r="69" spans="1:3" x14ac:dyDescent="0.2">
      <c r="A69" s="20">
        <v>5.9</v>
      </c>
      <c r="B69" s="64">
        <f t="shared" si="1"/>
        <v>0.011444032132</v>
      </c>
      <c r="C69" s="64">
        <f>IF(AND(B69&gt;=0,B70&lt;0),A69+pH_step*B69/(B69-B70),0)</f>
        <v>0.0</v>
      </c>
    </row>
    <row r="70" spans="1:3" x14ac:dyDescent="0.2">
      <c r="A70" s="20">
        <v>6</v>
      </c>
      <c r="B70" s="64">
        <f t="shared" si="1"/>
        <v>0.006050579036</v>
      </c>
      <c r="C70" s="64">
        <f>IF(AND(B70&gt;=0,B71&lt;0),A70+pH_step*B70/(B70-B71),0)</f>
        <v>6.090210129793</v>
      </c>
    </row>
    <row r="71" spans="1:3" x14ac:dyDescent="0.2">
      <c r="A71" s="20">
        <v>6.1</v>
      </c>
      <c r="B71" s="64">
        <f t="shared" si="1"/>
        <v>-0.0006566267399188</v>
      </c>
      <c r="C71" s="64">
        <f>IF(AND(B71&gt;=0,B72&lt;0),A71+pH_step*B71/(B71-B72),0)</f>
        <v>0.0</v>
      </c>
    </row>
    <row r="72" spans="1:3" x14ac:dyDescent="0.2">
      <c r="A72" s="20">
        <v>6.2</v>
      </c>
      <c r="B72" s="64">
        <f t="shared" si="1"/>
        <v>-0.008983867099</v>
      </c>
      <c r="C72" s="64">
        <f>IF(AND(B72&gt;=0,B73&lt;0),A72+pH_step*B72/(B72-B73),0)</f>
        <v>0.0</v>
      </c>
    </row>
    <row r="73" spans="1:3" x14ac:dyDescent="0.2">
      <c r="A73" s="20">
        <v>6.3</v>
      </c>
      <c r="B73" s="64">
        <f t="shared" si="1"/>
        <v>-0.019306526655</v>
      </c>
      <c r="C73" s="64">
        <f>IF(AND(B73&gt;=0,B74&lt;0),A73+pH_step*B73/(B73-B74),0)</f>
        <v>0.0</v>
      </c>
    </row>
    <row r="74" spans="1:3" x14ac:dyDescent="0.2">
      <c r="A74" s="20">
        <v>6.4</v>
      </c>
      <c r="B74" s="64">
        <f t="shared" si="1"/>
        <v>-0.032086369352</v>
      </c>
      <c r="C74" s="64">
        <f>IF(AND(B74&gt;=0,B75&lt;0),A74+pH_step*B74/(B74-B75),0)</f>
        <v>0.0</v>
      </c>
    </row>
    <row r="75" spans="1:3" x14ac:dyDescent="0.2">
      <c r="A75" s="20">
        <v>6.5</v>
      </c>
      <c r="B75" s="64">
        <f t="shared" si="1"/>
        <v>-0.047894710516</v>
      </c>
      <c r="C75" s="64">
        <f>IF(AND(B75&gt;=0,B76&lt;0),A75+pH_step*B75/(B75-B76),0)</f>
        <v>0.0</v>
      </c>
    </row>
    <row r="76" spans="1:3" x14ac:dyDescent="0.2">
      <c r="A76" s="20">
        <v>6.6</v>
      </c>
      <c r="B76" s="64">
        <f t="shared" si="1"/>
        <v>-0.06744359471</v>
      </c>
      <c r="C76" s="64">
        <f>IF(AND(B76&gt;=0,B77&lt;0),A76+pH_step*B76/(B76-B77),0)</f>
        <v>0.0</v>
      </c>
    </row>
    <row r="77" spans="1:3" x14ac:dyDescent="0.2">
      <c r="A77" s="20">
        <v>6.7</v>
      </c>
      <c r="B77" s="64">
        <f t="shared" si="1"/>
        <v>-0.091627354454</v>
      </c>
      <c r="C77" s="64">
        <f>IF(AND(B77&gt;=0,B78&lt;0),A77+pH_step*B77/(B77-B78),0)</f>
        <v>0.0</v>
      </c>
    </row>
    <row r="78" spans="1:3" x14ac:dyDescent="0.2">
      <c r="A78" s="20">
        <v>6.8</v>
      </c>
      <c r="B78" s="64">
        <f t="shared" si="1"/>
        <v>-0.121577032191</v>
      </c>
      <c r="C78" s="64">
        <f>IF(AND(B78&gt;=0,B79&lt;0),A78+pH_step*B78/(B78-B79),0)</f>
        <v>0.0</v>
      </c>
    </row>
    <row r="79" spans="1:3" x14ac:dyDescent="0.2">
      <c r="A79" s="20">
        <v>6.9</v>
      </c>
      <c r="B79" s="64">
        <f t="shared" si="1"/>
        <v>-0.158730223128</v>
      </c>
      <c r="C79" s="64">
        <f>IF(AND(B79&gt;=0,B80&lt;0),A79+pH_step*B79/(B79-B80),0)</f>
        <v>0.0</v>
      </c>
    </row>
    <row r="80" spans="1:3" x14ac:dyDescent="0.2">
      <c r="A80" s="20">
        <v>7</v>
      </c>
      <c r="B80" s="64">
        <f t="shared" si="1"/>
        <v>-0.204919218655</v>
      </c>
      <c r="C80" s="64">
        <f>IF(AND(B80&gt;=0,B81&lt;0),A80+pH_step*B80/(B80-B81),0)</f>
        <v>0.0</v>
      </c>
    </row>
    <row r="81" spans="1:3" x14ac:dyDescent="0.2">
      <c r="A81" s="20">
        <v>7.1</v>
      </c>
      <c r="B81" s="64">
        <f t="shared" si="1"/>
        <v>-0.262481233295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-0.33439622345</v>
      </c>
      <c r="C82" s="64">
        <f>IF(AND(B82&gt;=0,B83&lt;0),A82+pH_step*B82/(B82-B83),0)</f>
        <v>0.0</v>
      </c>
    </row>
    <row r="83" spans="1:3" x14ac:dyDescent="0.2">
      <c r="A83" s="20">
        <v>7.3</v>
      </c>
      <c r="B83" s="64">
        <f t="shared" si="3"/>
        <v>-0.424460429215</v>
      </c>
      <c r="C83" s="64">
        <f>IF(AND(B83&gt;=0,B84&lt;0),A83+pH_step*B83/(B83-B84),0)</f>
        <v>0.0</v>
      </c>
    </row>
    <row r="84" spans="1:3" x14ac:dyDescent="0.2">
      <c r="A84" s="20">
        <v>7.4</v>
      </c>
      <c r="B84" s="64">
        <f t="shared" si="3"/>
        <v>-0.537507284878</v>
      </c>
      <c r="C84" s="64">
        <f>IF(AND(B84&gt;=0,B85&lt;0),A84+pH_step*B84/(B84-B85),0)</f>
        <v>0.0</v>
      </c>
    </row>
    <row r="85" spans="1:3" x14ac:dyDescent="0.2">
      <c r="A85" s="20">
        <v>7.5</v>
      </c>
      <c r="B85" s="64">
        <f t="shared" si="3"/>
        <v>-0.679691853834</v>
      </c>
      <c r="C85" s="64">
        <f>IF(AND(B85&gt;=0,B86&lt;0),A85+pH_step*B85/(B85-B86),0)</f>
        <v>0.0</v>
      </c>
    </row>
    <row r="86" spans="1:3" x14ac:dyDescent="0.2">
      <c r="A86" s="20">
        <v>7.6</v>
      </c>
      <c r="B86" s="64">
        <f t="shared" si="3"/>
        <v>-0.858860852469</v>
      </c>
      <c r="C86" s="64">
        <f>IF(AND(B86&gt;=0,B87&lt;0),A86+pH_step*B86/(B86-B87),0)</f>
        <v>0.0</v>
      </c>
    </row>
    <row r="87" spans="1:3" x14ac:dyDescent="0.2">
      <c r="A87" s="20">
        <v>7.7</v>
      </c>
      <c r="B87" s="64">
        <f t="shared" si="3"/>
        <v>-1.085038451661</v>
      </c>
      <c r="C87" s="64">
        <f>IF(AND(B87&gt;=0,B88&lt;0),A87+pH_step*B87/(B87-B88),0)</f>
        <v>0.0</v>
      </c>
    </row>
    <row r="88" spans="1:3" x14ac:dyDescent="0.2">
      <c r="A88" s="20">
        <v>7.8</v>
      </c>
      <c r="B88" s="64">
        <f t="shared" si="3"/>
        <v>-1.371069699052</v>
      </c>
      <c r="C88" s="64">
        <f>IF(AND(B88&gt;=0,B89&lt;0),A88+pH_step*B88/(B88-B89),0)</f>
        <v>0.0</v>
      </c>
    </row>
    <row r="89" spans="1:3" x14ac:dyDescent="0.2">
      <c r="A89" s="20">
        <v>7.9</v>
      </c>
      <c r="B89" s="64">
        <f t="shared" si="3"/>
        <v>-1.733480556804</v>
      </c>
      <c r="C89" s="64">
        <f>IF(AND(B89&gt;=0,B90&lt;0),A89+pH_step*B89/(B89-B90),0)</f>
        <v>0.0</v>
      </c>
    </row>
    <row r="90" spans="1:3" x14ac:dyDescent="0.2">
      <c r="A90" s="20">
        <v>8</v>
      </c>
      <c r="B90" s="64">
        <f t="shared" si="3"/>
        <v>-2.193639134543</v>
      </c>
      <c r="C90" s="64">
        <f>IF(AND(B90&gt;=0,B91&lt;0),A90+pH_step*B90/(B90-B91),0)</f>
        <v>0.0</v>
      </c>
    </row>
    <row r="91" spans="1:3" x14ac:dyDescent="0.2">
      <c r="A91" s="20">
        <v>8.1</v>
      </c>
      <c r="B91" s="64">
        <f t="shared" si="3"/>
        <v>-2.779341188627</v>
      </c>
      <c r="C91" s="64">
        <f>IF(AND(B91&gt;=0,B92&lt;0),A91+pH_step*B91/(B91-B92),0)</f>
        <v>0.0</v>
      </c>
    </row>
    <row r="92" spans="1:3" x14ac:dyDescent="0.2">
      <c r="A92" s="20">
        <v>8.1999999999999993</v>
      </c>
      <c r="B92" s="64">
        <f t="shared" si="3"/>
        <v>-3.527001282793</v>
      </c>
      <c r="C92" s="64">
        <f>IF(AND(B92&gt;=0,B93&lt;0),A92+pH_step*B92/(B92-B93),0)</f>
        <v>0.0</v>
      </c>
    </row>
    <row r="93" spans="1:3" x14ac:dyDescent="0.2">
      <c r="A93" s="20">
        <v>8.3000000000000007</v>
      </c>
      <c r="B93" s="64">
        <f t="shared" si="3"/>
        <v>-4.48471998199</v>
      </c>
      <c r="C93" s="64">
        <f>IF(AND(B93&gt;=0,B94&lt;0),A93+pH_step*B93/(B93-B94),0)</f>
        <v>0.0</v>
      </c>
    </row>
    <row r="94" spans="1:3" x14ac:dyDescent="0.2">
      <c r="A94" s="20">
        <v>8.4</v>
      </c>
      <c r="B94" s="64">
        <f t="shared" si="3"/>
        <v>-5.716634052942</v>
      </c>
      <c r="C94" s="64">
        <f>IF(AND(B94&gt;=0,B95&lt;0),A94+pH_step*B94/(B94-B95),0)</f>
        <v>0.0</v>
      </c>
    </row>
    <row r="95" spans="1:3" x14ac:dyDescent="0.2">
      <c r="A95" s="20">
        <v>8.5</v>
      </c>
      <c r="B95" s="64">
        <f t="shared" si="3"/>
        <v>-7.309167550567</v>
      </c>
      <c r="C95" s="64">
        <f>IF(AND(B95&gt;=0,B96&lt;0),A95+pH_step*B95/(B95-B96),0)</f>
        <v>0.0</v>
      </c>
    </row>
    <row r="96" spans="1:3" x14ac:dyDescent="0.2">
      <c r="A96" s="20">
        <v>8.6</v>
      </c>
      <c r="B96" s="64">
        <f t="shared" si="3"/>
        <v>-9.380128876944</v>
      </c>
      <c r="C96" s="64">
        <f>IF(AND(B96&gt;=0,B97&lt;0),A96+pH_step*B96/(B96-B97),0)</f>
        <v>0.0</v>
      </c>
    </row>
    <row r="97" spans="1:7" x14ac:dyDescent="0.2">
      <c r="A97" s="20">
        <v>8.6999999999999993</v>
      </c>
      <c r="B97" s="64">
        <f t="shared" si="3"/>
        <v>-12.092108603666</v>
      </c>
      <c r="C97" s="64">
        <f>IF(AND(B97&gt;=0,B98&lt;0),A97+pH_step*B97/(B97-B98),0)</f>
        <v>0.0</v>
      </c>
    </row>
    <row r="98" spans="1:7" x14ac:dyDescent="0.2">
      <c r="A98" s="20">
        <v>8.8000000000000007</v>
      </c>
      <c r="B98" s="64">
        <f t="shared" si="3"/>
        <v>-15.67242948836</v>
      </c>
      <c r="C98" s="64">
        <f>IF(AND(B98&gt;=0,B99&lt;0),A98+pH_step*B98/(B98-B99),0)</f>
        <v>0.0</v>
      </c>
    </row>
    <row r="99" spans="1:7" x14ac:dyDescent="0.2">
      <c r="A99" s="20">
        <v>8.9</v>
      </c>
      <c r="B99" s="64">
        <f t="shared" si="3"/>
        <v>-20.443148617968</v>
      </c>
      <c r="C99" s="64">
        <f>IF(AND(B99&gt;=0,B100&lt;0),A99+pH_step*B99/(B99-B100),0)</f>
        <v>0.0</v>
      </c>
    </row>
    <row r="100" spans="1:7" x14ac:dyDescent="0.2">
      <c r="A100" s="20">
        <v>9</v>
      </c>
      <c r="B100" s="64">
        <f t="shared" si="3"/>
        <v>-26.866572609656</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6.090210129793</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0.944445825575</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0.34 mg/L as Cl₂ (band 0.01-0.65);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8.92874896552</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f>km_O2_c*(D_Cl/D_O2_c)^km_exp_c</f>
        <v>0.004044131217</v>
      </c>
      <c r="E129" s="51" t="inlineStr">
        <is>
          <t xml:space="preserve">Scaled from the electrode O₂ mass-transfer coefficient by (D_Cl/D_O2)^0.644, the same correlation as km_HPO4/km_HCO3 (rows 275–276), so it follows a measured km_O2.</t>
        </is>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n_e_Cl*Fcc*km_Cl*(pH_Cl*Cl_free_frac/1000)*A_anode</f>
        <v>9.584998043788e-05</v>
      </c>
      <c r="E132" s="75" t="inlineStr">
        <is>
          <t xml:space="preserve">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is>
      </c>
    </row>
    <row r="133" spans="1:5" x14ac:dyDescent="0.2">
      <c r="A133" s="17" t="s">
        <v>1080</v>
      </c>
      <c r="B133" s="18" t="s">
        <v>1081</v>
      </c>
      <c r="C133" s="19" t="s">
        <v>1076</v>
      </c>
      <c r="D133" s="149">
        <f>MIN(I_Cl_FE,I_Cl_mt)</f>
        <v>9.584998043788e-05</v>
      </c>
      <c r="E133" s="51" t="s">
        <v>1082</v>
      </c>
    </row>
    <row r="134" spans="1:5" x14ac:dyDescent="0.2">
      <c r="A134" s="17" t="s">
        <v>1083</v>
      </c>
      <c r="B134" s="18" t="s">
        <v>1084</v>
      </c>
      <c r="C134" s="19" t="s">
        <v>1085</v>
      </c>
      <c r="D134" s="149">
        <f>I_Cl/(n_e_Cl*Fcc*VLc)</f>
        <v>3.311383479466e-08</v>
      </c>
      <c r="E134" s="51" t="inlineStr">
        <is>
          <t xml:space="preserve">P_HOCl = I_Cl/(n_e_Cl·F·V), n_e_Cl = 2 on every route (D148); at the transport limit this is k_m·[Cl⁻]·A/V, one HOCl per arriving chloride.</t>
        </is>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4.899959143497e-06</v>
      </c>
      <c r="E138" s="51" t="s">
        <v>1099</v>
      </c>
    </row>
    <row r="139" spans="1:5" ht="24" x14ac:dyDescent="0.2">
      <c r="A139" s="17" t="s">
        <v>1100</v>
      </c>
      <c r="B139" s="18" t="s">
        <v>1101</v>
      </c>
      <c r="C139" s="19" t="s">
        <v>1098</v>
      </c>
      <c r="D139" s="149">
        <f>P_HOCl/(k1_NH2Cl*NH3_free)</f>
        <v>1.609043289707e-09</v>
      </c>
      <c r="E139" s="51" t="s">
        <v>1102</v>
      </c>
    </row>
    <row r="140" spans="1:5" ht="24" x14ac:dyDescent="0.2">
      <c r="A140" s="17" t="s">
        <v>1103</v>
      </c>
      <c r="B140" s="18" t="s">
        <v>1104</v>
      </c>
      <c r="C140" s="19" t="s">
        <v>1088</v>
      </c>
      <c r="D140" s="149">
        <f>HOCl_ss*M_HOCl</f>
        <v>8.441041097801e-05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MIN(Cl_pool_mgL*(k_Cl_turn*tau_NH2Cl*3600)/(1+k_Cl_turn*tau_NH2Cl*3600),cl_per_N*NH3_N*M_HOCl/M_Cl2)</f>
        <v>6.25374638398</v>
      </c>
      <c r="E143" s="51" t="inlineStr">
        <is>
          <t xml:space="preserve">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is>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0.250993959469</v>
      </c>
      <c r="E145" s="51" t="inlineStr">
        <is>
          <t xml:space="preserve">OPERATIVE bleaching value (HOCl basis): local-weighted free HOCl + combined chlorine ÷ potency. Combined chlorine is the recycling steady state (D143), so it rises with current and residence until it approaches the chloride pool (D149); Summary reports it as Cl₂ (D226).</t>
        </is>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inlineStr">
        <is>
          <t xml:space="preserve">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is>
      </c>
    </row>
    <row r="149" spans="1:5" ht="36" x14ac:dyDescent="0.2">
      <c r="A149" s="17" t="s">
        <v>1216</v>
      </c>
      <c r="B149" s="18" t="s">
        <v>1217</v>
      </c>
      <c r="C149" s="19" t="s">
        <v>1218</v>
      </c>
      <c r="D149" s="149">
        <f>pH_Cl*M_HOCl</f>
        <v>9.453955667688</v>
      </c>
      <c r="E149" s="51" t="inlineStr">
        <is>
          <t xml:space="preserve">Total chloride pool as HOCl-equivalent; free + combined chlorine cannot exceed it at any instant, and the steady combined share is kτ/(1+kτ) of it (D143). UdG chloride is CaCl₂-derived (a closed batch also depletes it).</t>
        </is>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MIN(Cl_pool_mgL*(k_Cl_turn*tau_NH2Cl_lo*3600)/(1+k_Cl_turn*tau_NH2Cl_lo*3600),cl_per_N*NH3_N*M_HOCl/M_Cl2)</f>
        <v>0.298198130773</v>
      </c>
      <c r="E154" s="51" t="inlineStr">
        <is>
          <t xml:space="preserve">Combined chlorine at the low-τ bound, recycling steady state (as D143)</t>
        </is>
      </c>
    </row>
    <row r="155" spans="1:5" x14ac:dyDescent="0.2">
      <c r="A155" s="17" t="s">
        <v>1240</v>
      </c>
      <c r="B155" s="18" t="s">
        <v>1241</v>
      </c>
      <c r="C155" s="19" t="s">
        <v>1242</v>
      </c>
      <c r="D155" s="149">
        <f>MIN(Cl_pool_mgL*(k_Cl_turn*tau_NH2Cl_hi*3600)/(1+k_Cl_turn*tau_NH2Cl_hi*3600),cl_per_N*NH3_N*M_HOCl/M_Cl2)</f>
        <v>8.57621949016</v>
      </c>
      <c r="E155" s="51" t="inlineStr">
        <is>
          <t xml:space="preserve">Combined chlorine at the high-τ bound, recycling steady state (as D143)</t>
        </is>
      </c>
    </row>
    <row r="156" spans="1:5" x14ac:dyDescent="0.2">
      <c r="A156" s="17" t="s">
        <v>1244</v>
      </c>
      <c r="B156" s="18" t="s">
        <v>1245</v>
      </c>
      <c r="C156" s="19" t="s">
        <v>1246</v>
      </c>
      <c r="D156" s="149">
        <f>f_local*HOCl_ss_mgL+NH2Cl_lo/R_chloramine_hi</f>
        <v>0.005104077407</v>
      </c>
      <c r="E156" s="51" t="s">
        <v>1247</v>
      </c>
    </row>
    <row r="157" spans="1:5" ht="24" x14ac:dyDescent="0.2">
      <c r="A157" s="17" t="s">
        <v>1248</v>
      </c>
      <c r="B157" s="18" t="s">
        <v>1249</v>
      </c>
      <c r="C157" s="19" t="s">
        <v>1250</v>
      </c>
      <c r="D157" s="149">
        <f>f_local*HOCl_ss_mgL+NH2Cl_hi/R_chloramine_lo</f>
        <v>0.477300742452</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IF(media_sel=INDEX(MediaList,1),kappa0_mc02,IF(media_sel=INDEX(MediaList,2),kappa0_udg,NA()))*kappa_fI*(1+kappa_TC*(TKc-T_ref))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IF(media_sel=INDEX(MediaList,1),I_mc02,IF(media_sel=INDEX(MediaList,2),I_udg,NA()))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0.862219433479</v>
      </c>
      <c r="E206" s="99" t="s">
        <v>1586</v>
      </c>
    </row>
    <row r="207" spans="1:5" x14ac:dyDescent="0.2">
      <c r="A207" t="s">
        <v>1587</v>
      </c>
      <c r="B207" s="18" t="s">
        <v>1588</v>
      </c>
      <c r="C207" s="19" t="s">
        <v>1571</v>
      </c>
      <c r="D207" s="141">
        <f>E0_HER-nernst_slope*pH_meas</f>
        <v>-0.366780566521</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-0.427526678634</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0.328219433479</v>
      </c>
      <c r="E210" s="67" t="s">
        <v>1599</v>
      </c>
    </row>
    <row r="211" spans="1:5" ht="48" x14ac:dyDescent="0.2">
      <c r="A211" t="inlineStr">
        <is>
          <t xml:space="preserve">Operating anode potential above Cu²⁺/Cu</t>
        </is>
      </c>
      <c r="B211" s="18" t="s">
        <v>1601</v>
      </c>
      <c r="C211" s="19" t="s">
        <v>1595</v>
      </c>
      <c r="D211" s="141">
        <f>E_anode_op-E0_Cu</f>
        <v>1.264461856975</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inlineStr">
        <is>
          <t xml:space="preserve">Diffusion layer thickness for O₂ (derived, display only)</t>
        </is>
      </c>
      <c r="B215" s="18" t="s">
        <v>1608</v>
      </c>
      <c r="C215" s="19" t="s">
        <v>580</v>
      </c>
      <c r="D215" s="141">
        <f>D_O2_c/(km_O2_c/100)*1000000</f>
        <v>49.941807960105</v>
      </c>
      <c r="E215" s="67" t="inlineStr">
        <is>
          <t xml:space="preserve">δ = D_O₂/k_m(O₂), display only — the buffer limit uses species-specific k_m (D275–D276); δ_i ∝ D_i^0.356 under the same correlation, so a single fixed δ is not used.</t>
        </is>
      </c>
    </row>
    <row r="216" spans="1:5" ht="60" x14ac:dyDescent="0.2">
      <c r="A216" t="s">
        <v>1610</v>
      </c>
      <c r="B216" s="18" t="s">
        <v>1611</v>
      </c>
      <c r="C216" s="19" t="s">
        <v>1282</v>
      </c>
      <c r="D216" s="141">
        <f>Fcc*((km_HPO4/100)*HPO4_op+(km_HCO3/100)*HCO3_op)*1000/10</f>
        <v>8.606311548487</v>
      </c>
      <c r="E216" s="67" t="inlineStr">
        <is>
          <t xml:space="preserve">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0.328374783131</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6.199874888233</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0.339248526308</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0.026289762412</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0.006561410067</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 at the operating current</t>
        </is>
      </c>
      <c r="B255" s="18" t="inlineStr">
        <is>
          <t xml:space="preserve">pcet_credit_c</t>
        </is>
      </c>
      <c r="C255" s="19" t="inlineStr">
        <is>
          <t xml:space="preserve">V</t>
        </is>
      </c>
      <c r="D255" s="141">
        <f>Electrochemistry!$D$162</f>
        <v>-0.15</v>
      </c>
      <c r="E255" s="67" t="inlineStr">
        <is>
          <t xml:space="preserve">Import from Electrochemistry!D162 (pcet_credit_op: withdrawn past the buffer limit).</t>
        </is>
      </c>
    </row>
    <row r="256">
      <c r="A256" t="inlineStr">
        <is>
          <t xml:space="preserve">Operating anode potential</t>
        </is>
      </c>
      <c r="B256" s="18" t="inlineStr">
        <is>
          <t xml:space="preserve">E_anode_op</t>
        </is>
      </c>
      <c r="C256" s="19" t="inlineStr">
        <is>
          <t xml:space="preserve">V vs SHE</t>
        </is>
      </c>
      <c r="D256" s="141">
        <f>E_OER+eta_anode_c+pcet_credit_c</f>
        <v>1.606361856975</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1.178835178341</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0.006898774544</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0.645129364169</v>
      </c>
      <c r="E260" s="67" t="inlineStr">
        <is>
          <t xml:space="preserve">C_eff_hi on the as-Cl₂ basis the thresholds use.</t>
        </is>
      </c>
    </row>
    <row r="270">
      <c r="A270" s="5" t="inlineStr">
        <is>
          <t xml:space="preserve">CHLORIDE RECYCLING AND SPECIES-SPECIFIC ELECTRODE MASS TRANSFER</t>
        </is>
      </c>
    </row>
    <row r="271">
      <c r="A271" t="inlineStr">
        <is>
          <t xml:space="preserve">First-order anodic chloride turnover</t>
        </is>
      </c>
      <c r="B271" s="18" t="inlineStr">
        <is>
          <t xml:space="preserve">k_Cl_turn</t>
        </is>
      </c>
      <c r="C271" s="19" t="inlineStr">
        <is>
          <t xml:space="preserve">1/s</t>
        </is>
      </c>
      <c r="D271" s="141">
        <f>km_Cl*A_anode/1000/VLc</f>
        <v>0.0005428244278184</v>
      </c>
      <c r="E271" s="75" t="inlineStr">
        <is>
          <t xml:space="preserve">First-order anodic chloride turnover at the transport limit, km_Cl·A/V (cm³ → L by /1000). Independent of the chloride level, so the recycling split (D278, D143) is not circular.</t>
        </is>
      </c>
    </row>
    <row r="272">
      <c r="A272" t="inlineStr">
        <is>
          <t xml:space="preserve">(import) electrode mass-transfer coefficient — O₂</t>
        </is>
      </c>
      <c r="B272" s="18" t="inlineStr">
        <is>
          <t xml:space="preserve">km_O2_c</t>
        </is>
      </c>
      <c r="C272" s="19" t="inlineStr">
        <is>
          <t xml:space="preserve">cm/s</t>
        </is>
      </c>
      <c r="D272" s="141">
        <f>Electrochemistry!$D$83</f>
        <v>0.004</v>
      </c>
      <c r="E272" s="67" t="inlineStr">
        <is>
          <t xml:space="preserve">→ Electrochemistry (km_O2; Eisenberg–Tobias–Wilke, unmeasured swirl)</t>
        </is>
      </c>
    </row>
    <row r="273">
      <c r="A273" t="inlineStr">
        <is>
          <t xml:space="preserve">(import) diffusivity exponent for k_m scaling</t>
        </is>
      </c>
      <c r="B273" s="18" t="inlineStr">
        <is>
          <t xml:space="preserve">km_exp_c</t>
        </is>
      </c>
      <c r="C273" s="19" t="inlineStr">
        <is>
          <t xml:space="preserve">-</t>
        </is>
      </c>
      <c r="D273" s="141">
        <f>Electrochemistry!$D$84</f>
        <v>0.644</v>
      </c>
      <c r="E273" s="67" t="inlineStr">
        <is>
          <t xml:space="preserve">→ Electrochemistry (km_exp)</t>
        </is>
      </c>
    </row>
    <row r="274">
      <c r="A274" t="inlineStr">
        <is>
          <t xml:space="preserve">(import) O₂ diffusivity at reactor T</t>
        </is>
      </c>
      <c r="B274" s="18" t="inlineStr">
        <is>
          <t xml:space="preserve">D_O2_c</t>
        </is>
      </c>
      <c r="C274" s="19" t="inlineStr">
        <is>
          <t xml:space="preserve">m²/s</t>
        </is>
      </c>
      <c r="D274" s="141">
        <f>Electrochemistry!$D$81</f>
        <v>1.997672318404e-09</v>
      </c>
      <c r="E274" s="67" t="inlineStr">
        <is>
          <t xml:space="preserve">→ Electrochemistry (ec_D_O2)</t>
        </is>
      </c>
    </row>
    <row r="275">
      <c r="A275" t="inlineStr">
        <is>
          <t xml:space="preserve">Electrode mass-transfer coefficient — HPO₄²⁻</t>
        </is>
      </c>
      <c r="B275" s="18" t="inlineStr">
        <is>
          <t xml:space="preserve">km_HPO4</t>
        </is>
      </c>
      <c r="C275" s="19" t="inlineStr">
        <is>
          <t xml:space="preserve">cm/s</t>
        </is>
      </c>
      <c r="D275" s="141">
        <f>km_O2_c*(D_HPO4/D_O2_c)^km_exp_c</f>
        <v>0.002144855688</v>
      </c>
      <c r="E275" s="75" t="inlineStr">
        <is>
          <t xml:space="preserve">k_m,i = k_m(O₂)·(D_i/D_O₂)^km_exp, the same Eisenberg scaling as km_Cl (D129).</t>
        </is>
      </c>
    </row>
    <row r="276">
      <c r="A276" t="inlineStr">
        <is>
          <t xml:space="preserve">Electrode mass-transfer coefficient — HCO₃⁻</t>
        </is>
      </c>
      <c r="B276" s="18" t="inlineStr">
        <is>
          <t xml:space="preserve">km_HCO3</t>
        </is>
      </c>
      <c r="C276" s="19" t="inlineStr">
        <is>
          <t xml:space="preserve">cm/s</t>
        </is>
      </c>
      <c r="D276" s="141">
        <f>km_O2_c*(D_HCO3/D_O2_c)^km_exp_c</f>
        <v>0.002857570744</v>
      </c>
      <c r="E276" s="75" t="inlineStr">
        <is>
          <t xml:space="preserve">As D275, for bicarbonate.</t>
        </is>
      </c>
    </row>
    <row r="277">
      <c r="A277" t="inlineStr">
        <is>
          <t xml:space="preserve">Diffusion coefficient — Cl⁻</t>
        </is>
      </c>
      <c r="B277" s="18" t="inlineStr">
        <is>
          <t xml:space="preserve">D_Cl</t>
        </is>
      </c>
      <c r="C277" s="19" t="inlineStr">
        <is>
          <t xml:space="preserve">m²/s</t>
        </is>
      </c>
      <c r="D277" s="146">
        <v>2.032e-09</v>
      </c>
      <c r="E277" s="99" t="inlineStr">
        <is>
          <t xml:space="preserve">CRC Handbook (Vanýsek), ionic diffusion coefficient at 25 °C, 2.032×10⁻⁵ cm²/s.</t>
        </is>
      </c>
    </row>
    <row r="278">
      <c r="A278" t="inlineStr">
        <is>
          <t xml:space="preserve">Free share of the chloride pool</t>
        </is>
      </c>
      <c r="B278" s="18" t="inlineStr">
        <is>
          <t xml:space="preserve">Cl_free_frac</t>
        </is>
      </c>
      <c r="C278" s="19" t="inlineStr">
        <is>
          <t xml:space="preserve">-</t>
        </is>
      </c>
      <c r="D278" s="141">
        <f>1/(1+k_Cl_turn*tau_NH2Cl*3600)</f>
        <v>0.338504790608</v>
      </c>
      <c r="E278" s="67" t="inlineStr">
        <is>
          <t xml:space="preserve">At steady state the chloride pool splits free : combined = 1 : kτ (row 271 and D143), so only this share is available to the anode.</t>
        </is>
      </c>
    </row>
    <row r="279">
      <c r="A279" t="inlineStr">
        <is>
          <t xml:space="preserve">(import) reactor liquid charge</t>
        </is>
      </c>
      <c r="B279" s="18" t="inlineStr">
        <is>
          <t xml:space="preserve">V_charge</t>
        </is>
      </c>
      <c r="C279" s="19" t="inlineStr">
        <is>
          <t xml:space="preserve">mL</t>
        </is>
      </c>
      <c r="D279" s="141">
        <f>Biology!$D$6</f>
        <v>15.0</v>
      </c>
      <c r="E279" s="67" t="inlineStr">
        <is>
          <t xml:space="preserve">→ Biology (V_charge)</t>
        </is>
      </c>
    </row>
    <row r="280">
      <c r="A280" t="inlineStr">
        <is>
          <t xml:space="preserve">(import) medium selected on Summary</t>
        </is>
      </c>
      <c r="B280" s="18" t="inlineStr">
        <is>
          <t xml:space="preserve">media_sel</t>
        </is>
      </c>
      <c r="C280" s="19" t="inlineStr">
        <is>
          <t xml:space="preserve">-</t>
        </is>
      </c>
      <c r="D280" s="141" t="str">
        <f>Summary!$D$5</f>
        <v>UdG phosphate</v>
      </c>
      <c r="E280" s="67" t="inlineStr">
        <is>
          <t xml:space="preserve">→ Summary (media_sel)</t>
        </is>
      </c>
    </row>
    <row r="290">
      <c r="A290" s="5" t="inlineStr">
        <is>
          <t xml:space="preserve">DIC STORAGE IN THE CO₂ POOL (review R2-m3) — at a reference pH, so no loop through the pH solve</t>
        </is>
      </c>
    </row>
    <row r="291">
      <c r="A291" t="inlineStr">
        <is>
          <t xml:space="preserve">Reference pH for the DIC capacity (concentration scale)</t>
        </is>
      </c>
      <c r="B291" s="18" t="inlineStr">
        <is>
          <t xml:space="preserve">pH_ref_DIC</t>
        </is>
      </c>
      <c r="C291" s="19" t="inlineStr">
        <is>
          <t xml:space="preserve">pH</t>
        </is>
      </c>
      <c r="D291" s="131">
        <v>6.09</v>
      </c>
      <c r="E291" s="37" t="inlineStr">
        <is>
          <t xml:space="preserve">Input, not a link: set to the last solved pH_op (D103) and re-enter if it moves by &gt;0.1. Linking D103 would close a loop D103 → CO2aqc → CO₂ pool → D103.</t>
        </is>
      </c>
    </row>
    <row r="292">
      <c r="A292" t="inlineStr">
        <is>
          <t xml:space="preserve">[H⁺] at the reference pH</t>
        </is>
      </c>
      <c r="B292" s="18" t="inlineStr">
        <is>
          <t xml:space="preserve">h_ref_DIC</t>
        </is>
      </c>
      <c r="C292" s="19" t="inlineStr">
        <is>
          <t xml:space="preserve">mol/L</t>
        </is>
      </c>
      <c r="D292" s="141">
        <f>10^-pH_ref_DIC</f>
        <v>8.128305161641e-07</v>
      </c>
      <c r="E292" s="84" t="inlineStr">
        <is>
          <t xml:space="preserve">Concentration scale, as the charge balance.</t>
        </is>
      </c>
    </row>
    <row r="293">
      <c r="A293" t="inlineStr">
        <is>
          <t xml:space="preserve">Bicarbonate : CO₂(aq) at the reference pH</t>
        </is>
      </c>
      <c r="B293" s="18" t="inlineStr">
        <is>
          <t xml:space="preserve">r_HCO3_ref</t>
        </is>
      </c>
      <c r="C293" s="19" t="inlineStr">
        <is>
          <t xml:space="preserve">-</t>
        </is>
      </c>
      <c r="D293" s="141">
        <f>Ka1c_c/h_ref_DIC</f>
        <v>0.907171771626</v>
      </c>
      <c r="E293" s="84" t="inlineStr">
        <is>
          <t xml:space="preserve">Ka1/[H⁺] on the concentration scale; independent of the CO₂ level.</t>
        </is>
      </c>
    </row>
    <row r="294">
      <c r="A294" t="inlineStr">
        <is>
          <t xml:space="preserve">Bicarbonate at the reference pH (from the charge balance)</t>
        </is>
      </c>
      <c r="B294" s="18" t="inlineStr">
        <is>
          <t xml:space="preserve">HCO3_ref</t>
        </is>
      </c>
      <c r="C294" s="19" t="inlineStr">
        <is>
          <t xml:space="preserve">mol/L</t>
        </is>
      </c>
      <c r="D294" s="141">
        <f>(pH_SID+pH_NT*h_ref_DIC/(h_ref_DIC+KaN_c)+h_ref_DIC-(pH_PT*Ka1p_c*h_ref_DIC^2+2*pH_PT*Ka1p_c*Ka2p_c*h_ref_DIC+3*pH_PT*Ka1p_c*Ka2p_c*Ka3p_c)/(h_ref_DIC^3+Ka1p_c*h_ref_DIC^2+Ka1p_c*Ka2p_c*h_ref_DIC+Ka1p_c*Ka2p_c*Ka3p_c)-Kw_c/h_ref_DIC)/(1+2*Ka2c_c/h_ref_DIC)</f>
        <v>0.026358468464</v>
      </c>
      <c r="E294" s="84" t="inlineStr">
        <is>
          <t xml:space="preserve">The same charge balance as the pH grid (B50), solved for carbonate alkalinity at the reference pH instead of for pH: no CO2aqc term, so no loop.</t>
        </is>
      </c>
    </row>
    <row r="295">
      <c r="A295" t="inlineStr">
        <is>
          <t xml:space="preserve">Non-carbonate buffer capacity at the reference pH</t>
        </is>
      </c>
      <c r="B295" s="18" t="inlineStr">
        <is>
          <t xml:space="preserve">beta_nonC</t>
        </is>
      </c>
      <c r="C295" s="19" t="inlineStr">
        <is>
          <t xml:space="preserve">mol/L/pH</t>
        </is>
      </c>
      <c r="D295" s="141">
        <f>LN(10)*(pH_PT*Ka1p_c*h_ref_DIC/(Ka1p_c+h_ref_DIC)^2+pH_PT*Ka2p_c*h_ref_DIC/(Ka2p_c+h_ref_DIC)^2+pH_NT*KaN_c*h_ref_DIC/(KaN_c+h_ref_DIC)^2+h_ref_DIC+Kw_c/h_ref_DIC)</f>
        <v>0.012467843562</v>
      </c>
      <c r="E295" s="84" t="inlineStr">
        <is>
          <t xml:space="preserve">β = ln10·Σ C·Ka·[H⁺]/(Ka+[H⁺])² over phosphate (pKa1, pKa2), ammonium and water — what takes up the proton when absorbed CO₂ becomes bicarbonate.</t>
        </is>
      </c>
    </row>
    <row r="296">
      <c r="A296" t="inlineStr">
        <is>
          <t xml:space="preserve">DIC capacity factor of the liquid (dDIC/dCO₂(aq))</t>
        </is>
      </c>
      <c r="B296" s="18" t="inlineStr">
        <is>
          <t xml:space="preserve">DIC_cap</t>
        </is>
      </c>
      <c r="C296" s="19" t="inlineStr">
        <is>
          <t xml:space="preserve">-</t>
        </is>
      </c>
      <c r="D296" s="141">
        <f>1+r_HCO3_ref*beta_nonC/(beta_nonC+LN(10)*HCO3_ref)</f>
        <v>1.154598203915</v>
      </c>
      <c r="E296" s="67" t="inlineStr">
        <is>
          <t xml:space="preserve">At constant alkalinity each mol of CO₂ absorbed forms Ka1/[H⁺]·β/(β+ln10·[HCO₃⁻]) mol of bicarbonate as the pH falls. Bounds: 1 (no buffer) and 1+Ka1/[H⁺] (infinite buffer, R2-m3's form, ≈1.9 here). Linearised about the reference pH.</t>
        </is>
      </c>
    </row>
    <row r="298">
      <c r="A298" s="5" t="inlineStr">
        <is>
          <t xml:space="preserve">DISPLAY THRESHOLDS (read by the Summary colour rules)</t>
        </is>
      </c>
    </row>
    <row r="299">
      <c r="A299" t="inlineStr">
        <is>
          <t xml:space="preserve">pH red band, lower edge</t>
        </is>
      </c>
      <c r="B299" s="18" t="inlineStr">
        <is>
          <t xml:space="preserve">pH_red_lo</t>
        </is>
      </c>
      <c r="C299" s="19" t="inlineStr">
        <is>
          <t xml:space="preserve">pH</t>
        </is>
      </c>
      <c r="D299" s="131">
        <v>6</v>
      </c>
      <c r="E299" s="37" t="inlineStr">
        <is>
          <t xml:space="preserve">Design assumption: below pH 6 HOB growth is taken as severely impaired; the red edge of the Summary D35 colour (was embedded in the rule).</t>
        </is>
      </c>
    </row>
    <row r="300">
      <c r="A300" t="inlineStr">
        <is>
          <t xml:space="preserve">pH red band, upper edge</t>
        </is>
      </c>
      <c r="B300" s="18" t="inlineStr">
        <is>
          <t xml:space="preserve">pH_red_hi</t>
        </is>
      </c>
      <c r="C300" s="19" t="inlineStr">
        <is>
          <t xml:space="preserve">pH</t>
        </is>
      </c>
      <c r="D300" s="131">
        <v>8</v>
      </c>
      <c r="E300" s="37" t="inlineStr">
        <is>
          <t xml:space="preserve">Design assumption, as above, for the alkaline side.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0.0001018812158154</v>
      </c>
      <c r="E4" s="135" t="str">
        <f>HYPERLINK("#Electrochemistry!D21","→ Electrochemistry")</f>
        <v>→ Electrochemistry</v>
      </c>
      <c r="F4" s="20"/>
    </row>
    <row r="5" spans="1:6" x14ac:dyDescent="0.2">
      <c r="A5" s="20" t="s">
        <v>404</v>
      </c>
      <c r="B5" s="18" t="s">
        <v>378</v>
      </c>
      <c r="C5" s="20" t="s">
        <v>354</v>
      </c>
      <c r="D5" s="150">
        <f>Electrochemistry!$D$29</f>
        <v>4.987344109764e-05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MAX(0,rH2_gen-H2_HOR_b)</f>
        <v>0.0001018812158154</v>
      </c>
      <c r="E13" s="37" t="inlineStr">
        <is>
          <t xml:space="preserve">Evolved H₂ minus any crossed-over H₂ the Pt anode oxidises (D96; 0 until measured), assumed fully consumed — steady growth only; ~0 during lag (see §13).</t>
        </is>
      </c>
      <c r="F13" s="20"/>
    </row>
    <row r="14" spans="1:6" ht="26" customHeight="1" x14ac:dyDescent="0.2">
      <c r="A14" s="17" t="s">
        <v>419</v>
      </c>
      <c r="B14" s="18" t="s">
        <v>420</v>
      </c>
      <c r="C14" s="19" t="s">
        <v>354</v>
      </c>
      <c r="D14" s="48">
        <f>H2_cons*bio_O2/bio_H2</f>
        <v>3.396040527179e-05</v>
      </c>
      <c r="E14" s="107" t="s">
        <v>421</v>
      </c>
      <c r="F14" s="20"/>
    </row>
    <row r="15" spans="1:6" x14ac:dyDescent="0.2">
      <c r="A15" s="17" t="s">
        <v>422</v>
      </c>
      <c r="B15" s="18" t="s">
        <v>423</v>
      </c>
      <c r="C15" s="19" t="s">
        <v>354</v>
      </c>
      <c r="D15" s="48">
        <f>H2_cons*bio_CO2/bio_H2</f>
        <v>1.698020263589e-05</v>
      </c>
      <c r="E15" s="37" t="s">
        <v>424</v>
      </c>
      <c r="F15" s="20"/>
    </row>
    <row r="16" spans="1:6" ht="52" x14ac:dyDescent="0.2">
      <c r="A16" s="113" t="s">
        <v>425</v>
      </c>
      <c r="B16" s="18" t="s">
        <v>426</v>
      </c>
      <c r="C16" s="19" t="s">
        <v>354</v>
      </c>
      <c r="D16" s="48">
        <f>MAX(0,O2_net_gen-O2_cons)</f>
        <v>1.591303582585e-05</v>
      </c>
      <c r="E16" s="115" t="inlineStr">
        <is>
          <t xml:space="preserve">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×2.2). Sensitive: ±10 % in bio_O2 moves it +29 % / −12 %.</t>
        </is>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H_O2ref*EXP(H_O2T*(1/T_K-1/T_ref))*f_salt_O2</f>
        <v>1.158290914481e-05</v>
      </c>
      <c r="E24" s="99" t="inlineStr">
        <is>
          <t xml:space="preserve">van 't Hoff correction to reactor T, then salted out for the medium's ionic strength (f_salt_O2, D123). Moves the dissolved-O₂ ceiling (D27) and every Henry O₂ term.</t>
        </is>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0.352091480729</v>
      </c>
      <c r="E27" s="99" t="s">
        <v>461</v>
      </c>
      <c r="F27" s="20"/>
    </row>
    <row r="28" spans="1:6" x14ac:dyDescent="0.2">
      <c r="A28" s="113" t="s">
        <v>458</v>
      </c>
      <c r="B28" s="18" t="s">
        <v>462</v>
      </c>
      <c r="C28" s="19" t="s">
        <v>463</v>
      </c>
      <c r="D28" s="43">
        <f>O2_ceil_C*1000</f>
        <v>352.091480729401</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6.981674632634</v>
      </c>
      <c r="E42" s="99" t="s">
        <v>504</v>
      </c>
      <c r="F42" s="20"/>
    </row>
    <row r="43" spans="1:6" x14ac:dyDescent="0.2">
      <c r="A43" s="17" t="s">
        <v>505</v>
      </c>
      <c r="B43" s="18" t="s">
        <v>506</v>
      </c>
      <c r="C43" s="19" t="s">
        <v>507</v>
      </c>
      <c r="D43" s="48">
        <f>rH2_gen/(V_charge/1000000)/C_H2_sat</f>
        <v>8.593926694829</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mean, "&amp;TEXT(y_H2_end_b,"0%")&amp;" before each pulse; O₂ "&amp;TEXT(y_O2_hs_lag,"0%")&amp;" – until uptake starts, sparge every ≤"&amp;TEXT(spg_int_H2safe/2,"0.0")&amp;" min or sweep ≥"&amp;TEXT(N2_sweep_H2safe,"0.0")&amp;" mL/min N₂; vent to a hood; no ignition sources","Below the H₂ LFL or under the O₂ LOC margin (lag, mean basis; H₂ "&amp;TEXT(y_H2_end_b,"0%")&amp;" before each pulse)")</f>
        <v>FLAMMABLE HEADSPACE (lag): H₂ 11% mean, 17% before each pulse; O₂ 6% – until uptake starts, sparge every ≤1.9 min or sweep ≥1.0 mL/min N₂; vent to a hood; no ignition sources</v>
      </c>
      <c r="E44" s="70" t="inlineStr">
        <is>
          <t xml:space="preserve">Tests the lag-phase headspace mix (rows 84–85, mean-field) against the H₂ lower flammability limit and the limiting O₂ concentration with a design margin. The text also quotes the H₂ fraction just before each pulse (y_H2_end_b, sawtooth top), which is higher than the mean.</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IF(ISNUMBER(cal_DO_min),cal_DO_min,IF(ISNUMBER(VLOOKUP(organism_sel,$A$52:$F$57,MATCH("minimum DO",$A$51:$F$51,0),FALSE)),VLOOKUP(organism_sel,$A$52:$F$57,MATCH("minimum DO",$A$51:$F$51,0),FALSE),NA()))</f>
        <v>#N/A</v>
      </c>
      <c r="E45" s="20"/>
      <c r="F45" s="20"/>
    </row>
    <row r="46" spans="1:6" x14ac:dyDescent="0.2">
      <c r="A46" s="20" t="s">
        <v>515</v>
      </c>
      <c r="B46" s="20" t="s">
        <v>516</v>
      </c>
      <c r="C46" s="20" t="s">
        <v>102</v>
      </c>
      <c r="D46" s="28" t="e">
        <f>IF(ISNUMBER(cal_DO_opt),cal_DO_opt,IF(ISNUMBER(VLOOKUP(organism_sel,$A$52:$F$57,MATCH("optimum DO",$A$51:$F$51,0),FALSE)),VLOOKUP(organism_sel,$A$52:$F$57,MATCH("optimum DO",$A$51:$F$51,0),FALSE),NA()))</f>
        <v>#N/A</v>
      </c>
      <c r="E46" s="20"/>
      <c r="F46" s="20"/>
    </row>
    <row r="47" spans="1:6" x14ac:dyDescent="0.2">
      <c r="A47" s="20" t="s">
        <v>517</v>
      </c>
      <c r="B47" s="20" t="s">
        <v>518</v>
      </c>
      <c r="C47" s="20" t="s">
        <v>102</v>
      </c>
      <c r="D47" s="28" t="e">
        <f>IF(ISNUMBER(cal_DO_impair),cal_DO_impair,IF(ISNUMBER(VLOOKUP(organism_sel,$A$52:$F$57,MATCH("impairment DO",$A$51:$F$51,0),FALSE)),VLOOKUP(organism_sel,$A$52:$F$57,MATCH("impairment DO",$A$51:$F$51,0),FALSE),NA()))</f>
        <v>#N/A</v>
      </c>
      <c r="E47" s="20"/>
      <c r="F47" s="20"/>
    </row>
    <row r="48" spans="1:6" x14ac:dyDescent="0.2">
      <c r="A48" s="20" t="s">
        <v>519</v>
      </c>
      <c r="B48" s="20" t="s">
        <v>520</v>
      </c>
      <c r="C48" s="20" t="s">
        <v>102</v>
      </c>
      <c r="D48" s="28" t="e">
        <f>IF(ISNUMBER(cal_DO_toxic),cal_DO_toxic,IF(ISNUMBER(VLOOKUP(organism_sel,$A$52:$F$57,MATCH("toxic DO",$A$51:$F$51,0),FALSE)),VLOOKUP(organism_sel,$A$52:$F$57,MATCH("toxic DO",$A$51:$F$51,0),FALSE),NA()))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0.0007156055654322</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optimal pulse, full-flow equivalent</t>
        </is>
      </c>
      <c r="B78" s="18" t="inlineStr">
        <is>
          <t xml:space="preserve">spg_dur_b</t>
        </is>
      </c>
      <c r="C78" s="20" t="inlineStr">
        <is>
          <t xml:space="preserve">s</t>
        </is>
      </c>
      <c r="D78" s="150">
        <f>'Mass Transfer'!$D$409</f>
        <v>0.784513049825</v>
      </c>
      <c r="E78" s="135" t="inlineStr">
        <is>
          <t xml:space="preserve">Import from Mass Transfer!D409 (spg_dur_eq_opt): converts the H₂-safe duty to an interval on the same basis as the schedule.</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H2_src_l_b+O2_net_gen</f>
        <v>0.000151754656913</v>
      </c>
      <c r="E83" s="69" t="inlineStr">
        <is>
          <t xml:space="preserve">Lag phase: no uptake, so all electrolytic H₂ not oxidised at the anode (H2_src_l_b) and the net O₂ reach the headspace.</t>
        </is>
      </c>
    </row>
    <row r="84">
      <c r="A84" s="17" t="inlineStr">
        <is>
          <t xml:space="preserve">Headspace H₂ fraction (lag, mean-field)</t>
        </is>
      </c>
      <c r="B84" s="18" t="inlineStr">
        <is>
          <t xml:space="preserve">y_H2_hs_lag</t>
        </is>
      </c>
      <c r="C84" s="19" t="inlineStr">
        <is>
          <t xml:space="preserve">-</t>
        </is>
      </c>
      <c r="D84" s="48">
        <f>H2_src_l_b/(n_flamm_src+CO2_supply_b+F_vent_ex_b)</f>
        <v>0.112682153807</v>
      </c>
      <c r="E84" s="69" t="inlineStr">
        <is>
          <t xml:space="preserve">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is>
      </c>
    </row>
    <row r="85">
      <c r="A85" s="17" t="inlineStr">
        <is>
          <t xml:space="preserve">Headspace O₂ fraction (lag, mean-field)</t>
        </is>
      </c>
      <c r="B85" s="18" t="inlineStr">
        <is>
          <t xml:space="preserve">y_O2_hs_lag</t>
        </is>
      </c>
      <c r="C85" s="19" t="inlineStr">
        <is>
          <t xml:space="preserve">-</t>
        </is>
      </c>
      <c r="D85" s="48">
        <f>(O2_net_gen+y_O2_air_b*F_vent_ex_b)/(n_flamm_src+CO2_supply_b+F_vent_ex_b)</f>
        <v>0.063684612076</v>
      </c>
      <c r="E85" s="69" t="inlineStr">
        <is>
          <t xml:space="preserve">As above for O₂ (= y_O2_mf_l on Mass Transfer), including the O₂ carried in by exchanged air. Air ingress lowers H₂ but raises O₂ toward 21 %, so it does not make the mixture safe.</t>
        </is>
      </c>
    </row>
    <row r="86">
      <c r="A86" s="17" t="inlineStr">
        <is>
          <t xml:space="preserve">CO₂ duty that makes the lag headspace non-flammable</t>
        </is>
      </c>
      <c r="B86" s="18" t="inlineStr">
        <is>
          <t xml:space="preserve">duty_H2safe</t>
        </is>
      </c>
      <c r="C86" s="19" t="inlineStr">
        <is>
          <t xml:space="preserve">-</t>
        </is>
      </c>
      <c r="D86" s="48">
        <f>MAX(0,MIN(H2_src_l_b/H2_LFL-n_flamm_src-F_vent_ex_b,(O2_net_gen+y_O2_air_b*F_vent_ex_b)/(O2_LOC_H2*LOC_margin)-n_flamm_src-F_vent_ex_b))/CO2_rate_full_b</f>
        <v>0.003381603867</v>
      </c>
      <c r="E86" s="69" t="inlineStr">
        <is>
          <t xml:space="preserve">Least valve-open fraction that brings H₂ below the LFL or O₂ below the LOC margin, whichever needs less CO₂, from the same balance; exchanged air counts as diluent for H₂ and as an O₂ source for the LOC route.</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3.866572790086</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MAX(0,H2_src_l_b/H2_LFL-n_flamm_src-F_vent_ex_b)/3600*R_gas_b*T_K/P_atm*1000000*60</f>
        <v>0.961689798439</v>
      </c>
      <c r="E88" s="69" t="inlineStr">
        <is>
          <t xml:space="preserve">Continuous inert headspace sweep that dilutes H₂ below the LFL with no CO₂ at all, net of any air exchange already diluting it.</t>
        </is>
      </c>
    </row>
    <row r="95">
      <c r="A95" s="5" t="inlineStr">
        <is>
          <t xml:space="preserve">ANODIC H₂ LOSS AND CARBON AT THE CYCLE TROUGH</t>
        </is>
      </c>
    </row>
    <row r="96">
      <c r="A96" s="17" t="inlineStr">
        <is>
          <t xml:space="preserve">(import) H₂ oxidised at the anode</t>
        </is>
      </c>
      <c r="B96" s="18" t="inlineStr">
        <is>
          <t xml:space="preserve">H2_HOR_b</t>
        </is>
      </c>
      <c r="C96" s="19" t="inlineStr">
        <is>
          <t xml:space="preserve">mol/h</t>
        </is>
      </c>
      <c r="D96" s="48">
        <f>Electrochemistry!$D$149</f>
        <v>0.0</v>
      </c>
      <c r="E96" s="67" t="inlineStr">
        <is>
          <t xml:space="preserve">→ Electrochemistry (r_H2_HOR; 0 while f_HOR_anode is a data gap)</t>
        </is>
      </c>
    </row>
    <row r="97">
      <c r="A97" s="17" t="inlineStr">
        <is>
          <t xml:space="preserve">(import) dissolved CO₂ at the start of a pulse (cycle trough)</t>
        </is>
      </c>
      <c r="B97" s="18" t="inlineStr">
        <is>
          <t xml:space="preserve">C_cycle_start_b</t>
        </is>
      </c>
      <c r="C97" s="19" t="inlineStr">
        <is>
          <t xml:space="preserve">mol/m³</t>
        </is>
      </c>
      <c r="D97" s="48">
        <f>'Mass Transfer'!$D$198</f>
        <v>28.788742057202</v>
      </c>
      <c r="E97" s="67" t="inlineStr">
        <is>
          <t xml:space="preserve">→ Mass Transfer (C_cycle_start, mass-conserving limit cycle)</t>
        </is>
      </c>
    </row>
    <row r="98">
      <c r="A98" s="17" t="inlineStr">
        <is>
          <t xml:space="preserve">Carbon margin at the cycle trough (dissolved CO₂ : Km)</t>
        </is>
      </c>
      <c r="B98" s="18" t="inlineStr">
        <is>
          <t xml:space="preserve">CO2_margin_trough</t>
        </is>
      </c>
      <c r="C98" s="19" t="inlineStr">
        <is>
          <t xml:space="preserve">×</t>
        </is>
      </c>
      <c r="D98" s="48">
        <f>C_cycle_start_b*1000/Km_CO2</f>
        <v>575.774841144035</v>
      </c>
      <c r="E98" s="69" t="inlineStr">
        <is>
          <t xml:space="preserve">Lowest dissolved CO₂ of the dosing cycle (mol/m³ = mM, ×1000 → µM) against RuBisCO Km. A sub-second pulse never approaches the full-sparge saturation D33 uses, so this, not D35, is the carbon-availability test; schedule-dependent.</t>
        </is>
      </c>
    </row>
    <row r="110">
      <c r="A110" s="5" t="inlineStr">
        <is>
          <t xml:space="preserve">IMPORTS FOR THE SHARED HEADSPACE BALANCE (Mass Transfer §300)</t>
        </is>
      </c>
    </row>
    <row r="111">
      <c r="A111" s="20" t="inlineStr">
        <is>
          <t xml:space="preserve">(import) vent air-exchange flow</t>
        </is>
      </c>
      <c r="B111" s="18" t="inlineStr">
        <is>
          <t xml:space="preserve">F_vent_ex_b</t>
        </is>
      </c>
      <c r="C111" s="20" t="inlineStr">
        <is>
          <t xml:space="preserve">mol/h</t>
        </is>
      </c>
      <c r="D111" s="150">
        <f>'Mass Transfer'!$D$308</f>
        <v>3.67866400719e-05</v>
      </c>
      <c r="E111" s="135" t="inlineStr">
        <is>
          <t xml:space="preserve">Import from Mass Transfer!D308: zero for "Outflow only", Q_vent as mol/h for "Air exchange".</t>
        </is>
      </c>
    </row>
    <row r="112">
      <c r="A112" s="20" t="inlineStr">
        <is>
          <t xml:space="preserve">(import) dry-air O₂ mole fraction</t>
        </is>
      </c>
      <c r="B112" s="18" t="inlineStr">
        <is>
          <t xml:space="preserve">y_O2_air_b</t>
        </is>
      </c>
      <c r="C112" s="20" t="inlineStr">
        <is>
          <t xml:space="preserve">-</t>
        </is>
      </c>
      <c r="D112" s="150">
        <f>'Mass Transfer'!$D$307</f>
        <v>0.2095</v>
      </c>
      <c r="E112" s="135" t="inlineStr">
        <is>
          <t xml:space="preserve">Import from Mass Transfer!D307.</t>
        </is>
      </c>
    </row>
    <row r="113">
      <c r="A113" s="20" t="inlineStr">
        <is>
          <t xml:space="preserve">(import) H₂ to headspace — lag (net of anodic oxidation)</t>
        </is>
      </c>
      <c r="B113" s="18" t="inlineStr">
        <is>
          <t xml:space="preserve">H2_src_l_b</t>
        </is>
      </c>
      <c r="C113" s="20" t="inlineStr">
        <is>
          <t xml:space="preserve">mol/h</t>
        </is>
      </c>
      <c r="D113" s="150">
        <f>'Mass Transfer'!$D$314</f>
        <v>0.0001018812158154</v>
      </c>
      <c r="E113" s="135" t="inlineStr">
        <is>
          <t xml:space="preserve">Import from Mass Transfer!D314: evolved H₂ less the anodic H₂ oxidation (r_H2_HOR).</t>
        </is>
      </c>
    </row>
    <row r="114">
      <c r="A114" s="20" t="inlineStr">
        <is>
          <t xml:space="preserve">(import) headspace H₂ just before a pulse (lag)</t>
        </is>
      </c>
      <c r="B114" s="18" t="inlineStr">
        <is>
          <t xml:space="preserve">y_H2_end_b</t>
        </is>
      </c>
      <c r="C114" s="20" t="inlineStr">
        <is>
          <t xml:space="preserve">-</t>
        </is>
      </c>
      <c r="D114" s="150">
        <f>'Mass Transfer'!$D$388</f>
        <v>0.174311272995</v>
      </c>
      <c r="E114" s="135" t="inlineStr">
        <is>
          <t xml:space="preserve">Import from Mass Transfer!D388 (sawtooth top).</t>
        </is>
      </c>
    </row>
    <row r="120">
      <c r="A120" s="5" t="inlineStr">
        <is>
          <t xml:space="preserve">O₂ SALTING-OUT (review R2-m8)</t>
        </is>
      </c>
    </row>
    <row r="121">
      <c r="A121" s="20" t="inlineStr">
        <is>
          <t xml:space="preserve">(import) ionic strength of the medium</t>
        </is>
      </c>
      <c r="B121" s="18" t="inlineStr">
        <is>
          <t xml:space="preserve">I_ionic_b</t>
        </is>
      </c>
      <c r="C121" s="20" t="inlineStr">
        <is>
          <t xml:space="preserve">mol/L</t>
        </is>
      </c>
      <c r="D121" s="150">
        <f>Chemistry!$D$185</f>
        <v>0.109739973238</v>
      </c>
      <c r="E121" s="135" t="inlineStr">
        <is>
          <t xml:space="preserve">Import from Chemistry!D185 (I_ionic, by media_sel).</t>
        </is>
      </c>
    </row>
    <row r="122">
      <c r="A122" s="20" t="inlineStr">
        <is>
          <t xml:space="preserve">Setschenow coefficient for O₂ (per unit ionic strength)</t>
        </is>
      </c>
      <c r="B122" s="18" t="inlineStr">
        <is>
          <t xml:space="preserve">ks_O2</t>
        </is>
      </c>
      <c r="C122" s="20" t="inlineStr">
        <is>
          <t xml:space="preserve">L/mol</t>
        </is>
      </c>
      <c r="D122" s="131">
        <v>0.14</v>
      </c>
      <c r="E122" s="37" t="inlineStr">
        <is>
          <t xml:space="preserve">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is>
      </c>
    </row>
    <row r="123">
      <c r="A123" s="20" t="inlineStr">
        <is>
          <t xml:space="preserve">O₂ salting-out factor</t>
        </is>
      </c>
      <c r="B123" s="18" t="inlineStr">
        <is>
          <t xml:space="preserve">f_salt_O2</t>
        </is>
      </c>
      <c r="C123" s="20" t="inlineStr">
        <is>
          <t xml:space="preserve">-</t>
        </is>
      </c>
      <c r="D123" s="150">
        <f>10^(-ks_O2*I_ionic_b)</f>
        <v>0.965242428734</v>
      </c>
      <c r="E123" s="65" t="inlineStr">
        <is>
          <t xml:space="preserve">Setschenow: log₁₀(H₀/H) = k_s·I. 0.965 for UdG (−3.5 %).</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0.352091480729</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1.698020263589e-05</v>
      </c>
      <c r="E10" s="135" t="str">
        <f>HYPERLINK("#Biology!D15","→ Biology")</f>
        <v>→ Biology</v>
      </c>
      <c r="F10" s="20"/>
    </row>
    <row r="11" spans="1:6" x14ac:dyDescent="0.2">
      <c r="A11" s="20" t="s">
        <v>544</v>
      </c>
      <c r="B11" s="20" t="s">
        <v>426</v>
      </c>
      <c r="C11" s="20" t="s">
        <v>354</v>
      </c>
      <c r="D11" s="142">
        <f>Biology!$D$16</f>
        <v>1.591303582585e-05</v>
      </c>
      <c r="E11" s="135" t="str">
        <f>HYPERLINK("#Biology!D16","→ Biology")</f>
        <v>→ Biology</v>
      </c>
      <c r="F11" s="20"/>
    </row>
    <row r="12" spans="1:6" x14ac:dyDescent="0.2">
      <c r="A12" s="20" t="s">
        <v>545</v>
      </c>
      <c r="B12" s="20" t="s">
        <v>449</v>
      </c>
      <c r="C12" s="20" t="s">
        <v>440</v>
      </c>
      <c r="D12" s="142">
        <f>Biology!$D$24</f>
        <v>1.158290914481e-05</v>
      </c>
      <c r="E12" s="135" t="str">
        <f>HYPERLINK("#Biology!D24","→ Biology")</f>
        <v>→ Biology</v>
      </c>
      <c r="F12" s="20"/>
    </row>
    <row r="13" spans="1:6" x14ac:dyDescent="0.2">
      <c r="A13" s="20" t="s">
        <v>404</v>
      </c>
      <c r="B13" s="20" t="s">
        <v>378</v>
      </c>
      <c r="C13" s="20" t="s">
        <v>354</v>
      </c>
      <c r="D13" s="150">
        <f>Electrochemistry!$D$29</f>
        <v>4.987344109764e-05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1.939632125669e-05</v>
      </c>
      <c r="E53" s="117" t="s">
        <v>643</v>
      </c>
      <c r="F53" s="20"/>
    </row>
    <row r="54" spans="1:6" ht="24" customHeight="1" x14ac:dyDescent="0.2">
      <c r="A54" s="17" t="s">
        <v>644</v>
      </c>
      <c r="B54" s="18" t="s">
        <v>645</v>
      </c>
      <c r="C54" s="19" t="s">
        <v>354</v>
      </c>
      <c r="D54" s="48">
        <f>IF(d_bubble&lt;d_bubble_min_m,0,kLa_sparge*(V_charge/1000000)*O2_ceil_C*3600)</f>
        <v>0.0002938869192802</v>
      </c>
      <c r="E54" s="75" t="s">
        <v>646</v>
      </c>
      <c r="F54" s="20"/>
    </row>
    <row r="55" spans="1:6" ht="24" customHeight="1" x14ac:dyDescent="0.2">
      <c r="A55" s="113" t="s">
        <v>647</v>
      </c>
      <c r="B55" s="18" t="s">
        <v>648</v>
      </c>
      <c r="C55" s="19" t="s">
        <v>354</v>
      </c>
      <c r="D55" s="48">
        <f>strip_sparge*duty</f>
        <v>3.687810914865e-07</v>
      </c>
      <c r="E55" s="75" t="s">
        <v>649</v>
      </c>
      <c r="F55" s="20"/>
    </row>
    <row r="56" spans="1:6" x14ac:dyDescent="0.2">
      <c r="A56" s="113" t="s">
        <v>650</v>
      </c>
      <c r="B56" s="18" t="s">
        <v>651</v>
      </c>
      <c r="C56" s="19" t="s">
        <v>110</v>
      </c>
      <c r="D56" s="45">
        <f>IF(O2_excess&gt;0,strip_avg/O2_excess,NA())</f>
        <v>0.023174779189</v>
      </c>
      <c r="E56" s="75" t="s">
        <v>652</v>
      </c>
      <c r="F56" s="20"/>
    </row>
    <row r="57" spans="1:6" ht="36" customHeight="1" x14ac:dyDescent="0.2">
      <c r="A57" s="17" t="s">
        <v>653</v>
      </c>
      <c r="B57" s="18" t="s">
        <v>654</v>
      </c>
      <c r="C57" s="19" t="s">
        <v>639</v>
      </c>
      <c r="D57" s="48">
        <f>IF(O2_excess&gt;0,O2_excess/3600/((V_charge/1000000)*O2_ceil_C),NA())</f>
        <v>0.0008369581905715</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75" t="inlineStr">
        <is>
          <t xml:space="preserve">Pulse flow (Q_CO2) against the measured per-reactor no-carryover maximum (D413, CO2 flows column M). "not measured" until a value is entered, never a default OK. The superficial-velocity rule is the secondary line D414.</t>
        </is>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19.913380207541</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IF(O2_excess-strip_avg&gt;0,O2_ceil_C*(V_charge/1000000)/(O2_excess-strip_avg)*60,"never (strip ≥ source)")</f>
        <v>20.385817015456</v>
      </c>
      <c r="E66" s="99" t="inlineStr">
        <is>
          <t xml:space="preserve">As above, crediting time-averaged bubble strip (≈unchanged → bubbles aren't the mechanism). "never" = cleared.</t>
        </is>
      </c>
      <c r="F66" s="20"/>
    </row>
    <row r="67" spans="1:6" x14ac:dyDescent="0.2">
      <c r="A67" s="17" t="inlineStr">
        <is>
          <t xml:space="preserve">(import) Stir-bar speed</t>
        </is>
      </c>
      <c r="B67" s="18" t="s">
        <v>682</v>
      </c>
      <c r="C67" s="19" t="s">
        <v>683</v>
      </c>
      <c r="D67" s="157">
        <f>Summary!$D$7</f>
        <v>1000.0</v>
      </c>
      <c r="E67" s="68" t="inlineStr">
        <is>
          <t xml:space="preserve">→ Summary (stir_rpm_set). Pioreactor stir setpoint. RPM floor ~125 (stalls below).</t>
        </is>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0.0001368951385348</v>
      </c>
      <c r="E73" s="69" t="s">
        <v>1002</v>
      </c>
      <c r="F73" s="20"/>
    </row>
    <row r="74" spans="1:6" ht="24" customHeight="1" x14ac:dyDescent="0.2">
      <c r="A74" s="17" t="s">
        <v>700</v>
      </c>
      <c r="B74" s="18" t="s">
        <v>701</v>
      </c>
      <c r="C74" s="19" t="s">
        <v>110</v>
      </c>
      <c r="D74" s="48">
        <f>IF(O2_excess&gt;0,surf_strip/O2_excess,NA())</f>
        <v>8.602704099515</v>
      </c>
      <c r="E74" s="69" t="s">
        <v>702</v>
      </c>
      <c r="F74" s="20"/>
    </row>
    <row r="75" spans="1:6" ht="24" customHeight="1" x14ac:dyDescent="0.2">
      <c r="A75" s="17"/>
      <c r="B75" s="18"/>
      <c r="C75" s="19"/>
      <c r="D75" s="48"/>
      <c r="E75" s="99"/>
      <c r="F75" s="20"/>
    </row>
    <row r="76" spans="1:6" ht="36" x14ac:dyDescent="0.2">
      <c r="A76" s="17"/>
      <c r="B76" s="18"/>
      <c r="C76" s="19"/>
      <c r="D76" s="48"/>
      <c r="E76" s="69"/>
      <c r="F76" s="20"/>
    </row>
    <row r="77" spans="1:6" x14ac:dyDescent="0.2">
      <c r="A77" s="17" t="s">
        <v>708</v>
      </c>
      <c r="B77" s="18" t="s">
        <v>709</v>
      </c>
      <c r="C77" s="19" t="s">
        <v>67</v>
      </c>
      <c r="D77" s="48">
        <f>headspace_V*spg_int/V_pulse</f>
        <v>8.95302011459</v>
      </c>
      <c r="E77" s="99" t="inlineStr">
        <is>
          <t xml:space="preserve">Mean time to deliver one headspace volume of CO₂: the interval × headspace ÷ pulse volume (D411).</t>
        </is>
      </c>
      <c r="F77" s="20"/>
    </row>
    <row r="78" spans="1:6" ht="26" customHeight="1" x14ac:dyDescent="0.2">
      <c r="A78" s="17" t="s">
        <v>711</v>
      </c>
      <c r="B78" s="18" t="s">
        <v>712</v>
      </c>
      <c r="C78" s="19" t="s">
        <v>110</v>
      </c>
      <c r="D78" s="48">
        <f>IF(O2_excess&gt;0,(strip_avg+surf_strip)/O2_excess,NA())</f>
        <v>8.625878878704</v>
      </c>
      <c r="E78" s="118" t="s">
        <v>713</v>
      </c>
      <c r="F78" s="20"/>
    </row>
    <row r="79" spans="1:6" x14ac:dyDescent="0.2">
      <c r="A79" s="17" t="s">
        <v>714</v>
      </c>
      <c r="B79" s="18" t="s">
        <v>715</v>
      </c>
      <c r="C79" s="19" t="s">
        <v>67</v>
      </c>
      <c r="D79" s="48">
        <f>O2_ceil_C*(V_charge/1000000)/O2_net_gen*60</f>
        <v>6.353729072676</v>
      </c>
      <c r="E79" s="99" t="s">
        <v>716</v>
      </c>
      <c r="F79" s="20"/>
    </row>
    <row r="80" spans="1:6" ht="36" customHeight="1" x14ac:dyDescent="0.2">
      <c r="A80" s="17" t="s">
        <v>717</v>
      </c>
      <c r="B80" s="18" t="s">
        <v>718</v>
      </c>
      <c r="C80" s="19" t="s">
        <v>67</v>
      </c>
      <c r="D80" s="48" t="str">
        <f>IF(O2_net_gen-strip_avg-surf_strip&gt;0,O2_ceil_C*(V_charge/1000000)/(O2_net_gen-strip_avg-surf_strip)*60,"never (removal ≥ source)")</f>
        <v>never (removal ≥ source)</v>
      </c>
      <c r="E80" s="69" t="inlineStr">
        <is>
          <t xml:space="preserve">Companion to t_O2_ceiling_lag crediting BOTH removal paths at their best-case ceiling driving force. Best-case diagnostic only: surf_strip is the ~375%-uncertain surface proxy, so this cell must never gate a schedule or a guard. "never" = removal exceeds the source at that best case.</t>
        </is>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6.930722594878e-05</v>
      </c>
      <c r="E86" s="99" t="s">
        <v>733</v>
      </c>
      <c r="F86" s="20"/>
    </row>
    <row r="87" spans="1:6" ht="24" customHeight="1" x14ac:dyDescent="0.2">
      <c r="A87" s="17" t="s">
        <v>734</v>
      </c>
      <c r="B87" s="18" t="s">
        <v>735</v>
      </c>
      <c r="C87" s="19" t="s">
        <v>135</v>
      </c>
      <c r="D87" s="48">
        <f>O2_src_guard/(target_DO_frac*(O2_ceil_Pa/P_atm))/(nCO2_rate*3600)</f>
        <v>0.001500645892</v>
      </c>
      <c r="E87" s="99" t="s">
        <v>1063</v>
      </c>
      <c r="F87" s="20"/>
    </row>
    <row r="88" spans="1:6" ht="24" customHeight="1" x14ac:dyDescent="0.2">
      <c r="A88" s="17" t="s">
        <v>736</v>
      </c>
      <c r="B88" s="18" t="s">
        <v>737</v>
      </c>
      <c r="C88" s="19" t="s">
        <v>135</v>
      </c>
      <c r="D88" s="48">
        <f>MAX(duty_carbon,duty_O2vent)</f>
        <v>0.001500645892</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inlineStr">
        <is>
          <t xml:space="preserve">Max interval — legacy O₂ flush guard (fallback)</t>
        </is>
      </c>
      <c r="B89" s="18" t="s">
        <v>739</v>
      </c>
      <c r="C89" s="19" t="s">
        <v>67</v>
      </c>
      <c r="D89" s="48">
        <f>target_DO_frac*O2_ceil_C*(V_charge/1000000)/O2_src_guard*60</f>
        <v>1.436495268605</v>
      </c>
      <c r="E89" s="99" t="inlineStr">
        <is>
          <t xml:space="preserve">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is>
      </c>
      <c r="F89" s="20"/>
    </row>
    <row r="90" spans="1:6" x14ac:dyDescent="0.2">
      <c r="A90" s="17" t="s">
        <v>740</v>
      </c>
      <c r="B90" s="18" t="s">
        <v>741</v>
      </c>
      <c r="C90" s="19" t="s">
        <v>13</v>
      </c>
      <c r="D90" s="48">
        <f>MAX(pulse_floor,(flush_factor*headspace_V-pulse_V0)/Q_CO2_fit)</f>
        <v>0.674076519917</v>
      </c>
      <c r="E90" s="159" t="inlineStr">
        <is>
          <t xml:space="preserve">ANSWER. Shortest reliable pulse: the time at which V₀ + Q_fit·t delivers flush_factor headspace volumes (R2-M3), never below the solenoid floor (pulse_floor).</t>
        </is>
      </c>
      <c r="F90" s="20"/>
    </row>
    <row r="91" spans="1:6" ht="24" customHeight="1" x14ac:dyDescent="0.2">
      <c r="A91" s="17" t="s">
        <v>743</v>
      </c>
      <c r="B91" s="18" t="s">
        <v>744</v>
      </c>
      <c r="C91" s="19" t="s">
        <v>67</v>
      </c>
      <c r="D91" s="48">
        <f>IF(ISNA(F_vent_ex+O2_src_sched),NA(),IF(ISNUMBER(spg_int_DO),MIN(spg_int_carbon,spg_int_DO),MIN(spg_int_carbon,spg_int_max)))</f>
        <v>8.95302011459</v>
      </c>
      <c r="E91" s="159" t="inlineStr">
        <is>
          <t xml:space="preserve">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is>
      </c>
      <c r="F91" s="20"/>
    </row>
    <row r="92" spans="1:6" x14ac:dyDescent="0.2">
      <c r="A92" s="17" t="s">
        <v>745</v>
      </c>
      <c r="B92" s="18" t="s">
        <v>746</v>
      </c>
      <c r="C92" s="19" t="s">
        <v>13</v>
      </c>
      <c r="D92" s="48">
        <f>spg_int_opt*60</f>
        <v>537.181206875374</v>
      </c>
      <c r="E92" s="159" t="s">
        <v>747</v>
      </c>
      <c r="F92" s="20"/>
    </row>
    <row r="93" spans="1:6" x14ac:dyDescent="0.2">
      <c r="A93" s="17" t="inlineStr">
        <is>
          <t xml:space="preserve">  resulting duty (full-flow equivalent)</t>
        </is>
      </c>
      <c r="B93" s="18" t="s">
        <v>749</v>
      </c>
      <c r="C93" s="19" t="s">
        <v>135</v>
      </c>
      <c r="D93" s="48">
        <f>spg_dur_eq_opt/(spg_int_opt*60)</f>
        <v>0.001460425346</v>
      </c>
      <c r="E93" s="99" t="inlineStr">
        <is>
          <t xml:space="preserve">CO₂ actually delivered at the optimum as a fraction of continuous full flow: the full-flow-equivalent pulse (D409) over the interval. With a pulse intercept this exceeds the valve-open fraction (D105).</t>
        </is>
      </c>
      <c r="F93" s="20"/>
    </row>
    <row r="94" spans="1:6" ht="36" x14ac:dyDescent="0.2">
      <c r="A94" s="17" t="s">
        <v>751</v>
      </c>
      <c r="B94" s="18" t="s">
        <v>752</v>
      </c>
      <c r="C94" s="19" t="s">
        <v>135</v>
      </c>
      <c r="D94" s="48"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0.0007156055654322</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0.001254840101</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inlineStr">
        <is>
          <t xml:space="preserve">Cycle-mean DO at the schedule in use (sawtooth model, sizing phase)</t>
        </is>
      </c>
      <c r="B108" s="20" t="s">
        <v>783</v>
      </c>
      <c r="C108" s="20" t="s">
        <v>102</v>
      </c>
      <c r="D108" s="28">
        <f>DO_avg_sched*M_O2</f>
        <v>2.543598660379</v>
      </c>
      <c r="E108" s="160"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is>
      </c>
      <c r="F108" s="20"/>
    </row>
    <row r="109" spans="1:6" x14ac:dyDescent="0.2">
      <c r="A109" s="20"/>
      <c r="B109" s="20"/>
      <c r="C109" s="20"/>
      <c r="D109" s="28"/>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spg_dur_eq_opt/(60*duty_carbon)</f>
        <v>188.655905904325</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(189 min) the cycle-mean DO would be ≈15 mg/L, above the 11.3 mg/L inhibition ceiling (peaks higher)</v>
      </c>
      <c r="E113" s="82" t="inlineStr">
        <is>
          <t xml:space="preserve">Tests the carbon-limited interval against the same DO balance the schedule uses (D232, cycle mean), and states it against the inhibition ceiling when it exceeds it.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IF(AND(ISNUMBER(override_spg_dur_s),override_spg_dur_s&gt;0),override_spg_dur_s,IF(sched_mode="Manual",spg_dur_man,IF(sched_mode="Optimal",spg_dur_opt,NA())))</f>
        <v>0.674076519917</v>
      </c>
      <c r="E121" s="20"/>
      <c r="F121" s="20"/>
    </row>
    <row r="122" spans="1:6" x14ac:dyDescent="0.2">
      <c r="A122" s="20" t="s">
        <v>811</v>
      </c>
      <c r="B122" s="20" t="s">
        <v>812</v>
      </c>
      <c r="C122" s="20" t="s">
        <v>67</v>
      </c>
      <c r="D122" s="28">
        <f>IF(AND(ISNUMBER(override_spg_int_min),override_spg_int_min&gt;0),override_spg_int_min,IF(sched_mode="Manual",spg_int_man,IF(sched_mode="Optimal",spg_int_opt,NA())))</f>
        <v>8.95302011459</v>
      </c>
      <c r="E122" s="20"/>
      <c r="F122" s="20"/>
    </row>
    <row r="123" spans="1:6" x14ac:dyDescent="0.2">
      <c r="A123" s="20" t="s">
        <v>813</v>
      </c>
      <c r="B123" s="20" t="s">
        <v>814</v>
      </c>
      <c r="C123" s="20" t="s">
        <v>815</v>
      </c>
      <c r="D123" s="28">
        <f>P_atm*(V_pulse/1000000)/(R_gas*T_K)</f>
        <v>0.0001067805170238</v>
      </c>
      <c r="E123" s="20" t="inlineStr">
        <is>
          <t xml:space="preserve">Ideal-gas moles in the pulse volume V₀ + Q_fit·t (D411), so the fixed solenoid volume is counted (R2-M3).</t>
        </is>
      </c>
      <c r="F123" s="20"/>
    </row>
    <row r="124" spans="1:6" x14ac:dyDescent="0.2">
      <c r="A124" s="20" t="s">
        <v>816</v>
      </c>
      <c r="B124" s="20" t="s">
        <v>817</v>
      </c>
      <c r="C124" s="20" t="s">
        <v>818</v>
      </c>
      <c r="D124" s="28">
        <f>60/spg_int</f>
        <v>6.701649190112</v>
      </c>
      <c r="E124" s="20"/>
      <c r="F124" s="20"/>
    </row>
    <row r="125" spans="1:6" x14ac:dyDescent="0.2">
      <c r="A125" s="20" t="s">
        <v>819</v>
      </c>
      <c r="B125" s="20" t="s">
        <v>820</v>
      </c>
      <c r="C125" s="20" t="s">
        <v>821</v>
      </c>
      <c r="D125" s="28">
        <f>pulses_h*24</f>
        <v>160.8395805627</v>
      </c>
      <c r="E125" s="20"/>
      <c r="F125" s="20"/>
    </row>
    <row r="126" spans="1:6" x14ac:dyDescent="0.2">
      <c r="A126" s="20" t="s">
        <v>822</v>
      </c>
      <c r="B126" s="20" t="s">
        <v>823</v>
      </c>
      <c r="C126" s="20" t="s">
        <v>110</v>
      </c>
      <c r="D126" s="28">
        <f>IF(CO2_cons&gt;0,CO2_supply/CO2_cons,NA())</f>
        <v>42.143523300455</v>
      </c>
      <c r="E126" s="20"/>
      <c r="F126" s="20"/>
    </row>
    <row r="127" spans="1:6" x14ac:dyDescent="0.2">
      <c r="A127" s="20" t="s">
        <v>824</v>
      </c>
      <c r="B127" s="20" t="s">
        <v>825</v>
      </c>
      <c r="C127" s="20" t="s">
        <v>815</v>
      </c>
      <c r="D127" s="28">
        <f>O2_excess/60*spg_int</f>
        <v>2.374495497218e-06</v>
      </c>
      <c r="E127" s="20"/>
      <c r="F127" s="20"/>
    </row>
    <row r="128" spans="1:6" x14ac:dyDescent="0.2">
      <c r="A128" s="20" t="s">
        <v>826</v>
      </c>
      <c r="B128" s="20" t="s">
        <v>827</v>
      </c>
      <c r="C128" s="20" t="s">
        <v>815</v>
      </c>
      <c r="D128" s="28">
        <f>strip_sparge/3600*spg_dur</f>
        <v>5.502840883265e-08</v>
      </c>
      <c r="E128" s="20"/>
      <c r="F128" s="20"/>
    </row>
    <row r="129" spans="1:6" x14ac:dyDescent="0.2">
      <c r="A129" s="20" t="s">
        <v>828</v>
      </c>
      <c r="B129" s="20" t="s">
        <v>829</v>
      </c>
      <c r="C129" s="20" t="s">
        <v>110</v>
      </c>
      <c r="D129" s="28">
        <f>IF(O2_accum&gt;0,O2_strip_pulse/O2_accum,NA())</f>
        <v>0.023174779189</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0.0001292730786929</v>
      </c>
      <c r="E131" s="147" t="s">
        <v>1825</v>
      </c>
      <c r="F131" s="20"/>
    </row>
    <row r="132" spans="1:6" ht="24" x14ac:dyDescent="0.2">
      <c r="A132" s="17" t="s">
        <v>989</v>
      </c>
      <c r="B132" s="18" t="s">
        <v>990</v>
      </c>
      <c r="C132" s="19" t="s">
        <v>991</v>
      </c>
      <c r="D132" s="28">
        <f>O2_net_gen</f>
        <v>4.987344109764e-05</v>
      </c>
      <c r="E132" s="69" t="s">
        <v>992</v>
      </c>
      <c r="F132" s="20"/>
    </row>
    <row r="133" spans="1:6" x14ac:dyDescent="0.2">
      <c r="A133" s="17" t="inlineStr">
        <is>
          <t xml:space="preserve">Cycle-mean DO (sawtooth, sizing phase)</t>
        </is>
      </c>
      <c r="B133" s="18" t="s">
        <v>994</v>
      </c>
      <c r="C133" s="19" t="s">
        <v>995</v>
      </c>
      <c r="D133" s="28">
        <f>DO_avg_sched</f>
        <v>0.079492426413</v>
      </c>
      <c r="E133" s="69" t="inlineStr">
        <is>
          <t xml:space="preserve">Cycle-mean dissolved O₂ of the sawtooth model on the sizing phase in mol/m³ (= DO_avg_sched, D372; D108 is the same in mg/L). One DO definition per statistic: mean = DO_avg_*, peak = DO_peak_*; the flux-mean (mean-field) form appears only as the labelled cross-check rows 340/361.</t>
        </is>
      </c>
      <c r="F133" s="20"/>
    </row>
    <row r="134" spans="1:6" ht="48" x14ac:dyDescent="0.2">
      <c r="A134" s="20" t="s">
        <v>996</v>
      </c>
      <c r="B134" s="20" t="s">
        <v>997</v>
      </c>
      <c r="C134" s="20" t="s">
        <v>998</v>
      </c>
      <c r="D134" s="28"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9.0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inlineStr">
        <is>
          <t xml:space="preserve">Cycle-mean DO (LAG source, sawtooth)</t>
        </is>
      </c>
      <c r="B135" s="20" t="s">
        <v>1000</v>
      </c>
      <c r="C135" s="20" t="s">
        <v>1001</v>
      </c>
      <c r="D135" s="28">
        <f>DO_avg_l</f>
        <v>0.206435018988</v>
      </c>
      <c r="E135" s="69" t="inlineStr">
        <is>
          <t xml:space="preserve">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is>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inlineStr">
        <is>
          <t xml:space="preserve">Headspace air exchange ("Air exchange" model)</t>
        </is>
      </c>
      <c r="B142" s="18" t="s">
        <v>1169</v>
      </c>
      <c r="C142" s="19" t="s">
        <v>361</v>
      </c>
      <c r="D142" s="131">
        <v>0.5</v>
      </c>
      <c r="E142" s="69" t="inlineStr">
        <is>
          <t xml:space="preserve">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0"/>
    </row>
    <row r="143" spans="1:6" x14ac:dyDescent="0.2">
      <c r="A143" s="17" t="inlineStr">
        <is>
          <t xml:space="preserve">Headspace turnover between pulses</t>
        </is>
      </c>
      <c r="B143" s="18" t="s">
        <v>1172</v>
      </c>
      <c r="C143" s="19" t="s">
        <v>639</v>
      </c>
      <c r="D143" s="48">
        <f>F_gap_sched/3600/n_hs_gas</f>
        <v>9.569640057845e-05</v>
      </c>
      <c r="E143" s="67" t="inlineStr">
        <is>
          <t xml:space="preserve">First-order headspace clearance between pulses from the ONE vent balance (§300): exchange flow plus net evolved gas, over the headspace inventory. Zero when nothing leaves between pulses (outflow-only vent, growth phase).</t>
        </is>
      </c>
      <c r="F143" s="20"/>
    </row>
    <row r="144" spans="1:6" x14ac:dyDescent="0.2">
      <c r="A144" s="17" t="s">
        <v>1174</v>
      </c>
      <c r="B144" s="18" t="s">
        <v>1175</v>
      </c>
      <c r="C144" s="19" t="s">
        <v>67</v>
      </c>
      <c r="D144" s="48">
        <f>IF(k_vent&gt;0,1/k_vent/60,"none between pulses")</f>
        <v>174.161897061142</v>
      </c>
      <c r="E144" s="67" t="inlineStr">
        <is>
          <t xml:space="preserve">Time constant for the headspace to clear between pulses; "none between pulses" when nothing leaves between pulses (outflow-only vent, growth phase), so only the pulses clear it.</t>
        </is>
      </c>
      <c r="F144" s="20"/>
    </row>
    <row r="145" spans="1:6" x14ac:dyDescent="0.2">
      <c r="A145" s="17" t="s">
        <v>1139</v>
      </c>
      <c r="B145" s="18" t="s">
        <v>1140</v>
      </c>
      <c r="C145" s="19" t="s">
        <v>460</v>
      </c>
      <c r="D145" s="48">
        <f>hs_H_CO2*P_dry</f>
        <v>32.39387710822</v>
      </c>
      <c r="E145" s="67" t="inlineStr">
        <is>
          <t xml:space="preserve">Henry-law dissolved CO₂ under a pure-CO₂ headspace, on the dry-gas basis (P_dry, D418).</t>
        </is>
      </c>
      <c r="F145" s="20"/>
    </row>
    <row r="146" spans="1:6" x14ac:dyDescent="0.2">
      <c r="A146" s="17" t="s">
        <v>1141</v>
      </c>
      <c r="B146" s="18" t="s">
        <v>1142</v>
      </c>
      <c r="C146" s="19" t="s">
        <v>460</v>
      </c>
      <c r="D146" s="48">
        <f>hs_H_CO2*pCO2_air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kLa_surf_used*sqrtD_CO2</f>
        <v>0.007058740843</v>
      </c>
      <c r="E148" s="67" t="inlineStr">
        <is>
          <t xml:space="preserve">Surface kLa for CO₂ between pulses (surface path), scaled from the O₂ value in use (kLa_surf_used) so a measured surface kLa also reaches the CO₂ side.</t>
        </is>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0.674076519917</v>
      </c>
      <c r="E151" s="67" t="s">
        <v>1189</v>
      </c>
      <c r="F151" s="20"/>
    </row>
    <row r="152" spans="1:6" x14ac:dyDescent="0.2">
      <c r="A152" s="17" t="s">
        <v>1147</v>
      </c>
      <c r="B152" s="18" t="s">
        <v>1148</v>
      </c>
      <c r="C152" s="19" t="s">
        <v>13</v>
      </c>
      <c r="D152" s="48">
        <f>MAX(0,spg_int*60-spg_dur)</f>
        <v>536.507130355457</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0.02896589844</v>
      </c>
      <c r="E162" s="67" t="s">
        <v>1859</v>
      </c>
      <c r="F162" s="20"/>
    </row>
    <row r="163" spans="1:6" x14ac:dyDescent="0.2">
      <c r="A163" s="17" t="s">
        <v>1209</v>
      </c>
      <c r="B163" s="18" t="s">
        <v>1210</v>
      </c>
      <c r="C163" s="19" t="s">
        <v>135</v>
      </c>
      <c r="D163" s="48" t="str">
        <f>IF(ISTEXT(tau_hs),"no vent turnover between pulses (OK)",IF(tau_hs&gt;=tau_surf_floor,"vent turnover slower than the surface (OK)","WARNING: the vent turns the headspace over faster than the surface relaxes the liquid"))</f>
        <v>vent turnover slower than the surface (OK)</v>
      </c>
      <c r="E163" s="67" t="inlineStr">
        <is>
          <t xml:space="preserve">Confirms the headspace turnover between pulses is slower than the liquid's surface relaxation, as the CO₂ pool's quasi-equilibrium assumes; trivially true when nothing leaves between pulses.</t>
        </is>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IF(ISNUMBER(DO_opt),DO_opt/M_O2,target_DO_frac*O2_ceil_C)</f>
        <v>0.079603291295</v>
      </c>
      <c r="E179" s="99" t="inlineStr">
        <is>
          <t xml:space="preserve">The dissolved O₂ the schedule aims to hold: the organism optimum DO_opt (mg/L ÷ M_O2 g/mol = mol/m³) when it is known, otherwise the target fraction of the inhibition ceiling. Avoids a Henry-derived ceiling (11.67 mg/L) that differs from the table’s 11.5 pushing the target above the optimum.</t>
        </is>
      </c>
    </row>
    <row r="180" spans="1:5" ht="36" x14ac:dyDescent="0.2">
      <c r="A180" t="s">
        <v>1796</v>
      </c>
      <c r="B180" s="18" t="s">
        <v>1797</v>
      </c>
      <c r="C180" s="19" t="s">
        <v>1001</v>
      </c>
      <c r="D180" s="141">
        <f>O2_src_sched/(kLa_surf_used*3600*(V_charge/1000000))</f>
        <v>0.040928000854</v>
      </c>
      <c r="E180" s="67" t="inlineStr">
        <is>
          <t xml:space="preserve">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is>
      </c>
    </row>
    <row r="181" spans="1:5" x14ac:dyDescent="0.2">
      <c r="A181" t="s">
        <v>1799</v>
      </c>
      <c r="B181" s="18" t="s">
        <v>1800</v>
      </c>
      <c r="C181" s="19" t="s">
        <v>1001</v>
      </c>
      <c r="D181" s="141">
        <f>O2_net_gen/(kLa_surf_used*3600*(V_charge/1000000))</f>
        <v>0.128273464734</v>
      </c>
      <c r="E181" s="67" t="s">
        <v>1801</v>
      </c>
    </row>
    <row r="182" spans="1:5" ht="36" x14ac:dyDescent="0.2">
      <c r="A182" t="s">
        <v>1802</v>
      </c>
      <c r="B182" s="18" t="s">
        <v>1803</v>
      </c>
      <c r="C182" s="19" t="s">
        <v>1001</v>
      </c>
      <c r="D182" s="141">
        <f>DO_target-DO_surf_excess</f>
        <v>0.038675290442</v>
      </c>
      <c r="E182" s="67" t="s">
        <v>1804</v>
      </c>
    </row>
    <row r="183" spans="1:5" ht="24" x14ac:dyDescent="0.2">
      <c r="A183" t="s">
        <v>1805</v>
      </c>
      <c r="B183" s="18" t="s">
        <v>1806</v>
      </c>
      <c r="C183" s="19" t="s">
        <v>1274</v>
      </c>
      <c r="D183" s="141">
        <f>IF(hs_O2_allow&gt;0,hs_O2_allow/(H_O2_T*P_dry),NA())</f>
        <v>0.034014723392</v>
      </c>
      <c r="E183" s="67" t="s">
        <v>1807</v>
      </c>
    </row>
    <row r="184" spans="1:5" ht="48" x14ac:dyDescent="0.2">
      <c r="A184" t="s">
        <v>1808</v>
      </c>
      <c r="B184" s="18" t="s">
        <v>1809</v>
      </c>
      <c r="C184" s="19" t="s">
        <v>1274</v>
      </c>
      <c r="D184" s="141">
        <f>IF(ISNUMBER(y_O2_star),MAX(0,((O2_src_sched+y_O2_air*F_vent_ex)*saw_factor/y_O2_star-F_vent_ex-O2_src_sched-H2_src_sched+CO2_fix_sched)/CO2_rate_full),NA())</f>
        <v>0.001460425346</v>
      </c>
      <c r="E184" s="67" t="inlineStr">
        <is>
          <t xml:space="preserve">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is>
      </c>
    </row>
    <row r="185" spans="1:5" ht="24" x14ac:dyDescent="0.2">
      <c r="A185" t="s">
        <v>1811</v>
      </c>
      <c r="B185" s="18" t="s">
        <v>1812</v>
      </c>
      <c r="C185" s="19" t="s">
        <v>962</v>
      </c>
      <c r="D185" s="141">
        <f>IF(ISNUMBER(duty_DO),IF(duty_DO&gt;0,spg_dur_eq_opt/(60*duty_DO),spg_int_carbon),NA())</f>
        <v>8.95302011459</v>
      </c>
      <c r="E185" s="67" t="s">
        <v>1813</v>
      </c>
    </row>
    <row r="186" spans="1:5" ht="36" x14ac:dyDescent="0.2">
      <c r="A186" t="s">
        <v>1814</v>
      </c>
      <c r="B186" s="18" t="s">
        <v>1815</v>
      </c>
      <c r="C186" s="19" t="s">
        <v>639</v>
      </c>
      <c r="D186" s="141">
        <f>O2_src_sched/(DO_target*3600*(V_charge/1000000))</f>
        <v>0.003701930458</v>
      </c>
      <c r="E186" s="67" t="inlineStr">
        <is>
          <t xml:space="preserve">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is>
      </c>
    </row>
    <row r="187" spans="1:5" ht="36" x14ac:dyDescent="0.2">
      <c r="A187" t="s">
        <v>1817</v>
      </c>
      <c r="B187" s="18" t="s">
        <v>1818</v>
      </c>
      <c r="C187" s="19" t="s">
        <v>1274</v>
      </c>
      <c r="D187" s="141">
        <f>IF(O2_sizing_phase=phase_name_1,y_O2_mf_g,IF(O2_sizing_phase=phase_name_2,y_O2_mf_l,NA()))</f>
        <v>0.031437574558</v>
      </c>
      <c r="E187" s="67" t="inlineStr">
        <is>
          <t xml:space="preserve">Flux-mean headspace O₂ fraction at the schedule in use, from the ONE vent balance (§300) on the sizing phase: includes air O₂ ingress in "Air exchange", the H₂ diluent in "Lag", and the fixation sink. The CO₂ pool (§190) and the flammability block (Biology 83–88) now use the same balance.</t>
        </is>
      </c>
    </row>
    <row r="188" spans="1:5" ht="36" x14ac:dyDescent="0.2">
      <c r="A188" t="s">
        <v>1820</v>
      </c>
      <c r="B188" s="18" t="s">
        <v>1821</v>
      </c>
      <c r="C188" s="19" t="s">
        <v>1001</v>
      </c>
      <c r="D188" s="141">
        <f>IF(ISNUMBER(y_O2_actual),H_O2_T*y_O2_actual*P_dry,NA())</f>
        <v>0.03574503055</v>
      </c>
      <c r="E188" s="67" t="inlineStr">
        <is>
          <t xml:space="preserve">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is>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V_L_CO2/(V_L_CO2+Vg_CO2)</f>
        <v>0.844315888516</v>
      </c>
      <c r="E193" s="99" t="inlineStr">
        <is>
          <t xml:space="preserve">Fraction of a pooled CO₂ inventory that ends up in the liquid, counting the bicarbonate the absorbed CO₂ forms (V_L_CO2 = DIC_cap × V_L, D416).</t>
        </is>
      </c>
    </row>
    <row r="194" spans="1:5" ht="48" x14ac:dyDescent="0.2">
      <c r="A194" t="inlineStr">
        <is>
          <t xml:space="preserve">CO₂ retained in the headspace by a pulse, as pool concentration</t>
        </is>
      </c>
      <c r="B194" s="18" t="s">
        <v>1840</v>
      </c>
      <c r="C194" s="19" t="s">
        <v>1001</v>
      </c>
      <c r="D194" s="141">
        <f>C_sat_CO2*(1-pool_a)*(1-flush_ret)</f>
        <v>3.187917972005</v>
      </c>
      <c r="E194" s="99" t="inlineStr">
        <is>
          <t xml:space="preserve">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is>
      </c>
    </row>
    <row r="195" spans="1:5" ht="24" x14ac:dyDescent="0.2">
      <c r="A195" t="s">
        <v>1841</v>
      </c>
      <c r="B195" s="18" t="s">
        <v>1842</v>
      </c>
      <c r="C195" s="19" t="s">
        <v>639</v>
      </c>
      <c r="D195" s="141">
        <f>k_vent*Vg_CO2/(V_L_CO2+Vg_CO2)</f>
        <v>1.489840909629e-05</v>
      </c>
      <c r="E195" s="99" t="inlineStr">
        <is>
          <t xml:space="preserve">Only the headspace share of the pool is exposed to what leaves between pulses (k_vent, now from the shared vent balance), so the whole inventory decays at that rate scaled by the share. Zero for an outflow-only vent in growth: then only fixation drains the pool (pool_D_raw).</t>
        </is>
      </c>
    </row>
    <row r="196" spans="1:5" ht="36" x14ac:dyDescent="0.2">
      <c r="A196" t="s">
        <v>1844</v>
      </c>
      <c r="B196" s="18" t="s">
        <v>1845</v>
      </c>
      <c r="C196" s="19" t="s">
        <v>110</v>
      </c>
      <c r="D196" s="141">
        <f>IF(k_vent&gt;0,(kLa_CO2_off*V_L_m3/Vg_CO2)/k_vent,"no turnover between pulses")</f>
        <v>346.46664161513</v>
      </c>
      <c r="E196" s="67" t="inlineStr">
        <is>
          <t xml:space="preserve">Liquid-uptake rate constant ÷ headspace turnover between pulses. Well above 1 means the two compartments stay in quasi-equilibrium, which the pool model assumes; text when nothing leaves between pulses (outflow-only growth case).</t>
        </is>
      </c>
    </row>
    <row r="197" spans="1:5" x14ac:dyDescent="0.2">
      <c r="A197" t="s">
        <v>1847</v>
      </c>
      <c r="B197" s="18" t="s">
        <v>1848</v>
      </c>
      <c r="C197" s="19" t="s">
        <v>1274</v>
      </c>
      <c r="D197" s="141">
        <f>EXP(-k_eff_CO2*t_off_CO2)</f>
        <v>0.992038757191</v>
      </c>
      <c r="E197" s="99" t="s">
        <v>1849</v>
      </c>
    </row>
    <row r="198" spans="1:5" x14ac:dyDescent="0.2">
      <c r="A198" t="s">
        <v>1850</v>
      </c>
      <c r="B198" s="18" t="s">
        <v>1851</v>
      </c>
      <c r="C198" s="19" t="s">
        <v>1001</v>
      </c>
      <c r="D198" s="141">
        <f>(pool_D_gap+pool_b*pool_e)/(1-pool_ret*pool_e)</f>
        <v>28.788742057202</v>
      </c>
      <c r="E198" s="99" t="inlineStr">
        <is>
          <t xml:space="preserve">Fixed point of the limit cycle: decay over the gap toward the vent/fixation asymptote (pool_D_gap), then a pulse that keeps pool_ret of the pool and adds pool_b, repeated. With an air-exchange vent and no fixation it is the previous (C_air(1−e)+b·e)/(1−a·e).</t>
        </is>
      </c>
    </row>
    <row r="199" spans="1:5" ht="24" x14ac:dyDescent="0.2">
      <c r="A199" t="s">
        <v>1853</v>
      </c>
      <c r="B199" s="18" t="s">
        <v>1854</v>
      </c>
      <c r="C199" s="19" t="s">
        <v>1001</v>
      </c>
      <c r="D199" s="141">
        <f>pool_ret*C_cycle_start+pool_b</f>
        <v>29.14352746255</v>
      </c>
      <c r="E199" s="99" t="inlineStr">
        <is>
          <t xml:space="preserve">After the pulse and the fast headspace-to-liquid equilibration (tens of seconds): the retained pool plus the fresh CO₂.</t>
        </is>
      </c>
    </row>
    <row r="200" spans="1:5" x14ac:dyDescent="0.2">
      <c r="A200" t="s">
        <v>1856</v>
      </c>
      <c r="B200" s="18" t="s">
        <v>1857</v>
      </c>
      <c r="C200" s="19" t="s">
        <v>1001</v>
      </c>
      <c r="D200" s="141">
        <f>C_cycle_peak*pool_phi+pool_D_raw*pool_psi</f>
        <v>28.965898440445</v>
      </c>
      <c r="E200" s="99" t="inlineStr">
        <is>
          <t xml:space="preserve">Time-average of the decay over the gap, written with Φ/Ψ so the no-turnover case (outflow-only vent, growth) is the linear-drain limit rather than 0/0. This is what the pH solve consumes (Chemistry D5 via D162).</t>
        </is>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Cycle-mean DO if the interval relaxed to the carbon-limited one</t>
        </is>
      </c>
      <c r="B232" s="18" t="inlineStr">
        <is>
          <t xml:space="preserve">DO_at_carbon</t>
        </is>
      </c>
      <c r="C232" s="19" t="inlineStr">
        <is>
          <t xml:space="preserve">mol/m³</t>
        </is>
      </c>
      <c r="D232" s="141">
        <f>IF(F_vent_ex+CO2_rate_full*duty_carbon+O2_src_sched+H2_src_sched-CO2_fix_sched&gt;0,DO_surf_excess+H_O2_T*P_dry*MIN(1,saw_factor*(O2_src_sched+y_O2_air*F_vent_ex)/(F_vent_ex+CO2_rate_full*duty_carbon+O2_src_sched+H2_src_sched-CO2_fix_sched)),DO_surf_excess+H_O2_T*P_dry)</f>
        <v>0.457945290479</v>
      </c>
      <c r="E232" s="99" t="inlineStr">
        <is>
          <t xml:space="preserve">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is>
      </c>
    </row>
    <row r="240">
      <c r="A240" s="5" t="inlineStr">
        <is>
          <t xml:space="preserve">AS-RUN PULSE (solenoid command resolution)</t>
        </is>
      </c>
    </row>
    <row r="241">
      <c r="A241" t="inlineStr">
        <is>
          <t xml:space="preserve">Solenoid pulse command resolution</t>
        </is>
      </c>
      <c r="B241" s="18" t="inlineStr">
        <is>
          <t xml:space="preserve">pulse_res</t>
        </is>
      </c>
      <c r="C241" s="19" t="inlineStr">
        <is>
          <t xml:space="preserve">s</t>
        </is>
      </c>
      <c r="D241" s="146">
        <v>0.05</v>
      </c>
      <c r="E241" s="68" t="inlineStr">
        <is>
          <t xml:space="preserve">Design assumption: the dosing command is issued in 0.05 s steps — confirm in the AEP-Plugin dosing code.</t>
        </is>
      </c>
    </row>
    <row r="242">
      <c r="A242" t="inlineStr">
        <is>
          <t xml:space="preserve">Optimal pulse rounded to the command resolution</t>
        </is>
      </c>
      <c r="B242" s="18" t="inlineStr">
        <is>
          <t xml:space="preserve">spg_dur_run</t>
        </is>
      </c>
      <c r="C242" s="19" t="inlineStr">
        <is>
          <t xml:space="preserve">s</t>
        </is>
      </c>
      <c r="D242" s="141">
        <f>MAX(pulse_floor,MROUND(spg_dur_opt,pulse_res))</f>
        <v>0.65</v>
      </c>
      <c r="E242" s="67" t="inlineStr">
        <is>
          <t xml:space="preserve">Pulse as it can actually be commanded; never below the solenoid floor. Summary D14 shows it.</t>
        </is>
      </c>
    </row>
    <row r="300">
      <c r="A300" s="5" t="inlineStr">
        <is>
          <t xml:space="preserve">HEADSPACE BALANCE — one vent model shared by the O₂ block (§177), the CO₂ pool (§190) and the lag-phase flammability block (Biology rows 83–88)</t>
        </is>
      </c>
    </row>
    <row r="301">
      <c r="A301" s="20" t="inlineStr">
        <is>
          <t xml:space="preserve">(import) Vent model</t>
        </is>
      </c>
      <c r="B301" s="20" t="inlineStr">
        <is>
          <t xml:space="preserve">vent_model</t>
        </is>
      </c>
      <c r="C301" s="20" t="inlineStr">
        <is>
          <t xml:space="preserve">-</t>
        </is>
      </c>
      <c r="D301" s="134" t="str">
        <f>Summary!$D$111</f>
        <v>Open vent</v>
      </c>
      <c r="E301" s="135" t="inlineStr">
        <is>
          <t xml:space="preserve">Import from Summary!D111. Owner decision: "Outflow only", "Open vent" or "Air exchange"; anything else returns #N/A by design. Default "Open vent" until the vent hardware is characterised (R2 experiment 1).</t>
        </is>
      </c>
    </row>
    <row r="302">
      <c r="A302" s="17" t="inlineStr">
        <is>
          <t xml:space="preserve">  valid vent model 1</t>
        </is>
      </c>
      <c r="B302" s="18" t="inlineStr">
        <is>
          <t xml:space="preserve">vent_name_1</t>
        </is>
      </c>
      <c r="C302" s="19" t="inlineStr">
        <is>
          <t xml:space="preserve">-</t>
        </is>
      </c>
      <c r="D302" s="131" t="inlineStr">
        <is>
          <t xml:space="preserve">Outflow only</t>
        </is>
      </c>
      <c r="E302" s="37" t="inlineStr">
        <is>
          <t xml:space="preserve">Check valve or sealed cap that HOLDS the vacuum left after each pulse: no air ever enters. The headspace is then diluted only by the CO₂ pulses and by what electrolysis evolves, and it sags below 1 atm between pulses (hs_sag, D389) — which a real cap may not hold.</t>
        </is>
      </c>
    </row>
    <row r="303">
      <c r="A303" s="17" t="inlineStr">
        <is>
          <t xml:space="preserve">  valid vent model 2</t>
        </is>
      </c>
      <c r="B303" s="18" t="inlineStr">
        <is>
          <t xml:space="preserve">vent_name_2</t>
        </is>
      </c>
      <c r="C303" s="19" t="inlineStr">
        <is>
          <t xml:space="preserve">-</t>
        </is>
      </c>
      <c r="D303" s="131" t="inlineStr">
        <is>
          <t xml:space="preserve">Air exchange</t>
        </is>
      </c>
      <c r="E303" s="37" t="inlineStr">
        <is>
          <t xml:space="preserve">Measured bidirectional exchange with room air at Q_vent (D142) — forced or diffusive flow through an open port. Q_vent must then be the TOTAL air ingress, including any per-pulse back-draw.</t>
        </is>
      </c>
    </row>
    <row r="304">
      <c r="A304" s="20" t="inlineStr">
        <is>
          <t xml:space="preserve">(import) O₂ sizing phase</t>
        </is>
      </c>
      <c r="B304" s="20" t="inlineStr">
        <is>
          <t xml:space="preserve">O2_sizing_phase</t>
        </is>
      </c>
      <c r="C304" s="20" t="inlineStr">
        <is>
          <t xml:space="preserve">-</t>
        </is>
      </c>
      <c r="D304" s="134" t="str">
        <f>Summary!$D$112</f>
        <v>Growth</v>
      </c>
      <c r="E304" s="135" t="inlineStr">
        <is>
          <t xml:space="preserve">Import from Summary!D112. Owner decision: "Growth" sizes the schedule on the surplus after knallgas uptake; "Lag" on the whole net electrolytic O₂ with the H₂ as a diluent. Anything else returns #N/A by design. Both phases are always reported (rows 327–369).</t>
        </is>
      </c>
    </row>
    <row r="305">
      <c r="A305" s="17" t="inlineStr">
        <is>
          <t xml:space="preserve">  valid sizing phase 1</t>
        </is>
      </c>
      <c r="B305" s="18" t="inlineStr">
        <is>
          <t xml:space="preserve">phase_name_1</t>
        </is>
      </c>
      <c r="C305" s="19" t="inlineStr">
        <is>
          <t xml:space="preserve">-</t>
        </is>
      </c>
      <c r="D305" s="131" t="inlineStr">
        <is>
          <t xml:space="preserve">Growth</t>
        </is>
      </c>
      <c r="E305" s="37" t="inlineStr">
        <is>
          <t xml:space="preserve">Steady growth: 100 % H₂ uptake (Biology D13), so the O₂ source is O2_excess and no H₂ reaches the headspace.</t>
        </is>
      </c>
    </row>
    <row r="306">
      <c r="A306" s="17" t="inlineStr">
        <is>
          <t xml:space="preserve">  valid sizing phase 2</t>
        </is>
      </c>
      <c r="B306" s="18" t="inlineStr">
        <is>
          <t xml:space="preserve">phase_name_2</t>
        </is>
      </c>
      <c r="C306" s="19" t="inlineStr">
        <is>
          <t xml:space="preserve">-</t>
        </is>
      </c>
      <c r="D306" s="131" t="inlineStr">
        <is>
          <t xml:space="preserve">Lag</t>
        </is>
      </c>
      <c r="E306" s="37" t="inlineStr">
        <is>
          <t xml:space="preserve">Lag / establishment: no uptake, so all net electrolytic O₂ and all H₂ reach the headspace and no CO₂ is fixed.</t>
        </is>
      </c>
    </row>
    <row r="307">
      <c r="A307" s="17" t="inlineStr">
        <is>
          <t xml:space="preserve">Dry-air O₂ mole fraction</t>
        </is>
      </c>
      <c r="B307" s="18" t="inlineStr">
        <is>
          <t xml:space="preserve">y_O2_air</t>
        </is>
      </c>
      <c r="C307" s="19" t="inlineStr">
        <is>
          <t xml:space="preserve">-</t>
        </is>
      </c>
      <c r="D307" s="131">
        <v>0.2095</v>
      </c>
      <c r="E307" s="160" t="inlineStr">
        <is>
          <t xml:space="preserve">Standard dry air, 20.95 vol % O₂ (CRC Handbook; ISO 2533). Enters the balance only in the "Air exchange" vent model.</t>
        </is>
      </c>
    </row>
    <row r="308">
      <c r="A308" s="17" t="inlineStr">
        <is>
          <t xml:space="preserve">Vent air ingress (molar)</t>
        </is>
      </c>
      <c r="B308" s="18" t="inlineStr">
        <is>
          <t xml:space="preserve">F_vent_ex</t>
        </is>
      </c>
      <c r="C308" s="19" t="inlineStr">
        <is>
          <t xml:space="preserve">mol/h</t>
        </is>
      </c>
      <c r="D308" s="48">
        <f>P_atm*(Q_vent_used/1000000/60)/(R_gas*T_K)*3600</f>
        <v>3.67866400719e-05</v>
      </c>
      <c r="E308" s="69" t="inlineStr">
        <is>
          <t xml:space="preserve">Molar air ingress through the vent (ideal gas at P_atm, T_K): Q_vent_used (D386) converted mL/min → mol/h. Zero only for a true check valve ("Outflow only"). Inherits the uncertainty of Q_backdraw / Q_vent — measure it.</t>
        </is>
      </c>
    </row>
    <row r="309">
      <c r="A309" s="17" t="inlineStr">
        <is>
          <t xml:space="preserve">O₂ source — growth phase</t>
        </is>
      </c>
      <c r="B309" s="18" t="inlineStr">
        <is>
          <t xml:space="preserve">O2_src_g</t>
        </is>
      </c>
      <c r="C309" s="19" t="inlineStr">
        <is>
          <t xml:space="preserve">mol/h</t>
        </is>
      </c>
      <c r="D309" s="48">
        <f>O2_excess</f>
        <v>1.591303582585e-05</v>
      </c>
      <c r="E309" s="67" t="inlineStr">
        <is>
          <t xml:space="preserve">Surplus O₂ after full-H₂-uptake respiration (Biology D16). A LOWER bound on the surplus: any H₂ that bubbles off uncaught raises it.</t>
        </is>
      </c>
    </row>
    <row r="310">
      <c r="A310" s="17" t="inlineStr">
        <is>
          <t xml:space="preserve">O₂ source — lag phase</t>
        </is>
      </c>
      <c r="B310" s="18" t="inlineStr">
        <is>
          <t xml:space="preserve">O2_src_l</t>
        </is>
      </c>
      <c r="C310" s="19" t="inlineStr">
        <is>
          <t xml:space="preserve">mol/h</t>
        </is>
      </c>
      <c r="D310" s="48">
        <f>O2_net_gen</f>
        <v>4.987344109764e-05</v>
      </c>
      <c r="E310" s="67" t="inlineStr">
        <is>
          <t xml:space="preserve">Net electrolytic O₂ with no biological uptake (Electrochemistry D29).</t>
        </is>
      </c>
    </row>
    <row r="311">
      <c r="A311" s="20" t="inlineStr">
        <is>
          <t xml:space="preserve">(import) H₂ generation rate</t>
        </is>
      </c>
      <c r="B311" s="20" t="inlineStr">
        <is>
          <t xml:space="preserve">rH2_gen</t>
        </is>
      </c>
      <c r="C311" s="20" t="inlineStr">
        <is>
          <t xml:space="preserve">mol/h</t>
        </is>
      </c>
      <c r="D311" s="142">
        <f>Electrochemistry!$D$21</f>
        <v>0.0001018812158154</v>
      </c>
      <c r="E311" s="135" t="inlineStr">
        <is>
          <t xml:space="preserve">Import from Electrochemistry!D21.</t>
        </is>
      </c>
    </row>
    <row r="312">
      <c r="A312" s="20" t="inlineStr">
        <is>
          <t xml:space="preserve">(import) H₂ consumed</t>
        </is>
      </c>
      <c r="B312" s="20" t="inlineStr">
        <is>
          <t xml:space="preserve">H2_cons</t>
        </is>
      </c>
      <c r="C312" s="20" t="inlineStr">
        <is>
          <t xml:space="preserve">mol/h</t>
        </is>
      </c>
      <c r="D312" s="142">
        <f>Biology!$D$13</f>
        <v>0.0001018812158154</v>
      </c>
      <c r="E312" s="135" t="inlineStr">
        <is>
          <t xml:space="preserve">Import from Biology!D13 (100 % uptake in steady growth).</t>
        </is>
      </c>
    </row>
    <row r="313">
      <c r="A313" s="17" t="inlineStr">
        <is>
          <t xml:space="preserve">H₂ to headspace — growth phase</t>
        </is>
      </c>
      <c r="B313" s="18" t="inlineStr">
        <is>
          <t xml:space="preserve">H2_src_g</t>
        </is>
      </c>
      <c r="C313" s="19" t="inlineStr">
        <is>
          <t xml:space="preserve">mol/h</t>
        </is>
      </c>
      <c r="D313" s="48">
        <f>MAX(0,rH2_gen-H2_HOR_mt-H2_cons)</f>
        <v>0.0</v>
      </c>
      <c r="E313" s="67" t="inlineStr">
        <is>
          <t xml:space="preserve">Residual H₂ reaching the headspace in growth: evolved H₂ less what the anode oxidises (H2_HOR_mt) less uptake; zero under the 100 % uptake assumption. A real residual (cathode bubbles bypassing the liquid) is a DATA GAP — see the off-gas H₂ experiment.</t>
        </is>
      </c>
    </row>
    <row r="314">
      <c r="A314" s="17" t="inlineStr">
        <is>
          <t xml:space="preserve">H₂ to headspace — lag phase</t>
        </is>
      </c>
      <c r="B314" s="18" t="inlineStr">
        <is>
          <t xml:space="preserve">H2_src_l</t>
        </is>
      </c>
      <c r="C314" s="19" t="inlineStr">
        <is>
          <t xml:space="preserve">mol/h</t>
        </is>
      </c>
      <c r="D314" s="48">
        <f>MAX(0,rH2_gen-H2_HOR_mt)</f>
        <v>0.0001018812158154</v>
      </c>
      <c r="E314" s="67" t="inlineStr">
        <is>
          <t xml:space="preserve">All evolved H₂ that the anode does not oxidise (H2_HOR_mt) reaches the headspace before uptake starts.</t>
        </is>
      </c>
    </row>
    <row r="315">
      <c r="A315" s="17" t="inlineStr">
        <is>
          <t xml:space="preserve">CO₂ fixation sink — growth phase</t>
        </is>
      </c>
      <c r="B315" s="18" t="inlineStr">
        <is>
          <t xml:space="preserve">CO2_fix_g</t>
        </is>
      </c>
      <c r="C315" s="19" t="inlineStr">
        <is>
          <t xml:space="preserve">mol/h</t>
        </is>
      </c>
      <c r="D315" s="48">
        <f>CO2_cons</f>
        <v>1.698020263589e-05</v>
      </c>
      <c r="E315" s="67" t="inlineStr">
        <is>
          <t xml:space="preserve">Carbon fixed by the culture (Biology D15) is drawn from the dissolved pool and hence from the headspace.</t>
        </is>
      </c>
    </row>
    <row r="316">
      <c r="A316" s="17" t="inlineStr">
        <is>
          <t xml:space="preserve">CO₂ fixation sink — lag phase</t>
        </is>
      </c>
      <c r="B316" s="18" t="inlineStr">
        <is>
          <t xml:space="preserve">CO2_fix_l</t>
        </is>
      </c>
      <c r="C316" s="19" t="inlineStr">
        <is>
          <t xml:space="preserve">mol/h</t>
        </is>
      </c>
      <c r="D316" s="131">
        <v>0</v>
      </c>
      <c r="E316" s="160" t="inlineStr">
        <is>
          <t xml:space="preserve">By definition of the lag phase: no carbon fixation yet.</t>
        </is>
      </c>
    </row>
    <row r="317">
      <c r="A317" s="17" t="inlineStr">
        <is>
          <t xml:space="preserve">O₂ source — sizing phase</t>
        </is>
      </c>
      <c r="B317" s="18" t="inlineStr">
        <is>
          <t xml:space="preserve">O2_src_sched</t>
        </is>
      </c>
      <c r="C317" s="19" t="inlineStr">
        <is>
          <t xml:space="preserve">mol/h</t>
        </is>
      </c>
      <c r="D317" s="48">
        <f>IF(O2_sizing_phase=phase_name_1,O2_src_g,IF(O2_sizing_phase=phase_name_2,O2_src_l,NA()))</f>
        <v>1.591303582585e-05</v>
      </c>
      <c r="E317" s="67" t="inlineStr">
        <is>
          <t xml:space="preserve">The O₂ source the schedule is sized on, picked by O2_sizing_phase (D304).</t>
        </is>
      </c>
    </row>
    <row r="318">
      <c r="A318" s="17" t="inlineStr">
        <is>
          <t xml:space="preserve">H₂ to headspace — sizing phase</t>
        </is>
      </c>
      <c r="B318" s="18" t="inlineStr">
        <is>
          <t xml:space="preserve">H2_src_sched</t>
        </is>
      </c>
      <c r="C318" s="19" t="inlineStr">
        <is>
          <t xml:space="preserve">mol/h</t>
        </is>
      </c>
      <c r="D318" s="48">
        <f>IF(O2_sizing_phase=phase_name_1,H2_src_g,IF(O2_sizing_phase=phase_name_2,H2_src_l,NA()))</f>
        <v>0.0</v>
      </c>
      <c r="E318" s="67" t="inlineStr">
        <is>
          <t xml:space="preserve">As above, for H₂ (a diluent in the balance).</t>
        </is>
      </c>
    </row>
    <row r="319">
      <c r="A319" s="17" t="inlineStr">
        <is>
          <t xml:space="preserve">CO₂ fixation sink — sizing phase</t>
        </is>
      </c>
      <c r="B319" s="18" t="inlineStr">
        <is>
          <t xml:space="preserve">CO2_fix_sched</t>
        </is>
      </c>
      <c r="C319" s="19" t="inlineStr">
        <is>
          <t xml:space="preserve">mol/h</t>
        </is>
      </c>
      <c r="D319" s="48">
        <f>IF(O2_sizing_phase=phase_name_1,CO2_fix_g,IF(O2_sizing_phase=phase_name_2,CO2_fix_l,NA()))</f>
        <v>1.698020263589e-05</v>
      </c>
      <c r="E319" s="67" t="inlineStr">
        <is>
          <t xml:space="preserve">As above, for the fixation sink.</t>
        </is>
      </c>
    </row>
    <row r="320">
      <c r="A320" s="17" t="inlineStr">
        <is>
          <t xml:space="preserve">Headspace volumes per pulse (optimal pulse)</t>
        </is>
      </c>
      <c r="B320" s="18" t="inlineStr">
        <is>
          <t xml:space="preserve">flush_vol_opt</t>
        </is>
      </c>
      <c r="C320" s="19" t="inlineStr">
        <is>
          <t xml:space="preserve">-</t>
        </is>
      </c>
      <c r="D320" s="48">
        <f>nCO2_rate*spg_dur_eq_opt/n_hs_gas</f>
        <v>1.0</v>
      </c>
      <c r="E320" s="67" t="inlineStr">
        <is>
          <t xml:space="preserve">CO₂ delivered by the optimal pulse (D90) in headspace volumes; = flush_factor unless the solenoid floor binds. Used for sizing, so it must not depend on the schedule in use.</t>
        </is>
      </c>
    </row>
    <row r="321">
      <c r="A321" s="17" t="inlineStr">
        <is>
          <t xml:space="preserve">Headspace retained through the optimal pulse</t>
        </is>
      </c>
      <c r="B321" s="18" t="inlineStr">
        <is>
          <t xml:space="preserve">flush_ret_opt</t>
        </is>
      </c>
      <c r="C321" s="19" t="inlineStr">
        <is>
          <t xml:space="preserve">-</t>
        </is>
      </c>
      <c r="D321" s="48">
        <f>EXP(-flush_vol_opt)</f>
        <v>0.367879441171</v>
      </c>
      <c r="E321" s="68" t="inlineStr">
        <is>
          <t xml:space="preserve">Design assumption: the pulse flushes a WELL-MIXED headspace, so exp(−volumes) of the old gas survives it (plug flow would leave none). The 5 mm-high headspace disk sits between the two; well-mixed is the conservative choice for every dilution verdict here.</t>
        </is>
      </c>
    </row>
    <row r="322">
      <c r="A322" s="17" t="inlineStr">
        <is>
          <t xml:space="preserve">Sawtooth factor (time-mean ÷ flux-mean headspace O₂)</t>
        </is>
      </c>
      <c r="B322" s="18" t="inlineStr">
        <is>
          <t xml:space="preserve">saw_factor</t>
        </is>
      </c>
      <c r="C322" s="19" t="inlineStr">
        <is>
          <t xml:space="preserve">-</t>
        </is>
      </c>
      <c r="D322" s="48">
        <f>flush_vol_opt*(1+flush_ret_opt)/(2*(1-flush_ret_opt))</f>
        <v>1.081976706869</v>
      </c>
      <c r="E322" s="68" t="inlineStr">
        <is>
          <t xml:space="preserve">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is>
      </c>
    </row>
    <row r="323">
      <c r="A323" s="17" t="inlineStr">
        <is>
          <t xml:space="preserve">Headspace volumes per pulse (schedule in use)</t>
        </is>
      </c>
      <c r="B323" s="18" t="inlineStr">
        <is>
          <t xml:space="preserve">flush_vol</t>
        </is>
      </c>
      <c r="C323" s="19" t="inlineStr">
        <is>
          <t xml:space="preserve">-</t>
        </is>
      </c>
      <c r="D323" s="48">
        <f>CO2_pulse/n_hs_gas</f>
        <v>1.0</v>
      </c>
      <c r="E323" s="67" t="inlineStr">
        <is>
          <t xml:space="preserve">CO₂ actually delivered per pulse (D123, follows any override) in headspace volumes.</t>
        </is>
      </c>
    </row>
    <row r="324">
      <c r="A324" s="17" t="inlineStr">
        <is>
          <t xml:space="preserve">Headspace retained through a pulse (schedule in use)</t>
        </is>
      </c>
      <c r="B324" s="18" t="inlineStr">
        <is>
          <t xml:space="preserve">flush_ret</t>
        </is>
      </c>
      <c r="C324" s="19" t="inlineStr">
        <is>
          <t xml:space="preserve">-</t>
        </is>
      </c>
      <c r="D324" s="48">
        <f>EXP(-flush_vol)</f>
        <v>0.367879441171</v>
      </c>
      <c r="E324" s="68" t="inlineStr">
        <is>
          <t xml:space="preserve">exp(−volumes), well-mixed flush as above.</t>
        </is>
      </c>
    </row>
    <row r="325">
      <c r="A325" s="17" t="inlineStr">
        <is>
          <t xml:space="preserve">Gap between pulses</t>
        </is>
      </c>
      <c r="B325" s="18" t="inlineStr">
        <is>
          <t xml:space="preserve">t_gap_h</t>
        </is>
      </c>
      <c r="C325" s="19" t="inlineStr">
        <is>
          <t xml:space="preserve">h</t>
        </is>
      </c>
      <c r="D325" s="48">
        <f>t_off_CO2/3600</f>
        <v>0.149029758432</v>
      </c>
      <c r="E325" s="67" t="inlineStr">
        <is>
          <t xml:space="preserve">D152 in hours, to match the mol/h flows.</t>
        </is>
      </c>
    </row>
    <row r="326">
      <c r="A326" s="17" t="inlineStr">
        <is>
          <t xml:space="preserve">Liquid O₂ response time</t>
        </is>
      </c>
      <c r="B326" s="18" t="inlineStr">
        <is>
          <t xml:space="preserve">tau_L_h</t>
        </is>
      </c>
      <c r="C326" s="19" t="inlineStr">
        <is>
          <t xml:space="preserve">h</t>
        </is>
      </c>
      <c r="D326" s="48">
        <f>1/(kLa_surf_used*3600)</f>
        <v>0.038579691488</v>
      </c>
      <c r="E326" s="67" t="inlineStr">
        <is>
          <t xml:space="preserve">1/kLa: how fast the dissolved O₂ follows the headspace (D98).</t>
        </is>
      </c>
    </row>
    <row r="327">
      <c r="A327" s="17" t="inlineStr">
        <is>
          <t xml:space="preserve">Headspace O₂ inflow — growth</t>
        </is>
      </c>
      <c r="B327" s="18" t="inlineStr">
        <is>
          <t xml:space="preserve">S_O2_g</t>
        </is>
      </c>
      <c r="C327" s="19" t="inlineStr">
        <is>
          <t xml:space="preserve">mol/h</t>
        </is>
      </c>
      <c r="D327" s="48">
        <f>O2_src_g+y_O2_air*F_vent_ex</f>
        <v>2.361983692092e-05</v>
      </c>
      <c r="E327" s="67" t="inlineStr">
        <is>
          <t xml:space="preserve">O₂ entering the headspace: from the liquid (the whole source must leave this way at steady state) plus the O₂ in any exchanged air.</t>
        </is>
      </c>
    </row>
    <row r="328">
      <c r="A328" s="17" t="inlineStr">
        <is>
          <t xml:space="preserve">Net vent outflow, cycle mean — growth</t>
        </is>
      </c>
      <c r="B328" s="18" t="inlineStr">
        <is>
          <t xml:space="preserve">F_hs_net_g</t>
        </is>
      </c>
      <c r="C328" s="19" t="inlineStr">
        <is>
          <t xml:space="preserve">mol/h</t>
        </is>
      </c>
      <c r="D328" s="48">
        <f>CO2_supply+O2_src_g+H2_src_g-CO2_fix_g</f>
        <v>0.0007145383986222</v>
      </c>
      <c r="E328" s="67" t="inlineStr">
        <is>
          <t xml:space="preserve">Everything entering the headspace over a cycle minus the fixation sink: the gas that must leave through the vent on average.</t>
        </is>
      </c>
    </row>
    <row r="329">
      <c r="A329" s="17" t="inlineStr">
        <is>
          <t xml:space="preserve">Mean-field headspace O₂ — growth</t>
        </is>
      </c>
      <c r="B329" s="18" t="inlineStr">
        <is>
          <t xml:space="preserve">y_O2_mf_g</t>
        </is>
      </c>
      <c r="C329" s="19" t="inlineStr">
        <is>
          <t xml:space="preserve">-</t>
        </is>
      </c>
      <c r="D329" s="48">
        <f>IF(F_vent_ex+F_hs_net_g&gt;0,S_O2_g/(F_vent_ex+F_hs_net_g),NA())</f>
        <v>0.031437574558</v>
      </c>
      <c r="E329" s="67" t="inlineStr">
        <is>
          <t xml:space="preserve">ONE headspace balance, flux-weighted: O₂ in ÷ all gas out (vent outflow plus exchange). Reduces to O₂/(O₂+CO₂) with no exchange, no H₂ and no fixation — the old D187. Biology D85 is the same balance on the lag source.</t>
        </is>
      </c>
    </row>
    <row r="330">
      <c r="A330" s="17" t="inlineStr">
        <is>
          <t xml:space="preserve">Mean-field headspace H₂ — growth</t>
        </is>
      </c>
      <c r="B330" s="18" t="inlineStr">
        <is>
          <t xml:space="preserve">y_H2_mf_g</t>
        </is>
      </c>
      <c r="C330" s="19" t="inlineStr">
        <is>
          <t xml:space="preserve">-</t>
        </is>
      </c>
      <c r="D330" s="48">
        <f>IF(F_vent_ex+F_hs_net_g&gt;0,H2_src_g/(F_vent_ex+F_hs_net_g),NA())</f>
        <v>0.0</v>
      </c>
      <c r="E330" s="67" t="inlineStr">
        <is>
          <t xml:space="preserve">Same balance for H₂ (Biology D84 on the lag source).</t>
        </is>
      </c>
    </row>
    <row r="331">
      <c r="A331" s="17" t="inlineStr">
        <is>
          <t xml:space="preserve">Gas leaving between pulses — growth</t>
        </is>
      </c>
      <c r="B331" s="18" t="inlineStr">
        <is>
          <t xml:space="preserve">F_gap_g</t>
        </is>
      </c>
      <c r="C331" s="19" t="inlineStr">
        <is>
          <t xml:space="preserve">mol/h</t>
        </is>
      </c>
      <c r="D331" s="48">
        <f>F_vent_ex+MAX(0,O2_src_g+H2_src_g-CO2_fix_g)</f>
        <v>3.67866400719e-05</v>
      </c>
      <c r="E331" s="67" t="inlineStr">
        <is>
          <t xml:space="preserve">What leaves the headspace during the gap: the exchange flow plus the net evolved gas that must be vented to hold 1 atm. Floored at zero — when fixation outpaces evolution the headspace merely sags, nothing leaves.</t>
        </is>
      </c>
    </row>
    <row r="332">
      <c r="A332" s="17" t="inlineStr">
        <is>
          <t xml:space="preserve">Headspace turnovers per gap — growth</t>
        </is>
      </c>
      <c r="B332" s="18" t="inlineStr">
        <is>
          <t xml:space="preserve">x_hs_g</t>
        </is>
      </c>
      <c r="C332" s="19" t="inlineStr">
        <is>
          <t xml:space="preserve">-</t>
        </is>
      </c>
      <c r="D332" s="48">
        <f>F_gap_g*t_gap_h/n_hs_gas</f>
        <v>0.05134180126</v>
      </c>
      <c r="E332" s="67" t="inlineStr">
        <is>
          <t xml:space="preserve">Dimensionless gap length for the headspace ramp.</t>
        </is>
      </c>
    </row>
    <row r="333">
      <c r="A333" s="17" t="inlineStr">
        <is>
          <t xml:space="preserve">Φ(x) = (1−e^−x)/x — growth</t>
        </is>
      </c>
      <c r="B333" s="18" t="inlineStr">
        <is>
          <t xml:space="preserve">phi_hs_g</t>
        </is>
      </c>
      <c r="C333" s="19" t="inlineStr">
        <is>
          <t xml:space="preserve">-</t>
        </is>
      </c>
      <c r="D333" s="48">
        <f>IF(x_hs_g&gt;0,(1-EXP(-x_hs_g))/x_hs_g,1)</f>
        <v>0.974762847875</v>
      </c>
      <c r="E333" s="67" t="inlineStr">
        <is>
          <t xml:space="preserve">Exponential-ramp helper; the limit at x → 0 is 1, which keeps the slow-vent case singularity-free.</t>
        </is>
      </c>
    </row>
    <row r="334">
      <c r="A334" s="17" t="inlineStr">
        <is>
          <t xml:space="preserve">Ψ(x) = (x−1+e^−x)/x² — growth</t>
        </is>
      </c>
      <c r="B334" s="18" t="inlineStr">
        <is>
          <t xml:space="preserve">psi_hs_g</t>
        </is>
      </c>
      <c r="C334" s="19" t="inlineStr">
        <is>
          <t xml:space="preserve">-</t>
        </is>
      </c>
      <c r="D334" s="48">
        <f>IF(x_hs_g&gt;0,(x_hs_g-1+EXP(-x_hs_g))/x_hs_g^2,1/2)</f>
        <v>0.491551747427</v>
      </c>
      <c r="E334" s="67" t="inlineStr">
        <is>
          <t xml:space="preserve">Time-mean helper for the same ramp; the limit at x → 0 is ½ (mean of a linear ramp).</t>
        </is>
      </c>
    </row>
    <row r="335">
      <c r="A335" s="17" t="inlineStr">
        <is>
          <t xml:space="preserve">O₂ rise per gap, undiluted — growth</t>
        </is>
      </c>
      <c r="B335" s="18" t="inlineStr">
        <is>
          <t xml:space="preserve">dy_O2_g</t>
        </is>
      </c>
      <c r="C335" s="19" t="inlineStr">
        <is>
          <t xml:space="preserve">-</t>
        </is>
      </c>
      <c r="D335" s="48">
        <f>S_O2_g*t_gap_h/n_hs_gas</f>
        <v>0.032965363801</v>
      </c>
      <c r="E335" s="67" t="inlineStr">
        <is>
          <t xml:space="preserve">Headspace O₂ fraction gained over one gap if nothing left.</t>
        </is>
      </c>
    </row>
    <row r="336">
      <c r="A336" s="17" t="inlineStr">
        <is>
          <t xml:space="preserve">Headspace O₂ just before a pulse — growth</t>
        </is>
      </c>
      <c r="B336" s="18" t="inlineStr">
        <is>
          <t xml:space="preserve">y_O2_end_g</t>
        </is>
      </c>
      <c r="C336" s="19" t="inlineStr">
        <is>
          <t xml:space="preserve">-</t>
        </is>
      </c>
      <c r="D336" s="48">
        <f>dy_O2_g*phi_hs_g/(1-flush_ret*EXP(-x_hs_g))</f>
        <v>0.049395629179</v>
      </c>
      <c r="E336" s="68" t="inlineStr">
        <is>
          <t xml:space="preserve">Periodic solution of n·dy/dt = S − y·L over the gap with each pulse retaining flush_ret of the headspace: the sawtooth top.</t>
        </is>
      </c>
    </row>
    <row r="337">
      <c r="A337" s="17" t="inlineStr">
        <is>
          <t xml:space="preserve">Headspace O₂ just after a pulse — growth</t>
        </is>
      </c>
      <c r="B337" s="18" t="inlineStr">
        <is>
          <t xml:space="preserve">y_O2_post_g</t>
        </is>
      </c>
      <c r="C337" s="19" t="inlineStr">
        <is>
          <t xml:space="preserve">-</t>
        </is>
      </c>
      <c r="D337" s="48">
        <f>y_O2_end_g*flush_ret</f>
        <v>0.018171636459</v>
      </c>
      <c r="E337" s="68" t="inlineStr">
        <is>
          <t xml:space="preserve">Sawtooth bottom.</t>
        </is>
      </c>
    </row>
    <row r="338">
      <c r="A338" s="17" t="inlineStr">
        <is>
          <t xml:space="preserve">Time-mean headspace O₂ — growth</t>
        </is>
      </c>
      <c r="B338" s="18" t="inlineStr">
        <is>
          <t xml:space="preserve">y_O2_avg_g</t>
        </is>
      </c>
      <c r="C338" s="19" t="inlineStr">
        <is>
          <t xml:space="preserve">-</t>
        </is>
      </c>
      <c r="D338" s="48">
        <f>y_O2_post_g*phi_hs_g+dy_O2_g*psi_hs_g</f>
        <v>0.033917218286</v>
      </c>
      <c r="E338" s="68" t="inlineStr">
        <is>
          <t xml:space="preserve">Exact time average of that ramp — what the liquid equilibrates with.</t>
        </is>
      </c>
    </row>
    <row r="339">
      <c r="A339" s="17" t="inlineStr">
        <is>
          <t xml:space="preserve">DO excess needed to drive the surface flux — growth</t>
        </is>
      </c>
      <c r="B339" s="18" t="inlineStr">
        <is>
          <t xml:space="preserve">DO_surf_excess_g</t>
        </is>
      </c>
      <c r="C339" s="19" t="inlineStr">
        <is>
          <t xml:space="preserve">mol/m³</t>
        </is>
      </c>
      <c r="D339" s="48">
        <f>O2_src_g/(kLa_surf_used*3600*V_L_m3)</f>
        <v>0.040928000854</v>
      </c>
      <c r="E339" s="67" t="inlineStr">
        <is>
          <t xml:space="preserve">flux = kLa·V·(C − C*) on the growth source (companion of D181 for lag).</t>
        </is>
      </c>
    </row>
    <row r="340">
      <c r="A340" s="17" t="inlineStr">
        <is>
          <t xml:space="preserve">Mean-field DO — growth</t>
        </is>
      </c>
      <c r="B340" s="18" t="inlineStr">
        <is>
          <t xml:space="preserve">DO_mf_g</t>
        </is>
      </c>
      <c r="C340" s="19" t="inlineStr">
        <is>
          <t xml:space="preserve">mol/m³</t>
        </is>
      </c>
      <c r="D340" s="48">
        <f>DO_surf_excess_g+H_O2_T*P_dry*y_O2_mf_g</f>
        <v>0.076673031404</v>
      </c>
      <c r="E340" s="67" t="inlineStr">
        <is>
          <t xml:space="preserve">Surface excess plus Henry equilibrium with the flux-mean headspace: the quantity the sizing (D184) holds at DO_target ÷ saw_factor.</t>
        </is>
      </c>
    </row>
    <row r="341">
      <c r="A341" s="17" t="inlineStr">
        <is>
          <t xml:space="preserve">Cycle-mean DO — growth</t>
        </is>
      </c>
      <c r="B341" s="18" t="inlineStr">
        <is>
          <t xml:space="preserve">DO_avg_g</t>
        </is>
      </c>
      <c r="C341" s="19" t="inlineStr">
        <is>
          <t xml:space="preserve">mol/m³</t>
        </is>
      </c>
      <c r="D341" s="48">
        <f>DO_surf_excess_g+H_O2_T*P_dry*y_O2_avg_g</f>
        <v>0.079492426413</v>
      </c>
      <c r="E341" s="68" t="inlineStr">
        <is>
          <t xml:space="preserve">Surface excess plus equilibrium with the TIME-mean headspace: the time-mean of the liquid is exactly this (linear liquid balance).</t>
        </is>
      </c>
    </row>
    <row r="342">
      <c r="A342" s="17" t="inlineStr">
        <is>
          <t xml:space="preserve">Peak DO — growth</t>
        </is>
      </c>
      <c r="B342" s="18" t="inlineStr">
        <is>
          <t xml:space="preserve">DO_peak_g</t>
        </is>
      </c>
      <c r="C342" s="19" t="inlineStr">
        <is>
          <t xml:space="preserve">mol/m³</t>
        </is>
      </c>
      <c r="D342" s="48">
        <f>DO_surf_excess_g+H_O2_T*P_dry*MAX(y_O2_avg_g,y_O2_end_g-(S_O2_g-F_gap_g*y_O2_end_g)/n_hs_gas*tau_L_h)</f>
        <v>0.088135004652</v>
      </c>
      <c r="E342"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43">
      <c r="A343" s="17" t="inlineStr">
        <is>
          <t xml:space="preserve">Cycle-mean DO — growth (mg/L)</t>
        </is>
      </c>
      <c r="B343" s="18" t="inlineStr">
        <is>
          <t xml:space="preserve">DO_avg_g_mgL</t>
        </is>
      </c>
      <c r="C343" s="19" t="inlineStr">
        <is>
          <t xml:space="preserve">mg/L</t>
        </is>
      </c>
      <c r="D343" s="48">
        <f>DO_avg_g*M_O2</f>
        <v>2.543598660379</v>
      </c>
      <c r="E343" s="68" t="inlineStr">
        <is>
          <t xml:space="preserve">For the Summary.</t>
        </is>
      </c>
    </row>
    <row r="344">
      <c r="A344" s="17" t="inlineStr">
        <is>
          <t xml:space="preserve">Peak DO — growth (mg/L)</t>
        </is>
      </c>
      <c r="B344" s="18" t="inlineStr">
        <is>
          <t xml:space="preserve">DO_peak_g_mgL</t>
        </is>
      </c>
      <c r="C344" s="19" t="inlineStr">
        <is>
          <t xml:space="preserve">mg/L</t>
        </is>
      </c>
      <c r="D344" s="48">
        <f>DO_peak_g*M_O2</f>
        <v>2.82014387887</v>
      </c>
      <c r="E344" s="68" t="inlineStr">
        <is>
          <t xml:space="preserve">For the Summary.</t>
        </is>
      </c>
    </row>
    <row r="345">
      <c r="A345" s="17" t="inlineStr">
        <is>
          <t xml:space="preserve">Surface kLa required at the target DO — growth</t>
        </is>
      </c>
      <c r="B345" s="18" t="inlineStr">
        <is>
          <t xml:space="preserve">kLa_surf_req_g</t>
        </is>
      </c>
      <c r="C345" s="19" t="inlineStr">
        <is>
          <t xml:space="preserve">1/s</t>
        </is>
      </c>
      <c r="D345" s="48">
        <f>O2_src_g/(DO_target*3600*V_L_m3)</f>
        <v>0.003701930458</v>
      </c>
      <c r="E345" s="67" t="inlineStr">
        <is>
          <t xml:space="preserve">Below this no sparge interval can hold the target on this source.</t>
        </is>
      </c>
    </row>
    <row r="346">
      <c r="A346" s="17" t="inlineStr">
        <is>
          <t xml:space="preserve">kLa feasibility margin — growth</t>
        </is>
      </c>
      <c r="B346" s="18" t="inlineStr">
        <is>
          <t xml:space="preserve">kLa_margin_g</t>
        </is>
      </c>
      <c r="C346" s="19" t="inlineStr">
        <is>
          <t xml:space="preserve">×</t>
        </is>
      </c>
      <c r="D346" s="48">
        <f>kLa_surf_used/kLa_surf_req_g</f>
        <v>1.944959187716</v>
      </c>
      <c r="E346" s="67" t="inlineStr">
        <is>
          <t xml:space="preserve">kLa in use ÷ kLa required. Below 1 the target is unreachable on this phase at any interval.</t>
        </is>
      </c>
    </row>
    <row r="347">
      <c r="A347" s="20" t="inlineStr">
        <is>
          <t xml:space="preserve">DO target reachable? — growth</t>
        </is>
      </c>
      <c r="B347" s="18" t="inlineStr">
        <is>
          <t xml:space="preserve">DO_feas_g</t>
        </is>
      </c>
      <c r="C347" s="19" t="inlineStr">
        <is>
          <t xml:space="preserve">-</t>
        </is>
      </c>
      <c r="D347" s="28" t="str">
        <f>IF(kLa_margin_g&gt;=1,"reachable – kLa margin "&amp;TEXT(kLa_margin_g,"0.00")&amp;"×","UNREACHABLE at this surface kLa – margin "&amp;TEXT(kLa_margin_g,"0.00")&amp;"× (raise kL_surf, lower the current, or accept a higher DO)")</f>
        <v>reachable – kLa margin 1.94×</v>
      </c>
      <c r="E347" s="67" t="inlineStr">
        <is>
          <t xml:space="preserve">Feasibility verdict for this phase, independent of which phase the schedule is sized on.</t>
        </is>
      </c>
    </row>
    <row r="348">
      <c r="A348" s="20" t="inlineStr">
        <is>
          <t xml:space="preserve">Peak DO vs inhibition ceiling — growth</t>
        </is>
      </c>
      <c r="B348" s="18" t="inlineStr">
        <is>
          <t xml:space="preserve">DO_peak_chk_g</t>
        </is>
      </c>
      <c r="C348" s="19" t="inlineStr">
        <is>
          <t xml:space="preserve">-</t>
        </is>
      </c>
      <c r="D348" s="28" t="str">
        <f>IF(DO_peak_g&lt;=O2_ceil_C,"peak "&amp;TEXT(DO_peak_g_mgL,"0.0")&amp;" mg/L under the "&amp;TEXT(O2_ceil_C*M_O2,"0.0")&amp;" mg/L ceiling","PEAK "&amp;TEXT(DO_peak_g_mgL,"0.0")&amp;" mg/L OVER THE "&amp;TEXT(O2_ceil_C*M_O2,"0.0")&amp;" mg/L INHIBITION CEILING")</f>
        <v>peak 2.8 mg/L under the 11.3 mg/L ceiling</v>
      </c>
      <c r="E348" s="67" t="inlineStr">
        <is>
          <t xml:space="preserve">The sawtooth peak against the growth-inhibition ceiling (Biology D27). Not a tautology: the peak is not what the schedule is sized on.</t>
        </is>
      </c>
    </row>
    <row r="349">
      <c r="A349" s="17" t="inlineStr">
        <is>
          <t xml:space="preserve">Headspace O₂ inflow — lag</t>
        </is>
      </c>
      <c r="B349" s="18" t="inlineStr">
        <is>
          <t xml:space="preserve">S_O2_l</t>
        </is>
      </c>
      <c r="C349" s="19" t="inlineStr">
        <is>
          <t xml:space="preserve">mol/h</t>
        </is>
      </c>
      <c r="D349" s="48">
        <f>O2_src_l+y_O2_air*F_vent_ex</f>
        <v>5.75802421927e-05</v>
      </c>
      <c r="E349" s="67" t="inlineStr">
        <is>
          <t xml:space="preserve">O₂ entering the headspace: from the liquid (the whole source must leave this way at steady state) plus the O₂ in any exchanged air.</t>
        </is>
      </c>
    </row>
    <row r="350">
      <c r="A350" s="17" t="inlineStr">
        <is>
          <t xml:space="preserve">Net vent outflow, cycle mean — lag</t>
        </is>
      </c>
      <c r="B350" s="18" t="inlineStr">
        <is>
          <t xml:space="preserve">F_hs_net_l</t>
        </is>
      </c>
      <c r="C350" s="19" t="inlineStr">
        <is>
          <t xml:space="preserve">mol/h</t>
        </is>
      </c>
      <c r="D350" s="48">
        <f>CO2_supply+O2_src_l+H2_src_l-CO2_fix_l</f>
        <v>0.0008673602223452</v>
      </c>
      <c r="E350" s="67" t="inlineStr">
        <is>
          <t xml:space="preserve">Everything entering the headspace over a cycle minus the fixation sink: the gas that must leave through the vent on average.</t>
        </is>
      </c>
    </row>
    <row r="351">
      <c r="A351" s="17" t="inlineStr">
        <is>
          <t xml:space="preserve">Mean-field headspace O₂ — lag</t>
        </is>
      </c>
      <c r="B351" s="18" t="inlineStr">
        <is>
          <t xml:space="preserve">y_O2_mf_l</t>
        </is>
      </c>
      <c r="C351" s="19" t="inlineStr">
        <is>
          <t xml:space="preserve">-</t>
        </is>
      </c>
      <c r="D351" s="48">
        <f>IF(F_vent_ex+F_hs_net_l&gt;0,S_O2_l/(F_vent_ex+F_hs_net_l),NA())</f>
        <v>0.063684612076</v>
      </c>
      <c r="E351" s="67" t="inlineStr">
        <is>
          <t xml:space="preserve">ONE headspace balance, flux-weighted: O₂ in ÷ all gas out (vent outflow plus exchange). Reduces to O₂/(O₂+CO₂) with no exchange, no H₂ and no fixation — the old D187. Biology D85 is the same balance on the lag source.</t>
        </is>
      </c>
    </row>
    <row r="352">
      <c r="A352" s="17" t="inlineStr">
        <is>
          <t xml:space="preserve">Mean-field headspace H₂ — lag</t>
        </is>
      </c>
      <c r="B352" s="18" t="inlineStr">
        <is>
          <t xml:space="preserve">y_H2_mf_l</t>
        </is>
      </c>
      <c r="C352" s="19" t="inlineStr">
        <is>
          <t xml:space="preserve">-</t>
        </is>
      </c>
      <c r="D352" s="48">
        <f>IF(F_vent_ex+F_hs_net_l&gt;0,H2_src_l/(F_vent_ex+F_hs_net_l),NA())</f>
        <v>0.112682153807</v>
      </c>
      <c r="E352" s="67" t="inlineStr">
        <is>
          <t xml:space="preserve">Same balance for H₂ (Biology D84 on the lag source).</t>
        </is>
      </c>
    </row>
    <row r="353">
      <c r="A353" s="17" t="inlineStr">
        <is>
          <t xml:space="preserve">Gas leaving between pulses — lag</t>
        </is>
      </c>
      <c r="B353" s="18" t="inlineStr">
        <is>
          <t xml:space="preserve">F_gap_l</t>
        </is>
      </c>
      <c r="C353" s="19" t="inlineStr">
        <is>
          <t xml:space="preserve">mol/h</t>
        </is>
      </c>
      <c r="D353" s="48">
        <f>F_vent_ex+MAX(0,O2_src_l+H2_src_l-CO2_fix_l)</f>
        <v>0.0001885412969849</v>
      </c>
      <c r="E353" s="67" t="inlineStr">
        <is>
          <t xml:space="preserve">What leaves the headspace during the gap: the exchange flow plus the net evolved gas that must be vented to hold 1 atm. Floored at zero — when fixation outpaces evolution the headspace merely sags, nothing leaves.</t>
        </is>
      </c>
    </row>
    <row r="354">
      <c r="A354" s="17" t="inlineStr">
        <is>
          <t xml:space="preserve">Headspace turnovers per gap — lag</t>
        </is>
      </c>
      <c r="B354" s="18" t="inlineStr">
        <is>
          <t xml:space="preserve">x_hs_l</t>
        </is>
      </c>
      <c r="C354" s="19" t="inlineStr">
        <is>
          <t xml:space="preserve">-</t>
        </is>
      </c>
      <c r="D354" s="48">
        <f>F_gap_l*t_gap_h/n_hs_gas</f>
        <v>0.263140362374</v>
      </c>
      <c r="E354" s="67" t="inlineStr">
        <is>
          <t xml:space="preserve">Dimensionless gap length for the headspace ramp.</t>
        </is>
      </c>
    </row>
    <row r="355">
      <c r="A355" s="17" t="inlineStr">
        <is>
          <t xml:space="preserve">Φ(x) = (1−e^−x)/x — lag</t>
        </is>
      </c>
      <c r="B355" s="18" t="inlineStr">
        <is>
          <t xml:space="preserve">phi_hs_l</t>
        </is>
      </c>
      <c r="C355" s="19" t="inlineStr">
        <is>
          <t xml:space="preserve">-</t>
        </is>
      </c>
      <c r="D355" s="48">
        <f>IF(x_hs_l&gt;0,(1-EXP(-x_hs_l))/x_hs_l,1)</f>
        <v>0.879249368918</v>
      </c>
      <c r="E355" s="67" t="inlineStr">
        <is>
          <t xml:space="preserve">Exponential-ramp helper; the limit at x → 0 is 1, which keeps the slow-vent case singularity-free.</t>
        </is>
      </c>
    </row>
    <row r="356">
      <c r="A356" s="17" t="inlineStr">
        <is>
          <t xml:space="preserve">Ψ(x) = (x−1+e^−x)/x² — lag</t>
        </is>
      </c>
      <c r="B356" s="18" t="inlineStr">
        <is>
          <t xml:space="preserve">psi_hs_l</t>
        </is>
      </c>
      <c r="C356" s="19" t="inlineStr">
        <is>
          <t xml:space="preserve">-</t>
        </is>
      </c>
      <c r="D356" s="48">
        <f>IF(x_hs_l&gt;0,(x_hs_l-1+EXP(-x_hs_l))/x_hs_l^2,1/2)</f>
        <v>0.458882970262</v>
      </c>
      <c r="E356" s="67" t="inlineStr">
        <is>
          <t xml:space="preserve">Time-mean helper for the same ramp; the limit at x → 0 is ½ (mean of a linear ramp).</t>
        </is>
      </c>
    </row>
    <row r="357">
      <c r="A357" s="17" t="inlineStr">
        <is>
          <t xml:space="preserve">O₂ rise per gap, undiluted — lag</t>
        </is>
      </c>
      <c r="B357" s="18" t="inlineStr">
        <is>
          <t xml:space="preserve">dy_O2_l</t>
        </is>
      </c>
      <c r="C357" s="19" t="inlineStr">
        <is>
          <t xml:space="preserve">-</t>
        </is>
      </c>
      <c r="D357" s="48">
        <f>S_O2_l*t_gap_h/n_hs_gas</f>
        <v>0.08036268997</v>
      </c>
      <c r="E357" s="67" t="inlineStr">
        <is>
          <t xml:space="preserve">Headspace O₂ fraction gained over one gap if nothing left.</t>
        </is>
      </c>
    </row>
    <row r="358">
      <c r="A358" s="17" t="inlineStr">
        <is>
          <t xml:space="preserve">Headspace O₂ just before a pulse — lag</t>
        </is>
      </c>
      <c r="B358" s="18" t="inlineStr">
        <is>
          <t xml:space="preserve">y_O2_end_l</t>
        </is>
      </c>
      <c r="C358" s="19" t="inlineStr">
        <is>
          <t xml:space="preserve">-</t>
        </is>
      </c>
      <c r="D358" s="48">
        <f>dy_O2_l*phi_hs_l/(1-flush_ret*EXP(-x_hs_l))</f>
        <v>0.098515562811</v>
      </c>
      <c r="E358" s="68" t="inlineStr">
        <is>
          <t xml:space="preserve">Periodic solution of n·dy/dt = S − y·L over the gap with each pulse retaining flush_ret of the headspace: the sawtooth top.</t>
        </is>
      </c>
    </row>
    <row r="359">
      <c r="A359" s="17" t="inlineStr">
        <is>
          <t xml:space="preserve">Headspace O₂ just after a pulse — lag</t>
        </is>
      </c>
      <c r="B359" s="18" t="inlineStr">
        <is>
          <t xml:space="preserve">y_O2_post_l</t>
        </is>
      </c>
      <c r="C359" s="19" t="inlineStr">
        <is>
          <t xml:space="preserve">-</t>
        </is>
      </c>
      <c r="D359" s="48">
        <f>y_O2_end_l*flush_ret</f>
        <v>0.036241850194</v>
      </c>
      <c r="E359" s="68" t="inlineStr">
        <is>
          <t xml:space="preserve">Sawtooth bottom.</t>
        </is>
      </c>
    </row>
    <row r="360">
      <c r="A360" s="17" t="inlineStr">
        <is>
          <t xml:space="preserve">Time-mean headspace O₂ — lag</t>
        </is>
      </c>
      <c r="B360" s="18" t="inlineStr">
        <is>
          <t xml:space="preserve">y_O2_avg_l</t>
        </is>
      </c>
      <c r="C360" s="19" t="inlineStr">
        <is>
          <t xml:space="preserve">-</t>
        </is>
      </c>
      <c r="D360" s="48">
        <f>y_O2_post_l*phi_hs_l+dy_O2_l*psi_hs_l</f>
        <v>0.068742693783</v>
      </c>
      <c r="E360" s="68" t="inlineStr">
        <is>
          <t xml:space="preserve">Exact time average of that ramp — what the liquid equilibrates with.</t>
        </is>
      </c>
    </row>
    <row r="361">
      <c r="A361" s="17" t="inlineStr">
        <is>
          <t xml:space="preserve">Mean-field DO — lag</t>
        </is>
      </c>
      <c r="B361" s="18" t="inlineStr">
        <is>
          <t xml:space="preserve">DO_mf_l</t>
        </is>
      </c>
      <c r="C361" s="19" t="inlineStr">
        <is>
          <t xml:space="preserve">mol/m³</t>
        </is>
      </c>
      <c r="D361" s="48">
        <f>DO_surf_excess_lag+H_O2_T*P_dry*y_O2_mf_l</f>
        <v>0.200683898308</v>
      </c>
      <c r="E361" s="67" t="inlineStr">
        <is>
          <t xml:space="preserve">Surface excess plus Henry equilibrium with the flux-mean headspace: the quantity the sizing (D184) holds at DO_target ÷ saw_factor.</t>
        </is>
      </c>
    </row>
    <row r="362">
      <c r="A362" s="17" t="inlineStr">
        <is>
          <t xml:space="preserve">Cycle-mean DO — lag</t>
        </is>
      </c>
      <c r="B362" s="18" t="inlineStr">
        <is>
          <t xml:space="preserve">DO_avg_l</t>
        </is>
      </c>
      <c r="C362" s="19" t="inlineStr">
        <is>
          <t xml:space="preserve">mol/m³</t>
        </is>
      </c>
      <c r="D362" s="48">
        <f>DO_surf_excess_lag+H_O2_T*P_dry*y_O2_avg_l</f>
        <v>0.206435018988</v>
      </c>
      <c r="E362" s="68" t="inlineStr">
        <is>
          <t xml:space="preserve">Surface excess plus equilibrium with the TIME-mean headspace: the time-mean of the liquid is exactly this (linear liquid balance).</t>
        </is>
      </c>
    </row>
    <row r="363">
      <c r="A363" s="17" t="inlineStr">
        <is>
          <t xml:space="preserve">Peak DO — lag</t>
        </is>
      </c>
      <c r="B363" s="18" t="inlineStr">
        <is>
          <t xml:space="preserve">DO_peak_l</t>
        </is>
      </c>
      <c r="C363" s="19" t="inlineStr">
        <is>
          <t xml:space="preserve">mol/m³</t>
        </is>
      </c>
      <c r="D363" s="48">
        <f>DO_surf_excess_lag+H_O2_T*P_dry*MAX(y_O2_avg_l,y_O2_end_l-(S_O2_l-F_gap_l*y_O2_end_l)/n_hs_gas*tau_L_h)</f>
        <v>0.224263483321</v>
      </c>
      <c r="E363"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64">
      <c r="A364" s="17" t="inlineStr">
        <is>
          <t xml:space="preserve">Cycle-mean DO — lag (mg/L)</t>
        </is>
      </c>
      <c r="B364" s="18" t="inlineStr">
        <is>
          <t xml:space="preserve">DO_avg_l_mgL</t>
        </is>
      </c>
      <c r="C364" s="19" t="inlineStr">
        <is>
          <t xml:space="preserve">mg/L</t>
        </is>
      </c>
      <c r="D364" s="48">
        <f>DO_avg_l*M_O2</f>
        <v>6.605507737565</v>
      </c>
      <c r="E364" s="68" t="inlineStr">
        <is>
          <t xml:space="preserve">For the Summary.</t>
        </is>
      </c>
    </row>
    <row r="365">
      <c r="A365" s="17" t="inlineStr">
        <is>
          <t xml:space="preserve">Peak DO — lag (mg/L)</t>
        </is>
      </c>
      <c r="B365" s="18" t="inlineStr">
        <is>
          <t xml:space="preserve">DO_peak_l_mgL</t>
        </is>
      </c>
      <c r="C365" s="19" t="inlineStr">
        <is>
          <t xml:space="preserve">mg/L</t>
        </is>
      </c>
      <c r="D365" s="48">
        <f>DO_peak_l*M_O2</f>
        <v>7.175982939307</v>
      </c>
      <c r="E365" s="68" t="inlineStr">
        <is>
          <t xml:space="preserve">For the Summary.</t>
        </is>
      </c>
    </row>
    <row r="366">
      <c r="A366" s="17" t="inlineStr">
        <is>
          <t xml:space="preserve">Surface kLa required at the target DO — lag</t>
        </is>
      </c>
      <c r="B366" s="18" t="inlineStr">
        <is>
          <t xml:space="preserve">kLa_surf_req_l</t>
        </is>
      </c>
      <c r="C366" s="19" t="inlineStr">
        <is>
          <t xml:space="preserve">1/s</t>
        </is>
      </c>
      <c r="D366" s="48">
        <f>O2_src_l/(DO_target*3600*V_L_m3)</f>
        <v>0.01160231226</v>
      </c>
      <c r="E366" s="67" t="inlineStr">
        <is>
          <t xml:space="preserve">Below this no sparge interval can hold the target on this source.</t>
        </is>
      </c>
    </row>
    <row r="367">
      <c r="A367" s="17" t="inlineStr">
        <is>
          <t xml:space="preserve">kLa feasibility margin — lag</t>
        </is>
      </c>
      <c r="B367" s="18" t="inlineStr">
        <is>
          <t xml:space="preserve">kLa_margin_l</t>
        </is>
      </c>
      <c r="C367" s="19" t="inlineStr">
        <is>
          <t xml:space="preserve">×</t>
        </is>
      </c>
      <c r="D367" s="48">
        <f>kLa_surf_used/kLa_surf_req_l</f>
        <v>0.620574890218</v>
      </c>
      <c r="E367" s="67" t="inlineStr">
        <is>
          <t xml:space="preserve">kLa in use ÷ kLa required. Below 1 the target is unreachable on this phase at any interval.</t>
        </is>
      </c>
    </row>
    <row r="368">
      <c r="A368" s="20" t="inlineStr">
        <is>
          <t xml:space="preserve">DO target reachable? — lag</t>
        </is>
      </c>
      <c r="B368" s="18" t="inlineStr">
        <is>
          <t xml:space="preserve">DO_feas_l</t>
        </is>
      </c>
      <c r="C368" s="19" t="inlineStr">
        <is>
          <t xml:space="preserve">-</t>
        </is>
      </c>
      <c r="D368" s="28" t="str">
        <f>IF(kLa_margin_l&gt;=1,"reachable – kLa margin "&amp;TEXT(kLa_margin_l,"0.00")&amp;"×","UNREACHABLE at this surface kLa – margin "&amp;TEXT(kLa_margin_l,"0.00")&amp;"× (raise kL_surf, lower the current, or accept a higher DO)")</f>
        <v>UNREACHABLE at this surface kLa – margin 0.62× (raise kL_surf, lower the current, or accept a higher DO)</v>
      </c>
      <c r="E368" s="67" t="inlineStr">
        <is>
          <t xml:space="preserve">Feasibility verdict for this phase, independent of which phase the schedule is sized on.</t>
        </is>
      </c>
    </row>
    <row r="369">
      <c r="A369" s="20" t="inlineStr">
        <is>
          <t xml:space="preserve">Peak DO vs inhibition ceiling — lag</t>
        </is>
      </c>
      <c r="B369" s="18" t="inlineStr">
        <is>
          <t xml:space="preserve">DO_peak_chk_l</t>
        </is>
      </c>
      <c r="C369" s="19" t="inlineStr">
        <is>
          <t xml:space="preserve">-</t>
        </is>
      </c>
      <c r="D369" s="28" t="str">
        <f>IF(DO_peak_l&lt;=O2_ceil_C,"peak "&amp;TEXT(DO_peak_l_mgL,"0.0")&amp;" mg/L under the "&amp;TEXT(O2_ceil_C*M_O2,"0.0")&amp;" mg/L ceiling","PEAK "&amp;TEXT(DO_peak_l_mgL,"0.0")&amp;" mg/L OVER THE "&amp;TEXT(O2_ceil_C*M_O2,"0.0")&amp;" mg/L INHIBITION CEILING")</f>
        <v>peak 7.2 mg/L under the 11.3 mg/L ceiling</v>
      </c>
      <c r="E369" s="67" t="inlineStr">
        <is>
          <t xml:space="preserve">The sawtooth peak against the growth-inhibition ceiling (Biology D27). Not a tautology: the peak is not what the schedule is sized on.</t>
        </is>
      </c>
    </row>
    <row r="371">
      <c r="A371" s="17" t="inlineStr">
        <is>
          <t xml:space="preserve">Gas leaving between pulses — sizing phase</t>
        </is>
      </c>
      <c r="B371" s="18" t="inlineStr">
        <is>
          <t xml:space="preserve">F_gap_sched</t>
        </is>
      </c>
      <c r="C371" s="19" t="inlineStr">
        <is>
          <t xml:space="preserve">mol/h</t>
        </is>
      </c>
      <c r="D371" s="48">
        <f>IF(O2_sizing_phase=phase_name_1,F_gap_g,IF(O2_sizing_phase=phase_name_2,F_gap_l,NA()))</f>
        <v>3.67866400719e-05</v>
      </c>
      <c r="E371" s="67" t="inlineStr">
        <is>
          <t xml:space="preserve">Feeds the headspace turnover k_vent (D143) and hence the CO₂ pool decay.</t>
        </is>
      </c>
    </row>
    <row r="372">
      <c r="A372" s="17" t="inlineStr">
        <is>
          <t xml:space="preserve">Cycle-mean DO — sizing phase</t>
        </is>
      </c>
      <c r="B372" s="18" t="inlineStr">
        <is>
          <t xml:space="preserve">DO_avg_sched</t>
        </is>
      </c>
      <c r="C372" s="19" t="inlineStr">
        <is>
          <t xml:space="preserve">mol/m³</t>
        </is>
      </c>
      <c r="D372" s="48">
        <f>IF(O2_sizing_phase=phase_name_1,DO_avg_g,IF(O2_sizing_phase=phase_name_2,DO_avg_l,NA()))</f>
        <v>0.079492426413</v>
      </c>
      <c r="E372" s="68" t="inlineStr">
        <is>
          <t xml:space="preserve">Feeds D108 (DO_ss).</t>
        </is>
      </c>
    </row>
    <row r="373">
      <c r="A373" s="17" t="inlineStr">
        <is>
          <t xml:space="preserve">Peak DO — sizing phase</t>
        </is>
      </c>
      <c r="B373" s="18" t="inlineStr">
        <is>
          <t xml:space="preserve">DO_peak_sched</t>
        </is>
      </c>
      <c r="C373" s="19" t="inlineStr">
        <is>
          <t xml:space="preserve">mol/m³</t>
        </is>
      </c>
      <c r="D373" s="48">
        <f>IF(O2_sizing_phase=phase_name_1,DO_peak_g,IF(O2_sizing_phase=phase_name_2,DO_peak_l,NA()))</f>
        <v>0.088135004652</v>
      </c>
      <c r="E373" s="68" t="inlineStr">
        <is>
          <t xml:space="preserve">Feeds the organism-band check below and Summary D21.</t>
        </is>
      </c>
    </row>
    <row r="374">
      <c r="A374" s="20" t="inlineStr">
        <is>
          <t xml:space="preserve">DO vs organism band — mean vs optimum, peak vs impairment (sizing phase)</t>
        </is>
      </c>
      <c r="B374" s="18" t="inlineStr">
        <is>
          <t xml:space="preserve">DO_peak_band</t>
        </is>
      </c>
      <c r="C374" s="19" t="inlineStr">
        <is>
          <t xml:space="preserve">-</t>
        </is>
      </c>
      <c r="D374" s="28"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2.8 mg/L is under the inhibition ceiling</v>
      </c>
      <c r="E374" s="67" t="inlineStr">
        <is>
          <t xml:space="preserve">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is>
      </c>
    </row>
    <row r="375">
      <c r="A375" s="17" t="inlineStr">
        <is>
          <t xml:space="preserve">Gap CO₂ change, slow-vent limit</t>
        </is>
      </c>
      <c r="B375" s="18" t="inlineStr">
        <is>
          <t xml:space="preserve">pool_D_raw</t>
        </is>
      </c>
      <c r="C375" s="19" t="inlineStr">
        <is>
          <t xml:space="preserve">mol/m³</t>
        </is>
      </c>
      <c r="D375" s="48">
        <f>(C_air_CO2/C_sat_CO2*F_vent_ex-CO2_fix_sched)*t_gap_h/(V_L_CO2+Vg_CO2)</f>
        <v>-0.123258003994</v>
      </c>
      <c r="E375" s="67" t="inlineStr">
        <is>
          <t xml:space="preserve">Pool concentration change over one gap if the decay were linear: CO₂ carried in by exchanged air (air is 0.04 % CO₂) minus carbon fixed, spread over the liquid plus headspace-equivalent volume. Negative = loss.</t>
        </is>
      </c>
    </row>
    <row r="376">
      <c r="A376" s="17" t="inlineStr">
        <is>
          <t xml:space="preserve">Pool turnovers per gap</t>
        </is>
      </c>
      <c r="B376" s="18" t="inlineStr">
        <is>
          <t xml:space="preserve">pool_x</t>
        </is>
      </c>
      <c r="C376" s="19" t="inlineStr">
        <is>
          <t xml:space="preserve">-</t>
        </is>
      </c>
      <c r="D376" s="48">
        <f>k_eff_CO2*t_off_CO2</f>
        <v>0.007993102711</v>
      </c>
      <c r="E376" s="67" t="inlineStr">
        <is>
          <t xml:space="preserve">k_eff·t_gap; pool_e (D197) is exp(−this).</t>
        </is>
      </c>
    </row>
    <row r="377">
      <c r="A377" s="17" t="inlineStr">
        <is>
          <t xml:space="preserve">Φ(x) — pool</t>
        </is>
      </c>
      <c r="B377" s="18" t="inlineStr">
        <is>
          <t xml:space="preserve">pool_phi</t>
        </is>
      </c>
      <c r="C377" s="19" t="inlineStr">
        <is>
          <t xml:space="preserve">-</t>
        </is>
      </c>
      <c r="D377" s="48">
        <f>IF(pool_x&gt;0,(1-EXP(-pool_x))/pool_x,1)</f>
        <v>0.996014075682</v>
      </c>
      <c r="E377" s="67" t="inlineStr">
        <is>
          <t xml:space="preserve">As phi_hs; limit 1 at x → 0 so an outflow-only growth headspace (nothing vented between pulses) stays singularity-free.</t>
        </is>
      </c>
    </row>
    <row r="378">
      <c r="A378" s="17" t="inlineStr">
        <is>
          <t xml:space="preserve">Ψ(x) — pool</t>
        </is>
      </c>
      <c r="B378" s="18" t="inlineStr">
        <is>
          <t xml:space="preserve">pool_psi</t>
        </is>
      </c>
      <c r="C378" s="19" t="inlineStr">
        <is>
          <t xml:space="preserve">-</t>
        </is>
      </c>
      <c r="D378" s="48">
        <f>IF(pool_x&gt;0,(pool_x-1+EXP(-pool_x))/pool_x^2,1/2)</f>
        <v>0.498670474036</v>
      </c>
      <c r="E378" s="67" t="inlineStr">
        <is>
          <t xml:space="preserve">As psi_hs; limit ½.</t>
        </is>
      </c>
    </row>
    <row r="379">
      <c r="A379" s="17" t="inlineStr">
        <is>
          <t xml:space="preserve">Gap CO₂ change</t>
        </is>
      </c>
      <c r="B379" s="18" t="inlineStr">
        <is>
          <t xml:space="preserve">pool_D_gap</t>
        </is>
      </c>
      <c r="C379" s="19" t="inlineStr">
        <is>
          <t xml:space="preserve">mol/m³</t>
        </is>
      </c>
      <c r="D379" s="48">
        <f>pool_D_raw*pool_phi</f>
        <v>-0.122766706919</v>
      </c>
      <c r="E379" s="67" t="inlineStr">
        <is>
          <t xml:space="preserve">The asymptote term of the exponential decay, written as D_raw·Φ so it needs no division by k_eff.</t>
        </is>
      </c>
    </row>
    <row r="380">
      <c r="A380" s="17" t="inlineStr">
        <is>
          <t xml:space="preserve">Pool share retained through a pulse</t>
        </is>
      </c>
      <c r="B380" s="18" t="inlineStr">
        <is>
          <t xml:space="preserve">pool_ret</t>
        </is>
      </c>
      <c r="C380" s="19" t="inlineStr">
        <is>
          <t xml:space="preserve">-</t>
        </is>
      </c>
      <c r="D380" s="48">
        <f>pool_a+(1-pool_a)*flush_ret</f>
        <v>0.901588872448</v>
      </c>
      <c r="E380" s="68" t="inlineStr">
        <is>
          <t xml:space="preserve">The liquid share survives the pulse untouched; of the headspace share, flush_ret survives the well-mixed flush. Replaces the hard-coded full displacement (R2-m3).</t>
        </is>
      </c>
    </row>
    <row r="381">
      <c r="A381" s="17" t="inlineStr">
        <is>
          <t xml:space="preserve">Mean-field headspace CO₂ — sizing phase (cross-check)</t>
        </is>
      </c>
      <c r="B381" s="18" t="inlineStr">
        <is>
          <t xml:space="preserve">y_CO2_mf</t>
        </is>
      </c>
      <c r="C381" s="19" t="inlineStr">
        <is>
          <t xml:space="preserve">-</t>
        </is>
      </c>
      <c r="D381" s="48">
        <f>IF(F_vent_ex+CO2_supply+O2_src_sched+H2_src_sched-CO2_fix_sched&gt;0,(CO2_supply-CO2_fix_sched+pCO2_air/P_atm*F_vent_ex)/(F_vent_ex+CO2_supply+O2_src_sched+H2_src_sched-CO2_fix_sched),NA())</f>
        <v>0.929877016008</v>
      </c>
      <c r="E381" s="67" t="inlineStr">
        <is>
          <t xml:space="preserve">The same flux balance as y_O2_mf, for CO₂. Diagnostic: the pool model (D198–D200) and this should agree to within the sawtooth; 96 % CO₂ in "Outflow only" at the optimal schedule.</t>
        </is>
      </c>
    </row>
    <row r="382">
      <c r="A382" s="17" t="inlineStr">
        <is>
          <t xml:space="preserve">Mean-field dissolved CO₂ (cross-check)</t>
        </is>
      </c>
      <c r="B382" s="18" t="inlineStr">
        <is>
          <t xml:space="preserve">C_CO2_mf</t>
        </is>
      </c>
      <c r="C382" s="19" t="inlineStr">
        <is>
          <t xml:space="preserve">mol/m³</t>
        </is>
      </c>
      <c r="D382" s="48">
        <f>y_CO2_mf*C_sat_CO2</f>
        <v>30.122321782312</v>
      </c>
      <c r="E382" s="67" t="inlineStr">
        <is>
          <t xml:space="preserve">Henry equilibrium with the flux-mean headspace CO₂; compare with CO2_cyc_avg_new (D200).</t>
        </is>
      </c>
    </row>
    <row r="383">
      <c r="A383" s="5" t="inlineStr">
        <is>
          <t xml:space="preserve">HEADSPACE BALANCE (cont.) — open vent and air ingress, anodic H₂ oxidation, pre-pulse H₂, vacuum check</t>
        </is>
      </c>
    </row>
    <row r="384">
      <c r="A384" s="17" t="inlineStr">
        <is>
          <t xml:space="preserve">  valid vent model 3</t>
        </is>
      </c>
      <c r="B384" s="18" t="inlineStr">
        <is>
          <t xml:space="preserve">vent_name_3</t>
        </is>
      </c>
      <c r="C384" s="19" t="inlineStr">
        <is>
          <t xml:space="preserve">-</t>
        </is>
      </c>
      <c r="D384" s="131" t="inlineStr">
        <is>
          <t xml:space="preserve">Open vent</t>
        </is>
      </c>
      <c r="E384" s="37" t="inlineStr">
        <is>
          <t xml:space="preserve">A plain needle or tube with no forced flow: air is drawn back after each pulse to refill what the liquid absorbs (no check valve), at the equivalent continuous ingress Q_backdraw (D385). Unsure which vent you have → this one.</t>
        </is>
      </c>
    </row>
    <row r="385">
      <c r="A385" s="17" t="inlineStr">
        <is>
          <t xml:space="preserve">Open-vent back-draw (equivalent continuous air ingress)</t>
        </is>
      </c>
      <c r="B385" s="18" t="inlineStr">
        <is>
          <t xml:space="preserve">Q_backdraw</t>
        </is>
      </c>
      <c r="C385" s="19" t="inlineStr">
        <is>
          <t xml:space="preserve">mL/min</t>
        </is>
      </c>
      <c r="D385" s="131">
        <v>0.015</v>
      </c>
      <c r="E385" s="69" t="inlineStr">
        <is>
          <t xml:space="preserve">ODE-equivalent pressure back-draw at the default schedule (review R4: limit-cycle ODE, open vent, no exchange, ≈0.16 mL of air per 12.7 min cycle). Schedule-dependent, coarse — measure (pressure-decay or headspace-O₂ tracer). Used only when vent_model = "Open vent".</t>
        </is>
      </c>
    </row>
    <row r="386">
      <c r="A386" s="17" t="inlineStr">
        <is>
          <t xml:space="preserve">Air ingress for the vent model in use</t>
        </is>
      </c>
      <c r="B386" s="18" t="inlineStr">
        <is>
          <t xml:space="preserve">Q_vent_used</t>
        </is>
      </c>
      <c r="C386" s="19" t="inlineStr">
        <is>
          <t xml:space="preserve">mL/min</t>
        </is>
      </c>
      <c r="D386" s="48">
        <f>IF(vent_model=vent_name_1,0,IF(vent_model=vent_name_3,Q_backdraw,IF(vent_model=vent_name_2,Q_vent,NA())))</f>
        <v>0.015</v>
      </c>
      <c r="E386" s="69" t="inlineStr">
        <is>
          <t xml:space="preserve">0 for "Outflow only" (check valve), Q_backdraw for "Open vent", the measured Q_vent for "Air exchange"; anything else #N/A by design. The vent is a continuum: 0 is a true check valve. Feeds F_vent_ex (D308) and Summary D113.</t>
        </is>
      </c>
    </row>
    <row r="387">
      <c r="A387" s="20" t="inlineStr">
        <is>
          <t xml:space="preserve">(import) H₂ oxidised at the anode</t>
        </is>
      </c>
      <c r="B387" s="20" t="inlineStr">
        <is>
          <t xml:space="preserve">H2_HOR_mt</t>
        </is>
      </c>
      <c r="C387" s="20" t="inlineStr">
        <is>
          <t xml:space="preserve">mol/h</t>
        </is>
      </c>
      <c r="D387" s="142">
        <f>Electrochemistry!$D$149</f>
        <v>0.0</v>
      </c>
      <c r="E387" s="135" t="inlineStr">
        <is>
          <t xml:space="preserve">Import from Electrochemistry!D149 (r_H2_HOR; 0 while f_HOR_anode is a data gap).</t>
        </is>
      </c>
    </row>
    <row r="388">
      <c r="A388" s="17" t="inlineStr">
        <is>
          <t xml:space="preserve">Headspace H₂ just before a pulse — lag</t>
        </is>
      </c>
      <c r="B388" s="18" t="inlineStr">
        <is>
          <t xml:space="preserve">y_H2_end_l</t>
        </is>
      </c>
      <c r="C388" s="19" t="inlineStr">
        <is>
          <t xml:space="preserve">-</t>
        </is>
      </c>
      <c r="D388" s="48">
        <f>H2_src_l*t_gap_h/n_hs_gas*phi_hs_l/(1-flush_ret*EXP(-x_hs_l))</f>
        <v>0.174311272995</v>
      </c>
      <c r="E388" s="68" t="inlineStr">
        <is>
          <t xml:space="preserve">The H₂ analogue of y_O2_end_l (D358): periodic sawtooth top of the lag headspace at the schedule in use (no H₂ in air). The flammability verdict uses the mean-field mix; this is how high the vial gets before each pulse.</t>
        </is>
      </c>
    </row>
    <row r="389">
      <c r="A389" s="17" t="inlineStr">
        <is>
          <t xml:space="preserve">Headspace pressure sag per cycle if the vent held a vacuum</t>
        </is>
      </c>
      <c r="B389" s="18" t="inlineStr">
        <is>
          <t xml:space="preserve">hs_sag</t>
        </is>
      </c>
      <c r="C389" s="19" t="inlineStr">
        <is>
          <t xml:space="preserve">-</t>
        </is>
      </c>
      <c r="D389" s="48">
        <f>(pool_a*(C_cycle_peak-C_cycle_start)*(V_L_CO2+Vg_CO2)+MAX(0,CO2_fix_sched-O2_src_sched-H2_src_sched)*t_gap_h)/n_hs_gas</f>
        <v>0.059032852289</v>
      </c>
      <c r="E389" s="68" t="inlineStr">
        <is>
          <t xml:space="preserve">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is>
      </c>
    </row>
    <row r="390">
      <c r="A390" s="17" t="inlineStr">
        <is>
          <t xml:space="preserve">Largest sag a sealed cap is taken to hold</t>
        </is>
      </c>
      <c r="B390" s="18" t="inlineStr">
        <is>
          <t xml:space="preserve">hs_sag_max</t>
        </is>
      </c>
      <c r="C390" s="19" t="inlineStr">
        <is>
          <t xml:space="preserve">-</t>
        </is>
      </c>
      <c r="D390" s="131">
        <v>0.05</v>
      </c>
      <c r="E390" s="68" t="inlineStr">
        <is>
          <t xml:space="preserve">Design assumption: the per-cycle pressure deficit (≈5 kPa) a check valve or sealed cap is taken to hold without drawing air back. Confirm on the hardware.</t>
        </is>
      </c>
    </row>
    <row r="391">
      <c r="A391" s="20" t="inlineStr">
        <is>
          <t xml:space="preserve">Outflow-only headspace physically plausible?</t>
        </is>
      </c>
      <c r="B391" s="18" t="inlineStr">
        <is>
          <t xml:space="preserve">hs_sag_chk</t>
        </is>
      </c>
      <c r="C391" s="19" t="inlineStr">
        <is>
          <t xml:space="preserve">-</t>
        </is>
      </c>
      <c r="D391" s="28" t="str">
        <f>IF(F_vent_ex&gt;0,"n/a – the vent admits air (Open vent / Air exchange), so the headspace refills",IF(hs_sag&gt;hs_sag_max,"HEADSPACE SAGS "&amp;TEXT(hs_sag,"0%")&amp;" below 1 atm each cycle – a real cap will draw air back: use Open vent or Air exchange","OK – sag "&amp;TEXT(hs_sag,"0%")&amp;" per cycle, within what a sealed cap holds"))</f>
        <v>n/a – the vent admits air (Open vent / Air exchange), so the headspace refills</v>
      </c>
      <c r="E391" s="67" t="inlineStr">
        <is>
          <t xml:space="preserve">Flags the vacuum the check-valve model needs. When it fires, "Outflow only" is not a physical description of the vial.</t>
        </is>
      </c>
    </row>
    <row r="392">
      <c r="A392" s="20" t="inlineStr">
        <is>
          <t xml:space="preserve">(import) sparge duration override</t>
        </is>
      </c>
      <c r="B392" s="20" t="inlineStr">
        <is>
          <t xml:space="preserve">override_spg_dur_s</t>
        </is>
      </c>
      <c r="C392" s="20" t="inlineStr">
        <is>
          <t xml:space="preserve">s</t>
        </is>
      </c>
      <c r="D392" s="142">
        <f>Summary!$G$13</f>
        <v>0.0</v>
      </c>
      <c r="E392" s="135" t="inlineStr">
        <is>
          <t xml:space="preserve">→ Summary (override_spg_dur_s)</t>
        </is>
      </c>
    </row>
    <row r="393">
      <c r="A393" s="20" t="inlineStr">
        <is>
          <t xml:space="preserve">(import) sparge interval override</t>
        </is>
      </c>
      <c r="B393" s="20" t="inlineStr">
        <is>
          <t xml:space="preserve">override_spg_int_min</t>
        </is>
      </c>
      <c r="C393" s="20" t="inlineStr">
        <is>
          <t xml:space="preserve">min</t>
        </is>
      </c>
      <c r="D393" s="142">
        <f>Summary!$G$15</f>
        <v>0.0</v>
      </c>
      <c r="E393" s="135" t="inlineStr">
        <is>
          <t xml:space="preserve">→ Summary (override_spg_int_min)</t>
        </is>
      </c>
    </row>
    <row r="400">
      <c r="A400" s="5" t="inlineStr">
        <is>
          <t xml:space="preserve">PULSE-VOLUME FIT, CARRYOVER LIMIT, CO₂ UPTAKE, DIC STORAGE AND DRY-GAS BASIS</t>
        </is>
      </c>
    </row>
    <row r="401">
      <c r="A401" s="17" t="inlineStr">
        <is>
          <t xml:space="preserve">Points in the pulse-volume fit (this reactor)</t>
        </is>
      </c>
      <c r="B401" s="18" t="inlineStr">
        <is>
          <t xml:space="preserve">fit_n</t>
        </is>
      </c>
      <c r="C401" s="19" t="inlineStr">
        <is>
          <t xml:space="preserve">count</t>
        </is>
      </c>
      <c r="D401" s="28">
        <f>SUMPRODUCT(('CO2 flows'!$A$4:$A$201=Reactor)*('CO2 flows'!$F$4:$F$201&gt;0)*('CO2 flows'!$N$4:$N$201&lt;&gt;1)*1)</f>
        <v>34.0</v>
      </c>
      <c r="E401" s="160" t="inlineStr">
        <is>
          <t xml:space="preserve">CO2 flows rows with a pulse time (F &gt; 0) for the selected reactor, less those flagged 1 in column N (the red outliers). SUMPRODUCT normal equations: no dynamic arrays, no CSE.</t>
        </is>
      </c>
    </row>
    <row r="402">
      <c r="A402" s="17" t="inlineStr">
        <is>
          <t xml:space="preserve">  Σ t (pulse time)</t>
        </is>
      </c>
      <c r="B402" s="18" t="inlineStr">
        <is>
          <t xml:space="preserve">fit_St</t>
        </is>
      </c>
      <c r="C402" s="19" t="inlineStr">
        <is>
          <t xml:space="preserve">s</t>
        </is>
      </c>
      <c r="D402" s="28">
        <f>SUMPRODUCT(('CO2 flows'!$A$4:$A$201=Reactor)*('CO2 flows'!$F$4:$F$201&gt;0)*('CO2 flows'!$N$4:$N$201&lt;&gt;1)*'CO2 flows'!$F$4:$F$201)</f>
        <v>49.85</v>
      </c>
      <c r="E402" s="160" t="inlineStr">
        <is>
          <t xml:space="preserve">Normal-equation sum over the selected rows.</t>
        </is>
      </c>
    </row>
    <row r="403">
      <c r="A403" s="17" t="inlineStr">
        <is>
          <t xml:space="preserve">  Σ V (pulse volume)</t>
        </is>
      </c>
      <c r="B403" s="18" t="inlineStr">
        <is>
          <t xml:space="preserve">fit_SV</t>
        </is>
      </c>
      <c r="C403" s="19" t="inlineStr">
        <is>
          <t xml:space="preserve">mL</t>
        </is>
      </c>
      <c r="D403" s="28">
        <f>SUMPRODUCT(('CO2 flows'!$A$4:$A$201=Reactor)*('CO2 flows'!$F$4:$F$201&gt;0)*('CO2 flows'!$N$4:$N$201&lt;&gt;1)*'CO2 flows'!$E$4:$E$201)</f>
        <v>178.2</v>
      </c>
      <c r="E403" s="160" t="inlineStr">
        <is>
          <t xml:space="preserve">As above.</t>
        </is>
      </c>
    </row>
    <row r="404">
      <c r="A404" s="17" t="inlineStr">
        <is>
          <t xml:space="preserve">  Σ t²</t>
        </is>
      </c>
      <c r="B404" s="18" t="inlineStr">
        <is>
          <t xml:space="preserve">fit_Stt</t>
        </is>
      </c>
      <c r="C404" s="19" t="inlineStr">
        <is>
          <t xml:space="preserve">s²</t>
        </is>
      </c>
      <c r="D404" s="28">
        <f>SUMPRODUCT(('CO2 flows'!$A$4:$A$201=Reactor)*('CO2 flows'!$F$4:$F$201&gt;0)*('CO2 flows'!$N$4:$N$201&lt;&gt;1)*'CO2 flows'!$F$4:$F$201^2)</f>
        <v>304.7325</v>
      </c>
      <c r="E404" s="160" t="inlineStr">
        <is>
          <t xml:space="preserve">As above.</t>
        </is>
      </c>
    </row>
    <row r="405">
      <c r="A405" s="17" t="inlineStr">
        <is>
          <t xml:space="preserve">  Σ t·V</t>
        </is>
      </c>
      <c r="B405" s="18" t="inlineStr">
        <is>
          <t xml:space="preserve">fit_StV</t>
        </is>
      </c>
      <c r="C405" s="19" t="inlineStr">
        <is>
          <t xml:space="preserve">mL·s</t>
        </is>
      </c>
      <c r="D405" s="28">
        <f>SUMPRODUCT(('CO2 flows'!$A$4:$A$201=Reactor)*('CO2 flows'!$F$4:$F$201&gt;0)*('CO2 flows'!$N$4:$N$201&lt;&gt;1)*'CO2 flows'!$F$4:$F$201*'CO2 flows'!$E$4:$E$201)</f>
        <v>1030.03</v>
      </c>
      <c r="E405" s="160" t="inlineStr">
        <is>
          <t xml:space="preserve">As above.</t>
        </is>
      </c>
    </row>
    <row r="406">
      <c r="A406" s="17" t="inlineStr">
        <is>
          <t xml:space="preserve">Minimum points for a pulse-volume fit</t>
        </is>
      </c>
      <c r="B406" s="18" t="inlineStr">
        <is>
          <t xml:space="preserve">fit_n_min</t>
        </is>
      </c>
      <c r="C406" s="19" t="inlineStr">
        <is>
          <t xml:space="preserve">count</t>
        </is>
      </c>
      <c r="D406" s="131">
        <v>3</v>
      </c>
      <c r="E406" s="68" t="inlineStr">
        <is>
          <t xml:space="preserve">Design assumption: fewer points (or all at one pulse length) and the fit falls back to the nominal flow with no intercept.</t>
        </is>
      </c>
    </row>
    <row r="407">
      <c r="A407" s="17" t="inlineStr">
        <is>
          <t xml:space="preserve">Fitted steady CO₂ flow (slope)</t>
        </is>
      </c>
      <c r="B407" s="18" t="inlineStr">
        <is>
          <t xml:space="preserve">Q_CO2_fit</t>
        </is>
      </c>
      <c r="C407" s="19" t="inlineStr">
        <is>
          <t xml:space="preserve">mL/s</t>
        </is>
      </c>
      <c r="D407" s="28">
        <f>IF(AND(fit_n&gt;=fit_n_min,fit_n*fit_Stt-fit_St^2&gt;0),(fit_n*fit_StV-fit_St*fit_SV)/(fit_n*fit_Stt-fit_St^2),Q_CO2/60)</f>
        <v>3.318707459132</v>
      </c>
      <c r="E407" s="67" t="inlineStr">
        <is>
          <t xml:space="preserve">Least-squares slope of pulse volume on pulse time (R2-M3). ed04: 3.319 mL/s over 34 runs, vs the 3.33 nominal. Falls back to Q_CO2/60 when there is no usable fit.</t>
        </is>
      </c>
    </row>
    <row r="408">
      <c r="A408" s="17" t="inlineStr">
        <is>
          <t xml:space="preserve">Fixed volume per pulse (solenoid opening + line decompression)</t>
        </is>
      </c>
      <c r="B408" s="18" t="inlineStr">
        <is>
          <t xml:space="preserve">pulse_V0</t>
        </is>
      </c>
      <c r="C408" s="19" t="inlineStr">
        <is>
          <t xml:space="preserve">mL</t>
        </is>
      </c>
      <c r="D408" s="28">
        <f>IF(AND(fit_n&gt;=fit_n_min,fit_n*fit_Stt-fit_St^2&gt;0),(fit_SV-Q_CO2_fit*fit_St)/fit_n,0)</f>
        <v>0.375365681243</v>
      </c>
      <c r="E408" s="69" t="inlineStr">
        <is>
          <t xml:space="preserve">Least-squares intercept (R2-M3): ed04 0.375 mL (0.327 if the 15 s run is dropped, 0.131 on ≤2 s runs only). Weak: captured at the inlet tube over CO₂-saturated water / NaHCO₃ (CO2 flows L7–L9), ±0.2 mL. Re-measure at the operating pulse length downstream of a sealed cap.</t>
        </is>
      </c>
    </row>
    <row r="409">
      <c r="A409" s="17" t="inlineStr">
        <is>
          <t xml:space="preserve">Optimal pulse as full-flow equivalent time</t>
        </is>
      </c>
      <c r="B409" s="18" t="inlineStr">
        <is>
          <t xml:space="preserve">spg_dur_eq_opt</t>
        </is>
      </c>
      <c r="C409" s="19" t="inlineStr">
        <is>
          <t xml:space="preserve">s</t>
        </is>
      </c>
      <c r="D409" s="28">
        <f>(pulse_V0+Q_CO2_fit*spg_dur_opt)/(Q_CO2/60)</f>
        <v>0.784513049825</v>
      </c>
      <c r="E409" s="160" t="inlineStr">
        <is>
          <t xml:space="preserve">The time the steady flow Q_CO2 would take to deliver what the optimal pulse actually delivers (V₀ + Q_fit·t). Every duty-based interval (carbon, O₂ dilution, H₂ safety) converts duty to interval through this, so the intercept moves the pulse, not the dose.</t>
        </is>
      </c>
    </row>
    <row r="410">
      <c r="A410" s="17" t="inlineStr">
        <is>
          <t xml:space="preserve">Pulse in use as full-flow equivalent time</t>
        </is>
      </c>
      <c r="B410" s="18" t="inlineStr">
        <is>
          <t xml:space="preserve">spg_dur_eq</t>
        </is>
      </c>
      <c r="C410" s="19" t="inlineStr">
        <is>
          <t xml:space="preserve">s</t>
        </is>
      </c>
      <c r="D410" s="28">
        <f>(pulse_V0+Q_CO2_fit*spg_dur)/(Q_CO2/60)</f>
        <v>0.784513049825</v>
      </c>
      <c r="E410" s="160" t="inlineStr">
        <is>
          <t xml:space="preserve">As above for the schedule in use (follows any override).</t>
        </is>
      </c>
    </row>
    <row r="411">
      <c r="A411" s="17" t="inlineStr">
        <is>
          <t xml:space="preserve">CO₂ volume per pulse (schedule in use)</t>
        </is>
      </c>
      <c r="B411" s="18" t="inlineStr">
        <is>
          <t xml:space="preserve">V_pulse</t>
        </is>
      </c>
      <c r="C411" s="19" t="inlineStr">
        <is>
          <t xml:space="preserve">mL</t>
        </is>
      </c>
      <c r="D411" s="28">
        <f>pulse_V0+Q_CO2_fit*spg_dur</f>
        <v>2.612428455917</v>
      </c>
      <c r="E411" s="160" t="inlineStr">
        <is>
          <t xml:space="preserve">V = V₀ + Q_fit·t at the pulse in use; CO2_pulse (D123) converts it to moles.</t>
        </is>
      </c>
    </row>
    <row r="412">
      <c r="A412" s="17" t="inlineStr">
        <is>
          <t xml:space="preserve">Measured no-carryover limits for this reactor</t>
        </is>
      </c>
      <c r="B412" s="18" t="inlineStr">
        <is>
          <t xml:space="preserve">carry_n</t>
        </is>
      </c>
      <c r="C412" s="19" t="inlineStr">
        <is>
          <t xml:space="preserve">count</t>
        </is>
      </c>
      <c r="D412" s="28">
        <f>SUMPRODUCT(('CO2 flows'!$A$4:$A$201=Reactor)*('CO2 flows'!$M$4:$M$201&gt;0)*1)</f>
        <v>0.0</v>
      </c>
      <c r="E412" s="160" t="inlineStr">
        <is>
          <t xml:space="preserve">Rows of CO2 flows column M with a value for the selected reactor (review R3 M-17).</t>
        </is>
      </c>
    </row>
    <row r="413">
      <c r="A413" s="17" t="inlineStr">
        <is>
          <t xml:space="preserve">Max flow without carryover (lowest measured)</t>
        </is>
      </c>
      <c r="B413" s="18" t="inlineStr">
        <is>
          <t xml:space="preserve">Q_carry_max</t>
        </is>
      </c>
      <c r="C413" s="19" t="inlineStr">
        <is>
          <t xml:space="preserve">mL/s</t>
        </is>
      </c>
      <c r="D413" s="28" t="str">
        <f>IF(carry_n&gt;0,SUMPRODUCT(MIN(('CO2 flows'!$A$4:$A$201=Reactor)*('CO2 flows'!$M$4:$M$201&gt;0)*'CO2 flows'!$M$4:$M$201+(1-('CO2 flows'!$A$4:$A$201=Reactor)*('CO2 flows'!$M$4:$M$201&gt;0))*MAX('CO2 flows'!$M$4:$M$201))),"not measured")</f>
        <v>not measured</v>
      </c>
      <c r="E413" s="70" t="inlineStr">
        <is>
          <t xml:space="preserve">DATA GAP until measured (CO2 flows column M). The lowest entry for the reactor is used (conservative). Key L3 says the nominal flow was set as the largest without bubbles reaching the neck; if that run is taken as the measurement, enter J4 in M4.</t>
        </is>
      </c>
    </row>
    <row r="414">
      <c r="A414" s="17" t="inlineStr">
        <is>
          <t xml:space="preserve">Carryover — superficial-velocity rule of thumb (secondary)</t>
        </is>
      </c>
      <c r="B414" s="18" t="inlineStr">
        <is>
          <t xml:space="preserve">carry_flag_usg</t>
        </is>
      </c>
      <c r="C414" s="19" t="inlineStr">
        <is>
          <t xml:space="preserve">-</t>
        </is>
      </c>
      <c r="D414" s="28" t="str">
        <f>IF(u_sg&gt;u_g_max,"RISK – "&amp;TEXT(u_sg*1000,"0.0")&amp;" mm/s superficial gas velocity over the "&amp;TEXT(u_g_max*1000,"0")&amp;" mm/s rule of thumb","OK – "&amp;TEXT(u_sg*1000,"0.0")&amp;" mm/s against the "&amp;TEXT(u_g_max*1000,"0")&amp;" mm/s rule of thumb")</f>
        <v>OK – 6.6 mm/s against the 50 mm/s rule of thumb</v>
      </c>
      <c r="E414" s="69" t="inlineStr">
        <is>
          <t xml:space="preserve">The former carry_flag test, kept as a secondary line: u_sg vs u_g_max (D58, provisional). It cannot bind below ~25 mL/s, which is why the primary check (D59) now uses the measured limit.</t>
        </is>
      </c>
    </row>
    <row r="415">
      <c r="A415" s="17" t="inlineStr">
        <is>
          <t xml:space="preserve">(import) DIC capacity factor of the liquid</t>
        </is>
      </c>
      <c r="B415" s="18" t="inlineStr">
        <is>
          <t xml:space="preserve">DIC_cap_mt</t>
        </is>
      </c>
      <c r="C415" s="19" t="inlineStr">
        <is>
          <t xml:space="preserve">-</t>
        </is>
      </c>
      <c r="D415" s="28">
        <f>Chemistry!$D$296</f>
        <v>1.154598203915</v>
      </c>
      <c r="E415" s="135" t="inlineStr">
        <is>
          <t xml:space="preserve">Import from Chemistry!D296 (DIC_cap).</t>
        </is>
      </c>
    </row>
    <row r="416">
      <c r="A416" s="17" t="inlineStr">
        <is>
          <t xml:space="preserve">Liquid CO₂ capacity as CO₂(aq)-equivalent volume</t>
        </is>
      </c>
      <c r="B416" s="18" t="inlineStr">
        <is>
          <t xml:space="preserve">V_L_CO2</t>
        </is>
      </c>
      <c r="C416" s="19" t="inlineStr">
        <is>
          <t xml:space="preserve">m³</t>
        </is>
      </c>
      <c r="D416" s="28">
        <f>V_L_m3*DIC_cap_mt</f>
        <v>1.731897305873e-05</v>
      </c>
      <c r="E416" s="160" t="inlineStr">
        <is>
          <t xml:space="preserve">The liquid holds CO₂(aq) plus the bicarbonate it forms, so for the pool it counts as DIC_cap × its volume (R2-m3). Used in D193, D195, D375, D389 and D417.</t>
        </is>
      </c>
    </row>
    <row r="417">
      <c r="A417" s="17" t="inlineStr">
        <is>
          <t xml:space="preserve">CO₂ absorbed after each pulse, per hour : carbon demand</t>
        </is>
      </c>
      <c r="B417" s="18" t="inlineStr">
        <is>
          <t xml:space="preserve">CO2_uptake_ratio</t>
        </is>
      </c>
      <c r="C417" s="19" t="inlineStr">
        <is>
          <t xml:space="preserve">×</t>
        </is>
      </c>
      <c r="D417" s="28">
        <f>IF(CO2_cons&gt;0,(C_cycle_peak-C_cycle_start)*V_L_CO2*pulses_h/CO2_cons,NA())</f>
        <v>2.425083542153</v>
      </c>
      <c r="E417" s="160" t="inlineStr">
        <is>
          <t xml:space="preserve">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is>
      </c>
    </row>
    <row r="418">
      <c r="A418" s="17" t="inlineStr">
        <is>
          <t xml:space="preserve">Dry-gas pressure in the headspace</t>
        </is>
      </c>
      <c r="B418" s="18" t="inlineStr">
        <is>
          <t xml:space="preserve">P_dry</t>
        </is>
      </c>
      <c r="C418" s="19" t="inlineStr">
        <is>
          <t xml:space="preserve">Pa</t>
        </is>
      </c>
      <c r="D418" s="28">
        <f>P_atm-p_sat_w</f>
        <v>98163.2639643</v>
      </c>
      <c r="E418" s="160" t="inlineStr">
        <is>
          <t xml:space="preserve">The headspace over the culture is saturated with water vapour, so the gases the Henry terms see share P_atm − p_sat_w (R2-m8, −3.1 % at 25 °C).</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5" t="inlineStr">
        <is>
          <t xml:space="preserve">max flow without carryover</t>
        </is>
      </c>
      <c r="N2" s="5" t="inlineStr">
        <is>
          <t xml:space="preserve">excluded from pulse fit</t>
        </is>
      </c>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5" t="inlineStr">
        <is>
          <t xml:space="preserve">mL/s</t>
        </is>
      </c>
      <c r="N3" s="5" t="inlineStr">
        <is>
          <t xml:space="preserve">1 = yes</t>
        </is>
      </c>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t="inlineStr">
        <is>
          <t xml:space="preserve">Column M: highest steady flow at which no liquid is carried into the vial neck or vent for this reactor (measured; blank = not measured, and Mass Transfer carry_flag then reads "not measured"). If the lowest entry for the reactor is below the pulse flow, carry_flag reads RISK.</t>
        </is>
      </c>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t="inlineStr">
        <is>
          <t xml:space="preserve">Column N: 1 = point excluded from the pulse-volume fit V = V₀ + Q·t on Mass Transfer (rows 401–408); 1 is set on the two red outliers (G36, G46). Blank = used.</t>
        </is>
      </c>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v>1</v>
      </c>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v>1</v>
      </c>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IFERROR(INDEX(ReactorTypeList,MATCH(C8,ReactorList,0)),"")</f>
        <v/>
      </c>
      <c r="G8" s="122"/>
      <c r="H8" s="122"/>
    </row>
    <row r="9" spans="1:8" x14ac:dyDescent="0.2">
      <c r="A9" s="122"/>
      <c r="B9" s="123"/>
      <c r="C9" s="122"/>
      <c r="D9" s="123"/>
      <c r="E9" s="123"/>
      <c r="F9" s="129" t="str">
        <f>IFERROR(INDEX(ReactorTypeList,MATCH(C9,ReactorList,0)),"")</f>
        <v/>
      </c>
      <c r="G9" s="122"/>
      <c r="H9" s="122"/>
    </row>
    <row r="10" spans="1:8" x14ac:dyDescent="0.2">
      <c r="A10" s="122"/>
      <c r="B10" s="123"/>
      <c r="C10" s="122"/>
      <c r="D10" s="123"/>
      <c r="E10" s="123"/>
      <c r="F10" s="129" t="str">
        <f>IFERROR(INDEX(ReactorTypeList,MATCH(C10,ReactorList,0)),"")</f>
        <v/>
      </c>
      <c r="G10" s="122"/>
      <c r="H10" s="122"/>
    </row>
    <row r="11" spans="1:8" x14ac:dyDescent="0.2">
      <c r="A11" s="122"/>
      <c r="B11" s="123"/>
      <c r="C11" s="122"/>
      <c r="D11" s="123"/>
      <c r="E11" s="123"/>
      <c r="F11" s="129" t="str">
        <f>IFERROR(INDEX(ReactorTypeList,MATCH(C11,ReactorList,0)),"")</f>
        <v/>
      </c>
      <c r="G11" s="122"/>
      <c r="H11" s="122"/>
    </row>
    <row r="12" spans="1:8" x14ac:dyDescent="0.2">
      <c r="A12" s="122"/>
      <c r="B12" s="123"/>
      <c r="C12" s="122"/>
      <c r="D12" s="123"/>
      <c r="E12" s="123"/>
      <c r="F12" s="129" t="str">
        <f>IFERROR(INDEX(ReactorTypeList,MATCH(C12,ReactorList,0)),"")</f>
        <v/>
      </c>
      <c r="G12" s="122"/>
      <c r="H12" s="122"/>
    </row>
    <row r="13" spans="1:8" x14ac:dyDescent="0.2">
      <c r="A13" s="122"/>
      <c r="B13" s="123"/>
      <c r="C13" s="122"/>
      <c r="D13" s="123"/>
      <c r="E13" s="123"/>
      <c r="F13" s="129" t="str">
        <f>IFERROR(INDEX(ReactorTypeList,MATCH(C13,ReactorList,0)),"")</f>
        <v/>
      </c>
      <c r="G13" s="122"/>
      <c r="H13" s="122"/>
    </row>
    <row r="14" spans="1:8" x14ac:dyDescent="0.2">
      <c r="A14" s="122"/>
      <c r="B14" s="123"/>
      <c r="C14" s="122"/>
      <c r="D14" s="123"/>
      <c r="E14" s="123"/>
      <c r="F14" s="129" t="str">
        <f>IFERROR(INDEX(ReactorTypeList,MATCH(C14,ReactorList,0)),"")</f>
        <v/>
      </c>
      <c r="G14" s="122"/>
      <c r="H14" s="122"/>
    </row>
    <row r="15" spans="1:8" x14ac:dyDescent="0.2">
      <c r="A15" s="122"/>
      <c r="B15" s="123"/>
      <c r="C15" s="122"/>
      <c r="D15" s="123"/>
      <c r="E15" s="123"/>
      <c r="F15" s="129" t="str">
        <f>IFERROR(INDEX(ReactorTypeList,MATCH(C15,ReactorList,0)),"")</f>
        <v/>
      </c>
      <c r="G15" s="122"/>
      <c r="H15" s="122"/>
    </row>
    <row r="16" spans="1:8" x14ac:dyDescent="0.2">
      <c r="A16" s="17" t="s">
        <v>1404</v>
      </c>
      <c r="C16" s="19" t="s">
        <v>321</v>
      </c>
      <c r="D16" s="48"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7" t="s">
        <v>1405</v>
      </c>
      <c r="C17" s="19" t="s">
        <v>325</v>
      </c>
      <c r="D17" s="48"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IFERROR(((G23-p_sat_w)*(E23/1000000)/(R_gas*(F23+T_zero_C)))/(D23/(IF(H23="H2",z_e_H2,IF(H23="O2",z_e_O2,NA()))*F_const)),"")</f>
        <v/>
      </c>
      <c r="J23" s="129" t="str">
        <f>IFERROR(INDEX(ReactorTypeList,MATCH(C23,ReactorList,0)),"")</f>
        <v/>
      </c>
      <c r="K23" s="122"/>
      <c r="L23" s="122"/>
      <c r="M23" s="97"/>
    </row>
    <row r="24" spans="1:13" x14ac:dyDescent="0.2">
      <c r="A24" s="122"/>
      <c r="B24" s="123"/>
      <c r="C24" s="122"/>
      <c r="D24" s="123"/>
      <c r="E24" s="123"/>
      <c r="F24" s="123"/>
      <c r="G24" s="123"/>
      <c r="H24" s="123"/>
      <c r="I24" s="129" t="str">
        <f>IFERROR(((G24-p_sat_w)*(E24/1000000)/(R_gas*(F24+T_zero_C)))/(D24/(IF(H24="H2",z_e_H2,IF(H24="O2",z_e_O2,NA()))*F_const)),"")</f>
        <v/>
      </c>
      <c r="J24" s="129" t="str">
        <f>IFERROR(INDEX(ReactorTypeList,MATCH(C24,ReactorList,0)),"")</f>
        <v/>
      </c>
      <c r="K24" s="122"/>
      <c r="L24" s="122"/>
      <c r="M24" s="97"/>
    </row>
    <row r="25" spans="1:13" x14ac:dyDescent="0.2">
      <c r="A25" s="122"/>
      <c r="B25" s="123"/>
      <c r="C25" s="122"/>
      <c r="D25" s="123"/>
      <c r="E25" s="123"/>
      <c r="F25" s="123"/>
      <c r="G25" s="123"/>
      <c r="H25" s="123"/>
      <c r="I25" s="129" t="str">
        <f>IFERROR(((G25-p_sat_w)*(E25/1000000)/(R_gas*(F25+T_zero_C)))/(D25/(IF(H25="H2",z_e_H2,IF(H25="O2",z_e_O2,NA()))*F_const)),"")</f>
        <v/>
      </c>
      <c r="J25" s="129" t="str">
        <f>IFERROR(INDEX(ReactorTypeList,MATCH(C25,ReactorList,0)),"")</f>
        <v/>
      </c>
      <c r="K25" s="122"/>
      <c r="L25" s="122"/>
      <c r="M25" s="97"/>
    </row>
    <row r="26" spans="1:13" x14ac:dyDescent="0.2">
      <c r="A26" s="122"/>
      <c r="B26" s="123"/>
      <c r="C26" s="122"/>
      <c r="D26" s="123"/>
      <c r="E26" s="123"/>
      <c r="F26" s="123"/>
      <c r="G26" s="123"/>
      <c r="H26" s="123"/>
      <c r="I26" s="129" t="str">
        <f>IFERROR(((G26-p_sat_w)*(E26/1000000)/(R_gas*(F26+T_zero_C)))/(D26/(IF(H26="H2",z_e_H2,IF(H26="O2",z_e_O2,NA()))*F_const)),"")</f>
        <v/>
      </c>
      <c r="J26" s="129" t="str">
        <f>IFERROR(INDEX(ReactorTypeList,MATCH(C26,ReactorList,0)),"")</f>
        <v/>
      </c>
      <c r="K26" s="122"/>
      <c r="L26" s="122"/>
      <c r="M26" s="97"/>
    </row>
    <row r="27" spans="1:13" x14ac:dyDescent="0.2">
      <c r="A27" s="122"/>
      <c r="B27" s="123"/>
      <c r="C27" s="122"/>
      <c r="D27" s="123"/>
      <c r="E27" s="123"/>
      <c r="F27" s="123"/>
      <c r="G27" s="123"/>
      <c r="H27" s="123"/>
      <c r="I27" s="129" t="str">
        <f>IFERROR(((G27-p_sat_w)*(E27/1000000)/(R_gas*(F27+T_zero_C)))/(D27/(IF(H27="H2",z_e_H2,IF(H27="O2",z_e_O2,NA()))*F_const)),"")</f>
        <v/>
      </c>
      <c r="J27" s="129" t="str">
        <f>IFERROR(INDEX(ReactorTypeList,MATCH(C27,ReactorList,0)),"")</f>
        <v/>
      </c>
      <c r="K27" s="122"/>
      <c r="L27" s="122"/>
      <c r="M27" s="97"/>
    </row>
    <row r="28" spans="1:13" x14ac:dyDescent="0.2">
      <c r="A28" s="122"/>
      <c r="B28" s="123"/>
      <c r="C28" s="122"/>
      <c r="D28" s="123"/>
      <c r="E28" s="123"/>
      <c r="F28" s="123"/>
      <c r="G28" s="123"/>
      <c r="H28" s="123"/>
      <c r="I28" s="129" t="str">
        <f>IFERROR(((G28-p_sat_w)*(E28/1000000)/(R_gas*(F28+T_zero_C)))/(D28/(IF(H28="H2",z_e_H2,IF(H28="O2",z_e_O2,NA()))*F_const)),"")</f>
        <v/>
      </c>
      <c r="J28" s="129" t="str">
        <f>IFERROR(INDEX(ReactorTypeList,MATCH(C28,ReactorList,0)),"")</f>
        <v/>
      </c>
      <c r="K28" s="122"/>
      <c r="L28" s="122"/>
      <c r="M28" s="97"/>
    </row>
    <row r="29" spans="1:13" x14ac:dyDescent="0.2">
      <c r="A29" s="122"/>
      <c r="B29" s="123"/>
      <c r="C29" s="122"/>
      <c r="D29" s="123"/>
      <c r="E29" s="123"/>
      <c r="F29" s="123"/>
      <c r="G29" s="123"/>
      <c r="H29" s="123"/>
      <c r="I29" s="129" t="str">
        <f>IFERROR(((G29-p_sat_w)*(E29/1000000)/(R_gas*(F29+T_zero_C)))/(D29/(IF(H29="H2",z_e_H2,IF(H29="O2",z_e_O2,NA()))*F_const)),"")</f>
        <v/>
      </c>
      <c r="J29" s="129" t="str">
        <f>IFERROR(INDEX(ReactorTypeList,MATCH(C29,ReactorList,0)),"")</f>
        <v/>
      </c>
      <c r="K29" s="122"/>
      <c r="L29" s="122"/>
      <c r="M29" s="97"/>
    </row>
    <row r="30" spans="1:13" x14ac:dyDescent="0.2">
      <c r="A30" s="122"/>
      <c r="B30" s="123"/>
      <c r="C30" s="122"/>
      <c r="D30" s="123"/>
      <c r="E30" s="123"/>
      <c r="F30" s="123"/>
      <c r="G30" s="123"/>
      <c r="H30" s="123"/>
      <c r="I30" s="129" t="str">
        <f>IFERROR(((G30-p_sat_w)*(E30/1000000)/(R_gas*(F30+T_zero_C)))/(D30/(IF(H30="H2",z_e_H2,IF(H30="O2",z_e_O2,NA()))*F_const)),"")</f>
        <v/>
      </c>
      <c r="J30" s="129" t="str">
        <f>IFERROR(INDEX(ReactorTypeList,MATCH(C30,ReactorList,0)),"")</f>
        <v/>
      </c>
      <c r="K30" s="122"/>
      <c r="L30" s="122"/>
      <c r="M30" s="97"/>
    </row>
    <row r="31" spans="1:13" x14ac:dyDescent="0.2">
      <c r="A31" s="125" t="s">
        <v>1411</v>
      </c>
      <c r="B31" s="97"/>
      <c r="C31" s="126" t="s">
        <v>135</v>
      </c>
      <c r="D31" s="124" t="str">
        <f>IFERROR(AVERAGEIFS(I23:I30,C23:C30,Reactor_sel,K23:K30,"y",H23:H30,"H2"),"no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IFERROR(AVERAGEIFS(I23:I30,C23:C30,Reactor_sel,K23:K30,"y",H23:H30,"O2"),"no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IFERROR(INDEX(ReactorTypeList,MATCH(C38,ReactorList,0)),"")</f>
        <v/>
      </c>
      <c r="F38" s="122"/>
      <c r="G38" s="122"/>
      <c r="H38" s="97"/>
      <c r="I38" s="97"/>
      <c r="J38" s="97"/>
      <c r="K38" s="97"/>
      <c r="L38" s="97"/>
      <c r="M38" s="97"/>
    </row>
    <row r="39" spans="1:13" x14ac:dyDescent="0.2">
      <c r="A39" s="122"/>
      <c r="B39" s="123"/>
      <c r="C39" s="122"/>
      <c r="D39" s="123"/>
      <c r="E39" s="129" t="str">
        <f>IFERROR(INDEX(ReactorTypeList,MATCH(C39,ReactorList,0)),"")</f>
        <v/>
      </c>
      <c r="F39" s="122"/>
      <c r="G39" s="122"/>
      <c r="H39" s="97"/>
      <c r="I39" s="97"/>
      <c r="J39" s="97"/>
      <c r="K39" s="97"/>
      <c r="L39" s="97"/>
      <c r="M39" s="97"/>
    </row>
    <row r="40" spans="1:13" x14ac:dyDescent="0.2">
      <c r="A40" s="122"/>
      <c r="B40" s="123"/>
      <c r="C40" s="122"/>
      <c r="D40" s="123"/>
      <c r="E40" s="129" t="str">
        <f>IFERROR(INDEX(ReactorTypeList,MATCH(C40,ReactorList,0)),"")</f>
        <v/>
      </c>
      <c r="F40" s="122"/>
      <c r="G40" s="122"/>
      <c r="H40" s="97"/>
      <c r="I40" s="97"/>
      <c r="J40" s="97"/>
      <c r="K40" s="97"/>
      <c r="L40" s="97"/>
      <c r="M40" s="97"/>
    </row>
    <row r="41" spans="1:13" x14ac:dyDescent="0.2">
      <c r="A41" s="122"/>
      <c r="B41" s="123"/>
      <c r="C41" s="122"/>
      <c r="D41" s="123"/>
      <c r="E41" s="129" t="str">
        <f>IFERROR(INDEX(ReactorTypeList,MATCH(C41,ReactorList,0)),"")</f>
        <v/>
      </c>
      <c r="F41" s="122"/>
      <c r="G41" s="122"/>
      <c r="H41" s="97"/>
      <c r="I41" s="97"/>
      <c r="J41" s="97"/>
      <c r="K41" s="97"/>
      <c r="L41" s="97"/>
      <c r="M41" s="97"/>
    </row>
    <row r="42" spans="1:13" x14ac:dyDescent="0.2">
      <c r="A42" s="122"/>
      <c r="B42" s="123"/>
      <c r="C42" s="122"/>
      <c r="D42" s="123"/>
      <c r="E42" s="129" t="str">
        <f>IFERROR(INDEX(ReactorTypeList,MATCH(C42,ReactorList,0)),"")</f>
        <v/>
      </c>
      <c r="F42" s="122"/>
      <c r="G42" s="122"/>
      <c r="H42" s="97"/>
      <c r="I42" s="97"/>
      <c r="J42" s="97"/>
      <c r="K42" s="97"/>
      <c r="L42" s="97"/>
      <c r="M42" s="97"/>
    </row>
    <row r="43" spans="1:13" x14ac:dyDescent="0.2">
      <c r="A43" s="122"/>
      <c r="B43" s="123"/>
      <c r="C43" s="122"/>
      <c r="D43" s="123"/>
      <c r="E43" s="129" t="str">
        <f>IFERROR(INDEX(ReactorTypeList,MATCH(C43,ReactorList,0)),"")</f>
        <v/>
      </c>
      <c r="F43" s="122"/>
      <c r="G43" s="122"/>
      <c r="H43" s="97"/>
      <c r="I43" s="97"/>
      <c r="J43" s="97"/>
      <c r="K43" s="97"/>
      <c r="L43" s="97"/>
      <c r="M43" s="97"/>
    </row>
    <row r="44" spans="1:13" x14ac:dyDescent="0.2">
      <c r="A44" s="122"/>
      <c r="B44" s="123"/>
      <c r="C44" s="122"/>
      <c r="D44" s="123"/>
      <c r="E44" s="129" t="str">
        <f>IFERROR(INDEX(ReactorTypeList,MATCH(C44,ReactorList,0)),"")</f>
        <v/>
      </c>
      <c r="F44" s="122"/>
      <c r="G44" s="122"/>
      <c r="H44" s="97"/>
      <c r="I44" s="97"/>
      <c r="J44" s="97"/>
      <c r="K44" s="97"/>
      <c r="L44" s="97"/>
      <c r="M44" s="97"/>
    </row>
    <row r="45" spans="1:13" x14ac:dyDescent="0.2">
      <c r="A45" s="122"/>
      <c r="B45" s="123"/>
      <c r="C45" s="122"/>
      <c r="D45" s="123"/>
      <c r="E45" s="129" t="str">
        <f>IFERROR(INDEX(ReactorTypeList,MATCH(C45,ReactorList,0)),"")</f>
        <v/>
      </c>
      <c r="F45" s="122"/>
      <c r="G45" s="122"/>
      <c r="H45" s="97"/>
      <c r="I45" s="97"/>
      <c r="J45" s="97"/>
      <c r="K45" s="97"/>
      <c r="L45" s="97"/>
      <c r="M45" s="97"/>
    </row>
    <row r="46" spans="1:13" x14ac:dyDescent="0.2">
      <c r="A46" s="125" t="s">
        <v>1415</v>
      </c>
      <c r="B46" s="97"/>
      <c r="C46" s="126" t="s">
        <v>507</v>
      </c>
      <c r="D46" s="124" t="str">
        <f>IFERROR(AVERAGEIFS(D38:D45,C38:C45,Reactor_sel,F38:F45,"y"),"no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IFERROR(INDEX(ReactorTypeList,MATCH(C52,ReactorList,0)),"")</f>
        <v/>
      </c>
      <c r="H52" s="122"/>
      <c r="I52" s="122"/>
      <c r="J52" s="97"/>
      <c r="K52" s="97"/>
      <c r="L52" s="97"/>
      <c r="M52" s="97"/>
    </row>
    <row r="53" spans="1:13" x14ac:dyDescent="0.2">
      <c r="A53" s="122"/>
      <c r="B53" s="123"/>
      <c r="C53" s="122"/>
      <c r="D53" s="123"/>
      <c r="E53" s="123"/>
      <c r="F53" s="129" t="str">
        <f t="shared" si="0"/>
        <v/>
      </c>
      <c r="G53" s="129" t="str">
        <f>IFERROR(INDEX(ReactorTypeList,MATCH(C53,ReactorList,0)),"")</f>
        <v/>
      </c>
      <c r="H53" s="122"/>
      <c r="I53" s="122"/>
      <c r="J53" s="97"/>
      <c r="K53" s="97"/>
      <c r="L53" s="97"/>
      <c r="M53" s="97"/>
    </row>
    <row r="54" spans="1:13" x14ac:dyDescent="0.2">
      <c r="A54" s="122"/>
      <c r="B54" s="123"/>
      <c r="C54" s="122"/>
      <c r="D54" s="123"/>
      <c r="E54" s="123"/>
      <c r="F54" s="129" t="str">
        <f t="shared" si="0"/>
        <v/>
      </c>
      <c r="G54" s="129" t="str">
        <f>IFERROR(INDEX(ReactorTypeList,MATCH(C54,ReactorList,0)),"")</f>
        <v/>
      </c>
      <c r="H54" s="122"/>
      <c r="I54" s="122"/>
      <c r="J54" s="97"/>
      <c r="K54" s="97"/>
      <c r="L54" s="97"/>
      <c r="M54" s="97"/>
    </row>
    <row r="55" spans="1:13" x14ac:dyDescent="0.2">
      <c r="A55" s="122"/>
      <c r="B55" s="123"/>
      <c r="C55" s="122"/>
      <c r="D55" s="123"/>
      <c r="E55" s="123"/>
      <c r="F55" s="129" t="str">
        <f t="shared" si="0"/>
        <v/>
      </c>
      <c r="G55" s="129" t="str">
        <f>IFERROR(INDEX(ReactorTypeList,MATCH(C55,ReactorList,0)),"")</f>
        <v/>
      </c>
      <c r="H55" s="122"/>
      <c r="I55" s="122"/>
      <c r="J55" s="97"/>
      <c r="K55" s="97"/>
      <c r="L55" s="97"/>
      <c r="M55" s="97"/>
    </row>
    <row r="56" spans="1:13" x14ac:dyDescent="0.2">
      <c r="A56" s="122"/>
      <c r="B56" s="123"/>
      <c r="C56" s="122"/>
      <c r="D56" s="123"/>
      <c r="E56" s="123"/>
      <c r="F56" s="129" t="str">
        <f t="shared" si="0"/>
        <v/>
      </c>
      <c r="G56" s="129" t="str">
        <f>IFERROR(INDEX(ReactorTypeList,MATCH(C56,ReactorList,0)),"")</f>
        <v/>
      </c>
      <c r="H56" s="122"/>
      <c r="I56" s="122"/>
      <c r="J56" s="97"/>
      <c r="K56" s="97"/>
      <c r="L56" s="97"/>
      <c r="M56" s="97"/>
    </row>
    <row r="57" spans="1:13" x14ac:dyDescent="0.2">
      <c r="A57" s="122"/>
      <c r="B57" s="123"/>
      <c r="C57" s="122"/>
      <c r="D57" s="123"/>
      <c r="E57" s="123"/>
      <c r="F57" s="129" t="str">
        <f t="shared" si="0"/>
        <v/>
      </c>
      <c r="G57" s="129" t="str">
        <f>IFERROR(INDEX(ReactorTypeList,MATCH(C57,ReactorList,0)),"")</f>
        <v/>
      </c>
      <c r="H57" s="122"/>
      <c r="I57" s="122"/>
      <c r="J57" s="97"/>
      <c r="K57" s="97"/>
      <c r="L57" s="97"/>
      <c r="M57" s="97"/>
    </row>
    <row r="58" spans="1:13" x14ac:dyDescent="0.2">
      <c r="A58" s="122"/>
      <c r="B58" s="123"/>
      <c r="C58" s="122"/>
      <c r="D58" s="123"/>
      <c r="E58" s="123"/>
      <c r="F58" s="129" t="str">
        <f t="shared" si="0"/>
        <v/>
      </c>
      <c r="G58" s="129" t="str">
        <f>IFERROR(INDEX(ReactorTypeList,MATCH(C58,ReactorList,0)),"")</f>
        <v/>
      </c>
      <c r="H58" s="122"/>
      <c r="I58" s="122"/>
      <c r="J58" s="97"/>
      <c r="K58" s="97"/>
      <c r="L58" s="97"/>
      <c r="M58" s="97"/>
    </row>
    <row r="59" spans="1:13" x14ac:dyDescent="0.2">
      <c r="A59" s="122"/>
      <c r="B59" s="123"/>
      <c r="C59" s="122"/>
      <c r="D59" s="123"/>
      <c r="E59" s="123"/>
      <c r="F59" s="129" t="str">
        <f t="shared" si="0"/>
        <v/>
      </c>
      <c r="G59" s="129" t="str">
        <f>IFERROR(INDEX(ReactorTypeList,MATCH(C59,ReactorList,0)),"")</f>
        <v/>
      </c>
      <c r="H59" s="122"/>
      <c r="I59" s="122"/>
      <c r="J59" s="97"/>
      <c r="K59" s="97"/>
      <c r="L59" s="97"/>
      <c r="M59" s="97"/>
    </row>
    <row r="60" spans="1:13" x14ac:dyDescent="0.2">
      <c r="A60" s="125" t="s">
        <v>1420</v>
      </c>
      <c r="B60" s="97"/>
      <c r="C60" s="126" t="s">
        <v>1421</v>
      </c>
      <c r="D60" s="124" t="str">
        <f>IFERROR(AVERAGEIFS(F52:F59,C52:C59,Reactor_sel,H52:H59,"y",B52:B59,SUMPRODUCT(MAX((C52:C59=Reactor_sel)*(H52:H59="y")*B52:B59))),"no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IF(E66="","",IFERROR(E66/((ca_rho_0+ca_rho_k*F66)/1000),""))</f>
        <v/>
      </c>
      <c r="H66" s="129" t="str">
        <f>IF(E66="","",IFERROR((E66/((ca_rho_0+ca_rho_k*F66)/1000))*1000/A_x,""))</f>
        <v/>
      </c>
      <c r="I66" s="129" t="str">
        <f>IFERROR(INDEX(ReactorTypeList,MATCH(C66,ReactorList,0)),"")</f>
        <v/>
      </c>
      <c r="J66" s="122"/>
      <c r="K66" s="122"/>
      <c r="L66" s="129" t="str">
        <f>IF(D66="","",IFERROR(D66/((ca_rho_0+ca_rho_k*F66)/1000),""))</f>
        <v/>
      </c>
      <c r="M66" s="123"/>
      <c r="N66" s="129" t="str">
        <f>IF(M66="","",IFERROR(M66/((ca_rho_0+ca_rho_k*F66)/1000),""))</f>
        <v/>
      </c>
    </row>
    <row r="67" x14ac:dyDescent="0.2">
      <c r="A67" s="122"/>
      <c r="B67" s="123"/>
      <c r="C67" s="122"/>
      <c r="D67" s="123"/>
      <c r="E67" s="123"/>
      <c r="F67" s="123"/>
      <c r="G67" s="129" t="str">
        <f>IF(E67="","",IFERROR(E67/((ca_rho_0+ca_rho_k*F67)/1000),""))</f>
        <v/>
      </c>
      <c r="H67" s="129" t="str">
        <f>IF(E67="","",IFERROR((E67/((ca_rho_0+ca_rho_k*F67)/1000))*1000/A_x,""))</f>
        <v/>
      </c>
      <c r="I67" s="129" t="str">
        <f>IFERROR(INDEX(ReactorTypeList,MATCH(C67,ReactorList,0)),"")</f>
        <v/>
      </c>
      <c r="J67" s="122"/>
      <c r="K67" s="122"/>
      <c r="L67" s="129" t="str">
        <f>IF(D67="","",IFERROR(D67/((ca_rho_0+ca_rho_k*F67)/1000),""))</f>
        <v/>
      </c>
      <c r="M67" s="123"/>
      <c r="N67" s="129" t="str">
        <f>IF(M67="","",IFERROR(M67/((ca_rho_0+ca_rho_k*F67)/1000),""))</f>
        <v/>
      </c>
    </row>
    <row r="68" x14ac:dyDescent="0.2">
      <c r="A68" s="122"/>
      <c r="B68" s="123"/>
      <c r="C68" s="122"/>
      <c r="D68" s="123"/>
      <c r="E68" s="123"/>
      <c r="F68" s="123"/>
      <c r="G68" s="129" t="str">
        <f>IF(E68="","",IFERROR(E68/((ca_rho_0+ca_rho_k*F68)/1000),""))</f>
        <v/>
      </c>
      <c r="H68" s="129" t="str">
        <f>IF(E68="","",IFERROR((E68/((ca_rho_0+ca_rho_k*F68)/1000))*1000/A_x,""))</f>
        <v/>
      </c>
      <c r="I68" s="129" t="str">
        <f>IFERROR(INDEX(ReactorTypeList,MATCH(C68,ReactorList,0)),"")</f>
        <v/>
      </c>
      <c r="J68" s="122"/>
      <c r="K68" s="122"/>
      <c r="L68" s="129" t="str">
        <f>IF(D68="","",IFERROR(D68/((ca_rho_0+ca_rho_k*F68)/1000),""))</f>
        <v/>
      </c>
      <c r="M68" s="123"/>
      <c r="N68" s="129" t="str">
        <f>IF(M68="","",IFERROR(M68/((ca_rho_0+ca_rho_k*F68)/1000),""))</f>
        <v/>
      </c>
    </row>
    <row r="69" x14ac:dyDescent="0.2">
      <c r="A69" s="122"/>
      <c r="B69" s="123"/>
      <c r="C69" s="122"/>
      <c r="D69" s="123"/>
      <c r="E69" s="123"/>
      <c r="F69" s="123"/>
      <c r="G69" s="129" t="str">
        <f>IF(E69="","",IFERROR(E69/((ca_rho_0+ca_rho_k*F69)/1000),""))</f>
        <v/>
      </c>
      <c r="H69" s="129" t="str">
        <f>IF(E69="","",IFERROR((E69/((ca_rho_0+ca_rho_k*F69)/1000))*1000/A_x,""))</f>
        <v/>
      </c>
      <c r="I69" s="129" t="str">
        <f>IFERROR(INDEX(ReactorTypeList,MATCH(C69,ReactorList,0)),"")</f>
        <v/>
      </c>
      <c r="J69" s="122"/>
      <c r="K69" s="122"/>
      <c r="L69" s="129" t="str">
        <f>IF(D69="","",IFERROR(D69/((ca_rho_0+ca_rho_k*F69)/1000),""))</f>
        <v/>
      </c>
      <c r="M69" s="123"/>
      <c r="N69" s="129" t="str">
        <f>IF(M69="","",IFERROR(M69/((ca_rho_0+ca_rho_k*F69)/1000),""))</f>
        <v/>
      </c>
    </row>
    <row r="70" x14ac:dyDescent="0.2">
      <c r="A70" s="122"/>
      <c r="B70" s="123"/>
      <c r="C70" s="122"/>
      <c r="D70" s="123"/>
      <c r="E70" s="123"/>
      <c r="F70" s="123"/>
      <c r="G70" s="129" t="str">
        <f>IF(E70="","",IFERROR(E70/((ca_rho_0+ca_rho_k*F70)/1000),""))</f>
        <v/>
      </c>
      <c r="H70" s="129" t="str">
        <f>IF(E70="","",IFERROR((E70/((ca_rho_0+ca_rho_k*F70)/1000))*1000/A_x,""))</f>
        <v/>
      </c>
      <c r="I70" s="129" t="str">
        <f>IFERROR(INDEX(ReactorTypeList,MATCH(C70,ReactorList,0)),"")</f>
        <v/>
      </c>
      <c r="J70" s="122"/>
      <c r="K70" s="122"/>
      <c r="L70" s="129" t="str">
        <f>IF(D70="","",IFERROR(D70/((ca_rho_0+ca_rho_k*F70)/1000),""))</f>
        <v/>
      </c>
      <c r="M70" s="123"/>
      <c r="N70" s="129" t="str">
        <f>IF(M70="","",IFERROR(M70/((ca_rho_0+ca_rho_k*F70)/1000),""))</f>
        <v/>
      </c>
    </row>
    <row r="71" x14ac:dyDescent="0.2">
      <c r="A71" s="122"/>
      <c r="B71" s="123"/>
      <c r="C71" s="122"/>
      <c r="D71" s="123"/>
      <c r="E71" s="123"/>
      <c r="F71" s="123"/>
      <c r="G71" s="129" t="str">
        <f>IF(E71="","",IFERROR(E71/((ca_rho_0+ca_rho_k*F71)/1000),""))</f>
        <v/>
      </c>
      <c r="H71" s="129" t="str">
        <f>IF(E71="","",IFERROR((E71/((ca_rho_0+ca_rho_k*F71)/1000))*1000/A_x,""))</f>
        <v/>
      </c>
      <c r="I71" s="129" t="str">
        <f>IFERROR(INDEX(ReactorTypeList,MATCH(C71,ReactorList,0)),"")</f>
        <v/>
      </c>
      <c r="J71" s="122"/>
      <c r="K71" s="122"/>
      <c r="L71" s="129" t="str">
        <f>IF(D71="","",IFERROR(D71/((ca_rho_0+ca_rho_k*F71)/1000),""))</f>
        <v/>
      </c>
      <c r="M71" s="123"/>
      <c r="N71" s="129" t="str">
        <f>IF(M71="","",IFERROR(M71/((ca_rho_0+ca_rho_k*F71)/1000),""))</f>
        <v/>
      </c>
    </row>
    <row r="72" x14ac:dyDescent="0.2">
      <c r="A72" s="122"/>
      <c r="B72" s="123"/>
      <c r="C72" s="122"/>
      <c r="D72" s="123"/>
      <c r="E72" s="123"/>
      <c r="F72" s="123"/>
      <c r="G72" s="129" t="str">
        <f>IF(E72="","",IFERROR(E72/((ca_rho_0+ca_rho_k*F72)/1000),""))</f>
        <v/>
      </c>
      <c r="H72" s="129" t="str">
        <f>IF(E72="","",IFERROR((E72/((ca_rho_0+ca_rho_k*F72)/1000))*1000/A_x,""))</f>
        <v/>
      </c>
      <c r="I72" s="129" t="str">
        <f>IFERROR(INDEX(ReactorTypeList,MATCH(C72,ReactorList,0)),"")</f>
        <v/>
      </c>
      <c r="J72" s="122"/>
      <c r="K72" s="122"/>
      <c r="L72" s="129" t="str">
        <f>IF(D72="","",IFERROR(D72/((ca_rho_0+ca_rho_k*F72)/1000),""))</f>
        <v/>
      </c>
      <c r="M72" s="123"/>
      <c r="N72" s="129" t="str">
        <f>IF(M72="","",IFERROR(M72/((ca_rho_0+ca_rho_k*F72)/1000),""))</f>
        <v/>
      </c>
    </row>
    <row r="73" x14ac:dyDescent="0.2">
      <c r="A73" s="122"/>
      <c r="B73" s="123"/>
      <c r="C73" s="122"/>
      <c r="D73" s="123"/>
      <c r="E73" s="123"/>
      <c r="F73" s="123"/>
      <c r="G73" s="129" t="str">
        <f>IF(E73="","",IFERROR(E73/((ca_rho_0+ca_rho_k*F73)/1000),""))</f>
        <v/>
      </c>
      <c r="H73" s="129" t="str">
        <f>IF(E73="","",IFERROR((E73/((ca_rho_0+ca_rho_k*F73)/1000))*1000/A_x,""))</f>
        <v/>
      </c>
      <c r="I73" s="129" t="str">
        <f>IFERROR(INDEX(ReactorTypeList,MATCH(C73,ReactorList,0)),"")</f>
        <v/>
      </c>
      <c r="J73" s="122"/>
      <c r="K73" s="122"/>
      <c r="L73" s="129" t="str">
        <f>IF(D73="","",IFERROR(D73/((ca_rho_0+ca_rho_k*F73)/1000),""))</f>
        <v/>
      </c>
      <c r="M73" s="123"/>
      <c r="N73" s="129" t="str">
        <f>IF(M73="","",IFERROR(M73/((ca_rho_0+ca_rho_k*F73)/1000),""))</f>
        <v/>
      </c>
    </row>
    <row r="74" spans="1:13" x14ac:dyDescent="0.2">
      <c r="A74" s="125" t="s">
        <v>1427</v>
      </c>
      <c r="B74" s="97"/>
      <c r="C74" s="126" t="s">
        <v>57</v>
      </c>
      <c r="D74" s="124" t="str">
        <f>IFERROR(AVERAGEIFS(G66:G73,I66:I73,rx_ver,J66:J73,"y"),"no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IFERROR(AVERAGEIFS(H66:H73,I66:I73,rx_ver,J66:J73,"y"),"no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IFERROR(AVERAGEIFS(L66:L73,I66:I73,rx_ver,J66:J73,"y"),"no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IFERROR(AVERAGEIFS(N66:N73,I66:I73,rx_ver,J66:J73,"y"),"no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IFERROR(INDEX(ReactorTypeList,MATCH(C81,ReactorList,0)),"")</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IFERROR(INDEX(ReactorTypeList,MATCH(C82,ReactorList,0)),"")</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IFERROR(INDEX(ReactorTypeList,MATCH(C83,ReactorList,0)),"")</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IFERROR(INDEX(ReactorTypeList,MATCH(C84,ReactorList,0)),"")</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IFERROR(INDEX(ReactorTypeList,MATCH(C85,ReactorList,0)),"")</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IFERROR(INDEX(ReactorTypeList,MATCH(C86,ReactorList,0)),"")</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IFERROR(INDEX(ReactorTypeList,MATCH(C87,ReactorList,0)),"")</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IFERROR(INDEX(ReactorTypeList,MATCH(C88,ReactorList,0)),"")</f>
        <v/>
      </c>
      <c r="G88" s="122"/>
      <c r="H88" s="122"/>
      <c r="I88" s="97"/>
      <c r="J88" s="97"/>
      <c r="K88" s="97"/>
      <c r="L88" s="97"/>
      <c r="M88" s="97"/>
    </row>
    <row r="89" spans="1:13" x14ac:dyDescent="0.2">
      <c r="A89" s="125" t="s">
        <v>1432</v>
      </c>
      <c r="B89" s="97"/>
      <c r="C89" s="126" t="s">
        <v>553</v>
      </c>
      <c r="D89" s="124" t="str">
        <f>IFERROR(AVERAGEIFS(E81:E88,C81:C88,Reactor_sel,G81:G88,"y",B81:B88,SUMPRODUCT(MAX((C81:C88=Reactor_sel)*(G81:G88="y")*B81:B88))),"no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IFERROR(AVERAGEIFS(D95:D102,C95:C102,organism_sel,H95:H102,"y"),"no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IFERROR(AVERAGEIFS(E95:E102,C95:C102,organism_sel,H95:H102,"y"),"no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IFERROR(AVERAGEIFS(F95:F102,C95:C102,organism_sel,H95:H102,"y"),"no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IFERROR(AVERAGEIFS(G95:G102,C95:C102,organism_sel,H95:H102,"y"),"no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IFERROR(AVERAGEIFS(D112:D119,C112:C119,organism_sel,G112:G119,"y"),"no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IFERROR(AVERAGEIFS(E112:E119,C112:C119,organism_sel,G112:G119,"y"),"no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IFERROR(AVERAGEIFS(F112:F119,C112:C119,organism_sel,G112:G119,"y"),"no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IFERROR(AVERAGEIFS(D128:D135,C128:C135,organism_sel,F128:F135,"y"),"no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IFERROR(AVERAGEIFS(E128:E135,C128:C135,organism_sel,F128:F135,"y"),"no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row r="155">
      <c r="A155" s="17" t="inlineStr">
        <is>
          <t xml:space="preserve">(import) Liquid density intercept</t>
        </is>
      </c>
      <c r="B155" s="97" t="inlineStr">
        <is>
          <t xml:space="preserve">ca_rho_0</t>
        </is>
      </c>
      <c r="C155" s="19" t="inlineStr">
        <is>
          <t xml:space="preserve">kg/m³</t>
        </is>
      </c>
      <c r="D155" s="164">
        <f>'Mass Transfer'!$D$169</f>
        <v>1003.33</v>
      </c>
      <c r="E155" s="165" t="inlineStr">
        <is>
          <t xml:space="preserve">Import from Mass Transfer!D169 (rho_0; density law ρ = ρ₀ + k·T[°C])</t>
        </is>
      </c>
    </row>
    <row r="156">
      <c r="A156" s="17" t="inlineStr">
        <is>
          <t xml:space="preserve">(import) Liquid density slope</t>
        </is>
      </c>
      <c r="B156" s="97" t="inlineStr">
        <is>
          <t xml:space="preserve">ca_rho_k</t>
        </is>
      </c>
      <c r="C156" s="19" t="inlineStr">
        <is>
          <t xml:space="preserve">kg/m³/K</t>
        </is>
      </c>
      <c r="D156" s="164">
        <f>'Mass Transfer'!$D$170</f>
        <v>-0.2556</v>
      </c>
      <c r="E156" s="165" t="inlineStr">
        <is>
          <t xml:space="preserve">Import from Mass Transfer!D170 (rho_k)</t>
        </is>
      </c>
    </row>
    <row r="157">
      <c r="A157" s="17" t="inlineStr">
        <is>
          <t xml:space="preserve">(import) Reactor selected on Summary</t>
        </is>
      </c>
      <c r="B157" s="97" t="inlineStr">
        <is>
          <t xml:space="preserve">Reactor_sel</t>
        </is>
      </c>
      <c r="C157" s="19" t="inlineStr">
        <is>
          <t xml:space="preserve">-</t>
        </is>
      </c>
      <c r="D157" s="164" t="str">
        <f>Summary!$D$2</f>
        <v>ed04</v>
      </c>
      <c r="E157" s="165" t="inlineStr">
        <is>
          <t xml:space="preserve">Import from Summary!D2 (Reactor_sel)</t>
        </is>
      </c>
    </row>
    <row r="158">
      <c r="A158" s="17" t="inlineStr">
        <is>
          <t xml:space="preserve">(import) Organism selected on Summary</t>
        </is>
      </c>
      <c r="B158" s="97" t="inlineStr">
        <is>
          <t xml:space="preserve">organism_sel</t>
        </is>
      </c>
      <c r="C158" s="19" t="inlineStr">
        <is>
          <t xml:space="preserve">-</t>
        </is>
      </c>
      <c r="D158" s="164" t="str">
        <f>Summary!$D$4</f>
        <v>UdG (mixed)</v>
      </c>
      <c r="E158" s="165" t="inlineStr">
        <is>
          <t xml:space="preserve">Import from Summary!D4 (organism_sel)</t>
        </is>
      </c>
    </row>
    <row r="159">
      <c r="A159" s="17" t="inlineStr">
        <is>
          <t xml:space="preserve">(import) Reactor type (resolved from reactor)</t>
        </is>
      </c>
      <c r="B159" s="97" t="inlineStr">
        <is>
          <t xml:space="preserve">rx_ver</t>
        </is>
      </c>
      <c r="C159" s="19" t="inlineStr">
        <is>
          <t xml:space="preserve">-</t>
        </is>
      </c>
      <c r="D159" s="164" t="str">
        <f>Geometry!$D$51</f>
        <v>MEP0.3</v>
      </c>
      <c r="E159" s="165" t="inlineStr">
        <is>
          <t xml:space="preserve">Import from Geometry!D51 (rx_ver)</t>
        </is>
      </c>
    </row>
    <row r="160">
      <c r="A160" s="17" t="inlineStr">
        <is>
          <t xml:space="preserve">(import) Internal cross-sectional area</t>
        </is>
      </c>
      <c r="B160" s="97" t="inlineStr">
        <is>
          <t xml:space="preserve">A_x</t>
        </is>
      </c>
      <c r="C160" s="19" t="inlineStr">
        <is>
          <t xml:space="preserve">mm²</t>
        </is>
      </c>
      <c r="D160" s="164">
        <f>Geometry!$D$21</f>
        <v>501.93100162698</v>
      </c>
      <c r="E160" s="165" t="inlineStr">
        <is>
          <t xml:space="preserve">Import from Geometry!D21 (A_x)</t>
        </is>
      </c>
    </row>
    <row r="161">
      <c r="A161" s="17" t="inlineStr">
        <is>
          <t xml:space="preserve">(import) Molar gas constant</t>
        </is>
      </c>
      <c r="B161" s="97" t="inlineStr">
        <is>
          <t xml:space="preserve">R_gas</t>
        </is>
      </c>
      <c r="C161" s="19" t="inlineStr">
        <is>
          <t xml:space="preserve">J/mol/K</t>
        </is>
      </c>
      <c r="D161" s="164">
        <f>'Mass Transfer'!$D$101</f>
        <v>8.314462618</v>
      </c>
      <c r="E161" s="165" t="inlineStr">
        <is>
          <t xml:space="preserve">Import from Mass Transfer!D101 (R_gas)</t>
        </is>
      </c>
    </row>
    <row r="162">
      <c r="A162" s="17" t="inlineStr">
        <is>
          <t xml:space="preserve">(import) Faraday constant</t>
        </is>
      </c>
      <c r="B162" s="97" t="inlineStr">
        <is>
          <t xml:space="preserve">F_const</t>
        </is>
      </c>
      <c r="C162" s="19" t="inlineStr">
        <is>
          <t xml:space="preserve">C/mol</t>
        </is>
      </c>
      <c r="D162" s="164">
        <f>Electrochemistry!$D$15</f>
        <v>96485.33212</v>
      </c>
      <c r="E162" s="165" t="inlineStr">
        <is>
          <t xml:space="preserve">Import from Electrochemistry!D15 (F_const)</t>
        </is>
      </c>
    </row>
    <row r="163">
      <c r="A163" s="17" t="inlineStr">
        <is>
          <t xml:space="preserve">(import) Saturated water vapour pressure at reactor T</t>
        </is>
      </c>
      <c r="B163" s="97" t="inlineStr">
        <is>
          <t xml:space="preserve">p_sat_w</t>
        </is>
      </c>
      <c r="C163" s="19" t="inlineStr">
        <is>
          <t xml:space="preserve">Pa</t>
        </is>
      </c>
      <c r="D163" s="164">
        <f>'Mass Transfer'!$D$206</f>
        <v>3161.736035696692</v>
      </c>
      <c r="E163" s="165" t="inlineStr">
        <is>
          <t xml:space="preserve">Import from Mass Transfer!D206 (p_sat_w)</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