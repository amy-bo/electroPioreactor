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<sst xmlns="http://schemas.openxmlformats.org/spreadsheetml/2006/main" count="2678" uniqueCount="1931">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</sst>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IF(AND(ISNUMBER($G$13),$G$13&gt;0),$G$13,IF(NOT(ISNUMBER(D13)),D13,IF(D13&gt;round_split,ROUND(D13,0),ROUND(D13,1-(1+INT(LOG10(ABS(D13))))))))</f>
        <v>1.0</v>
      </c>
      <c r="E14" s="20"/>
      <c r="F14" s="21"/>
    </row>
    <row r="15" spans="1:7" ht="16" customHeight="1" thickBot="1" x14ac:dyDescent="0.25">
      <c r="A15" s="89" t="s">
        <v>66</v>
      </c>
      <c r="B15" s="20"/>
      <c r="C15" s="20" t="s">
        <v>67</v>
      </c>
      <c r="D15" s="90">
        <f>IF('Mass Transfer'!$D$119=0,"calibrate this reactor first (see CO2 flows)",'Mass Transfer'!$D$91)</f>
        <v>16.46036421628</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s">
        <v>1057</v>
      </c>
      <c r="B16" s="20"/>
      <c r="C16" s="20" t="s">
        <v>67</v>
      </c>
      <c r="D16" s="91">
        <f>IF(AND(ISNUMBER($G$15),$G$15&gt;0),$G$15,IF(NOT(ISNUMBER(D15)),D15,IF(D15&gt;round_split,ROUND(D15,0),ROUND(D15,1-(1+INT(LOG10(ABS(D15))))))))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20"/>
      <c r="C23" s="20"/>
      <c r="D23" s="90" t="str">
        <f>'Mass Transfer'!$D$113</f>
        <v>Do NOT relax: at the carbon-limited interval (185 min) DO would be 12.9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20"/>
      <c r="C24" s="20"/>
      <c r="D24" s="95" t="str">
        <f>Biology!$D$44</f>
        <v>FLAMMABLE HEADSPACE (lag): H₂ 19%, O₂ 9%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inlineStr">
        <is>
          <t xml:space="preserve">Cycle-average pH (activity scale, as a probe reads)</t>
        </is>
      </c>
      <c r="C35" s="20"/>
      <c r="D35" s="121">
        <f>Chemistry!$D$220</f>
        <v>6.603949596052</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spans="1:6" ht="16" thickBot="1" x14ac:dyDescent="0.25">
      <c r="A36" s="89" t="s">
        <v>1128</v>
      </c>
      <c r="C36" s="20" t="s">
        <v>102</v>
      </c>
      <c r="D36" s="121">
        <f>Chemistry!$D$226</f>
        <v>0.500804384457</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02"/>
      <c r="C38" s="20" t="s">
        <v>102</v>
      </c>
      <c r="D38" s="90">
        <f>'Mass Transfer'!$D$108</f>
        <v>2.638866712696</v>
      </c>
      <c r="E38" s="23" t="str">
        <f>HYPERLINK("#'Mass Transfer'!D108","→ Mass")</f>
        <v>→ Mass</v>
      </c>
      <c r="F38" s="21" t="s">
        <v>103</v>
      </c>
    </row>
    <row r="39" spans="1:6" x14ac:dyDescent="0.2">
      <c r="A39" s="89" t="inlineStr">
        <is>
          <t xml:space="preserve">Carbon-limited sparge interval</t>
        </is>
      </c>
      <c r="B39" s="102"/>
      <c r="C39" s="20" t="s">
        <v>67</v>
      </c>
      <c r="D39" s="90">
        <f>'Mass Transfer'!$D$112</f>
        <v>185.240207036777</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spans="1:6" x14ac:dyDescent="0.2">
      <c r="A82" t="s">
        <v>1652</v>
      </c>
      <c r="C82" s="19" t="s">
        <v>1274</v>
      </c>
      <c r="D82" s="22">
        <f>Electrochemistry!$D$88</f>
        <v>0.977475298652</v>
      </c>
      <c r="E82" s="23" t="str">
        <f>HYPERLINK("#Electrochemistry!D88","→ Electrochemistry")</f>
        <v>→ Electrochemistry</v>
      </c>
      <c r="F82" t="inlineStr">
        <is>
          <t xml:space="preserve">Fraction of cathode current making H₂ rather than reducing dissolved O₂.</t>
        </is>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OK — buffer holds the electrode surfaces at the bulk pH</v>
      </c>
      <c r="E86" s="23" t="str">
        <f>HYPERLINK("#Chemistry!D219","→ Chemistry")</f>
        <v>→ Chemistry</v>
      </c>
      <c r="F86" t="s">
        <v>1871</v>
      </c>
    </row>
    <row r="87" spans="1:6" x14ac:dyDescent="0.2">
      <c r="A87" t="inlineStr">
        <is>
          <t xml:space="preserve">HOCl/Cl⁻ couple minus anode potential</t>
        </is>
      </c>
      <c r="C87" s="19" t="s">
        <v>1595</v>
      </c>
      <c r="D87" s="22">
        <f>Chemistry!$D$209</f>
        <v>-0.422483519032</v>
      </c>
      <c r="E87" s="23" t="str">
        <f>HYPERLINK("#Chemistry!D209","→ Chemistry")</f>
        <v>→ Chemistry</v>
      </c>
      <c r="F87" t="inlineStr">
        <is>
          <t xml:space="preserve">Negative = the anode is above the chloride-oxidation couple: chlorine forms, limited by chloride transport (Chemistry D132).</t>
        </is>
      </c>
    </row>
    <row r="88" spans="1:6" x14ac:dyDescent="0.2">
      <c r="A88" t="s">
        <v>1600</v>
      </c>
      <c r="C88" s="19" t="s">
        <v>1595</v>
      </c>
      <c r="D88" s="22">
        <f>Chemistry!$D$211</f>
        <v>1.240557060036</v>
      </c>
      <c r="E88" s="23" t="str">
        <f>HYPERLINK("#Chemistry!D211","→ Chemistry")</f>
        <v>→ Chemistry</v>
      </c>
      <c r="F88" t="inlineStr">
        <is>
          <t xml:space="preserve">How far the operating anode sits above the Cu²⁺/Cu standard potential; positive = copper dissolution thermodynamically allowed.</t>
        </is>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Defined display rule for rows 14 and 16: whole units above this value, else two significant figures.</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36" t="s">
        <v>139</v>
      </c>
      <c r="E8" s="107" t="s">
        <v>140</v>
      </c>
      <c r="F8" s="20"/>
      <c r="G8" s="20"/>
      <c r="H8" s="20"/>
      <c r="I8" s="20"/>
    </row>
    <row r="9" spans="1:9" x14ac:dyDescent="0.2">
      <c r="A9" s="17" t="s">
        <v>141</v>
      </c>
      <c r="B9" s="18" t="s">
        <v>142</v>
      </c>
      <c r="C9" s="19" t="s">
        <v>135</v>
      </c>
      <c r="D9" s="136" t="s">
        <v>143</v>
      </c>
      <c r="E9" s="107" t="s">
        <v>140</v>
      </c>
      <c r="F9" s="20"/>
      <c r="G9" s="20"/>
      <c r="H9" s="20"/>
      <c r="I9" s="20"/>
    </row>
    <row r="10" spans="1:9" ht="24" customHeight="1" x14ac:dyDescent="0.2">
      <c r="A10" s="17" t="s">
        <v>144</v>
      </c>
      <c r="B10" s="18" t="s">
        <v>145</v>
      </c>
      <c r="C10" s="19" t="s">
        <v>146</v>
      </c>
      <c r="D10" s="137">
        <v>27.48</v>
      </c>
      <c r="E10" s="109" t="s">
        <v>140</v>
      </c>
      <c r="F10" s="20"/>
      <c r="G10" s="20"/>
      <c r="H10" s="20"/>
      <c r="I10" s="20"/>
    </row>
    <row r="11" spans="1:9" x14ac:dyDescent="0.2">
      <c r="A11" s="17" t="s">
        <v>147</v>
      </c>
      <c r="B11" s="18" t="s">
        <v>148</v>
      </c>
      <c r="C11" s="19" t="s">
        <v>146</v>
      </c>
      <c r="D11" s="137">
        <v>27.48</v>
      </c>
      <c r="E11" s="110" t="s">
        <v>140</v>
      </c>
      <c r="F11" s="20"/>
      <c r="G11" s="20"/>
      <c r="H11" s="20"/>
      <c r="I11" s="20"/>
    </row>
    <row r="12" spans="1:9" x14ac:dyDescent="0.2">
      <c r="A12" s="17" t="s">
        <v>149</v>
      </c>
      <c r="B12" s="18" t="s">
        <v>150</v>
      </c>
      <c r="C12" s="19" t="s">
        <v>146</v>
      </c>
      <c r="D12" s="138">
        <v>55</v>
      </c>
      <c r="E12" s="111" t="s">
        <v>140</v>
      </c>
      <c r="F12" s="20"/>
      <c r="G12" s="20"/>
      <c r="H12" s="20"/>
      <c r="I12" s="20"/>
    </row>
    <row r="13" spans="1:9" x14ac:dyDescent="0.2">
      <c r="A13" s="17" t="s">
        <v>151</v>
      </c>
      <c r="B13" s="18" t="s">
        <v>152</v>
      </c>
      <c r="C13" s="19" t="s">
        <v>146</v>
      </c>
      <c r="D13" s="138">
        <v>95</v>
      </c>
      <c r="E13" s="111" t="s">
        <v>140</v>
      </c>
      <c r="F13" s="20"/>
      <c r="G13" s="20"/>
      <c r="H13" s="20"/>
      <c r="I13" s="20"/>
    </row>
    <row r="14" spans="1:9" ht="24" customHeight="1" x14ac:dyDescent="0.2">
      <c r="A14" s="17" t="s">
        <v>153</v>
      </c>
      <c r="B14" s="18" t="s">
        <v>154</v>
      </c>
      <c r="C14" s="19" t="s">
        <v>57</v>
      </c>
      <c r="D14" s="138">
        <v>16</v>
      </c>
      <c r="E14" s="109" t="s">
        <v>140</v>
      </c>
      <c r="F14" s="20"/>
      <c r="G14" s="20"/>
      <c r="H14" s="20"/>
      <c r="I14" s="20"/>
    </row>
    <row r="15" spans="1:9" ht="24" customHeight="1" x14ac:dyDescent="0.2">
      <c r="A15" s="17" t="s">
        <v>155</v>
      </c>
      <c r="B15" s="18" t="s">
        <v>156</v>
      </c>
      <c r="C15" s="19" t="s">
        <v>57</v>
      </c>
      <c r="D15" s="138">
        <v>30</v>
      </c>
      <c r="E15" s="109" t="s">
        <v>140</v>
      </c>
      <c r="F15" s="20"/>
      <c r="G15" s="20"/>
      <c r="H15" s="20"/>
      <c r="I15" s="20"/>
    </row>
    <row r="16" spans="1:9" x14ac:dyDescent="0.2">
      <c r="A16" s="17" t="s">
        <v>157</v>
      </c>
      <c r="B16" s="18" t="s">
        <v>158</v>
      </c>
      <c r="C16" s="19" t="s">
        <v>57</v>
      </c>
      <c r="D16" s="138">
        <v>20</v>
      </c>
      <c r="E16" s="112" t="s">
        <v>140</v>
      </c>
      <c r="F16" s="20"/>
      <c r="G16" s="20"/>
      <c r="H16" s="20"/>
      <c r="I16" s="20"/>
    </row>
    <row r="17" spans="1:9" x14ac:dyDescent="0.2">
      <c r="A17" s="17" t="s">
        <v>159</v>
      </c>
      <c r="B17" s="18" t="s">
        <v>160</v>
      </c>
      <c r="C17" s="19" t="s">
        <v>57</v>
      </c>
      <c r="D17" s="138">
        <v>42</v>
      </c>
      <c r="E17" s="112" t="s">
        <v>140</v>
      </c>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0.977475298652</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42">
        <f>IF(ISNUMBER(cal_etaF_OER),cal_etaF_OER,etaF_OER_calc)</f>
        <v>0.975081911036</v>
      </c>
      <c r="E26" s="67" t="inlineStr">
        <is>
          <t xml:space="preserve">Anodic O₂ faradaic efficiency: measured if available, otherwise CALCULATED (etaF_OER_calc) as 1 − the chlorine share − the metal-dissolution share. UdG contains chloride, so the chlorine current is modelled explicitly (D101).</t>
        </is>
      </c>
      <c r="F26" s="20"/>
      <c r="G26" s="20"/>
      <c r="H26" s="20"/>
      <c r="I26" s="20"/>
    </row>
    <row r="27" spans="1:9" ht="24" customHeight="1" x14ac:dyDescent="0.2">
      <c r="A27" s="17" t="s">
        <v>371</v>
      </c>
      <c r="B27" s="18" t="s">
        <v>372</v>
      </c>
      <c r="C27" s="19" t="s">
        <v>135</v>
      </c>
      <c r="D27" s="139">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z_e_ORR*F_const*(km_O2/100)*ec_DO_design*(A_cath_wet/10000)</f>
        <v>0.0001281655506682</v>
      </c>
      <c r="E86" s="67" t="s">
        <v>1648</v>
      </c>
    </row>
    <row r="87" spans="1:5" x14ac:dyDescent="0.2">
      <c r="A87" t="s">
        <v>1649</v>
      </c>
      <c r="B87" s="18" t="s">
        <v>1650</v>
      </c>
      <c r="C87" s="19" t="s">
        <v>1076</v>
      </c>
      <c r="D87" s="141">
        <f>z_e_ORR*F_const*(km_O2/100)*ec_O2_ceil*(A_cath_wet/10000)</f>
        <v>0.0005668860894942</v>
      </c>
      <c r="E87" s="67" t="s">
        <v>1651</v>
      </c>
    </row>
    <row r="88" spans="1:5" ht="36" x14ac:dyDescent="0.2">
      <c r="A88" t="s">
        <v>1652</v>
      </c>
      <c r="B88" s="18" t="s">
        <v>1653</v>
      </c>
      <c r="C88" s="19" t="s">
        <v>1274</v>
      </c>
      <c r="D88" s="141">
        <f>MAX(0,1-i_ORR_design/I_app)</f>
        <v>0.977475298652</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0.90037151327</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f_HOOH*i_ORR_design/(2*F_const)*M_H2O2*1000*3600/ec_V_L</f>
        <v>0.813296984002</v>
      </c>
      <c r="E93" s="67" t="inlineStr">
        <is>
          <t xml:space="preserve">2 electrons per H₂O₂.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f>
        <v>0.813296984002</v>
      </c>
      <c r="E96" s="67" t="s">
        <v>1676</v>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IF(r_H2O2&gt;0,H2O2_thresh/r_H2O2*60,NA())</f>
        <v>12.541544110741</v>
      </c>
      <c r="E98" s="67" t="s">
        <v>1682</v>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141">
        <f>Chemistry!$D$133</f>
        <v>0.0001417839262056</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0.024918088964</v>
      </c>
      <c r="E103" s="67" t="s">
        <v>1695</v>
      </c>
    </row>
    <row r="104" spans="1:5" ht="36" x14ac:dyDescent="0.2">
      <c r="A104" t="s">
        <v>1696</v>
      </c>
      <c r="B104" s="18" t="s">
        <v>1697</v>
      </c>
      <c r="C104" s="19" t="s">
        <v>1274</v>
      </c>
      <c r="D104" s="141">
        <f>MAX(0,1-f_Cl_anode-IF(ISNUMBER(ec_corr_I),ec_corr_I,0))</f>
        <v>0.975081911036</v>
      </c>
      <c r="E104" s="67" t="inlineStr">
        <is>
          <t xml:space="preserve">1 − chlorine share − metal-dissolution share. It remains an UPPER BOUND while the metal-dissolution charge is unmeasured: a corroding anode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2</v>
      </c>
      <c r="E116" s="75" t="s">
        <v>1734</v>
      </c>
    </row>
    <row r="117" spans="1:5" ht="24" x14ac:dyDescent="0.2">
      <c r="A117" t="s">
        <v>1735</v>
      </c>
      <c r="B117" s="18" t="s">
        <v>1736</v>
      </c>
      <c r="C117" s="19" t="s">
        <v>1737</v>
      </c>
      <c r="D117" s="141">
        <f>k_geom*ACOSH(ec_gap/anode_dia)/(PI()*ec_kappa*(L_sub/1000))</f>
        <v>146.239829708796</v>
      </c>
      <c r="E117" s="67" t="s">
        <v>1738</v>
      </c>
    </row>
    <row r="118" spans="1:5" ht="24" x14ac:dyDescent="0.2">
      <c r="A118" t="s">
        <v>1739</v>
      </c>
      <c r="B118" s="18" t="s">
        <v>1740</v>
      </c>
      <c r="C118" s="19" t="s">
        <v>1595</v>
      </c>
      <c r="D118" s="141">
        <f>I_app*R_cell</f>
        <v>0.832104631043</v>
      </c>
      <c r="E118" s="67" t="s">
        <v>1741</v>
      </c>
    </row>
    <row r="119" spans="1:5" ht="36" x14ac:dyDescent="0.2">
      <c r="A119" t="s">
        <v>1742</v>
      </c>
      <c r="B119" s="18" t="s">
        <v>1743</v>
      </c>
      <c r="C119" s="19" t="s">
        <v>1595</v>
      </c>
      <c r="D119" s="141">
        <f>ec_E_rev+eta_anode+eta_cath+pcet_credit+V_IR</f>
        <v>3.263760439016</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1.736239560984</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3.26 V estimated against a 5 V rail</v>
      </c>
      <c r="E122" s="67" t="s">
        <v>1753</v>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0.008590210622</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IF(AND(B50&gt;=0,B51&lt;0),A50+pH_step*B50/(B50-B51),0)</f>
        <v>0.0</v>
      </c>
    </row>
    <row r="51" spans="1:3" x14ac:dyDescent="0.2">
      <c r="A51" s="20">
        <v>4.0999999999999996</v>
      </c>
      <c r="B51" s="64">
        <f t="shared" si="1"/>
        <v>0.033095991179</v>
      </c>
      <c r="C51" s="64">
        <f>IF(AND(B51&gt;=0,B52&lt;0),A51+pH_step*B51/(B51-B52),0)</f>
        <v>0.0</v>
      </c>
    </row>
    <row r="52" spans="1:3" x14ac:dyDescent="0.2">
      <c r="A52" s="20">
        <v>4.2</v>
      </c>
      <c r="B52" s="64">
        <f t="shared" si="1"/>
        <v>0.032986799309</v>
      </c>
      <c r="C52" s="64">
        <f>IF(AND(B52&gt;=0,B53&lt;0),A52+pH_step*B52/(B52-B53),0)</f>
        <v>0.0</v>
      </c>
    </row>
    <row r="53" spans="1:3" x14ac:dyDescent="0.2">
      <c r="A53" s="20">
        <v>4.3</v>
      </c>
      <c r="B53" s="64">
        <f t="shared" si="1"/>
        <v>0.032880652062</v>
      </c>
      <c r="C53" s="64">
        <f>IF(AND(B53&gt;=0,B54&lt;0),A53+pH_step*B53/(B53-B54),0)</f>
        <v>0.0</v>
      </c>
    </row>
    <row r="54" spans="1:3" x14ac:dyDescent="0.2">
      <c r="A54" s="20">
        <v>4.4000000000000004</v>
      </c>
      <c r="B54" s="64">
        <f t="shared" si="1"/>
        <v>0.032771986272</v>
      </c>
      <c r="C54" s="64">
        <f>IF(AND(B54&gt;=0,B55&lt;0),A54+pH_step*B54/(B54-B55),0)</f>
        <v>0.0</v>
      </c>
    </row>
    <row r="55" spans="1:3" x14ac:dyDescent="0.2">
      <c r="A55" s="20">
        <v>4.5</v>
      </c>
      <c r="B55" s="64">
        <f t="shared" si="1"/>
        <v>0.032655096798</v>
      </c>
      <c r="C55" s="64">
        <f>IF(AND(B55&gt;=0,B56&lt;0),A55+pH_step*B55/(B55-B56),0)</f>
        <v>0.0</v>
      </c>
    </row>
    <row r="56" spans="1:3" x14ac:dyDescent="0.2">
      <c r="A56" s="20">
        <v>4.5999999999999996</v>
      </c>
      <c r="B56" s="64">
        <f t="shared" si="1"/>
        <v>0.032523849984</v>
      </c>
      <c r="C56" s="64">
        <f>IF(AND(B56&gt;=0,B57&lt;0),A56+pH_step*B56/(B56-B57),0)</f>
        <v>0.0</v>
      </c>
    </row>
    <row r="57" spans="1:3" x14ac:dyDescent="0.2">
      <c r="A57" s="20">
        <v>4.7</v>
      </c>
      <c r="B57" s="64">
        <f t="shared" si="1"/>
        <v>0.032371376227</v>
      </c>
      <c r="C57" s="64">
        <f>IF(AND(B57&gt;=0,B58&lt;0),A57+pH_step*B57/(B57-B58),0)</f>
        <v>0.0</v>
      </c>
    </row>
    <row r="58" spans="1:3" x14ac:dyDescent="0.2">
      <c r="A58" s="20">
        <v>4.8</v>
      </c>
      <c r="B58" s="64">
        <f t="shared" si="1"/>
        <v>0.032189729231</v>
      </c>
      <c r="C58" s="64">
        <f>IF(AND(B58&gt;=0,B59&lt;0),A58+pH_step*B58/(B58-B59),0)</f>
        <v>0.0</v>
      </c>
    </row>
    <row r="59" spans="1:3" x14ac:dyDescent="0.2">
      <c r="A59" s="20">
        <v>4.9000000000000004</v>
      </c>
      <c r="B59" s="64">
        <f t="shared" si="1"/>
        <v>0.031969498815</v>
      </c>
      <c r="C59" s="64">
        <f>IF(AND(B59&gt;=0,B60&lt;0),A59+pH_step*B59/(B59-B60),0)</f>
        <v>0.0</v>
      </c>
    </row>
    <row r="60" spans="1:3" x14ac:dyDescent="0.2">
      <c r="A60" s="20">
        <v>5</v>
      </c>
      <c r="B60" s="64">
        <f t="shared" si="1"/>
        <v>0.031699363744</v>
      </c>
      <c r="C60" s="64">
        <f>IF(AND(B60&gt;=0,B61&lt;0),A60+pH_step*B60/(B60-B61),0)</f>
        <v>0.0</v>
      </c>
    </row>
    <row r="61" spans="1:3" x14ac:dyDescent="0.2">
      <c r="A61" s="20">
        <v>5.0999999999999996</v>
      </c>
      <c r="B61" s="64">
        <f t="shared" si="1"/>
        <v>0.031365571066</v>
      </c>
      <c r="C61" s="64">
        <f>IF(AND(B61&gt;=0,B62&lt;0),A61+pH_step*B61/(B61-B62),0)</f>
        <v>0.0</v>
      </c>
    </row>
    <row r="62" spans="1:3" x14ac:dyDescent="0.2">
      <c r="A62" s="20">
        <v>5.2</v>
      </c>
      <c r="B62" s="64">
        <f t="shared" si="1"/>
        <v>0.030951329376</v>
      </c>
      <c r="C62" s="64">
        <f>IF(AND(B62&gt;=0,B63&lt;0),A62+pH_step*B62/(B62-B63),0)</f>
        <v>0.0</v>
      </c>
    </row>
    <row r="63" spans="1:3" x14ac:dyDescent="0.2">
      <c r="A63" s="20">
        <v>5.3</v>
      </c>
      <c r="B63" s="64">
        <f t="shared" si="1"/>
        <v>0.030436105853</v>
      </c>
      <c r="C63" s="64">
        <f>IF(AND(B63&gt;=0,B64&lt;0),A63+pH_step*B63/(B63-B64),0)</f>
        <v>0.0</v>
      </c>
    </row>
    <row r="64" spans="1:3" x14ac:dyDescent="0.2">
      <c r="A64" s="20">
        <v>5.4</v>
      </c>
      <c r="B64" s="64">
        <f t="shared" si="1"/>
        <v>0.029794821411</v>
      </c>
      <c r="C64" s="64">
        <f>IF(AND(B64&gt;=0,B65&lt;0),A64+pH_step*B64/(B64-B65),0)</f>
        <v>0.0</v>
      </c>
    </row>
    <row r="65" spans="1:3" x14ac:dyDescent="0.2">
      <c r="A65" s="20">
        <v>5.5</v>
      </c>
      <c r="B65" s="64">
        <f t="shared" si="1"/>
        <v>0.028996945562</v>
      </c>
      <c r="C65" s="64">
        <f>IF(AND(B65&gt;=0,B66&lt;0),A65+pH_step*B65/(B65-B66),0)</f>
        <v>0.0</v>
      </c>
    </row>
    <row r="66" spans="1:3" x14ac:dyDescent="0.2">
      <c r="A66" s="20">
        <v>5.6</v>
      </c>
      <c r="B66" s="64">
        <f t="shared" si="1"/>
        <v>0.028005502639</v>
      </c>
      <c r="C66" s="64">
        <f>IF(AND(B66&gt;=0,B67&lt;0),A66+pH_step*B66/(B66-B67),0)</f>
        <v>0.0</v>
      </c>
    </row>
    <row r="67" spans="1:3" x14ac:dyDescent="0.2">
      <c r="A67" s="20">
        <v>5.7</v>
      </c>
      <c r="B67" s="64">
        <f t="shared" si="1"/>
        <v>0.026776012764</v>
      </c>
      <c r="C67" s="64">
        <f>IF(AND(B67&gt;=0,B68&lt;0),A67+pH_step*B67/(B67-B68),0)</f>
        <v>0.0</v>
      </c>
    </row>
    <row r="68" spans="1:3" x14ac:dyDescent="0.2">
      <c r="A68" s="20">
        <v>5.8</v>
      </c>
      <c r="B68" s="64">
        <f t="shared" si="1"/>
        <v>0.025255400836</v>
      </c>
      <c r="C68" s="64">
        <f>IF(AND(B68&gt;=0,B69&lt;0),A68+pH_step*B68/(B68-B69),0)</f>
        <v>0.0</v>
      </c>
    </row>
    <row r="69" spans="1:3" x14ac:dyDescent="0.2">
      <c r="A69" s="20">
        <v>5.9</v>
      </c>
      <c r="B69" s="64">
        <f t="shared" si="1"/>
        <v>0.02338090709</v>
      </c>
      <c r="C69" s="64">
        <f>IF(AND(B69&gt;=0,B70&lt;0),A69+pH_step*B69/(B69-B70),0)</f>
        <v>0.0</v>
      </c>
    </row>
    <row r="70" spans="1:3" x14ac:dyDescent="0.2">
      <c r="A70" s="20">
        <v>6</v>
      </c>
      <c r="B70" s="64">
        <f t="shared" si="1"/>
        <v>0.021079010121</v>
      </c>
      <c r="C70" s="64">
        <f>IF(AND(B70&gt;=0,B71&lt;0),A70+pH_step*B70/(B70-B71),0)</f>
        <v>0.0</v>
      </c>
    </row>
    <row r="71" spans="1:3" x14ac:dyDescent="0.2">
      <c r="A71" s="20">
        <v>6.1</v>
      </c>
      <c r="B71" s="64">
        <f t="shared" si="1"/>
        <v>0.01826430841</v>
      </c>
      <c r="C71" s="64">
        <f>IF(AND(B71&gt;=0,B72&lt;0),A71+pH_step*B71/(B71-B72),0)</f>
        <v>0.0</v>
      </c>
    </row>
    <row r="72" spans="1:3" x14ac:dyDescent="0.2">
      <c r="A72" s="20">
        <v>6.2</v>
      </c>
      <c r="B72" s="64">
        <f t="shared" si="1"/>
        <v>0.014838178095</v>
      </c>
      <c r="C72" s="64">
        <f>IF(AND(B72&gt;=0,B73&lt;0),A72+pH_step*B72/(B72-B73),0)</f>
        <v>0.0</v>
      </c>
    </row>
    <row r="73" spans="1:3" x14ac:dyDescent="0.2">
      <c r="A73" s="20">
        <v>6.3</v>
      </c>
      <c r="B73" s="64">
        <f t="shared" si="1"/>
        <v>0.010686819787</v>
      </c>
      <c r="C73" s="64">
        <f>IF(AND(B73&gt;=0,B74&lt;0),A73+pH_step*B73/(B73-B74),0)</f>
        <v>0.0</v>
      </c>
    </row>
    <row r="74" spans="1:3" x14ac:dyDescent="0.2">
      <c r="A74" s="20">
        <v>6.4</v>
      </c>
      <c r="B74" s="64">
        <f t="shared" si="1"/>
        <v>0.005678038225</v>
      </c>
      <c r="C74" s="64">
        <f>IF(AND(B74&gt;=0,B75&lt;0),A74+pH_step*B74/(B74-B75),0)</f>
        <v>6.494284837612</v>
      </c>
    </row>
    <row r="75" spans="1:3" x14ac:dyDescent="0.2">
      <c r="A75" s="20">
        <v>6.5</v>
      </c>
      <c r="B75" s="64">
        <f t="shared" si="1"/>
        <v>-0.0003441795237407</v>
      </c>
      <c r="C75" s="64">
        <f>IF(AND(B75&gt;=0,B76&lt;0),A75+pH_step*B75/(B75-B76),0)</f>
        <v>0.0</v>
      </c>
    </row>
    <row r="76" spans="1:3" x14ac:dyDescent="0.2">
      <c r="A76" s="20">
        <v>6.6</v>
      </c>
      <c r="B76" s="64">
        <f t="shared" si="1"/>
        <v>-0.00756840932</v>
      </c>
      <c r="C76" s="64">
        <f>IF(AND(B76&gt;=0,B77&lt;0),A76+pH_step*B76/(B76-B77),0)</f>
        <v>0.0</v>
      </c>
    </row>
    <row r="77" spans="1:3" x14ac:dyDescent="0.2">
      <c r="A77" s="20">
        <v>6.7</v>
      </c>
      <c r="B77" s="64">
        <f t="shared" si="1"/>
        <v>-0.016228970854</v>
      </c>
      <c r="C77" s="64">
        <f>IF(AND(B77&gt;=0,B78&lt;0),A77+pH_step*B77/(B77-B78),0)</f>
        <v>0.0</v>
      </c>
    </row>
    <row r="78" spans="1:3" x14ac:dyDescent="0.2">
      <c r="A78" s="20">
        <v>6.8</v>
      </c>
      <c r="B78" s="64">
        <f t="shared" si="1"/>
        <v>-0.02662440719</v>
      </c>
      <c r="C78" s="64">
        <f>IF(AND(B78&gt;=0,B79&lt;0),A78+pH_step*B78/(B78-B79),0)</f>
        <v>0.0</v>
      </c>
    </row>
    <row r="79" spans="1:3" x14ac:dyDescent="0.2">
      <c r="A79" s="20">
        <v>6.9</v>
      </c>
      <c r="B79" s="64">
        <f t="shared" si="1"/>
        <v>-0.039141735033</v>
      </c>
      <c r="C79" s="64">
        <f>IF(AND(B79&gt;=0,B80&lt;0),A79+pH_step*B79/(B79-B80),0)</f>
        <v>0.0</v>
      </c>
    </row>
    <row r="80" spans="1:3" x14ac:dyDescent="0.2">
      <c r="A80" s="20">
        <v>7</v>
      </c>
      <c r="B80" s="64">
        <f t="shared" si="1"/>
        <v>-0.054286645726</v>
      </c>
      <c r="C80" s="64">
        <f>IF(AND(B80&gt;=0,B81&lt;0),A80+pH_step*B80/(B80-B81),0)</f>
        <v>0.0</v>
      </c>
    </row>
    <row r="81" spans="1:3" x14ac:dyDescent="0.2">
      <c r="A81" s="20">
        <v>7.1</v>
      </c>
      <c r="B81" s="64">
        <f t="shared" si="1"/>
        <v>-0.072719923595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IF(AND(B82&gt;=0,B83&lt;0),A82+pH_step*B82/(B82-B83),0)</f>
        <v>0.0</v>
      </c>
    </row>
    <row r="83" spans="1:3" x14ac:dyDescent="0.2">
      <c r="A83" s="20">
        <v>7.3</v>
      </c>
      <c r="B83" s="64">
        <f t="shared" si="3"/>
        <v>-0.123140508482</v>
      </c>
      <c r="C83" s="64">
        <f>IF(AND(B83&gt;=0,B84&lt;0),A83+pH_step*B83/(B83-B84),0)</f>
        <v>0.0</v>
      </c>
    </row>
    <row r="84" spans="1:3" x14ac:dyDescent="0.2">
      <c r="A84" s="20">
        <v>7.4</v>
      </c>
      <c r="B84" s="64">
        <f t="shared" si="3"/>
        <v>-0.157665823938</v>
      </c>
      <c r="C84" s="64">
        <f>IF(AND(B84&gt;=0,B85&lt;0),A84+pH_step*B84/(B84-B85),0)</f>
        <v>0.0</v>
      </c>
    </row>
    <row r="85" spans="1:3" x14ac:dyDescent="0.2">
      <c r="A85" s="20">
        <v>7.5</v>
      </c>
      <c r="B85" s="64">
        <f t="shared" si="3"/>
        <v>-0.200703923131</v>
      </c>
      <c r="C85" s="64">
        <f>IF(AND(B85&gt;=0,B86&lt;0),A85+pH_step*B85/(B85-B86),0)</f>
        <v>0.0</v>
      </c>
    </row>
    <row r="86" spans="1:3" x14ac:dyDescent="0.2">
      <c r="A86" s="20">
        <v>7.6</v>
      </c>
      <c r="B86" s="64">
        <f t="shared" si="3"/>
        <v>-0.2545894166</v>
      </c>
      <c r="C86" s="64">
        <f>IF(AND(B86&gt;=0,B87&lt;0),A86+pH_step*B86/(B86-B87),0)</f>
        <v>0.0</v>
      </c>
    </row>
    <row r="87" spans="1:3" x14ac:dyDescent="0.2">
      <c r="A87" s="20">
        <v>7.7</v>
      </c>
      <c r="B87" s="64">
        <f t="shared" si="3"/>
        <v>-0.322306667774</v>
      </c>
      <c r="C87" s="64">
        <f>IF(AND(B87&gt;=0,B88&lt;0),A87+pH_step*B87/(B87-B88),0)</f>
        <v>0.0</v>
      </c>
    </row>
    <row r="88" spans="1:3" x14ac:dyDescent="0.2">
      <c r="A88" s="20">
        <v>7.8</v>
      </c>
      <c r="B88" s="64">
        <f t="shared" si="3"/>
        <v>-0.407678885978</v>
      </c>
      <c r="C88" s="64">
        <f>IF(AND(B88&gt;=0,B89&lt;0),A88+pH_step*B88/(B88-B89),0)</f>
        <v>0.0</v>
      </c>
    </row>
    <row r="89" spans="1:3" x14ac:dyDescent="0.2">
      <c r="A89" s="20">
        <v>7.9</v>
      </c>
      <c r="B89" s="64">
        <f t="shared" si="3"/>
        <v>-0.515621824235</v>
      </c>
      <c r="C89" s="64">
        <f>IF(AND(B89&gt;=0,B90&lt;0),A89+pH_step*B89/(B89-B90),0)</f>
        <v>0.0</v>
      </c>
    </row>
    <row r="90" spans="1:3" x14ac:dyDescent="0.2">
      <c r="A90" s="20">
        <v>8</v>
      </c>
      <c r="B90" s="64">
        <f t="shared" si="3"/>
        <v>-0.65248719742</v>
      </c>
      <c r="C90" s="64">
        <f>IF(AND(B90&gt;=0,B91&lt;0),A90+pH_step*B90/(B90-B91),0)</f>
        <v>0.0</v>
      </c>
    </row>
    <row r="91" spans="1:3" x14ac:dyDescent="0.2">
      <c r="A91" s="20">
        <v>8.1</v>
      </c>
      <c r="B91" s="64">
        <f t="shared" si="3"/>
        <v>-0.826532271905</v>
      </c>
      <c r="C91" s="64">
        <f>IF(AND(B91&gt;=0,B92&lt;0),A91+pH_step*B91/(B91-B92),0)</f>
        <v>0.0</v>
      </c>
    </row>
    <row r="92" spans="1:3" x14ac:dyDescent="0.2">
      <c r="A92" s="20">
        <v>8.1999999999999993</v>
      </c>
      <c r="B92" s="64">
        <f t="shared" si="3"/>
        <v>-1.048569336646</v>
      </c>
      <c r="C92" s="64">
        <f>IF(AND(B92&gt;=0,B93&lt;0),A92+pH_step*B92/(B92-B93),0)</f>
        <v>0.0</v>
      </c>
    </row>
    <row r="93" spans="1:3" x14ac:dyDescent="0.2">
      <c r="A93" s="20">
        <v>8.3000000000000007</v>
      </c>
      <c r="B93" s="64">
        <f t="shared" si="3"/>
        <v>-1.332875144027</v>
      </c>
      <c r="C93" s="64">
        <f>IF(AND(B93&gt;=0,B94&lt;0),A93+pH_step*B93/(B93-B94),0)</f>
        <v>0.0</v>
      </c>
    </row>
    <row r="94" spans="1:3" x14ac:dyDescent="0.2">
      <c r="A94" s="20">
        <v>8.4</v>
      </c>
      <c r="B94" s="64">
        <f t="shared" si="3"/>
        <v>-1.698480927379</v>
      </c>
      <c r="C94" s="64">
        <f>IF(AND(B94&gt;=0,B95&lt;0),A94+pH_step*B94/(B94-B95),0)</f>
        <v>0.0</v>
      </c>
    </row>
    <row r="95" spans="1:3" x14ac:dyDescent="0.2">
      <c r="A95" s="20">
        <v>8.5</v>
      </c>
      <c r="B95" s="64">
        <f t="shared" si="3"/>
        <v>-2.171026165161</v>
      </c>
      <c r="C95" s="64">
        <f>IF(AND(B95&gt;=0,B96&lt;0),A95+pH_step*B95/(B95-B96),0)</f>
        <v>0.0</v>
      </c>
    </row>
    <row r="96" spans="1:3" x14ac:dyDescent="0.2">
      <c r="A96" s="20">
        <v>8.6</v>
      </c>
      <c r="B96" s="64">
        <f t="shared" si="3"/>
        <v>-2.785456321043</v>
      </c>
      <c r="C96" s="64">
        <f>IF(AND(B96&gt;=0,B97&lt;0),A96+pH_step*B96/(B96-B97),0)</f>
        <v>0.0</v>
      </c>
    </row>
    <row r="97" spans="1:7" x14ac:dyDescent="0.2">
      <c r="A97" s="20">
        <v>8.6999999999999993</v>
      </c>
      <c r="B97" s="64">
        <f t="shared" si="3"/>
        <v>-3.589995975505</v>
      </c>
      <c r="C97" s="64">
        <f>IF(AND(B97&gt;=0,B98&lt;0),A97+pH_step*B97/(B97-B98),0)</f>
        <v>0.0</v>
      </c>
    </row>
    <row r="98" spans="1:7" x14ac:dyDescent="0.2">
      <c r="A98" s="20">
        <v>8.8000000000000007</v>
      </c>
      <c r="B98" s="64">
        <f t="shared" si="3"/>
        <v>-4.652065051273</v>
      </c>
      <c r="C98" s="64">
        <f>IF(AND(B98&gt;=0,B99&lt;0),A98+pH_step*B98/(B98-B99),0)</f>
        <v>0.0</v>
      </c>
    </row>
    <row r="99" spans="1:7" x14ac:dyDescent="0.2">
      <c r="A99" s="20">
        <v>8.9</v>
      </c>
      <c r="B99" s="64">
        <f t="shared" si="3"/>
        <v>-6.067176130696</v>
      </c>
      <c r="C99" s="64">
        <f>IF(AND(B99&gt;=0,B100&lt;0),A99+pH_step*B99/(B99-B100),0)</f>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6.494284837612</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0.870210730329</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0.50 mg/L as Cl₂ (band 0.00-0.71);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8.22693366608</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v>4.0499999999999998E-3</v>
      </c>
      <c r="E129" s="51" t="s">
        <v>1756</v>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Fcc*km_Cl*(pH_Cl/1000)*A_anode</f>
        <v>0.0001417839262056</v>
      </c>
      <c r="E132" s="51" t="inlineStr">
        <is>
          <t xml:space="preserve">i_lim = n·F·k_m·[Cl⁻]·A, n = 1 per ARRIVING chloride; [Cl⁻] in mol/cm³ = pH_Cl/1000. Caps chlorine at the chloride flux; it binds at trace Cl⁻ such as UdG, so production scales with chloride.</t>
        </is>
      </c>
    </row>
    <row r="133" spans="1:5" x14ac:dyDescent="0.2">
      <c r="A133" s="17" t="s">
        <v>1080</v>
      </c>
      <c r="B133" s="18" t="s">
        <v>1081</v>
      </c>
      <c r="C133" s="19" t="s">
        <v>1076</v>
      </c>
      <c r="D133" s="149">
        <f>MIN(I_Cl_FE,I_Cl_mt)</f>
        <v>0.0001417839262056</v>
      </c>
      <c r="E133" s="51" t="s">
        <v>1082</v>
      </c>
    </row>
    <row r="134" spans="1:5" x14ac:dyDescent="0.2">
      <c r="A134" s="17" t="s">
        <v>1083</v>
      </c>
      <c r="B134" s="18" t="s">
        <v>1084</v>
      </c>
      <c r="C134" s="19" t="s">
        <v>1085</v>
      </c>
      <c r="D134" s="149">
        <f>I_Cl/(n_e_Cl*Fcc*VLc)</f>
        <v>4.898289480563e-08</v>
      </c>
      <c r="E134" s="51" t="s">
        <v>1463</v>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1.241103645704e-05</v>
      </c>
      <c r="E138" s="51" t="s">
        <v>1099</v>
      </c>
    </row>
    <row r="139" spans="1:5" ht="24" x14ac:dyDescent="0.2">
      <c r="A139" s="17" t="s">
        <v>1100</v>
      </c>
      <c r="B139" s="18" t="s">
        <v>1101</v>
      </c>
      <c r="C139" s="19" t="s">
        <v>1098</v>
      </c>
      <c r="D139" s="149">
        <f>P_HOCl/(k1_NH2Cl*NH3_free)</f>
        <v>9.396954107506e-10</v>
      </c>
      <c r="E139" s="51" t="s">
        <v>1102</v>
      </c>
    </row>
    <row r="140" spans="1:5" ht="24" x14ac:dyDescent="0.2">
      <c r="A140" s="17" t="s">
        <v>1103</v>
      </c>
      <c r="B140" s="18" t="s">
        <v>1104</v>
      </c>
      <c r="C140" s="19" t="s">
        <v>1088</v>
      </c>
      <c r="D140" s="149">
        <f>HOCl_ss*M_HOCl</f>
        <v>4.929642124798e-05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MIN(P_HOCl*tau_NH2Cl*3600*M_HOCl,cl_per_N*NH3_N,Cl_pool_mgL)</f>
        <v>9.250713581411</v>
      </c>
      <c r="E143" s="51" t="s">
        <v>1115</v>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0.370521507469</v>
      </c>
      <c r="E145" s="51" t="s">
        <v>1464</v>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s">
        <v>1480</v>
      </c>
    </row>
    <row r="149" spans="1:5" ht="36" x14ac:dyDescent="0.2">
      <c r="A149" s="17" t="s">
        <v>1216</v>
      </c>
      <c r="B149" s="18" t="s">
        <v>1217</v>
      </c>
      <c r="C149" s="19" t="s">
        <v>1218</v>
      </c>
      <c r="D149" s="149">
        <f>pH_Cl*M_HOCl</f>
        <v>9.453955667688</v>
      </c>
      <c r="E149" s="51" t="s">
        <v>1219</v>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MIN(P_HOCl*tau_NH2Cl_lo*3600*M_HOCl,cl_per_N*NH3_N,Cl_pool_mgL)</f>
        <v>0.15417855969</v>
      </c>
      <c r="E154" s="51" t="s">
        <v>1239</v>
      </c>
    </row>
    <row r="155" spans="1:5" x14ac:dyDescent="0.2">
      <c r="A155" s="17" t="s">
        <v>1240</v>
      </c>
      <c r="B155" s="18" t="s">
        <v>1241</v>
      </c>
      <c r="C155" s="19" t="s">
        <v>1242</v>
      </c>
      <c r="D155" s="149">
        <f>MIN(P_HOCl*tau_NH2Cl_hi*3600*M_HOCl,cl_per_N*NH3_N,Cl_pool_mgL)</f>
        <v>9.453955667688</v>
      </c>
      <c r="E155" s="51" t="s">
        <v>1243</v>
      </c>
    </row>
    <row r="156" spans="1:5" x14ac:dyDescent="0.2">
      <c r="A156" s="17" t="s">
        <v>1244</v>
      </c>
      <c r="B156" s="18" t="s">
        <v>1245</v>
      </c>
      <c r="C156" s="19" t="s">
        <v>1246</v>
      </c>
      <c r="D156" s="149">
        <f>f_local*HOCl_ss_mgL+NH2Cl_lo/R_chloramine_hi</f>
        <v>0.002695515065</v>
      </c>
      <c r="E156" s="51" t="s">
        <v>1247</v>
      </c>
    </row>
    <row r="157" spans="1:5" ht="24" x14ac:dyDescent="0.2">
      <c r="A157" s="17" t="s">
        <v>1248</v>
      </c>
      <c r="B157" s="18" t="s">
        <v>1249</v>
      </c>
      <c r="C157" s="19" t="s">
        <v>1250</v>
      </c>
      <c r="D157" s="149">
        <f>f_local*HOCl_ss_mgL+NH2Cl_hi/R_chloramine_lo</f>
        <v>0.525712723528</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0.83831463654</v>
      </c>
      <c r="E206" s="99" t="s">
        <v>1586</v>
      </c>
    </row>
    <row r="207" spans="1:5" x14ac:dyDescent="0.2">
      <c r="A207" t="s">
        <v>1587</v>
      </c>
      <c r="B207" s="18" t="s">
        <v>1588</v>
      </c>
      <c r="C207" s="19" t="s">
        <v>1571</v>
      </c>
      <c r="D207" s="141">
        <f>E0_HER-nernst_slope*pH_meas</f>
        <v>-0.39068536346</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-0.422483519032</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0.30431463654</v>
      </c>
      <c r="E210" s="67" t="s">
        <v>1599</v>
      </c>
    </row>
    <row r="211" spans="1:5" ht="48" x14ac:dyDescent="0.2">
      <c r="A211" t="inlineStr">
        <is>
          <t xml:space="preserve">Operating anode potential above Cu²⁺/Cu</t>
        </is>
      </c>
      <c r="B211" s="18" t="s">
        <v>1601</v>
      </c>
      <c r="C211" s="19" t="s">
        <v>1595</v>
      </c>
      <c r="D211" s="141">
        <f>E_anode_op-E0_Cu</f>
        <v>1.240557060036</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s">
        <v>1607</v>
      </c>
      <c r="B215" s="18" t="s">
        <v>1608</v>
      </c>
      <c r="C215" s="19" t="s">
        <v>580</v>
      </c>
      <c r="D215" s="131">
        <v>40</v>
      </c>
      <c r="E215" s="75" t="s">
        <v>1609</v>
      </c>
    </row>
    <row r="216" spans="1:5" ht="60" x14ac:dyDescent="0.2">
      <c r="A216" t="s">
        <v>1610</v>
      </c>
      <c r="B216" s="18" t="s">
        <v>1611</v>
      </c>
      <c r="C216" s="19" t="s">
        <v>1282</v>
      </c>
      <c r="D216" s="141">
        <f>Fcc*(D_HPO4*HPO4_op+D_HCO3*HCO3_op)*1000/(delta_diff/1000000)/10</f>
        <v>8.049160263403</v>
      </c>
      <c r="E216" s="67" t="inlineStr">
        <is>
          <t xml:space="preserve">j_lim = F·Σ(D·C)/δ over the proton acceptors reaching the anode: hydrogen phosphate and bicarbonate (D251–D253).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0.35110441286</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6.603949596052</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0.500804384457</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0.01976870305</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0.013100861499</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1.582457060036</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1.159973541004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0.003643312833</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0.710563979689</v>
      </c>
      <c r="E260" s="67" t="inlineStr">
        <is>
          <t xml:space="preserve">C_eff_hi on the as-Cl₂ basis the thresholds use.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0.000103759833633</v>
      </c>
      <c r="E4" s="135" t="str">
        <f>HYPERLINK("#Electrochemistry!D21","→ Electrochemistry")</f>
        <v>→ Electrochemistry</v>
      </c>
      <c r="F4" s="20"/>
    </row>
    <row r="5" spans="1:6" x14ac:dyDescent="0.2">
      <c r="A5" s="20" t="s">
        <v>404</v>
      </c>
      <c r="B5" s="18" t="s">
        <v>378</v>
      </c>
      <c r="C5" s="20" t="s">
        <v>354</v>
      </c>
      <c r="D5" s="150">
        <f>Electrochemistry!$D$29</f>
        <v>4.936187056172e-05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19%, O₂ 9%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 Replaces a dissolved-H₂ turnover proxy, which said nothing about flammability.</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0.0003892277799716</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0.0001531217041947</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0.191315446335</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0.0910148751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0.002916316798</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4.483469527972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0.995282852087</v>
      </c>
      <c r="E88" s="69" t="inlineStr">
        <is>
          <t xml:space="preserve">Continuous inert headspace sweep that dilutes H₂ below the LFL with no CO₂ at all.</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1.72933056055e-05</v>
      </c>
      <c r="E10" s="135" t="str">
        <f>HYPERLINK("#Biology!D15","→ Biology")</f>
        <v>→ Biology</v>
      </c>
      <c r="F10" s="20"/>
    </row>
    <row r="11" spans="1:6" x14ac:dyDescent="0.2">
      <c r="A11" s="20" t="s">
        <v>544</v>
      </c>
      <c r="B11" s="20" t="s">
        <v>426</v>
      </c>
      <c r="C11" s="20" t="s">
        <v>354</v>
      </c>
      <c r="D11" s="142">
        <f>Biology!$D$16</f>
        <v>1.477525935072e-05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4.936187056172e-05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22.21910236615</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22.588856006099</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s">
        <v>1479</v>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1.503645716274</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16.46036421628</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987.621852976796</v>
      </c>
      <c r="E92" s="159" t="s">
        <v>747</v>
      </c>
      <c r="F92" s="20"/>
    </row>
    <row r="93" spans="1:6" x14ac:dyDescent="0.2">
      <c r="A93" s="17" t="inlineStr">
        <is>
          <t xml:space="preserve">  resulting duty</t>
        </is>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0.0003892277799716</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0.0007943455761538</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185.240207036777</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(185 min) DO would be 12.9 mg/L against a 2.6 mg/L target</v>
      </c>
      <c r="E113" s="82" t="inlineStr">
        <is>
          <t xml:space="preserve">Tests the carbon-limited interval against the same DO balance the schedule uses (D232). Replaces a test of DO_ss against the impairment level, which was circular (DO_ss sits at the target by construction) and invited an unsafe 185 min interval.</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IF(AND(ISNUMBER(Summary!$G$13),Summary!$G$13&gt;0),Summary!$G$13,IF(sched_mode="Manual",spg_dur_man,spg_dur_opt))</f>
        <v>0.784513049825</v>
      </c>
      <c r="E121" s="20"/>
      <c r="F121" s="20"/>
    </row>
    <row r="122" spans="1:6" x14ac:dyDescent="0.2">
      <c r="A122" s="20" t="s">
        <v>811</v>
      </c>
      <c r="B122" s="20" t="s">
        <v>812</v>
      </c>
      <c r="C122" s="20" t="s">
        <v>67</v>
      </c>
      <c r="D122" s="28">
        <f>IF(AND(ISNUMBER(Summary!$G$15),Summary!$G$15&gt;0),Summary!$G$15,IF(sched_mode="Manual",spg_int_man,spg_int_opt))</f>
        <v>16.46036421628</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3.645119829163</v>
      </c>
      <c r="E124" s="20"/>
      <c r="F124" s="20"/>
    </row>
    <row r="125" spans="1:6" x14ac:dyDescent="0.2">
      <c r="A125" s="20" t="s">
        <v>819</v>
      </c>
      <c r="B125" s="20" t="s">
        <v>820</v>
      </c>
      <c r="C125" s="20" t="s">
        <v>821</v>
      </c>
      <c r="D125" s="28">
        <f>pulses_h*24</f>
        <v>87.482875899902</v>
      </c>
      <c r="E125" s="20"/>
      <c r="F125" s="20"/>
    </row>
    <row r="126" spans="1:6" x14ac:dyDescent="0.2">
      <c r="A126" s="20" t="s">
        <v>822</v>
      </c>
      <c r="B126" s="20" t="s">
        <v>823</v>
      </c>
      <c r="C126" s="20" t="s">
        <v>110</v>
      </c>
      <c r="D126" s="28">
        <f>IF(CO2_cons&gt;0,CO2_supply/CO2_cons,NA())</f>
        <v>22.507425060931</v>
      </c>
      <c r="E126" s="20"/>
      <c r="F126" s="20"/>
    </row>
    <row r="127" spans="1:6" x14ac:dyDescent="0.2">
      <c r="A127" s="20" t="s">
        <v>824</v>
      </c>
      <c r="B127" s="20" t="s">
        <v>825</v>
      </c>
      <c r="C127" s="20" t="s">
        <v>815</v>
      </c>
      <c r="D127" s="28">
        <f>O2_excess/60*spg_int</f>
        <v>4.05343583838e-06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0.016368851962</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0.0001158581442306</v>
      </c>
      <c r="E131" s="147"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target_DO_frac*O2_ceil_C</f>
        <v>0.08246973913</v>
      </c>
      <c r="E179" s="99" t="s">
        <v>1795</v>
      </c>
    </row>
    <row r="180" spans="1:5" ht="36" x14ac:dyDescent="0.2">
      <c r="A180" t="s">
        <v>1796</v>
      </c>
      <c r="B180" s="18" t="s">
        <v>1797</v>
      </c>
      <c r="C180" s="19" t="s">
        <v>1001</v>
      </c>
      <c r="D180" s="141">
        <f>O2_excess/(kLa_surf_used*3600*(V_charge/1000000))</f>
        <v>0.038001663161</v>
      </c>
      <c r="E180" s="67" t="s">
        <v>1798</v>
      </c>
    </row>
    <row r="181" spans="1:5" x14ac:dyDescent="0.2">
      <c r="A181" t="s">
        <v>1799</v>
      </c>
      <c r="B181" s="18" t="s">
        <v>1800</v>
      </c>
      <c r="C181" s="19" t="s">
        <v>1001</v>
      </c>
      <c r="D181" s="141">
        <f>O2_net_gen/(kLa_surf_used*3600*(V_charge/1000000))</f>
        <v>0.126957715838</v>
      </c>
      <c r="E181" s="67" t="s">
        <v>1801</v>
      </c>
    </row>
    <row r="182" spans="1:5" ht="36" x14ac:dyDescent="0.2">
      <c r="A182" t="s">
        <v>1802</v>
      </c>
      <c r="B182" s="18" t="s">
        <v>1803</v>
      </c>
      <c r="C182" s="19" t="s">
        <v>1001</v>
      </c>
      <c r="D182" s="141">
        <f>DO_target-DO_surf_excess</f>
        <v>0.04446807597</v>
      </c>
      <c r="E182" s="67" t="s">
        <v>1804</v>
      </c>
    </row>
    <row r="183" spans="1:5" ht="24" x14ac:dyDescent="0.2">
      <c r="A183" t="s">
        <v>1805</v>
      </c>
      <c r="B183" s="18" t="s">
        <v>1806</v>
      </c>
      <c r="C183" s="19" t="s">
        <v>1274</v>
      </c>
      <c r="D183" s="141">
        <f>IF(hs_O2_allow&gt;0,hs_O2_allow/(H_O2_T*P_atm),NA())</f>
        <v>0.036572149</v>
      </c>
      <c r="E183" s="67" t="s">
        <v>1807</v>
      </c>
    </row>
    <row r="184" spans="1:5" ht="48" x14ac:dyDescent="0.2">
      <c r="A184" t="s">
        <v>1808</v>
      </c>
      <c r="B184" s="18" t="s">
        <v>1809</v>
      </c>
      <c r="C184" s="19" t="s">
        <v>1274</v>
      </c>
      <c r="D184" s="141">
        <f>IF(ISNUMBER(y_O2_star),O2_excess*(1-y_O2_star)/(y_O2_star*CO2_rate_full),NA())</f>
        <v>0.0007943455761538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16.46036421628</v>
      </c>
      <c r="E185" s="67" t="s">
        <v>1813</v>
      </c>
    </row>
    <row r="186" spans="1:5" ht="36" x14ac:dyDescent="0.2">
      <c r="A186" t="s">
        <v>1814</v>
      </c>
      <c r="B186" s="18" t="s">
        <v>1815</v>
      </c>
      <c r="C186" s="19" t="s">
        <v>639</v>
      </c>
      <c r="D186" s="141">
        <f>O2_excess/(DO_target*3600*(V_charge/1000000))</f>
        <v>0.003317773486</v>
      </c>
      <c r="E186" s="67" t="s">
        <v>1816</v>
      </c>
    </row>
    <row r="187" spans="1:5" ht="36" x14ac:dyDescent="0.2">
      <c r="A187" t="s">
        <v>1817</v>
      </c>
      <c r="B187" s="18" t="s">
        <v>1818</v>
      </c>
      <c r="C187" s="19" t="s">
        <v>1274</v>
      </c>
      <c r="D187" s="141">
        <f>IF(CO2_supply&gt;0,O2_excess/(O2_excess+CO2_supply),NA())</f>
        <v>0.036572149</v>
      </c>
      <c r="E187" s="67" t="s">
        <v>1819</v>
      </c>
    </row>
    <row r="188" spans="1:5" ht="36" x14ac:dyDescent="0.2">
      <c r="A188" t="s">
        <v>1820</v>
      </c>
      <c r="B188" s="18" t="s">
        <v>1821</v>
      </c>
      <c r="C188" s="19" t="s">
        <v>1001</v>
      </c>
      <c r="D188" s="141">
        <f>IF(ISNUMBER(y_O2_actual),H_O2_T*y_O2_actual*P_atm,NA())</f>
        <v>0.04446807597</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0.575484483576</v>
      </c>
      <c r="E197" s="99" t="s">
        <v>1849</v>
      </c>
    </row>
    <row r="198" spans="1:5" x14ac:dyDescent="0.2">
      <c r="A198" t="s">
        <v>1850</v>
      </c>
      <c r="B198" s="18" t="s">
        <v>1851</v>
      </c>
      <c r="C198" s="19" t="s">
        <v>1001</v>
      </c>
      <c r="D198" s="141">
        <f>(C_air_CO2*(1-pool_e)+pool_b*pool_e)/(1-pool_a*pool_e)</f>
        <v>6.437740764668</v>
      </c>
      <c r="E198" s="99" t="s">
        <v>1852</v>
      </c>
    </row>
    <row r="199" spans="1:5" ht="24" x14ac:dyDescent="0.2">
      <c r="A199" t="s">
        <v>1853</v>
      </c>
      <c r="B199" s="18" t="s">
        <v>1854</v>
      </c>
      <c r="C199" s="19" t="s">
        <v>1001</v>
      </c>
      <c r="D199" s="141">
        <f>pool_a*C_cycle_start+pool_b</f>
        <v>11.176908054727</v>
      </c>
      <c r="E199" s="99" t="s">
        <v>1855</v>
      </c>
    </row>
    <row r="200" spans="1:5" x14ac:dyDescent="0.2">
      <c r="A200" t="s">
        <v>1856</v>
      </c>
      <c r="B200" s="18" t="s">
        <v>1857</v>
      </c>
      <c r="C200" s="19" t="s">
        <v>1001</v>
      </c>
      <c r="D200" s="141">
        <f>C_air_CO2+(C_cycle_peak-C_air_CO2)*(1-pool_e)/(k_eff_CO2*t_off_CO2)</f>
        <v>8.59021062192</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0.401951360368</v>
      </c>
      <c r="E232" s="99" t="inlineStr">
        <is>
          <t xml:space="preserve">Same headspace back-pressure + surface-excess balance as D188/D180, evaluated at the carbon-limited duty instead of the DO-limited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