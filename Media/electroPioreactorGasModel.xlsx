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80" windowWidth="20400" windowHeight="18060" tabRatio="500" firstSheet="0" activeTab="0" autoFilterDateGrouping="1"/>
  </bookViews>
  <sheets>
    <sheet name="Summary" sheetId="1" state="visible" r:id="rId1"/>
    <sheet name="Geometry" sheetId="2" state="visible" r:id="rId2"/>
    <sheet name="Model" sheetId="3" state="visible" r:id="rId3"/>
  </sheets>
  <definedNames>
    <definedName name="a_int">Model!$D$156</definedName>
    <definedName name="A_x">Model!$D$40</definedName>
    <definedName name="bio_CO2">Model!$D$93</definedName>
    <definedName name="bio_H2">Model!$D$91</definedName>
    <definedName name="bio_O2">Model!$D$92</definedName>
    <definedName name="bubble_regime">Model!$D$190</definedName>
    <definedName name="carry_flag">Model!$D$169</definedName>
    <definedName name="CO2_cons">Model!$D$96</definedName>
    <definedName name="CO2_pulse">Model!$D$124</definedName>
    <definedName name="CO2_sd_ratio">Model!$D$128</definedName>
    <definedName name="CO2_supply">Model!$D$127</definedName>
    <definedName name="d_bubble">Model!$D$146</definedName>
    <definedName name="d_bubble_mm">Model!$D$147</definedName>
    <definedName name="D_int">Model!$D$41</definedName>
    <definedName name="D_int_1">Model!$D$28</definedName>
    <definedName name="D_int_2">Model!$D$29</definedName>
    <definedName name="D_O2">Model!$D$136</definedName>
    <definedName name="d_orifice">Model!$D$145</definedName>
    <definedName name="disp_tot">Model!$D$59</definedName>
    <definedName name="dur_ok">Model!$D$176</definedName>
    <definedName name="duty">Model!$D$129</definedName>
    <definedName name="eff_disp">Model!$D$58</definedName>
    <definedName name="eff_ID">Model!$D$53</definedName>
    <definedName name="eff_OD">Model!$D$52</definedName>
    <definedName name="eff_sub_L">Model!$D$57</definedName>
    <definedName name="elec_clear">Model!$D$47</definedName>
    <definedName name="elec_disp">Model!$D$55</definedName>
    <definedName name="elec_ins">Model!$D$48</definedName>
    <definedName name="elec_sub_L">Model!$D$54</definedName>
    <definedName name="etaF">Model!$D$80</definedName>
    <definedName name="etaF_OER">Model!$D$182</definedName>
    <definedName name="F_const">Model!$D$77</definedName>
    <definedName name="g_const">Model!$D$135</definedName>
    <definedName name="gerrit_int">Model!$D$74</definedName>
    <definedName name="gerrit_max">Model!$D$76</definedName>
    <definedName name="gerrit_min">Model!$D$75</definedName>
    <definedName name="gerrit_slope">Model!$D$73</definedName>
    <definedName name="h_actual">Model!$D$61</definedName>
    <definedName name="h_datum">Model!$D$44</definedName>
    <definedName name="H_O2_T">Model!$D$108</definedName>
    <definedName name="H_O2ref">Model!$D$105</definedName>
    <definedName name="H_O2T">Model!$D$106</definedName>
    <definedName name="H2_cons">Model!$D$94</definedName>
    <definedName name="headspace_V">Model!$D$68</definedName>
    <definedName name="holdup">Model!$D$155</definedName>
    <definedName name="I_app">Model!$D$81</definedName>
    <definedName name="I_valid">Model!$D$82</definedName>
    <definedName name="intensity">Model!$D$72</definedName>
    <definedName name="interface_A">Model!$D$63</definedName>
    <definedName name="kL">Model!$D$158</definedName>
    <definedName name="kLa_avg">Model!$D$160</definedName>
    <definedName name="kLa_req">Model!$D$164</definedName>
    <definedName name="kLa_sparge">Model!$D$159</definedName>
    <definedName name="M_CO2">Model!$D$122</definedName>
    <definedName name="mend_a">Model!$D$148</definedName>
    <definedName name="mend_b">Model!$D$149</definedName>
    <definedName name="n_pores_active">Model!$D$187</definedName>
    <definedName name="nCO2_rate">Model!$D$123</definedName>
    <definedName name="O2_accum">Model!$D$173</definedName>
    <definedName name="O2_cathode_ORR">Model!$D$184</definedName>
    <definedName name="O2_ceil_atm">Model!$D$109</definedName>
    <definedName name="O2_ceil_C">Model!$D$112</definedName>
    <definedName name="O2_ceil_Pa">Model!$D$111</definedName>
    <definedName name="O2_ceil_uM">Model!$D$113</definedName>
    <definedName name="O2_cons">Model!$D$95</definedName>
    <definedName name="O2_excess">Model!$D$97</definedName>
    <definedName name="O2_net_gen">Model!$D$185</definedName>
    <definedName name="O2_strip_pulse">Model!$D$174</definedName>
    <definedName name="P_atm">Model!$D$103</definedName>
    <definedName name="Pa_per_atm">Model!$D$104</definedName>
    <definedName name="por_grade">Model!$D$18</definedName>
    <definedName name="por_pore">Model!$D$143</definedName>
    <definedName name="por0_um">Model!$D$137</definedName>
    <definedName name="por1_um">Model!$D$138</definedName>
    <definedName name="por2_um">Model!$D$139</definedName>
    <definedName name="por3_um">Model!$D$140</definedName>
    <definedName name="por4_um">Model!$D$141</definedName>
    <definedName name="por5_um">Model!$D$142</definedName>
    <definedName name="pulse_floor">Model!$D$120</definedName>
    <definedName name="pulses_d">Model!$D$126</definedName>
    <definedName name="pulses_h">Model!$D$125</definedName>
    <definedName name="Q_CO2">Model!$D$117</definedName>
    <definedName name="R_gas">Model!$D$121</definedName>
    <definedName name="rH2_gen">Model!$D$83</definedName>
    <definedName name="rho_CO2">Model!$D$186</definedName>
    <definedName name="rho_L">Model!$D$134</definedName>
    <definedName name="rO2_gen">Model!$D$84</definedName>
    <definedName name="rod_d">Model!$D$45</definedName>
    <definedName name="rod_n">Model!$D$46</definedName>
    <definedName name="rx_ver">Model!$D$16</definedName>
    <definedName name="sched_bal">Model!$D$175</definedName>
    <definedName name="sigma">Model!$D$133</definedName>
    <definedName name="sparge_depth">Model!$D$62</definedName>
    <definedName name="sparger">Model!$D$17</definedName>
    <definedName name="spg_disp">Model!$D$56</definedName>
    <definedName name="spg_dur">Model!$D$118</definedName>
    <definedName name="spg_ID">Model!$D$50</definedName>
    <definedName name="spg_int">Model!$D$119</definedName>
    <definedName name="spg_len">Model!$D$181</definedName>
    <definedName name="spg_name_1">Model!$D$21</definedName>
    <definedName name="spg_name_2">Model!$D$22</definedName>
    <definedName name="spg_OD">Model!$D$49</definedName>
    <definedName name="spg_tip_h">Model!$D$51</definedName>
    <definedName name="strip_avg">Model!$D$162</definedName>
    <definedName name="strip_ratio">Model!$D$163</definedName>
    <definedName name="strip_sparge">Model!$D$161</definedName>
    <definedName name="T_C">Model!$D$101</definedName>
    <definedName name="t_contact">Model!$D$157</definedName>
    <definedName name="T_K">Model!$D$102</definedName>
    <definedName name="T_ref">Model!$D$107</definedName>
    <definedName name="tube_d_m">Model!$D$144</definedName>
    <definedName name="u_g_max">Model!$D$168</definedName>
    <definedName name="u_rise">Model!$D$150</definedName>
    <definedName name="u_sg">Model!$D$154</definedName>
    <definedName name="V_charge">Model!$D$60</definedName>
    <definedName name="V_inserts">Model!$D$67</definedName>
    <definedName name="V_max">Model!$D$42</definedName>
    <definedName name="v_orifice">Model!$D$188</definedName>
    <definedName name="V_vial_total">Model!$D$43</definedName>
    <definedName name="ver_name_1">Model!$D$19</definedName>
    <definedName name="ver_name_2">Model!$D$20</definedName>
    <definedName name="vial_ID">Model!$D$39</definedName>
    <definedName name="vial_OD">Model!$D$37</definedName>
    <definedName name="vial_OD_1">Model!$D$26</definedName>
    <definedName name="vial_OD_2">Model!$D$27</definedName>
    <definedName name="vial_wall">Model!$D$38</definedName>
    <definedName name="Vmax_1">Model!$D$30</definedName>
    <definedName name="Vmax_2">Model!$D$31</definedName>
    <definedName name="Vtot_1">Model!$D$32</definedName>
    <definedName name="Vtot_2">Model!$D$33</definedName>
    <definedName name="We_orifice">Model!$D$189</definedName>
    <definedName name="xtube_n">Model!$D$65</definedName>
    <definedName name="xtube_OD">Model!$D$64</definedName>
    <definedName name="xtube_pro">Model!$D$66</definedName>
    <definedName name="z_e_H2">Model!$D$78</definedName>
    <definedName name="z_e_O2">Model!$D$79</definedName>
    <definedName name="z_e_ORR">Model!$D$183</definedName>
    <definedName name="V_H2_gen">Model!$D$85</definedName>
    <definedName name="V_O2_gen">Model!$D$86</definedName>
    <definedName name="V_gas_total">Model!$D$87</definedName>
    <definedName name="t_O2_ceiling">Model!$D$191</definedName>
    <definedName name="t_O2_ceiling_strip">Model!$D$192</definedName>
    <definedName name="stir_rpm">Model!$D$196</definedName>
    <definedName name="stir_len">Model!$D$197</definedName>
    <definedName name="tip_speed">Model!$D$198</definedName>
    <definedName name="s_renew">Model!$D$199</definedName>
    <definedName name="kL_surf">Model!$D$200</definedName>
    <definedName name="a_surf">Model!$D$201</definedName>
    <definedName name="kLa_surf">Model!$D$202</definedName>
    <definedName name="surf_strip">Model!$D$203</definedName>
    <definedName name="surf_ratio">Model!$D$204</definedName>
    <definedName name="y_O2_vent">Model!$D$205</definedName>
    <definedName name="DO_vent_eq">Model!$D$206</definedName>
    <definedName name="hs_flush_time">Model!$D$207</definedName>
    <definedName name="O2_removal_ratio">Model!$D$208</definedName>
    <definedName name="t_O2_ceiling_lag">Model!$D$209</definedName>
    <definedName name="t_O2_ceiling_rem">Model!$D$210</definedName>
    <definedName name="H_CO2_T">Model!$D$216</definedName>
    <definedName name="p_CO2_sparge">Model!$D$217</definedName>
    <definedName name="CO2_diss">Model!$D$218</definedName>
    <definedName name="Km_CO2">Model!$D$219</definedName>
    <definedName name="CO2_carbon_margin">Model!$D$220</definedName>
    <definedName name="pH_CO2_unbuf">Model!$D$222</definedName>
    <definedName name="H_CO2ref">Model!$D$214</definedName>
    <definedName name="H_CO2T">Model!$D$215</definedName>
    <definedName name="Ka1_carb">Model!$D$221</definedName>
    <definedName name="H_H2ref">Model!$D$226</definedName>
    <definedName name="H_H2T">Model!$D$227</definedName>
    <definedName name="H_H2_T">Model!$D$228</definedName>
    <definedName name="C_H2_sat">Model!$D$229</definedName>
    <definedName name="t_H2_sat">Model!$D$230</definedName>
    <definedName name="H2_turnover">Model!$D$231</definedName>
    <definedName name="H2_safety">Model!$D$232</definedName>
    <definedName name="sched_mode">Model!$D$236</definedName>
    <definedName name="spg_dur_man">Model!$D$237</definedName>
    <definedName name="spg_int_man">Model!$D$238</definedName>
    <definedName name="target_DO_frac">Model!$D$239</definedName>
    <definedName name="carbon_margin_min">Model!$D$240</definedName>
    <definedName name="duty_carbon">Model!$D$241</definedName>
    <definedName name="duty_O2vent">Model!$D$242</definedName>
    <definedName name="duty_opt">Model!$D$243</definedName>
    <definedName name="spg_int_max">Model!$D$244</definedName>
    <definedName name="spg_dur_opt">Model!$D$245</definedName>
    <definedName name="spg_int_opt">Model!$D$246</definedName>
    <definedName name="spg_int_opt_s">Model!$D$247</definedName>
    <definedName name="duty_actual">Model!$D$248</definedName>
    <definedName name="opt_binding">Model!$D$249</definedName>
    <definedName name="od_ok">Model!$D$250</definedName>
    <definedName name="kinetic_caveat">Model!$D$251</definedName>
    <definedName name="kLa_meas">Model!$D$255</definedName>
    <definedName name="kLa_surf_used">Model!$D$256</definedName>
    <definedName name="A_x_in" localSheetId="0">Summary!$D$5</definedName>
    <definedName name="vial_OD" localSheetId="1">Geometry!$D$3</definedName>
    <definedName name="vial_wall" localSheetId="1">Geometry!$D$4</definedName>
    <definedName name="vial_ID" localSheetId="1">Geometry!$D$5</definedName>
    <definedName name="A_x" localSheetId="1">Geometry!$D$6</definedName>
  </definedNames>
  <calcPr calcId="191029" fullCalcOnLoad="1" iterateDelta="0.0001"/>
</workbook>
</file>

<file path=xl/styles.xml><?xml version="1.0" encoding="utf-8"?>
<styleSheet xmlns="http://schemas.openxmlformats.org/spreadsheetml/2006/main">
  <numFmts count="8">
    <numFmt numFmtId="164" formatCode="0.000000"/>
    <numFmt numFmtId="165" formatCode="0.0"/>
    <numFmt numFmtId="166" formatCode="0.000"/>
    <numFmt numFmtId="167" formatCode="0.0000"/>
    <numFmt numFmtId="168" formatCode="0.00000"/>
    <numFmt numFmtId="169" formatCode="0.00000000"/>
    <numFmt numFmtId="170" formatCode="0.000000000"/>
    <numFmt numFmtId="171" formatCode="0.0000000"/>
  </numFmts>
  <fonts count="23">
    <font>
      <name val="Calibri"/>
      <charset val="1"/>
      <family val="2"/>
      <color theme="1"/>
      <sz val="11"/>
    </font>
    <font>
      <name val="Arial"/>
      <family val="2"/>
      <b val="1"/>
      <color rgb="FF1F3864"/>
      <sz val="14"/>
    </font>
    <font>
      <name val="Arial"/>
      <family val="2"/>
      <i val="1"/>
      <color rgb="FF595959"/>
      <sz val="9"/>
    </font>
    <font>
      <name val="Arial"/>
      <family val="2"/>
      <b val="1"/>
      <sz val="9"/>
    </font>
    <font>
      <name val="Arial"/>
      <family val="2"/>
      <b val="1"/>
      <color rgb="FFFFFFFF"/>
      <sz val="11"/>
    </font>
    <font>
      <name val="Arial"/>
      <family val="2"/>
      <b val="1"/>
      <color rgb="FFFFFFFF"/>
      <sz val="9"/>
    </font>
    <font>
      <name val="Arial"/>
      <family val="2"/>
      <sz val="10"/>
    </font>
    <font>
      <name val="Consolas"/>
      <family val="2"/>
      <color rgb="FF7030A0"/>
      <sz val="9"/>
    </font>
    <font>
      <name val="Arial"/>
      <family val="2"/>
      <color rgb="FF595959"/>
      <sz val="9"/>
    </font>
    <font>
      <name val="Arial"/>
      <family val="2"/>
      <color rgb="FF404040"/>
      <sz val="8"/>
    </font>
    <font>
      <name val="Arial"/>
      <family val="2"/>
      <color rgb="FF0563C1"/>
      <sz val="8"/>
      <u val="single"/>
    </font>
    <font>
      <name val="Arial"/>
      <family val="2"/>
      <color rgb="FF000000"/>
      <sz val="10"/>
    </font>
    <font>
      <name val="Arial"/>
      <family val="2"/>
      <b val="1"/>
      <sz val="10"/>
    </font>
    <font>
      <name val="Arial"/>
      <color rgb="FF000000"/>
      <sz val="10"/>
    </font>
    <font>
      <name val="Arial"/>
      <b val="1"/>
      <color rgb="FF0000FF"/>
      <sz val="10"/>
    </font>
    <font>
      <name val="Arial"/>
      <color rgb="FF7030A0"/>
      <sz val="10"/>
    </font>
    <font>
      <name val="Calibri"/>
      <b val="1"/>
      <color rgb="FF0000FF"/>
      <sz val="11"/>
    </font>
    <font>
      <name val="Calibri"/>
      <color rgb="FF7030A0"/>
      <sz val="11"/>
    </font>
    <font>
      <name val="Calibri"/>
      <color rgb="FF000000"/>
      <sz val="11"/>
    </font>
    <font>
      <name val="Arial"/>
      <b val="1"/>
      <color rgb="FF000000"/>
      <sz val="10"/>
    </font>
    <font>
      <b val="1"/>
    </font>
    <font>
      <b val="1"/>
      <color rgb="FFFFFFFF"/>
    </font>
    <font>
      <i val="1"/>
    </font>
  </fonts>
  <fills count="17">
    <fill>
      <patternFill/>
    </fill>
    <fill>
      <patternFill patternType="gray125"/>
    </fill>
    <fill>
      <patternFill patternType="solid">
        <fgColor rgb="FFC6EFCE"/>
        <bgColor rgb="FFD9D9D9"/>
      </patternFill>
    </fill>
    <fill>
      <patternFill patternType="solid">
        <fgColor rgb="FFBDD7EE"/>
        <bgColor rgb="FFD9D9D9"/>
      </patternFill>
    </fill>
    <fill>
      <patternFill patternType="solid">
        <fgColor rgb="FFFFF2CC"/>
        <bgColor rgb="FFFCE4D6"/>
      </patternFill>
    </fill>
    <fill>
      <patternFill patternType="solid">
        <fgColor rgb="FFFFE699"/>
        <bgColor rgb="FFFFF2CC"/>
      </patternFill>
    </fill>
    <fill>
      <patternFill patternType="solid">
        <fgColor rgb="FFFCE4D6"/>
        <bgColor rgb="FFFFF2CC"/>
      </patternFill>
    </fill>
    <fill>
      <patternFill patternType="solid">
        <fgColor rgb="FFFFC7CE"/>
        <bgColor rgb="FFFCE4D6"/>
      </patternFill>
    </fill>
    <fill>
      <patternFill patternType="solid">
        <fgColor rgb="FF1F3864"/>
        <bgColor rgb="FF333399"/>
      </patternFill>
    </fill>
    <fill>
      <patternFill patternType="solid">
        <fgColor rgb="FF4472C4"/>
        <bgColor rgb="FF0563C1"/>
      </patternFill>
    </fill>
    <fill>
      <patternFill patternType="solid">
        <fgColor rgb="FFBDD7EE"/>
      </patternFill>
    </fill>
    <fill>
      <patternFill patternType="solid">
        <fgColor rgb="FFC6EFCE"/>
      </patternFill>
    </fill>
    <fill>
      <patternFill patternType="solid">
        <fgColor rgb="FFFFF2CC"/>
      </patternFill>
    </fill>
    <fill>
      <patternFill patternType="solid">
        <fgColor rgb="FFFFC7CE"/>
      </patternFill>
    </fill>
    <fill>
      <patternFill patternType="solid">
        <fgColor rgb="FFFFE699"/>
      </patternFill>
    </fill>
    <fill>
      <patternFill patternType="solid">
        <fgColor rgb="FFD9E1F2"/>
      </patternFill>
    </fill>
    <fill>
      <patternFill patternType="solid">
        <fgColor rgb="FF4472C4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83">
    <xf numFmtId="0" fontId="0" fillId="0" borderId="0" pivotButton="0" quotePrefix="0" xfId="0"/>
    <xf numFmtId="0" fontId="1" fillId="0" borderId="0" pivotButton="0" quotePrefix="0" xfId="0"/>
    <xf numFmtId="0" fontId="3" fillId="0" borderId="0" pivotButton="0" quotePrefix="0" xfId="0"/>
    <xf numFmtId="0" fontId="0" fillId="2" borderId="0" pivotButton="0" quotePrefix="0" xfId="0"/>
    <xf numFmtId="0" fontId="0" fillId="3" borderId="0" pivotButton="0" quotePrefix="0" xfId="0"/>
    <xf numFmtId="0" fontId="0" fillId="4" borderId="0" pivotButton="0" quotePrefix="0" xfId="0"/>
    <xf numFmtId="0" fontId="0" fillId="5" borderId="0" pivotButton="0" quotePrefix="0" xfId="0"/>
    <xf numFmtId="0" fontId="0" fillId="6" borderId="0" pivotButton="0" quotePrefix="0" xfId="0"/>
    <xf numFmtId="0" fontId="0" fillId="7" borderId="0" pivotButton="0" quotePrefix="0" xfId="0"/>
    <xf numFmtId="0" fontId="4" fillId="8" borderId="0" pivotButton="0" quotePrefix="0" xfId="0"/>
    <xf numFmtId="0" fontId="0" fillId="8" borderId="0" pivotButton="0" quotePrefix="0" xfId="0"/>
    <xf numFmtId="0" fontId="5" fillId="9" borderId="1" applyAlignment="1" pivotButton="0" quotePrefix="0" xfId="0">
      <alignment horizontal="center"/>
    </xf>
    <xf numFmtId="0" fontId="6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4" borderId="0" applyAlignment="1" pivotButton="0" quotePrefix="0" xfId="0">
      <alignment vertical="top" wrapText="1"/>
    </xf>
    <xf numFmtId="0" fontId="10" fillId="3" borderId="0" applyAlignment="1" pivotButton="0" quotePrefix="0" xfId="0">
      <alignment vertical="top" wrapText="1"/>
    </xf>
    <xf numFmtId="0" fontId="11" fillId="0" borderId="1" pivotButton="0" quotePrefix="0" xfId="0"/>
    <xf numFmtId="0" fontId="10" fillId="6" borderId="0" applyAlignment="1" pivotButton="0" quotePrefix="0" xfId="0">
      <alignment vertical="top" wrapText="1"/>
    </xf>
    <xf numFmtId="0" fontId="10" fillId="7" borderId="0" applyAlignment="1" pivotButton="0" quotePrefix="0" xfId="0">
      <alignment vertical="top" wrapText="1"/>
    </xf>
    <xf numFmtId="0" fontId="9" fillId="2" borderId="0" applyAlignment="1" pivotButton="0" quotePrefix="0" xfId="0">
      <alignment vertical="top" wrapText="1"/>
    </xf>
    <xf numFmtId="0" fontId="9" fillId="6" borderId="0" applyAlignment="1" pivotButton="0" quotePrefix="0" xfId="0">
      <alignment vertical="top" wrapText="1"/>
    </xf>
    <xf numFmtId="0" fontId="12" fillId="0" borderId="0" pivotButton="0" quotePrefix="0" xfId="0"/>
    <xf numFmtId="0" fontId="10" fillId="2" borderId="0" applyAlignment="1" pivotButton="0" quotePrefix="0" xfId="0">
      <alignment vertical="top" wrapText="1"/>
    </xf>
    <xf numFmtId="0" fontId="10" fillId="4" borderId="0" applyAlignment="1" pivotButton="0" quotePrefix="0" xfId="0">
      <alignment vertical="top" wrapText="1"/>
    </xf>
    <xf numFmtId="0" fontId="9" fillId="3" borderId="0" applyAlignment="1" pivotButton="0" quotePrefix="0" xfId="0">
      <alignment vertical="top" wrapText="1"/>
    </xf>
    <xf numFmtId="0" fontId="9" fillId="5" borderId="0" applyAlignment="1" pivotButton="0" quotePrefix="0" xfId="0">
      <alignment vertical="top" wrapText="1"/>
    </xf>
    <xf numFmtId="0" fontId="10" fillId="10" borderId="0" applyAlignment="1" pivotButton="0" quotePrefix="0" xfId="0">
      <alignment vertical="top" wrapText="1"/>
    </xf>
    <xf numFmtId="164" fontId="13" fillId="0" borderId="1" pivotButton="0" quotePrefix="0" xfId="0"/>
    <xf numFmtId="0" fontId="9" fillId="11" borderId="0" applyAlignment="1" pivotButton="0" quotePrefix="0" xfId="0">
      <alignment vertical="top" wrapText="1"/>
    </xf>
    <xf numFmtId="2" fontId="14" fillId="0" borderId="1" pivotButton="0" quotePrefix="0" xfId="0"/>
    <xf numFmtId="0" fontId="9" fillId="12" borderId="0" applyAlignment="1" pivotButton="0" quotePrefix="0" xfId="0">
      <alignment vertical="top" wrapText="1"/>
    </xf>
    <xf numFmtId="0" fontId="9" fillId="13" borderId="0" applyAlignment="1" pivotButton="0" quotePrefix="0" xfId="0">
      <alignment vertical="top" wrapText="1"/>
    </xf>
    <xf numFmtId="0" fontId="16" fillId="0" borderId="0" pivotButton="0" quotePrefix="0" xfId="0"/>
    <xf numFmtId="0" fontId="17" fillId="0" borderId="0" pivotButton="0" quotePrefix="0" xfId="0"/>
    <xf numFmtId="0" fontId="18" fillId="0" borderId="0" pivotButton="0" quotePrefix="0" xfId="0"/>
    <xf numFmtId="0" fontId="14" fillId="0" borderId="1" pivotButton="0" quotePrefix="0" xfId="0"/>
    <xf numFmtId="165" fontId="14" fillId="0" borderId="1" pivotButton="0" quotePrefix="0" xfId="0"/>
    <xf numFmtId="2" fontId="13" fillId="0" borderId="1" pivotButton="0" quotePrefix="0" xfId="0"/>
    <xf numFmtId="165" fontId="13" fillId="0" borderId="1" pivotButton="0" quotePrefix="0" xfId="0"/>
    <xf numFmtId="166" fontId="14" fillId="0" borderId="1" pivotButton="0" quotePrefix="0" xfId="0"/>
    <xf numFmtId="167" fontId="14" fillId="0" borderId="1" pivotButton="0" quotePrefix="0" xfId="0"/>
    <xf numFmtId="166" fontId="13" fillId="0" borderId="1" pivotButton="0" quotePrefix="0" xfId="0"/>
    <xf numFmtId="167" fontId="13" fillId="0" borderId="1" pivotButton="0" quotePrefix="0" xfId="0"/>
    <xf numFmtId="1" fontId="13" fillId="0" borderId="1" pivotButton="0" quotePrefix="0" xfId="0"/>
    <xf numFmtId="1" fontId="14" fillId="0" borderId="1" pivotButton="0" quotePrefix="0" xfId="0"/>
    <xf numFmtId="2" fontId="15" fillId="0" borderId="1" pivotButton="0" quotePrefix="0" xfId="0"/>
    <xf numFmtId="165" fontId="15" fillId="0" borderId="1" pivotButton="0" quotePrefix="0" xfId="0"/>
    <xf numFmtId="1" fontId="15" fillId="0" borderId="1" pivotButton="0" quotePrefix="0" xfId="0"/>
    <xf numFmtId="168" fontId="15" fillId="0" borderId="1" pivotButton="0" quotePrefix="0" xfId="0"/>
    <xf numFmtId="0" fontId="15" fillId="0" borderId="1" pivotButton="0" quotePrefix="0" xfId="0"/>
    <xf numFmtId="0" fontId="13" fillId="0" borderId="1" pivotButton="0" quotePrefix="0" xfId="0"/>
    <xf numFmtId="169" fontId="13" fillId="0" borderId="1" pivotButton="0" quotePrefix="0" xfId="0"/>
    <xf numFmtId="164" fontId="15" fillId="0" borderId="1" pivotButton="0" quotePrefix="0" xfId="0"/>
    <xf numFmtId="167" fontId="15" fillId="0" borderId="1" pivotButton="0" quotePrefix="0" xfId="0"/>
    <xf numFmtId="170" fontId="13" fillId="0" borderId="1" pivotButton="0" quotePrefix="0" xfId="0"/>
    <xf numFmtId="171" fontId="13" fillId="0" borderId="1" pivotButton="0" quotePrefix="0" xfId="0"/>
    <xf numFmtId="166" fontId="15" fillId="0" borderId="1" pivotButton="0" quotePrefix="0" xfId="0"/>
    <xf numFmtId="0" fontId="2" fillId="0" borderId="0" applyAlignment="1" pivotButton="0" quotePrefix="0" xfId="0">
      <alignment wrapText="1"/>
    </xf>
    <xf numFmtId="0" fontId="0" fillId="0" borderId="0" pivotButton="0" quotePrefix="0" xfId="0"/>
    <xf numFmtId="165" fontId="14" fillId="0" borderId="1" pivotButton="0" quotePrefix="0" xfId="0"/>
    <xf numFmtId="165" fontId="13" fillId="0" borderId="1" pivotButton="0" quotePrefix="0" xfId="0"/>
    <xf numFmtId="166" fontId="14" fillId="0" borderId="1" pivotButton="0" quotePrefix="0" xfId="0"/>
    <xf numFmtId="167" fontId="14" fillId="0" borderId="1" pivotButton="0" quotePrefix="0" xfId="0"/>
    <xf numFmtId="166" fontId="13" fillId="0" borderId="1" pivotButton="0" quotePrefix="0" xfId="0"/>
    <xf numFmtId="167" fontId="13" fillId="0" borderId="1" pivotButton="0" quotePrefix="0" xfId="0"/>
    <xf numFmtId="165" fontId="15" fillId="0" borderId="1" pivotButton="0" quotePrefix="0" xfId="0"/>
    <xf numFmtId="168" fontId="15" fillId="0" borderId="1" pivotButton="0" quotePrefix="0" xfId="0"/>
    <xf numFmtId="164" fontId="13" fillId="0" borderId="1" pivotButton="0" quotePrefix="0" xfId="0"/>
    <xf numFmtId="164" fontId="15" fillId="0" borderId="1" pivotButton="0" quotePrefix="0" xfId="0"/>
    <xf numFmtId="167" fontId="15" fillId="0" borderId="1" pivotButton="0" quotePrefix="0" xfId="0"/>
    <xf numFmtId="166" fontId="15" fillId="0" borderId="1" pivotButton="0" quotePrefix="0" xfId="0"/>
    <xf numFmtId="164" fontId="14" fillId="0" borderId="1" pivotButton="0" quotePrefix="0" xfId="0"/>
    <xf numFmtId="0" fontId="9" fillId="14" borderId="0" applyAlignment="1" pivotButton="0" quotePrefix="0" xfId="0">
      <alignment vertical="top" wrapText="1"/>
    </xf>
    <xf numFmtId="0" fontId="9" fillId="10" borderId="0" applyAlignment="1" pivotButton="0" quotePrefix="0" xfId="0">
      <alignment vertical="top" wrapText="1"/>
    </xf>
    <xf numFmtId="164" fontId="19" fillId="0" borderId="1" pivotButton="0" quotePrefix="0" xfId="0"/>
    <xf numFmtId="0" fontId="9" fillId="15" borderId="0" applyAlignment="1" pivotButton="0" quotePrefix="0" xfId="0">
      <alignment vertical="top" wrapText="1"/>
    </xf>
    <xf numFmtId="0" fontId="20" fillId="0" borderId="0" pivotButton="0" quotePrefix="0" xfId="0"/>
    <xf numFmtId="0" fontId="22" fillId="0" borderId="0" pivotButton="0" quotePrefix="0" xfId="0"/>
    <xf numFmtId="0" fontId="21" fillId="16" borderId="0" pivotButton="0" quotePrefix="0" xfId="0"/>
    <xf numFmtId="0" fontId="0" fillId="12" borderId="0" pivotButton="0" quotePrefix="0" xfId="0"/>
    <xf numFmtId="0" fontId="0" fillId="11" borderId="0" pivotButton="0" quotePrefix="0" xfId="0"/>
    <xf numFmtId="0" fontId="0" fillId="10" borderId="0" pivotButton="0" quotePrefix="0" xfId="0"/>
  </cellXfs>
  <cellStyles count="1">
    <cellStyle name="Normal" xfId="0" builtinId="0"/>
  </cellStyles>
  <dxfs count="3">
    <dxf>
      <fill>
        <patternFill patternType="solid">
          <fgColor rgb="FF63BE7B"/>
          <bgColor rgb="FF63BE7B"/>
        </patternFill>
      </fill>
    </dxf>
    <dxf>
      <fill>
        <patternFill patternType="solid">
          <fgColor rgb="FFF8696B"/>
          <bgColor rgb="FFF8696B"/>
        </patternFill>
      </fill>
    </dxf>
    <dxf>
      <fill>
        <patternFill patternType="solid">
          <fgColor rgb="FFFFEB84"/>
          <bgColor rgb="FFFFEB84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D9D9D9"/>
      <rgbColor rgb="FF808080"/>
      <rgbColor rgb="FF9999FF"/>
      <rgbColor rgb="FF7030A0"/>
      <rgbColor rgb="FFFFF2CC"/>
      <rgbColor rgb="FFFCE4D6"/>
      <rgbColor rgb="FF660066"/>
      <rgbColor rgb="FFFF8080"/>
      <rgbColor rgb="FF0563C1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699"/>
      <rgbColor rgb="FF99CCFF"/>
      <rgbColor rgb="FFFF99CC"/>
      <rgbColor rgb="FFCC99FF"/>
      <rgbColor rgb="FFFFC7CE"/>
      <rgbColor rgb="FF4472C4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40404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https://www.duran-group.com/en/products-solutions/laboratory-glassware/products/glass-filtration-apparatus-and-accessories/filter-funnel.html" TargetMode="External" Id="rId1" /><Relationship Type="http://schemas.openxmlformats.org/officeDocument/2006/relationships/hyperlink" Target="https://pioreactor.com/products/20ml-glass-vial" TargetMode="External" Id="rId2" /><Relationship Type="http://schemas.openxmlformats.org/officeDocument/2006/relationships/hyperlink" Target="https://pioreactor.com/products/pioreactor-40ml" TargetMode="External" Id="rId3" /><Relationship Type="http://schemas.openxmlformats.org/officeDocument/2006/relationships/hyperlink" Target="https://pioreactor.com/products/20ml-glass-vial" TargetMode="External" Id="rId4" /><Relationship Type="http://schemas.openxmlformats.org/officeDocument/2006/relationships/hyperlink" Target="https://pioreactor.com/products/pioreactor-40ml" TargetMode="External" Id="rId5" /><Relationship Type="http://schemas.openxmlformats.org/officeDocument/2006/relationships/hyperlink" Target="https://docs.pioreactor.com/user-guide/prepare-vial-for-cultures" TargetMode="External" Id="rId6" /><Relationship Type="http://schemas.openxmlformats.org/officeDocument/2006/relationships/hyperlink" Target="https://pioreactor.com/products/pioreactor-40ml" TargetMode="External" Id="rId7" /><Relationship Type="http://schemas.openxmlformats.org/officeDocument/2006/relationships/hyperlink" Target="https://pioreactor.com/products/20ml-glass-vial" TargetMode="External" Id="rId8" /><Relationship Type="http://schemas.openxmlformats.org/officeDocument/2006/relationships/hyperlink" Target="https://pioreactor.com/products/pioreactor-40ml" TargetMode="External" Id="rId9" /><Relationship Type="http://schemas.openxmlformats.org/officeDocument/2006/relationships/hyperlink" Target="https://forum.amybo.org/t/current-measurement-experiment/166" TargetMode="External" Id="rId10" /><Relationship Type="http://schemas.openxmlformats.org/officeDocument/2006/relationships/hyperlink" Target="https://forum.amybo.org/t/current-measurement-experiment/166" TargetMode="External" Id="rId11" /><Relationship Type="http://schemas.openxmlformats.org/officeDocument/2006/relationships/hyperlink" Target="https://forum.amybo.org/t/current-measurement-experiment/166" TargetMode="External" Id="rId12" /><Relationship Type="http://schemas.openxmlformats.org/officeDocument/2006/relationships/hyperlink" Target="https://forum.amybo.org/t/current-measurement-experiment/166" TargetMode="External" Id="rId13" /><Relationship Type="http://schemas.openxmlformats.org/officeDocument/2006/relationships/hyperlink" Target="https://physics.nist.gov/cgi-bin/cuu/Value?f" TargetMode="External" Id="rId14" /><Relationship Type="http://schemas.openxmlformats.org/officeDocument/2006/relationships/hyperlink" Target="https://www.nature.com/articles/s41467-022-28953-x" TargetMode="External" Id="rId15" /><Relationship Type="http://schemas.openxmlformats.org/officeDocument/2006/relationships/hyperlink" Target="https://forum.amybo.org/t/current-measurement-experiment/166" TargetMode="External" Id="rId16" /><Relationship Type="http://schemas.openxmlformats.org/officeDocument/2006/relationships/hyperlink" Target="https://forum.amybo.org/t/current-measurement-experiment/166" TargetMode="External" Id="rId17" /><Relationship Type="http://schemas.openxmlformats.org/officeDocument/2006/relationships/hyperlink" Target="https://journals.asm.org/doi/10.1128/aem.02007-22" TargetMode="External" Id="rId18" /><Relationship Type="http://schemas.openxmlformats.org/officeDocument/2006/relationships/hyperlink" Target="https://journals.asm.org/doi/10.1128/aem.02007-22" TargetMode="External" Id="rId19" /><Relationship Type="http://schemas.openxmlformats.org/officeDocument/2006/relationships/hyperlink" Target="https://acp.copernicus.org/articles/23/10901/2023/" TargetMode="External" Id="rId20" /><Relationship Type="http://schemas.openxmlformats.org/officeDocument/2006/relationships/hyperlink" Target="https://acp.copernicus.org/articles/23/10901/2023/" TargetMode="External" Id="rId21" /><Relationship Type="http://schemas.openxmlformats.org/officeDocument/2006/relationships/hyperlink" Target="https://journals.asm.org/doi/10.1128/aem.02007-22" TargetMode="External" Id="rId22" /><Relationship Type="http://schemas.openxmlformats.org/officeDocument/2006/relationships/hyperlink" Target="https://www.ncbi.nlm.nih.gov/pmc/articles/PMC10583674/" TargetMode="External" Id="rId23" /><Relationship Type="http://schemas.openxmlformats.org/officeDocument/2006/relationships/hyperlink" Target="https://physics.nist.gov/cgi-bin/cuu/Value?r" TargetMode="External" Id="rId24" /><Relationship Type="http://schemas.openxmlformats.org/officeDocument/2006/relationships/hyperlink" Target="https://webbook.nist.gov/cgi/cbook.cgi?ID=C124389&amp;Units=SI" TargetMode="External" Id="rId25" /><Relationship Type="http://schemas.openxmlformats.org/officeDocument/2006/relationships/hyperlink" Target="https://iapws.org/documents/release/Surf-H2O" TargetMode="External" Id="rId26" /><Relationship Type="http://schemas.openxmlformats.org/officeDocument/2006/relationships/hyperlink" Target="https://iapws.org/relguide/IAPWS-95.html" TargetMode="External" Id="rId27" /><Relationship Type="http://schemas.openxmlformats.org/officeDocument/2006/relationships/hyperlink" Target="https://physics.nist.gov/cgi-bin/cuu/Value?gn" TargetMode="External" Id="rId28" /><Relationship Type="http://schemas.openxmlformats.org/officeDocument/2006/relationships/hyperlink" Target="https://www.duran-group.com/en/products-solutions/laboratory-glassware/products/glass-filtration-apparatus-and-accessories/filter-funnel.html" TargetMode="External" Id="rId29" /><Relationship Type="http://schemas.openxmlformats.org/officeDocument/2006/relationships/hyperlink" Target="https://www.duran-group.com/en/products-solutions/laboratory-glassware/products/glass-filtration-apparatus-and-accessories/filter-funnel.html" TargetMode="External" Id="rId30" /><Relationship Type="http://schemas.openxmlformats.org/officeDocument/2006/relationships/hyperlink" Target="https://www.duran-group.com/en/products-solutions/laboratory-glassware/products/glass-filtration-apparatus-and-accessories/filter-funnel.html" TargetMode="External" Id="rId31" /><Relationship Type="http://schemas.openxmlformats.org/officeDocument/2006/relationships/hyperlink" Target="https://www.duran-group.com/en/products-solutions/laboratory-glassware/products/glass-filtration-apparatus-and-accessories/filter-funnel.html" TargetMode="External" Id="rId32" /><Relationship Type="http://schemas.openxmlformats.org/officeDocument/2006/relationships/hyperlink" Target="https://www.duran-group.com/en/products-solutions/laboratory-glassware/products/glass-filtration-apparatus-and-accessories/filter-funnel.html" TargetMode="External" Id="rId33" /><Relationship Type="http://schemas.openxmlformats.org/officeDocument/2006/relationships/hyperlink" Target="https://www.duran-group.com/en/products-solutions/laboratory-glassware/products/glass-filtration-apparatus-and-accessories/filter-funnel.html" TargetMode="External" Id="rId34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selection activeCell="A1" sqref="A1"/>
    </sheetView>
  </sheetViews>
  <sheetFormatPr baseColWidth="8" defaultRowHeight="15"/>
  <cols>
    <col width="24" customWidth="1" style="59" min="1" max="1"/>
    <col width="46" customWidth="1" style="59" min="5" max="5"/>
  </cols>
  <sheetData>
    <row r="1">
      <c r="A1" s="77" t="inlineStr">
        <is>
          <t>SUMMARY / CONTROL  (proof slice)</t>
        </is>
      </c>
    </row>
    <row r="3">
      <c r="A3" s="78" t="inlineStr">
        <is>
          <t>Imports from other tabs (the only cross-tab references):</t>
        </is>
      </c>
    </row>
    <row r="4">
      <c r="A4" s="79" t="inlineStr">
        <is>
          <t>Parameter</t>
        </is>
      </c>
      <c r="B4" s="79" t="inlineStr">
        <is>
          <t>Name</t>
        </is>
      </c>
      <c r="C4" s="79" t="inlineStr">
        <is>
          <t>Unit</t>
        </is>
      </c>
      <c r="D4" s="79" t="inlineStr">
        <is>
          <t>Value</t>
        </is>
      </c>
      <c r="E4" s="79" t="inlineStr">
        <is>
          <t>Source</t>
        </is>
      </c>
    </row>
    <row r="5">
      <c r="A5" t="inlineStr">
        <is>
          <t>(import) cross-section</t>
        </is>
      </c>
      <c r="B5" t="inlineStr">
        <is>
          <t>A_x_in</t>
        </is>
      </c>
      <c r="C5" t="inlineStr">
        <is>
          <t>mm²</t>
        </is>
      </c>
      <c r="D5" s="35">
        <f>Geometry!$D$6</f>
        <v/>
      </c>
      <c r="E5" s="80" t="inlineStr">
        <is>
          <t>IMPORT cell — the one cross-tab link. Local formulas below use this, so their precedents stay on this tab.</t>
        </is>
      </c>
    </row>
    <row r="6">
      <c r="A6" t="inlineStr">
        <is>
          <t>Liquid per mm depth (demo)</t>
        </is>
      </c>
      <c r="B6" t="inlineStr">
        <is>
          <t>mL_per_mm</t>
        </is>
      </c>
      <c r="C6" t="inlineStr">
        <is>
          <t>mL/mm</t>
        </is>
      </c>
      <c r="D6" s="35">
        <f>A_x_in/1000</f>
        <v/>
      </c>
      <c r="E6" s="81" t="inlineStr">
        <is>
          <t>Uses the local import (A_x_in), not Geometry directly → Excel highlights it on this tab.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selection activeCell="A1" sqref="A1"/>
    </sheetView>
  </sheetViews>
  <sheetFormatPr baseColWidth="8" defaultRowHeight="15"/>
  <cols>
    <col width="22" customWidth="1" style="59" min="1" max="1"/>
    <col width="40" customWidth="1" style="59" min="5" max="5"/>
  </cols>
  <sheetData>
    <row r="1">
      <c r="A1" s="77" t="inlineStr">
        <is>
          <t>GEOMETRY  (proof slice — formula precedents are all on this tab)</t>
        </is>
      </c>
    </row>
    <row r="2">
      <c r="A2" s="79" t="inlineStr">
        <is>
          <t>Parameter</t>
        </is>
      </c>
      <c r="B2" s="79" t="inlineStr">
        <is>
          <t>Name</t>
        </is>
      </c>
      <c r="C2" s="79" t="inlineStr">
        <is>
          <t>Unit</t>
        </is>
      </c>
      <c r="D2" s="79" t="inlineStr">
        <is>
          <t>Value</t>
        </is>
      </c>
      <c r="E2" s="79" t="inlineStr">
        <is>
          <t>Source / assumption</t>
        </is>
      </c>
    </row>
    <row r="3">
      <c r="A3" t="inlineStr">
        <is>
          <t>Vial outer diameter</t>
        </is>
      </c>
      <c r="B3" t="inlineStr">
        <is>
          <t>vial_OD</t>
        </is>
      </c>
      <c r="C3" t="inlineStr">
        <is>
          <t>mm</t>
        </is>
      </c>
      <c r="D3" s="33" t="n">
        <v>27.48</v>
      </c>
      <c r="E3" s="82" t="inlineStr">
        <is>
          <t>Pioreactor 20 mL vial, measured.</t>
        </is>
      </c>
    </row>
    <row r="4">
      <c r="A4" t="inlineStr">
        <is>
          <t>Vial wall thickness</t>
        </is>
      </c>
      <c r="B4" t="inlineStr">
        <is>
          <t>vial_wall</t>
        </is>
      </c>
      <c r="C4" t="inlineStr">
        <is>
          <t>mm</t>
        </is>
      </c>
      <c r="D4" s="33" t="n">
        <v>1.1</v>
      </c>
      <c r="E4" s="80" t="inlineStr">
        <is>
          <t>Borosilicate, estimated.</t>
        </is>
      </c>
    </row>
    <row r="5">
      <c r="A5" t="inlineStr">
        <is>
          <t>Vial internal diameter</t>
        </is>
      </c>
      <c r="B5" t="inlineStr">
        <is>
          <t>vial_ID</t>
        </is>
      </c>
      <c r="C5" t="inlineStr">
        <is>
          <t>mm</t>
        </is>
      </c>
      <c r="D5" s="35">
        <f>vial_OD-2*vial_wall</f>
        <v/>
      </c>
      <c r="E5" s="81" t="inlineStr">
        <is>
          <t>OD − 2 walls.</t>
        </is>
      </c>
    </row>
    <row r="6">
      <c r="A6" t="inlineStr">
        <is>
          <t>Internal cross-section</t>
        </is>
      </c>
      <c r="B6" t="inlineStr">
        <is>
          <t>A_x</t>
        </is>
      </c>
      <c r="C6" t="inlineStr">
        <is>
          <t>mm²</t>
        </is>
      </c>
      <c r="D6" s="35">
        <f>PI()/4*vial_ID^2</f>
        <v/>
      </c>
      <c r="E6" s="81" t="inlineStr">
        <is>
          <t>Uniform-cylinder body.</t>
        </is>
      </c>
    </row>
  </sheetData>
  <pageMargins left="0.75" right="0.75" top="1" bottom="1" header="0.5" footer="0.5"/>
</worksheet>
</file>

<file path=xl/worksheets/sheet3.xml><?xml version="1.0" encoding="utf-8"?>
<worksheet xmlns:r="http://schemas.openxmlformats.org/officeDocument/2006/relationships" xmlns="http://schemas.openxmlformats.org/spreadsheetml/2006/main">
  <sheetPr>
    <outlinePr summaryBelow="1" summaryRight="1"/>
    <pageSetUpPr/>
  </sheetPr>
  <dimension ref="A1:E256"/>
  <sheetViews>
    <sheetView showGridLines="0" tabSelected="1" zoomScaleNormal="100" workbookViewId="0">
      <pane ySplit="1" topLeftCell="A98" activePane="bottomLeft" state="frozen"/>
      <selection pane="bottomLeft" activeCell="D114" sqref="D114"/>
    </sheetView>
  </sheetViews>
  <sheetFormatPr baseColWidth="10" defaultColWidth="8.6640625" defaultRowHeight="15"/>
  <cols>
    <col width="44" customWidth="1" style="59" min="1" max="1"/>
    <col width="15" customWidth="1" style="59" min="2" max="2"/>
    <col width="11" customWidth="1" style="59" min="3" max="3"/>
    <col width="12" customWidth="1" style="59" min="4" max="4"/>
    <col width="70" customWidth="1" style="59" min="5" max="5"/>
  </cols>
  <sheetData>
    <row r="1" ht="17.25" customHeight="1" s="59">
      <c r="A1" s="1" t="inlineStr">
        <is>
          <t>electroPioreactor gas model</t>
        </is>
      </c>
    </row>
    <row r="2">
      <c r="A2" s="58" t="inlineStr">
        <is>
          <t>AMYBO aseptic electro-bioreactor - hydrogen-oxidising bacteria (C. necator) grown on electrolytic H₂/O₂ + dosed CO₂. UK English, SI.</t>
        </is>
      </c>
    </row>
    <row r="4" ht="15" customHeight="1" s="59">
      <c r="A4" s="2" t="inlineStr">
        <is>
          <t>Key</t>
        </is>
      </c>
    </row>
    <row r="5" ht="15" customHeight="1" s="59">
      <c r="A5" s="3" t="inlineStr">
        <is>
          <t>Verified / handbook / defined / standard</t>
        </is>
      </c>
    </row>
    <row r="6" ht="15" customHeight="1" s="59">
      <c r="A6" s="4" t="inlineStr">
        <is>
          <t>Literature-supported (~90%)</t>
        </is>
      </c>
    </row>
    <row r="7" ht="15" customHeight="1" s="59">
      <c r="A7" s="5" t="inlineStr">
        <is>
          <t>Design assumption (~70%)</t>
        </is>
      </c>
    </row>
    <row r="8" ht="15" customHeight="1" s="59">
      <c r="A8" s="6" t="inlineStr">
        <is>
          <t>Weak / coarse estimate (~50%)</t>
        </is>
      </c>
    </row>
    <row r="9" ht="15" customHeight="1" s="59">
      <c r="A9" s="7" t="inlineStr">
        <is>
          <t>Guess - replace when known</t>
        </is>
      </c>
    </row>
    <row r="10" ht="15" customHeight="1" s="59">
      <c r="A10" s="8" t="inlineStr">
        <is>
          <t>DATA GAP - need to measure</t>
        </is>
      </c>
    </row>
    <row r="11">
      <c r="A11" s="33" t="inlineStr">
        <is>
          <t>variable (set/measure)</t>
        </is>
      </c>
    </row>
    <row r="12">
      <c r="A12" s="34" t="inlineStr">
        <is>
          <t>fixed data / constant</t>
        </is>
      </c>
      <c r="B12" s="33" t="n"/>
      <c r="C12" s="34" t="n"/>
      <c r="D12" s="35" t="n"/>
    </row>
    <row r="13">
      <c r="A13" s="35" t="inlineStr">
        <is>
          <t>formula</t>
        </is>
      </c>
      <c r="B13" s="33" t="n"/>
      <c r="C13" s="34" t="n"/>
      <c r="D13" s="35" t="n"/>
    </row>
    <row r="14" ht="15" customHeight="1" s="59">
      <c r="A14" s="9" t="inlineStr">
        <is>
          <t>0.  SELECTORS</t>
        </is>
      </c>
      <c r="B14" s="10" t="n"/>
      <c r="C14" s="10" t="n"/>
      <c r="D14" s="10" t="n"/>
      <c r="E14" s="10" t="n"/>
    </row>
    <row r="15" ht="15" customHeight="1" s="59">
      <c r="A15" s="11" t="inlineStr">
        <is>
          <t>Parameter</t>
        </is>
      </c>
      <c r="B15" s="11" t="inlineStr">
        <is>
          <t>Name</t>
        </is>
      </c>
      <c r="C15" s="11" t="inlineStr">
        <is>
          <t>Unit</t>
        </is>
      </c>
      <c r="D15" s="11" t="inlineStr">
        <is>
          <t>Value</t>
        </is>
      </c>
      <c r="E15" s="11" t="inlineStr">
        <is>
          <t>Source / assumption</t>
        </is>
      </c>
    </row>
    <row r="16" ht="15" customHeight="1" s="59">
      <c r="A16" s="12" t="inlineStr">
        <is>
          <t>Reactor version</t>
        </is>
      </c>
      <c r="B16" s="13" t="inlineStr">
        <is>
          <t>rx_ver</t>
        </is>
      </c>
      <c r="C16" s="14" t="inlineStr">
        <is>
          <t>-</t>
        </is>
      </c>
      <c r="D16" s="36" t="inlineStr">
        <is>
          <t>AEP0.1.1</t>
        </is>
      </c>
      <c r="E16" s="15" t="inlineStr">
        <is>
          <t>Active build. Choose from the values below. Dropdown.</t>
        </is>
      </c>
    </row>
    <row r="17" ht="15" customHeight="1" s="59">
      <c r="A17" s="12" t="inlineStr">
        <is>
          <t>Sparger type</t>
        </is>
      </c>
      <c r="B17" s="13" t="inlineStr">
        <is>
          <t>sparger</t>
        </is>
      </c>
      <c r="C17" s="14" t="inlineStr">
        <is>
          <t>-</t>
        </is>
      </c>
      <c r="D17" s="36" t="inlineStr">
        <is>
          <t>Tube</t>
        </is>
      </c>
      <c r="E17" s="15" t="inlineStr">
        <is>
          <t>CO₂ delivery route. Choose from the values below. Dropdown.</t>
        </is>
      </c>
    </row>
    <row r="18" ht="15" customHeight="1" s="59">
      <c r="A18" s="12" t="inlineStr">
        <is>
          <t>Sinter porosity grade (if Sintered)</t>
        </is>
      </c>
      <c r="B18" s="13" t="inlineStr">
        <is>
          <t>por_grade</t>
        </is>
      </c>
      <c r="C18" s="14" t="inlineStr">
        <is>
          <t>0-5</t>
        </is>
      </c>
      <c r="D18" s="36" t="n">
        <v>0</v>
      </c>
      <c r="E18" s="16" t="inlineStr">
        <is>
          <t>ISO 4793 / DURAN class; 0 = coarsest. Dropdown.</t>
        </is>
      </c>
    </row>
    <row r="19" ht="15" customHeight="1" s="59">
      <c r="A19" s="12" t="inlineStr">
        <is>
          <t xml:space="preserve">  valid version 1</t>
        </is>
      </c>
      <c r="B19" s="13" t="inlineStr">
        <is>
          <t>ver_name_1</t>
        </is>
      </c>
      <c r="C19" s="14" t="inlineStr">
        <is>
          <t>-</t>
        </is>
      </c>
      <c r="D19" s="36" t="inlineStr">
        <is>
          <t>AEP0.1.1</t>
        </is>
      </c>
      <c r="E19" s="15" t="inlineStr">
        <is>
          <t>Current build (20 mL Pioreactor vial, assumed).</t>
        </is>
      </c>
    </row>
    <row r="20" ht="15" customHeight="1" s="59">
      <c r="A20" s="12" t="inlineStr">
        <is>
          <t xml:space="preserve">  valid version 2</t>
        </is>
      </c>
      <c r="B20" s="13" t="inlineStr">
        <is>
          <t>ver_name_2</t>
        </is>
      </c>
      <c r="C20" s="14" t="inlineStr">
        <is>
          <t>-</t>
        </is>
      </c>
      <c r="D20" s="36" t="inlineStr">
        <is>
          <t>AEP0.2</t>
        </is>
      </c>
      <c r="E20" s="15" t="inlineStr">
        <is>
          <t>Planned build (40 mL Pioreactor vial).</t>
        </is>
      </c>
    </row>
    <row r="21" ht="15" customHeight="1" s="59">
      <c r="A21" s="12" t="inlineStr">
        <is>
          <t xml:space="preserve">  valid sparger 1</t>
        </is>
      </c>
      <c r="B21" s="13" t="inlineStr">
        <is>
          <t>spg_name_1</t>
        </is>
      </c>
      <c r="C21" s="14" t="inlineStr">
        <is>
          <t>-</t>
        </is>
      </c>
      <c r="D21" s="36" t="inlineStr">
        <is>
          <t>Tube</t>
        </is>
      </c>
      <c r="E21" s="15" t="inlineStr">
        <is>
          <t>Bare 1/8" OD x 1/16" ID Flexelene 135C tube orifice.</t>
        </is>
      </c>
    </row>
    <row r="22" ht="15" customHeight="1" s="59">
      <c r="A22" s="12" t="inlineStr">
        <is>
          <t xml:space="preserve">  valid sparger 2</t>
        </is>
      </c>
      <c r="B22" s="13" t="inlineStr">
        <is>
          <t>spg_name_2</t>
        </is>
      </c>
      <c r="C22" s="14" t="inlineStr">
        <is>
          <t>-</t>
        </is>
      </c>
      <c r="D22" s="36" t="inlineStr">
        <is>
          <t>Sintered</t>
        </is>
      </c>
      <c r="E22" s="15" t="inlineStr">
        <is>
          <t>10 mm sintered-glass disc annulus on a tubular anode.</t>
        </is>
      </c>
    </row>
    <row r="24" ht="15" customHeight="1" s="59">
      <c r="A24" s="9" t="inlineStr">
        <is>
          <t>1A.  REACTOR VERSION DATA</t>
        </is>
      </c>
      <c r="B24" s="10" t="n"/>
      <c r="C24" s="10" t="n"/>
      <c r="D24" s="10" t="n"/>
      <c r="E24" s="10" t="n"/>
    </row>
    <row r="25" ht="15" customHeight="1" s="59">
      <c r="A25" s="11" t="inlineStr">
        <is>
          <t>Parameter</t>
        </is>
      </c>
      <c r="B25" s="11" t="inlineStr">
        <is>
          <t>Name</t>
        </is>
      </c>
      <c r="C25" s="11" t="inlineStr">
        <is>
          <t>Unit</t>
        </is>
      </c>
      <c r="D25" s="11" t="inlineStr">
        <is>
          <t>Value</t>
        </is>
      </c>
      <c r="E25" s="11" t="inlineStr">
        <is>
          <t>Source / assumption</t>
        </is>
      </c>
    </row>
    <row r="26" ht="15" customHeight="1" s="59">
      <c r="A26" s="12" t="inlineStr">
        <is>
          <t>Vial outer diameter - AEP0.1.1</t>
        </is>
      </c>
      <c r="B26" s="13" t="inlineStr">
        <is>
          <t>vial_OD_1</t>
        </is>
      </c>
      <c r="C26" s="14" t="inlineStr">
        <is>
          <t>mm</t>
        </is>
      </c>
      <c r="D26" s="30" t="n">
        <v>27.48</v>
      </c>
      <c r="E26" s="16" t="inlineStr">
        <is>
          <t>Pioreactor 20 mL vial, measured OD.</t>
        </is>
      </c>
    </row>
    <row r="27" ht="15" customHeight="1" s="59">
      <c r="A27" s="12" t="inlineStr">
        <is>
          <t>Vial outer diameter - AEP0.2</t>
        </is>
      </c>
      <c r="B27" s="13" t="inlineStr">
        <is>
          <t>vial_OD_2</t>
        </is>
      </c>
      <c r="C27" s="14" t="inlineStr">
        <is>
          <t>mm</t>
        </is>
      </c>
      <c r="D27" s="30" t="n">
        <v>27.48</v>
      </c>
      <c r="E27" s="27" t="inlineStr">
        <is>
          <t>40 mL vial — same diameter as 20 mL (Pioreactor source). Using 27.48 mm until measured.</t>
        </is>
      </c>
    </row>
    <row r="28" ht="15" customHeight="1" s="59">
      <c r="A28" s="12" t="inlineStr">
        <is>
          <t>Internal usable depth - AEP0.1.1</t>
        </is>
      </c>
      <c r="B28" s="13" t="inlineStr">
        <is>
          <t>D_int_1</t>
        </is>
      </c>
      <c r="C28" s="14" t="inlineStr">
        <is>
          <t>mm</t>
        </is>
      </c>
      <c r="D28" s="60" t="n">
        <v>55</v>
      </c>
      <c r="E28" s="18" t="inlineStr">
        <is>
          <t>20 mL vial total height 57.4 mm; usable depth est. Measure.</t>
        </is>
      </c>
    </row>
    <row r="29" ht="15" customHeight="1" s="59">
      <c r="A29" s="12" t="inlineStr">
        <is>
          <t>Internal usable depth - AEP0.2</t>
        </is>
      </c>
      <c r="B29" s="13" t="inlineStr">
        <is>
          <t>D_int_2</t>
        </is>
      </c>
      <c r="C29" s="14" t="inlineStr">
        <is>
          <t>mm</t>
        </is>
      </c>
      <c r="D29" s="60" t="n">
        <v>95</v>
      </c>
      <c r="E29" s="18" t="inlineStr">
        <is>
          <t>40 mL internal depth — measure. ~double the 20 mL (same diameter, double volume).</t>
        </is>
      </c>
    </row>
    <row r="30" ht="15" customHeight="1" s="59">
      <c r="A30" s="12" t="inlineStr">
        <is>
          <t>Recommended max working volume - AEP0.1.1</t>
        </is>
      </c>
      <c r="B30" s="13" t="inlineStr">
        <is>
          <t>Vmax_1</t>
        </is>
      </c>
      <c r="C30" s="14" t="inlineStr">
        <is>
          <t>mL</t>
        </is>
      </c>
      <c r="D30" s="60" t="n">
        <v>16</v>
      </c>
      <c r="E30" s="16" t="inlineStr">
        <is>
          <t>Pioreactor docs: 8-16 mL for 20 mL vial; using max as level datum.</t>
        </is>
      </c>
    </row>
    <row r="31" ht="15" customHeight="1" s="59">
      <c r="A31" s="12" t="inlineStr">
        <is>
          <t>Recommended max working volume - AEP0.2</t>
        </is>
      </c>
      <c r="B31" s="13" t="inlineStr">
        <is>
          <t>Vmax_2</t>
        </is>
      </c>
      <c r="C31" s="14" t="inlineStr">
        <is>
          <t>mL</t>
        </is>
      </c>
      <c r="D31" s="60" t="n">
        <v>30</v>
      </c>
      <c r="E31" s="16" t="inlineStr">
        <is>
          <t>Pioreactor docs recommend 10–30 mL working volume for the 40 mL vial; using the top of that range as level datum.</t>
        </is>
      </c>
    </row>
    <row r="32" ht="15" customHeight="1" s="59">
      <c r="A32" s="12" t="inlineStr">
        <is>
          <t>Total internal vial volume - AEP0.1.1</t>
        </is>
      </c>
      <c r="B32" s="13" t="inlineStr">
        <is>
          <t>Vtot_1</t>
        </is>
      </c>
      <c r="C32" s="14" t="inlineStr">
        <is>
          <t>mL</t>
        </is>
      </c>
      <c r="D32" s="60" t="n">
        <v>20</v>
      </c>
      <c r="E32" s="19" t="inlineStr">
        <is>
          <t>To cap underside (&gt; nominal). Placeholder - measure (water to fill).</t>
        </is>
      </c>
    </row>
    <row r="33" ht="15" customHeight="1" s="59">
      <c r="A33" s="12" t="inlineStr">
        <is>
          <t>Total internal vial volume - AEP0.2</t>
        </is>
      </c>
      <c r="B33" s="13" t="inlineStr">
        <is>
          <t>Vtot_2</t>
        </is>
      </c>
      <c r="C33" s="14" t="inlineStr">
        <is>
          <t>mL</t>
        </is>
      </c>
      <c r="D33" s="60" t="n">
        <v>40</v>
      </c>
      <c r="E33" s="19" t="inlineStr">
        <is>
          <t>Placeholder - measure.</t>
        </is>
      </c>
    </row>
    <row r="35" ht="15" customHeight="1" s="59">
      <c r="A35" s="9" t="inlineStr">
        <is>
          <t>1B.  ACTIVE REACTOR GEOMETRY</t>
        </is>
      </c>
      <c r="B35" s="10" t="n"/>
      <c r="C35" s="10" t="n"/>
      <c r="D35" s="10" t="n"/>
      <c r="E35" s="10" t="n"/>
    </row>
    <row r="36" ht="15" customHeight="1" s="59">
      <c r="A36" s="11" t="inlineStr">
        <is>
          <t>Parameter</t>
        </is>
      </c>
      <c r="B36" s="11" t="inlineStr">
        <is>
          <t>Name</t>
        </is>
      </c>
      <c r="C36" s="11" t="inlineStr">
        <is>
          <t>Unit</t>
        </is>
      </c>
      <c r="D36" s="11" t="inlineStr">
        <is>
          <t>Value</t>
        </is>
      </c>
      <c r="E36" s="11" t="inlineStr">
        <is>
          <t>Source / assumption</t>
        </is>
      </c>
    </row>
    <row r="37" ht="15" customHeight="1" s="59">
      <c r="A37" s="12" t="inlineStr">
        <is>
          <t>Vial outer diameter</t>
        </is>
      </c>
      <c r="B37" s="13" t="inlineStr">
        <is>
          <t>vial_OD</t>
        </is>
      </c>
      <c r="C37" s="14" t="inlineStr">
        <is>
          <t>mm</t>
        </is>
      </c>
      <c r="D37" s="38">
        <f>IF(rx_ver=ver_name_1,vial_OD_1,IF(rx_ver=ver_name_2,vial_OD_2,NA()))</f>
        <v/>
      </c>
      <c r="E37" s="20" t="inlineStr">
        <is>
          <t>Selected by rx_ver; invalid version returns an error.</t>
        </is>
      </c>
    </row>
    <row r="38" ht="19.5" customHeight="1" s="59">
      <c r="A38" s="12" t="inlineStr">
        <is>
          <t>Vial wall thickness</t>
        </is>
      </c>
      <c r="B38" s="13" t="inlineStr">
        <is>
          <t>vial_wall</t>
        </is>
      </c>
      <c r="C38" s="14" t="inlineStr">
        <is>
          <t>mm</t>
        </is>
      </c>
      <c r="D38" s="30" t="n">
        <v>1.1</v>
      </c>
      <c r="E38" s="21" t="inlineStr">
        <is>
          <t>Borosilicate vial; Pioreactor publish neither wall nor internal diameter, so wall estimated ~1.1 mm (typical for this glass-vial class).</t>
        </is>
      </c>
    </row>
    <row r="39" ht="15" customHeight="1" s="59">
      <c r="A39" s="12" t="inlineStr">
        <is>
          <t>Vial internal diameter</t>
        </is>
      </c>
      <c r="B39" s="13" t="inlineStr">
        <is>
          <t>vial_ID</t>
        </is>
      </c>
      <c r="C39" s="14" t="inlineStr">
        <is>
          <t>mm</t>
        </is>
      </c>
      <c r="D39" s="38">
        <f>vial_OD-2*vial_wall</f>
        <v/>
      </c>
      <c r="E39" s="20" t="inlineStr">
        <is>
          <t>OD minus two wall thicknesses.</t>
        </is>
      </c>
    </row>
    <row r="40" ht="15" customHeight="1" s="59">
      <c r="A40" s="12" t="inlineStr">
        <is>
          <t>Internal cross-sectional area</t>
        </is>
      </c>
      <c r="B40" s="13" t="inlineStr">
        <is>
          <t>A_x</t>
        </is>
      </c>
      <c r="C40" s="14" t="inlineStr">
        <is>
          <t>mm²</t>
        </is>
      </c>
      <c r="D40" s="61">
        <f>PI()/4*vial_ID^2</f>
        <v/>
      </c>
      <c r="E40" s="20" t="inlineStr">
        <is>
          <t>Uniform-cylinder body approximation (neck excluded - see headspace).</t>
        </is>
      </c>
    </row>
    <row r="41" ht="15" customHeight="1" s="59">
      <c r="A41" s="12" t="inlineStr">
        <is>
          <t>Internal usable depth</t>
        </is>
      </c>
      <c r="B41" s="13" t="inlineStr">
        <is>
          <t>D_int</t>
        </is>
      </c>
      <c r="C41" s="14" t="inlineStr">
        <is>
          <t>mm</t>
        </is>
      </c>
      <c r="D41" s="61">
        <f>IF(rx_ver=ver_name_1,D_int_1,IF(rx_ver=ver_name_2,D_int_2,NA()))</f>
        <v/>
      </c>
      <c r="E41" s="20" t="inlineStr">
        <is>
          <t>Selected by rx_ver.</t>
        </is>
      </c>
    </row>
    <row r="42" ht="15" customHeight="1" s="59">
      <c r="A42" s="12" t="inlineStr">
        <is>
          <t>Recommended max working volume (datum)</t>
        </is>
      </c>
      <c r="B42" s="13" t="inlineStr">
        <is>
          <t>V_max</t>
        </is>
      </c>
      <c r="C42" s="14" t="inlineStr">
        <is>
          <t>mL</t>
        </is>
      </c>
      <c r="D42" s="61">
        <f>IF(rx_ver=ver_name_1,Vmax_1,IF(rx_ver=ver_name_2,Vmax_2,NA()))</f>
        <v/>
      </c>
      <c r="E42" s="20" t="inlineStr">
        <is>
          <t>Selected by rx_ver.</t>
        </is>
      </c>
    </row>
    <row r="43" ht="15" customHeight="1" s="59">
      <c r="A43" s="12" t="inlineStr">
        <is>
          <t>Total internal vial volume</t>
        </is>
      </c>
      <c r="B43" s="13" t="inlineStr">
        <is>
          <t>V_vial_total</t>
        </is>
      </c>
      <c r="C43" s="14" t="inlineStr">
        <is>
          <t>mL</t>
        </is>
      </c>
      <c r="D43" s="61">
        <f>IF(rx_ver=ver_name_1,Vtot_1,IF(rx_ver=ver_name_2,Vtot_2,NA()))</f>
        <v/>
      </c>
      <c r="E43" s="20" t="inlineStr">
        <is>
          <t>Selected by rx_ver.</t>
        </is>
      </c>
    </row>
    <row r="44" ht="15" customHeight="1" s="59">
      <c r="A44" s="12" t="inlineStr">
        <is>
          <t>Bare liquid level (datum height)</t>
        </is>
      </c>
      <c r="B44" s="13" t="inlineStr">
        <is>
          <t>h_datum</t>
        </is>
      </c>
      <c r="C44" s="14" t="inlineStr">
        <is>
          <t>mm</t>
        </is>
      </c>
      <c r="D44" s="38">
        <f>V_max*1000/A_x</f>
        <v/>
      </c>
      <c r="E44" s="20" t="inlineStr">
        <is>
          <t>Height the bare max volume reaches with no inserts.</t>
        </is>
      </c>
    </row>
    <row r="45" ht="15" customHeight="1" s="59">
      <c r="A45" s="12" t="inlineStr">
        <is>
          <t>Electrode rod diameter</t>
        </is>
      </c>
      <c r="B45" s="13" t="inlineStr">
        <is>
          <t>rod_d</t>
        </is>
      </c>
      <c r="C45" s="14" t="inlineStr">
        <is>
          <t>mm</t>
        </is>
      </c>
      <c r="D45" s="60" t="n">
        <v>6</v>
      </c>
      <c r="E45" s="15" t="inlineStr">
        <is>
          <t>6 mm rod electrodes.</t>
        </is>
      </c>
    </row>
    <row r="46" ht="15" customHeight="1" s="59">
      <c r="A46" s="12" t="inlineStr">
        <is>
          <t>Number of electrodes</t>
        </is>
      </c>
      <c r="B46" s="13" t="inlineStr">
        <is>
          <t>rod_n</t>
        </is>
      </c>
      <c r="C46" s="14" t="inlineStr">
        <is>
          <t>-</t>
        </is>
      </c>
      <c r="D46" s="36" t="n">
        <v>2</v>
      </c>
      <c r="E46" s="20" t="inlineStr">
        <is>
          <t>Anode + cathode.</t>
        </is>
      </c>
    </row>
    <row r="47" ht="19.5" customHeight="1" s="59">
      <c r="A47" s="12" t="inlineStr">
        <is>
          <t>Electrode tip clearance above base</t>
        </is>
      </c>
      <c r="B47" s="13" t="inlineStr">
        <is>
          <t>elec_clear</t>
        </is>
      </c>
      <c r="C47" s="14" t="inlineStr">
        <is>
          <t>mm</t>
        </is>
      </c>
      <c r="D47" s="60" t="n">
        <v>22</v>
      </c>
      <c r="E47" s="15" t="inlineStr">
        <is>
          <t>Held constant across builds (OD clear zone). 22 mm ↔ 33 mm insertion in AEP0.1.1. Input.</t>
        </is>
      </c>
    </row>
    <row r="48" ht="15" customHeight="1" s="59">
      <c r="A48" s="22" t="inlineStr">
        <is>
          <t>Electrode insertion depth (derived)</t>
        </is>
      </c>
      <c r="B48" s="13" t="inlineStr">
        <is>
          <t>elec_ins</t>
        </is>
      </c>
      <c r="C48" s="14" t="inlineStr">
        <is>
          <t>mm</t>
        </is>
      </c>
      <c r="D48" s="61">
        <f>D_int-elec_clear</f>
        <v/>
      </c>
      <c r="E48" s="20" t="inlineStr">
        <is>
          <t>Cap underside -&gt; tip. Increases for the taller AEP0.2 to keep clearance constant.</t>
        </is>
      </c>
    </row>
    <row r="49" ht="15" customHeight="1" s="59">
      <c r="A49" s="12" t="inlineStr">
        <is>
          <t>Sparge tube OD</t>
        </is>
      </c>
      <c r="B49" s="13" t="inlineStr">
        <is>
          <t>spg_OD</t>
        </is>
      </c>
      <c r="C49" s="14" t="inlineStr">
        <is>
          <t>mm</t>
        </is>
      </c>
      <c r="D49" s="62" t="n">
        <v>3.175</v>
      </c>
      <c r="E49" s="20" t="inlineStr">
        <is>
          <t>1/8" OD Flexelene 135C.</t>
        </is>
      </c>
    </row>
    <row r="50" ht="15" customHeight="1" s="59">
      <c r="A50" s="12" t="inlineStr">
        <is>
          <t>Sparge tube ID</t>
        </is>
      </c>
      <c r="B50" s="13" t="inlineStr">
        <is>
          <t>spg_ID</t>
        </is>
      </c>
      <c r="C50" s="14" t="inlineStr">
        <is>
          <t>mm</t>
        </is>
      </c>
      <c r="D50" s="63" t="n">
        <v>1.5875</v>
      </c>
      <c r="E50" s="20" t="inlineStr">
        <is>
          <t>1/16" ID.</t>
        </is>
      </c>
    </row>
    <row r="51" ht="15" customHeight="1" s="59">
      <c r="A51" s="12" t="inlineStr">
        <is>
          <t>Sparge release height (= anode tip)</t>
        </is>
      </c>
      <c r="B51" s="13" t="inlineStr">
        <is>
          <t>spg_tip_h</t>
        </is>
      </c>
      <c r="C51" s="14" t="inlineStr">
        <is>
          <t>mm</t>
        </is>
      </c>
      <c r="D51" s="61">
        <f>elec_clear</f>
        <v/>
      </c>
      <c r="E51" s="15" t="inlineStr">
        <is>
          <t>CO₂ released near anode tip.</t>
        </is>
      </c>
    </row>
    <row r="52" ht="15" customHeight="1" s="59">
      <c r="A52" s="12" t="inlineStr">
        <is>
          <t>Efflux tube OD</t>
        </is>
      </c>
      <c r="B52" s="13" t="inlineStr">
        <is>
          <t>eff_OD</t>
        </is>
      </c>
      <c r="C52" s="14" t="inlineStr">
        <is>
          <t>mm</t>
        </is>
      </c>
      <c r="D52" s="62" t="n">
        <v>3.175</v>
      </c>
      <c r="E52" s="20" t="inlineStr">
        <is>
          <t>1/8" OD Flexelene 135C.</t>
        </is>
      </c>
    </row>
    <row r="53" ht="15" customHeight="1" s="59">
      <c r="A53" s="12" t="inlineStr">
        <is>
          <t>Efflux tube ID</t>
        </is>
      </c>
      <c r="B53" s="13" t="inlineStr">
        <is>
          <t>eff_ID</t>
        </is>
      </c>
      <c r="C53" s="14" t="inlineStr">
        <is>
          <t>mm</t>
        </is>
      </c>
      <c r="D53" s="63" t="n">
        <v>1.5875</v>
      </c>
      <c r="E53" s="20" t="inlineStr">
        <is>
          <t>1/16" ID.</t>
        </is>
      </c>
    </row>
    <row r="54" ht="15" customHeight="1" s="59">
      <c r="A54" s="12" t="inlineStr">
        <is>
          <t>Electrode submerged length (@datum)</t>
        </is>
      </c>
      <c r="B54" s="13" t="inlineStr">
        <is>
          <t>elec_sub_L</t>
        </is>
      </c>
      <c r="C54" s="14" t="inlineStr">
        <is>
          <t>mm</t>
        </is>
      </c>
      <c r="D54" s="38">
        <f>MAX(0,h_datum-elec_clear)</f>
        <v/>
      </c>
      <c r="E54" s="20" t="inlineStr">
        <is>
          <t>For displacement bookkeeping.</t>
        </is>
      </c>
    </row>
    <row r="55" ht="15" customHeight="1" s="59">
      <c r="A55" s="12" t="inlineStr">
        <is>
          <t>Electrode displaced volume</t>
        </is>
      </c>
      <c r="B55" s="13" t="inlineStr">
        <is>
          <t>elec_disp</t>
        </is>
      </c>
      <c r="C55" s="14" t="inlineStr">
        <is>
          <t>mL</t>
        </is>
      </c>
      <c r="D55" s="64">
        <f>rod_n*(PI()/4*rod_d^2)*elec_sub_L/1000</f>
        <v/>
      </c>
      <c r="E55" s="20" t="inlineStr">
        <is>
          <t>Submerged rod volume.</t>
        </is>
      </c>
    </row>
    <row r="56" ht="15" customHeight="1" s="59">
      <c r="A56" s="12" t="inlineStr">
        <is>
          <t>Sparge tube displaced volume</t>
        </is>
      </c>
      <c r="B56" s="13" t="inlineStr">
        <is>
          <t>spg_disp</t>
        </is>
      </c>
      <c r="C56" s="14" t="inlineStr">
        <is>
          <t>mL</t>
        </is>
      </c>
      <c r="D56" s="64">
        <f>(PI()/4*spg_OD^2)*MAX(0,h_datum-spg_tip_h)/1000</f>
        <v/>
      </c>
      <c r="E56" s="20" t="inlineStr">
        <is>
          <t>Submerged sparge-tube volume.</t>
        </is>
      </c>
    </row>
    <row r="57" ht="15" customHeight="1" s="59">
      <c r="A57" s="12" t="inlineStr">
        <is>
          <t>Efflux tube submerged length</t>
        </is>
      </c>
      <c r="B57" s="13" t="inlineStr">
        <is>
          <t>eff_sub_L</t>
        </is>
      </c>
      <c r="C57" s="14" t="inlineStr">
        <is>
          <t>mm</t>
        </is>
      </c>
      <c r="D57" s="64">
        <f>(eff_OD+eff_ID)/2</f>
        <v/>
      </c>
      <c r="E57" s="15" t="inlineStr">
        <is>
          <t>45 deg cut; level held at top of the ID opening, so wall is wetted from tip up to (OD+ID)/2.</t>
        </is>
      </c>
    </row>
    <row r="58" ht="15" customHeight="1" s="59">
      <c r="A58" s="12" t="inlineStr">
        <is>
          <t>Efflux tube displaced volume</t>
        </is>
      </c>
      <c r="B58" s="13" t="inlineStr">
        <is>
          <t>eff_disp</t>
        </is>
      </c>
      <c r="C58" s="14" t="inlineStr">
        <is>
          <t>mL</t>
        </is>
      </c>
      <c r="D58" s="65">
        <f>(PI()/4*(eff_OD^2-eff_ID^2))*eff_sub_L/1000</f>
        <v/>
      </c>
      <c r="E58" s="15" t="inlineStr">
        <is>
          <t>Annular wall only (bore is open to withdrawal). 45 deg approximation.</t>
        </is>
      </c>
    </row>
    <row r="59" ht="15" customHeight="1" s="59">
      <c r="A59" s="12" t="inlineStr">
        <is>
          <t>Total displaced volume</t>
        </is>
      </c>
      <c r="B59" s="13" t="inlineStr">
        <is>
          <t>disp_tot</t>
        </is>
      </c>
      <c r="C59" s="14" t="inlineStr">
        <is>
          <t>mL</t>
        </is>
      </c>
      <c r="D59" s="64">
        <f>elec_disp+spg_disp+eff_disp</f>
        <v/>
      </c>
      <c r="E59" s="20" t="inlineStr">
        <is>
          <t>Sum of submerged inserts.</t>
        </is>
      </c>
    </row>
    <row r="60" ht="15" customHeight="1" s="59">
      <c r="A60" s="22" t="inlineStr">
        <is>
          <t>LIQUID VOLUME TO CHARGE</t>
        </is>
      </c>
      <c r="B60" s="13" t="inlineStr">
        <is>
          <t>V_charge</t>
        </is>
      </c>
      <c r="C60" s="14" t="inlineStr">
        <is>
          <t>mL</t>
        </is>
      </c>
      <c r="D60" s="44">
        <f>ROUND(V_max-disp_tot,0)</f>
        <v/>
      </c>
      <c r="E60" s="20" t="inlineStr">
        <is>
          <t>Integer mL to charge so the level matches the bare datum despite inserts.</t>
        </is>
      </c>
    </row>
    <row r="61" ht="15" customHeight="1" s="59">
      <c r="A61" s="22" t="inlineStr">
        <is>
          <t>Resulting liquid level</t>
        </is>
      </c>
      <c r="B61" s="13" t="inlineStr">
        <is>
          <t>h_actual</t>
        </is>
      </c>
      <c r="C61" s="14" t="inlineStr">
        <is>
          <t>mm</t>
        </is>
      </c>
      <c r="D61" s="38">
        <f>(V_charge+disp_tot)*1000/A_x</f>
        <v/>
      </c>
      <c r="E61" s="20" t="inlineStr">
        <is>
          <t>Level achieved by the integer charge (displacement taken at datum; sub-mm error).</t>
        </is>
      </c>
    </row>
    <row r="62" ht="15" customHeight="1" s="59">
      <c r="A62" s="22" t="inlineStr">
        <is>
          <t>Sparge depth / bubble path length</t>
        </is>
      </c>
      <c r="B62" s="13" t="inlineStr">
        <is>
          <t>sparge_depth</t>
        </is>
      </c>
      <c r="C62" s="14" t="inlineStr">
        <is>
          <t>mm</t>
        </is>
      </c>
      <c r="D62" s="38">
        <f>MAX(0,h_actual-spg_tip_h)</f>
        <v/>
      </c>
      <c r="E62" s="20" t="inlineStr">
        <is>
          <t>Release point to surface.</t>
        </is>
      </c>
    </row>
    <row r="63" ht="15" customHeight="1" s="59">
      <c r="A63" s="22" t="inlineStr">
        <is>
          <t>Gas-liquid interfacial area</t>
        </is>
      </c>
      <c r="B63" s="13" t="inlineStr">
        <is>
          <t>interface_A</t>
        </is>
      </c>
      <c r="C63" s="14" t="inlineStr">
        <is>
          <t>mm²</t>
        </is>
      </c>
      <c r="D63" s="61">
        <f>A_x-(rod_n*(PI()/4*rod_d^2)+(PI()/4*spg_OD^2)+(PI()/4*eff_OD^2))</f>
        <v/>
      </c>
      <c r="E63" s="15" t="inlineStr">
        <is>
          <t>Free surface = cross-section minus inserts piercing it.</t>
        </is>
      </c>
    </row>
    <row r="64" ht="15" customHeight="1" s="59">
      <c r="A64" s="12" t="inlineStr">
        <is>
          <t>Extra headspace tube OD</t>
        </is>
      </c>
      <c r="B64" s="13" t="inlineStr">
        <is>
          <t>xtube_OD</t>
        </is>
      </c>
      <c r="C64" s="14" t="inlineStr">
        <is>
          <t>mm</t>
        </is>
      </c>
      <c r="D64" s="64">
        <f>eff_OD</f>
        <v/>
      </c>
      <c r="E64" s="15" t="inlineStr">
        <is>
          <t>3 further 1/8" tubes (gas-out, etc.) through the cap.</t>
        </is>
      </c>
    </row>
    <row r="65" ht="15" customHeight="1" s="59">
      <c r="A65" s="12" t="inlineStr">
        <is>
          <t>Number of extra headspace tubes</t>
        </is>
      </c>
      <c r="B65" s="13" t="inlineStr">
        <is>
          <t>xtube_n</t>
        </is>
      </c>
      <c r="C65" s="14" t="inlineStr">
        <is>
          <t>-</t>
        </is>
      </c>
      <c r="D65" s="36" t="n">
        <v>3</v>
      </c>
      <c r="E65" s="15" t="inlineStr">
        <is>
          <t>Protrude through the cap into headspace. 1x media in, 2x gas out</t>
        </is>
      </c>
    </row>
    <row r="66" ht="15" customHeight="1" s="59">
      <c r="A66" s="12" t="inlineStr">
        <is>
          <t>Extra tube protrusion</t>
        </is>
      </c>
      <c r="B66" s="13" t="inlineStr">
        <is>
          <t>xtube_pro</t>
        </is>
      </c>
      <c r="C66" s="14" t="inlineStr">
        <is>
          <t>mm</t>
        </is>
      </c>
      <c r="D66" s="60" t="n">
        <v>5</v>
      </c>
      <c r="E66" s="21" t="inlineStr">
        <is>
          <t>Each protrudes ~5 mm below cap (45 deg cut). Input.</t>
        </is>
      </c>
    </row>
    <row r="67" ht="19.5" customHeight="1" s="59">
      <c r="A67" s="12" t="inlineStr">
        <is>
          <t>Total in-vial insert volume</t>
        </is>
      </c>
      <c r="B67" s="13" t="inlineStr">
        <is>
          <t>V_inserts</t>
        </is>
      </c>
      <c r="C67" s="14" t="inlineStr">
        <is>
          <t>mL</t>
        </is>
      </c>
      <c r="D67" s="64">
        <f>(rod_n*(PI()/4*rod_d^2)*elec_ins+(PI()/4*spg_OD^2)*spg_len+(PI()/4*(eff_OD^2-eff_ID^2))*(D_int-h_actual)+xtube_n*(PI()/4*xtube_OD^2)*xtube_pro)/1000</f>
        <v/>
      </c>
      <c r="E67" s="15" t="inlineStr">
        <is>
          <t>In-vial inserts: electrodes &amp; sparge solid; efflux annular (open bore); extra tubes solid.</t>
        </is>
      </c>
    </row>
    <row r="68" ht="15" customHeight="1" s="59">
      <c r="A68" s="22" t="inlineStr">
        <is>
          <t>Headspace gas volume</t>
        </is>
      </c>
      <c r="B68" s="13" t="inlineStr">
        <is>
          <t>headspace_V</t>
        </is>
      </c>
      <c r="C68" s="14" t="inlineStr">
        <is>
          <t>mL</t>
        </is>
      </c>
      <c r="D68" s="38">
        <f>V_vial_total-V_charge-V_inserts</f>
        <v/>
      </c>
      <c r="E68" s="15" t="inlineStr">
        <is>
          <t>Total vial volume - liquid charged - inserts (captures neck narrowing).</t>
        </is>
      </c>
    </row>
    <row r="70" ht="15" customHeight="1" s="59">
      <c r="A70" s="9" t="inlineStr">
        <is>
          <t>2.  ELECTROLYSIS  (constant current from LED intensity - Gerrit)</t>
        </is>
      </c>
      <c r="B70" s="10" t="n"/>
      <c r="C70" s="10" t="n"/>
      <c r="D70" s="10" t="n"/>
      <c r="E70" s="10" t="n"/>
    </row>
    <row r="71" ht="15" customHeight="1" s="59">
      <c r="A71" s="11" t="inlineStr">
        <is>
          <t>Parameter</t>
        </is>
      </c>
      <c r="B71" s="11" t="inlineStr">
        <is>
          <t>Name</t>
        </is>
      </c>
      <c r="C71" s="11" t="inlineStr">
        <is>
          <t>Unit</t>
        </is>
      </c>
      <c r="D71" s="11" t="inlineStr">
        <is>
          <t>Value</t>
        </is>
      </c>
      <c r="E71" s="11" t="inlineStr">
        <is>
          <t>Source / assumption</t>
        </is>
      </c>
    </row>
    <row r="72" ht="15" customHeight="1" s="59">
      <c r="A72" s="12" t="inlineStr">
        <is>
          <t>LED intensity setpoint (Pioreactor LED_D)</t>
        </is>
      </c>
      <c r="B72" s="13" t="inlineStr">
        <is>
          <t>intensity</t>
        </is>
      </c>
      <c r="C72" s="14" t="inlineStr">
        <is>
          <t>%</t>
        </is>
      </c>
      <c r="D72" s="45" t="n">
        <v>3</v>
      </c>
      <c r="E72" s="15" t="inlineStr">
        <is>
          <t>Electrode drive via LED_D channel. Input.</t>
        </is>
      </c>
    </row>
    <row r="73" ht="15" customHeight="1" s="59">
      <c r="A73" s="12" t="inlineStr">
        <is>
          <t>Gerrit's Law - slope</t>
        </is>
      </c>
      <c r="B73" s="13" t="inlineStr">
        <is>
          <t>gerrit_slope</t>
        </is>
      </c>
      <c r="C73" s="14" t="inlineStr">
        <is>
          <t>mA/%</t>
        </is>
      </c>
      <c r="D73" s="46" t="n">
        <v>1.03</v>
      </c>
      <c r="E73" s="16" t="inlineStr">
        <is>
          <t>Empirical current-vs-intensity fit (constant-current; electrolyte/volume-independent).</t>
        </is>
      </c>
    </row>
    <row r="74" ht="15" customHeight="1" s="59">
      <c r="A74" s="12" t="inlineStr">
        <is>
          <t>Gerrit's Law - intercept</t>
        </is>
      </c>
      <c r="B74" s="13" t="inlineStr">
        <is>
          <t>gerrit_int</t>
        </is>
      </c>
      <c r="C74" s="14" t="inlineStr">
        <is>
          <t>mA</t>
        </is>
      </c>
      <c r="D74" s="66" t="n">
        <v>2.6</v>
      </c>
      <c r="E74" s="16" t="inlineStr">
        <is>
          <t>Intercept of the same fit.</t>
        </is>
      </c>
    </row>
    <row r="75" ht="15" customHeight="1" s="59">
      <c r="A75" s="12" t="inlineStr">
        <is>
          <t>Gerrit's Law - min valid intensity</t>
        </is>
      </c>
      <c r="B75" s="13" t="inlineStr">
        <is>
          <t>gerrit_min</t>
        </is>
      </c>
      <c r="C75" s="14" t="inlineStr">
        <is>
          <t>%</t>
        </is>
      </c>
      <c r="D75" s="48" t="n">
        <v>3</v>
      </c>
      <c r="E75" s="16" t="inlineStr">
        <is>
          <t>Fit validated from 3%.</t>
        </is>
      </c>
    </row>
    <row r="76" ht="15" customHeight="1" s="59">
      <c r="A76" s="12" t="inlineStr">
        <is>
          <t>Gerrit's Law - max valid intensity</t>
        </is>
      </c>
      <c r="B76" s="13" t="inlineStr">
        <is>
          <t>gerrit_max</t>
        </is>
      </c>
      <c r="C76" s="14" t="inlineStr">
        <is>
          <t>%</t>
        </is>
      </c>
      <c r="D76" s="48" t="n">
        <v>25</v>
      </c>
      <c r="E76" s="16" t="inlineStr">
        <is>
          <t>Fit validated to 25%; above this constant-current may fail as cell V nears the 5 V rail.</t>
        </is>
      </c>
    </row>
    <row r="77" ht="15" customHeight="1" s="59">
      <c r="A77" s="12" t="inlineStr">
        <is>
          <t>Faraday constant</t>
        </is>
      </c>
      <c r="B77" s="13" t="inlineStr">
        <is>
          <t>F_const</t>
        </is>
      </c>
      <c r="C77" s="14" t="inlineStr">
        <is>
          <t>C/mol</t>
        </is>
      </c>
      <c r="D77" s="67" t="n">
        <v>96485.33212000001</v>
      </c>
      <c r="E77" s="23" t="inlineStr">
        <is>
          <t>NIST CODATA (exact, SI 2019).</t>
        </is>
      </c>
    </row>
    <row r="78" ht="15" customHeight="1" s="59">
      <c r="A78" s="12" t="inlineStr">
        <is>
          <t>Electrons per H₂</t>
        </is>
      </c>
      <c r="B78" s="13" t="inlineStr">
        <is>
          <t>z_e_H2</t>
        </is>
      </c>
      <c r="C78" s="14" t="inlineStr">
        <is>
          <t>-</t>
        </is>
      </c>
      <c r="D78" s="50" t="n">
        <v>2</v>
      </c>
      <c r="E78" s="20" t="inlineStr">
        <is>
          <t>2H⁺ + 2e⁻ -&gt; H₂.</t>
        </is>
      </c>
    </row>
    <row r="79" ht="15" customHeight="1" s="59">
      <c r="A79" s="12" t="inlineStr">
        <is>
          <t>Electrons per O₂</t>
        </is>
      </c>
      <c r="B79" s="13" t="inlineStr">
        <is>
          <t>z_e_O2</t>
        </is>
      </c>
      <c r="C79" s="14" t="inlineStr">
        <is>
          <t>-</t>
        </is>
      </c>
      <c r="D79" s="50" t="n">
        <v>4</v>
      </c>
      <c r="E79" s="20" t="inlineStr">
        <is>
          <t>2H₂O -&gt; O₂ + 4H⁺ + 4e⁻.</t>
        </is>
      </c>
    </row>
    <row r="80" ht="15" customHeight="1" s="59">
      <c r="A80" s="12" t="inlineStr">
        <is>
          <t>Faradaic efficiency – H₂ at cathode (HER share)</t>
        </is>
      </c>
      <c r="B80" s="13" t="inlineStr">
        <is>
          <t>etaF</t>
        </is>
      </c>
      <c r="C80" s="14" t="inlineStr">
        <is>
          <t>-</t>
        </is>
      </c>
      <c r="D80" s="30" t="n">
        <v>1</v>
      </c>
      <c r="E80" s="19" t="inlineStr">
        <is>
          <t>Cathodic H₂ faradaic efficiency. Neutral-pH HER peaks ~97% and competes with O₂ reduction, so true FE is likely &lt;1 and unmeasured (Clary 2020, PNAS 117:32947). 1.0 = optimistic; measure by gas collection.</t>
        </is>
      </c>
    </row>
    <row r="81" ht="15" customHeight="1" s="59">
      <c r="A81" s="12" t="inlineStr">
        <is>
          <t>Electrolysis current (Gerrit's Law)</t>
        </is>
      </c>
      <c r="B81" s="13" t="inlineStr">
        <is>
          <t>I_app</t>
        </is>
      </c>
      <c r="C81" s="14" t="inlineStr">
        <is>
          <t>A</t>
        </is>
      </c>
      <c r="D81" s="65">
        <f>(gerrit_slope*intensity+gerrit_int)/1000</f>
        <v/>
      </c>
      <c r="E81" s="16" t="inlineStr">
        <is>
          <t>I(mA) = slope x intensity + intercept; /1000 -&gt; A.</t>
        </is>
      </c>
    </row>
    <row r="82" ht="15" customHeight="1" s="59">
      <c r="A82" s="12" t="inlineStr">
        <is>
          <t>Gerrit's Law validity flag</t>
        </is>
      </c>
      <c r="B82" s="13" t="inlineStr">
        <is>
          <t>I_valid</t>
        </is>
      </c>
      <c r="C82" s="14" t="inlineStr">
        <is>
          <t>-</t>
        </is>
      </c>
      <c r="D82" s="51">
        <f>IF(AND(intensity&gt;=gerrit_min,intensity&lt;=gerrit_max),"OK","OUT")</f>
        <v/>
      </c>
      <c r="E82" s="16" t="inlineStr">
        <is>
          <t>Linear fit only validated over the stated range.</t>
        </is>
      </c>
    </row>
    <row r="83" ht="15" customHeight="1" s="59">
      <c r="A83" s="12" t="inlineStr">
        <is>
          <t>H₂ generation rate</t>
        </is>
      </c>
      <c r="B83" s="13" t="inlineStr">
        <is>
          <t>rH2_gen</t>
        </is>
      </c>
      <c r="C83" s="14" t="inlineStr">
        <is>
          <t>mol/h</t>
        </is>
      </c>
      <c r="D83" s="68">
        <f>I_app*etaF/(z_e_H2*F_const)*3600</f>
        <v/>
      </c>
      <c r="E83" s="20" t="inlineStr">
        <is>
          <t>Faraday: I x etaF /(z F).</t>
        </is>
      </c>
    </row>
    <row r="84" ht="15" customHeight="1" s="59">
      <c r="A84" s="12" t="inlineStr">
        <is>
          <t>O₂ generation rate (anodic, gross)</t>
        </is>
      </c>
      <c r="B84" s="13" t="inlineStr">
        <is>
          <t>rO2_gen</t>
        </is>
      </c>
      <c r="C84" s="14" t="inlineStr">
        <is>
          <t>mol/h</t>
        </is>
      </c>
      <c r="D84" s="68">
        <f>I_app*etaF_OER/(z_e_O2*F_const)*3600</f>
        <v/>
      </c>
      <c r="E84" s="20" t="inlineStr">
        <is>
          <t>Anodic OER, gross. Uses etaF_OER (anodic), not the cathodic etaF. H₂:O₂(anodic) = 2:1.</t>
        </is>
      </c>
    </row>
    <row r="85">
      <c r="A85" s="12" t="inlineStr">
        <is>
          <t>H₂ generation rate (volumetric)</t>
        </is>
      </c>
      <c r="B85" s="13" t="inlineStr">
        <is>
          <t>V_H2_gen</t>
        </is>
      </c>
      <c r="C85" s="14" t="inlineStr">
        <is>
          <t>mL/min</t>
        </is>
      </c>
      <c r="D85" s="68">
        <f>rH2_gen/60*R_gas*T_K/P_atm*1000000</f>
        <v/>
      </c>
      <c r="E85" s="20" t="inlineStr">
        <is>
          <t>Ideal gas at surface T,P. Collect gas over water to check against this.</t>
        </is>
      </c>
    </row>
    <row r="86" ht="15" customHeight="1" s="59">
      <c r="A86" s="12" t="inlineStr">
        <is>
          <t>O₂ generation rate (volumetric)</t>
        </is>
      </c>
      <c r="B86" s="13" t="inlineStr">
        <is>
          <t>V_O2_gen</t>
        </is>
      </c>
      <c r="C86" s="14" t="inlineStr">
        <is>
          <t>mL/min</t>
        </is>
      </c>
      <c r="D86" s="68">
        <f>rO2_gen/60*R_gas*T_K/P_atm*1000000</f>
        <v/>
      </c>
      <c r="E86" s="20" t="inlineStr">
        <is>
          <t>Anodic gross O₂.</t>
        </is>
      </c>
    </row>
    <row r="87" ht="15" customHeight="1" s="59">
      <c r="A87" s="12" t="inlineStr">
        <is>
          <t>Total gas generation rate</t>
        </is>
      </c>
      <c r="B87" s="13" t="inlineStr">
        <is>
          <t>V_gas_total</t>
        </is>
      </c>
      <c r="C87" s="14" t="inlineStr">
        <is>
          <t>mL/min</t>
        </is>
      </c>
      <c r="D87" s="68">
        <f>V_H2_gen+V_O2_gen</f>
        <v/>
      </c>
      <c r="E87" s="20" t="inlineStr">
        <is>
          <t>Total electrolytic gas (H₂+O₂) — abiotic check: collect over water, no cells, to verify Gerrit/etaF. Less if etaF&lt;1.</t>
        </is>
      </c>
    </row>
    <row r="88" ht="15" customHeight="1" s="59"/>
    <row r="89" ht="15" customHeight="1" s="59">
      <c r="A89" s="9" t="inlineStr">
        <is>
          <t>3.  BIOLOGY  (cells consume 100% of evolved H₂; O₂ &amp; CO₂ pro-rata)</t>
        </is>
      </c>
      <c r="B89" s="10" t="n"/>
      <c r="C89" s="10" t="n"/>
      <c r="D89" s="10" t="n"/>
      <c r="E89" s="10" t="inlineStr">
        <is>
          <t>https://journals.asm.org/doi/10.1128/aem.02007-22</t>
        </is>
      </c>
    </row>
    <row r="90" ht="15" customHeight="1" s="59">
      <c r="A90" s="11" t="inlineStr">
        <is>
          <t>Parameter</t>
        </is>
      </c>
      <c r="B90" s="11" t="inlineStr">
        <is>
          <t>Name</t>
        </is>
      </c>
      <c r="C90" s="11" t="inlineStr">
        <is>
          <t>Unit</t>
        </is>
      </c>
      <c r="D90" s="11" t="inlineStr">
        <is>
          <t>Value</t>
        </is>
      </c>
      <c r="E90" s="11" t="inlineStr">
        <is>
          <t>Source / assumption</t>
        </is>
      </c>
    </row>
    <row r="91" ht="15" customHeight="1" s="59">
      <c r="A91" s="12" t="inlineStr">
        <is>
          <t>Gas requirement ratio - H₂</t>
        </is>
      </c>
      <c r="B91" s="13" t="inlineStr">
        <is>
          <t>bio_H2</t>
        </is>
      </c>
      <c r="C91" s="14" t="inlineStr">
        <is>
          <t>-</t>
        </is>
      </c>
      <c r="D91" s="36" t="n">
        <v>6</v>
      </c>
      <c r="E91" s="24" t="inlineStr">
        <is>
          <t>H₂:O₂:CO₂ UPTAKE ratio (not feed; phase-dependent, Lu &amp; Yu 2019). Knallgas caps O₂:H₂≤0.5; growth gives O₂:H₂≈0.29–0.35, CO₂:H₂≈0.15–0.19. 6:2:1 = mid-range central. Feed optimum 7:2:1 (Ishizaki 2001). Can't measure pre-growth.</t>
        </is>
      </c>
    </row>
    <row r="92" ht="15" customHeight="1" s="59">
      <c r="A92" s="12" t="inlineStr">
        <is>
          <t>Gas requirement ratio - O₂</t>
        </is>
      </c>
      <c r="B92" s="13" t="inlineStr">
        <is>
          <t>bio_O2</t>
        </is>
      </c>
      <c r="C92" s="14" t="inlineStr">
        <is>
          <t>-</t>
        </is>
      </c>
      <c r="D92" s="36" t="n">
        <v>2</v>
      </c>
      <c r="E92" s="24" t="inlineStr">
        <is>
          <t>O₂:H₂ uptake, range 0.29–0.35 (×6 → 1.75–2.1). 2 = central; 1.8 (lean) is growth-protective.</t>
        </is>
      </c>
    </row>
    <row r="93" ht="15" customHeight="1" s="59">
      <c r="A93" s="12" t="inlineStr">
        <is>
          <t>Gas requirement ratio - CO₂</t>
        </is>
      </c>
      <c r="B93" s="13" t="inlineStr">
        <is>
          <t>bio_CO2</t>
        </is>
      </c>
      <c r="C93" s="14" t="inlineStr">
        <is>
          <t>-</t>
        </is>
      </c>
      <c r="D93" s="36" t="n">
        <v>1</v>
      </c>
      <c r="E93" s="24" t="inlineStr">
        <is>
          <t>CO₂:H₂ uptake, range 0.15–0.19 (×6 → 0.9–1.15). 1 = central. Supply ≫ demand → non-limiting.</t>
        </is>
      </c>
    </row>
    <row r="94" ht="15" customHeight="1" s="59">
      <c r="A94" s="12" t="inlineStr">
        <is>
          <t>H₂ consumed</t>
        </is>
      </c>
      <c r="B94" s="13" t="inlineStr">
        <is>
          <t>H2_cons</t>
        </is>
      </c>
      <c r="C94" s="14" t="inlineStr">
        <is>
          <t>mol/h</t>
        </is>
      </c>
      <c r="D94" s="68">
        <f>rH2_gen</f>
        <v/>
      </c>
      <c r="E94" s="15" t="inlineStr">
        <is>
          <t>Assumes 100% of evolved H₂ consumed — steady growth only; ~0 during lag (see §13).</t>
        </is>
      </c>
    </row>
    <row r="95">
      <c r="A95" s="12" t="inlineStr">
        <is>
          <t>O₂ consumed</t>
        </is>
      </c>
      <c r="B95" s="13" t="inlineStr">
        <is>
          <t>O2_cons</t>
        </is>
      </c>
      <c r="C95" s="14" t="inlineStr">
        <is>
          <t>mol/h</t>
        </is>
      </c>
      <c r="D95" s="68">
        <f>H2_cons*bio_O2/bio_H2</f>
        <v/>
      </c>
      <c r="E95" s="15" t="inlineStr">
        <is>
          <t>H₂ consumed × O₂:H₂. Steady growth only; ~0 during lag.</t>
        </is>
      </c>
    </row>
    <row r="96" ht="15" customHeight="1" s="59">
      <c r="A96" s="12" t="inlineStr">
        <is>
          <t>CO₂ consumed (carbon fixation)</t>
        </is>
      </c>
      <c r="B96" s="13" t="inlineStr">
        <is>
          <t>CO2_cons</t>
        </is>
      </c>
      <c r="C96" s="14" t="inlineStr">
        <is>
          <t>mol/h</t>
        </is>
      </c>
      <c r="D96" s="68">
        <f>H2_cons*bio_CO2/bio_H2</f>
        <v/>
      </c>
      <c r="E96" s="15" t="inlineStr">
        <is>
          <t>H₂ consumed x (CO₂/H₂ ratio).</t>
        </is>
      </c>
    </row>
    <row r="97" ht="15" customHeight="1" s="59">
      <c r="A97" s="22" t="inlineStr">
        <is>
          <t>EXCESS O₂ to remove</t>
        </is>
      </c>
      <c r="B97" s="13" t="inlineStr">
        <is>
          <t>O2_excess</t>
        </is>
      </c>
      <c r="C97" s="14" t="inlineStr">
        <is>
          <t>mol/h</t>
        </is>
      </c>
      <c r="D97" s="68">
        <f>O2_net_gen-O2_cons</f>
        <v/>
      </c>
      <c r="E97" s="20" t="inlineStr">
        <is>
          <t>Net O₂ (after cathode) minus biological uptake — the surplus to strip.</t>
        </is>
      </c>
    </row>
    <row r="98" ht="15" customHeight="1" s="59"/>
    <row r="99" ht="15" customHeight="1" s="59">
      <c r="A99" s="9" t="inlineStr">
        <is>
          <t>4.  O₂ CONSTRAINT  (growth ceiling; cathodic competition is the real driver)</t>
        </is>
      </c>
      <c r="B99" s="10" t="n"/>
      <c r="C99" s="10" t="n"/>
      <c r="D99" s="10" t="n"/>
      <c r="E99" s="10" t="n"/>
    </row>
    <row r="100" ht="15" customHeight="1" s="59">
      <c r="A100" s="11" t="inlineStr">
        <is>
          <t>Parameter</t>
        </is>
      </c>
      <c r="B100" s="11" t="inlineStr">
        <is>
          <t>Name</t>
        </is>
      </c>
      <c r="C100" s="11" t="inlineStr">
        <is>
          <t>Unit</t>
        </is>
      </c>
      <c r="D100" s="11" t="inlineStr">
        <is>
          <t>Value</t>
        </is>
      </c>
      <c r="E100" s="11" t="inlineStr">
        <is>
          <t>Source / assumption</t>
        </is>
      </c>
    </row>
    <row r="101" ht="15" customHeight="1" s="59">
      <c r="A101" s="12" t="inlineStr">
        <is>
          <t>Temperature</t>
        </is>
      </c>
      <c r="B101" s="13" t="inlineStr">
        <is>
          <t>T_C</t>
        </is>
      </c>
      <c r="C101" s="14" t="inlineStr">
        <is>
          <t>°C</t>
        </is>
      </c>
      <c r="D101" s="60" t="n">
        <v>30</v>
      </c>
      <c r="E101" s="15" t="inlineStr">
        <is>
          <t>C. necator optimum ~30 °C. Input.</t>
        </is>
      </c>
    </row>
    <row r="102" ht="15" customHeight="1" s="59">
      <c r="A102" s="12" t="inlineStr">
        <is>
          <t>Temperature (absolute)</t>
        </is>
      </c>
      <c r="B102" s="13" t="inlineStr">
        <is>
          <t>T_K</t>
        </is>
      </c>
      <c r="C102" s="14" t="inlineStr">
        <is>
          <t>K</t>
        </is>
      </c>
      <c r="D102" s="38">
        <f>T_C+273.15</f>
        <v/>
      </c>
      <c r="E102" s="20" t="inlineStr">
        <is>
          <t>°C + 273.15.</t>
        </is>
      </c>
    </row>
    <row r="103" ht="15" customHeight="1" s="59">
      <c r="A103" s="12" t="inlineStr">
        <is>
          <t>Surface pressure</t>
        </is>
      </c>
      <c r="B103" s="13" t="inlineStr">
        <is>
          <t>P_atm</t>
        </is>
      </c>
      <c r="C103" s="14" t="inlineStr">
        <is>
          <t>Pa</t>
        </is>
      </c>
      <c r="D103" s="36" t="n">
        <v>101325</v>
      </c>
      <c r="E103" s="15" t="inlineStr">
        <is>
          <t>Atmospheric at the liquid surface (assumed).</t>
        </is>
      </c>
    </row>
    <row r="104" ht="15" customHeight="1" s="59">
      <c r="A104" s="12" t="inlineStr">
        <is>
          <t>Standard atmosphere (atm-&gt;Pa)</t>
        </is>
      </c>
      <c r="B104" s="13" t="inlineStr">
        <is>
          <t>Pa_per_atm</t>
        </is>
      </c>
      <c r="C104" s="14" t="inlineStr">
        <is>
          <t>Pa/atm</t>
        </is>
      </c>
      <c r="D104" s="50" t="n">
        <v>101325</v>
      </c>
      <c r="E104" s="20" t="inlineStr">
        <is>
          <t>Defined: 1 atm = 101 325 Pa exactly.</t>
        </is>
      </c>
    </row>
    <row r="105" ht="15" customHeight="1" s="59">
      <c r="A105" s="12" t="inlineStr">
        <is>
          <t>Henry solubility O₂ (ref, 298.15 K)</t>
        </is>
      </c>
      <c r="B105" s="13" t="inlineStr">
        <is>
          <t>H_O2ref</t>
        </is>
      </c>
      <c r="C105" s="14" t="inlineStr">
        <is>
          <t>mol/m³/Pa</t>
        </is>
      </c>
      <c r="D105" s="50" t="n">
        <v>1.3e-05</v>
      </c>
      <c r="E105" s="16" t="inlineStr">
        <is>
          <t>Sander (2023) compilation (supersedes 2015), value from Burkholder et al. 2019.</t>
        </is>
      </c>
    </row>
    <row r="106" ht="15" customHeight="1" s="59">
      <c r="A106" s="12" t="inlineStr">
        <is>
          <t>Henry T-dependence O₂</t>
        </is>
      </c>
      <c r="B106" s="13" t="inlineStr">
        <is>
          <t>H_O2T</t>
        </is>
      </c>
      <c r="C106" s="14" t="inlineStr">
        <is>
          <t>K</t>
        </is>
      </c>
      <c r="D106" s="50" t="n">
        <v>1500</v>
      </c>
      <c r="E106" s="16" t="inlineStr">
        <is>
          <t>Sander (2023): d ln(Hcp)/d(1/T).</t>
        </is>
      </c>
    </row>
    <row r="107" ht="15" customHeight="1" s="59">
      <c r="A107" s="12" t="inlineStr">
        <is>
          <t>Reference temperature</t>
        </is>
      </c>
      <c r="B107" s="13" t="inlineStr">
        <is>
          <t>T_ref</t>
        </is>
      </c>
      <c r="C107" s="14" t="inlineStr">
        <is>
          <t>K</t>
        </is>
      </c>
      <c r="D107" s="50" t="n">
        <v>298.15</v>
      </c>
      <c r="E107" s="20" t="inlineStr">
        <is>
          <t>Standard reference for Henry constants.</t>
        </is>
      </c>
    </row>
    <row r="108" ht="15" customHeight="1" s="59">
      <c r="A108" s="12" t="inlineStr">
        <is>
          <t>Henry solubility O₂ at T</t>
        </is>
      </c>
      <c r="B108" s="13" t="inlineStr">
        <is>
          <t>H_O2_T</t>
        </is>
      </c>
      <c r="C108" s="14" t="inlineStr">
        <is>
          <t>mol/m³/Pa</t>
        </is>
      </c>
      <c r="D108" s="52">
        <f>H_O2ref*EXP(H_O2T*(1/T_K-1/T_ref))</f>
        <v/>
      </c>
      <c r="E108" s="20" t="inlineStr">
        <is>
          <t>van 't Hoff correction to reactor T.</t>
        </is>
      </c>
    </row>
    <row r="109" ht="15" customHeight="1" s="59">
      <c r="A109" s="12" t="inlineStr">
        <is>
          <t>O₂ growth-inhibition ceiling (gas)</t>
        </is>
      </c>
      <c r="B109" s="13" t="inlineStr">
        <is>
          <t>O2_ceil_atm</t>
        </is>
      </c>
      <c r="C109" s="14" t="inlineStr">
        <is>
          <t>atm</t>
        </is>
      </c>
      <c r="D109" s="50" t="n">
        <v>0.3</v>
      </c>
      <c r="E109" s="16" t="inlineStr">
        <is>
          <t>Whole-cell growth inhibited above ~0.30 atm O₂ (Amer &amp; Kim 2023); the [NiFe] hydrogenase itself is O₂-tolerant.</t>
        </is>
      </c>
    </row>
    <row r="110" ht="19.5" customHeight="1" s="59">
      <c r="A110" s="12" t="n"/>
      <c r="C110" s="14" t="inlineStr">
        <is>
          <t>-</t>
        </is>
      </c>
      <c r="D110" s="17" t="n"/>
      <c r="E110" s="16" t="n"/>
    </row>
    <row r="111">
      <c r="A111" s="12" t="inlineStr">
        <is>
          <t>O₂ ceiling (partial pressure)</t>
        </is>
      </c>
      <c r="B111" s="13" t="inlineStr">
        <is>
          <t>O2_ceil_Pa</t>
        </is>
      </c>
      <c r="C111" s="14" t="inlineStr">
        <is>
          <t>Pa</t>
        </is>
      </c>
      <c r="D111" s="61">
        <f>O2_ceil_atm*Pa_per_atm</f>
        <v/>
      </c>
      <c r="E111" s="20" t="inlineStr">
        <is>
          <t>Ceiling in Pa.</t>
        </is>
      </c>
    </row>
    <row r="112" ht="15" customHeight="1" s="59">
      <c r="A112" s="12" t="inlineStr">
        <is>
          <t>Dissolved-O₂ ceiling</t>
        </is>
      </c>
      <c r="B112" s="13" t="inlineStr">
        <is>
          <t>O2_ceil_C</t>
        </is>
      </c>
      <c r="C112" s="14" t="inlineStr">
        <is>
          <t>mol/m³</t>
        </is>
      </c>
      <c r="D112" s="65">
        <f>H_O2_T*O2_ceil_Pa</f>
        <v/>
      </c>
      <c r="E112" s="20" t="inlineStr">
        <is>
          <t>Henry's law at the gas ceiling.</t>
        </is>
      </c>
    </row>
    <row r="113" ht="15" customHeight="1" s="59">
      <c r="A113" s="22" t="inlineStr">
        <is>
          <t>Dissolved-O₂ ceiling</t>
        </is>
      </c>
      <c r="B113" s="13" t="inlineStr">
        <is>
          <t>O2_ceil_uM</t>
        </is>
      </c>
      <c r="C113" s="14" t="inlineStr">
        <is>
          <t>µM</t>
        </is>
      </c>
      <c r="D113" s="61">
        <f>O2_ceil_C*1000</f>
        <v/>
      </c>
      <c r="E113" s="25" t="inlineStr">
        <is>
          <t>mol/m³ = mM; ×1000 = µM. Aim: minimise dissolved O₂; floor set by O₂-removal capacity (§11).</t>
        </is>
      </c>
    </row>
    <row r="114" ht="15" customHeight="1" s="59"/>
    <row r="115" ht="15" customHeight="1" s="59">
      <c r="A115" s="9" t="inlineStr">
        <is>
          <t>5.  CO₂ DOSING  (SodaStream + regulator + solenoid + needle valve)</t>
        </is>
      </c>
      <c r="B115" s="10" t="n"/>
      <c r="C115" s="10" t="n"/>
      <c r="D115" s="10" t="n"/>
      <c r="E115" s="10" t="n"/>
    </row>
    <row r="116" ht="15" customHeight="1" s="59">
      <c r="A116" s="11" t="inlineStr">
        <is>
          <t>Parameter</t>
        </is>
      </c>
      <c r="B116" s="11" t="inlineStr">
        <is>
          <t>Name</t>
        </is>
      </c>
      <c r="C116" s="11" t="inlineStr">
        <is>
          <t>Unit</t>
        </is>
      </c>
      <c r="D116" s="11" t="inlineStr">
        <is>
          <t>Value</t>
        </is>
      </c>
      <c r="E116" s="11" t="inlineStr">
        <is>
          <t>Source / assumption</t>
        </is>
      </c>
    </row>
    <row r="117" ht="15" customHeight="1" s="59">
      <c r="A117" s="12" t="inlineStr">
        <is>
          <t>CO₂ volumetric flow rate</t>
        </is>
      </c>
      <c r="B117" s="13" t="inlineStr">
        <is>
          <t>Q_CO2</t>
        </is>
      </c>
      <c r="C117" s="14" t="inlineStr">
        <is>
          <t>mL/min</t>
        </is>
      </c>
      <c r="D117" s="60" t="n">
        <v>10</v>
      </c>
      <c r="E117" s="15" t="inlineStr">
        <is>
          <t>Needle-valve setting at ~atmospheric surface. Input.</t>
        </is>
      </c>
    </row>
    <row r="118" ht="15" customHeight="1" s="59">
      <c r="A118" s="12" t="inlineStr">
        <is>
          <t>Sparge duration per pulse</t>
        </is>
      </c>
      <c r="B118" s="13" t="inlineStr">
        <is>
          <t>spg_dur</t>
        </is>
      </c>
      <c r="C118" s="14" t="inlineStr">
        <is>
          <t>s</t>
        </is>
      </c>
      <c r="D118" s="38">
        <f>IF(sched_mode="Optimal",spg_dur_opt,IF(sched_mode="Manual",spg_dur_man,NA()))</f>
        <v/>
      </c>
      <c r="E118" s="15" t="inlineStr">
        <is>
          <t>Pulse duration ACTUALLY USED. Driven by §14: Manual→spg_dur_man, Optimal→computed optimum.</t>
        </is>
      </c>
    </row>
    <row r="119" ht="15" customHeight="1" s="59">
      <c r="A119" s="12" t="inlineStr">
        <is>
          <t>Sparge interval</t>
        </is>
      </c>
      <c r="B119" s="13" t="inlineStr">
        <is>
          <t>spg_int</t>
        </is>
      </c>
      <c r="C119" s="14" t="inlineStr">
        <is>
          <t>min</t>
        </is>
      </c>
      <c r="D119" s="38">
        <f>IF(sched_mode="Optimal",spg_int_opt,IF(sched_mode="Manual",spg_int_man,NA()))</f>
        <v/>
      </c>
      <c r="E119" s="15" t="inlineStr">
        <is>
          <t>Sparge interval ACTUALLY USED. Driven by §14: Manual→spg_int_man, Optimal→computed optimum.</t>
        </is>
      </c>
    </row>
    <row r="120" ht="15" customHeight="1" s="59">
      <c r="A120" s="12" t="inlineStr">
        <is>
          <t>Min reliable pulse (solenoid floor)</t>
        </is>
      </c>
      <c r="B120" s="13" t="inlineStr">
        <is>
          <t>pulse_floor</t>
        </is>
      </c>
      <c r="C120" s="14" t="inlineStr">
        <is>
          <t>s</t>
        </is>
      </c>
      <c r="D120" s="30" t="n">
        <v>0.5</v>
      </c>
      <c r="E120" s="21" t="inlineStr">
        <is>
          <t>Smallest dependable actuation. Provisional - characterise.</t>
        </is>
      </c>
    </row>
    <row r="121" ht="15" customHeight="1" s="59">
      <c r="A121" s="12" t="inlineStr">
        <is>
          <t>Ideal gas constant</t>
        </is>
      </c>
      <c r="B121" s="13" t="inlineStr">
        <is>
          <t>R_gas</t>
        </is>
      </c>
      <c r="C121" s="14" t="inlineStr">
        <is>
          <t>J/mol/K</t>
        </is>
      </c>
      <c r="D121" s="69" t="n">
        <v>8.314462618</v>
      </c>
      <c r="E121" s="23" t="inlineStr">
        <is>
          <t>NIST CODATA (exact, SI 2019).</t>
        </is>
      </c>
    </row>
    <row r="122" ht="15" customHeight="1" s="59">
      <c r="A122" s="12" t="inlineStr">
        <is>
          <t>Molar mass CO₂</t>
        </is>
      </c>
      <c r="B122" s="13" t="inlineStr">
        <is>
          <t>M_CO2</t>
        </is>
      </c>
      <c r="C122" s="14" t="inlineStr">
        <is>
          <t>g/mol</t>
        </is>
      </c>
      <c r="D122" s="70" t="n">
        <v>44.0095</v>
      </c>
      <c r="E122" s="23" t="inlineStr">
        <is>
          <t>NIST WebBook.</t>
        </is>
      </c>
    </row>
    <row r="123" ht="15" customHeight="1" s="59">
      <c r="A123" s="12" t="inlineStr">
        <is>
          <t>CO₂ molar flow during sparge</t>
        </is>
      </c>
      <c r="B123" s="13" t="inlineStr">
        <is>
          <t>nCO2_rate</t>
        </is>
      </c>
      <c r="C123" s="14" t="inlineStr">
        <is>
          <t>mol/s</t>
        </is>
      </c>
      <c r="D123" s="55">
        <f>P_atm*(Q_CO2/1000000/60)/(R_gas*T_K)</f>
        <v/>
      </c>
      <c r="E123" s="20" t="inlineStr">
        <is>
          <t>Ideal gas n=PV/RT at surface conditions.</t>
        </is>
      </c>
    </row>
    <row r="124" ht="15" customHeight="1" s="59">
      <c r="A124" s="12" t="inlineStr">
        <is>
          <t>CO₂ per pulse</t>
        </is>
      </c>
      <c r="B124" s="13" t="inlineStr">
        <is>
          <t>CO2_pulse</t>
        </is>
      </c>
      <c r="C124" s="14" t="inlineStr">
        <is>
          <t>mol</t>
        </is>
      </c>
      <c r="D124" s="52">
        <f>nCO2_rate*spg_dur</f>
        <v/>
      </c>
      <c r="E124" s="20" t="inlineStr">
        <is>
          <t>Molar flow x duration.</t>
        </is>
      </c>
    </row>
    <row r="125" ht="15" customHeight="1" s="59">
      <c r="A125" s="12" t="inlineStr">
        <is>
          <t>Pulses per hour</t>
        </is>
      </c>
      <c r="B125" s="13" t="inlineStr">
        <is>
          <t>pulses_h</t>
        </is>
      </c>
      <c r="C125" s="14" t="inlineStr">
        <is>
          <t>1/h</t>
        </is>
      </c>
      <c r="D125" s="38">
        <f>60/spg_int</f>
        <v/>
      </c>
      <c r="E125" s="20" t="inlineStr">
        <is>
          <t>60 / interval(min).</t>
        </is>
      </c>
    </row>
    <row r="126" ht="15" customHeight="1" s="59">
      <c r="A126" s="12" t="inlineStr">
        <is>
          <t>Pulses per day</t>
        </is>
      </c>
      <c r="B126" s="13" t="inlineStr">
        <is>
          <t>pulses_d</t>
        </is>
      </c>
      <c r="C126" s="14" t="inlineStr">
        <is>
          <t>1/d</t>
        </is>
      </c>
      <c r="D126" s="61">
        <f>pulses_h*24</f>
        <v/>
      </c>
      <c r="E126" s="20" t="n"/>
    </row>
    <row r="127">
      <c r="A127" s="22" t="inlineStr">
        <is>
          <t>Average CO₂ supply rate</t>
        </is>
      </c>
      <c r="B127" s="13" t="inlineStr">
        <is>
          <t>CO2_supply</t>
        </is>
      </c>
      <c r="C127" s="14" t="inlineStr">
        <is>
          <t>mol/h</t>
        </is>
      </c>
      <c r="D127" s="68">
        <f>CO2_pulse*pulses_h</f>
        <v/>
      </c>
      <c r="E127" s="20" t="inlineStr">
        <is>
          <t>Time-averaged.</t>
        </is>
      </c>
    </row>
    <row r="128" ht="15" customHeight="1" s="59">
      <c r="A128" s="22" t="inlineStr">
        <is>
          <t>CO₂ supply : carbon demand</t>
        </is>
      </c>
      <c r="B128" s="13" t="inlineStr">
        <is>
          <t>CO2_sd_ratio</t>
        </is>
      </c>
      <c r="C128" s="14" t="inlineStr">
        <is>
          <t>×</t>
        </is>
      </c>
      <c r="D128" s="38">
        <f>IF(CO2_cons&gt;0,CO2_supply/CO2_cons,NA())</f>
        <v/>
      </c>
      <c r="E128" s="20" t="inlineStr">
        <is>
          <t>Carbon supply : demand (~20× = over-dosed, non-limiting). CO₂ mostly bursts at the surface → §11 headspace sweep active from pulse 1. High pCO₂ extends lag (Amer &amp; Kim 2023).</t>
        </is>
      </c>
    </row>
    <row r="129" ht="15" customHeight="1" s="59">
      <c r="A129" s="22" t="inlineStr">
        <is>
          <t>Sparge duty cycle</t>
        </is>
      </c>
      <c r="B129" s="13" t="inlineStr">
        <is>
          <t>duty</t>
        </is>
      </c>
      <c r="C129" s="14" t="inlineStr">
        <is>
          <t>-</t>
        </is>
      </c>
      <c r="D129" s="65">
        <f>spg_dur/(spg_int*60)</f>
        <v/>
      </c>
      <c r="E129" s="20" t="inlineStr">
        <is>
          <t>Fraction of time sparging.</t>
        </is>
      </c>
    </row>
    <row r="130" ht="15" customHeight="1" s="59">
      <c r="E130" t="inlineStr">
        <is>
          <t>https://iapws.org/documents/release/Surf-H2O</t>
        </is>
      </c>
    </row>
    <row r="131" ht="15" customHeight="1" s="59">
      <c r="A131" s="9" t="inlineStr">
        <is>
          <t>6.  CO₂ BUBBLE SIZE  (orifice or sinter)</t>
        </is>
      </c>
      <c r="B131" s="10" t="n"/>
      <c r="C131" s="10" t="n"/>
      <c r="D131" s="10" t="n"/>
      <c r="E131" s="10" t="inlineStr">
        <is>
          <t>https://iapws.org/relguide/IAPWS-95.html</t>
        </is>
      </c>
    </row>
    <row r="132" ht="15" customHeight="1" s="59">
      <c r="A132" s="11" t="inlineStr">
        <is>
          <t>Parameter</t>
        </is>
      </c>
      <c r="B132" s="11" t="inlineStr">
        <is>
          <t>Name</t>
        </is>
      </c>
      <c r="C132" s="11" t="inlineStr">
        <is>
          <t>Unit</t>
        </is>
      </c>
      <c r="D132" s="11" t="inlineStr">
        <is>
          <t>Value</t>
        </is>
      </c>
      <c r="E132" s="11" t="inlineStr">
        <is>
          <t>Source / assumption</t>
        </is>
      </c>
    </row>
    <row r="133" ht="15" customHeight="1" s="59">
      <c r="A133" s="12" t="inlineStr">
        <is>
          <t>Surface tension (water, T)</t>
        </is>
      </c>
      <c r="B133" s="13" t="inlineStr">
        <is>
          <t>sigma</t>
        </is>
      </c>
      <c r="C133" s="14" t="inlineStr">
        <is>
          <t>N/m</t>
        </is>
      </c>
      <c r="D133" s="70" t="n">
        <v>0.0712</v>
      </c>
      <c r="E133" s="16" t="inlineStr">
        <is>
          <t>IAPWS R1-76(2014) formulation, evaluated at 30 °C.</t>
        </is>
      </c>
    </row>
    <row r="134" ht="15" customHeight="1" s="59">
      <c r="A134" s="12" t="inlineStr">
        <is>
          <t>Liquid density (water, T)</t>
        </is>
      </c>
      <c r="B134" s="13" t="inlineStr">
        <is>
          <t>rho_L</t>
        </is>
      </c>
      <c r="C134" s="14" t="inlineStr">
        <is>
          <t>kg/m³</t>
        </is>
      </c>
      <c r="D134" s="46" t="n">
        <v>995.65</v>
      </c>
      <c r="E134" s="16" t="inlineStr">
        <is>
          <t>IAPWS-95, evaluated at 30 °C.</t>
        </is>
      </c>
    </row>
    <row r="135" ht="15" customHeight="1" s="59">
      <c r="A135" s="12" t="inlineStr">
        <is>
          <t>Gravitational acceleration</t>
        </is>
      </c>
      <c r="B135" s="13" t="inlineStr">
        <is>
          <t>g_const</t>
        </is>
      </c>
      <c r="C135" s="14" t="inlineStr">
        <is>
          <t>m/s²</t>
        </is>
      </c>
      <c r="D135" s="67" t="n">
        <v>9.806649999999999</v>
      </c>
      <c r="E135" s="23" t="inlineStr">
        <is>
          <t>Standard gravity (defined).</t>
        </is>
      </c>
    </row>
    <row r="136" ht="15" customHeight="1" s="59">
      <c r="A136" s="12" t="inlineStr">
        <is>
          <t>O₂ diffusivity in water (T)</t>
        </is>
      </c>
      <c r="B136" s="13" t="inlineStr">
        <is>
          <t>D_O2</t>
        </is>
      </c>
      <c r="C136" s="14" t="inlineStr">
        <is>
          <t>m²/s</t>
        </is>
      </c>
      <c r="D136" s="50" t="n">
        <v>2.249e-09</v>
      </c>
      <c r="E136" s="15" t="inlineStr">
        <is>
          <t>O₂ diffusivity in water at 30 °C. Han &amp; Bartels (1996) fit log₁₀(D[cm²/s]) = −4.410 + 773.8/T − (506.4/T)² → 2.25e-9 m²/s at 303.15 K.</t>
        </is>
      </c>
    </row>
    <row r="137" ht="15" customHeight="1" s="59">
      <c r="A137" s="12" t="inlineStr">
        <is>
          <t>Pore size - grade 0</t>
        </is>
      </c>
      <c r="B137" s="13" t="inlineStr">
        <is>
          <t>por0_um</t>
        </is>
      </c>
      <c r="C137" s="14" t="inlineStr">
        <is>
          <t>µm</t>
        </is>
      </c>
      <c r="D137" s="50" t="n">
        <v>205</v>
      </c>
      <c r="E137" s="16" t="inlineStr">
        <is>
          <t>DURAN P0 160-250 µm, midpoint. ISO 4793 (paywalled) underlies; DURAN table is free.</t>
        </is>
      </c>
    </row>
    <row r="138" ht="15" customHeight="1" s="59">
      <c r="A138" s="12" t="inlineStr">
        <is>
          <t>Pore size - grade 1</t>
        </is>
      </c>
      <c r="B138" s="13" t="inlineStr">
        <is>
          <t>por1_um</t>
        </is>
      </c>
      <c r="C138" s="14" t="inlineStr">
        <is>
          <t>µm</t>
        </is>
      </c>
      <c r="D138" s="50" t="n">
        <v>130</v>
      </c>
      <c r="E138" s="16" t="inlineStr">
        <is>
          <t>DURAN P1 100-160 µm, midpoint.</t>
        </is>
      </c>
    </row>
    <row r="139" ht="15" customHeight="1" s="59">
      <c r="A139" s="12" t="inlineStr">
        <is>
          <t>Pore size - grade 2</t>
        </is>
      </c>
      <c r="B139" s="13" t="inlineStr">
        <is>
          <t>por2_um</t>
        </is>
      </c>
      <c r="C139" s="14" t="inlineStr">
        <is>
          <t>µm</t>
        </is>
      </c>
      <c r="D139" s="50" t="n">
        <v>70</v>
      </c>
      <c r="E139" s="16" t="inlineStr">
        <is>
          <t>DURAN P2 40-100 µm, midpoint.</t>
        </is>
      </c>
    </row>
    <row r="140" ht="15" customHeight="1" s="59">
      <c r="A140" s="12" t="inlineStr">
        <is>
          <t>Pore size - grade 3</t>
        </is>
      </c>
      <c r="B140" s="13" t="inlineStr">
        <is>
          <t>por3_um</t>
        </is>
      </c>
      <c r="C140" s="14" t="inlineStr">
        <is>
          <t>µm</t>
        </is>
      </c>
      <c r="D140" s="50" t="n">
        <v>28</v>
      </c>
      <c r="E140" s="16" t="inlineStr">
        <is>
          <t>DURAN P3 16-40 µm, midpoint.</t>
        </is>
      </c>
    </row>
    <row r="141" ht="15" customHeight="1" s="59">
      <c r="A141" s="12" t="inlineStr">
        <is>
          <t>Pore size - grade 4</t>
        </is>
      </c>
      <c r="B141" s="13" t="inlineStr">
        <is>
          <t>por4_um</t>
        </is>
      </c>
      <c r="C141" s="14" t="inlineStr">
        <is>
          <t>µm</t>
        </is>
      </c>
      <c r="D141" s="50" t="n">
        <v>13</v>
      </c>
      <c r="E141" s="16" t="inlineStr">
        <is>
          <t>DURAN P4 10-16 µm, midpoint.</t>
        </is>
      </c>
    </row>
    <row r="142" ht="15" customHeight="1" s="59">
      <c r="A142" s="12" t="inlineStr">
        <is>
          <t>Pore size - grade 5</t>
        </is>
      </c>
      <c r="B142" s="13" t="inlineStr">
        <is>
          <t>por5_um</t>
        </is>
      </c>
      <c r="C142" s="14" t="inlineStr">
        <is>
          <t>µm</t>
        </is>
      </c>
      <c r="D142" s="66" t="n">
        <v>1.3</v>
      </c>
      <c r="E142" s="16" t="inlineStr">
        <is>
          <t>DURAN P5 1.0-1.6 µm, midpoint.</t>
        </is>
      </c>
    </row>
    <row r="143" ht="15" customHeight="1" s="59">
      <c r="A143" s="12" t="inlineStr">
        <is>
          <t>Selected sinter pore diameter</t>
        </is>
      </c>
      <c r="B143" s="13" t="inlineStr">
        <is>
          <t>por_pore</t>
        </is>
      </c>
      <c r="C143" s="14" t="inlineStr">
        <is>
          <t>m</t>
        </is>
      </c>
      <c r="D143" s="56">
        <f>CHOOSE(por_grade+1,por0_um,por1_um,por2_um,por3_um,por4_um,por5_um)/1000000</f>
        <v/>
      </c>
      <c r="E143" s="20" t="inlineStr">
        <is>
          <t>Picked by por_grade.</t>
        </is>
      </c>
    </row>
    <row r="144" ht="15" customHeight="1" s="59">
      <c r="A144" s="12" t="inlineStr">
        <is>
          <t>Tube orifice diameter</t>
        </is>
      </c>
      <c r="B144" s="13" t="inlineStr">
        <is>
          <t>tube_d_m</t>
        </is>
      </c>
      <c r="C144" s="14" t="inlineStr">
        <is>
          <t>m</t>
        </is>
      </c>
      <c r="D144" s="56">
        <f>spg_ID/1000</f>
        <v/>
      </c>
      <c r="E144" s="20" t="inlineStr">
        <is>
          <t>Tube ID in metres.</t>
        </is>
      </c>
    </row>
    <row r="145" ht="15" customHeight="1" s="59">
      <c r="A145" s="12" t="inlineStr">
        <is>
          <t>Effective orifice/pore diameter</t>
        </is>
      </c>
      <c r="B145" s="13" t="inlineStr">
        <is>
          <t>d_orifice</t>
        </is>
      </c>
      <c r="C145" s="14" t="inlineStr">
        <is>
          <t>m</t>
        </is>
      </c>
      <c r="D145" s="56">
        <f>IF(sparger=spg_name_1,tube_d_m,IF(sparger=spg_name_2,por_pore,NA()))</f>
        <v/>
      </c>
      <c r="E145" s="20" t="inlineStr">
        <is>
          <t>Tube ID or sinter pore; invalid sparger returns an error.</t>
        </is>
      </c>
    </row>
    <row r="146" ht="15" customHeight="1" s="59">
      <c r="A146" s="22" t="inlineStr">
        <is>
          <t>Bubble detachment diameter</t>
        </is>
      </c>
      <c r="B146" s="13" t="inlineStr">
        <is>
          <t>d_bubble</t>
        </is>
      </c>
      <c r="C146" s="14" t="inlineStr">
        <is>
          <t>m</t>
        </is>
      </c>
      <c r="D146" s="68">
        <f>(6*d_orifice*sigma/(rho_L*g_const))^(1/3)</f>
        <v/>
      </c>
      <c r="E146" s="26" t="inlineStr">
        <is>
          <t>Static low-flow force balance (buoyancy vs surface tension); valid in the quasi-static regime — see bubble_regime (§10).</t>
        </is>
      </c>
    </row>
    <row r="147" ht="15" customHeight="1" s="59">
      <c r="A147" s="22" t="inlineStr">
        <is>
          <t>Bubble diameter (display)</t>
        </is>
      </c>
      <c r="B147" s="13" t="inlineStr">
        <is>
          <t>d_bubble_mm</t>
        </is>
      </c>
      <c r="C147" s="14" t="inlineStr">
        <is>
          <t>mm</t>
        </is>
      </c>
      <c r="D147" s="64">
        <f>d_bubble*1000</f>
        <v/>
      </c>
      <c r="E147" s="26" t="n"/>
    </row>
    <row r="148">
      <c r="A148" s="12" t="inlineStr">
        <is>
          <t>Mendelson coefficient a</t>
        </is>
      </c>
      <c r="B148" s="13" t="inlineStr">
        <is>
          <t>mend_a</t>
        </is>
      </c>
      <c r="C148" s="14" t="inlineStr">
        <is>
          <t>-</t>
        </is>
      </c>
      <c r="D148" s="46" t="n">
        <v>2.14</v>
      </c>
      <c r="E148" s="26" t="inlineStr">
        <is>
          <t>Mendelson (1967) wave-theory bubble rise correlation (AIChE J, paywalled).</t>
        </is>
      </c>
    </row>
    <row r="149" ht="15" customHeight="1" s="59">
      <c r="A149" s="12" t="inlineStr">
        <is>
          <t>Mendelson coefficient b</t>
        </is>
      </c>
      <c r="B149" s="13" t="inlineStr">
        <is>
          <t>mend_b</t>
        </is>
      </c>
      <c r="C149" s="14" t="inlineStr">
        <is>
          <t>-</t>
        </is>
      </c>
      <c r="D149" s="71" t="n">
        <v>0.505</v>
      </c>
      <c r="E149" s="26" t="inlineStr">
        <is>
          <t>Mendelson (1967), as above.</t>
        </is>
      </c>
    </row>
    <row r="150" ht="15" customHeight="1" s="59">
      <c r="A150" s="12" t="inlineStr">
        <is>
          <t>Bubble rise velocity</t>
        </is>
      </c>
      <c r="B150" s="13" t="inlineStr">
        <is>
          <t>u_rise</t>
        </is>
      </c>
      <c r="C150" s="14" t="inlineStr">
        <is>
          <t>m/s</t>
        </is>
      </c>
      <c r="D150" s="65">
        <f>SQRT(mend_a*sigma/(rho_L*d_bubble)+mend_b*g_const*d_bubble)</f>
        <v/>
      </c>
      <c r="E150" s="26" t="inlineStr">
        <is>
          <t>Mendelson rise velocity, valid ~1–10 mm. Sub-mm bubbles (fine sinters) are out of range → bubble strip excluded and flagged (bubble_regime); §11 surface path and §14 optimiser unaffected. Tube = 4.1 mm.</t>
        </is>
      </c>
    </row>
    <row r="151" ht="15" customHeight="1" s="59"/>
    <row r="152" ht="15" customHeight="1" s="59">
      <c r="A152" s="9" t="inlineStr">
        <is>
          <t>7.  O₂ STRIPPING CAPACITY  (kLa estimate - low confidence)</t>
        </is>
      </c>
      <c r="B152" s="10" t="n"/>
      <c r="C152" s="10" t="n"/>
      <c r="D152" s="10" t="n"/>
      <c r="E152" s="10" t="n"/>
    </row>
    <row r="153" ht="15" customHeight="1" s="59">
      <c r="A153" s="11" t="inlineStr">
        <is>
          <t>Parameter</t>
        </is>
      </c>
      <c r="B153" s="11" t="inlineStr">
        <is>
          <t>Name</t>
        </is>
      </c>
      <c r="C153" s="11" t="inlineStr">
        <is>
          <t>Unit</t>
        </is>
      </c>
      <c r="D153" s="11" t="inlineStr">
        <is>
          <t>Value</t>
        </is>
      </c>
      <c r="E153" s="11" t="inlineStr">
        <is>
          <t>Source / assumption</t>
        </is>
      </c>
    </row>
    <row r="154" ht="15" customHeight="1" s="59">
      <c r="A154" s="12" t="inlineStr">
        <is>
          <t>Superficial gas velocity (sparge on)</t>
        </is>
      </c>
      <c r="B154" s="13" t="inlineStr">
        <is>
          <t>u_sg</t>
        </is>
      </c>
      <c r="C154" s="14" t="inlineStr">
        <is>
          <t>m/s</t>
        </is>
      </c>
      <c r="D154" s="68">
        <f>(Q_CO2/1000000/60)/(A_x/1000000)</f>
        <v/>
      </c>
      <c r="E154" s="20" t="inlineStr">
        <is>
          <t>Gas flow / liquid cross-section.</t>
        </is>
      </c>
    </row>
    <row r="155" ht="15" customHeight="1" s="59">
      <c r="A155" s="12" t="inlineStr">
        <is>
          <t>Gas holdup (sparge on)</t>
        </is>
      </c>
      <c r="B155" s="13" t="inlineStr">
        <is>
          <t>holdup</t>
        </is>
      </c>
      <c r="C155" s="14" t="inlineStr">
        <is>
          <t>-</t>
        </is>
      </c>
      <c r="D155" s="68">
        <f>u_sg/u_rise</f>
        <v/>
      </c>
      <c r="E155" s="26" t="inlineStr">
        <is>
          <t>ε ≈ superficial gas velocity / rise velocity.</t>
        </is>
      </c>
    </row>
    <row r="156" ht="15" customHeight="1" s="59">
      <c r="A156" s="12" t="inlineStr">
        <is>
          <t>Interfacial area for transfer</t>
        </is>
      </c>
      <c r="B156" s="13" t="inlineStr">
        <is>
          <t>a_int</t>
        </is>
      </c>
      <c r="C156" s="14" t="inlineStr">
        <is>
          <t>1/m</t>
        </is>
      </c>
      <c r="D156" s="38">
        <f>6*holdup/d_bubble</f>
        <v/>
      </c>
      <c r="E156" s="26" t="inlineStr">
        <is>
          <t>a = 6ε/d_b (spheres).</t>
        </is>
      </c>
    </row>
    <row r="157" ht="15" customHeight="1" s="59">
      <c r="A157" s="12" t="inlineStr">
        <is>
          <t>Bubble-liquid contact time</t>
        </is>
      </c>
      <c r="B157" s="13" t="inlineStr">
        <is>
          <t>t_contact</t>
        </is>
      </c>
      <c r="C157" s="14" t="inlineStr">
        <is>
          <t>s</t>
        </is>
      </c>
      <c r="D157" s="65">
        <f>d_bubble/u_rise</f>
        <v/>
      </c>
      <c r="E157" s="26" t="inlineStr">
        <is>
          <t>d_b / rise velocity.</t>
        </is>
      </c>
    </row>
    <row r="158" ht="15" customHeight="1" s="59">
      <c r="A158" s="12" t="inlineStr">
        <is>
          <t>Liquid-film coefficient kL</t>
        </is>
      </c>
      <c r="B158" s="13" t="inlineStr">
        <is>
          <t>kL</t>
        </is>
      </c>
      <c r="C158" s="14" t="inlineStr">
        <is>
          <t>m/s</t>
        </is>
      </c>
      <c r="D158" s="68">
        <f>2*SQRT(D_O2/(PI()*t_contact))</f>
        <v/>
      </c>
      <c r="E158" s="26" t="inlineStr">
        <is>
          <t>Higbie penetration theory.</t>
        </is>
      </c>
    </row>
    <row r="159" ht="15" customHeight="1" s="59">
      <c r="A159" s="22" t="inlineStr">
        <is>
          <t>kLa during sparge</t>
        </is>
      </c>
      <c r="B159" s="13" t="inlineStr">
        <is>
          <t>kLa_sparge</t>
        </is>
      </c>
      <c r="C159" s="14" t="inlineStr">
        <is>
          <t>1/s</t>
        </is>
      </c>
      <c r="D159" s="68">
        <f>kL*a_int</f>
        <v/>
      </c>
      <c r="E159" s="26" t="inlineStr">
        <is>
          <t>kL x a.</t>
        </is>
      </c>
    </row>
    <row r="160" ht="15" customHeight="1" s="59">
      <c r="A160" s="12" t="inlineStr">
        <is>
          <t>kLa time-averaged</t>
        </is>
      </c>
      <c r="B160" s="13" t="inlineStr">
        <is>
          <t>kLa_avg</t>
        </is>
      </c>
      <c r="C160" s="14" t="inlineStr">
        <is>
          <t>1/s</t>
        </is>
      </c>
      <c r="D160" s="52">
        <f>kLa_sparge*duty</f>
        <v/>
      </c>
      <c r="E160" s="26" t="inlineStr">
        <is>
          <t>x duty cycle.</t>
        </is>
      </c>
    </row>
    <row r="161" ht="15" customHeight="1" s="59">
      <c r="A161" s="12" t="inlineStr">
        <is>
          <t>O₂ strip rate at ceiling (sparge on)</t>
        </is>
      </c>
      <c r="B161" s="13" t="inlineStr">
        <is>
          <t>strip_sparge</t>
        </is>
      </c>
      <c r="C161" s="14" t="inlineStr">
        <is>
          <t>mol/h</t>
        </is>
      </c>
      <c r="D161" s="68">
        <f>IF(d_bubble&lt;0.001,0,kLa_sparge*(V_charge/1000000)*O2_ceil_C*3600)</f>
        <v/>
      </c>
      <c r="E161" s="26" t="inlineStr">
        <is>
          <t>Bubble O₂ strip at the ceiling driving force (best case). 0 for sub-mm bubbles (fine sinter, bubble model out of range — see bubble_regime).</t>
        </is>
      </c>
    </row>
    <row r="162">
      <c r="A162" s="22" t="inlineStr">
        <is>
          <t>O₂ strip rate time-averaged</t>
        </is>
      </c>
      <c r="B162" s="13" t="inlineStr">
        <is>
          <t>strip_avg</t>
        </is>
      </c>
      <c r="C162" s="14" t="inlineStr">
        <is>
          <t>mol/h</t>
        </is>
      </c>
      <c r="D162" s="68">
        <f>strip_sparge*duty</f>
        <v/>
      </c>
      <c r="E162" s="26" t="inlineStr">
        <is>
          <t>x duty cycle.</t>
        </is>
      </c>
    </row>
    <row r="163" ht="15" customHeight="1" s="59">
      <c r="A163" s="22" t="inlineStr">
        <is>
          <t>Strip capacity : excess-O₂</t>
        </is>
      </c>
      <c r="B163" s="13" t="inlineStr">
        <is>
          <t>strip_ratio</t>
        </is>
      </c>
      <c r="C163" s="14" t="inlineStr">
        <is>
          <t>×</t>
        </is>
      </c>
      <c r="D163" s="64">
        <f>IF(O2_excess&gt;0,strip_avg/O2_excess,NA())</f>
        <v/>
      </c>
      <c r="E163" s="26" t="inlineStr">
        <is>
          <t>Bubble strip : surplus. ≪1 — the §11 surface path is the real route.</t>
        </is>
      </c>
    </row>
    <row r="164" ht="15" customHeight="1" s="59">
      <c r="A164" s="12" t="inlineStr">
        <is>
          <t>Required time-avg kLa</t>
        </is>
      </c>
      <c r="B164" s="13" t="inlineStr">
        <is>
          <t>kLa_req</t>
        </is>
      </c>
      <c r="C164" s="14" t="inlineStr">
        <is>
          <t>1/s</t>
        </is>
      </c>
      <c r="D164" s="68">
        <f>IF(O2_excess&gt;0,O2_excess/3600/((V_charge/1000000)*O2_ceil_C),NA())</f>
        <v/>
      </c>
      <c r="E164" s="26" t="inlineStr">
        <is>
          <t>kLa that would exactly strip the excess at the ceiling.</t>
        </is>
      </c>
    </row>
    <row r="165" ht="19.5" customHeight="1" s="59"/>
    <row r="166" ht="15" customHeight="1" s="59">
      <c r="A166" s="9" t="inlineStr">
        <is>
          <t>8.  MEDIA CARRYOVER CEILING  (vent-filter clog risk)</t>
        </is>
      </c>
      <c r="B166" s="10" t="n"/>
      <c r="C166" s="10" t="n"/>
      <c r="D166" s="10" t="n"/>
      <c r="E166" s="10" t="n"/>
    </row>
    <row r="167">
      <c r="A167" s="11" t="inlineStr">
        <is>
          <t>Parameter</t>
        </is>
      </c>
      <c r="B167" s="11" t="inlineStr">
        <is>
          <t>Name</t>
        </is>
      </c>
      <c r="C167" s="11" t="inlineStr">
        <is>
          <t>Unit</t>
        </is>
      </c>
      <c r="D167" s="11" t="inlineStr">
        <is>
          <t>Value</t>
        </is>
      </c>
      <c r="E167" s="11" t="inlineStr">
        <is>
          <t>Source / assumption</t>
        </is>
      </c>
    </row>
    <row r="168" ht="15" customHeight="1" s="59">
      <c r="A168" s="12" t="inlineStr">
        <is>
          <t>Entrainment velocity ceiling (rule of thumb)</t>
        </is>
      </c>
      <c r="B168" s="13" t="inlineStr">
        <is>
          <t>u_g_max</t>
        </is>
      </c>
      <c r="C168" s="14" t="inlineStr">
        <is>
          <t>m/s</t>
        </is>
      </c>
      <c r="D168" s="62" t="n">
        <v>0.05</v>
      </c>
      <c r="E168" s="26" t="inlineStr">
        <is>
          <t>Provisional superficial-velocity ceiling above which droplet carryover to the hydrophilic vent filters becomes likely. Replace with measured value.</t>
        </is>
      </c>
    </row>
    <row r="169" ht="15" customHeight="1" s="59">
      <c r="A169" s="22" t="inlineStr">
        <is>
          <t>Carryover flag</t>
        </is>
      </c>
      <c r="B169" s="13" t="inlineStr">
        <is>
          <t>carry_flag</t>
        </is>
      </c>
      <c r="C169" s="14" t="inlineStr">
        <is>
          <t>-</t>
        </is>
      </c>
      <c r="D169" s="51">
        <f>IF(u_sg&gt;u_g_max,"RISK","OK")</f>
        <v/>
      </c>
      <c r="E169" s="26" t="inlineStr">
        <is>
          <t>Operating gas velocity vs ceiling.</t>
        </is>
      </c>
    </row>
    <row r="170" ht="15" customHeight="1" s="59"/>
    <row r="171" ht="15" customHeight="1" s="59">
      <c r="A171" s="9" t="inlineStr">
        <is>
          <t>9.  DOSING-SCHEDULE FEASIBILITY</t>
        </is>
      </c>
      <c r="B171" s="10" t="n"/>
      <c r="C171" s="10" t="n"/>
      <c r="D171" s="10" t="n"/>
      <c r="E171" s="10" t="n"/>
    </row>
    <row r="172" ht="15" customHeight="1" s="59">
      <c r="A172" s="11" t="inlineStr">
        <is>
          <t>Parameter</t>
        </is>
      </c>
      <c r="B172" s="11" t="inlineStr">
        <is>
          <t>Name</t>
        </is>
      </c>
      <c r="C172" s="11" t="inlineStr">
        <is>
          <t>Unit</t>
        </is>
      </c>
      <c r="D172" s="11" t="inlineStr">
        <is>
          <t>Value</t>
        </is>
      </c>
      <c r="E172" s="11" t="inlineStr">
        <is>
          <t>Source / assumption</t>
        </is>
      </c>
    </row>
    <row r="173" ht="15" customHeight="1" s="59">
      <c r="A173" s="12" t="inlineStr">
        <is>
          <t>O₂ accumulated per interval</t>
        </is>
      </c>
      <c r="B173" s="13" t="inlineStr">
        <is>
          <t>O2_accum</t>
        </is>
      </c>
      <c r="C173" s="14" t="inlineStr">
        <is>
          <t>mol</t>
        </is>
      </c>
      <c r="D173" s="52">
        <f>O2_excess/60*spg_int</f>
        <v/>
      </c>
      <c r="E173" s="20" t="inlineStr">
        <is>
          <t>Excess O₂ generated between pulses.</t>
        </is>
      </c>
    </row>
    <row r="174" ht="15" customHeight="1" s="59">
      <c r="A174" s="12" t="inlineStr">
        <is>
          <t>O₂ removable per pulse</t>
        </is>
      </c>
      <c r="B174" s="13" t="inlineStr">
        <is>
          <t>O2_strip_pulse</t>
        </is>
      </c>
      <c r="C174" s="14" t="inlineStr">
        <is>
          <t>mol</t>
        </is>
      </c>
      <c r="D174" s="52">
        <f>strip_sparge/3600*spg_dur</f>
        <v/>
      </c>
      <c r="E174" s="26" t="inlineStr">
        <is>
          <t>O₂ a pulse strips (at ceiling).</t>
        </is>
      </c>
    </row>
    <row r="175">
      <c r="A175" s="22" t="inlineStr">
        <is>
          <t>Per-pulse balance</t>
        </is>
      </c>
      <c r="B175" s="13" t="inlineStr">
        <is>
          <t>sched_bal</t>
        </is>
      </c>
      <c r="C175" s="14" t="inlineStr">
        <is>
          <t>×</t>
        </is>
      </c>
      <c r="D175" s="64">
        <f>IF(O2_accum&gt;0,O2_strip_pulse/O2_accum,NA())</f>
        <v/>
      </c>
      <c r="E175" s="26" t="inlineStr">
        <is>
          <t>&gt;=1 = each pulse clears the interval's O₂ by stripping alone. Bubble path only — the dominant O₂ route is the §11 surface/headspace path; see §14 optimiser.</t>
        </is>
      </c>
    </row>
    <row r="176">
      <c r="A176" s="22" t="inlineStr">
        <is>
          <t>Duration floor check</t>
        </is>
      </c>
      <c r="B176" s="13" t="inlineStr">
        <is>
          <t>dur_ok</t>
        </is>
      </c>
      <c r="C176" s="14" t="inlineStr">
        <is>
          <t>-</t>
        </is>
      </c>
      <c r="D176" s="51">
        <f>IF(spg_dur&gt;=pulse_floor,"OK","LOW")</f>
        <v/>
      </c>
      <c r="E176" s="15" t="inlineStr">
        <is>
          <t>Pulse must exceed reliable actuation time.</t>
        </is>
      </c>
    </row>
    <row r="177">
      <c r="A177" s="22" t="n"/>
      <c r="B177" s="13" t="n"/>
      <c r="C177" s="14" t="n"/>
      <c r="D177" s="51" t="n"/>
      <c r="E177" s="26" t="n"/>
    </row>
    <row r="179" ht="24" customHeight="1" s="59">
      <c r="A179" s="9" t="inlineStr">
        <is>
          <t xml:space="preserve">10.  FARADAIC O₂ BALANCE &amp; BUBBLE-REGIME CHECK </t>
        </is>
      </c>
      <c r="B179" s="9" t="n"/>
      <c r="C179" s="9" t="n"/>
      <c r="D179" s="9" t="n"/>
      <c r="E179" s="9" t="n"/>
    </row>
    <row r="180">
      <c r="A180" s="11" t="inlineStr">
        <is>
          <t>Parameter</t>
        </is>
      </c>
      <c r="B180" s="11" t="inlineStr">
        <is>
          <t>Name</t>
        </is>
      </c>
      <c r="C180" s="11" t="inlineStr">
        <is>
          <t>Unit</t>
        </is>
      </c>
      <c r="D180" s="11" t="inlineStr">
        <is>
          <t>Value</t>
        </is>
      </c>
      <c r="E180" s="11" t="inlineStr">
        <is>
          <t>Source / assumption</t>
        </is>
      </c>
    </row>
    <row r="181" ht="24" customHeight="1" s="59">
      <c r="A181" s="12" t="inlineStr">
        <is>
          <t>Sparge tube in-vial length</t>
        </is>
      </c>
      <c r="B181" s="13" t="inlineStr">
        <is>
          <t>spg_len</t>
        </is>
      </c>
      <c r="C181" s="14" t="inlineStr">
        <is>
          <t>mm</t>
        </is>
      </c>
      <c r="D181" s="68">
        <f>D_int-spg_tip_h</f>
        <v/>
      </c>
      <c r="E181" s="29" t="inlineStr">
        <is>
          <t>Cap underside to release point; tracks spg_tip_h.</t>
        </is>
      </c>
    </row>
    <row r="182">
      <c r="A182" s="12" t="inlineStr">
        <is>
          <t>Anodic O₂ faradaic efficiency</t>
        </is>
      </c>
      <c r="B182" s="13" t="inlineStr">
        <is>
          <t>etaF_OER</t>
        </is>
      </c>
      <c r="C182" s="14" t="inlineStr">
        <is>
          <t>-</t>
        </is>
      </c>
      <c r="D182" s="30" t="n">
        <v>1</v>
      </c>
      <c r="E182" s="31" t="inlineStr">
        <is>
          <t>OER at the anode assumed ~100% faradaic; the cell's inefficiency is cathodic (O₂ reduction competing with H₂), not anodic. Design assumption.</t>
        </is>
      </c>
    </row>
    <row r="183">
      <c r="A183" s="12" t="inlineStr">
        <is>
          <t>Electrons per O₂ reduced (cathode)</t>
        </is>
      </c>
      <c r="B183" s="13" t="inlineStr">
        <is>
          <t>z_e_ORR</t>
        </is>
      </c>
      <c r="C183" s="14" t="inlineStr">
        <is>
          <t>-</t>
        </is>
      </c>
      <c r="D183" s="30" t="n">
        <v>4</v>
      </c>
      <c r="E183" s="31" t="inlineStr">
        <is>
          <t>Electrons per cathodic O₂. 4 = to water; 2 = peroxide (favoured on non-Pt, neutral pH) — consumes 2× the O₂/amp, and H₂O₂ is biocidal. Inert while etaF=1.</t>
        </is>
      </c>
    </row>
    <row r="184">
      <c r="A184" s="12" t="inlineStr">
        <is>
          <t>O₂ consumed at cathode (ORR)</t>
        </is>
      </c>
      <c r="B184" s="13" t="inlineStr">
        <is>
          <t>O2_cathode_ORR</t>
        </is>
      </c>
      <c r="C184" s="14" t="inlineStr">
        <is>
          <t>mol/h</t>
        </is>
      </c>
      <c r="D184" s="68">
        <f>I_app*(1-etaF)/(z_e_ORR*F_const)*3600</f>
        <v/>
      </c>
      <c r="E184" s="29" t="inlineStr">
        <is>
          <t>Cathodic current not making H₂ (1−etaF) reduces dissolved O₂. 0 at etaF=1.</t>
        </is>
      </c>
    </row>
    <row r="185">
      <c r="A185" s="12" t="inlineStr">
        <is>
          <t>Net O₂ to dissolved pool</t>
        </is>
      </c>
      <c r="B185" s="13" t="inlineStr">
        <is>
          <t>O2_net_gen</t>
        </is>
      </c>
      <c r="C185" s="14" t="inlineStr">
        <is>
          <t>mol/h</t>
        </is>
      </c>
      <c r="D185" s="68">
        <f>rO2_gen-O2_cathode_ORR</f>
        <v/>
      </c>
      <c r="E185" s="29" t="inlineStr">
        <is>
          <t>Anodic O₂ minus cathodic consumption — the O₂ the dissolved pool receives.</t>
        </is>
      </c>
    </row>
    <row r="186">
      <c r="A186" s="12" t="inlineStr">
        <is>
          <t>CO₂ gas density (T,P)</t>
        </is>
      </c>
      <c r="B186" s="13" t="inlineStr">
        <is>
          <t>rho_CO2</t>
        </is>
      </c>
      <c r="C186" s="14" t="inlineStr">
        <is>
          <t>kg/m³</t>
        </is>
      </c>
      <c r="D186" s="68">
        <f>P_atm*(M_CO2/1000)/(R_gas*T_K)</f>
        <v/>
      </c>
      <c r="E186" s="29" t="inlineStr">
        <is>
          <t>Ideal gas at surface conditions; for the orifice Weber number.</t>
        </is>
      </c>
    </row>
    <row r="187">
      <c r="A187" s="12" t="inlineStr">
        <is>
          <t>Active sparge orifices</t>
        </is>
      </c>
      <c r="B187" s="13" t="inlineStr">
        <is>
          <t>n_pores_active</t>
        </is>
      </c>
      <c r="C187" s="14" t="inlineStr">
        <is>
          <t>-</t>
        </is>
      </c>
      <c r="D187" s="30" t="n">
        <v>1</v>
      </c>
      <c r="E187" s="32" t="inlineStr">
        <is>
          <t>Tube = 1. Sinter pore count unknown; 1 = worst case. DATA GAP.</t>
        </is>
      </c>
    </row>
    <row r="188">
      <c r="A188" s="12" t="inlineStr">
        <is>
          <t>Gas velocity at orifice</t>
        </is>
      </c>
      <c r="B188" s="13" t="inlineStr">
        <is>
          <t>v_orifice</t>
        </is>
      </c>
      <c r="C188" s="14" t="inlineStr">
        <is>
          <t>m/s</t>
        </is>
      </c>
      <c r="D188" s="68">
        <f>(Q_CO2/1000000/60)/(n_pores_active*(PI()/4*d_orifice^2))</f>
        <v/>
      </c>
      <c r="E188" s="29" t="inlineStr">
        <is>
          <t>Per-orifice superficial gas velocity during a sparge pulse.</t>
        </is>
      </c>
    </row>
    <row r="189" ht="36" customHeight="1" s="59">
      <c r="A189" s="12" t="inlineStr">
        <is>
          <t>Orifice Weber number</t>
        </is>
      </c>
      <c r="B189" s="13" t="inlineStr">
        <is>
          <t>We_orifice</t>
        </is>
      </c>
      <c r="C189" s="14" t="inlineStr">
        <is>
          <t>-</t>
        </is>
      </c>
      <c r="D189" s="68">
        <f>rho_CO2*v_orifice^2*d_orifice/sigma</f>
        <v/>
      </c>
      <c r="E189" s="29" t="inlineStr">
        <is>
          <t>Gas inertia vs surface tension at the orifice. Sets whether bubble detachment is quasi-static.</t>
        </is>
      </c>
    </row>
    <row r="190">
      <c r="A190" s="12" t="inlineStr">
        <is>
          <t>Bubble-formation regime</t>
        </is>
      </c>
      <c r="B190" s="13" t="inlineStr">
        <is>
          <t>bubble_regime</t>
        </is>
      </c>
      <c r="C190" s="14" t="inlineStr">
        <is>
          <t>-</t>
        </is>
      </c>
      <c r="D190" s="68">
        <f>IF(d_bubble&lt;0.001,"Sinter OOR – add fine-bubble model",IF(We_orifice&lt;2,"Static","Dynamic"))</f>
        <v/>
      </c>
      <c r="E190" s="29" t="inlineStr">
        <is>
          <t>Tate's law assumes quasi-static detachment (We&lt;~2). 'Sinter OOR' = sub-mm bubble; the fine-sinter model isn't built yet.</t>
        </is>
      </c>
    </row>
    <row r="191">
      <c r="A191" s="12" t="inlineStr">
        <is>
          <t>O₂ time-to-ceiling (no removal)</t>
        </is>
      </c>
      <c r="B191" s="13" t="inlineStr">
        <is>
          <t>t_O2_ceiling</t>
        </is>
      </c>
      <c r="C191" s="14" t="inlineStr">
        <is>
          <t>min</t>
        </is>
      </c>
      <c r="D191" s="68">
        <f>O2_ceil_C*(V_charge/1000000)/O2_excess*60</f>
        <v/>
      </c>
      <c r="E191" s="29" t="inlineStr">
        <is>
          <t>Minutes to reach the O₂ ceiling from ~0 with no removal (steady, etaF=1) — the O₂ timescale.</t>
        </is>
      </c>
    </row>
    <row r="192">
      <c r="A192" s="12" t="inlineStr">
        <is>
          <t>O₂ time-to-ceiling (with time-avg strip)</t>
        </is>
      </c>
      <c r="B192" s="13" t="inlineStr">
        <is>
          <t>t_O2_ceiling_strip</t>
        </is>
      </c>
      <c r="C192" s="14" t="inlineStr">
        <is>
          <t>min</t>
        </is>
      </c>
      <c r="D192" s="68">
        <f>IF(O2_excess-strip_avg&gt;0,O2_ceil_C*(V_charge/1000000)/(O2_excess-strip_avg)*60,9999)</f>
        <v/>
      </c>
      <c r="E192" s="29" t="inlineStr">
        <is>
          <t>As above, crediting time-averaged bubble strip (≈unchanged → bubbles aren't the mechanism). 9999 = cleared.</t>
        </is>
      </c>
    </row>
    <row r="194">
      <c r="A194" s="9" t="inlineStr">
        <is>
          <t>11.  O₂ REMOVAL — STIRRED SURFACE TO VENTED HEADSPACE  (likely-dominant path)</t>
        </is>
      </c>
    </row>
    <row r="195">
      <c r="A195" s="11" t="inlineStr">
        <is>
          <t>Parameter</t>
        </is>
      </c>
      <c r="B195" s="11" t="inlineStr">
        <is>
          <t>Name</t>
        </is>
      </c>
      <c r="C195" s="11" t="inlineStr">
        <is>
          <t>Unit</t>
        </is>
      </c>
      <c r="D195" s="11" t="inlineStr">
        <is>
          <t>Value</t>
        </is>
      </c>
      <c r="E195" s="11" t="inlineStr">
        <is>
          <t>Source / assumption</t>
        </is>
      </c>
    </row>
    <row r="196">
      <c r="A196" s="12" t="inlineStr">
        <is>
          <t>Stir-bar speed</t>
        </is>
      </c>
      <c r="B196" s="13" t="inlineStr">
        <is>
          <t>stir_rpm</t>
        </is>
      </c>
      <c r="C196" s="14" t="inlineStr">
        <is>
          <t>1/min</t>
        </is>
      </c>
      <c r="D196" s="72" t="n">
        <v>500</v>
      </c>
      <c r="E196" s="31" t="inlineStr">
        <is>
          <t>Pioreactor stir setpoint. RPM floor ~125 (stalls below). Input/confirm.</t>
        </is>
      </c>
    </row>
    <row r="197">
      <c r="A197" s="12" t="inlineStr">
        <is>
          <t>Stir-bar length</t>
        </is>
      </c>
      <c r="B197" s="13" t="inlineStr">
        <is>
          <t>stir_len</t>
        </is>
      </c>
      <c r="C197" s="14" t="inlineStr">
        <is>
          <t>mm</t>
        </is>
      </c>
      <c r="D197" s="72" t="n">
        <v>12</v>
      </c>
      <c r="E197" s="73" t="inlineStr">
        <is>
          <t>Magnetic stir bar. Pioreactor max 20 mm; confirm the supplied bar's length. Input.</t>
        </is>
      </c>
    </row>
    <row r="198">
      <c r="A198" s="12" t="inlineStr">
        <is>
          <t>Stir-bar tip speed</t>
        </is>
      </c>
      <c r="B198" s="13" t="inlineStr">
        <is>
          <t>tip_speed</t>
        </is>
      </c>
      <c r="C198" s="14" t="inlineStr">
        <is>
          <t>m/s</t>
        </is>
      </c>
      <c r="D198" s="68">
        <f>PI()*(stir_len/1000)*stir_rpm/60</f>
        <v/>
      </c>
      <c r="E198" s="29" t="inlineStr">
        <is>
          <t>π·d·rpm/60.</t>
        </is>
      </c>
    </row>
    <row r="199">
      <c r="A199" s="12" t="inlineStr">
        <is>
          <t>Surface renewal frequency</t>
        </is>
      </c>
      <c r="B199" s="13" t="inlineStr">
        <is>
          <t>s_renew</t>
        </is>
      </c>
      <c r="C199" s="14" t="inlineStr">
        <is>
          <t>1/s</t>
        </is>
      </c>
      <c r="D199" s="68">
        <f>tip_speed/(vial_ID/1000)</f>
        <v/>
      </c>
      <c r="E199" s="73" t="inlineStr">
        <is>
          <t>Surface renewal ≈ tip speed / vial ID. Coarse proxy.</t>
        </is>
      </c>
    </row>
    <row r="200">
      <c r="A200" s="12" t="inlineStr">
        <is>
          <t>Surface liquid-film coeff kL</t>
        </is>
      </c>
      <c r="B200" s="13" t="inlineStr">
        <is>
          <t>kL_surf</t>
        </is>
      </c>
      <c r="C200" s="14" t="inlineStr">
        <is>
          <t>m/s</t>
        </is>
      </c>
      <c r="D200" s="68">
        <f>2*SQRT(D_O2*s_renew/PI())</f>
        <v/>
      </c>
      <c r="E200" s="73" t="inlineStr">
        <is>
          <t>Danckwerts surface-renewal estimate — coarse; measure by gassing-out (§15).</t>
        </is>
      </c>
    </row>
    <row r="201">
      <c r="A201" s="12" t="inlineStr">
        <is>
          <t>Surface area per volume</t>
        </is>
      </c>
      <c r="B201" s="13" t="inlineStr">
        <is>
          <t>a_surf</t>
        </is>
      </c>
      <c r="C201" s="14" t="inlineStr">
        <is>
          <t>1/m</t>
        </is>
      </c>
      <c r="D201" s="68">
        <f>interface_A/V_charge</f>
        <v/>
      </c>
      <c r="E201" s="29" t="inlineStr">
        <is>
          <t>Free-surface area / liquid volume (mm²/mL = 1/m); uses interface_A (§1B).</t>
        </is>
      </c>
    </row>
    <row r="202">
      <c r="A202" s="12" t="inlineStr">
        <is>
          <t>Surface O₂ transfer kLa</t>
        </is>
      </c>
      <c r="B202" s="13" t="inlineStr">
        <is>
          <t>kLa_surf</t>
        </is>
      </c>
      <c r="C202" s="14" t="inlineStr">
        <is>
          <t>1/s</t>
        </is>
      </c>
      <c r="D202" s="68">
        <f>kL_surf*a_surf</f>
        <v/>
      </c>
      <c r="E202" s="73" t="inlineStr">
        <is>
          <t>kL_surf × a_surf.</t>
        </is>
      </c>
    </row>
    <row r="203">
      <c r="A203" s="12" t="inlineStr">
        <is>
          <t>O₂ strip via surface (ceiling)</t>
        </is>
      </c>
      <c r="B203" s="13" t="inlineStr">
        <is>
          <t>surf_strip</t>
        </is>
      </c>
      <c r="C203" s="14" t="inlineStr">
        <is>
          <t>mol/h</t>
        </is>
      </c>
      <c r="D203" s="68">
        <f>kLa_surf_used*(V_charge/1000000)*O2_ceil_C*3600</f>
        <v/>
      </c>
      <c r="E203" s="73" t="inlineStr">
        <is>
          <t>O₂ removed across the stirred surface at ceiling driving force, headspace ~O₂-free. Best case.</t>
        </is>
      </c>
    </row>
    <row r="204">
      <c r="A204" s="12" t="inlineStr">
        <is>
          <t>Surface strip : excess-O₂</t>
        </is>
      </c>
      <c r="B204" s="13" t="inlineStr">
        <is>
          <t>surf_ratio</t>
        </is>
      </c>
      <c r="C204" s="14" t="inlineStr">
        <is>
          <t>×</t>
        </is>
      </c>
      <c r="D204" s="68">
        <f>IF(O2_excess&gt;0,surf_strip/O2_excess,NA())</f>
        <v/>
      </c>
      <c r="E204" s="73" t="inlineStr">
        <is>
          <t>Surface strip : surplus. Coarse (kL_surf). ≫ bubble path — the dominant O₂ route.</t>
        </is>
      </c>
    </row>
    <row r="205">
      <c r="A205" s="12" t="inlineStr">
        <is>
          <t>Headspace O₂ frac. to vent excess</t>
        </is>
      </c>
      <c r="B205" s="13" t="inlineStr">
        <is>
          <t>y_O2_vent</t>
        </is>
      </c>
      <c r="C205" s="14" t="inlineStr">
        <is>
          <t>-</t>
        </is>
      </c>
      <c r="D205" s="68">
        <f>IF(CO2_supply&gt;0,O2_excess/CO2_supply,NA())</f>
        <v/>
      </c>
      <c r="E205" s="29" t="inlineStr">
        <is>
          <t>Headspace O₂ fraction at which the vented CO₂ carries the surplus out. kL-independent.</t>
        </is>
      </c>
    </row>
    <row r="206">
      <c r="A206" s="12" t="inlineStr">
        <is>
          <t>DO in equilib. with that headspace</t>
        </is>
      </c>
      <c r="B206" s="13" t="inlineStr">
        <is>
          <t>DO_vent_eq</t>
        </is>
      </c>
      <c r="C206" s="14" t="inlineStr">
        <is>
          <t>µM</t>
        </is>
      </c>
      <c r="D206" s="68">
        <f>H_O2_T*y_O2_vent*P_atm*1000</f>
        <v/>
      </c>
      <c r="E206" s="29" t="inlineStr">
        <is>
          <t>Dissolved O₂ matching that headspace fraction. ≪ ceiling → vent-feasible.</t>
        </is>
      </c>
    </row>
    <row r="207">
      <c r="A207" s="12" t="inlineStr">
        <is>
          <t>Headspace flush time</t>
        </is>
      </c>
      <c r="B207" s="13" t="inlineStr">
        <is>
          <t>hs_flush_time</t>
        </is>
      </c>
      <c r="C207" s="14" t="inlineStr">
        <is>
          <t>min</t>
        </is>
      </c>
      <c r="D207" s="68">
        <f>headspace_V/(Q_CO2*duty)</f>
        <v/>
      </c>
      <c r="E207" s="29" t="inlineStr">
        <is>
          <t>Avg CO₂ flow to displace one headspace volume.</t>
        </is>
      </c>
    </row>
    <row r="208">
      <c r="A208" s="12" t="inlineStr">
        <is>
          <t>Combined O₂ removal : excess</t>
        </is>
      </c>
      <c r="B208" s="13" t="inlineStr">
        <is>
          <t>O2_removal_ratio</t>
        </is>
      </c>
      <c r="C208" s="14" t="inlineStr">
        <is>
          <t>×</t>
        </is>
      </c>
      <c r="D208" s="68">
        <f>IF(O2_excess&gt;0,(strip_avg+surf_strip)/O2_excess,NA())</f>
        <v/>
      </c>
      <c r="E208" s="73" t="inlineStr">
        <is>
          <t>Gas removal (bubble + surface) vs the steady-growth surplus O2_excess (which already nets the cathodic sink and biological uptake). &gt;=1 = ceiling held at steady growth.</t>
        </is>
      </c>
    </row>
    <row r="209">
      <c r="A209" s="12" t="inlineStr">
        <is>
          <t>O₂ time-to-ceiling (LAG, no uptake)</t>
        </is>
      </c>
      <c r="B209" s="13" t="inlineStr">
        <is>
          <t>t_O2_ceiling_lag</t>
        </is>
      </c>
      <c r="C209" s="14" t="inlineStr">
        <is>
          <t>min</t>
        </is>
      </c>
      <c r="D209" s="68">
        <f>O2_ceil_C*(V_charge/1000000)/O2_net_gen*60</f>
        <v/>
      </c>
      <c r="E209" s="29" t="inlineStr">
        <is>
          <t>Lag/establishment: no biological O₂ uptake yet, so the full net O₂ accumulates. Worst case.</t>
        </is>
      </c>
    </row>
    <row r="210">
      <c r="A210" s="12" t="inlineStr">
        <is>
          <t>O₂ time-to-ceiling (with all removal)</t>
        </is>
      </c>
      <c r="B210" s="13" t="inlineStr">
        <is>
          <t>t_O2_ceiling_rem</t>
        </is>
      </c>
      <c r="C210" s="14" t="inlineStr">
        <is>
          <t>min</t>
        </is>
      </c>
      <c r="D210" s="68">
        <f>IF(O2_net_gen-strip_avg-surf_strip&gt;0,O2_ceil_C*(V_charge/1000000)/(O2_net_gen-strip_avg-surf_strip)*60,9999)</f>
        <v/>
      </c>
      <c r="E210" s="73" t="inlineStr">
        <is>
          <t>LAG-with-removal partner to t_O2_ceiling_lag: cells not yet consuming, so removal (bubble + surface) must offset the full net electrolytic O₂ (O2_net_gen, which already nets the cathodic sink), not the steady surplus. 9999 = removal holds the ceiling (no finite time).</t>
        </is>
      </c>
    </row>
    <row r="212">
      <c r="A212" s="9" t="inlineStr">
        <is>
          <t>12.  DISSOLVED CO₂ &amp; CARBON AVAILABILITY  (+ pH note)</t>
        </is>
      </c>
    </row>
    <row r="213">
      <c r="A213" s="11" t="inlineStr">
        <is>
          <t>Parameter</t>
        </is>
      </c>
      <c r="B213" s="11" t="inlineStr">
        <is>
          <t>Name</t>
        </is>
      </c>
      <c r="C213" s="11" t="inlineStr">
        <is>
          <t>Unit</t>
        </is>
      </c>
      <c r="D213" s="11" t="inlineStr">
        <is>
          <t>Value</t>
        </is>
      </c>
      <c r="E213" s="11" t="inlineStr">
        <is>
          <t>Source / assumption</t>
        </is>
      </c>
    </row>
    <row r="214">
      <c r="A214" s="12" t="inlineStr">
        <is>
          <t>Henry solubility CO₂ (ref, 298.15 K)</t>
        </is>
      </c>
      <c r="B214" s="13" t="inlineStr">
        <is>
          <t>H_CO2ref</t>
        </is>
      </c>
      <c r="C214" s="14" t="inlineStr">
        <is>
          <t>mol/m³/Pa</t>
        </is>
      </c>
      <c r="D214" s="69" t="n">
        <v>0.00033</v>
      </c>
      <c r="E214" s="74" t="inlineStr">
        <is>
          <t>Sander (2023) compilation; CO₂ ~25× more soluble than O₂.</t>
        </is>
      </c>
    </row>
    <row r="215">
      <c r="A215" s="12" t="inlineStr">
        <is>
          <t>Henry T-dependence CO₂</t>
        </is>
      </c>
      <c r="B215" s="13" t="inlineStr">
        <is>
          <t>H_CO2T</t>
        </is>
      </c>
      <c r="C215" s="14" t="inlineStr">
        <is>
          <t>K</t>
        </is>
      </c>
      <c r="D215" s="69" t="n">
        <v>2400</v>
      </c>
      <c r="E215" s="74" t="inlineStr">
        <is>
          <t>Sander (2023): d ln(Hcp)/d(1/T) for CO₂.</t>
        </is>
      </c>
    </row>
    <row r="216">
      <c r="A216" s="12" t="inlineStr">
        <is>
          <t>Henry solubility CO₂ at T</t>
        </is>
      </c>
      <c r="B216" s="13" t="inlineStr">
        <is>
          <t>H_CO2_T</t>
        </is>
      </c>
      <c r="C216" s="14" t="inlineStr">
        <is>
          <t>mol/m³/Pa</t>
        </is>
      </c>
      <c r="D216" s="68">
        <f>H_CO2ref*EXP(H_CO2T*(1/T_K-1/T_ref))</f>
        <v/>
      </c>
      <c r="E216" s="29" t="inlineStr">
        <is>
          <t>van 't Hoff to reactor T.</t>
        </is>
      </c>
    </row>
    <row r="217">
      <c r="A217" s="12" t="inlineStr">
        <is>
          <t>CO₂ partial pressure at sparge</t>
        </is>
      </c>
      <c r="B217" s="13" t="inlineStr">
        <is>
          <t>p_CO2_sparge</t>
        </is>
      </c>
      <c r="C217" s="14" t="inlineStr">
        <is>
          <t>Pa</t>
        </is>
      </c>
      <c r="D217" s="68">
        <f>P_atm</f>
        <v/>
      </c>
      <c r="E217" s="31" t="inlineStr">
        <is>
          <t>Pure-CO₂ sparge: p_CO₂ ≈ surface pressure during a pulse. Assumption.</t>
        </is>
      </c>
    </row>
    <row r="218">
      <c r="A218" s="12" t="inlineStr">
        <is>
          <t>Dissolved CO₂ (during sparge)</t>
        </is>
      </c>
      <c r="B218" s="13" t="inlineStr">
        <is>
          <t>CO2_diss</t>
        </is>
      </c>
      <c r="C218" s="14" t="inlineStr">
        <is>
          <t>mol/m³</t>
        </is>
      </c>
      <c r="D218" s="68">
        <f>H_CO2_T*p_CO2_sparge</f>
        <v/>
      </c>
      <c r="E218" s="29" t="inlineStr">
        <is>
          <t>Equilibrium dissolved CO₂ while sparging (mol/m³ = mM).</t>
        </is>
      </c>
    </row>
    <row r="219">
      <c r="A219" s="12" t="inlineStr">
        <is>
          <t>RuBisCO Km for CO₂</t>
        </is>
      </c>
      <c r="B219" s="13" t="inlineStr">
        <is>
          <t>Km_CO2</t>
        </is>
      </c>
      <c r="C219" s="14" t="inlineStr">
        <is>
          <t>µM</t>
        </is>
      </c>
      <c r="D219" s="72" t="n">
        <v>50</v>
      </c>
      <c r="E219" s="73" t="inlineStr">
        <is>
          <t>RuBisCO Km(CO₂) ~ order 50 µM. Coarse — confirm.</t>
        </is>
      </c>
    </row>
    <row r="220">
      <c r="A220" s="12" t="inlineStr">
        <is>
          <t>Carbon margin (dissolved CO₂ : Km)</t>
        </is>
      </c>
      <c r="B220" s="13" t="inlineStr">
        <is>
          <t>CO2_carbon_margin</t>
        </is>
      </c>
      <c r="C220" s="14" t="inlineStr">
        <is>
          <t>×</t>
        </is>
      </c>
      <c r="D220" s="68">
        <f>CO2_diss*1000/Km_CO2</f>
        <v/>
      </c>
      <c r="E220" s="29" t="inlineStr">
        <is>
          <t>Dissolved CO₂ : RuBisCO Km. ≫1 = saturating (duty-averaged lower).</t>
        </is>
      </c>
    </row>
    <row r="221">
      <c r="A221" s="12" t="inlineStr">
        <is>
          <t>Carbonic-acid Ka1 (apparent)</t>
        </is>
      </c>
      <c r="B221" s="13" t="inlineStr">
        <is>
          <t>Ka1_carb</t>
        </is>
      </c>
      <c r="C221" s="14" t="inlineStr">
        <is>
          <t>mol/L</t>
        </is>
      </c>
      <c r="D221" s="69" t="n">
        <v>4.45e-07</v>
      </c>
      <c r="E221" s="74" t="inlineStr">
        <is>
          <t>CO₂(aq)+H₂O ⇌ H⁺+HCO₃⁻, pKa1 6.35 (25 °C).</t>
        </is>
      </c>
    </row>
    <row r="222">
      <c r="A222" s="12" t="inlineStr">
        <is>
          <t>pH — UNBUFFERED worst case</t>
        </is>
      </c>
      <c r="B222" s="13" t="inlineStr">
        <is>
          <t>pH_CO2_unbuf</t>
        </is>
      </c>
      <c r="C222" s="14" t="inlineStr">
        <is>
          <t>-</t>
        </is>
      </c>
      <c r="D222" s="68">
        <f>-LOG10(SQRT(Ka1_carb*(CO2_diss/1000)))</f>
        <v/>
      </c>
      <c r="E222" s="73" t="inlineStr">
        <is>
          <t>Unbuffered worst case (pure water + CO₂) — lower bound only; the Sydow phosphate medium holds pH near setpoint.</t>
        </is>
      </c>
    </row>
    <row r="224">
      <c r="A224" s="9" t="inlineStr">
        <is>
          <t>13.  H₂ AVAILABILITY &amp; UTILISATION  (does the '100% consumed' assumption hold?)</t>
        </is>
      </c>
    </row>
    <row r="225">
      <c r="A225" s="11" t="inlineStr">
        <is>
          <t>Parameter</t>
        </is>
      </c>
      <c r="B225" s="11" t="inlineStr">
        <is>
          <t>Name</t>
        </is>
      </c>
      <c r="C225" s="11" t="inlineStr">
        <is>
          <t>Unit</t>
        </is>
      </c>
      <c r="D225" s="11" t="inlineStr">
        <is>
          <t>Value</t>
        </is>
      </c>
      <c r="E225" s="11" t="inlineStr">
        <is>
          <t>Source / assumption</t>
        </is>
      </c>
    </row>
    <row r="226">
      <c r="A226" s="12" t="inlineStr">
        <is>
          <t>Henry solubility H₂ (ref, 298.15 K)</t>
        </is>
      </c>
      <c r="B226" s="13" t="inlineStr">
        <is>
          <t>H_H2ref</t>
        </is>
      </c>
      <c r="C226" s="14" t="inlineStr">
        <is>
          <t>mol/m³/Pa</t>
        </is>
      </c>
      <c r="D226" s="69" t="n">
        <v>7.8e-06</v>
      </c>
      <c r="E226" s="74" t="inlineStr">
        <is>
          <t>Sander (2023). H₂ ~1.7× less soluble than O₂.</t>
        </is>
      </c>
    </row>
    <row r="227">
      <c r="A227" s="12" t="inlineStr">
        <is>
          <t>Henry T-dependence H₂</t>
        </is>
      </c>
      <c r="B227" s="13" t="inlineStr">
        <is>
          <t>H_H2T</t>
        </is>
      </c>
      <c r="C227" s="14" t="inlineStr">
        <is>
          <t>K</t>
        </is>
      </c>
      <c r="D227" s="69" t="n">
        <v>500</v>
      </c>
      <c r="E227" s="74" t="inlineStr">
        <is>
          <t>Sander (2023): d ln(Hcp)/d(1/T) for H₂ (weak T-dependence).</t>
        </is>
      </c>
    </row>
    <row r="228">
      <c r="A228" s="12" t="inlineStr">
        <is>
          <t>Henry solubility H₂ at T</t>
        </is>
      </c>
      <c r="B228" s="13" t="inlineStr">
        <is>
          <t>H_H2_T</t>
        </is>
      </c>
      <c r="C228" s="14" t="inlineStr">
        <is>
          <t>mol/m³/Pa</t>
        </is>
      </c>
      <c r="D228" s="68">
        <f>H_H2ref*EXP(H_H2T*(1/T_K-1/T_ref))</f>
        <v/>
      </c>
      <c r="E228" s="29" t="inlineStr">
        <is>
          <t>van 't Hoff to reactor T.</t>
        </is>
      </c>
    </row>
    <row r="229">
      <c r="A229" s="12" t="inlineStr">
        <is>
          <t>Dissolved-H₂ saturation (1 atm)</t>
        </is>
      </c>
      <c r="B229" s="13" t="inlineStr">
        <is>
          <t>C_H2_sat</t>
        </is>
      </c>
      <c r="C229" s="14" t="inlineStr">
        <is>
          <t>mol/m³</t>
        </is>
      </c>
      <c r="D229" s="68">
        <f>H_H2_T*P_atm</f>
        <v/>
      </c>
      <c r="E229" s="29" t="inlineStr">
        <is>
          <t>Max dissolved H₂ at 1 atm — the cells' H₂ ceiling.</t>
        </is>
      </c>
    </row>
    <row r="230">
      <c r="A230" s="12" t="inlineStr">
        <is>
          <t>Time to saturate dissolved H₂ (LAG)</t>
        </is>
      </c>
      <c r="B230" s="13" t="inlineStr">
        <is>
          <t>t_H2_sat</t>
        </is>
      </c>
      <c r="C230" s="14" t="inlineStr">
        <is>
          <t>min</t>
        </is>
      </c>
      <c r="D230" s="68">
        <f>C_H2_sat*(V_charge/1000000)/rH2_gen*60</f>
        <v/>
      </c>
      <c r="E230" s="29" t="inlineStr">
        <is>
          <t>Lag: dissolved H₂ saturates this fast unconsumed, then bubbles off (lost + explosive headspace). Mirrors the O₂ lag timescale.</t>
        </is>
      </c>
    </row>
    <row r="231">
      <c r="A231" s="12" t="inlineStr">
        <is>
          <t>H₂ pool turnovers per hour</t>
        </is>
      </c>
      <c r="B231" s="13" t="inlineStr">
        <is>
          <t>H2_turnover</t>
        </is>
      </c>
      <c r="C231" s="14" t="inlineStr">
        <is>
          <t>1/h</t>
        </is>
      </c>
      <c r="D231" s="68">
        <f>rH2_gen/(V_charge/1000000)/C_H2_sat</f>
        <v/>
      </c>
      <c r="E231" s="73" t="inlineStr">
        <is>
          <t>H₂ evolved ÷ saturable pool. ≫1 → cells must consume in near-real-time or it escapes.</t>
        </is>
      </c>
    </row>
    <row r="232">
      <c r="A232" s="12" t="inlineStr">
        <is>
          <t>H₂ headspace safety flag</t>
        </is>
      </c>
      <c r="B232" s="13" t="inlineStr">
        <is>
          <t>H2_safety</t>
        </is>
      </c>
      <c r="C232" s="14" t="inlineStr">
        <is>
          <t>-</t>
        </is>
      </c>
      <c r="D232" s="68">
        <f>IF(H2_turnover&gt;1,"EXPLOSIVE","watch")</f>
        <v/>
      </c>
      <c r="E232" s="32" t="inlineStr">
        <is>
          <t>On when H₂ escapes faster than it dissolves (H2_turnover&gt;1) → explosive H₂+O₂ headspace (4–94% in O₂). On at any useful current — headspace venting is mandatory.</t>
        </is>
      </c>
    </row>
    <row r="234">
      <c r="A234" s="9" t="inlineStr">
        <is>
          <t>14.  OPTIMAL SPARGE SCHEDULE  (absolute answer: pulse duration &amp; interval for a given CO₂ flow)</t>
        </is>
      </c>
    </row>
    <row r="235">
      <c r="A235" s="11" t="inlineStr">
        <is>
          <t>Parameter</t>
        </is>
      </c>
      <c r="B235" s="11" t="inlineStr">
        <is>
          <t>Name</t>
        </is>
      </c>
      <c r="C235" s="11" t="inlineStr">
        <is>
          <t>Unit</t>
        </is>
      </c>
      <c r="D235" s="11" t="inlineStr">
        <is>
          <t>Value</t>
        </is>
      </c>
      <c r="E235" s="11" t="inlineStr">
        <is>
          <t>Source / assumption</t>
        </is>
      </c>
    </row>
    <row r="236">
      <c r="A236" s="12" t="inlineStr">
        <is>
          <t>Schedule mode</t>
        </is>
      </c>
      <c r="B236" s="13" t="inlineStr">
        <is>
          <t>sched_mode</t>
        </is>
      </c>
      <c r="C236" s="14" t="inlineStr">
        <is>
          <t>-</t>
        </is>
      </c>
      <c r="D236" s="72" t="inlineStr">
        <is>
          <t>Optimal</t>
        </is>
      </c>
      <c r="E236" s="31" t="inlineStr">
        <is>
          <t>Manual = use the values you type below; Optimal = the model computes &amp; applies the optimum. Dropdown.</t>
        </is>
      </c>
    </row>
    <row r="237">
      <c r="A237" s="12" t="inlineStr">
        <is>
          <t>Manual pulse duration</t>
        </is>
      </c>
      <c r="B237" s="13" t="inlineStr">
        <is>
          <t>spg_dur_man</t>
        </is>
      </c>
      <c r="C237" s="14" t="inlineStr">
        <is>
          <t>s</t>
        </is>
      </c>
      <c r="D237" s="72" t="n">
        <v>1</v>
      </c>
      <c r="E237" s="31" t="inlineStr">
        <is>
          <t>Your pulse length, used when sched_mode=Manual.</t>
        </is>
      </c>
    </row>
    <row r="238">
      <c r="A238" s="12" t="inlineStr">
        <is>
          <t>Manual sparge interval</t>
        </is>
      </c>
      <c r="B238" s="13" t="inlineStr">
        <is>
          <t>spg_int_man</t>
        </is>
      </c>
      <c r="C238" s="14" t="inlineStr">
        <is>
          <t>min</t>
        </is>
      </c>
      <c r="D238" s="72" t="n">
        <v>1</v>
      </c>
      <c r="E238" s="31" t="inlineStr">
        <is>
          <t>Your interval, used when sched_mode=Manual.</t>
        </is>
      </c>
    </row>
    <row r="239">
      <c r="A239" s="12" t="inlineStr">
        <is>
          <t>Target dissolved-O₂ ceiling fraction</t>
        </is>
      </c>
      <c r="B239" s="13" t="inlineStr">
        <is>
          <t>target_DO_frac</t>
        </is>
      </c>
      <c r="C239" s="14" t="inlineStr">
        <is>
          <t>-</t>
        </is>
      </c>
      <c r="D239" s="72" t="n">
        <v>0.5</v>
      </c>
      <c r="E239" s="31" t="inlineStr">
        <is>
          <t>Hold DO at ≤ this × the inhibition ceiling. Lower = safer O₂ margin → needs more flushing. Input.</t>
        </is>
      </c>
    </row>
    <row r="240">
      <c r="A240" s="12" t="inlineStr">
        <is>
          <t>Min carbon supply margin</t>
        </is>
      </c>
      <c r="B240" s="13" t="inlineStr">
        <is>
          <t>carbon_margin_min</t>
        </is>
      </c>
      <c r="C240" s="14" t="inlineStr">
        <is>
          <t>-</t>
        </is>
      </c>
      <c r="D240" s="72" t="n">
        <v>2</v>
      </c>
      <c r="E240" s="31" t="inlineStr">
        <is>
          <t>Required CO₂ supply : fixation demand. Input.</t>
        </is>
      </c>
    </row>
    <row r="241">
      <c r="A241" s="12" t="inlineStr">
        <is>
          <t>Duty floor — carbon</t>
        </is>
      </c>
      <c r="B241" s="13" t="inlineStr">
        <is>
          <t>duty_carbon</t>
        </is>
      </c>
      <c r="C241" s="14" t="inlineStr">
        <is>
          <t>-</t>
        </is>
      </c>
      <c r="D241" s="68">
        <f>carbon_margin_min*CO2_cons/(nCO2_rate*3600)</f>
        <v/>
      </c>
      <c r="E241" s="29" t="inlineStr">
        <is>
          <t>Duty needed so CO₂ supply ≥ margin × fixation demand.</t>
        </is>
      </c>
    </row>
    <row r="242">
      <c r="A242" s="12" t="inlineStr">
        <is>
          <t>Duty floor — O₂ venting (lag)</t>
        </is>
      </c>
      <c r="B242" s="13" t="inlineStr">
        <is>
          <t>duty_O2vent</t>
        </is>
      </c>
      <c r="C242" s="14" t="inlineStr">
        <is>
          <t>-</t>
        </is>
      </c>
      <c r="D242" s="68">
        <f>O2_net_gen/(target_DO_frac*(O2_ceil_Pa/P_atm))/(nCO2_rate*3600)</f>
        <v/>
      </c>
      <c r="E242" s="29" t="inlineStr">
        <is>
          <t>Duty so the vented CO₂ throughput carries the worst-case (lag, no uptake) net O₂ out at ≤ target DO. Usually the binding floor.</t>
        </is>
      </c>
    </row>
    <row r="243">
      <c r="A243" s="12" t="inlineStr">
        <is>
          <t>Optimal duty cycle</t>
        </is>
      </c>
      <c r="B243" s="13" t="inlineStr">
        <is>
          <t>duty_opt</t>
        </is>
      </c>
      <c r="C243" s="14" t="inlineStr">
        <is>
          <t>-</t>
        </is>
      </c>
      <c r="D243" s="68">
        <f>MAX(duty_carbon,duty_O2vent)</f>
        <v/>
      </c>
      <c r="E243" s="29" t="inlineStr">
        <is>
          <t>Least feasible CO₂ (binding of the two floors). O₂-venting binds, not pH (buffer holds pH; over-dose limited by pCO₂ lag).</t>
        </is>
      </c>
    </row>
    <row r="244">
      <c r="A244" s="12" t="inlineStr">
        <is>
          <t>Max interval — O₂ flush frequency</t>
        </is>
      </c>
      <c r="B244" s="13" t="inlineStr">
        <is>
          <t>spg_int_max</t>
        </is>
      </c>
      <c r="C244" s="14" t="inlineStr">
        <is>
          <t>min</t>
        </is>
      </c>
      <c r="D244" s="68">
        <f>target_DO_frac*t_O2_ceiling_lag</f>
        <v/>
      </c>
      <c r="E244" s="29" t="inlineStr">
        <is>
          <t>Pulses must be frequent enough that DO doesn't spike past target between flushes (lag worst-case).</t>
        </is>
      </c>
    </row>
    <row r="245">
      <c r="A245" s="12" t="inlineStr">
        <is>
          <t>► OPTIMAL pulse duration</t>
        </is>
      </c>
      <c r="B245" s="13" t="inlineStr">
        <is>
          <t>spg_dur_opt</t>
        </is>
      </c>
      <c r="C245" s="14" t="inlineStr">
        <is>
          <t>s</t>
        </is>
      </c>
      <c r="D245" s="75">
        <f>pulse_floor</f>
        <v/>
      </c>
      <c r="E245" s="76" t="inlineStr">
        <is>
          <t>ANSWER. Shortest reliable pulse → most frequent, smoothest DO, best OD-read windows.</t>
        </is>
      </c>
    </row>
    <row r="246">
      <c r="A246" s="12" t="inlineStr">
        <is>
          <t>► OPTIMAL sparge interval</t>
        </is>
      </c>
      <c r="B246" s="13" t="inlineStr">
        <is>
          <t>spg_int_opt</t>
        </is>
      </c>
      <c r="C246" s="14" t="inlineStr">
        <is>
          <t>min</t>
        </is>
      </c>
      <c r="D246" s="75">
        <f>MIN(spg_dur_opt/(60*duty_opt),spg_int_max)</f>
        <v/>
      </c>
      <c r="E246" s="76" t="inlineStr">
        <is>
          <t>ANSWER. From optimal duty at the floor pulse, capped by the O₂-flush frequency limit. Set sched_mode=Optimal to apply.</t>
        </is>
      </c>
    </row>
    <row r="247">
      <c r="A247" s="12" t="inlineStr">
        <is>
          <t xml:space="preserve">  optimal interval (seconds)</t>
        </is>
      </c>
      <c r="B247" s="13" t="inlineStr">
        <is>
          <t>spg_int_opt_s</t>
        </is>
      </c>
      <c r="C247" s="14" t="inlineStr">
        <is>
          <t>s</t>
        </is>
      </c>
      <c r="D247" s="68">
        <f>spg_int_opt*60</f>
        <v/>
      </c>
      <c r="E247" s="76" t="inlineStr">
        <is>
          <t>Convenience: interval in seconds.</t>
        </is>
      </c>
    </row>
    <row r="248">
      <c r="A248" s="12" t="inlineStr">
        <is>
          <t xml:space="preserve">  resulting duty / binding constraint</t>
        </is>
      </c>
      <c r="B248" s="13" t="inlineStr">
        <is>
          <t>duty_actual</t>
        </is>
      </c>
      <c r="C248" s="14" t="inlineStr">
        <is>
          <t>-</t>
        </is>
      </c>
      <c r="D248" s="68">
        <f>spg_dur_opt/(spg_int_opt*60)</f>
        <v/>
      </c>
      <c r="E248" s="29" t="inlineStr">
        <is>
          <t>Achieved duty at the optimum (= duty_opt unless the flush-frequency cap binds, raising it).</t>
        </is>
      </c>
    </row>
    <row r="249">
      <c r="A249" s="12" t="inlineStr">
        <is>
          <t xml:space="preserve">  binding constraint</t>
        </is>
      </c>
      <c r="B249" s="13" t="inlineStr">
        <is>
          <t>opt_binding</t>
        </is>
      </c>
      <c r="C249" s="14" t="inlineStr">
        <is>
          <t>-</t>
        </is>
      </c>
      <c r="D249" s="68">
        <f>IF(spg_int_opt&lt;spg_dur_opt/(60*duty_opt)-0.0001,"O2-FREQ",IF(duty_O2vent&gt;=duty_carbon,"O2-VENT","CARBON"))</f>
        <v/>
      </c>
      <c r="E249" s="29" t="inlineStr">
        <is>
          <t>Which limit sets the schedule: O2-VENT (O₂ removal), O2-FREQ (flush frequency), or CARBON.</t>
        </is>
      </c>
    </row>
    <row r="250">
      <c r="A250" s="12" t="inlineStr">
        <is>
          <t xml:space="preserve">  OD-window check</t>
        </is>
      </c>
      <c r="B250" s="13" t="inlineStr">
        <is>
          <t>od_ok</t>
        </is>
      </c>
      <c r="C250" s="14" t="inlineStr">
        <is>
          <t>-</t>
        </is>
      </c>
      <c r="D250" s="68">
        <f>IF(spg_int_opt*60-spg_dur_opt&gt;=5,"OK","TIGHT")</f>
        <v/>
      </c>
      <c r="E250" s="29" t="inlineStr">
        <is>
          <t>≥5 s gap between pulses for an OD read. Can't measure OD while sparging.</t>
        </is>
      </c>
    </row>
    <row r="251">
      <c r="A251" s="12" t="inlineStr">
        <is>
          <t>ACCURACY LIMIT — no validated kinetics</t>
        </is>
      </c>
      <c r="B251" s="13" t="inlineStr">
        <is>
          <t>kinetic_caveat</t>
        </is>
      </c>
      <c r="C251" s="14" t="inlineStr">
        <is>
          <t>-</t>
        </is>
      </c>
      <c r="D251" s="68">
        <f>"see note →"</f>
        <v/>
      </c>
      <c r="E251" s="73" t="inlineStr">
        <is>
          <t>Constraint-proxy optimiser, not a fitted growth model — no validated μ(O₂,pH,CO₂) or lag kinetics exist for this system. Gives the lag-minimising direction, not an exact optimum; bounded by etaF, surface kL and the unbuffered-pH simplification. Validate empirically.</t>
        </is>
      </c>
    </row>
    <row r="253">
      <c r="A253" s="9" t="inlineStr">
        <is>
          <t>15.  kLa OVERRIDE / CALIBRATION  (enter a measured surface kLa to replace the §11 estimate)</t>
        </is>
      </c>
    </row>
    <row r="254">
      <c r="A254" s="11" t="inlineStr">
        <is>
          <t>Parameter</t>
        </is>
      </c>
      <c r="B254" s="11" t="inlineStr">
        <is>
          <t>Name</t>
        </is>
      </c>
      <c r="C254" s="11" t="inlineStr">
        <is>
          <t>Unit</t>
        </is>
      </c>
      <c r="D254" s="11" t="inlineStr">
        <is>
          <t>Value</t>
        </is>
      </c>
      <c r="E254" s="11" t="inlineStr">
        <is>
          <t>Source / assumption</t>
        </is>
      </c>
    </row>
    <row r="255">
      <c r="A255" s="12" t="inlineStr">
        <is>
          <t>Measured surface kLa</t>
        </is>
      </c>
      <c r="B255" s="13" t="inlineStr">
        <is>
          <t>kLa_meas</t>
        </is>
      </c>
      <c r="C255" s="14" t="inlineStr">
        <is>
          <t>1/h</t>
        </is>
      </c>
      <c r="D255" s="72" t="n">
        <v>0</v>
      </c>
      <c r="E255" s="73" t="inlineStr">
        <is>
          <t>Measured surface kLa (gassing-out). 0 = use the §11 estimate. kLa = slope of −LN(1−DO/DO_sat) vs time.</t>
        </is>
      </c>
    </row>
    <row r="256">
      <c r="A256" s="12" t="inlineStr">
        <is>
          <t>Surface kLa used downstream</t>
        </is>
      </c>
      <c r="B256" s="13" t="inlineStr">
        <is>
          <t>kLa_surf_used</t>
        </is>
      </c>
      <c r="C256" s="14" t="inlineStr">
        <is>
          <t>1/s</t>
        </is>
      </c>
      <c r="D256" s="68">
        <f>IF(kLa_meas&gt;0,kLa_meas/3600,kLa_surf)</f>
        <v/>
      </c>
      <c r="E256" s="29" t="inlineStr">
        <is>
          <t>What §11 actually uses: the measured value if entered, otherwise the theoretical estimate. Swap estimate→truth here once measured.</t>
        </is>
      </c>
    </row>
  </sheetData>
  <mergeCells count="1">
    <mergeCell ref="A2:E2"/>
  </mergeCells>
  <conditionalFormatting sqref="D82">
    <cfRule type="cellIs" priority="1" operator="equal" dxfId="0">
      <formula>"OK"</formula>
    </cfRule>
    <cfRule type="cellIs" priority="2" operator="equal" dxfId="1">
      <formula>"OUT"</formula>
    </cfRule>
  </conditionalFormatting>
  <conditionalFormatting sqref="D169">
    <cfRule type="cellIs" priority="3" operator="equal" dxfId="0">
      <formula>"OK"</formula>
    </cfRule>
    <cfRule type="cellIs" priority="4" operator="equal" dxfId="1">
      <formula>"RISK"</formula>
    </cfRule>
  </conditionalFormatting>
  <conditionalFormatting sqref="D190">
    <cfRule type="cellIs" priority="5" operator="equal" dxfId="0">
      <formula>"Static"</formula>
    </cfRule>
    <cfRule type="cellIs" priority="6" operator="equal" dxfId="2">
      <formula>"Dynamic"</formula>
    </cfRule>
  </conditionalFormatting>
  <conditionalFormatting sqref="D176">
    <cfRule type="cellIs" priority="7" operator="equal" dxfId="0">
      <formula>"OK"</formula>
    </cfRule>
    <cfRule type="cellIs" priority="8" operator="equal" dxfId="1">
      <formula>"LOW"</formula>
    </cfRule>
  </conditionalFormatting>
  <conditionalFormatting sqref="D232">
    <cfRule type="cellIs" priority="9" operator="equal" dxfId="1">
      <formula>"EXPLOSIVE"</formula>
    </cfRule>
  </conditionalFormatting>
  <conditionalFormatting sqref="D208">
    <cfRule type="colorScale" priority="10">
      <colorScale>
        <cfvo type="num" val="0.5"/>
        <cfvo type="num" val="1"/>
        <cfvo type="num" val="3"/>
        <color rgb="FFF8696B"/>
        <color rgb="FFFFEB84"/>
        <color rgb="FF63BE7B"/>
      </colorScale>
    </cfRule>
  </conditionalFormatting>
  <conditionalFormatting sqref="D204">
    <cfRule type="colorScale" priority="11">
      <colorScale>
        <cfvo type="num" val="0.5"/>
        <cfvo type="num" val="1"/>
        <cfvo type="num" val="3"/>
        <color rgb="FFF8696B"/>
        <color rgb="FFFFEB84"/>
        <color rgb="FF63BE7B"/>
      </colorScale>
    </cfRule>
  </conditionalFormatting>
  <conditionalFormatting sqref="D163">
    <cfRule type="colorScale" priority="12">
      <colorScale>
        <cfvo type="num" val="0.1"/>
        <cfvo type="num" val="1"/>
        <cfvo type="num" val="2"/>
        <color rgb="FFF8696B"/>
        <color rgb="FFFFEB84"/>
        <color rgb="FF63BE7B"/>
      </colorScale>
    </cfRule>
  </conditionalFormatting>
  <conditionalFormatting sqref="D191">
    <cfRule type="colorScale" priority="13">
      <colorScale>
        <cfvo type="num" val="5"/>
        <cfvo type="num" val="15"/>
        <cfvo type="num" val="60"/>
        <color rgb="FFF8696B"/>
        <color rgb="FFFFEB84"/>
        <color rgb="FF63BE7B"/>
      </colorScale>
    </cfRule>
  </conditionalFormatting>
  <conditionalFormatting sqref="D209">
    <cfRule type="colorScale" priority="14">
      <colorScale>
        <cfvo type="num" val="5"/>
        <cfvo type="num" val="15"/>
        <cfvo type="num" val="60"/>
        <color rgb="FFF8696B"/>
        <color rgb="FFFFEB84"/>
        <color rgb="FF63BE7B"/>
      </colorScale>
    </cfRule>
  </conditionalFormatting>
  <conditionalFormatting sqref="D128">
    <cfRule type="colorScale" priority="15">
      <colorScale>
        <cfvo type="num" val="1"/>
        <cfvo type="num" val="5"/>
        <cfvo type="num" val="20"/>
        <color rgb="FFF8696B"/>
        <color rgb="FFFFEB84"/>
        <color rgb="FF63BE7B"/>
      </colorScale>
    </cfRule>
  </conditionalFormatting>
  <conditionalFormatting sqref="D189">
    <cfRule type="colorScale" priority="16">
      <colorScale>
        <cfvo type="num" val="0"/>
        <cfvo type="num" val="2"/>
        <cfvo type="num" val="4"/>
        <color rgb="FF63BE7B"/>
        <color rgb="FFFFEB84"/>
        <color rgb="FFF8696B"/>
      </colorScale>
    </cfRule>
  </conditionalFormatting>
  <conditionalFormatting sqref="D97">
    <cfRule type="colorScale" priority="17">
      <colorScale>
        <cfvo type="num" val="0"/>
        <cfvo type="num" val="1.5e-05"/>
        <cfvo type="num" val="4e-05"/>
        <color rgb="FF63BE7B"/>
        <color rgb="FFFFEB84"/>
        <color rgb="FFF8696B"/>
      </colorScale>
    </cfRule>
  </conditionalFormatting>
  <conditionalFormatting sqref="D250">
    <cfRule type="cellIs" priority="18" operator="equal" dxfId="0">
      <formula>"OK"</formula>
    </cfRule>
    <cfRule type="cellIs" priority="19" operator="equal" dxfId="2">
      <formula>"TIGHT"</formula>
    </cfRule>
  </conditionalFormatting>
  <dataValidations count="4">
    <dataValidation sqref="D16" showDropDown="0" showInputMessage="0" showErrorMessage="1" allowBlank="0" errorTitle="Invalid entry" error="Choose a value from the dropdown list." type="list" errorStyle="stop">
      <formula1>$D$19:$D$20</formula1>
      <formula2>0</formula2>
    </dataValidation>
    <dataValidation sqref="D17" showDropDown="0" showInputMessage="0" showErrorMessage="1" allowBlank="0" errorTitle="Invalid entry" error="Choose a value from the dropdown list." type="list" errorStyle="stop">
      <formula1>$D$21:$D$22</formula1>
      <formula2>0</formula2>
    </dataValidation>
    <dataValidation sqref="D18" showDropDown="0" showInputMessage="0" showErrorMessage="1" allowBlank="0" errorTitle="Invalid entry" error="Choose a value from the dropdown list." type="list" errorStyle="stop">
      <formula1>"0,1,2,3,4,5"</formula1>
      <formula2>0</formula2>
    </dataValidation>
    <dataValidation sqref="D236" showDropDown="0" showInputMessage="0" showErrorMessage="1" allowBlank="0" errorTitle="Invalid entry" error="Choose a value from the dropdown list." type="list" errorStyle="stop">
      <formula1>"Manual,Optimal"</formula1>
    </dataValidation>
  </dataValidations>
  <hyperlinks>
    <hyperlink ref="E18" r:id="rId1"/>
    <hyperlink ref="E26" r:id="rId2"/>
    <hyperlink ref="E27" r:id="rId3"/>
    <hyperlink ref="E28" r:id="rId4"/>
    <hyperlink ref="E29" r:id="rId5"/>
    <hyperlink ref="E30" r:id="rId6"/>
    <hyperlink ref="E31" r:id="rId7"/>
    <hyperlink ref="E32" r:id="rId8"/>
    <hyperlink ref="E33" r:id="rId9"/>
    <hyperlink ref="E73" r:id="rId10"/>
    <hyperlink ref="E74" r:id="rId11"/>
    <hyperlink ref="E75" r:id="rId12"/>
    <hyperlink ref="E76" r:id="rId13"/>
    <hyperlink ref="E77" r:id="rId14"/>
    <hyperlink ref="E80" r:id="rId15"/>
    <hyperlink ref="E81" r:id="rId16"/>
    <hyperlink ref="E82" r:id="rId17"/>
    <hyperlink ref="E89" r:id="rId18"/>
    <hyperlink ref="E90" r:id="rId19"/>
    <hyperlink ref="E102" r:id="rId20"/>
    <hyperlink ref="E103" r:id="rId21"/>
    <hyperlink ref="E106" r:id="rId22"/>
    <hyperlink ref="E107" display="C. necator membrane-bound [NiFe]-hydrogenase tolerates O₂, so the enzyme is not the binding constraint." r:id="rId23"/>
    <hyperlink ref="E118" r:id="rId24"/>
    <hyperlink ref="E119" r:id="rId25"/>
    <hyperlink ref="E130" r:id="rId26"/>
    <hyperlink ref="E131" r:id="rId27"/>
    <hyperlink ref="E132" r:id="rId28"/>
    <hyperlink ref="E134" r:id="rId29"/>
    <hyperlink ref="E135" r:id="rId30"/>
    <hyperlink ref="E136" r:id="rId31"/>
    <hyperlink ref="E137" r:id="rId32"/>
    <hyperlink ref="E138" r:id="rId33"/>
    <hyperlink ref="E139" r:id="rId34"/>
  </hyperlinks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2026-06-05T08:40:06Z</dcterms:created>
  <dcterms:modified xsi:type="dcterms:W3CDTF">2026-06-17T13:16:59Z</dcterms:modified>
  <cp:lastModifiedBy>Martin Currie</cp:lastModifiedBy>
  <cp:revision>0</cp:revision>
</cp:coreProperties>
</file>