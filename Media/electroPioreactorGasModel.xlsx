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P_HOCl" localSheetId="3">Chemistry!$D$134</definedName>
    <definedName name="NH3_N" localSheetId="3">Chemistry!$D$135</definedName>
    <definedName name="k1_NH2Cl" localSheetId="3">Chemistry!$D$136</definedName>
    <definedName name="pKa_NH4" localSheetId="3">Chemistry!$D$137</definedName>
    <definedName name="NH3_free" localSheetId="3">Chemistry!$D$138</definedName>
    <definedName name="HOCl_ss" localSheetId="3">Chemistry!$D$139</definedName>
    <definedName name="HOCl_ss_mgL" localSheetId="3">Chemistry!$D$140</definedName>
    <definedName name="f_local" localSheetId="3">Chemistry!$D$141</definedName>
    <definedName name="tau_NH2Cl" localSheetId="3">Chemistry!$D$142</definedName>
    <definedName name="NH2Cl_mgL" localSheetId="3">Chemistry!$D$143</definedName>
    <definedName name="R_chloramine" localSheetId="3">Chemistry!$D$144</definedName>
    <definedName name="C_eff" localSheetId="3">Chemistry!$D$145</definedName>
    <definedName name="Cl_onset" localSheetId="3">Chemistry!$D$146</definedName>
    <definedName name="Cl_kill" localSheetId="3">Chemistry!$D$147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<sst xmlns="http://schemas.openxmlformats.org/spreadsheetml/2006/main" count="1607" uniqueCount="1238">
  <si>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</si>
  <si>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</si>
  <si>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</si>
  <si>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</si>
  <si>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</si>
  <si>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</si>
  <si>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</si>
  <si>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</si>
  <si>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</si>
  <si>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</si>
  <si>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</si>
  <si>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</si>
  <si>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</si>
  <si>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</si>
  <si>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</si>
  <si>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</si>
  <si>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</si>
  <si>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</si>
  <si>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</si>
  <si>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</si>
  <si>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</si>
  <si>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</si>
  <si>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</si>
  <si>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</si>
  <si>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</si>
  <si>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</si>
  <si>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</si>
  <si>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</si>
  <si>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</si>
  <si>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</si>
  <si>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</si>
  <si>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</si>
  <si>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</si>
  <si>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</si>
  <si>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</si>
  <si>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</si>
  <si>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</si>
  <si>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</si>
  <si>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</si>
  <si>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</si>
  <si>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</si>
  <si>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</si>
  <si>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</si>
  <si>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</si>
  <si>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</si>
  <si>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</si>
  <si>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</si>
  <si>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</si>
  <si>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</si>
  <si>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</si>
  <si>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</si>
  <si>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</si>
  <si>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</si>
  <si>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</si>
  <si>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</si>
  <si>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</si>
  <si>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</si>
  <si>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</si>
  <si>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</si>
  <si>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</si>
  <si>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</si>
  <si>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</si>
  <si>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</si>
  <si>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</si>
  <si>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</si>
  <si>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</si>
  <si>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</si>
  <si>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</si>
  <si>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</si>
  <si>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</si>
  <si>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</si>
  <si>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</si>
  <si>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</si>
  <si>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</si>
  <si>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</si>
  <si>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</si>
  <si>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</si>
  <si>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</si>
  <si>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</si>
  <si>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</si>
  <si>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</si>
  <si>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</si>
  <si>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</si>
  <si>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</si>
  <si>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</si>
  <si>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</si>
  <si>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</si>
  <si>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</si>
  <si>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</si>
  <si>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</si>
  <si>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</si>
  <si>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</si>
  <si>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</si>
  <si>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</si>
  <si>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</si>
  <si>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</si>
  <si>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</si>
  <si>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</si>
  <si>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</si>
  <si>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</si>
  <si>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</si>
  <si>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</si>
  <si>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</si>
  <si>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</si>
  <si>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</si>
  <si>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</si>
  <si>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</si>
  <si>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</si>
  <si>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</si>
  <si>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</si>
  <si>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</si>
  <si>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</si>
  <si>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</si>
  <si>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</si>
  <si>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</si>
  <si>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</si>
  <si>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</si>
  <si>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</si>
  <si>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</si>
  <si>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</si>
  <si>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</si>
  <si>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</si>
  <si>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</si>
  <si>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</si>
  <si>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</si>
  <si>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</si>
  <si>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</si>
  <si>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</si>
  <si>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</si>
  <si>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</si>
  <si>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</si>
  <si>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</si>
  <si>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</si>
  <si>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</si>
  <si>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</si>
  <si>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</si>
  <si>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</si>
  <si>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</si>
  <si>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</si>
  <si>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</si>
  <si>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</si>
  <si>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</si>
  <si>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</si>
  <si>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</si>
  <si>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</si>
  <si>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</si>
  <si>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</si>
  <si>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</si>
  <si>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</si>
  <si>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</si>
  <si>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</si>
  <si>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</si>
  <si>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</si>
  <si>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</si>
  <si>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</si>
  <si>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</si>
  <si>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</si>
  <si>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</si>
  <si>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</si>
  <si>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</si>
  <si>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</si>
  <si>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</si>
  <si>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</si>
  <si>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</si>
  <si>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</si>
  <si>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</si>
  <si>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</si>
  <si>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</si>
  <si>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</si>
  <si>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</si>
  <si>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</si>
  <si>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</si>
  <si>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</si>
  <si>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</si>
  <si>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</si>
  <si>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</si>
  <si>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</si>
  <si>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</si>
  <si>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</si>
  <si>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</si>
  <si>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</si>
  <si>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</si>
  <si>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</si>
  <si>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</si>
  <si>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</si>
  <si>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</si>
  <si>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</si>
  <si>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</si>
  <si>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</si>
  <si>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</si>
  <si>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</si>
  <si>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</si>
  <si>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</si>
  <si>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</si>
  <si>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</si>
  <si>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</si>
  <si>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</si>
  <si>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</si>
  <si>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</si>
  <si>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</si>
  <si>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</si>
  <si>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</si>
  <si>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</si>
  <si>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</si>
  <si>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</si>
  <si>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</si>
  <si>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</si>
  <si>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</si>
  <si>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</si>
  <si>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</si>
  <si>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</si>
  <si>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</si>
  <si>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</si>
  <si>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</si>
  <si>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</si>
  <si>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</si>
  <si>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</si>
  <si>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</si>
  <si>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</si>
  <si>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</si>
  <si>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</si>
  <si>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</si>
  <si>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</si>
  <si>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</si>
  <si>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</si>
  <si>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</si>
  <si>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</si>
  <si>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</si>
  <si>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</si>
  <si>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</si>
  <si>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</si>
  <si>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</si>
  <si>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</si>
  <si>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</si>
  <si>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</si>
  <si>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</si>
  <si>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</si>
  <si>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</si>
  <si>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</si>
  <si>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</si>
  <si>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</si>
  <si>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</si>
  <si>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</si>
  <si>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</si>
  <si>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</si>
  <si>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</si>
  <si>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</si>
  <si>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</si>
  <si>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</si>
  <si>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</si>
  <si>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</si>
  <si>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</si>
  <si>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</si>
  <si>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</si>
  <si>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</si>
  <si>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</si>
  <si>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</si>
  <si>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</si>
  <si>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</si>
  <si>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</si>
  <si>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</si>
  <si>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</si>
  <si>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</si>
  <si>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</si>
  <si>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</si>
  <si>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</si>
  <si>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</si>
  <si>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</si>
  <si>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</si>
  <si>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</si>
  <si>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</si>
  <si>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</si>
  <si>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</si>
  <si>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</si>
  <si>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</si>
  <si>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</si>
  <si>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</si>
  <si>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</si>
  <si>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</si>
  <si>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</si>
  <si>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</si>
  <si>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</si>
  <si>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</si>
  <si>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</si>
  <si>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</si>
  <si>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</si>
  <si>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</si>
  <si>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</si>
  <si>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</si>
  <si>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</si>
  <si>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</si>
  <si>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</si>
  <si>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</si>
  <si>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</si>
  <si>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</si>
  <si>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</si>
  <si>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</si>
  <si>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</si>
  <si>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</si>
  <si>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</si>
  <si>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</si>
  <si>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</si>
  <si>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</si>
  <si>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</si>
  <si>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</si>
  <si>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</si>
  <si>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</si>
  <si>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</si>
  <si>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</si>
  <si>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</si>
  <si>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</si>
  <si>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</si>
  <si>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</si>
  <si>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</si>
  <si>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</si>
  <si>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</si>
  <si>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</si>
  <si>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</si>
  <si>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</si>
  <si>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</si>
  <si>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</si>
  <si>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</si>
  <si>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</si>
  <si>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</si>
  <si>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</si>
  <si>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</si>
  <si>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</si>
  <si>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</si>
  <si>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</si>
  <si>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</si>
  <si>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</si>
  <si>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</si>
  <si>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</si>
  <si>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</si>
  <si>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</si>
  <si>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</si>
  <si>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</si>
  <si>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</si>
  <si>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</si>
  <si>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</si>
  <si>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</si>
  <si>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</si>
  <si>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</si>
  <si>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</si>
  <si>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</si>
  <si>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</si>
  <si>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</si>
  <si>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</si>
  <si>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</si>
  <si>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</si>
  <si>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</si>
  <si>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</si>
  <si>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</si>
  <si>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</si>
  <si>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</si>
  <si>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</si>
  <si>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</si>
  <si>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</si>
  <si>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</si>
  <si>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</si>
  <si>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</si>
  <si>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</si>
  <si>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</si>
  <si>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</si>
  <si>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</si>
  <si>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</si>
  <si>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</si>
  <si>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</si>
  <si>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</si>
  <si>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</si>
  <si>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</si>
  <si>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</si>
  <si>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</si>
  <si>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</si>
  <si>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</si>
  <si>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</si>
  <si>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</si>
  <si>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</si>
  <si>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</si>
  <si>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</si>
  <si>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</si>
  <si>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</si>
  <si>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</si>
  <si>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</si>
  <si>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</si>
  <si>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</si>
  <si>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</si>
  <si>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</si>
  <si>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</si>
  <si>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</si>
  <si>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</si>
  <si>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</si>
  <si>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</si>
  <si>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</si>
  <si>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</si>
  <si>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</si>
  <si>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</si>
  <si>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</si>
  <si>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</si>
  <si>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</si>
  <si>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</si>
  <si>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</si>
  <si>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</si>
  <si>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</si>
  <si>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</si>
  <si>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</si>
  <si>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</si>
  <si>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</si>
  <si>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</si>
  <si>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</si>
  <si>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</si>
  <si>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</si>
  <si>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</si>
  <si>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</si>
  <si>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</si>
  <si>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</si>
  <si>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</si>
  <si>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</si>
  <si>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</si>
  <si>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</si>
  <si>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</si>
  <si>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</si>
  <si>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</si>
  <si>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</si>
  <si>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</si>
  <si>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</si>
  <si>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</si>
  <si>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</si>
  <si>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</si>
  <si>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</si>
  <si>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</si>
  <si>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</si>
  <si>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</si>
  <si>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</si>
  <si>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</si>
  <si>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</si>
  <si>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</si>
  <si>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</si>
  <si>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</si>
  <si>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</si>
  <si>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</si>
  <si>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</si>
  <si>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</si>
  <si>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</si>
  <si>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</si>
  <si>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</si>
  <si>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</si>
  <si>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</si>
  <si>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</si>
  <si>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</si>
  <si>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</si>
  <si>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</si>
  <si>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</si>
  <si>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</si>
  <si>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</si>
  <si>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</si>
  <si>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</si>
  <si>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</si>
  <si>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</si>
  <si>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</si>
  <si>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</si>
  <si>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</si>
  <si>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</si>
  <si>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</si>
  <si>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</si>
  <si>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</si>
  <si>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</si>
  <si>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</si>
  <si>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</si>
  <si>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</si>
  <si>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</si>
  <si>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</si>
  <si>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</si>
  <si>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</si>
  <si>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</si>
  <si>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</si>
  <si>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</si>
  <si>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</si>
  <si>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</si>
  <si>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</si>
  <si>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</si>
  <si>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</si>
  <si>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</si>
  <si>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</si>
  <si>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</si>
  <si>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</si>
  <si>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</si>
  <si>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</si>
  <si>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</si>
  <si>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</si>
  <si>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</si>
  <si>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</si>
  <si>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</si>
  <si>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</si>
  <si>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</si>
  <si>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</si>
  <si>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</si>
  <si>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</si>
  <si>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</si>
  <si>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</si>
  <si>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</si>
  <si>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</si>
  <si>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</si>
  <si>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</si>
  <si>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</si>
  <si>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</si>
  <si>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</si>
  <si>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</si>
  <si>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</si>
  <si>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</si>
  <si>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</si>
  <si>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</si>
  <si>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</si>
  <si>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</si>
  <si>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</si>
  <si>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</si>
  <si>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</si>
  <si>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</si>
  <si>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</si>
  <si>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</si>
  <si>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</si>
  <si>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</si>
  <si>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</si>
  <si>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</si>
  <si>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</si>
  <si>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</si>
  <si>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</si>
  <si>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</si>
  <si>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</si>
  <si>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</si>
  <si>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</si>
  <si>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</si>
  <si>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</si>
  <si>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</si>
  <si>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</si>
  <si>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</si>
  <si>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</si>
  <si>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</si>
  <si>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</si>
  <si>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</si>
  <si>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</si>
  <si>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</si>
  <si>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</si>
  <si>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</si>
  <si>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</si>
  <si>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</si>
  <si>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</si>
  <si>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</si>
  <si>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</si>
  <si>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</si>
  <si>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</si>
  <si>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</si>
  <si>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</si>
  <si>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</si>
  <si>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</si>
  <si>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</si>
  <si>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</si>
  <si>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</si>
  <si>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</si>
  <si>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</si>
  <si>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</si>
  <si>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</si>
  <si>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</si>
  <si>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</si>
  <si>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</si>
  <si>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</si>
  <si>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</si>
  <si>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</si>
  <si>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</si>
  <si>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</si>
  <si>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</si>
  <si>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</si>
  <si>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</si>
  <si>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</si>
  <si>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</si>
  <si>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</si>
  <si>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</si>
  <si>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</si>
  <si>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</si>
  <si>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</si>
  <si>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</si>
  <si>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</si>
  <si>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</si>
  <si>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</si>
  <si>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</si>
  <si>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</si>
  <si>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</si>
  <si>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</si>
  <si>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</si>
  <si>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</si>
  <si>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</si>
  <si>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</si>
  <si>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</si>
  <si>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</si>
  <si>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</si>
  <si>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</si>
  <si>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</si>
  <si>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</si>
  <si>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</si>
  <si>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</si>
  <si>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</si>
  <si>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</si>
  <si>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</si>
  <si>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</si>
  <si>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</si>
  <si>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</si>
  <si>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</si>
  <si>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</si>
  <si>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</si>
  <si>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</si>
  <si>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</si>
  <si>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</si>
  <si>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</si>
  <si>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</si>
  <si>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</si>
  <si>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</si>
  <si>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</si>
  <si>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</si>
  <si>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</si>
  <si>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</si>
  <si>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</si>
  <si>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</si>
  <si>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</si>
  <si>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</si>
  <si>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</si>
  <si>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</si>
  <si>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</si>
  <si>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</si>
  <si>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</si>
  <si>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</si>
  <si>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</si>
  <si>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</si>
  <si>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</si>
  <si>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</si>
  <si>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</si>
  <si>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</si>
  <si>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</si>
  <si>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</si>
  <si>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</si>
  <si>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</si>
  <si>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</si>
  <si>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</si>
  <si>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</si>
  <si>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</si>
  <si>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</si>
  <si>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</si>
  <si>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</si>
  <si>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</si>
  <si>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</si>
  <si>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</si>
  <si>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</si>
  <si>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</si>
  <si>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</si>
  <si>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</si>
  <si>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</si>
  <si>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</si>
  <si>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</si>
  <si>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</si>
  <si>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</si>
  <si>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</si>
  <si>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</si>
  <si>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</si>
  <si>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</si>
  <si>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</si>
  <si>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</si>
  <si>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</si>
  <si>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</si>
  <si>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</si>
  <si>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</si>
  <si>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</si>
  <si>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</si>
  <si>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</si>
  <si>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</si>
  <si>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</si>
  <si>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</si>
  <si>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</si>
  <si>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</si>
  <si>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</si>
  <si>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</si>
  <si>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</si>
  <si>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</si>
  <si>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</si>
  <si>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</si>
  <si>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</si>
  <si>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</si>
  <si>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</si>
  <si>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</si>
  <si>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</si>
  <si>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</si>
  <si>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</si>
  <si>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</si>
  <si>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</si>
  <si>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</si>
  <si>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</si>
  <si>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</si>
  <si>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</si>
  <si>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</si>
  <si>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</si>
  <si>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</si>
  <si>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</si>
  <si>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</si>
  <si>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</si>
  <si>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</si>
  <si>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</si>
  <si>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</si>
  <si>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</si>
  <si>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</si>
  <si>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</si>
  <si>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</si>
  <si>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</si>
  <si>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</si>
  <si>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</si>
  <si>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</si>
  <si>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</si>
  <si>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</si>
  <si>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</si>
  <si>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</si>
  <si>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</si>
  <si>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</si>
  <si>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</si>
  <si>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</si>
  <si>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</si>
  <si>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</si>
  <si>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</si>
  <si>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</si>
  <si>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</si>
  <si>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</si>
  <si>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</si>
  <si>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</si>
  <si>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</si>
  <si>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</si>
  <si>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</si>
  <si>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</si>
  <si>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</si>
  <si>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</si>
  <si>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</si>
  <si>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</si>
  <si>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</si>
  <si>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</si>
  <si>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</si>
  <si>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</si>
  <si>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</si>
  <si>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</si>
  <si>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</si>
  <si>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</si>
  <si>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</si>
  <si>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</si>
  <si>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</si>
  <si>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</si>
  <si>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</si>
  <si>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</si>
  <si>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</si>
  <si>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</si>
  <si>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</si>
  <si>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</si>
  <si>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</si>
  <si>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</si>
  <si>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</si>
  <si>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</si>
  <si>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</si>
  <si>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</si>
  <si>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</si>
  <si>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</si>
  <si>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</si>
  <si>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</si>
  <si>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</si>
  <si>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</si>
  <si>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</si>
  <si>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</si>
  <si>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</si>
  <si>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</si>
  <si>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</si>
  <si>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</si>
  <si>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</si>
  <si>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</si>
  <si>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</si>
  <si>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</si>
  <si>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</si>
  <si>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</si>
  <si>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</si>
  <si>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</si>
  <si>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</si>
  <si>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</si>
  <si>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</si>
  <si>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</si>
  <si>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</si>
  <si>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</si>
  <si>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</si>
  <si>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</si>
  <si>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</si>
  <si>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</si>
  <si>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</si>
  <si>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</si>
  <si>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</si>
  <si>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</si>
  <si>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</si>
  <si>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</si>
  <si>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</si>
  <si>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</si>
  <si>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</si>
  <si>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</si>
  <si>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</si>
  <si>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</si>
  <si>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</si>
  <si>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</si>
  <si>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</si>
  <si>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</si>
  <si>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</si>
  <si>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</si>
  <si>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</si>
  <si>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</si>
  <si>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</si>
  <si>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</si>
  <si>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</si>
  <si>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</si>
  <si>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</si>
  <si>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</si>
  <si>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</si>
  <si>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</si>
  <si>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</si>
  <si>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</si>
  <si>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</si>
  <si>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</si>
  <si>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</si>
  <si>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</si>
  <si>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</si>
  <si>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</si>
  <si>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</si>
  <si>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</si>
  <si>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</si>
  <si>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</si>
  <si>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</si>
  <si>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</si>
  <si>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</si>
  <si>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</si>
  <si>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</si>
  <si>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</si>
  <si>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</si>
  <si>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</si>
  <si>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</si>
  <si>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</si>
  <si>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</si>
  <si>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</si>
  <si>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</si>
  <si>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</si>
  <si>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</si>
  <si>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</si>
  <si>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</si>
  <si>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</si>
  <si>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</si>
  <si>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</si>
  <si>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</si>
  <si>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</si>
  <si>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</si>
  <si>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</si>
  <si>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</si>
  <si>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</si>
  <si>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</si>
  <si>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</si>
  <si>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</si>
  <si>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</si>
  <si>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</si>
  <si>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</si>
  <si>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</si>
  <si>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</si>
  <si>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</si>
  <si>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</si>
  <si>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</si>
  <si>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</si>
  <si>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</si>
  <si>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</si>
  <si>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</si>
  <si>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</si>
  <si>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</si>
  <si>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</si>
  <si>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</si>
  <si>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</si>
  <si>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</si>
  <si>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</si>
  <si>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</si>
  <si>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</si>
  <si>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</si>
  <si>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</si>
  <si>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</si>
  <si>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</si>
  <si>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</si>
  <si>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</si>
  <si>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</si>
  <si>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</si>
  <si>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</si>
  <si>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</si>
  <si>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</si>
  <si>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</si>
  <si>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</si>
  <si>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</si>
  <si>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</si>
  <si>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</si>
  <si>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</si>
  <si>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</si>
  <si>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</si>
  <si>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</si>
  <si>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</si>
  <si>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</si>
  <si>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</si>
  <si>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</si>
  <si>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</si>
  <si>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</si>
  <si>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</si>
  <si>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</si>
  <si>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</si>
  <si>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</si>
  <si>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</si>
  <si>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</si>
  <si>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</si>
  <si>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</si>
  <si>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</si>
  <si>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</si>
  <si>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</si>
  <si>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</si>
  <si>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</si>
  <si>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</si>
  <si>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</si>
  <si>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</si>
  <si>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</si>
  <si>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</si>
  <si>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</si>
  <si>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</si>
  <si>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</si>
  <si>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</si>
  <si>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</si>
  <si>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</si>
  <si>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</si>
  <si>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</si>
  <si>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</si>
  <si>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</si>
  <si>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</si>
  <si>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</si>
  <si>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</si>
  <si>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</si>
  <si>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</si>
  <si>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</si>
  <si>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</si>
  <si>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</si>
  <si>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</si>
  <si>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</si>
  <si>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</si>
  <si>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</si>
  <si>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</si>
  <si>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</si>
  <si>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</si>
  <si>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</si>
  <si>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</si>
  <si>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</si>
  <si>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</si>
  <si>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</si>
  <si>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</si>
  <si>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</si>
  <si>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</si>
  <si>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</si>
  <si>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</si>
  <si>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</si>
  <si>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</si>
  <si>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</si>
  <si>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</si>
  <si>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</si>
  <si>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</si>
  <si>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</si>
  <si>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</si>
  <si>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</si>
  <si>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</si>
  <si>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</si>
  <si>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</si>
  <si>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</si>
  <si>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</si>
  <si>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</si>
  <si>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</si>
  <si>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</si>
  <si>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</si>
  <si>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</si>
  <si>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</si>
  <si>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</si>
  <si>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</si>
  <si>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</si>
  <si>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</si>
  <si>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</si>
  <si>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</si>
  <si>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</si>
  <si>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</si>
  <si>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</si>
  <si>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</si>
  <si>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</si>
  <si>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</si>
  <si>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</si>
  <si>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</si>
  <si>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</si>
  <si>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</si>
  <si>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</si>
  <si>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</si>
  <si>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</si>
  <si>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</si>
  <si>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</si>
  <si>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</si>
  <si>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</si>
  <si>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</si>
  <si>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</si>
  <si>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</si>
  <si>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</si>
  <si>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</si>
  <si>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</si>
  <si>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</si>
  <si>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</si>
  <si>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</si>
  <si>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</si>
  <si>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</si>
  <si>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</si>
  <si>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</si>
  <si>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</si>
  <si>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</si>
  <si>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</si>
  <si>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</si>
  <si>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</si>
  <si>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</si>
  <si>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</si>
  <si>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</si>
  <si>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</si>
  <si>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</si>
  <si>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</si>
  <si>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</si>
  <si>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</si>
  <si>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</si>
  <si>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</si>
  <si>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</si>
  <si>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</si>
  <si>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</si>
  <si>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</si>
  <si>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</si>
  <si>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</si>
  <si>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</si>
  <si>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</si>
  <si>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</si>
  <si>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</si>
  <si>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</si>
  <si>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</si>
  <si>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</si>
  <si>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</si>
  <si>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</si>
  <si>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</si>
  <si>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</si>
  <si>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</si>
  <si>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</si>
  <si>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</si>
  <si>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</si>
  <si>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</si>
  <si>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</si>
  <si>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</si>
  <si>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</si>
  <si>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</si>
  <si>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</si>
  <si>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</si>
  <si>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</si>
  <si>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</si>
  <si>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</si>
  <si>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</si>
  <si>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</si>
  <si>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</si>
  <si>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</si>
  <si>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</si>
  <si>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</si>
  <si>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</si>
  <si>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</si>
  <si>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</si>
  <si>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</si>
  <si>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</si>
  <si>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</si>
  <si>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</si>
  <si>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</si>
  <si>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</si>
  <si>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</si>
  <si>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</si>
  <si>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</si>
  <si>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</si>
  <si>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</si>
  <si>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</si>
  <si>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</si>
  <si>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</si>
  <si>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</si>
  <si>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</si>
  <si>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</si>
  <si>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</si>
  <si>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</si>
  <si>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</si>
  <si>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</si>
  <si>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</si>
  <si>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</si>
  <si>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</si>
  <si>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</si>
  <si>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</si>
  <si>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</si>
  <si>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</si>
  <si>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</si>
  <si>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</si>
  <si>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</si>
  <si>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</si>
  <si>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</si>
  <si>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</si>
  <si>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</si>
  <si>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</si>
  <si>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</si>
  <si>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</si>
  <si>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</si>
  <si>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</si>
  <si>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</si>
  <si>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</si>
  <si>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</si>
  <si>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</si>
  <si>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</si>
  <si>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</si>
  <si>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</si>
  <si>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</si>
  <si>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</si>
  <si>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</si>
  <si>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</si>
  <si>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</si>
  <si>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</si>
  <si>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</si>
  <si>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</si>
  <si>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</si>
  <si>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</si>
  <si>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</si>
  <si>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</si>
  <si>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</si>
  <si>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</si>
  <si>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</si>
  <si>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</si>
  <si>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</si>
  <si>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</si>
  <si>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</si>
  <si>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</si>
  <si>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</si>
  <si>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</si>
  <si>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</si>
  <si>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</si>
  <si>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</si>
  <si>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</si>
  <si>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</si>
  <si>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</si>
  <si>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</si>
  <si>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</si>
  <si>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</si>
  <si>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</si>
  <si>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</si>
  <si>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</si>
  <si>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</si>
  <si>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</si>
  <si>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</si>
  <si>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</si>
  <si>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</si>
  <si>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</si>
  <si>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</si>
  <si>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</si>
  <si>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</si>
  <si>
    <t xml:space="preserve">FREE-CHLORINE PENALTY MODEL (graded, kinetic — operative; supersedes the naïve FE=1 ceiling above)</t>
  </si>
  <si>
    <t xml:space="preserve">Max active-Cl evolution efficiency (high-Cl plateau)</t>
  </si>
  <si>
    <t xml:space="preserve">FE_CER</t>
  </si>
  <si>
    <t xml:space="preserve">-</t>
  </si>
  <si>
    <t xml:space="preserve"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</si>
  <si>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</si>
  <si>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</si>
  <si>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</si>
  <si>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</si>
  <si>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</si>
  <si>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</si>
  <si>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</si>
  <si>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 6 mm dia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</si>
  <si>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</si>
  <si>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</si>
  <si>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</si>
  <si>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plateau efficiency.</t>
  </si>
  <si>
    <t xml:space="preserve">Cl₂ current — chloride mass-transport limit</t>
  </si>
  <si>
    <t xml:space="preserve">I_Cl_mt</t>
  </si>
  <si>
    <t xml:space="preserve">i_lim = n·F·k_m·[Cl⁻]·A; n=1; [Cl⁻] mol/cm³ = pH_Cl/1000. Caps chlorine at the chloride flux — binds at trace Cl⁻ (~0.26 mA for UdG), so production scales with chloride.</t>
  </si>
  <si>
    <t xml:space="preserve">Realistic chlorine current (binding limit)</t>
  </si>
  <si>
    <t xml:space="preserve">I_Cl</t>
  </si>
  <si>
    <t xml:space="preserve">Smaller of efficiency- and mass-transport-limited.</t>
  </si>
  <si>
    <t xml:space="preserve">Volumetric free-chlorine production</t>
  </si>
  <si>
    <t xml:space="preserve">P_HOCl</t>
  </si>
  <si>
    <t xml:space="preserve">mol/L/s</t>
  </si>
  <si>
    <t xml:space="preserve">P_HOCl = I_Cl/(2·F·V). 2 e⁻ per Cl₂→HOCl.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</si>
  <si>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</si>
  <si>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</si>
  <si>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</si>
  <si>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</si>
  <si>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Monochloramine formation rate constant</t>
  </si>
  <si>
    <t xml:space="preserve">k1_NH2Cl</t>
  </si>
  <si>
    <t xml:space="preserve">M⁻¹s⁻¹</t>
  </si>
  <si>
    <t xml:space="preserve">HOCl + NH₃ → NH₂Cl, k₁ = 4.2e6 M⁻¹s⁻¹ (Morris &amp; Isaac 1983; Jafvert &amp; Valentine 1992, ES&amp;T 26:577, DOI 10.1021/es00027a022). Fast but NOT instantaneous.</t>
  </si>
  <si>
    <t xml:space="preserve">Ammonium pKa (NH₄⁺/NH₃)</t>
  </si>
  <si>
    <t xml:space="preserve">pKa_NH4</t>
  </si>
  <si>
    <t xml:space="preserve">Only free NH₃ reacts with HOCl; at pH 7 just ~0.6% of the ammonium pool is free NH₃ — so the sink is finite and a steady residual coexists.</t>
  </si>
  <si>
    <t xml:space="preserve">Free ammonia</t>
  </si>
  <si>
    <t xml:space="preserve">NH3_free</t>
  </si>
  <si>
    <t xml:space="preserve">mol/L</t>
  </si>
  <si>
    <t xml:space="preserve">NH₃ = NH₄_tot/(1+10^(pKa_NH4−pH)). The reactive fraction that scavenges HOCl.</t>
  </si>
  <si>
    <t xml:space="preserve">Steady bulk free HOCl</t>
  </si>
  <si>
    <t xml:space="preserve">HOCl_ss</t>
  </si>
  <si>
    <t xml:space="preserve">[HOCl]_ss = production/(k₁·NH₃_free). Non-zero by construction; rises with current, falls with ammonium/pH.</t>
  </si>
  <si>
    <t xml:space="preserve">Steady bulk free HOCl (mass)</t>
  </si>
  <si>
    <t xml:space="preserve">HOCl_ss_mgL</t>
  </si>
  <si>
    <t xml:space="preserve">Bulk free chlorine, mg/L. Small for UdG — below the impairment onset, so no bulk sterilisation (UdG runs for days).</t>
  </si>
  <si>
    <t xml:space="preserve">Anode boundary-layer enrichment</t>
  </si>
  <si>
    <t xml:space="preserve">f_local</t>
  </si>
  <si>
    <t xml:space="preserve">Local HOCl at the anode is higher than bulk before it diffuses out and meets ammonia (boundary-layer time ~0.1–10 s ≫ ms bulk scavenging). f_local ≥ 1; sub-mM value unmeasured — SENSITIVITY parameter.</t>
  </si>
  <si>
    <t xml:space="preserve">Monochloramine effective residence</t>
  </si>
  <si>
    <t xml:space="preserve">tau_NH2Cl</t>
  </si>
  <si>
    <t xml:space="preserve">h</t>
  </si>
  <si>
    <t xml:space="preserve">Time combined chlorine persists before consumption (growth N-uptake, cathodic reduction, dilution). Lit: minutes–hours; system-specific value unknown — SENSITIVITY parameter.</t>
  </si>
  <si>
    <t xml:space="preserve">Steady combined chlorine (monochloramine)</t>
  </si>
  <si>
    <t xml:space="preserve">NH2Cl_mgL</t>
  </si>
  <si>
    <t xml:space="preserve">Production held as monochloramine over its residence, capped at the ammonium capacity (5.06 mg Cl₂/mg N). Longer-lived and still biocidal — not harmless.</t>
  </si>
  <si>
    <t xml:space="preserve">Monochloramine potency divisor</t>
  </si>
  <si>
    <t xml:space="preserve">R_chloramine</t>
  </si>
  <si>
    <t xml:space="preserve">Monochloramine is ~18–70× less biocidal than free chlorine (EPA SWTR ~18×, Giardia; IWA 2008 ~70×, E. coli). 25 = conservative (kinder-to-chloramine).</t>
  </si>
  <si>
    <t xml:space="preserve">EFFECTIVE biocidal chlorine load</t>
  </si>
  <si>
    <t xml:space="preserve">C_eff</t>
  </si>
  <si>
    <t xml:space="preserve">OPERATIVE bleaching value: local-weighted free HOCl + combined chlorine ÷ potency. Graded, non-zero; scales with chloride and current. Supersedes the FE=1 ceiling (D125).</t>
  </si>
  <si>
    <t xml:space="preserve">Free-chlorine impairment onset (sub-lethal)</t>
  </si>
  <si>
    <t xml:space="preserve">Cl_onset</t>
  </si>
  <si>
    <t xml:space="preserve">Growth measurably slowed above ~0.1 mg/L free-Cl-equiv (graded, gram-negative proxy; Murray 2017 Ecotox 26:1115; HOCl oxidative-stress onset). Distinct from kill.</t>
  </si>
  <si>
    <t xml:space="preserve">Free-chlorine kill threshold</t>
  </si>
  <si>
    <t xml:space="preserve">Cl_kill</t>
  </si>
  <si>
    <t xml:space="preserve">~1–5 mg/L for tolerant gram-negatives; 2 used. Above C_eff this → biofilm/electrode damage (Baek 2021, CEJ 405:126742).</t>
  </si>
  <si>
    <t xml:space="preserve">Operative flag: effective biocidal chlorine (C_eff, D145) vs the sub-lethal onset (D146) and kill (D147). Graded — MILD for trace-chloride UdG, SEVERE only at high chloride/current.</t>
  </si>
  <si>
    <t xml:space="preserve">Effective biocidal chlorine</t>
  </si>
  <si>
    <t xml:space="preserve">Your setting (blank → recommended)</t>
  </si>
  <si>
    <t xml:space="preserve">Set by the Summary 'Your setting' override (G13/G15) when filled; otherwise this Manual/Optimal selector + the manual cells below apply. Optimal = recommended schedule.</t>
  </si>
  <si>
    <t xml:space="preserve">Your pulse length when sched_mode=Manual. Easiest: type into the Summary 'Your setting' column (G13) instead — it overrides everything.</t>
  </si>
  <si>
    <t xml:space="preserve">Your interval when sched_mode=Manual. Easiest: type into the Summary 'Your setting' column (G15) instead — it overrides everything.</t>
  </si>
  <si>
    <t xml:space="preserve"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</si>
</sst>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1233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7"/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  <c r="G15" s="107"/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  <c r="E34" s="23" t="str">
        <f>HYPERLINK("#Biology!D45","→ Biology")</f>
        <v>→ Biology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  <c r="E35" s="23" t="str">
        <f>HYPERLINK("#Chemistry!D103","→ Chemistry")</f>
        <v>→ Chemistry</v>
      </c>
    </row>
    <row r="36" spans="1:6" ht="16" thickBot="1" x14ac:dyDescent="0.25">
      <c r="A36" s="91" t="s">
        <v>1232</v>
      </c>
      <c r="C36" s="20" t="s">
        <v>104</v>
      </c>
      <c r="D36" s="130">
        <f>Chemistry!$D$145</f>
        <v>0.6821</v>
      </c>
      <c r="F36" s="21" t="s">
        <v>1022</v>
      </c>
      <c r="E36" s="23" t="str">
        <f>HYPERLINK("#Chemistry!D139","→ Chemistry")</f>
        <v>→ Chemistry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2" t="s">
        <v>1231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1161</v>
      </c>
    </row>
    <row r="128">
      <c r="A128" s="17" t="s">
        <v>1162</v>
      </c>
      <c r="B128" s="18" t="s">
        <v>1163</v>
      </c>
      <c r="C128" s="19" t="s">
        <v>1164</v>
      </c>
      <c r="D128" s="53">
        <v>0.5</v>
      </c>
      <c r="E128" s="52" t="s">
        <v>1165</v>
      </c>
    </row>
    <row r="129">
      <c r="A129" s="17" t="s">
        <v>1166</v>
      </c>
      <c r="B129" s="18" t="s">
        <v>1167</v>
      </c>
      <c r="C129" s="19" t="s">
        <v>1168</v>
      </c>
      <c r="D129" s="53">
        <v>0.003</v>
      </c>
      <c r="E129" s="52" t="s">
        <v>1169</v>
      </c>
    </row>
    <row r="130">
      <c r="A130" s="17" t="s">
        <v>1170</v>
      </c>
      <c r="B130" s="18" t="s">
        <v>1171</v>
      </c>
      <c r="C130" s="19" t="s">
        <v>1172</v>
      </c>
      <c r="D130" s="53">
        <v>5</v>
      </c>
      <c r="E130" s="52" t="s">
        <v>1173</v>
      </c>
    </row>
    <row r="131">
      <c r="A131" s="17" t="s">
        <v>1174</v>
      </c>
      <c r="B131" s="18" t="s">
        <v>1175</v>
      </c>
      <c r="C131" s="19" t="s">
        <v>1176</v>
      </c>
      <c r="D131" s="63">
        <f>Iappc*FE_CER</f>
        <v>0.002846</v>
      </c>
      <c r="E131" s="52" t="s">
        <v>1177</v>
      </c>
    </row>
    <row r="132">
      <c r="A132" s="17" t="s">
        <v>1178</v>
      </c>
      <c r="B132" s="18" t="s">
        <v>1179</v>
      </c>
      <c r="C132" s="19" t="s">
        <v>1176</v>
      </c>
      <c r="D132" s="63">
        <f>Fcc*km_Cl*(pH_Cl/1000)*A_anode</f>
        <v>0.0002608</v>
      </c>
      <c r="E132" s="52" t="s">
        <v>1180</v>
      </c>
    </row>
    <row r="133">
      <c r="A133" s="17" t="s">
        <v>1181</v>
      </c>
      <c r="B133" s="18" t="s">
        <v>1182</v>
      </c>
      <c r="C133" s="19" t="s">
        <v>1176</v>
      </c>
      <c r="D133" s="63">
        <f>MIN(I_Cl_FE,I_Cl_mt)</f>
        <v>0.0002608</v>
      </c>
      <c r="E133" s="52" t="s">
        <v>1183</v>
      </c>
    </row>
    <row r="134">
      <c r="A134" s="17" t="s">
        <v>1184</v>
      </c>
      <c r="B134" s="18" t="s">
        <v>1185</v>
      </c>
      <c r="C134" s="19" t="s">
        <v>1186</v>
      </c>
      <c r="D134" s="63">
        <f>I_Cl/(2*Fcc*VLc)</f>
        <v>9.011e-08</v>
      </c>
      <c r="E134" s="52" t="s">
        <v>1187</v>
      </c>
    </row>
    <row r="135">
      <c r="A135" s="17" t="s">
        <v>1188</v>
      </c>
      <c r="B135" s="18" t="s">
        <v>1189</v>
      </c>
      <c r="C135" s="19" t="s">
        <v>1190</v>
      </c>
      <c r="D135" s="63">
        <f>pH_NT*14007</f>
        <v>99.64</v>
      </c>
      <c r="E135" s="52" t="s">
        <v>1191</v>
      </c>
    </row>
    <row r="136">
      <c r="A136" s="17" t="s">
        <v>1192</v>
      </c>
      <c r="B136" s="18" t="s">
        <v>1193</v>
      </c>
      <c r="C136" s="19" t="s">
        <v>1194</v>
      </c>
      <c r="D136" s="53">
        <v>4200000</v>
      </c>
      <c r="E136" s="52" t="s">
        <v>1195</v>
      </c>
    </row>
    <row r="137">
      <c r="A137" s="17" t="s">
        <v>1196</v>
      </c>
      <c r="B137" s="18" t="s">
        <v>1197</v>
      </c>
      <c r="C137" s="19" t="s">
        <v>1164</v>
      </c>
      <c r="D137" s="53">
        <v>9.25</v>
      </c>
      <c r="E137" s="52" t="s">
        <v>1198</v>
      </c>
    </row>
    <row r="138">
      <c r="A138" s="17" t="s">
        <v>1199</v>
      </c>
      <c r="B138" s="18" t="s">
        <v>1200</v>
      </c>
      <c r="C138" s="19" t="s">
        <v>1201</v>
      </c>
      <c r="D138" s="63">
        <f>pH_NT/(1+10^(pKa_NH4-pH_op))</f>
        <v>8.205e-06</v>
      </c>
      <c r="E138" s="52" t="s">
        <v>1202</v>
      </c>
    </row>
    <row r="139">
      <c r="A139" s="17" t="s">
        <v>1203</v>
      </c>
      <c r="B139" s="18" t="s">
        <v>1204</v>
      </c>
      <c r="C139" s="19" t="s">
        <v>1201</v>
      </c>
      <c r="D139" s="63">
        <f>P_HOCl/(k1_NH2Cl*NH3_free)</f>
        <v>2.615e-09</v>
      </c>
      <c r="E139" s="52" t="s">
        <v>1205</v>
      </c>
    </row>
    <row r="140">
      <c r="A140" s="17" t="s">
        <v>1206</v>
      </c>
      <c r="B140" s="18" t="s">
        <v>1207</v>
      </c>
      <c r="C140" s="19" t="s">
        <v>1190</v>
      </c>
      <c r="D140" s="63">
        <f>HOCl_ss*52460</f>
        <v>0.0001372</v>
      </c>
      <c r="E140" s="52" t="s">
        <v>1208</v>
      </c>
    </row>
    <row r="141">
      <c r="A141" s="17" t="s">
        <v>1209</v>
      </c>
      <c r="B141" s="18" t="s">
        <v>1210</v>
      </c>
      <c r="C141" s="19" t="s">
        <v>1164</v>
      </c>
      <c r="D141" s="53">
        <v>10</v>
      </c>
      <c r="E141" s="52" t="s">
        <v>1211</v>
      </c>
    </row>
    <row r="142">
      <c r="A142" s="17" t="s">
        <v>1212</v>
      </c>
      <c r="B142" s="18" t="s">
        <v>1213</v>
      </c>
      <c r="C142" s="19" t="s">
        <v>1214</v>
      </c>
      <c r="D142" s="53">
        <v>1</v>
      </c>
      <c r="E142" s="52" t="s">
        <v>1215</v>
      </c>
    </row>
    <row r="143">
      <c r="A143" s="17" t="s">
        <v>1216</v>
      </c>
      <c r="B143" s="18" t="s">
        <v>1217</v>
      </c>
      <c r="C143" s="19" t="s">
        <v>1190</v>
      </c>
      <c r="D143" s="63">
        <f>MIN(P_HOCl*tau_NH2Cl*3600*52460,5.06*NH3_N)</f>
        <v>17.02</v>
      </c>
      <c r="E143" s="52" t="s">
        <v>1218</v>
      </c>
    </row>
    <row r="144">
      <c r="A144" s="17" t="s">
        <v>1219</v>
      </c>
      <c r="B144" s="18" t="s">
        <v>1220</v>
      </c>
      <c r="C144" s="19" t="s">
        <v>1164</v>
      </c>
      <c r="D144" s="53">
        <v>25</v>
      </c>
      <c r="E144" s="52" t="s">
        <v>1221</v>
      </c>
    </row>
    <row r="145">
      <c r="A145" s="17" t="s">
        <v>1222</v>
      </c>
      <c r="B145" s="18" t="s">
        <v>1223</v>
      </c>
      <c r="C145" s="19" t="s">
        <v>1190</v>
      </c>
      <c r="D145" s="63">
        <f>f_local*pH_fHOCl*HOCl_ss_mgL+NH2Cl_mgL/R_chloramine</f>
        <v>0.6821</v>
      </c>
      <c r="E145" s="52" t="s">
        <v>1224</v>
      </c>
    </row>
    <row r="146">
      <c r="A146" s="17" t="s">
        <v>1225</v>
      </c>
      <c r="B146" s="18" t="s">
        <v>1226</v>
      </c>
      <c r="C146" s="19" t="s">
        <v>1190</v>
      </c>
      <c r="D146" s="53">
        <v>0.1</v>
      </c>
      <c r="E146" s="52" t="s">
        <v>1227</v>
      </c>
    </row>
    <row r="147">
      <c r="A147" s="17" t="s">
        <v>1228</v>
      </c>
      <c r="B147" s="18" t="s">
        <v>1229</v>
      </c>
      <c r="C147" s="19" t="s">
        <v>1190</v>
      </c>
      <c r="D147" s="53">
        <v>2</v>
      </c>
      <c r="E147" s="52" t="s">
        <v>1230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1234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1235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1236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IF(spg_int*60-spg_dur&gt;=5,"OK","TIGHT")</f>
        <v>OK</v>
      </c>
      <c r="E95" s="102" t="s">
        <v>1237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IF(AND(ISNUMBER(Summary!$G$15),Summary!$G$15&gt;0),Summary!$G$15,IF(sched_mode="Manual",spg_int_man,spg_int_opt))</f>
        <v>178.08128884816398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