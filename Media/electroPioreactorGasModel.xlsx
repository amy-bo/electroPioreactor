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activeTab="1"/>
  </bookViews>
  <sheets>
    <sheet name="Contents" sheetId="25" r:id="rId30"/>
    <sheet name="Summary" sheetId="1" r:id="rId1"/>
    <sheet name="Reactors" sheetId="10" r:id="rId15"/>
    <sheet name="Electrodes" sheetId="11" r:id="rId16"/>
    <sheet name="Organisms" sheetId="12" r:id="rId17"/>
    <sheet name="Media" sheetId="9" r:id="rId13"/>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Cal current" sheetId="13" r:id="rId18"/>
    <sheet name="Cal faradaic" sheetId="14" r:id="rId19"/>
    <sheet name="Cal kLa" sheetId="15" r:id="rId20"/>
    <sheet name="Cal CO2 flow" sheetId="16" r:id="rId21"/>
    <sheet name="Cal vial" sheetId="17" r:id="rId22"/>
    <sheet name="Cal sinter" sheetId="18" r:id="rId23"/>
    <sheet name="Cal DO" sheetId="19" r:id="rId24"/>
    <sheet name="Cal knallgas" sheetId="20" r:id="rId25"/>
    <sheet name="Cal j screen" sheetId="21" r:id="rId26"/>
    <sheet name="Cal km" sheetId="22" r:id="rId27"/>
    <sheet name="Cal chloramine" sheetId="23" r:id="rId28"/>
    <sheet name="Experiments" sheetId="24" r:id="rId29"/>
  </sheets>
  <definedNames>
    <definedName name="A_anode" localSheetId="8">Chemistry!$D$130</definedName>
    <definedName name="A_anode_wet" localSheetId="7">Electrochemistry!$D$46</definedName>
    <definedName name="A_cath_wet" localSheetId="7">Electrochemistry!$D$47</definedName>
    <definedName name="A_DH" localSheetId="8">Chemistry!$D$186</definedName>
    <definedName name="a_int" localSheetId="10">'Mass Transfer'!$D$49</definedName>
    <definedName name="a_surf" localSheetId="10">'Mass Transfer'!$D$71</definedName>
    <definedName name="A_x" localSheetId="6">Geometry!$D$21</definedName>
    <definedName name="A_x" localSheetId="10">'Mass Transfer'!$D$17</definedName>
    <definedName name="alk_add_M" localSheetId="8">Chemistry!$D$318</definedName>
    <definedName name="alk_NaHCO3_gL" localSheetId="8">Chemistry!$D$308</definedName>
    <definedName name="alk_needed" localSheetId="8">Chemistry!$D$306</definedName>
    <definedName name="alk_pH_target" localSheetId="8">Chemistry!$D$303</definedName>
    <definedName name="alk_pH_target_c" localSheetId="8">Chemistry!$D$304</definedName>
    <definedName name="alk_resid_t" localSheetId="8">Chemistry!$D$305</definedName>
    <definedName name="anode_dia" localSheetId="7">Electrochemistry!$D$42</definedName>
    <definedName name="anode_j_cont" localSheetId="7">Electrochemistry!$D$50</definedName>
    <definedName name="anode_j_max" localSheetId="7">Electrochemistry!$D$51</definedName>
    <definedName name="anode_material" localSheetId="7">Electrochemistry!$D$63</definedName>
    <definedName name="anode_shape" localSheetId="7">Electrochemistry!$D$41</definedName>
    <definedName name="b_anode" localSheetId="7">Electrochemistry!$D$107</definedName>
    <definedName name="b_cath" localSheetId="7">Electrochemistry!$D$109</definedName>
    <definedName name="beta_nonC" localSheetId="8">Chemistry!$D$295</definedName>
    <definedName name="bio_CO2" localSheetId="9">Biology!$D$12</definedName>
    <definedName name="bio_H2" localSheetId="9">Biology!$D$10</definedName>
    <definedName name="bio_O2" localSheetId="9">Biology!$D$11</definedName>
    <definedName name="bleach_flag" localSheetId="8">Chemistry!$D$109</definedName>
    <definedName name="bleach_rate" localSheetId="8">Chemistry!$D$107</definedName>
    <definedName name="bleach_t1ppm" localSheetId="8">Chemistry!$D$108</definedName>
    <definedName name="bubble_regime" localSheetId="10">'Mass Transfer'!$D$64</definedName>
    <definedName name="buffer_caution_frac" localSheetId="8">Chemistry!$D$238</definedName>
    <definedName name="buffer_flag" localSheetId="8">Chemistry!$D$219</definedName>
    <definedName name="C_air_CO2" localSheetId="10">'Mass Transfer'!$D$146</definedName>
    <definedName name="C_CO2_mf" localSheetId="10">'Mass Transfer'!$D$382</definedName>
    <definedName name="C_cycle_peak" localSheetId="10">'Mass Transfer'!$D$199</definedName>
    <definedName name="C_cycle_start" localSheetId="10">'Mass Transfer'!$D$198</definedName>
    <definedName name="C_cycle_start_b" localSheetId="9">Biology!$D$97</definedName>
    <definedName name="C_eff" localSheetId="8">Chemistry!$D$145</definedName>
    <definedName name="C_eff_Cl2" localSheetId="8">Chemistry!$D$226</definedName>
    <definedName name="C_eff_hi" localSheetId="8">Chemistry!$D$157</definedName>
    <definedName name="C_eff_hi_Cl2" localSheetId="8">Chemistry!$D$260</definedName>
    <definedName name="C_eff_lo" localSheetId="8">Chemistry!$D$156</definedName>
    <definedName name="C_eff_lo_Cl2" localSheetId="8">Chemistry!$D$259</definedName>
    <definedName name="C_H2_sat" localSheetId="9">Biology!$D$41</definedName>
    <definedName name="C_sat_CO2" localSheetId="10">'Mass Transfer'!$D$145</definedName>
    <definedName name="cal_warning" localSheetId="10">'Mass Transfer'!$D$120</definedName>
    <definedName name="carbon_margin_min" localSheetId="10">'Mass Transfer'!$D$85</definedName>
    <definedName name="carry_flag" localSheetId="10">'Mass Transfer'!$D$59</definedName>
    <definedName name="carry_flag_usg" localSheetId="10">'Mass Transfer'!$D$414</definedName>
    <definedName name="carry_n" localSheetId="10">'Mass Transfer'!$D$412</definedName>
    <definedName name="cath_j_cont" localSheetId="7">Electrochemistry!$D$52</definedName>
    <definedName name="cath_j_max" localSheetId="7">Electrochemistry!$D$53</definedName>
    <definedName name="cathode_dia" localSheetId="7">Electrochemistry!$D$44</definedName>
    <definedName name="cathode_shape" localSheetId="7">Electrochemistry!$D$43</definedName>
    <definedName name="cf_Cl_kill" localSheetId="1">Summary!$D$186</definedName>
    <definedName name="cf_Cl_onset" localSheetId="1">Summary!$D$185</definedName>
    <definedName name="cf_pH_hi" localSheetId="1">Summary!$D$183</definedName>
    <definedName name="cf_pH_lo" localSheetId="1">Summary!$D$182</definedName>
    <definedName name="cf_pH_red_hi" localSheetId="1">Summary!$D$184</definedName>
    <definedName name="cf_pH_red_lo" localSheetId="1">Summary!$D$181</definedName>
    <definedName name="chk_bubble" localSheetId="1">Summary!$D$126</definedName>
    <definedName name="chk_cal" localSheetId="1">Summary!$D$123</definedName>
    <definedName name="chk_carry_usg" localSheetId="1">Summary!$D$116</definedName>
    <definedName name="chk_carryover" localSheetId="1">Summary!$D$115</definedName>
    <definedName name="chk_CO2_supply" localSheetId="1">Summary!$D$103</definedName>
    <definedName name="chk_DO_data" localSheetId="1">Summary!$D$124</definedName>
    <definedName name="chk_DO_min" localSheetId="1">Summary!$D$97</definedName>
    <definedName name="chk_DO_opt" localSheetId="1">Summary!$D$96</definedName>
    <definedName name="chk_DO_pH" localSheetId="1">Summary!$D$95</definedName>
    <definedName name="chk_geom" localSheetId="1">Summary!$D$122</definedName>
    <definedName name="chk_H2" localSheetId="1">Summary!$D$92</definedName>
    <definedName name="res_hs_sag" localSheetId="1">Summary!$D$54</definedName>
    <definedName name="chk_hs_sag_ok" localSheetId="1">Summary!$D$127</definedName>
    <definedName name="chk_led_law" localSheetId="1">Summary!$D$125</definedName>
    <definedName name="chk_level" localSheetId="1">Summary!$D$118</definedName>
    <definedName name="chk_media_vol" localSheetId="1">Summary!$D$117</definedName>
    <definedName name="chk_od_window" localSheetId="1">Summary!$D$112</definedName>
    <definedName name="chk_pool" localSheetId="1">Summary!$D$104</definedName>
    <definedName name="chk_pulse_floor" localSheetId="1">Summary!$D$111</definedName>
    <definedName name="res_relax" localSheetId="1">Summary!$D$31</definedName>
    <definedName name="chk_tip" localSheetId="1">Summary!$D$108</definedName>
    <definedName name="Cl_bound" localSheetId="8">Chemistry!$D$311</definedName>
    <definedName name="Cl_floor_molL" localSheetId="8">Chemistry!$D$234</definedName>
    <definedName name="Cl_free_frac" localSheetId="8">Chemistry!$D$278</definedName>
    <definedName name="Cl_kill" localSheetId="8">Chemistry!$D$147</definedName>
    <definedName name="Cl_model_check" localSheetId="8">Chemistry!$D$312</definedName>
    <definedName name="Cl_onset" localSheetId="8">Chemistry!$D$146</definedName>
    <definedName name="cl_per_N" localSheetId="8">Chemistry!$D$224</definedName>
    <definedName name="Cl_pool_mgL" localSheetId="8">Chemistry!$D$149</definedName>
    <definedName name="cleared_min" localSheetId="10">'Mass Transfer'!$D$213</definedName>
    <definedName name="CO2_carbon_margin" localSheetId="9">Biology!$D$35</definedName>
    <definedName name="CO2_cons" localSheetId="9">Biology!$D$15</definedName>
    <definedName name="CO2_cons" localSheetId="10">'Mass Transfer'!$D$10</definedName>
    <definedName name="CO2_cyc_avg_new" localSheetId="10">'Mass Transfer'!$D$200</definedName>
    <definedName name="CO2_diss" localSheetId="9">Biology!$D$33</definedName>
    <definedName name="CO2_fix_g" localSheetId="10">'Mass Transfer'!$D$315</definedName>
    <definedName name="CO2_fix_l" localSheetId="10">'Mass Transfer'!$D$316</definedName>
    <definedName name="CO2_fix_sched" localSheetId="10">'Mass Transfer'!$D$319</definedName>
    <definedName name="CO2_margin_trough" localSheetId="9">Biology!$D$98</definedName>
    <definedName name="CO2_pH_hi" localSheetId="8">Chemistry!$D$324</definedName>
    <definedName name="CO2_pH_hi_mt" localSheetId="10">'Mass Transfer'!$D$429</definedName>
    <definedName name="CO2_pulse" localSheetId="10">'Mass Transfer'!$D$123</definedName>
    <definedName name="CO2_rate_full" localSheetId="10">'Mass Transfer'!$D$178</definedName>
    <definedName name="CO2_rate_full_b" localSheetId="9">Biology!$D$77</definedName>
    <definedName name="CO2_sd_ratio" localSheetId="10">'Mass Transfer'!$D$126</definedName>
    <definedName name="CO2_supply" localSheetId="10">'Mass Transfer'!$D$100</definedName>
    <definedName name="CO2_supply_b" localSheetId="9">Biology!$D$76</definedName>
    <definedName name="CO2_uptake_ratio" localSheetId="10">'Mass Transfer'!$D$417</definedName>
    <definedName name="CO2aqc" localSheetId="8">Chemistry!$D$5</definedName>
    <definedName name="CO2aqc_ss" localSheetId="10">'Mass Transfer'!$D$162</definedName>
    <definedName name="corr_I_frac" localSheetId="8">Chemistry!$D$158</definedName>
    <definedName name="d_bubble" localSheetId="10">'Mass Transfer'!$D$42</definedName>
    <definedName name="d_bubble_min_m" localSheetId="10">'Mass Transfer'!$D$211</definedName>
    <definedName name="d_bubble_mm" localSheetId="10">'Mass Transfer'!$D$43</definedName>
    <definedName name="D_Cl" localSheetId="8">Chemistry!$D$277</definedName>
    <definedName name="D_CO2" localSheetId="10">'Mass Transfer'!$D$138</definedName>
    <definedName name="D_CO2_ref" localSheetId="10">'Mass Transfer'!$D$174</definedName>
    <definedName name="D_HCO3" localSheetId="8">Chemistry!$D$251</definedName>
    <definedName name="D_HPO4" localSheetId="8">Chemistry!$D$214</definedName>
    <definedName name="D_int" localSheetId="6">Geometry!$D$22</definedName>
    <definedName name="D_O2" localSheetId="10">'Mass Transfer'!$D$32</definedName>
    <definedName name="D_O2_c" localSheetId="8">Chemistry!$D$274</definedName>
    <definedName name="d_orifice" localSheetId="10">'Mass Transfer'!$D$41</definedName>
    <definedName name="davies_c" localSheetId="8">Chemistry!$D$233</definedName>
    <definedName name="delta_diff" localSheetId="8">Chemistry!$D$215</definedName>
    <definedName name="depth_warn" localSheetId="6">Geometry!$D$55</definedName>
    <definedName name="DH_const" localSheetId="8">Chemistry!$D$230</definedName>
    <definedName name="DIC_cap" localSheetId="8">Chemistry!$D$296</definedName>
    <definedName name="DIC_cap_mt" localSheetId="10">'Mass Transfer'!$D$415</definedName>
    <definedName name="DIC_ref_check" localSheetId="8">Chemistry!$D$310</definedName>
    <definedName name="DIC_ref_tol" localSheetId="8">Chemistry!$D$309</definedName>
    <definedName name="disp_tot" localSheetId="6">Geometry!$D$40</definedName>
    <definedName name="DO_at_carbon" localSheetId="10">'Mass Transfer'!$D$232</definedName>
    <definedName name="DO_avg_g" localSheetId="10">'Mass Transfer'!$D$341</definedName>
    <definedName name="DO_avg_g_mgL" localSheetId="10">'Mass Transfer'!$D$343</definedName>
    <definedName name="DO_avg_l" localSheetId="10">'Mass Transfer'!$D$362</definedName>
    <definedName name="DO_avg_l_mgL" localSheetId="10">'Mass Transfer'!$D$364</definedName>
    <definedName name="DO_avg_sched" localSheetId="10">'Mass Transfer'!$D$372</definedName>
    <definedName name="DO_avg_su_mgL" localSheetId="10">'Mass Transfer'!$D$556</definedName>
    <definedName name="DO_feas_g" localSheetId="10">'Mass Transfer'!$D$347</definedName>
    <definedName name="DO_feas_l" localSheetId="10">'Mass Transfer'!$D$368</definedName>
    <definedName name="DO_frac_fallback" localSheetId="9">Biology!$D$61</definedName>
    <definedName name="DO_frac_target" localSheetId="9">Biology!$D$60</definedName>
    <definedName name="DO_hs_floor" localSheetId="10">'Mass Transfer'!$D$188</definedName>
    <definedName name="DO_impair" localSheetId="9">Biology!$D$47</definedName>
    <definedName name="DO_impair" localSheetId="10">'Mass Transfer'!$D$23</definedName>
    <definedName name="DO_lag_ref" localSheetId="7">Electrochemistry!$D$129</definedName>
    <definedName name="DO_lag_ref_chk" localSheetId="7">Electrochemistry!$D$134</definedName>
    <definedName name="DO_lag_tol" localSheetId="7">Electrochemistry!$D$130</definedName>
    <definedName name="DO_mf_g" localSheetId="10">'Mass Transfer'!$D$340</definedName>
    <definedName name="DO_mf_l" localSheetId="10">'Mass Transfer'!$D$361</definedName>
    <definedName name="DO_min" localSheetId="9">Biology!$D$45</definedName>
    <definedName name="DO_min" localSheetId="10">'Mass Transfer'!$D$25</definedName>
    <definedName name="DO_opt" localSheetId="9">Biology!$D$46</definedName>
    <definedName name="DO_opt" localSheetId="10">'Mass Transfer'!$D$22</definedName>
    <definedName name="DO_peak_band" localSheetId="10">'Mass Transfer'!$D$374</definedName>
    <definedName name="DO_peak_chk_g" localSheetId="10">'Mass Transfer'!$D$348</definedName>
    <definedName name="DO_peak_chk_l" localSheetId="10">'Mass Transfer'!$D$369</definedName>
    <definedName name="DO_peak_g" localSheetId="10">'Mass Transfer'!$D$342</definedName>
    <definedName name="DO_peak_g_mgL" localSheetId="10">'Mass Transfer'!$D$344</definedName>
    <definedName name="DO_peak_l" localSheetId="10">'Mass Transfer'!$D$363</definedName>
    <definedName name="DO_peak_l_mgL" localSheetId="10">'Mass Transfer'!$D$365</definedName>
    <definedName name="DO_peak_sched" localSheetId="10">'Mass Transfer'!$D$373</definedName>
    <definedName name="DO_peak_su_mgL" localSheetId="10">'Mass Transfer'!$D$557</definedName>
    <definedName name="DO_ss" localSheetId="10">'Mass Transfer'!$D$108</definedName>
    <definedName name="DO_ss_sawtooth" localSheetId="10">'Mass Transfer'!$D$133</definedName>
    <definedName name="DO_ss_sawtooth_lag" localSheetId="10">'Mass Transfer'!$D$135</definedName>
    <definedName name="DO_ss_vs_min" localSheetId="10">'Mass Transfer'!$D$110</definedName>
    <definedName name="DO_surf_excess" localSheetId="10">'Mass Transfer'!$D$180</definedName>
    <definedName name="DO_surf_excess_g" localSheetId="10">'Mass Transfer'!$D$339</definedName>
    <definedName name="DO_surf_excess_lag" localSheetId="10">'Mass Transfer'!$D$181</definedName>
    <definedName name="DO_surf_excess_su" localSheetId="10">'Mass Transfer'!$D$576</definedName>
    <definedName name="DO_target" localSheetId="10">'Mass Transfer'!$D$179</definedName>
    <definedName name="DO_toxic" localSheetId="9">Biology!$D$48</definedName>
    <definedName name="DO_toxic" localSheetId="10">'Mass Transfer'!$D$24</definedName>
    <definedName name="dur_ok" localSheetId="10">'Mass Transfer'!$D$130</definedName>
    <definedName name="duty" localSheetId="10">'Mass Transfer'!$D$105</definedName>
    <definedName name="duty_actual" localSheetId="10">'Mass Transfer'!$D$93</definedName>
    <definedName name="duty_carbon" localSheetId="10">'Mass Transfer'!$D$86</definedName>
    <definedName name="duty_DO" localSheetId="10">'Mass Transfer'!$D$184</definedName>
    <definedName name="duty_DO_l" localSheetId="10">'Mass Transfer'!$D$543</definedName>
    <definedName name="duty_H2safe" localSheetId="9">Biology!$D$86</definedName>
    <definedName name="duty_O2vent" localSheetId="10">'Mass Transfer'!$D$87</definedName>
    <definedName name="duty_opt" localSheetId="10">'Mass Transfer'!$D$88</definedName>
    <definedName name="dy_O2_g" localSheetId="10">'Mass Transfer'!$D$335</definedName>
    <definedName name="dy_O2_l" localSheetId="10">'Mass Transfer'!$D$357</definedName>
    <definedName name="dy_O2_su" localSheetId="10">'Mass Transfer'!$D$553</definedName>
    <definedName name="E_anode_op" localSheetId="8">Chemistry!$D$256</definedName>
    <definedName name="E_Cl_margin" localSheetId="8">Chemistry!$D$209</definedName>
    <definedName name="E_Cl2" localSheetId="8">Chemistry!$D$208</definedName>
    <definedName name="E_Cu_margin" localSheetId="8">Chemistry!$D$211</definedName>
    <definedName name="E_HER" localSheetId="8">Chemistry!$D$207</definedName>
    <definedName name="E_HOCl_Cl" localSheetId="8">Chemistry!$D$258</definedName>
    <definedName name="E_OER" localSheetId="8">Chemistry!$D$206</definedName>
    <definedName name="E_ORR2" localSheetId="8">Chemistry!$D$210</definedName>
    <definedName name="E0_Cl2" localSheetId="8">Chemistry!$D$203</definedName>
    <definedName name="E0_Cu" localSheetId="8">Chemistry!$D$205</definedName>
    <definedName name="E0_HER" localSheetId="8">Chemistry!$D$202</definedName>
    <definedName name="E0_HOCl" localSheetId="8">Chemistry!$D$257</definedName>
    <definedName name="E0_OER" localSheetId="8">Chemistry!$D$201</definedName>
    <definedName name="E0_ORR2" localSheetId="8">Chemistry!$D$204</definedName>
    <definedName name="Ea_D_CO2" localSheetId="10">'Mass Transfer'!$D$175</definedName>
    <definedName name="ec_C_H2_sat" localSheetId="7">Electrochemistry!$D$146</definedName>
    <definedName name="ec_corr_I" localSheetId="7">Electrochemistry!$D$102</definedName>
    <definedName name="ec_D_O2" localSheetId="7">Electrochemistry!$D$81</definedName>
    <definedName name="ec_DO_design" localSheetId="7">Electrochemistry!$D$85</definedName>
    <definedName name="ec_DO_lag" localSheetId="7">Electrochemistry!$D$150</definedName>
    <definedName name="ec_E_rev" localSheetId="7">Electrochemistry!$D$106</definedName>
    <definedName name="ec_gap" localSheetId="7">Electrochemistry!$D$115</definedName>
    <definedName name="ec_I_Cl" localSheetId="7">Electrochemistry!$D$101</definedName>
    <definedName name="ec_jbuf_ratio" localSheetId="7">Electrochemistry!$D$161</definedName>
    <definedName name="ec_kappa" localSheetId="7">Electrochemistry!$D$114</definedName>
    <definedName name="ec_O2_ceil" localSheetId="7">Electrochemistry!$D$80</definedName>
    <definedName name="ec_V_L" localSheetId="7">Electrochemistry!$D$82</definedName>
    <definedName name="eff_disp" localSheetId="6">Geometry!$D$39</definedName>
    <definedName name="eff_ID" localSheetId="6">Geometry!$D$34</definedName>
    <definedName name="eff_OD" localSheetId="6">Geometry!$D$33</definedName>
    <definedName name="eff_sub_L" localSheetId="6">Geometry!$D$38</definedName>
    <definedName name="elec_clear" localSheetId="6">Geometry!$D$28</definedName>
    <definedName name="elec_disp" localSheetId="6">Geometry!$D$36</definedName>
    <definedName name="elec_gap" localSheetId="6">Geometry!$D$92</definedName>
    <definedName name="elec_ins" localSheetId="6">Geometry!$D$29</definedName>
    <definedName name="elec_sub_L" localSheetId="6">Geometry!$D$35</definedName>
    <definedName name="elec_sub_L_act" localSheetId="6">Geometry!$D$93</definedName>
    <definedName name="electrode_sel" localSheetId="7">Electrochemistry!$D$8</definedName>
    <definedName name="electrode_sel" localSheetId="1">Summary!$D$3</definedName>
    <definedName name="eps_T_exp" localSheetId="8">Chemistry!$D$232</definedName>
    <definedName name="eps_water_298" localSheetId="8">Chemistry!$D$231</definedName>
    <definedName name="eta_anode" localSheetId="7">Electrochemistry!$D$111</definedName>
    <definedName name="eta_anode_c" localSheetId="8">Chemistry!$D$254</definedName>
    <definedName name="eta_cath" localSheetId="7">Electrochemistry!$D$112</definedName>
    <definedName name="etaF" localSheetId="7">Electrochemistry!$D$18</definedName>
    <definedName name="etaF_calc" localSheetId="7">Electrochemistry!$D$88</definedName>
    <definedName name="etaF_calc_min" localSheetId="7">Electrochemistry!$D$89</definedName>
    <definedName name="etaF_OER" localSheetId="7">Electrochemistry!$D$26</definedName>
    <definedName name="etaF_OER_calc" localSheetId="7">Electrochemistry!$D$104</definedName>
    <definedName name="f_Cl_anode" localSheetId="7">Electrochemistry!$D$103</definedName>
    <definedName name="F_const" localSheetId="7">Electrochemistry!$D$15</definedName>
    <definedName name="F_dil" localSheetId="10">'Mass Transfer'!$D$425</definedName>
    <definedName name="F_dil_b" localSheetId="9">Biology!$D$125</definedName>
    <definedName name="F_gap_g" localSheetId="10">'Mass Transfer'!$D$331</definedName>
    <definedName name="F_gap_l" localSheetId="10">'Mass Transfer'!$D$353</definedName>
    <definedName name="F_gap_l_b" localSheetId="9">Biology!$D$116</definedName>
    <definedName name="F_gap_sched" localSheetId="10">'Mass Transfer'!$D$371</definedName>
    <definedName name="F_gap_su" localSheetId="10">'Mass Transfer'!$D$575</definedName>
    <definedName name="f_H2O2_anode" localSheetId="7">Electrochemistry!$D$170</definedName>
    <definedName name="f_HOOH" localSheetId="7">Electrochemistry!$D$91</definedName>
    <definedName name="f_HOR_anode" localSheetId="7">Electrochemistry!$D$145</definedName>
    <definedName name="f_HOR_lim" localSheetId="7">Electrochemistry!$D$148</definedName>
    <definedName name="F_hs_net_g" localSheetId="10">'Mass Transfer'!$D$328</definedName>
    <definedName name="F_hs_net_l" localSheetId="10">'Mass Transfer'!$D$350</definedName>
    <definedName name="f_local" localSheetId="8">Chemistry!$D$141</definedName>
    <definedName name="F_N2" localSheetId="10">'Mass Transfer'!$D$424</definedName>
    <definedName name="f_salt_O2" localSheetId="9">Biology!$D$123</definedName>
    <definedName name="F_vent_ex" localSheetId="10">'Mass Transfer'!$D$308</definedName>
    <definedName name="F_vent_ex_b" localSheetId="9">Biology!$D$111</definedName>
    <definedName name="Fcc" localSheetId="8">Chemistry!$D$7</definedName>
    <definedName name="FE_CER" localSheetId="8">Chemistry!$D$128</definedName>
    <definedName name="fit_n" localSheetId="10">'Mass Transfer'!$D$401</definedName>
    <definedName name="fit_n_min" localSheetId="10">'Mass Transfer'!$D$406</definedName>
    <definedName name="fit_St" localSheetId="10">'Mass Transfer'!$D$402</definedName>
    <definedName name="fit_Stt" localSheetId="10">'Mass Transfer'!$D$404</definedName>
    <definedName name="fit_StV" localSheetId="10">'Mass Transfer'!$D$405</definedName>
    <definedName name="fit_SV" localSheetId="10">'Mass Transfer'!$D$403</definedName>
    <definedName name="flowrate_cal" localSheetId="10">'Mass Transfer'!$D$117</definedName>
    <definedName name="flush_factor" localSheetId="10">'Mass Transfer'!$D$106</definedName>
    <definedName name="flush_ret" localSheetId="10">'Mass Transfer'!$D$324</definedName>
    <definedName name="flush_ret_opt" localSheetId="10">'Mass Transfer'!$D$321</definedName>
    <definedName name="flush_ret_opt_b" localSheetId="9">Biology!$D$118</definedName>
    <definedName name="flush_vol" localSheetId="10">'Mass Transfer'!$D$323</definedName>
    <definedName name="flush_vol_opt" localSheetId="10">'Mass Transfer'!$D$320</definedName>
    <definedName name="g_const" localSheetId="10">'Mass Transfer'!$D$31</definedName>
    <definedName name="gamma_1" localSheetId="8">Chemistry!$D$187</definedName>
    <definedName name="gamma_2" localSheetId="8">Chemistry!$D$188</definedName>
    <definedName name="gamma_3" localSheetId="8">Chemistry!$D$189</definedName>
    <definedName name="geom_check" localSheetId="6">Geometry!$D$90</definedName>
    <definedName name="geom_tol_mL" localSheetId="6">Geometry!$D$96</definedName>
    <definedName name="gerrit_check_pct" localSheetId="7">Electrochemistry!$D$166</definedName>
    <definedName name="gerrit_int" localSheetId="7">Electrochemistry!$D$12</definedName>
    <definedName name="gerrit_int_default" localSheetId="7">Electrochemistry!$D$126</definedName>
    <definedName name="gerrit_max" localSheetId="7">Electrochemistry!$D$14</definedName>
    <definedName name="gerrit_min" localSheetId="7">Electrochemistry!$D$13</definedName>
    <definedName name="gerrit_slope" localSheetId="7">Electrochemistry!$D$11</definedName>
    <definedName name="gerrit_slope_default" localSheetId="7">Electrochemistry!$D$125</definedName>
    <definedName name="grid_ratio" localSheetId="10">'Mass Transfer'!$D$431</definedName>
    <definedName name="grid_t_max" localSheetId="10">'Mass Transfer'!$D$436</definedName>
    <definedName name="grid_t_min" localSheetId="10">'Mass Transfer'!$D$430</definedName>
    <definedName name="h_actual" localSheetId="6">Geometry!$D$42</definedName>
    <definedName name="H_CO2_T" localSheetId="9">Biology!$D$31</definedName>
    <definedName name="H_CO2ref" localSheetId="9">Biology!$D$29</definedName>
    <definedName name="H_CO2T" localSheetId="9">Biology!$D$30</definedName>
    <definedName name="h_datum" localSheetId="6">Geometry!$D$25</definedName>
    <definedName name="H_H2_T" localSheetId="9">Biology!$D$40</definedName>
    <definedName name="H_H2ref" localSheetId="9">Biology!$D$38</definedName>
    <definedName name="H_H2T" localSheetId="9">Biology!$D$39</definedName>
    <definedName name="h_hi" localSheetId="8">Chemistry!$D$322</definedName>
    <definedName name="H_O2_T" localSheetId="9">Biology!$D$24</definedName>
    <definedName name="H_O2_T" localSheetId="10">'Mass Transfer'!$D$12</definedName>
    <definedName name="H_O2ref" localSheetId="9">Biology!$D$21</definedName>
    <definedName name="H_O2T" localSheetId="9">Biology!$D$22</definedName>
    <definedName name="h_ref_DIC" localSheetId="8">Chemistry!$D$292</definedName>
    <definedName name="H2_cons" localSheetId="9">Biology!$D$13</definedName>
    <definedName name="H2_cons" localSheetId="10">'Mass Transfer'!$D$312</definedName>
    <definedName name="H2_HOR_b" localSheetId="9">Biology!$D$96</definedName>
    <definedName name="H2_HOR_mt" localSheetId="10">'Mass Transfer'!$D$387</definedName>
    <definedName name="H2_LFL" localSheetId="9">Biology!$D$80</definedName>
    <definedName name="H2_LFL_mt" localSheetId="10">'Mass Transfer'!$D$577</definedName>
    <definedName name="H2_safety" localSheetId="9">Biology!$D$44</definedName>
    <definedName name="H2_src_g" localSheetId="10">'Mass Transfer'!$D$313</definedName>
    <definedName name="H2_src_l" localSheetId="10">'Mass Transfer'!$D$314</definedName>
    <definedName name="H2_src_l_b" localSheetId="9">Biology!$D$113</definedName>
    <definedName name="H2_src_sched" localSheetId="10">'Mass Transfer'!$D$318</definedName>
    <definedName name="H2_src_su" localSheetId="10">'Mass Transfer'!$D$573</definedName>
    <definedName name="H2_turnover" localSheetId="9">Biology!$D$43</definedName>
    <definedName name="H2O2_flag" localSheetId="7">Electrochemistry!$D$99</definedName>
    <definedName name="H2O2_lag_1h" localSheetId="7">Electrochemistry!$D$96</definedName>
    <definedName name="H2O2_ss" localSheetId="7">Electrochemistry!$D$95</definedName>
    <definedName name="H2O2_thresh" localSheetId="7">Electrochemistry!$D$97</definedName>
    <definedName name="has_cal" localSheetId="10">'Mass Transfer'!$D$119</definedName>
    <definedName name="HB_a" localSheetId="10">'Mass Transfer'!$D$171</definedName>
    <definedName name="HB_b" localSheetId="10">'Mass Transfer'!$D$172</definedName>
    <definedName name="HB_c" localSheetId="10">'Mass Transfer'!$D$173</definedName>
    <definedName name="HCO3_op" localSheetId="8">Chemistry!$D$252</definedName>
    <definedName name="HCO3_ref" localSheetId="8">Chemistry!$D$294</definedName>
    <definedName name="headspace_V" localSheetId="6">Geometry!$D$49</definedName>
    <definedName name="headspace_V" localSheetId="10">'Mass Transfer'!$D$19</definedName>
    <definedName name="headspace_V_m3" localSheetId="10">'Mass Transfer'!$D$140</definedName>
    <definedName name="HOCl_max" localSheetId="8">Chemistry!$D$125</definedName>
    <definedName name="HOCl_ss" localSheetId="8">Chemistry!$D$139</definedName>
    <definedName name="HOCl_ss_mgL" localSheetId="8">Chemistry!$D$140</definedName>
    <definedName name="holdup" localSheetId="10">'Mass Transfer'!$D$48</definedName>
    <definedName name="HPO4_op" localSheetId="8">Chemistry!$D$253</definedName>
    <definedName name="hs_flush_time" localSheetId="10">'Mass Transfer'!$D$77</definedName>
    <definedName name="hs_H_CO2" localSheetId="10">'Mass Transfer'!$D$191</definedName>
    <definedName name="hs_O2_allow" localSheetId="10">'Mass Transfer'!$D$182</definedName>
    <definedName name="hs_sag" localSheetId="10">'Mass Transfer'!$D$389</definedName>
    <definedName name="hs_sag_chk" localSheetId="10">'Mass Transfer'!$D$391</definedName>
    <definedName name="hs_sag_max" localSheetId="10">'Mass Transfer'!$D$390</definedName>
    <definedName name="I_app" localSheetId="7">Electrochemistry!$D$19</definedName>
    <definedName name="I_at_gerrit_max" localSheetId="7">Electrochemistry!$D$142</definedName>
    <definedName name="I_Cl" localSheetId="8">Chemistry!$D$133</definedName>
    <definedName name="I_Cl_FE" localSheetId="8">Chemistry!$D$131</definedName>
    <definedName name="I_Cl_mt" localSheetId="8">Chemistry!$D$132</definedName>
    <definedName name="i_HOR_lim" localSheetId="7">Electrochemistry!$D$147</definedName>
    <definedName name="I_ionic" localSheetId="8">Chemistry!$D$185</definedName>
    <definedName name="I_ionic_b" localSheetId="9">Biology!$D$121</definedName>
    <definedName name="I_max" localSheetId="7">Electrochemistry!$D$74</definedName>
    <definedName name="i_ORR_ceiling" localSheetId="7">Electrochemistry!$D$87</definedName>
    <definedName name="i_ORR_design" localSheetId="7">Electrochemistry!$D$86</definedName>
    <definedName name="I_valid" localSheetId="7">Electrochemistry!$D$20</definedName>
    <definedName name="Iappc" localSheetId="8">Chemistry!$D$6</definedName>
    <definedName name="intensity" localSheetId="7">Electrochemistry!$D$10</definedName>
    <definedName name="interface_A" localSheetId="6">Geometry!$D$44</definedName>
    <definedName name="interface_A" localSheetId="10">'Mass Transfer'!$D$14</definedName>
    <definedName name="interval_res" localSheetId="10">'Mass Transfer'!$D$419</definedName>
    <definedName name="j_anode" localSheetId="7">Electrochemistry!$D$48</definedName>
    <definedName name="j_anode_c" localSheetId="8">Chemistry!$D$217</definedName>
    <definedName name="j_anode_max" localSheetId="7">Electrochemistry!$D$75</definedName>
    <definedName name="j_bio_flag" localSheetId="7">Electrochemistry!$D$59</definedName>
    <definedName name="j_buffer_lim" localSheetId="8">Chemistry!$D$216</definedName>
    <definedName name="j_buffer_ratio" localSheetId="8">Chemistry!$D$218</definedName>
    <definedName name="j_cath_flag" localSheetId="7">Electrochemistry!$D$61</definedName>
    <definedName name="j_cathode" localSheetId="7">Electrochemistry!$D$49</definedName>
    <definedName name="j_ceiling_default" localSheetId="7">Electrochemistry!$D$55</definedName>
    <definedName name="j_ceiling_strain" localSheetId="7">Electrochemistry!$D$57</definedName>
    <definedName name="j_flag" localSheetId="7">Electrochemistry!$D$62</definedName>
    <definedName name="j_flag_max" localSheetId="7">Electrochemistry!$D$76</definedName>
    <definedName name="j_mat_flag" localSheetId="7">Electrochemistry!$D$60</definedName>
    <definedName name="j_opt_default" localSheetId="7">Electrochemistry!$D$54</definedName>
    <definedName name="j_opt_strain" localSheetId="7">Electrochemistry!$D$56</definedName>
    <definedName name="j_strain_conf" localSheetId="7">Electrochemistry!$D$58</definedName>
    <definedName name="j0_anode" localSheetId="7">Electrochemistry!$D$108</definedName>
    <definedName name="j0_cath" localSheetId="7">Electrochemistry!$D$110</definedName>
    <definedName name="k_cat_cells" localSheetId="7">Electrochemistry!$D$94</definedName>
    <definedName name="k_Cl_turn" localSheetId="8">Chemistry!$D$271</definedName>
    <definedName name="k_eff_CO2" localSheetId="10">'Mass Transfer'!$D$195</definedName>
    <definedName name="k_eff_CO2_l" localSheetId="10">'Mass Transfer'!$D$560</definedName>
    <definedName name="k_geom" localSheetId="7">Electrochemistry!$D$116</definedName>
    <definedName name="k_H2O2_anode" localSheetId="7">Electrochemistry!$D$151</definedName>
    <definedName name="k_vent" localSheetId="10">'Mass Transfer'!$D$143</definedName>
    <definedName name="k1_NH2Cl" localSheetId="8">Chemistry!$D$136</definedName>
    <definedName name="Ka_HOCl" localSheetId="8">Chemistry!$D$20</definedName>
    <definedName name="Ka_NH4" localSheetId="8">Chemistry!$D$18</definedName>
    <definedName name="Ka1_carb" localSheetId="9">Biology!$D$36</definedName>
    <definedName name="Ka1c" localSheetId="8">Chemistry!$D$13</definedName>
    <definedName name="Ka1c_c" localSheetId="8">Chemistry!$D$190</definedName>
    <definedName name="Ka1p" localSheetId="8">Chemistry!$D$15</definedName>
    <definedName name="Ka1p_c" localSheetId="8">Chemistry!$D$192</definedName>
    <definedName name="Ka2c" localSheetId="8">Chemistry!$D$14</definedName>
    <definedName name="Ka2c_c" localSheetId="8">Chemistry!$D$191</definedName>
    <definedName name="Ka2p" localSheetId="8">Chemistry!$D$16</definedName>
    <definedName name="Ka2p_c" localSheetId="8">Chemistry!$D$193</definedName>
    <definedName name="Ka3p" localSheetId="8">Chemistry!$D$17</definedName>
    <definedName name="Ka3p_c" localSheetId="8">Chemistry!$D$194</definedName>
    <definedName name="KaHOCl_c" localSheetId="8">Chemistry!$D$196</definedName>
    <definedName name="KaN_c" localSheetId="8">Chemistry!$D$197</definedName>
    <definedName name="kappa_fI" localSheetId="8">Chemistry!$D$178</definedName>
    <definedName name="kappa_med" localSheetId="8">Chemistry!$D$180</definedName>
    <definedName name="kappa_TC" localSheetId="8">Chemistry!$D$179</definedName>
    <definedName name="kinetic_caveat" localSheetId="10">'Mass Transfer'!$D$96</definedName>
    <definedName name="kL" localSheetId="10">'Mass Transfer'!$D$51</definedName>
    <definedName name="kL_surf" localSheetId="10">'Mass Transfer'!$D$70</definedName>
    <definedName name="kL_surf_crit" localSheetId="10">'Mass Transfer'!$D$131</definedName>
    <definedName name="kLa_avg" localSheetId="10">'Mass Transfer'!$D$53</definedName>
    <definedName name="kLa_CO2_off" localSheetId="10">'Mass Transfer'!$D$148</definedName>
    <definedName name="kLa_margin_g" localSheetId="10">'Mass Transfer'!$D$346</definedName>
    <definedName name="kLa_margin_l" localSheetId="10">'Mass Transfer'!$D$367</definedName>
    <definedName name="kLa_meas" localSheetId="10">'Mass Transfer'!$D$97</definedName>
    <definedName name="kLa_req" localSheetId="10">'Mass Transfer'!$D$57</definedName>
    <definedName name="kLa_sparge" localSheetId="10">'Mass Transfer'!$D$52</definedName>
    <definedName name="kLa_surf" localSheetId="10">'Mass Transfer'!$D$72</definedName>
    <definedName name="kLa_surf_req" localSheetId="10">'Mass Transfer'!$D$186</definedName>
    <definedName name="kLa_surf_req_g" localSheetId="10">'Mass Transfer'!$D$345</definedName>
    <definedName name="kLa_surf_req_l" localSheetId="10">'Mass Transfer'!$D$366</definedName>
    <definedName name="kLa_surf_used" localSheetId="10">'Mass Transfer'!$D$98</definedName>
    <definedName name="km_Cl" localSheetId="8">Chemistry!$D$129</definedName>
    <definedName name="Km_CO2" localSheetId="9">Biology!$D$34</definedName>
    <definedName name="km_exp" localSheetId="7">Electrochemistry!$D$84</definedName>
    <definedName name="km_exp_c" localSheetId="8">Chemistry!$D$273</definedName>
    <definedName name="km_HCO3" localSheetId="8">Chemistry!$D$276</definedName>
    <definedName name="km_HPO4" localSheetId="8">Chemistry!$D$275</definedName>
    <definedName name="km_O2" localSheetId="7">Electrochemistry!$D$83</definedName>
    <definedName name="km_O2_c" localSheetId="8">Chemistry!$D$272</definedName>
    <definedName name="km_O2_default" localSheetId="7">Electrochemistry!$D$165</definedName>
    <definedName name="knall_CO2_default" localSheetId="9">Biology!$D$65</definedName>
    <definedName name="knall_H2_default" localSheetId="9">Biology!$D$63</definedName>
    <definedName name="knall_O2_default" localSheetId="9">Biology!$D$64</definedName>
    <definedName name="ks_O2" localSheetId="9">Biology!$D$122</definedName>
    <definedName name="Kw_c" localSheetId="8">Chemistry!$D$195</definedName>
    <definedName name="Kw_w" localSheetId="8">Chemistry!$D$19</definedName>
    <definedName name="L_sub" localSheetId="7">Electrochemistry!$D$45</definedName>
    <definedName name="lam_Ca" localSheetId="8">Chemistry!$D$170</definedName>
    <definedName name="lam_Cl" localSheetId="8">Chemistry!$D$175</definedName>
    <definedName name="lam_H2PO4" localSheetId="8">Chemistry!$D$171</definedName>
    <definedName name="lam_HCO3" localSheetId="8">Chemistry!$D$174</definedName>
    <definedName name="lam_HPO4" localSheetId="8">Chemistry!$D$172</definedName>
    <definedName name="lam_K" localSheetId="8">Chemistry!$D$167</definedName>
    <definedName name="lam_Mg" localSheetId="8">Chemistry!$D$169</definedName>
    <definedName name="lam_Na" localSheetId="8">Chemistry!$D$166</definedName>
    <definedName name="lam_NH4" localSheetId="8">Chemistry!$D$168</definedName>
    <definedName name="lam_SO4" localSheetId="8">Chemistry!$D$173</definedName>
    <definedName name="latest_date" localSheetId="10">'Mass Transfer'!$D$116</definedName>
    <definedName name="led_intensity" localSheetId="1">Summary!$D$6</definedName>
    <definedName name="LOC_margin" localSheetId="9">Biology!$D$82</definedName>
    <definedName name="M_Cl2" localSheetId="8">Chemistry!$D$223</definedName>
    <definedName name="M_CO2" localSheetId="10">'Mass Transfer'!$D$103</definedName>
    <definedName name="M_H2O2" localSheetId="7">Electrochemistry!$D$92</definedName>
    <definedName name="M_HOCl" localSheetId="8">Chemistry!$D$222</definedName>
    <definedName name="M_NaHCO3" localSheetId="8">Chemistry!$D$307</definedName>
    <definedName name="M_O2" localSheetId="10">'Mass Transfer'!$D$231</definedName>
    <definedName name="media_sel" localSheetId="8">Chemistry!$D$280</definedName>
    <definedName name="media_sel" localSheetId="1">Summary!$D$5</definedName>
    <definedName name="media_vol_warn" localSheetId="6">Geometry!$D$54</definedName>
    <definedName name="media_volume" localSheetId="6">Geometry!$D$6</definedName>
    <definedName name="media_volume" localSheetId="1">Summary!$D$9</definedName>
    <definedName name="mend_a" localSheetId="10">'Mass Transfer'!$D$44</definedName>
    <definedName name="mend_b" localSheetId="10">'Mass Transfer'!$D$45</definedName>
    <definedName name="metal_flag" localSheetId="8">Chemistry!$D$163</definedName>
    <definedName name="metal_leach_rate" localSheetId="8">Chemistry!$D$161</definedName>
    <definedName name="metal_MW" localSheetId="8">Chemistry!$D$159</definedName>
    <definedName name="metal_tox_thresh" localSheetId="8">Chemistry!$D$162</definedName>
    <definedName name="metal_z" localSheetId="8">Chemistry!$D$160</definedName>
    <definedName name="min_sparge_cal" localSheetId="10">'Mass Transfer'!$D$118</definedName>
    <definedName name="MW_N" localSheetId="8">Chemistry!$D$225</definedName>
    <definedName name="n_cross" localSheetId="8">Chemistry!$D$105</definedName>
    <definedName name="n_e_Cl" localSheetId="8">Chemistry!$D$148</definedName>
    <definedName name="n_flamm_src" localSheetId="9">Biology!$D$83</definedName>
    <definedName name="n_hs_gas" localSheetId="10">'Mass Transfer'!$D$150</definedName>
    <definedName name="n_hs_gas_b" localSheetId="9">Biology!$D$117</definedName>
    <definedName name="n_ORR_eff" localSheetId="7">Electrochemistry!$D$141</definedName>
    <definedName name="n_pores_active" localSheetId="10">'Mass Transfer'!$D$61</definedName>
    <definedName name="N2_for_DO" localSheetId="10">'Mass Transfer'!$D$426</definedName>
    <definedName name="N2_sweep_H2safe" localSheetId="9">Biology!$D$88</definedName>
    <definedName name="N2_sweep_set" localSheetId="10">'Mass Transfer'!$D$423</definedName>
    <definedName name="N2_sweep_set" localSheetId="1">Summary!$D$14</definedName>
    <definedName name="NaHCO3_add_gL" localSheetId="8">Chemistry!$D$317</definedName>
    <definedName name="NaHCO3_add_gL" localSheetId="1">Summary!$D$13</definedName>
    <definedName name="nCO2_rate" localSheetId="10">'Mass Transfer'!$D$104</definedName>
    <definedName name="nernst_slope" localSheetId="8">Chemistry!$D$200</definedName>
    <definedName name="NH2Cl_hi" localSheetId="8">Chemistry!$D$155</definedName>
    <definedName name="NH2Cl_lo" localSheetId="8">Chemistry!$D$154</definedName>
    <definedName name="NH2Cl_mgL" localSheetId="8">Chemistry!$D$143</definedName>
    <definedName name="NH3_free" localSheetId="8">Chemistry!$D$138</definedName>
    <definedName name="NH3_N" localSheetId="8">Chemistry!$D$135</definedName>
    <definedName name="O2_accum" localSheetId="10">'Mass Transfer'!$D$127</definedName>
    <definedName name="O2_cat_ret_g" localSheetId="7">Electrochemistry!$D$173</definedName>
    <definedName name="O2_cathode_ORR" localSheetId="7">Electrochemistry!$D$28</definedName>
    <definedName name="O2_ceil_atm" localSheetId="9">Biology!$D$25</definedName>
    <definedName name="O2_ceil_C" localSheetId="9">Biology!$D$27</definedName>
    <definedName name="O2_ceil_C" localSheetId="10">'Mass Transfer'!$D$6</definedName>
    <definedName name="O2_ceil_org" localSheetId="10">'Mass Transfer'!$D$565</definedName>
    <definedName name="O2_ceil_Pa" localSheetId="9">Biology!$D$26</definedName>
    <definedName name="O2_ceil_Pa" localSheetId="10">'Mass Transfer'!$D$7</definedName>
    <definedName name="O2_ceil_uM" localSheetId="9">Biology!$D$28</definedName>
    <definedName name="O2_cons" localSheetId="9">Biology!$D$14</definedName>
    <definedName name="O2_excess" localSheetId="9">Biology!$D$16</definedName>
    <definedName name="O2_excess" localSheetId="10">'Mass Transfer'!$D$11</definedName>
    <definedName name="O2_H2O2_lag_adj" localSheetId="7">Electrochemistry!$D$172</definedName>
    <definedName name="O2_H2O2_ret_g" localSheetId="7">Electrochemistry!$D$171</definedName>
    <definedName name="O2_LOC_H2" localSheetId="9">Biology!$D$81</definedName>
    <definedName name="O2_LOC_lim_mt" localSheetId="10">'Mass Transfer'!$D$578</definedName>
    <definedName name="O2_net_gen" localSheetId="9">Biology!$D$5</definedName>
    <definedName name="O2_net_gen" localSheetId="7">Electrochemistry!$D$29</definedName>
    <definedName name="O2_net_gen" localSheetId="10">'Mass Transfer'!$D$13</definedName>
    <definedName name="O2_net_lag" localSheetId="7">Electrochemistry!$D$132</definedName>
    <definedName name="O2_net_lag_mt" localSheetId="10">'Mass Transfer'!$D$394</definedName>
    <definedName name="O2_net_su_max" localSheetId="7">Electrochemistry!$D$174</definedName>
    <definedName name="O2_net_su_mt" localSheetId="10">'Mass Transfer'!$D$570</definedName>
    <definedName name="O2_ORR_lag" localSheetId="7">Electrochemistry!$D$131</definedName>
    <definedName name="O2_phase_sel" localSheetId="1">Summary!$D$12</definedName>
    <definedName name="O2_removal_ratio" localSheetId="10">'Mass Transfer'!$D$78</definedName>
    <definedName name="O2_sizing_phase" localSheetId="10">'Mass Transfer'!$D$304</definedName>
    <definedName name="O2_src_g" localSheetId="10">'Mass Transfer'!$D$309</definedName>
    <definedName name="O2_src_guard" localSheetId="10">'Mass Transfer'!$D$132</definedName>
    <definedName name="O2_src_l" localSheetId="10">'Mass Transfer'!$D$310</definedName>
    <definedName name="O2_src_l_b" localSheetId="9">Biology!$D$115</definedName>
    <definedName name="O2_src_sched" localSheetId="10">'Mass Transfer'!$D$317</definedName>
    <definedName name="O2_src_su" localSheetId="10">'Mass Transfer'!$D$572</definedName>
    <definedName name="O2_strip_pulse" localSheetId="10">'Mass Transfer'!$D$128</definedName>
    <definedName name="od_gap_min_s" localSheetId="10">'Mass Transfer'!$D$214</definedName>
    <definedName name="od_ok" localSheetId="10">'Mass Transfer'!$D$95</definedName>
    <definedName name="opt_binding" localSheetId="10">'Mass Transfer'!$D$94</definedName>
    <definedName name="organism_sel" localSheetId="9">Biology!$D$7</definedName>
    <definedName name="organism_sel" localSheetId="7">Electrochemistry!$D$154</definedName>
    <definedName name="organism_sel" localSheetId="1">Summary!$D$4</definedName>
    <definedName name="override_spg_dur_s" localSheetId="10">'Mass Transfer'!$D$392</definedName>
    <definedName name="override_spg_dur_s" localSheetId="1">Summary!$G$21</definedName>
    <definedName name="override_spg_int_min" localSheetId="10">'Mass Transfer'!$D$393</definedName>
    <definedName name="override_spg_int_min" localSheetId="1">Summary!$G$22</definedName>
    <definedName name="P_atm" localSheetId="9">Biology!$D$19</definedName>
    <definedName name="P_atm" localSheetId="7">Electrochemistry!$D$6</definedName>
    <definedName name="P_atm" localSheetId="10">'Mass Transfer'!$D$9</definedName>
    <definedName name="P_atm_set" localSheetId="9">Biology!$D$67</definedName>
    <definedName name="P_atm_set" localSheetId="1">Summary!$D$10</definedName>
    <definedName name="P_Cl_max" localSheetId="8">Chemistry!$D$315</definedName>
    <definedName name="p_CO2_sparge" localSheetId="9">Biology!$D$32</definedName>
    <definedName name="P_dry" localSheetId="10">'Mass Transfer'!$D$418</definedName>
    <definedName name="P_HOCl" localSheetId="8">Chemistry!$D$134</definedName>
    <definedName name="p_sat_w" localSheetId="10">'Mass Transfer'!$D$206</definedName>
    <definedName name="Pa_per_atm" localSheetId="9">Biology!$D$20</definedName>
    <definedName name="pcet_credit" localSheetId="7">Electrochemistry!$D$113</definedName>
    <definedName name="pcet_credit_c" localSheetId="8">Chemistry!$D$255</definedName>
    <definedName name="pcet_credit_gmax" localSheetId="7">Electrochemistry!$D$163</definedName>
    <definedName name="pcet_credit_op" localSheetId="7">Electrochemistry!$D$162</definedName>
    <definedName name="pCO2_air" localSheetId="10">'Mass Transfer'!$D$139</definedName>
    <definedName name="pH_band_flag" localSheetId="8">Chemistry!$D$110</definedName>
    <definedName name="pH_band_hi" localSheetId="8">Chemistry!$D$237</definedName>
    <definedName name="pH_band_lo" localSheetId="8">Chemistry!$D$236</definedName>
    <definedName name="pH_Cl" localSheetId="8">Chemistry!$D$47</definedName>
    <definedName name="pH_CO2_unbuf" localSheetId="9">Biology!$D$37</definedName>
    <definedName name="pH_fHOCl" localSheetId="8">Chemistry!$D$104</definedName>
    <definedName name="pH_hi_c" localSheetId="8">Chemistry!$D$321</definedName>
    <definedName name="pH_meas" localSheetId="8">Chemistry!$D$220</definedName>
    <definedName name="pH_NT" localSheetId="8">Chemistry!$D$46</definedName>
    <definedName name="pH_op" localSheetId="8">Chemistry!$D$103</definedName>
    <definedName name="pH_PT" localSheetId="8">Chemistry!$D$45</definedName>
    <definedName name="pH_red_hi" localSheetId="8">Chemistry!$D$300</definedName>
    <definedName name="pH_red_lo" localSheetId="8">Chemistry!$D$299</definedName>
    <definedName name="pH_ref_DIC" localSheetId="8">Chemistry!$D$291</definedName>
    <definedName name="pH_SID" localSheetId="8">Chemistry!$D$44</definedName>
    <definedName name="pH_step" localSheetId="8">Chemistry!$D$235</definedName>
    <definedName name="ph_unreach" localSheetId="10">'Mass Transfer'!$D$434</definedName>
    <definedName name="ph_unreach_l" localSheetId="10">'Mass Transfer'!$D$562</definedName>
    <definedName name="phase_name_1" localSheetId="10">'Mass Transfer'!$D$305</definedName>
    <definedName name="phase_name_2" localSheetId="10">'Mass Transfer'!$D$306</definedName>
    <definedName name="pHg_C" localSheetId="10">'Mass Transfer'!$I$440:$I$539</definedName>
    <definedName name="pHg_C_l" localSheetId="10">'Mass Transfer'!$R$440:$R$539</definedName>
    <definedName name="pHg_start" localSheetId="10">'Mass Transfer'!$H$440:$H$539</definedName>
    <definedName name="pHg_t" localSheetId="10">'Mass Transfer'!$A$440:$A$539</definedName>
    <definedName name="pHg_x" localSheetId="10">'Mass Transfer'!$J$440:$J$539</definedName>
    <definedName name="pHg_x_l" localSheetId="10">'Mass Transfer'!$S$440:$S$539</definedName>
    <definedName name="phi_hs_g" localSheetId="10">'Mass Transfer'!$D$333</definedName>
    <definedName name="phi_hs_l" localSheetId="10">'Mass Transfer'!$D$355</definedName>
    <definedName name="phi_su" localSheetId="10">'Mass Transfer'!$D$551</definedName>
    <definedName name="pKa_HOCl" localSheetId="8">Chemistry!$D$21</definedName>
    <definedName name="pKa_NH4" localSheetId="8">Chemistry!$D$137</definedName>
    <definedName name="pool_a" localSheetId="10">'Mass Transfer'!$D$193</definedName>
    <definedName name="pool_b" localSheetId="10">'Mass Transfer'!$D$194</definedName>
    <definedName name="pool_beta_ratio" localSheetId="10">'Mass Transfer'!$D$196</definedName>
    <definedName name="pool_D_gap" localSheetId="10">'Mass Transfer'!$D$379</definedName>
    <definedName name="pool_D_raw" localSheetId="10">'Mass Transfer'!$D$375</definedName>
    <definedName name="pool_e" localSheetId="10">'Mass Transfer'!$D$197</definedName>
    <definedName name="pool_phi" localSheetId="10">'Mass Transfer'!$D$377</definedName>
    <definedName name="pool_psi" localSheetId="10">'Mass Transfer'!$D$378</definedName>
    <definedName name="pool_ret" localSheetId="10">'Mass Transfer'!$D$380</definedName>
    <definedName name="pool_start_chk" localSheetId="10">'Mass Transfer'!$D$435</definedName>
    <definedName name="pool_x" localSheetId="10">'Mass Transfer'!$D$376</definedName>
    <definedName name="por_grade" localSheetId="10">'Mass Transfer'!$D$20</definedName>
    <definedName name="por_grade_e" localSheetId="7">Electrochemistry!$D$32</definedName>
    <definedName name="por_pore" localSheetId="10">'Mass Transfer'!$D$39</definedName>
    <definedName name="por0_um" localSheetId="10">'Mass Transfer'!$D$33</definedName>
    <definedName name="por1_um" localSheetId="10">'Mass Transfer'!$D$34</definedName>
    <definedName name="por2_um" localSheetId="10">'Mass Transfer'!$D$35</definedName>
    <definedName name="por3_um" localSheetId="10">'Mass Transfer'!$D$36</definedName>
    <definedName name="por4_um" localSheetId="10">'Mass Transfer'!$D$37</definedName>
    <definedName name="por5_um" localSheetId="10">'Mass Transfer'!$D$38</definedName>
    <definedName name="power_max" localSheetId="7">Electrochemistry!$D$73</definedName>
    <definedName name="psi_hs_g" localSheetId="10">'Mass Transfer'!$D$334</definedName>
    <definedName name="psi_hs_l" localSheetId="10">'Mass Transfer'!$D$356</definedName>
    <definedName name="psi_su" localSheetId="10">'Mass Transfer'!$D$552</definedName>
    <definedName name="pulse_floor" localSheetId="10">'Mass Transfer'!$D$99</definedName>
    <definedName name="pulse_floor_default" localSheetId="10">'Mass Transfer'!$D$396</definedName>
    <definedName name="pulse_res" localSheetId="10">'Mass Transfer'!$D$241</definedName>
    <definedName name="pulse_res_set" localSheetId="1">Summary!$D$15</definedName>
    <definedName name="pulse_V0" localSheetId="10">'Mass Transfer'!$D$408</definedName>
    <definedName name="pulses_d" localSheetId="10">'Mass Transfer'!$D$125</definedName>
    <definedName name="pulses_h" localSheetId="10">'Mass Transfer'!$D$124</definedName>
    <definedName name="pw_A" localSheetId="10">'Mass Transfer'!$D$203</definedName>
    <definedName name="pw_B" localSheetId="10">'Mass Transfer'!$D$204</definedName>
    <definedName name="pw_C" localSheetId="10">'Mass Transfer'!$D$205</definedName>
    <definedName name="Q_backdraw" localSheetId="10">'Mass Transfer'!$D$385</definedName>
    <definedName name="Q_carry_max" localSheetId="10">'Mass Transfer'!$D$413</definedName>
    <definedName name="Q_CO2" localSheetId="10">'Mass Transfer'!$D$102</definedName>
    <definedName name="Q_CO2_fit" localSheetId="10">'Mass Transfer'!$D$407</definedName>
    <definedName name="Q_vent" localSheetId="10">'Mass Transfer'!$D$142</definedName>
    <definedName name="Q_vent_used" localSheetId="10">'Mass Transfer'!$D$386</definedName>
    <definedName name="R_cell" localSheetId="7">Electrochemistry!$D$117</definedName>
    <definedName name="R_chloramine" localSheetId="8">Chemistry!$D$144</definedName>
    <definedName name="R_chloramine_hi" localSheetId="8">Chemistry!$D$153</definedName>
    <definedName name="R_chloramine_lo" localSheetId="8">Chemistry!$D$152</definedName>
    <definedName name="R_gas" localSheetId="8">Chemistry!$D$9</definedName>
    <definedName name="R_gas" localSheetId="7">Electrochemistry!$D$7</definedName>
    <definedName name="R_gas" localSheetId="10">'Mass Transfer'!$D$101</definedName>
    <definedName name="R_gas_b" localSheetId="9">Biology!$D$79</definedName>
    <definedName name="r_H2_HOR" localSheetId="7">Electrochemistry!$D$149</definedName>
    <definedName name="r_H2O2" localSheetId="7">Electrochemistry!$D$93</definedName>
    <definedName name="r_H2O2_an_g" localSheetId="7">Electrochemistry!$D$168</definedName>
    <definedName name="r_H2O2_an_l" localSheetId="7">Electrochemistry!$D$169</definedName>
    <definedName name="r_H2O2_lag" localSheetId="7">Electrochemistry!$D$152</definedName>
    <definedName name="r_HCO3_ref" localSheetId="8">Chemistry!$D$293</definedName>
    <definedName name="rate_tol_rel" localSheetId="10">'Mass Transfer'!$D$569</definedName>
    <definedName name="Reactor" localSheetId="10">'Mass Transfer'!$D$115</definedName>
    <definedName name="reactor_sel" localSheetId="6">Geometry!$D$5</definedName>
    <definedName name="Reactor_sel" localSheetId="1">Summary!$D$2</definedName>
    <definedName name="remedy_res" localSheetId="9">Biology!$D$120</definedName>
    <definedName name="res_binding" localSheetId="1">Summary!$D$26</definedName>
    <definedName name="chk_buffer" localSheetId="1">Summary!$D$106</definedName>
    <definedName name="res_carbon_margin" localSheetId="1">Summary!$D$87</definedName>
    <definedName name="res_Cl2" localSheetId="1">Summary!$D$30</definedName>
    <definedName name="res_CO2_uptake" localSheetId="1">Summary!$D$88</definedName>
    <definedName name="res_DO_ss" localSheetId="1">Summary!$D$29</definedName>
    <definedName name="res_duty_ratio" localSheetId="1">Summary!$D$40</definedName>
    <definedName name="res_E_Cl_margin" localSheetId="1">Summary!$D$82</definedName>
    <definedName name="res_E_Cu_margin" localSheetId="1">Summary!$D$83</definedName>
    <definedName name="res_etaF" localSheetId="1">Summary!$D$80</definedName>
    <definedName name="chk_H2O2" localSheetId="1">Summary!$D$105</definedName>
    <definedName name="res_I_mA" localSheetId="1">Summary!$D$72</definedName>
    <definedName name="res_I_max" localSheetId="1">Summary!$D$75</definedName>
    <definedName name="res_j_anode" localSheetId="1">Summary!$D$73</definedName>
    <definedName name="res_j_anode_max" localSheetId="1">Summary!$D$76</definedName>
    <definedName name="chk_j" localSheetId="1">Summary!$D$107</definedName>
    <definedName name="res_j_status_max" localSheetId="1">Summary!$D$77</definedName>
    <definedName name="res_pH" localSheetId="1">Summary!$D$27</definedName>
    <definedName name="res_power_max" localSheetId="1">Summary!$D$74</definedName>
    <definedName name="res_spg_dur" localSheetId="1">Summary!$D$34</definedName>
    <definedName name="res_spg_dur_run" localSheetId="1">Summary!$D$21</definedName>
    <definedName name="res_spg_int" localSheetId="1">Summary!$D$35</definedName>
    <definedName name="res_spg_int_carbon" localSheetId="1">Summary!$D$36</definedName>
    <definedName name="res_spg_int_DO" localSheetId="1">Summary!$D$37</definedName>
    <definedName name="res_spg_int_pH" localSheetId="1">Summary!$D$38</definedName>
    <definedName name="res_spg_int_run" localSheetId="1">Summary!$D$22</definedName>
    <definedName name="res_spg_int_su" localSheetId="1">Summary!$D$23</definedName>
    <definedName name="res_su_state" localSheetId="1">Summary!$D$25</definedName>
    <definedName name="res_tip_speed" localSheetId="1">Summary!$D$86</definedName>
    <definedName name="res_V_cell" localSheetId="1">Summary!$D$81</definedName>
    <definedName name="chk_V_cell" localSheetId="1">Summary!$D$119</definedName>
    <definedName name="resid_noC_hi" localSheetId="8">Chemistry!$D$323</definedName>
    <definedName name="rH2_gen" localSheetId="9">Biology!$D$4</definedName>
    <definedName name="rH2_gen" localSheetId="7">Electrochemistry!$D$21</definedName>
    <definedName name="rH2_gen" localSheetId="10">'Mass Transfer'!$D$311</definedName>
    <definedName name="rH2_lag" localSheetId="7">Electrochemistry!$D$133</definedName>
    <definedName name="rH2_lag_mt" localSheetId="10">'Mass Transfer'!$D$395</definedName>
    <definedName name="rH2_su_max" localSheetId="7">Electrochemistry!$D$175</definedName>
    <definedName name="rH2_su_mt" localSheetId="10">'Mass Transfer'!$D$571</definedName>
    <definedName name="rho_0" localSheetId="10">'Mass Transfer'!$D$169</definedName>
    <definedName name="rho_CO2" localSheetId="10">'Mass Transfer'!$D$60</definedName>
    <definedName name="rho_k" localSheetId="10">'Mass Transfer'!$D$170</definedName>
    <definedName name="rho_L" localSheetId="10">'Mass Transfer'!$D$30</definedName>
    <definedName name="rO2_gen" localSheetId="7">Electrochemistry!$D$22</definedName>
    <definedName name="rod_d" localSheetId="6">Geometry!$D$26</definedName>
    <definedName name="rod_n" localSheetId="6">Geometry!$D$27</definedName>
    <definedName name="rx_ver" localSheetId="6">Geometry!$D$51</definedName>
    <definedName name="S_O2_g" localSheetId="10">'Mass Transfer'!$D$327</definedName>
    <definedName name="S_O2_l" localSheetId="10">'Mass Transfer'!$D$349</definedName>
    <definedName name="S_O2_su" localSheetId="10">'Mass Transfer'!$D$574</definedName>
    <definedName name="s_renew" localSheetId="10">'Mass Transfer'!$D$69</definedName>
    <definedName name="saw_factor" localSheetId="10">'Mass Transfer'!$D$322</definedName>
    <definedName name="sched_bal" localSheetId="10">'Mass Transfer'!$D$129</definedName>
    <definedName name="sched_mode" localSheetId="10">'Mass Transfer'!$D$81</definedName>
    <definedName name="sched_regime" localSheetId="10">'Mass Transfer'!$D$113</definedName>
    <definedName name="sched_valid" localSheetId="10">'Mass Transfer'!$D$164</definedName>
    <definedName name="sigma" localSheetId="10">'Mass Transfer'!$D$29</definedName>
    <definedName name="sigma_0" localSheetId="10">'Mass Transfer'!$D$167</definedName>
    <definedName name="sigma_k" localSheetId="10">'Mass Transfer'!$D$168</definedName>
    <definedName name="sparge_depth" localSheetId="6">Geometry!$D$43</definedName>
    <definedName name="sparger" localSheetId="10">'Mass Transfer'!$D$21</definedName>
    <definedName name="sparger_e" localSheetId="7">Electrochemistry!$D$31</definedName>
    <definedName name="spg_disp" localSheetId="6">Geometry!$D$37</definedName>
    <definedName name="spg_dur" localSheetId="10">'Mass Transfer'!$D$121</definedName>
    <definedName name="spg_dur_b" localSheetId="9">Biology!$D$78</definedName>
    <definedName name="spg_dur_eq" localSheetId="10">'Mass Transfer'!$D$410</definedName>
    <definedName name="spg_dur_eq_opt" localSheetId="10">'Mass Transfer'!$D$409</definedName>
    <definedName name="spg_dur_man" localSheetId="10">'Mass Transfer'!$D$82</definedName>
    <definedName name="spg_dur_opt" localSheetId="10">'Mass Transfer'!$D$90</definedName>
    <definedName name="spg_dur_opt_b" localSheetId="9">Biology!$D$89</definedName>
    <definedName name="spg_dur_run" localSheetId="10">'Mass Transfer'!$D$242</definedName>
    <definedName name="spg_ID" localSheetId="6">Geometry!$D$31</definedName>
    <definedName name="spg_ID" localSheetId="10">'Mass Transfer'!$D$18</definedName>
    <definedName name="spg_int" localSheetId="10">'Mass Transfer'!$D$122</definedName>
    <definedName name="spg_int_carbon" localSheetId="10">'Mass Transfer'!$D$112</definedName>
    <definedName name="spg_int_DO" localSheetId="10">'Mass Transfer'!$D$185</definedName>
    <definedName name="spg_int_DO_l" localSheetId="10">'Mass Transfer'!$D$544</definedName>
    <definedName name="spg_int_H2safe" localSheetId="9">Biology!$D$87</definedName>
    <definedName name="spg_int_H2safe_mt" localSheetId="10">'Mass Transfer'!$D$545</definedName>
    <definedName name="spg_int_H2safe_opt" localSheetId="10">'Mass Transfer'!$D$563</definedName>
    <definedName name="spg_int_H2safe_saw" localSheetId="9">Biology!$D$92</definedName>
    <definedName name="spg_int_H2safe_su" localSheetId="10">'Mass Transfer'!$D$581</definedName>
    <definedName name="spg_int_H2safe_su_opt" localSheetId="10">'Mass Transfer'!$D$582</definedName>
    <definedName name="spg_int_man" localSheetId="10">'Mass Transfer'!$D$83</definedName>
    <definedName name="spg_int_max" localSheetId="10">'Mass Transfer'!$D$89</definedName>
    <definedName name="spg_int_max_su" localSheetId="10">'Mass Transfer'!$D$583</definedName>
    <definedName name="spg_int_opt" localSheetId="10">'Mass Transfer'!$D$91</definedName>
    <definedName name="spg_int_opt_s" localSheetId="10">'Mass Transfer'!$D$92</definedName>
    <definedName name="spg_int_pH" localSheetId="10">'Mass Transfer'!$D$432</definedName>
    <definedName name="spg_int_pH_l" localSheetId="10">'Mass Transfer'!$D$561</definedName>
    <definedName name="spg_int_pH_opt" localSheetId="10">'Mass Transfer'!$D$433</definedName>
    <definedName name="spg_int_regime" localSheetId="10">'Mass Transfer'!$D$134</definedName>
    <definedName name="spg_int_run" localSheetId="10">'Mass Transfer'!$D$420</definedName>
    <definedName name="spg_int_su_opt" localSheetId="10">'Mass Transfer'!$D$546</definedName>
    <definedName name="spg_int_su_run" localSheetId="10">'Mass Transfer'!$D$547</definedName>
    <definedName name="spg_len" localSheetId="6">Geometry!$D$50</definedName>
    <definedName name="spg_name_1" localSheetId="10">'Mass Transfer'!$D$27</definedName>
    <definedName name="spg_name_2" localSheetId="10">'Mass Transfer'!$D$28</definedName>
    <definedName name="spg_OD" localSheetId="6">Geometry!$D$30</definedName>
    <definedName name="spg_tip_h" localSheetId="6">Geometry!$D$32</definedName>
    <definedName name="sqrtD_CO2" localSheetId="10">'Mass Transfer'!$D$147</definedName>
    <definedName name="stir_bar_L" localSheetId="6">Geometry!$D$52</definedName>
    <definedName name="stir_len" localSheetId="10">'Mass Transfer'!$D$5</definedName>
    <definedName name="stir_rpm" localSheetId="10">'Mass Transfer'!$D$67</definedName>
    <definedName name="stir_rpm_set" localSheetId="1">Summary!$D$7</definedName>
    <definedName name="strip_avg" localSheetId="10">'Mass Transfer'!$D$55</definedName>
    <definedName name="strip_ratio" localSheetId="10">'Mass Transfer'!$D$56</definedName>
    <definedName name="strip_sparge" localSheetId="10">'Mass Transfer'!$D$54</definedName>
    <definedName name="su_binding" localSheetId="10">'Mass Transfer'!$D$548</definedName>
    <definedName name="surf_ratio" localSheetId="10">'Mass Transfer'!$D$74</definedName>
    <definedName name="surf_strip" localSheetId="10">'Mass Transfer'!$D$73</definedName>
    <definedName name="T_C" localSheetId="9">Biology!$D$17</definedName>
    <definedName name="t_contact" localSheetId="10">'Mass Transfer'!$D$50</definedName>
    <definedName name="t_gap_h" localSheetId="10">'Mass Transfer'!$D$325</definedName>
    <definedName name="t_gap_H2_LFL" localSheetId="9">Biology!$D$90</definedName>
    <definedName name="t_gap_H2_su" localSheetId="10">'Mass Transfer'!$D$579</definedName>
    <definedName name="t_gap_O2_LOC" localSheetId="9">Biology!$D$91</definedName>
    <definedName name="t_gap_O2_su" localSheetId="10">'Mass Transfer'!$D$580</definedName>
    <definedName name="t_gap_su_h" localSheetId="10">'Mass Transfer'!$D$549</definedName>
    <definedName name="t_H2_sat" localSheetId="9">Biology!$D$42</definedName>
    <definedName name="t_H2O2_thresh" localSheetId="7">Electrochemistry!$D$98</definedName>
    <definedName name="T_K" localSheetId="9">Biology!$D$18</definedName>
    <definedName name="T_K" localSheetId="7">Electrochemistry!$D$5</definedName>
    <definedName name="T_K" localSheetId="10">'Mass Transfer'!$D$8</definedName>
    <definedName name="t_O2_ceiling" localSheetId="10">'Mass Transfer'!$D$65</definedName>
    <definedName name="t_O2_ceiling_lag" localSheetId="10">'Mass Transfer'!$D$79</definedName>
    <definedName name="t_O2_ceiling_rem" localSheetId="10">'Mass Transfer'!$D$80</definedName>
    <definedName name="t_O2_ceiling_strip" localSheetId="10">'Mass Transfer'!$D$66</definedName>
    <definedName name="t_off_CO2" localSheetId="10">'Mass Transfer'!$D$152</definedName>
    <definedName name="t_on_CO2" localSheetId="10">'Mass Transfer'!$D$151</definedName>
    <definedName name="T_ref" localSheetId="9">Biology!$D$23</definedName>
    <definedName name="T_ref" localSheetId="8">Chemistry!$D$229</definedName>
    <definedName name="T_ref" localSheetId="10">'Mass Transfer'!$D$209</definedName>
    <definedName name="T_zero_C" localSheetId="9">Biology!$D$66</definedName>
    <definedName name="T_zero_C" localSheetId="10">'Mass Transfer'!$D$210</definedName>
    <definedName name="target_DO_frac" localSheetId="10">'Mass Transfer'!$D$84</definedName>
    <definedName name="tau_hs" localSheetId="10">'Mass Transfer'!$D$144</definedName>
    <definedName name="tau_L_h" localSheetId="10">'Mass Transfer'!$D$326</definedName>
    <definedName name="tau_NH2Cl" localSheetId="8">Chemistry!$D$142</definedName>
    <definedName name="tau_NH2Cl_default" localSheetId="8">Chemistry!$D$314</definedName>
    <definedName name="tau_NH2Cl_hi" localSheetId="8">Chemistry!$D$151</definedName>
    <definedName name="tau_NH2Cl_lo" localSheetId="8">Chemistry!$D$150</definedName>
    <definedName name="tau_surf_floor" localSheetId="10">'Mass Transfer'!$D$149</definedName>
    <definedName name="temp_C" localSheetId="1">Summary!$D$8</definedName>
    <definedName name="tip_speed" localSheetId="10">'Mass Transfer'!$D$68</definedName>
    <definedName name="tip_speed_max" localSheetId="10">'Mass Transfer'!$D$216</definedName>
    <definedName name="tip_warn" localSheetId="10">'Mass Transfer'!$D$111</definedName>
    <definedName name="TKc" localSheetId="8">Chemistry!$D$4</definedName>
    <definedName name="tube_d_m" localSheetId="10">'Mass Transfer'!$D$40</definedName>
    <definedName name="u_g_max" localSheetId="10">'Mass Transfer'!$D$58</definedName>
    <definedName name="u_rise" localSheetId="10">'Mass Transfer'!$D$46</definedName>
    <definedName name="u_sg" localSheetId="10">'Mass Transfer'!$D$47</definedName>
    <definedName name="V_at_gerrit_max" localSheetId="7">Electrochemistry!$D$143</definedName>
    <definedName name="V_cell_est" localSheetId="7">Electrochemistry!$D$119</definedName>
    <definedName name="V_charge" localSheetId="9">Biology!$D$6</definedName>
    <definedName name="V_charge" localSheetId="8">Chemistry!$D$279</definedName>
    <definedName name="V_charge" localSheetId="7">Electrochemistry!$D$153</definedName>
    <definedName name="V_charge" localSheetId="6">Geometry!$D$41</definedName>
    <definedName name="V_charge" localSheetId="10">'Mass Transfer'!$D$16</definedName>
    <definedName name="V_flag" localSheetId="7">Electrochemistry!$D$122</definedName>
    <definedName name="V_gas_total" localSheetId="7">Electrochemistry!$D$25</definedName>
    <definedName name="V_gerrit_flag" localSheetId="7">Electrochemistry!$D$144</definedName>
    <definedName name="V_H2_gen" localSheetId="7">Electrochemistry!$D$23</definedName>
    <definedName name="V_headroom" localSheetId="7">Electrochemistry!$D$121</definedName>
    <definedName name="V_headroom_min" localSheetId="7">Electrochemistry!$D$127</definedName>
    <definedName name="V_inserts" localSheetId="6">Geometry!$D$48</definedName>
    <definedName name="V_IR" localSheetId="7">Electrochemistry!$D$118</definedName>
    <definedName name="V_L_CO2" localSheetId="10">'Mass Transfer'!$D$416</definedName>
    <definedName name="V_L_m3" localSheetId="10">'Mass Transfer'!$D$141</definedName>
    <definedName name="V_max" localSheetId="6">Geometry!$D$23</definedName>
    <definedName name="V_O2_gen" localSheetId="7">Electrochemistry!$D$24</definedName>
    <definedName name="v_orifice" localSheetId="10">'Mass Transfer'!$D$62</definedName>
    <definedName name="V_pulse" localSheetId="10">'Mass Transfer'!$D$411</definedName>
    <definedName name="V_rail" localSheetId="7">Electrochemistry!$D$120</definedName>
    <definedName name="V_vial_total" localSheetId="6">Geometry!$D$24</definedName>
    <definedName name="vent_floor_chk" localSheetId="10">'Mass Transfer'!$D$163</definedName>
    <definedName name="vent_model" localSheetId="10">'Mass Transfer'!$D$301</definedName>
    <definedName name="vent_model_sel" localSheetId="1">Summary!$D$11</definedName>
    <definedName name="vent_name_1" localSheetId="10">'Mass Transfer'!$D$302</definedName>
    <definedName name="vent_name_2" localSheetId="10">'Mass Transfer'!$D$303</definedName>
    <definedName name="vent_name_3" localSheetId="10">'Mass Transfer'!$D$384</definedName>
    <definedName name="Vg_CO2" localSheetId="10">'Mass Transfer'!$D$192</definedName>
    <definedName name="vial_ID" localSheetId="6">Geometry!$D$20</definedName>
    <definedName name="vial_ID" localSheetId="10">'Mass Transfer'!$D$15</definedName>
    <definedName name="vial_OD" localSheetId="6">Geometry!$D$18</definedName>
    <definedName name="vial_wall" localSheetId="6">Geometry!$D$19</definedName>
    <definedName name="VLc" localSheetId="8">Chemistry!$D$8</definedName>
    <definedName name="We_orifice" localSheetId="10">'Mass Transfer'!$D$63</definedName>
    <definedName name="We_static_max" localSheetId="10">'Mass Transfer'!$D$212</definedName>
    <definedName name="x_hs_g" localSheetId="10">'Mass Transfer'!$D$332</definedName>
    <definedName name="x_hs_l" localSheetId="10">'Mass Transfer'!$D$354</definedName>
    <definedName name="x_series" localSheetId="10">'Mass Transfer'!$D$584</definedName>
    <definedName name="x_su" localSheetId="10">'Mass Transfer'!$D$550</definedName>
    <definedName name="xtube_n" localSheetId="6">Geometry!$D$46</definedName>
    <definedName name="xtube_OD" localSheetId="6">Geometry!$D$45</definedName>
    <definedName name="xtube_pro" localSheetId="6">Geometry!$D$47</definedName>
    <definedName name="y_CO2_mf" localSheetId="10">'Mass Transfer'!$D$381</definedName>
    <definedName name="y_H2_avg_l" localSheetId="10">'Mass Transfer'!$D$564</definedName>
    <definedName name="y_H2_end_b" localSheetId="9">Biology!$D$114</definedName>
    <definedName name="y_H2_end_l" localSheetId="10">'Mass Transfer'!$D$388</definedName>
    <definedName name="y_H2_end_su" localSheetId="10">'Mass Transfer'!$D$558</definedName>
    <definedName name="y_H2_hs_lag" localSheetId="9">Biology!$D$84</definedName>
    <definedName name="y_H2_mf_g" localSheetId="10">'Mass Transfer'!$D$330</definedName>
    <definedName name="y_H2_mf_l" localSheetId="10">'Mass Transfer'!$D$352</definedName>
    <definedName name="y_O2_actual" localSheetId="10">'Mass Transfer'!$D$187</definedName>
    <definedName name="y_O2_air" localSheetId="10">'Mass Transfer'!$D$307</definedName>
    <definedName name="y_O2_air_b" localSheetId="9">Biology!$D$112</definedName>
    <definedName name="y_O2_avg_g" localSheetId="10">'Mass Transfer'!$D$338</definedName>
    <definedName name="y_O2_avg_l" localSheetId="10">'Mass Transfer'!$D$360</definedName>
    <definedName name="y_O2_avg_su" localSheetId="10">'Mass Transfer'!$D$555</definedName>
    <definedName name="y_O2_end_b" localSheetId="9">Biology!$D$119</definedName>
    <definedName name="y_O2_end_g" localSheetId="10">'Mass Transfer'!$D$336</definedName>
    <definedName name="y_O2_end_l" localSheetId="10">'Mass Transfer'!$D$358</definedName>
    <definedName name="y_O2_end_su" localSheetId="10">'Mass Transfer'!$D$554</definedName>
    <definedName name="y_O2_hs_lag" localSheetId="9">Biology!$D$85</definedName>
    <definedName name="y_O2_mf_g" localSheetId="10">'Mass Transfer'!$D$329</definedName>
    <definedName name="y_O2_mf_l" localSheetId="10">'Mass Transfer'!$D$351</definedName>
    <definedName name="y_O2_post_g" localSheetId="10">'Mass Transfer'!$D$337</definedName>
    <definedName name="y_O2_post_l" localSheetId="10">'Mass Transfer'!$D$359</definedName>
    <definedName name="y_O2_star" localSheetId="10">'Mass Transfer'!$D$183</definedName>
    <definedName name="y_O2_star_l" localSheetId="10">'Mass Transfer'!$D$542</definedName>
    <definedName name="z_e_H2" localSheetId="7">Electrochemistry!$D$16</definedName>
    <definedName name="z_e_O2" localSheetId="7">Electrochemistry!$D$17</definedName>
    <definedName name="z_e_ORR" localSheetId="7">Electrochemistry!$D$27</definedName>
    <definedName name="z_peak_g" localSheetId="10">'Mass Transfer'!$D$566</definedName>
    <definedName name="z_peak_l" localSheetId="10">'Mass Transfer'!$D$567</definedName>
    <definedName name="z_peak_su" localSheetId="10">'Mass Transfer'!$D$568</definedName>
    <definedName name="res_Q_vent" localSheetId="1">Summary!$D$43</definedName>
    <definedName name="res_DO_avg_g" localSheetId="1">Summary!$D$44</definedName>
    <definedName name="res_DO_peak_g" localSheetId="1">Summary!$D$45</definedName>
    <definedName name="res_DO_avg_l" localSheetId="1">Summary!$D$46</definedName>
    <definedName name="res_DO_peak_l" localSheetId="1">Summary!$D$47</definedName>
    <definedName name="chk_DO_peak_g" localSheetId="1">Summary!$D$98</definedName>
    <definedName name="chk_DO_peak_l" localSheetId="1">Summary!$D$99</definedName>
    <definedName name="chk_DO_feas_g" localSheetId="1">Summary!$D$100</definedName>
    <definedName name="chk_DO_feas_l" localSheetId="1">Summary!$D$101</definedName>
    <definedName name="res_kLa_req_g" localSheetId="1">Summary!$D$48</definedName>
    <definedName name="res_kLa_req_l" localSheetId="1">Summary!$D$49</definedName>
    <definedName name="res_yO2_g" localSheetId="1">Summary!$D$50</definedName>
    <definedName name="res_yO2_l" localSheetId="1">Summary!$D$51</definedName>
    <definedName name="res_yH2_l" localSheetId="1">Summary!$D$52</definedName>
    <definedName name="res_yCO2" localSheetId="1">Summary!$D$53</definedName>
    <definedName name="res_NaHCO3_gL" localSheetId="1">Summary!$D$68</definedName>
    <definedName name="res_alk_mM" localSheetId="1">Summary!$D$69</definedName>
    <definedName name="res_N2_DO" localSheetId="1">Summary!$D$55</definedName>
    <definedName name="res_N2_H2" localSheetId="1">Summary!$D$56</definedName>
    <definedName name="N_source_sel" localSheetId="8">Chemistry!$D$327</definedName>
    <definedName name="N_src_1" localSheetId="8">Chemistry!$D$328</definedName>
    <definedName name="N_src_2" localSheetId="8">Chemistry!$D$329</definedName>
    <definedName name="N_src_3" localSheetId="8">Chemistry!$D$330</definedName>
    <definedName name="N_src_idx" localSheetId="8">Chemistry!$D$331</definedName>
    <definedName name="pH_SID_rec" localSheetId="8">Chemistry!$D$332</definedName>
    <definedName name="pH_NT_rec" localSheetId="8">Chemistry!$D$333</definedName>
    <definedName name="X_end" localSheetId="8">Chemistry!$D$334</definedName>
    <definedName name="f_N_bio" localSheetId="8">Chemistry!$D$335</definedName>
    <definedName name="n_up_end" localSheetId="8">Chemistry!$D$336</definedName>
    <definedName name="N_limit_chk" localSheetId="8">Chemistry!$D$337</definedName>
    <definedName name="SID_end_A" localSheetId="8">Chemistry!$D$338</definedName>
    <definedName name="NT_end_A" localSheetId="8">Chemistry!$D$339</definedName>
    <definedName name="SID_end_N" localSheetId="8">Chemistry!$D$340</definedName>
    <definedName name="SID_end_U" localSheetId="8">Chemistry!$D$341</definedName>
    <definedName name="n_cross_A" localSheetId="8">Chemistry!$D$342</definedName>
    <definedName name="n_cross_N" localSheetId="8">Chemistry!$D$343</definedName>
    <definedName name="n_cross_U" localSheetId="8">Chemistry!$D$344</definedName>
    <definedName name="pH_end_A" localSheetId="8">Chemistry!$D$345</definedName>
    <definedName name="pH_end_N" localSheetId="8">Chemistry!$D$346</definedName>
    <definedName name="pH_end_U" localSheetId="8">Chemistry!$D$347</definedName>
    <definedName name="pH_end" localSheetId="8">Chemistry!$D$348</definedName>
    <definedName name="pH_min_A" localSheetId="8">Chemistry!$D$349</definedName>
    <definedName name="pH_min_N" localSheetId="8">Chemistry!$D$350</definedName>
    <definedName name="pH_min_U" localSheetId="8">Chemistry!$D$351</definedName>
    <definedName name="pH_min" localSheetId="8">Chemistry!$D$352</definedName>
    <definedName name="SID_end" localSheetId="8">Chemistry!$D$353</definedName>
    <definedName name="NT_end" localSheetId="8">Chemistry!$D$354</definedName>
    <definedName name="alk_resid_end" localSheetId="8">Chemistry!$D$355</definedName>
    <definedName name="alk_end" localSheetId="8">Chemistry!$D$356</definedName>
    <definedName name="alk_run_gL" localSheetId="8">Chemistry!$D$357</definedName>
    <definedName name="pH_min_alk" localSheetId="8">Chemistry!$D$358</definedName>
    <definedName name="NH42SO4_rec_gL" localSheetId="8">Chemistry!$D$359</definedName>
    <definedName name="K2SO4_swap_gL" localSheetId="8">Chemistry!$D$360</definedName>
    <definedName name="M_KNO3" localSheetId="8">Chemistry!$D$361</definedName>
    <definedName name="KNO3_gL" localSheetId="8">Chemistry!$D$362</definedName>
    <definedName name="M_urea" localSheetId="8">Chemistry!$D$363</definedName>
    <definedName name="urea_gL" localSheetId="8">Chemistry!$D$364</definedName>
    <definedName name="pulse_rule_sel" localSheetId="10">'Mass Transfer'!$D$587</definedName>
    <definedName name="pulse_rule_1" localSheetId="10">'Mass Transfer'!$D$588</definedName>
    <definedName name="pulse_rule_2" localSheetId="10">'Mass Transfer'!$D$589</definedName>
    <definedName name="pulse_rule_idx" localSheetId="10">'Mass Transfer'!$D$590</definedName>
    <definedName name="Km_CO2_mt" localSheetId="10">'Mass Transfer'!$D$591</definedName>
    <definedName name="carbon_trough_min" localSheetId="10">'Mass Transfer'!$D$592</definedName>
    <definedName name="CO2_trough_mt" localSheetId="10">'Mass Transfer'!$D$593</definedName>
    <definedName name="spg_int_trough" localSheetId="10">'Mass Transfer'!$D$594</definedName>
    <definedName name="spg_int_trough_opt" localSheetId="10">'Mass Transfer'!$D$595</definedName>
    <definedName name="trough_unreach" localSheetId="10">'Mass Transfer'!$D$596</definedName>
    <definedName name="trg_x" localSheetId="10">'Mass Transfer'!$K$440:$K$539</definedName>
    <definedName name="kLa_margin_l_ec" localSheetId="7">Electrochemistry!$D$178</definedName>
    <definedName name="rO2_per_A" localSheetId="7">Electrochemistry!$D$179</definedName>
    <definedName name="I_su" localSheetId="7">Electrochemistry!$D$180</definedName>
    <definedName name="power_su" localSheetId="7">Electrochemistry!$D$181</definedName>
    <definedName name="I_curve_low" localSheetId="7">Electrochemistry!$D$182</definedName>
    <definedName name="power_su_basis" localSheetId="7">Electrochemistry!$D$183</definedName>
    <definedName name="N_source_sel" localSheetId="1">Summary!$D$16</definedName>
    <definedName name="X_end_gL" localSheetId="1">Summary!$D$17</definedName>
    <definedName name="pulse_rule_sel" localSheetId="1">Summary!$D$18</definedName>
    <definedName name="res_power_su" localSheetId="1">Summary!$D$24</definedName>
    <definedName name="res_pH_end" localSheetId="1">Summary!$D$28</definedName>
    <definedName name="res_spg_int_trough" localSheetId="1">Summary!$D$39</definedName>
    <definedName name="res_I_su" localSheetId="1">Summary!$D$59</definedName>
    <definedName name="res_su_power_basis" localSheetId="1">Summary!$D$60</definedName>
    <definedName name="med_none" localSheetId="1">Summary!$D$64</definedName>
    <definedName name="med_NaHCO3" localSheetId="1">Summary!$D$65</definedName>
    <definedName name="med_nitrate" localSheetId="1">Summary!$D$66</definedName>
    <definedName name="med_urea" localSheetId="1">Summary!$D$67</definedName>
    <definedName name="chk_pH_end" localSheetId="1">Summary!$D$102</definedName>
    <definedName name="chk_su_current" localSheetId="1">Summary!$D$128</definedName>
    <definedName name="cf_power_lo" localSheetId="1">Summary!$D$187</definedName>
    <definedName name="cf_power_hi" localSheetId="1">Summary!$D$188</definedName>
    <definedName name="cf_rpm_lo" localSheetId="1">Summary!$D$189</definedName>
    <definedName name="cf_rpm_hi" localSheetId="1">Summary!$D$190</definedName>
    <definedName name="cf_T_lo" localSheetId="1">Summary!$D$191</definedName>
    <definedName name="cf_T_hi" localSheetId="1">Summary!$D$192</definedName>
    <definedName name="cf_Patm_lo" localSheetId="1">Summary!$D$193</definedName>
    <definedName name="cf_Patm_hi" localSheetId="1">Summary!$D$194</definedName>
    <definedName name="cf_NaHCO3_hi" localSheetId="1">Summary!$D$195</definedName>
    <definedName name="cf_N2_hi" localSheetId="1">Summary!$D$196</definedName>
    <definedName name="cf_res_lo" localSheetId="1">Summary!$D$197</definedName>
    <definedName name="cf_res_hi" localSheetId="1">Summary!$D$198</definedName>
    <definedName name="cf_Vmax" localSheetId="1">Summary!$D$199</definedName>
    <definedName name="cf_alk_run" localSheetId="1">Summary!$D$200</definedName>
    <definedName name="cf_N_limit" localSheetId="1">Summary!$D$201</definedName>
    <definedName name="NSourceList">Chemistry!$D$328:$D$330</definedName>
    <definedName name="PulseRuleList">'Mass Transfer'!$D$588:$D$589</definedName>
    <definedName name="H2_util_meas" localSheetId="9">Biology!$D$128</definedName>
    <definedName name="H2_util_default" localSheetId="9">Biology!$D$129</definedName>
    <definedName name="H2_util" localSheetId="9">Biology!$D$130</definedName>
    <definedName name="res_qualification" localSheetId="1">Summary!$D$32</definedName>
    <definedName name="validation_status_213" localSheetId="1">Summary!$D$213</definedName>
    <definedName name="validation_status_214" localSheetId="1">Summary!$D$214</definedName>
    <definedName name="validation_status_215" localSheetId="1">Summary!$D$215</definedName>
    <definedName name="med_n" localSheetId="5">COLUMNS(Media[#Data])-COLUMNS(Media!$A$13:$S$13)</definedName>
    <definedName name="med_vals" localSheetId="5">OFFSET(Media!$S$17,1,1,ROWS(Media[#Data])-ROWS(Media!$A$14:$A$17),Media!med_n)</definedName>
    <definedName name="ing_ions" localSheetId="5">OFFSET(Media!$D$17,1,0,ROWS(Media[#Data])-ROWS(Media!$A$14:$A$17),COLUMNS(Media!$D$13:$R$13))</definedName>
    <definedName name="ing_MW" localSheetId="5">OFFSET(Media!$C$17,1,0,ROWS(Media[#Data])-ROWS(Media!$A$14:$A$17),1)</definedName>
    <definedName name="med_desc" localSheetId="5">OFFSET(Media!$S$14,0,1,1,Media!med_n)</definedName>
    <definedName name="med_status" localSheetId="5">OFFSET(Media!$S$15,0,1,1,Media!med_n)</definedName>
    <definedName name="med_cmp" localSheetId="5">MATCH(Media!$B$4,MediaList,0)</definedName>
    <definedName name="cmp_media" localSheetId="5">Media!$B$4</definedName>
    <definedName name="ion_mM" localSheetId="5">OFFSET(Media!$T$37,0,0,COLUMNS(Media!$D$13:$R$13),Media!med_n)</definedName>
    <definedName name="ion_z" localSheetId="5">Media!$D$7:$R$7</definedName>
    <definedName name="ion_sid" localSheetId="5">Media!$D$8:$R$8</definedName>
    <definedName name="ion_lam" localSheetId="5">Media!$D$9:$R$9</definedName>
    <definedName name="ion_P" localSheetId="5">Media!$D$10:$R$10</definedName>
    <definedName name="ion_N" localSheetId="5">Media!$D$11:$R$11</definedName>
    <definedName name="ion_Cl" localSheetId="5">Media!$D$12:$R$12</definedName>
    <definedName name="med_PT" localSheetId="5">OFFSET(Media!$T$54,0,0,1,Media!med_n)</definedName>
    <definedName name="med_SID" localSheetId="5">OFFSET(Media!$T$55,0,0,1,Media!med_n)</definedName>
    <definedName name="med_NT" localSheetId="5">OFFSET(Media!$T$56,0,0,1,Media!med_n)</definedName>
    <definedName name="med_Cl" localSheetId="5">OFFSET(Media!$T$57,0,0,1,Media!med_n)</definedName>
    <definedName name="med_I" localSheetId="5">OFFSET(Media!$T$58,0,0,1,Media!med_n)</definedName>
    <definedName name="med_kappa0" localSheetId="5">OFFSET(Media!$T$59,0,0,1,Media!med_n)</definedName>
    <definedName name="MediaList">OFFSET(Media!$S$13,0,1,1,COLUMNS(Media[#Data])-COLUMNS(Media!$A$13:$S$13))</definedName>
    <definedName name="med_idx" localSheetId="8">Chemistry!$D$25</definedName>
    <definedName name="med_desc_sel" localSheetId="8">Chemistry!$D$26</definedName>
    <definedName name="med_status_sel" localSheetId="8">Chemistry!$D$27</definedName>
    <definedName name="med_PT_rec" localSheetId="8">Chemistry!$D$28</definedName>
    <definedName name="med_SID_rec" localSheetId="8">Chemistry!$D$29</definedName>
    <definedName name="med_NT_rec" localSheetId="8">Chemistry!$D$30</definedName>
    <definedName name="med_Cl_rec" localSheetId="8">Chemistry!$D$31</definedName>
    <definedName name="med_I_rec" localSheetId="8">Chemistry!$D$32</definedName>
    <definedName name="med_kappa0_rec" localSheetId="8">Chemistry!$D$33</definedName>
    <definedName name="MW_NH42SO4" localSheetId="8">Chemistry!$D$35</definedName>
    <definedName name="MW_K2SO4" localSheetId="8">Chemistry!$D$36</definedName>
    <definedName name="tbl_reactor" localSheetId="6">Reactors[#Data]</definedName>
    <definedName name="tbl_reactor_hdr" localSheetId="6">Reactors[#Headers]</definedName>
    <definedName name="tbl_rxtype" localSheetId="6">ReactorTypes[#Data]</definedName>
    <definedName name="tbl_rxtype_hdr" localSheetId="6">ReactorTypes[#Headers]</definedName>
    <definedName name="tbl_electrode" localSheetId="7">Electrodes[#Data]</definedName>
    <definedName name="tbl_electrode_hdr" localSheetId="7">Electrodes[#Headers]</definedName>
    <definedName name="tbl_strain" localSheetId="7">Organisms[#Data]</definedName>
    <definedName name="tbl_strain_hdr" localSheetId="7">Organisms[#Headers]</definedName>
    <definedName name="tbl_organism" localSheetId="9">Organisms[#Data]</definedName>
    <definedName name="tbl_organism_hdr" localSheetId="9">Organisms[#Headers]</definedName>
    <definedName name="ReactorList">Reactors[Reactor]</definedName>
    <definedName name="ReactorTypeList">Reactors[Type]</definedName>
    <definedName name="ElectrodeList">Electrodes[Electrode]</definedName>
    <definedName name="OrganismList">Organisms[Organism]</definedName>
    <definedName name="RxTypeNames">ReactorTypes[Type]</definedName>
    <definedName name="co2f_reactor">OFFSET('CO2 flows'!$A$3,1,0,ROWS(CO2Flows[#Data]),1)</definedName>
    <definedName name="co2f_date">OFFSET('CO2 flows'!$B$3,1,0,ROWS(CO2Flows[#Data]),1)</definedName>
    <definedName name="co2f_volume">OFFSET('CO2 flows'!$E$3,1,0,ROWS(CO2Flows[#Data]),1)</definedName>
    <definedName name="co2f_time">OFFSET('CO2 flows'!$F$3,1,0,ROWS(CO2Flows[#Data]),1)</definedName>
    <definedName name="co2f_minpulse">OFFSET('CO2 flows'!$I$3,1,0,ROWS(CO2Flows[#Data]),1)</definedName>
    <definedName name="co2f_nominal">OFFSET('CO2 flows'!$J$3,1,0,ROWS(CO2Flows[#Data]),1)</definedName>
    <definedName name="co2f_maxflow">OFFSET('CO2 flows'!$K$3,1,0,ROWS(CO2Flows[#Data]),1)</definedName>
    <definedName name="co2f_excluded">OFFSET('CO2 flows'!$L$3,1,0,ROWS(CO2Flows[#Data]),1)</definedName>
    <definedName name="A_x" localSheetId="12">Calibrations!$D$84</definedName>
    <definedName name="bp_const" localSheetId="12">Calibrations!$D$64</definedName>
    <definedName name="ca_rho_0" localSheetId="12">Calibrations!$D$79</definedName>
    <definedName name="ca_rho_k" localSheetId="12">Calibrations!$D$80</definedName>
    <definedName name="cal_bp" localSheetId="12">Calibrations!$D$35</definedName>
    <definedName name="cal_Dint">Calibrations!$D$28</definedName>
    <definedName name="cal_DO_impair">Calibrations!$D$41</definedName>
    <definedName name="cal_DO_min">Calibrations!$D$39</definedName>
    <definedName name="cal_DO_opt">Calibrations!$D$40</definedName>
    <definedName name="cal_DO_toxic">Calibrations!$D$42</definedName>
    <definedName name="cal_etaF">Calibrations!$D$13</definedName>
    <definedName name="cal_etaF_OER">Calibrations!$D$14</definedName>
    <definedName name="cal_flow">Calibrations!$D$22</definedName>
    <definedName name="cal_gerrit_int">Calibrations!$D$9</definedName>
    <definedName name="cal_gerrit_slope">Calibrations!$D$8</definedName>
    <definedName name="cal_hs">Calibrations!$D$29</definedName>
    <definedName name="cal_hs_fill">Calibrations!$D$30</definedName>
    <definedName name="cal_j_ceiling">Calibrations!$D$53</definedName>
    <definedName name="cal_j_opt">Calibrations!$D$52</definedName>
    <definedName name="cal_kLa">Calibrations!$D$18</definedName>
    <definedName name="cal_km_O2">Calibrations!$D$57</definedName>
    <definedName name="cal_knall_CO2">Calibrations!$D$48</definedName>
    <definedName name="cal_knall_H2">Calibrations!$D$46</definedName>
    <definedName name="cal_knall_O2">Calibrations!$D$47</definedName>
    <definedName name="cal_pulse_floor">Calibrations!$D$23</definedName>
    <definedName name="cal_sinter">Calibrations!$D$34</definedName>
    <definedName name="cal_tau_NH2Cl">Calibrations!$D$61</definedName>
    <definedName name="cal_Vtot">Calibrations!$D$27</definedName>
    <definedName name="D_O2" localSheetId="12">Calibrations!$D$94</definedName>
    <definedName name="electrode_sel" localSheetId="12">Calibrations!$D$93</definedName>
    <definedName name="F_const" localSheetId="12">Calibrations!$D$86</definedName>
    <definedName name="km_exp" localSheetId="12">Calibrations!$D$95</definedName>
    <definedName name="km_T_tol" localSheetId="12">Calibrations!$D$89</definedName>
    <definedName name="knall_H2_basis" localSheetId="12">Calibrations!$D$97</definedName>
    <definedName name="M_Cl2" localSheetId="12">Calibrations!$D$96</definedName>
    <definedName name="media_sel" localSheetId="12">Calibrations!$D$92</definedName>
    <definedName name="n_e_fcn" localSheetId="12">Calibrations!$D$88</definedName>
    <definedName name="organism_sel" localSheetId="12">Calibrations!$D$82</definedName>
    <definedName name="por_break_1" localSheetId="12">Calibrations!$D$65</definedName>
    <definedName name="por_break_2" localSheetId="12">Calibrations!$D$66</definedName>
    <definedName name="por_break_3" localSheetId="12">Calibrations!$D$67</definedName>
    <definedName name="por_break_4" localSheetId="12">Calibrations!$D$68</definedName>
    <definedName name="por_break_5" localSheetId="12">Calibrations!$D$69</definedName>
    <definedName name="por_p0_hi" localSheetId="12">Calibrations!$D$98</definedName>
    <definedName name="por_p5_hi" localSheetId="12">Calibrations!$D$99</definedName>
    <definedName name="por_p5_lo" localSheetId="12">Calibrations!$D$100</definedName>
    <definedName name="pw_A" localSheetId="12">Calibrations!$D$73</definedName>
    <definedName name="pw_B" localSheetId="12">Calibrations!$D$74</definedName>
    <definedName name="pw_C" localSheetId="12">Calibrations!$D$75</definedName>
    <definedName name="R_gas" localSheetId="12">Calibrations!$D$85</definedName>
    <definedName name="Reactor_sel" localSheetId="12">Calibrations!$D$81</definedName>
    <definedName name="rx_ver" localSheetId="12">Calibrations!$D$83</definedName>
    <definedName name="stir_rpm_set" localSheetId="12">Calibrations!$D$90</definedName>
    <definedName name="T_zero_C" localSheetId="12">Calibrations!$D$72</definedName>
    <definedName name="temp_C" localSheetId="12">Calibrations!$D$91</definedName>
    <definedName name="z_e_H2" localSheetId="12">Calibrations!$D$70</definedName>
    <definedName name="z_e_O2" localSheetId="12">Calibrations!$D$71</definedName>
    <definedName name="xr_exp" localSheetId="12">Experiments[Experiment (Summary list)]</definedName>
    <definedName name="xr_rx" localSheetId="12">Experiments[Reactor or type]</definedName>
    <definedName name="xr_el" localSheetId="12">Experiments[Electrode]</definedName>
    <definedName name="xr_org" localSheetId="12">Experiments[Organism]</definedName>
    <definedName name="xr_med" localSheetId="12">Experiments[Medium]</definedName>
    <definedName name="xr_T" localSheetId="12">Experiments[Temp (°C)]</definedName>
    <definedName name="xr_res" localSheetId="12">Experiments[Result]</definedName>
    <definedName name="xs_vial" localSheetId="12">Calibrations!$D$106</definedName>
    <definedName name="xs_flow" localSheetId="12">Calibrations!$D$107</definedName>
    <definedName name="xs_km" localSheetId="12">Calibrations!$D$108</definedName>
    <definedName name="xs_lowI" localSheetId="12">Calibrations!$D$109</definedName>
    <definedName name="xs_review" localSheetId="12">Calibrations!$D$110</definedName>
    <definedName name="xs_V" localSheetId="12">Calibrations!$D$111</definedName>
    <definedName name="xs_hsgas" localSheetId="12">Calibrations!$D$112</definedName>
    <definedName name="xs_vent" localSheetId="12">Calibrations!$D$113</definedName>
    <definedName name="xs_kLa" localSheetId="12">Calibrations!$D$114</definedName>
    <definedName name="xs_DOtrace" localSheetId="12">Calibrations!$D$115</definedName>
    <definedName name="xs_pHrun" localSheetId="12">Calibrations!$D$116</definedName>
    <definedName name="xs_metals" localSheetId="12">Calibrations!$D$117</definedName>
    <definedName name="xs_FE" localSheetId="12">Calibrations!$D$118</definedName>
    <definedName name="xs_offgas" localSheetId="12">Calibrations!$D$119</definedName>
    <definedName name="xs_DOthr" localSheetId="12">Calibrations!$D$120</definedName>
    <definedName name="xs_flow_all" localSheetId="12">Calibrations!$D$121</definedName>
    <definedName name="xs_wall" localSheetId="12">Calibrations!$D$122</definedName>
    <definedName name="xs_DPD" localSheetId="12">Calibrations!$D$123</definedName>
    <definedName name="xs_cond" localSheetId="12">Calibrations!$D$124</definedName>
    <definedName name="xs_gap" localSheetId="12">Calibrations!$D$125</definedName>
    <definedName name="xs_FE_OER" localSheetId="12">Calibrations!$D$126</definedName>
    <definedName name="xs_knall" localSheetId="12">Calibrations!$D$127</definedName>
    <definedName name="xs_floor" localSheetId="12">Calibrations!$D$128</definedName>
    <definedName name="xs_spflow" localSheetId="12">Calibrations!$D$129</definedName>
    <definedName name="xs_carry" localSheetId="12">Calibrations!$D$130</definedName>
    <definedName name="xs_sinter" localSheetId="12">Calibrations!$D$131</definedName>
    <definedName name="xs_patm" localSheetId="12">Calibrations!$D$132</definedName>
    <definedName name="xs_list">Calibrations!$A$106:$A$132</definedName>
    <definedName name="xr_T_tol" localSheetId="12">Calibrations!$D$135</definedName>
    <definedName name="has_cal_ca" localSheetId="12">Calibrations!$D$136</definedName>
    <definedName name="gerrit_min_ca" localSheetId="12">Calibrations!$D$137</definedName>
    <definedName name="vent_model_ca" localSheetId="12">Calibrations!$D$138</definedName>
    <definedName name="Cl_sel_ca" localSheetId="12">Calibrations!$D$139</definedName>
    <definedName name="carry_flag_ca" localSheetId="12">Calibrations!$D$140</definedName>
    <definedName name="sparger_ca" localSheetId="12">Calibrations!$D$141</definedName>
    <definedName name="P_atm_ca" localSheetId="12">Calibrations!$D$142</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<sst xmlns="http://schemas.openxmlformats.org/spreadsheetml/2006/main" count="4747" uniqueCount="3370">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</sst>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 Id="rId18" Type="http://schemas.openxmlformats.org/officeDocument/2006/relationships/worksheet" Target="worksheets/sheet13.xml"/><Relationship Id="rId19" Type="http://schemas.openxmlformats.org/officeDocument/2006/relationships/worksheet" Target="worksheets/sheet14.xml"/><Relationship Id="rId20" Type="http://schemas.openxmlformats.org/officeDocument/2006/relationships/worksheet" Target="worksheets/sheet15.xml"/><Relationship Id="rId21" Type="http://schemas.openxmlformats.org/officeDocument/2006/relationships/worksheet" Target="worksheets/sheet16.xml"/><Relationship Id="rId22" Type="http://schemas.openxmlformats.org/officeDocument/2006/relationships/worksheet" Target="worksheets/sheet17.xml"/><Relationship Id="rId23" Type="http://schemas.openxmlformats.org/officeDocument/2006/relationships/worksheet" Target="worksheets/sheet18.xml"/><Relationship Id="rId24" Type="http://schemas.openxmlformats.org/officeDocument/2006/relationships/worksheet" Target="worksheets/sheet19.xml"/><Relationship Id="rId25" Type="http://schemas.openxmlformats.org/officeDocument/2006/relationships/worksheet" Target="worksheets/sheet20.xml"/><Relationship Id="rId26" Type="http://schemas.openxmlformats.org/officeDocument/2006/relationships/worksheet" Target="worksheets/sheet21.xml"/><Relationship Id="rId27" Type="http://schemas.openxmlformats.org/officeDocument/2006/relationships/worksheet" Target="worksheets/sheet22.xml"/><Relationship Id="rId28" Type="http://schemas.openxmlformats.org/officeDocument/2006/relationships/worksheet" Target="worksheets/sheet23.xml"/><Relationship Id="rId29" Type="http://schemas.openxmlformats.org/officeDocument/2006/relationships/worksheet" Target="worksheets/sheet24.xml"/><Relationship Id="rId30" Type="http://schemas.openxmlformats.org/officeDocument/2006/relationships/worksheet" Target="worksheets/sheet25.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ables/table2.xml><?xml version="1.0" encoding="utf-8"?>
<table xmlns="http://schemas.openxmlformats.org/spreadsheetml/2006/main" id="2" name="Reactors" displayName="Reactors" ref="A4:B26" headerRowCount="1">
  <tableColumns count="2">
    <tableColumn id="1" name="Reactor"/>
    <tableColumn id="2" name="Type"/>
  </tableColumns>
</table>
</file>

<file path=xl/tables/table3.xml><?xml version="1.0" encoding="utf-8"?>
<table xmlns="http://schemas.openxmlformats.org/spreadsheetml/2006/main" id="3" name="ReactorTypes" displayName="ReactorTypes" ref="D4:L8" headerRowCount="1">
  <tableColumns count="9">
    <tableColumn id="1" name="Type"/>
    <tableColumn id="2" name="Pioreactor"/>
    <tableColumn id="3" name="vial (mL)"/>
    <tableColumn id="4" name="usable depth (mm)"/>
    <tableColumn id="5" name="max working (mL)"/>
    <tableColumn id="6" name="total vial (mL)"/>
    <tableColumn id="7" name="vial OD (mm)"/>
    <tableColumn id="8" name="stir bar L (mm)"/>
    <tableColumn id="9" name="stir bar dia (mm)"/>
  </tableColumns>
</table>
</file>

<file path=xl/tables/table4.xml><?xml version="1.0" encoding="utf-8"?>
<table xmlns="http://schemas.openxmlformats.org/spreadsheetml/2006/main" id="4" name="Electrodes" displayName="Electrodes" ref="A4:N8" headerRowCount="1">
  <tableColumns count="14">
    <tableColumn id="1" name="Electrode"/>
    <tableColumn id="2" name="anode material"/>
    <tableColumn id="3" name="anode dia (mm)"/>
    <tableColumn id="4" name="sparger"/>
    <tableColumn id="5" name="sinter porosity"/>
    <tableColumn id="6" name="cathode"/>
    <tableColumn id="7" name="cathode dia (mm)"/>
    <tableColumn id="8" name="etaF"/>
    <tableColumn id="9" name="z_e_ORR"/>
    <tableColumn id="10" name="anode shape"/>
    <tableColumn id="11" name="anode j cont (mA/cm²)"/>
    <tableColumn id="12" name="anode j max (mA/cm²)"/>
    <tableColumn id="13" name="cathode shape"/>
    <tableColumn id="14" name="material note"/>
  </tableColumns>
</table>
</file>

<file path=xl/tables/table5.xml><?xml version="1.0" encoding="utf-8"?>
<table xmlns="http://schemas.openxmlformats.org/spreadsheetml/2006/main" id="5" name="Organisms" displayName="Organisms" ref="A4:J10" headerRowCount="1">
  <tableColumns count="10">
    <tableColumn id="1" name="Organism"/>
    <tableColumn id="2" name="minimum DO (mg/L)"/>
    <tableColumn id="3" name="optimum DO (mg/L)"/>
    <tableColumn id="4" name="impairment DO (mg/L)"/>
    <tableColumn id="5" name="toxic DO (mg/L)"/>
    <tableColumn id="6" name="DO source"/>
    <tableColumn id="7" name="j optimum (mA/cm²)"/>
    <tableColumn id="8" name="j ceiling (mA/cm²)"/>
    <tableColumn id="9" name="j confidence"/>
    <tableColumn id="10" name="j source"/>
  </tableColumns>
</table>
</file>

<file path=xl/tables/table6.xml><?xml version="1.0" encoding="utf-8"?>
<table xmlns="http://schemas.openxmlformats.org/spreadsheetml/2006/main" id="6" name="CO2Flows" displayName="CO2Flows" ref="A3:L46" headerRowCount="1">
  <tableColumns count="12">
    <tableColumn id="1" name="Reactor"/>
    <tableColumn id="2" name="Date"/>
    <tableColumn id="3" name="Cylinder size (mL)"/>
    <tableColumn id="4" name="Observed volume* (mL)"/>
    <tableColumn id="5" name="Volume (mL)"/>
    <tableColumn id="6" name="Time (s)"/>
    <tableColumn id="7" name="Flow rate (mL/s)">
      <calculatedColumnFormula>IFERROR(CO2Flows[[#This Row],[Volume (mL)]]/CO2Flows[[#This Row],[Time (s)]],"")</calculatedColumnFormula>
    </tableColumn>
    <tableColumn id="8" name="Average flow rate (mL/s)"/>
    <tableColumn id="9" name="Minimum sparge (s)"/>
    <tableColumn id="10" name="Nominal flow rate (mL/s)"/>
    <tableColumn id="11" name="Max flow without carryover (mL/s)"/>
    <tableColumn id="12" name="Excluded from pulse fit (1 = yes)"/>
  </tableColumns>
</table>
</file>

<file path=xl/tables/table7.xml><?xml version="1.0" encoding="utf-8"?>
<table xmlns="http://schemas.openxmlformats.org/spreadsheetml/2006/main" id="7" name="CalCurrent" displayName="CalCurrent" ref="A8:H16" headerRowCount="1">
  <tableColumns count="8">
    <tableColumn id="1" name="Researcher"/>
    <tableColumn id="2" name="Date"/>
    <tableColumn id="3" name="Reactor"/>
    <tableColumn id="4" name="Intensity (%)"/>
    <tableColumn id="5" name="Current (mA)"/>
    <tableColumn id="6" name="Type (auto)">
      <calculatedColumnFormula>IFERROR(INDEX(ReactorTypeList,MATCH(CalCurrent[[#This Row],[Reactor]],ReactorList,0)),"")</calculatedColumnFormula>
    </tableColumn>
    <tableColumn id="7" name="Include?"/>
    <tableColumn id="8" name="Notes"/>
  </tableColumns>
</table>
</file>

<file path=xl/tables/table8.xml><?xml version="1.0" encoding="utf-8"?>
<table xmlns="http://schemas.openxmlformats.org/spreadsheetml/2006/main" id="8" name="CalFaradaic" displayName="CalFaradaic" ref="A8:L16" headerRowCount="1">
  <tableColumns count="12">
    <tableColumn id="1" name="Researcher"/>
    <tableColumn id="2" name="Date"/>
    <tableColumn id="3" name="Reactor"/>
    <tableColumn id="4" name="Charge Q (C)"/>
    <tableColumn id="5" name="Gas volume (mL)"/>
    <tableColumn id="6" name="Temp (°C)"/>
    <tableColumn id="7" name="Pressure (Pa)"/>
    <tableColumn id="8" name="Gas (H2 or O2)"/>
    <tableColumn id="9" name="etaF (computed)">
      <calculatedColumnFormula>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calculatedColumnFormula>
    </tableColumn>
    <tableColumn id="10" name="Type (auto)">
      <calculatedColumnFormula>IFERROR(INDEX(ReactorTypeList,MATCH(CalFaradaic[[#This Row],[Reactor]],ReactorList,0)),"")</calculatedColumnFormula>
    </tableColumn>
    <tableColumn id="11" name="Include?"/>
    <tableColumn id="12" name="Notes"/>
  </tableColumns>
</table>
</file>

<file path=xl/tables/table9.xml><?xml version="1.0" encoding="utf-8"?>
<table xmlns="http://schemas.openxmlformats.org/spreadsheetml/2006/main" id="9" name="CalKLa" displayName="CalKLa" ref="A7:G15" headerRowCount="1">
  <tableColumns count="7">
    <tableColumn id="1" name="Researcher"/>
    <tableColumn id="2" name="Date"/>
    <tableColumn id="3" name="Reactor"/>
    <tableColumn id="4" name="kLa (1/h)"/>
    <tableColumn id="5" name="Type (auto)">
      <calculatedColumnFormula>IFERROR(INDEX(ReactorTypeList,MATCH(CalKLa[[#This Row],[Reactor]],ReactorList,0)),"")</calculatedColumnFormula>
    </tableColumn>
    <tableColumn id="6" name="Include?"/>
    <tableColumn id="7" name="Notes"/>
  </tableColumns>
</table>
</file>

<file path=xl/tables/table10.xml><?xml version="1.0" encoding="utf-8"?>
<table xmlns="http://schemas.openxmlformats.org/spreadsheetml/2006/main" id="10" name="CalFlow" displayName="CalFlow" ref="A8:J16" headerRowCount="1">
  <tableColumns count="10">
    <tableColumn id="1" name="Researcher"/>
    <tableColumn id="2" name="Date"/>
    <tableColumn id="3" name="Reactor"/>
    <tableColumn id="4" name="CO2 volume (mL)"/>
    <tableColumn id="5" name="Time (s)"/>
    <tableColumn id="6" name="Flow (computed, mL/s)">
      <calculatedColumnFormula>IFERROR(CalFlow[[#This Row],[CO2 volume (mL)]]/CalFlow[[#This Row],[Time (s)]],"")</calculatedColumnFormula>
    </tableColumn>
    <tableColumn id="7" name="Type (auto)">
      <calculatedColumnFormula>IFERROR(INDEX(ReactorTypeList,MATCH(CalFlow[[#This Row],[Reactor]],ReactorList,0)),"")</calculatedColumnFormula>
    </tableColumn>
    <tableColumn id="8" name="Include?"/>
    <tableColumn id="9" name="Notes"/>
    <tableColumn id="10" name="Min pulse (s)"/>
  </tableColumns>
</table>
</file>

<file path=xl/tables/table11.xml><?xml version="1.0" encoding="utf-8"?>
<table xmlns="http://schemas.openxmlformats.org/spreadsheetml/2006/main" id="11" name="CalVial" displayName="CalVial" ref="A10:N18" headerRowCount="1">
  <tableColumns count="14">
    <tableColumn id="1" name="Researcher"/>
    <tableColumn id="2" name="Date"/>
    <tableColumn id="3" name="Reactor"/>
    <tableColumn id="4" name="Headspace mass (g)"/>
    <tableColumn id="5" name="Body mass (g)"/>
    <tableColumn id="6" name="Temp (°C)"/>
    <tableColumn id="7" name="V total (computed, mL)">
      <calculatedColumnFormula>IF(CalVial[[#This Row],[Body mass (g)]]="","",IFERROR(CalVial[[#This Row],[Body mass (g)]]/((Calibrations!ca_rho_0+Calibrations!ca_rho_k*CalVial[[#This Row],[Temp (°C)]])/1000),""))</calculatedColumnFormula>
    </tableColumn>
    <tableColumn id="8" name="Volume-equivalent depth (computed, mm)">
      <calculatedColumnFormula>IF(CalVial[[#This Row],[Body mass (g)]]="","",IFERROR((CalVial[[#This Row],[Body mass (g)]]/((Calibrations!ca_rho_0+Calibrations!ca_rho_k*CalVial[[#This Row],[Temp (°C)]])/1000))*1000/Calibrations!A_x,""))</calculatedColumnFormula>
    </tableColumn>
    <tableColumn id="9" name="Type (auto)">
      <calculatedColumnFormula>IFERROR(INDEX(ReactorTypeList,MATCH(CalVial[[#This Row],[Reactor]],ReactorList,0)),"")</calculatedColumnFormula>
    </tableColumn>
    <tableColumn id="10" name="Include?"/>
    <tableColumn id="11" name="Notes"/>
    <tableColumn id="12" name="Headspace (computed, mL)">
      <calculatedColumnFormula>IF(CalVial[[#This Row],[Headspace mass (g)]]="","",IFERROR(CalVial[[#This Row],[Headspace mass (g)]]/((Calibrations!ca_rho_0+Calibrations!ca_rho_k*CalVial[[#This Row],[Temp (°C)]])/1000),""))</calculatedColumnFormula>
    </tableColumn>
    <tableColumn id="13" name="Working-fill mass (g)"/>
    <tableColumn id="14" name="Working fill (computed, mL)">
      <calculatedColumnFormula>IF(CalVial[[#This Row],[Working-fill mass (g)]]="","",IFERROR(CalVial[[#This Row],[Working-fill mass (g)]]/((Calibrations!ca_rho_0+Calibrations!ca_rho_k*CalVial[[#This Row],[Temp (°C)]])/1000),""))</calculatedColumnFormula>
    </tableColumn>
  </tableColumns>
</table>
</file>

<file path=xl/tables/table12.xml><?xml version="1.0" encoding="utf-8"?>
<table xmlns="http://schemas.openxmlformats.org/spreadsheetml/2006/main" id="12" name="CalSinter" displayName="CalSinter" ref="A8:H16" headerRowCount="1">
  <tableColumns count="8">
    <tableColumn id="1" name="Researcher"/>
    <tableColumn id="2" name="Date"/>
    <tableColumn id="3" name="Reactor"/>
    <tableColumn id="4" name="Bubble point (kPa)"/>
    <tableColumn id="5" name="Grade (computed)">
      <calculatedColumnFormula>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calculatedColumnFormula>
    </tableColumn>
    <tableColumn id="6" name="Type (auto)">
      <calculatedColumnFormula>IFERROR(INDEX(ReactorTypeList,MATCH(CalSinter[[#This Row],[Reactor]],ReactorList,0)),"")</calculatedColumnFormula>
    </tableColumn>
    <tableColumn id="7" name="Include?"/>
    <tableColumn id="8" name="Notes"/>
  </tableColumns>
</table>
</file>

<file path=xl/tables/table13.xml><?xml version="1.0" encoding="utf-8"?>
<table xmlns="http://schemas.openxmlformats.org/spreadsheetml/2006/main" id="13" name="CalDO" displayName="CalDO" ref="A10:I18" headerRowCount="1">
  <tableColumns count="9">
    <tableColumn id="1" name="Researcher"/>
    <tableColumn id="2" name="Date"/>
    <tableColumn id="3" name="Organism"/>
    <tableColumn id="4" name="Min DO (mg/L)"/>
    <tableColumn id="5" name="Optimum DO (mg/L)"/>
    <tableColumn id="6" name="Impairment DO (mg/L)"/>
    <tableColumn id="7" name="Toxic DO (mg/L)"/>
    <tableColumn id="8" name="Include?"/>
    <tableColumn id="9" name="Notes"/>
  </tableColumns>
</table>
</file>

<file path=xl/tables/table14.xml><?xml version="1.0" encoding="utf-8"?>
<table xmlns="http://schemas.openxmlformats.org/spreadsheetml/2006/main" id="14" name="CalKnallgas" displayName="CalKnallgas" ref="A9:J17" headerRowCount="1">
  <tableColumns count="10">
    <tableColumn id="1" name="Researcher"/>
    <tableColumn id="2" name="Date"/>
    <tableColumn id="3" name="Organism"/>
    <tableColumn id="4" name="H2"/>
    <tableColumn id="5" name="O2"/>
    <tableColumn id="6" name="CO2"/>
    <tableColumn id="7" name="Include?"/>
    <tableColumn id="8" name="Notes"/>
    <tableColumn id="9" name="O₂ per H₂ (computed)">
      <calculatedColumnFormula>IF(OR(CalKnallgas[[#This Row],[H2]]="",CalKnallgas[[#This Row],[O2]]=""),"",IFERROR(IF(CalKnallgas[[#This Row],[H2]]&gt;0,CalKnallgas[[#This Row],[O2]]/CalKnallgas[[#This Row],[H2]],""),""))</calculatedColumnFormula>
    </tableColumn>
    <tableColumn id="10" name="CO₂ per H₂ (computed)">
      <calculatedColumnFormula>IF(OR(CalKnallgas[[#This Row],[H2]]="",CalKnallgas[[#This Row],[CO2]]=""),"",IFERROR(IF(CalKnallgas[[#This Row],[H2]]&gt;0,CalKnallgas[[#This Row],[CO2]]/CalKnallgas[[#This Row],[H2]],""),""))</calculatedColumnFormula>
    </tableColumn>
  </tableColumns>
</table>
</file>

<file path=xl/tables/table15.xml><?xml version="1.0" encoding="utf-8"?>
<table xmlns="http://schemas.openxmlformats.org/spreadsheetml/2006/main" id="15" name="CalJScreen" displayName="CalJScreen" ref="A8:G16" headerRowCount="1">
  <tableColumns count="7">
    <tableColumn id="1" name="Researcher"/>
    <tableColumn id="2" name="Date"/>
    <tableColumn id="3" name="Organism"/>
    <tableColumn id="4" name="j optimum (mA/cm²)"/>
    <tableColumn id="5" name="j ceiling (mA/cm²)"/>
    <tableColumn id="6" name="Include?"/>
    <tableColumn id="7" name="Notes"/>
  </tableColumns>
</table>
</file>

<file path=xl/tables/table16.xml><?xml version="1.0" encoding="utf-8"?>
<table xmlns="http://schemas.openxmlformats.org/spreadsheetml/2006/main" id="16" name="CalKm" displayName="CalKm" ref="A7:O15" headerRowCount="1">
  <tableColumns count="15">
    <tableColumn id="1" name="Researcher"/>
    <tableColumn id="2" name="Date"/>
    <tableColumn id="3" name="Reactor"/>
    <tableColumn id="4" name="Electrode"/>
    <tableColumn id="5" name="Stir rate (rpm)"/>
    <tableColumn id="6" name="Temp (°C)"/>
    <tableColumn id="7" name="Limiting current (mA)"/>
    <tableColumn id="8" name="Electrode area (cm²)"/>
    <tableColumn id="9" name="Ferricyanide (mM)"/>
    <tableColumn id="10" name="D ferricyanide (m²/s)"/>
    <tableColumn id="11" name="k_m ferricyanide (computed, cm/s)">
      <calculatedColumnFormula>IF(OR(CalKm[[#This Row],[Limiting current (mA)]]="",CalKm[[#This Row],[Electrode area (cm²)]]="",CalKm[[#This Row],[Ferricyanide (mM)]]=""),"",IFERROR((CalKm[[#This Row],[Limiting current (mA)]]/1000)/(Calibrations!n_e_fcn*Calibrations!F_const*(CalKm[[#This Row],[Electrode area (cm²)]]/10000)*CalKm[[#This Row],[Ferricyanide (mM)]])*100,""))</calculatedColumnFormula>
    </tableColumn>
    <tableColumn id="12" name="k_m O₂ (computed, cm/s)">
      <calculatedColumnFormula>IF(OR(CalKm[[#This Row],[k_m ferricyanide (computed, cm/s)]]="",CalKm[[#This Row],[D ferricyanide (m²/s)]]=""),"",IFERROR(CalKm[[#This Row],[k_m ferricyanide (computed, cm/s)]]*(Calibrations!D_O2/CalKm[[#This Row],[D ferricyanide (m²/s)]])^Calibrations!km_exp,""))</calculatedColumnFormula>
    </tableColumn>
    <tableColumn id="13" name="Type (auto)">
      <calculatedColumnFormula>IFERROR(INDEX(ReactorTypeList,MATCH(CalKm[[#This Row],[Reactor]],ReactorList,0)),"")</calculatedColumnFormula>
    </tableColumn>
    <tableColumn id="14" name="Include?"/>
    <tableColumn id="15" name="Notes"/>
  </tableColumns>
</table>
</file>

<file path=xl/tables/table17.xml><?xml version="1.0" encoding="utf-8"?>
<table xmlns="http://schemas.openxmlformats.org/spreadsheetml/2006/main" id="17" name="CalChloramine" displayName="CalChloramine" ref="A7:L15" headerRowCount="1">
  <tableColumns count="12">
    <tableColumn id="1" name="Researcher"/>
    <tableColumn id="2" name="Date"/>
    <tableColumn id="3" name="Reactor"/>
    <tableColumn id="4" name="Medium"/>
    <tableColumn id="5" name="Combined chlorine plateau (mg/L as Cl₂)"/>
    <tableColumn id="6" name="Chloride turnover k (1/s)"/>
    <tableColumn id="7" name="Chloride pool C (mol/L)"/>
    <tableColumn id="8" name="Max production P (mol/L/s)"/>
    <tableColumn id="9" name="Lifetime (computed, h)">
      <calculatedColumnFormula>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calculatedColumnFormula>
    </tableColumn>
    <tableColumn id="10" name="Type (auto)">
      <calculatedColumnFormula>IFERROR(INDEX(ReactorTypeList,MATCH(CalChloramine[[#This Row],[Reactor]],ReactorList,0)),"")</calculatedColumnFormula>
    </tableColumn>
    <tableColumn id="11" name="Include?"/>
    <tableColumn id="12" name="Notes"/>
  </tableColumns>
</table>
</file>

<file path=xl/tables/table18.xml><?xml version="1.0" encoding="utf-8"?>
<table xmlns="http://schemas.openxmlformats.org/spreadsheetml/2006/main" id="18" name="Experiments" displayName="Experiments" ref="A5:J25" headerRowCount="1">
  <tableColumns count="10">
    <tableColumn id="1" name="Researcher"/>
    <tableColumn id="2" name="Date"/>
    <tableColumn id="3" name="Experiment (Summary list)"/>
    <tableColumn id="4" name="Reactor or type"/>
    <tableColumn id="5" name="Electrode"/>
    <tableColumn id="6" name="Organism"/>
    <tableColumn id="7" name="Medium"/>
    <tableColumn id="8" name="Temp (°C)"/>
    <tableColumn id="9" name="Result"/>
    <tableColumn id="10" name="Notes"/>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workbookViewId="0">
      <pane xSplit="1" ySplit="1" topLeftCell="B2" activePane="bottomRight" state="frozen"/>
      <selection pane="bottomRight" activeCell="B2" sqref="B2"/>
    </sheetView>
  </sheetViews>
  <sheetFormatPr baseColWidth="10" defaultColWidth="8.83203125" defaultRowHeight="15" x14ac:dyDescent="0.2"/>
  <cols>
    <col min="1" max="1" width="4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s="270" t="inlineStr">
        <is>
          <t xml:space="preserve">Anode material and sparger. Choose from the list (Electrodes sheet). Dropdown.</t>
        </is>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s="272" t="inlineStr">
        <is>
          <t xml:space="preserve">Per hour: compare with your measured kLa (Calibrations cal_kLa, 1/h); the estimate in use is Mass Transfer D98 (1/s × 3600).</t>
        </is>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s="272" t="inlineStr">
        <is>
          <t xml:space="preserve">Per hour: compare with your measured kLa (Calibrations cal_kLa, 1/h); the estimate in use is Mass Transfer D98 (1/s × 3600).</t>
        </is>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s="272" t="inlineStr">
        <is>
          <t xml:space="preserve">The optimal pulse must exceed the shortest reliable sparge (Cal CO2 flow log Min pulse, else CO2 flows column I, else the default on Mass Transfer D396).</t>
        </is>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s="272" t="inlineStr">
        <is>
          <t xml:space="preserve">Pulse flow against the measured no-carryover maximum for this reactor (CO2 flows column K).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s="272" t="inlineStr">
        <is>
          <t xml:space="preserve">Red until the vial headspace is measured (vial-geometry.md); while red, the pulse above is provisional (~4x uncertain). Once a headspace and its working fill are included in its calibration log it reads OK, because the measured headspace replaces the cylinder approximation.</t>
        </is>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s="272" t="inlineStr">
        <is>
          <t xml:space="preserve">Red = no CO₂-flow calibration for this reactor (neither an included run in the Cal CO2 flow log nor a CO2 flows row); results read 'calibrate first' (flow-calibration.md). Green names the source in use.</t>
        </is>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s="272"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its calibration log.</t>
        </is>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s="272" t="inlineStr">
        <is>
          <t xml:space="preserve">Record the highest flow without liquid carryover for each reactor in CO2 flows column K;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Reactors sheet)." sqref="D2" xr:uid="{FA3410B6-8AF6-B249-BE93-FA08A4FF0457}">
      <formula1>ReactorList</formula1>
    </dataValidation>
    <dataValidation type="list" allowBlank="1" showInputMessage="1" showErrorMessage="1" errorTitle="Not a listed electrode" error="Pick an electrode from the list (Electrodes sheet)." sqref="D3" xr:uid="{855685B5-55D4-4D4A-A812-983FE798F572}">
      <formula1>ElectrodeList</formula1>
    </dataValidation>
    <dataValidation type="list" allowBlank="1" showInputMessage="1" showErrorMessage="1" errorTitle="Not a listed organism" error="Pick an organism from the list (Organisms sheet)." sqref="D4" xr:uid="{F76212D7-0425-984A-B84E-BC6BE12073FA}">
      <formula1>OrganismList</formula1>
    </dataValidation>
    <dataValidation type="list" allowBlank="1" showInputMessage="1" showErrorMessage="1" errorTitle="Not a listed medium" error="Pick a medium from the list (Media sheet)."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x14ac:dyDescent="0.2" hidden="1">
      <c r="A8" s="281"/>
      <c r="B8" s="290"/>
      <c r="C8" s="267"/>
      <c r="D8" s="288"/>
      <c r="E8" s="301"/>
      <c r="F8" s="271"/>
      <c r="G8" s="271"/>
      <c r="H8" s="271"/>
      <c r="I8" s="271"/>
    </row>
    <row r="9" x14ac:dyDescent="0.2" hidden="1">
      <c r="A9" s="281"/>
      <c r="B9" s="290"/>
      <c r="C9" s="267"/>
      <c r="D9" s="288"/>
      <c r="E9" s="301"/>
      <c r="F9" s="271"/>
      <c r="G9" s="271"/>
      <c r="H9" s="271"/>
      <c r="I9" s="271"/>
    </row>
    <row r="10" x14ac:dyDescent="0.2" hidden="1">
      <c r="A10" s="281"/>
      <c r="B10" s="290"/>
      <c r="C10" s="267"/>
      <c r="D10" s="302"/>
      <c r="E10" s="301"/>
      <c r="F10" s="271"/>
      <c r="G10" s="271"/>
      <c r="H10" s="271"/>
      <c r="I10" s="271"/>
    </row>
    <row r="11" x14ac:dyDescent="0.2" hidden="1">
      <c r="A11" s="281"/>
      <c r="B11" s="290"/>
      <c r="C11" s="267"/>
      <c r="D11" s="302"/>
      <c r="E11" s="301"/>
      <c r="F11" s="271"/>
      <c r="G11" s="271"/>
      <c r="H11" s="271"/>
      <c r="I11" s="271"/>
    </row>
    <row r="12" x14ac:dyDescent="0.2" hidden="1">
      <c r="A12" s="281"/>
      <c r="B12" s="290"/>
      <c r="C12" s="267"/>
      <c r="D12" s="302"/>
      <c r="E12" s="301"/>
      <c r="F12" s="271"/>
      <c r="G12" s="271"/>
      <c r="H12" s="271"/>
      <c r="I12" s="271"/>
    </row>
    <row r="13" x14ac:dyDescent="0.2" hidden="1">
      <c r="A13" s="281"/>
      <c r="B13" s="290"/>
      <c r="C13" s="267"/>
      <c r="D13" s="302"/>
      <c r="E13" s="301"/>
      <c r="F13" s="271"/>
      <c r="G13" s="271"/>
      <c r="H13" s="271"/>
      <c r="I13" s="271"/>
    </row>
    <row r="14" x14ac:dyDescent="0.2" hidden="1">
      <c r="A14" s="281"/>
      <c r="B14" s="290"/>
      <c r="C14" s="267"/>
      <c r="D14" s="302"/>
      <c r="E14" s="301"/>
      <c r="F14" s="271"/>
      <c r="G14" s="271"/>
      <c r="H14" s="271"/>
      <c r="I14" s="271"/>
    </row>
    <row r="15" x14ac:dyDescent="0.2" hidden="1">
      <c r="A15" s="281"/>
      <c r="B15" s="290"/>
      <c r="C15" s="267"/>
      <c r="D15" s="302"/>
      <c r="E15" s="301"/>
      <c r="F15" s="271"/>
      <c r="G15" s="271"/>
      <c r="H15" s="271"/>
      <c r="I15" s="271"/>
    </row>
    <row r="16" x14ac:dyDescent="0.2" hidden="1">
      <c r="A16" s="281"/>
      <c r="B16" s="290"/>
      <c r="C16" s="267"/>
      <c r="D16" s="302"/>
      <c r="E16" s="301"/>
      <c r="F16" s="271"/>
      <c r="G16" s="271"/>
      <c r="H16" s="271"/>
      <c r="I16" s="271"/>
    </row>
    <row r="17" x14ac:dyDescent="0.2" hidden="1">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s="278" t="inlineStr">
        <is>
          <t xml:space="preserve">REACTOR AND REACTOR-TYPE LOOKUPS are Tables on the Reactors sheet</t>
        </is>
      </c>
      <c r="B57" s="278"/>
      <c r="C57" s="278"/>
      <c r="D57" s="278"/>
      <c r="E57" s="278"/>
      <c r="F57" s="271"/>
      <c r="G57" s="271"/>
      <c r="H57" s="271"/>
      <c r="I57" s="271"/>
    </row>
    <row r="58" x14ac:dyDescent="0.2"/>
    <row r="59" x14ac:dyDescent="0.2" hidden="1"/>
    <row r="60" x14ac:dyDescent="0.2" hidden="1"/>
    <row r="61" x14ac:dyDescent="0.2" hidden="1"/>
    <row r="62" x14ac:dyDescent="0.2" hidden="1"/>
    <row r="63" x14ac:dyDescent="0.2" hidden="1"/>
    <row r="64" x14ac:dyDescent="0.2" hidden="1"/>
    <row r="65" x14ac:dyDescent="0.2" hidden="1"/>
    <row r="66" x14ac:dyDescent="0.2" hidden="1"/>
    <row r="67" x14ac:dyDescent="0.2" hidden="1"/>
    <row r="68" x14ac:dyDescent="0.2" hidden="1"/>
    <row r="69" x14ac:dyDescent="0.2" hidden="1"/>
    <row r="70" x14ac:dyDescent="0.2" hidden="1"/>
    <row r="71" x14ac:dyDescent="0.2" hidden="1"/>
    <row r="72" x14ac:dyDescent="0.2" hidden="1"/>
    <row r="73" x14ac:dyDescent="0.2" hidden="1"/>
    <row r="74" x14ac:dyDescent="0.2" hidden="1"/>
    <row r="75" x14ac:dyDescent="0.2" hidden="1"/>
    <row r="76" x14ac:dyDescent="0.2" hidden="1"/>
    <row r="77" x14ac:dyDescent="0.2" hidden="1"/>
    <row r="78" x14ac:dyDescent="0.2" hidden="1"/>
    <row r="79" x14ac:dyDescent="0.2" hidden="1"/>
    <row r="80" x14ac:dyDescent="0.2" hidden="1"/>
    <row r="81" x14ac:dyDescent="0.2" hidden="1"/>
    <row r="82" x14ac:dyDescent="0.2" hidden="1"/>
    <row r="83" x14ac:dyDescent="0.2" hidden="1"/>
    <row r="84" x14ac:dyDescent="0.2" hidden="1"/>
    <row r="85" x14ac:dyDescent="0.2" hidden="1"/>
    <row r="86" x14ac:dyDescent="0.2" hidden="1"/>
    <row r="87" x14ac:dyDescent="0.2" hidden="1"/>
    <row r="88" x14ac:dyDescent="0.2" hidden="1">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s="269" t="inlineStr">
        <is>
          <t xml:space="preserve">Fires INCONSISTENT while the headspace comes from the cylinder approximation: the bare cylinder (A_x × usable depth, ~28 mL) overstates the tapered 20 mL vial. Measuring the true headspace (Cal vial log) makes it OK, because the measured headspace then replaces the approximation; the cylinder itself still differs from the vial.</t>
        </is>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s="306" t="inlineStr">
        <is>
          <t xml:space="preserve">Cathodic H₂ faradaic efficiency: a measured value from its calibration log if there is one, otherwise CALCULATED (D88, etaF_calc) from the cathodic O₂ reduction competing for the current. Neutral-pH HER on stainless peaks near 97% before that competition is counted, so the calculated value remains an upper bound.</t>
        </is>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s="306" t="inlineStr">
        <is>
          <t xml:space="preserve">Anodic O₂ faradaic efficiency: an accepted per-electrode measurement from its calibration log if there is one, otherwise CALCULATED (D104) as 1 − the chlorine, metal-dissolution, anodic H₂-oxidation and peroxide-oxidation shares. A mixed-gas screen of the undivided cell cannot separate those contributions (protocols/faradaic-efficiency.md).</t>
        </is>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s="278" t="inlineStr">
        <is>
          <t xml:space="preserve">ELECTRODE LOOKUP is a Table on the Electrodes sheet</t>
        </is>
      </c>
      <c r="B33" s="278"/>
      <c r="C33" s="278"/>
      <c r="D33" s="278"/>
      <c r="E33" s="278"/>
      <c r="F33" s="271"/>
      <c r="G33" s="271"/>
      <c r="H33" s="271"/>
      <c r="I33" s="271"/>
    </row>
    <row r="34" x14ac:dyDescent="0.2"/>
    <row r="35" x14ac:dyDescent="0.2" hidden="1"/>
    <row r="36" x14ac:dyDescent="0.2" hidden="1"/>
    <row r="37" x14ac:dyDescent="0.2" hidden="1"/>
    <row r="38" x14ac:dyDescent="0.2" hidden="1"/>
    <row r="39" x14ac:dyDescent="0.2" hidden="1">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 optimum (mA/cm²)",tbl_strain_hdr,0),FALSE),j_opt_default)))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 ceiling (mA/cm²)",tbl_strain_hdr,0),FALSE),j_ceiling_default)))</f>
        <v>4.0</v>
      </c>
      <c r="E57" t="s" s="303">
        <v>1195</v>
      </c>
    </row>
    <row r="58" x14ac:dyDescent="0.2">
      <c r="A58" t="s" s="265">
        <v>1196</v>
      </c>
      <c r="B58" t="s" s="266">
        <v>1197</v>
      </c>
      <c r="C58" t="s" s="265">
        <v>108</v>
      </c>
      <c r="D58" s="201" t="str">
        <f>IFERROR(VLOOKUP(organism_sel,tbl_strain,MATCH("j 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s="278" t="inlineStr">
        <is>
          <t xml:space="preserve">STRAIN CURRENT-DENSITY TOLERANCE is in the Organisms table (Organisms sheet)</t>
        </is>
      </c>
      <c r="B64" s="278"/>
      <c r="C64" s="278"/>
      <c r="D64" s="278"/>
      <c r="E64" s="278"/>
    </row>
    <row r="65" x14ac:dyDescent="0.2"/>
    <row r="66" x14ac:dyDescent="0.2" hidden="1"/>
    <row r="67" x14ac:dyDescent="0.2" hidden="1"/>
    <row r="68" x14ac:dyDescent="0.2" hidden="1"/>
    <row r="69" x14ac:dyDescent="0.2" hidden="1"/>
    <row r="70" x14ac:dyDescent="0.2" hidden="1"/>
    <row r="71" x14ac:dyDescent="0.2" hidden="1"/>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s="313" t="inlineStr">
        <is>
          <t xml:space="preserve">The measured value from the Cal km log (electrode mass transfer: ferricyanide limiting current scaled to O₂) when a run for this reactor at the Summary rpm and temperature is included; otherwise the swirl-velocity estimate km_O2_default (D165).</t>
        </is>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36" hidden="1"/>
    <row r="137" hidden="1"/>
    <row r="138" hidden="1"/>
    <row r="139" hidden="1"/>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56" hidden="1"/>
    <row r="157" hidden="1"/>
    <row r="158" hidden="1"/>
    <row r="159" hidden="1"/>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s="313"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in its calibration log.</t>
        </is>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2.33203125" bestFit="1" customWidth="1"/>
    <col min="3" max="3" width="13.83203125" bestFit="1" customWidth="1"/>
    <col min="4" max="4" width="18"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hidden="1">
      <c r="A38" s="265"/>
      <c r="B38" s="266"/>
      <c r="C38" s="265"/>
      <c r="D38" s="262"/>
      <c r="E38" s="306"/>
      <c r="F38"/>
      <c r="G38"/>
    </row>
    <row r="39" x14ac:dyDescent="0.2" hidden="1">
      <c r="A39" s="265"/>
      <c r="B39" s="266"/>
      <c r="C39" s="265"/>
      <c r="D39" s="210"/>
      <c r="E39" s="306"/>
      <c r="F39"/>
      <c r="G39"/>
    </row>
    <row r="40" x14ac:dyDescent="0.2" hidden="1">
      <c r="A40" s="265"/>
      <c r="B40" s="266"/>
      <c r="C40" s="265"/>
      <c r="D40" s="210"/>
      <c r="E40" s="306"/>
      <c r="F40"/>
      <c r="G40"/>
    </row>
    <row r="41" x14ac:dyDescent="0.2" hidden="1">
      <c r="A41" s="265"/>
      <c r="B41" s="266"/>
      <c r="C41" s="265"/>
      <c r="D41" s="209"/>
      <c r="E41" s="306"/>
      <c r="F41"/>
      <c r="G41"/>
    </row>
    <row r="42" x14ac:dyDescent="0.2" hidden="1">
      <c r="A42" s="265"/>
      <c r="B42" s="266"/>
      <c r="C42" s="265"/>
      <c r="D42" s="209"/>
      <c r="E42" s="306"/>
      <c r="F42"/>
      <c r="G42"/>
    </row>
    <row r="43" hidden="1"/>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x14ac:dyDescent="0.2" hidden="1">
      <c r="A112" s="278"/>
      <c r="B112" s="278"/>
      <c r="C112" s="278"/>
      <c r="D112" s="278"/>
      <c r="E112" s="278"/>
      <c r="F112"/>
      <c r="G112"/>
    </row>
    <row r="113" x14ac:dyDescent="0.2" hidden="1">
      <c r="A113" s="263"/>
      <c r="B113" s="263"/>
      <c r="C113" s="263"/>
      <c r="D113" s="263"/>
      <c r="E113" s="263"/>
      <c r="F113"/>
      <c r="G113"/>
    </row>
    <row r="114" x14ac:dyDescent="0.2" hidden="1">
      <c r="A114" s="265"/>
      <c r="B114" s="268"/>
      <c r="C114" s="212"/>
      <c r="D114" s="268"/>
      <c r="E114" s="318"/>
      <c r="F114"/>
      <c r="G114"/>
    </row>
    <row r="115" x14ac:dyDescent="0.2" hidden="1">
      <c r="A115" s="265"/>
      <c r="B115" s="268"/>
      <c r="C115" s="212"/>
      <c r="D115" s="268"/>
      <c r="E115" s="318"/>
      <c r="F115"/>
      <c r="G115"/>
    </row>
    <row r="116" x14ac:dyDescent="0.2" hidden="1">
      <c r="A116" s="265"/>
      <c r="B116" s="268"/>
      <c r="C116" s="212"/>
      <c r="D116" s="268"/>
      <c r="E116" s="318"/>
      <c r="F116"/>
      <c r="G116"/>
    </row>
    <row r="117" hidden="1"/>
    <row r="118" hidden="1"/>
    <row r="119" hidden="1"/>
    <row r="120" hidden="1"/>
    <row r="121" hidden="1"/>
    <row r="122" hidden="1"/>
    <row r="123" x14ac:dyDescent="0.2" hidden="1">
      <c r="A123" s="319"/>
    </row>
    <row r="124" hidden="1"/>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s="313" t="inlineStr">
        <is>
          <t xml:space="preserve">Monochloramine residence time: the included calibration for this reactor and medium (Calibrations cal_tau_NH2Cl)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is>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hidden="1">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hidden="1">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40" hidden="1"/>
    <row r="241" hidden="1"/>
    <row r="242" hidden="1"/>
    <row r="243" hidden="1"/>
    <row r="244" hidden="1"/>
    <row r="245" hidden="1"/>
    <row r="246" hidden="1"/>
    <row r="247" hidden="1"/>
    <row r="248" hidden="1"/>
    <row r="249" hidden="1"/>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62" hidden="1"/>
    <row r="263" hidden="1"/>
    <row r="264" hidden="1"/>
    <row r="265" hidden="1"/>
    <row r="266" hidden="1"/>
    <row r="267" hidden="1"/>
    <row r="268" hidden="1"/>
    <row r="269" hidden="1"/>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82" hidden="1"/>
    <row r="283" hidden="1"/>
    <row r="284" hidden="1"/>
    <row r="285" hidden="1"/>
    <row r="286" hidden="1"/>
    <row r="287" hidden="1"/>
    <row r="288" hidden="1"/>
    <row r="289" hidden="1"/>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s="313" t="inlineStr">
        <is>
          <t xml:space="preserve">Time combined chlorine persists before consumption (growth N-uptake, cathodic reduction, dilution). Lit: minutes–hours; system-specific value unknown, so 1 h is a weak central estimate until a DPD run is entered in its calibration log.</t>
        </is>
      </c>
    </row>
    <row r="315" x14ac:dyDescent="0.2" ht="64.5" customHeight="1">
      <c r="A315" t="s" s="265">
        <v>2890</v>
      </c>
      <c r="B315" t="s" s="266">
        <v>2891</v>
      </c>
      <c r="C315" t="s" s="265">
        <v>968</v>
      </c>
      <c r="D315" s="209">
        <f>I_Cl_FE/(n_e_Cl*Fcc*VLc)</f>
        <v>9.828782391026e-07</v>
      </c>
      <c r="E315" s="313" t="inlineStr">
        <is>
          <t xml:space="preserve">The production ceiling P in the chloramine steady state (the second term of D311): the CER-efficiency-limited current as mol/L/s. Read with D271 and D47 to turn a DPD plateau into a lifetime (Cal chloramine log).</t>
        </is>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hidden="1">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 (mg/L)",tbl_organism_hdr,0),FALSE)),VLOOKUP(organism_sel,tbl_organism,MATCH("minimum DO (mg/L)",tbl_organism_hdr,0),FALSE),NA()))</f>
        <v>#N/A</v>
      </c>
      <c r="E45" s="313" t="inlineStr">
        <is>
          <t xml:space="preserve">The Cal DO log if a value is included for this organism, otherwise the Organisms table (column "minimum DO (mg/L)");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 (mg/L)",tbl_organism_hdr,0),FALSE)),VLOOKUP(organism_sel,tbl_organism,MATCH("optimum DO (mg/L)",tbl_organism_hdr,0),FALSE),NA()))</f>
        <v>#N/A</v>
      </c>
      <c r="E46" s="313" t="inlineStr">
        <is>
          <t xml:space="preserve">The Cal DO log if a value is included for this organism, otherwise the Organisms table (column "optimum DO (mg/L)");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 (mg/L)",tbl_organism_hdr,0),FALSE)),VLOOKUP(organism_sel,tbl_organism,MATCH("impairment DO (mg/L)",tbl_organism_hdr,0),FALSE),NA()))</f>
        <v>#N/A</v>
      </c>
      <c r="E47" s="313" t="inlineStr">
        <is>
          <t xml:space="preserve">The Cal DO log if a value is included for this organism, otherwise the Organisms table (column "impairment DO (mg/L)");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 (mg/L)",tbl_organism_hdr,0),FALSE)),VLOOKUP(organism_sel,tbl_organism,MATCH("toxic DO (mg/L)",tbl_organism_hdr,0),FALSE),NA()))</f>
        <v>#N/A</v>
      </c>
      <c r="E48" s="313" t="inlineStr">
        <is>
          <t xml:space="preserve">The Cal DO log if a value is included for this organism, otherwise the Organisms table (column "toxic DO (mg/L)"); #N/A = a data gap, to be measured (Summary row 144).</t>
        </is>
      </c>
      <c r="F48" s="271"/>
    </row>
    <row r="49" x14ac:dyDescent="0.2">
      <c r="A49" s="271"/>
      <c r="B49" s="311"/>
      <c r="C49" s="311"/>
      <c r="D49" s="311"/>
      <c r="E49" s="311"/>
      <c r="F49" s="271"/>
    </row>
    <row r="50" x14ac:dyDescent="0.2">
      <c r="A50" s="278" t="inlineStr">
        <is>
          <t xml:space="preserve">ORGANISM DISSOLVED-O₂ THRESHOLDS are in the Organisms table (Organisms sheet)</t>
        </is>
      </c>
      <c r="B50" s="278"/>
      <c r="C50" s="278"/>
      <c r="D50" s="278"/>
      <c r="E50" s="278"/>
      <c r="F50" s="271"/>
    </row>
    <row r="51" x14ac:dyDescent="0.2"/>
    <row r="52" x14ac:dyDescent="0.2" hidden="1"/>
    <row r="53" x14ac:dyDescent="0.2" hidden="1"/>
    <row r="54" x14ac:dyDescent="0.2" hidden="1"/>
    <row r="55" x14ac:dyDescent="0.2" hidden="1"/>
    <row r="56" x14ac:dyDescent="0.2" hidden="1"/>
    <row r="57" x14ac:dyDescent="0.2" hidden="1"/>
    <row r="58" x14ac:dyDescent="0.2" hidden="1">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69" hidden="1"/>
    <row r="70" hidden="1"/>
    <row r="71" hidden="1"/>
    <row r="72" hidden="1"/>
    <row r="73" hidden="1"/>
    <row r="74" hidden="1"/>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4" hidden="1"/>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00" hidden="1"/>
    <row r="101" hidden="1"/>
    <row r="102" hidden="1"/>
    <row r="103" hidden="1"/>
    <row r="104" hidden="1"/>
    <row r="105" hidden="1"/>
    <row r="106" hidden="1"/>
    <row r="107" hidden="1"/>
    <row r="108" hidden="1"/>
    <row r="109" hidden="1"/>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313" t="inlineStr">
        <is>
          <t xml:space="preserve">Pulse flow (Q_CO2) against the measured per-reactor no-carryover maximum (D413, CO2 flows column K). "not measured" until a value is entered, never a default OK. The superficial-velocity rule is the secondary line D414.</t>
        </is>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hidden="1">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s="303" t="inlineStr">
        <is>
          <t xml:space="preserve">What §11 actually uses: the measured surface kLa if one has been entered in its calibration log (in 1/h), otherwise the penetration-theory estimate. The ISNUMBER test matters — an empty calibration returns a message, and in Excel text sorts above every number, so a bare "&gt;0" test would have accepted it.</t>
        </is>
      </c>
      <c r="F98" s="271"/>
    </row>
    <row r="99" x14ac:dyDescent="0.2">
      <c r="A99" t="s" s="265">
        <v>676</v>
      </c>
      <c r="B99" t="s" s="266">
        <v>677</v>
      </c>
      <c r="C99" t="s" s="265">
        <v>12</v>
      </c>
      <c r="D99" s="199">
        <f>min_sparge_cal</f>
        <v>0.25</v>
      </c>
      <c r="E99" s="310" t="inlineStr">
        <is>
          <t xml:space="preserve">Solenoid floor in use = min_sparge_cal (D118): calibration log Min pulse, else CO2 flows column I, else pulse_floor_default (D396).</t>
        </is>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s="310" t="inlineStr">
        <is>
          <t xml:space="preserve">Prefers the CO₂-flow calibration recorded in its calibration log (cal_flow); falls back to the per-reactor table on the CO2 flows sheet when no calibration run is included. Either route switches the reactor on (has_cal, D119).</t>
        </is>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s="310" t="inlineStr">
        <is>
          <t xml:space="preserve">Solenoid floor for the selected reactor, same precedence as the flow (D117): the latest included Min pulse in its calibration log (cal_pulse_floor, CO₂-flow column J); otherwise the CO2 flows column I average on the latest date; otherwise pulse_floor_default (D396).</t>
        </is>
      </c>
      <c r="F118" s="271"/>
    </row>
    <row r="119" x14ac:dyDescent="0.2">
      <c r="A119" t="s" s="265">
        <v>711</v>
      </c>
      <c r="B119" t="s" s="266">
        <v>712</v>
      </c>
      <c r="C119" t="s" s="265">
        <v>713</v>
      </c>
      <c r="D119" s="277">
        <f>SUMPRODUCT((co2f_reactor=Reactor)*(co2f_nominal&gt;0)*1)+IF(ISNUMBER(cal_flow),1,0)</f>
        <v>1.0</v>
      </c>
      <c r="E119" s="310" t="inlineStr">
        <is>
          <t xml:space="preserve">Calibration count for the selected reactor: CO2 flows rows with a nominal flowrate (column J), plus 1 when the Cal CO2 flow log has an included run (cal_flow). 0 = uncalibrated: Q_CO2 and every schedule result read "calibrate this reactor first".</t>
        </is>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hidden="1">
      <c r="A154" s="281"/>
      <c r="B154" s="290"/>
      <c r="C154" s="267"/>
      <c r="D154" s="326"/>
      <c r="E154" s="276"/>
      <c r="F154" s="271"/>
    </row>
    <row r="155" x14ac:dyDescent="0.2" hidden="1">
      <c r="A155" s="281"/>
      <c r="B155" s="290"/>
      <c r="C155" s="267"/>
      <c r="D155" s="326"/>
      <c r="E155" s="276"/>
      <c r="F155" s="271"/>
    </row>
    <row r="156" x14ac:dyDescent="0.2" hidden="1">
      <c r="A156" s="281"/>
      <c r="B156" s="290"/>
      <c r="C156" s="267"/>
      <c r="D156" s="326"/>
      <c r="E156" s="276"/>
      <c r="F156" s="271"/>
    </row>
    <row r="157" x14ac:dyDescent="0.2" hidden="1">
      <c r="A157" s="281"/>
      <c r="B157" s="290"/>
      <c r="C157" s="267"/>
      <c r="D157" s="326"/>
      <c r="E157" s="276"/>
      <c r="F157" s="271"/>
    </row>
    <row r="158" x14ac:dyDescent="0.2" hidden="1">
      <c r="A158" s="281"/>
      <c r="B158" s="290"/>
      <c r="C158" s="267"/>
      <c r="D158" s="326"/>
      <c r="E158" s="276"/>
      <c r="F158" s="271"/>
    </row>
    <row r="159" x14ac:dyDescent="0.2" hidden="1">
      <c r="A159" s="281"/>
      <c r="B159" s="290"/>
      <c r="C159" s="267"/>
      <c r="D159" s="326"/>
      <c r="E159" s="276"/>
      <c r="F159" s="271"/>
    </row>
    <row r="160" x14ac:dyDescent="0.2" hidden="1">
      <c r="A160" s="281"/>
      <c r="B160" s="290"/>
      <c r="C160" s="267"/>
      <c r="D160" s="326"/>
      <c r="E160" s="276"/>
      <c r="F160" s="271"/>
    </row>
    <row r="161" x14ac:dyDescent="0.2" hidden="1">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18" hidden="1"/>
    <row r="219" hidden="1"/>
    <row r="220" hidden="1"/>
    <row r="221" hidden="1"/>
    <row r="222" hidden="1"/>
    <row r="223" hidden="1"/>
    <row r="224" hidden="1"/>
    <row r="225" hidden="1"/>
    <row r="226" hidden="1"/>
    <row r="227" hidden="1"/>
    <row r="228" hidden="1"/>
    <row r="229" hidden="1"/>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34" hidden="1"/>
    <row r="235" hidden="1"/>
    <row r="236" hidden="1"/>
    <row r="237" hidden="1"/>
    <row r="238" hidden="1"/>
    <row r="239" hidden="1"/>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s="313" t="inlineStr">
        <is>
          <t xml:space="preserve">Weak estimate: the shortest pulse logged for ed04 (CO2 flows I4, 0.25 s), used only for a reactor calibrated in its calibration log with no Min pulse entry and no CO2 flows row. Confirm per reactor (flow-calibration.md, minimum-pulse step).</t>
        </is>
      </c>
    </row>
    <row r="398" hidden="1"/>
    <row r="399" hidden="1"/>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s="310" t="inlineStr">
        <is>
          <t xml:space="preserve">CO2 flows rows with a pulse time (F &gt; 0) for the selected reactor, less those flagged 1 in column L (the red outliers). SUMPRODUCT normal equations: no dynamic arrays, no CSE.</t>
        </is>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s="313" t="inlineStr">
        <is>
          <t xml:space="preserve">Least-squares intercept (R2-M3): ed04 0.375 mL (0.327 if the 15 s run is dropped, 0.131 on ≤2 s runs only). Weak: captured at the inlet tube over CO₂-saturated water / NaHCO₃ (CO2 flows notes O7–O9), ±0.2 mL. 0 while a calibration-log flow is in use (steady flow, intercept unknown) until the per-pulse volume is re-measured downstream of a sealed cap.</t>
        </is>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s="310" t="inlineStr">
        <is>
          <t xml:space="preserve">Rows of CO2 flows column K with a value for the selected reactor (review R3 M-17).</t>
        </is>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s="307" t="inlineStr">
        <is>
          <t xml:space="preserve">DATA GAP until measured (CO2 flows column K). The lowest entry for the reactor is used (conservative). Key O3 says the nominal flow was set as the largest without bubbles reaching the neck; if that run is taken as the measurement, enter J4 in M4.</t>
        </is>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8" hidden="1"/>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tabColor theme="9"/>
  </sheetPr>
  <dimension ref="A1:O46"/>
  <sheetViews>
    <sheetView workbookViewId="0">
      <pane ySplit="3" topLeftCell="A4" activePane="bottomLeft" state="frozen"/>
      <selection pane="bottomLeft" activeCell="A4" sqref="A4"/>
    </sheetView>
  </sheetViews>
  <sheetFormatPr defaultRowHeight="15"/>
  <cols>
    <col min="1" max="1" width="10" customWidth="1"/>
    <col min="2" max="2" width="11" customWidth="1"/>
    <col min="3" max="12" width="13" customWidth="1"/>
    <col min="13" max="13" width="3" customWidth="1"/>
    <col min="14" max="14" width="10" customWidth="1"/>
    <col min="15" max="15" width="70" customWidth="1"/>
  </cols>
  <sheetData>
    <row r="1">
      <c r="A1" s="263" t="inlineStr">
        <is>
          <t xml:space="preserve">CO₂ DOSING FLOW RATES – one row per measurement; the model fits every row of the table</t>
        </is>
      </c>
      <c r="B1" s="263"/>
      <c r="C1" s="263"/>
      <c r="D1" s="263"/>
      <c r="E1" s="263"/>
      <c r="F1" s="263"/>
      <c r="G1" s="263"/>
      <c r="H1" s="263"/>
      <c r="I1" s="263"/>
      <c r="J1" s="263"/>
      <c r="K1" s="263"/>
      <c r="L1" s="263"/>
    </row>
    <row r="2">
      <c r="A2" s="269" t="inlineStr">
        <is>
          <t xml:space="preserve">Add a measurement: type it in the first empty row under the table (the table grows on its own; every row is used). Enter the volume collected in Volume (mL), either directly or as a formula from the cylinder readings in column D, and the open time in Time (s); the flow rate then fills itself.</t>
        </is>
      </c>
      <c r="O2" s="263" t="inlineStr">
        <is>
          <t xml:space="preserve">KEY (as the Summary Key)</t>
        </is>
      </c>
    </row>
    <row r="3" ht="45" customHeight="1">
      <c r="A3" s="264" t="inlineStr">
        <is>
          <t xml:space="preserve">Reactor</t>
        </is>
      </c>
      <c r="B3" s="264" t="inlineStr">
        <is>
          <t xml:space="preserve">Date</t>
        </is>
      </c>
      <c r="C3" s="264" t="inlineStr">
        <is>
          <t xml:space="preserve">Cylinder size (mL)</t>
        </is>
      </c>
      <c r="D3" s="264" t="inlineStr">
        <is>
          <t xml:space="preserve">Observed volume* (mL)</t>
        </is>
      </c>
      <c r="E3" s="264" t="inlineStr">
        <is>
          <t xml:space="preserve">Volume (mL)</t>
        </is>
      </c>
      <c r="F3" s="264" t="inlineStr">
        <is>
          <t xml:space="preserve">Time (s)</t>
        </is>
      </c>
      <c r="G3" s="264" t="inlineStr">
        <is>
          <t xml:space="preserve">Flow rate (mL/s)</t>
        </is>
      </c>
      <c r="H3" s="264" t="inlineStr">
        <is>
          <t xml:space="preserve">Average flow rate (mL/s)</t>
        </is>
      </c>
      <c r="I3" s="264" t="inlineStr">
        <is>
          <t xml:space="preserve">Minimum sparge (s)</t>
        </is>
      </c>
      <c r="J3" s="264" t="inlineStr">
        <is>
          <t xml:space="preserve">Nominal flow rate (mL/s)</t>
        </is>
      </c>
      <c r="K3" s="264" t="inlineStr">
        <is>
          <t xml:space="preserve">Max flow without carryover (mL/s)</t>
        </is>
      </c>
      <c r="L3" s="264" t="inlineStr">
        <is>
          <t xml:space="preserve">Excluded from pulse fit (1 = yes)</t>
        </is>
      </c>
      <c r="O3" s="327" t="inlineStr">
        <is>
          <t xml:space="preserve">Weak estimate: J4 nominal flow and F5 timing set by inspection. E5 is a calculated volume. Input and formula fonts follow the Summary Key; confidence is recorded here.</t>
        </is>
      </c>
    </row>
    <row r="4">
      <c r="A4" s="268" t="inlineStr">
        <is>
          <t xml:space="preserve">ed04</t>
        </is>
      </c>
      <c r="B4" s="227">
        <v>46190.0</v>
      </c>
      <c r="C4" s="268">
        <v>50.0</v>
      </c>
      <c r="D4" s="268">
        <v>0.0</v>
      </c>
      <c r="E4" s="271"/>
      <c r="F4" s="271"/>
      <c r="G4" s="198" t="str">
        <f>IFERROR(CO2Flows[[#This Row],[Volume (mL)]]/CO2Flows[[#This Row],[Time (s)]],"")</f>
        <v/>
      </c>
      <c r="H4" s="271"/>
      <c r="I4" s="268">
        <v>0.25</v>
      </c>
      <c r="J4" s="268">
        <v>3.33</v>
      </c>
      <c r="K4" s="271"/>
      <c r="L4" s="271"/>
      <c r="O4" s="265" t="inlineStr">
        <is>
          <t xml:space="preserve">Problem: point excluded from the pulse fit as a suspect outlier (column L = 1)</t>
        </is>
      </c>
    </row>
    <row r="5">
      <c r="A5" s="268" t="inlineStr">
        <is>
          <t xml:space="preserve">ed04</t>
        </is>
      </c>
      <c r="B5" s="227">
        <v>46190.0</v>
      </c>
      <c r="C5" s="268">
        <v>50.0</v>
      </c>
      <c r="D5" s="268">
        <v>50.0</v>
      </c>
      <c r="E5" s="277">
        <f>D5-D4</f>
        <v>50.0</v>
      </c>
      <c r="F5" s="268">
        <v>15.0</v>
      </c>
      <c r="G5" s="198">
        <f>IFERROR(CO2Flows[[#This Row],[Volume (mL)]]/CO2Flows[[#This Row],[Time (s)]],"")</f>
        <v>3.333333333333</v>
      </c>
      <c r="H5" s="198">
        <f>AVERAGE(G5)</f>
        <v>3.333333333333</v>
      </c>
      <c r="I5" s="271"/>
      <c r="J5" s="271"/>
      <c r="K5" s="271"/>
      <c r="L5" s="331"/>
    </row>
    <row r="6">
      <c r="A6" s="268" t="inlineStr">
        <is>
          <t xml:space="preserve">ed04</t>
        </is>
      </c>
      <c r="B6" s="227">
        <v>46190.0</v>
      </c>
      <c r="C6" s="268">
        <v>50.0</v>
      </c>
      <c r="D6" s="268">
        <v>0.0</v>
      </c>
      <c r="E6" s="271"/>
      <c r="F6" s="271"/>
      <c r="G6" s="198" t="str">
        <f>IFERROR(CO2Flows[[#This Row],[Volume (mL)]]/CO2Flows[[#This Row],[Time (s)]],"")</f>
        <v/>
      </c>
      <c r="H6" s="271"/>
      <c r="I6" s="271"/>
      <c r="J6" s="271"/>
      <c r="K6" s="271"/>
      <c r="L6" s="271"/>
      <c r="N6" s="263" t="inlineStr">
        <is>
          <t xml:space="preserve">Point</t>
        </is>
      </c>
      <c r="O6" s="263" t="inlineStr">
        <is>
          <t xml:space="preserve">Note</t>
        </is>
      </c>
    </row>
    <row r="7">
      <c r="A7" s="268" t="inlineStr">
        <is>
          <t xml:space="preserve">ed04</t>
        </is>
      </c>
      <c r="B7" s="227">
        <v>46190.0</v>
      </c>
      <c r="C7" s="268">
        <v>50.0</v>
      </c>
      <c r="D7" s="268">
        <v>12.0</v>
      </c>
      <c r="E7" s="277">
        <f>D7-D6</f>
        <v>12.0</v>
      </c>
      <c r="F7" s="268">
        <v>4.0</v>
      </c>
      <c r="G7" s="198">
        <f>IFERROR(CO2Flows[[#This Row],[Volume (mL)]]/CO2Flows[[#This Row],[Time (s)]],"")</f>
        <v>3.0</v>
      </c>
      <c r="H7" s="198">
        <f>AVERAGE(G7:G9)</f>
        <v>3.333333333333</v>
      </c>
      <c r="I7" s="271"/>
      <c r="J7" s="271"/>
      <c r="K7" s="271"/>
      <c r="L7" s="328"/>
      <c r="N7" s="269" t="inlineStr">
        <is>
          <t xml:space="preserve">*</t>
        </is>
      </c>
      <c r="O7" s="269" t="inlineStr">
        <is>
          <t xml:space="preserve">CO2 collected in measuring cylinder over CO2-saturated water</t>
        </is>
      </c>
    </row>
    <row r="8">
      <c r="A8" s="268" t="inlineStr">
        <is>
          <t xml:space="preserve">ed04</t>
        </is>
      </c>
      <c r="B8" s="227">
        <v>46190.0</v>
      </c>
      <c r="C8" s="268">
        <v>50.0</v>
      </c>
      <c r="D8" s="268">
        <v>26.0</v>
      </c>
      <c r="E8" s="277">
        <f>D8-D7</f>
        <v>14.0</v>
      </c>
      <c r="F8" s="268">
        <v>4.0</v>
      </c>
      <c r="G8" s="198">
        <f>IFERROR(CO2Flows[[#This Row],[Volume (mL)]]/CO2Flows[[#This Row],[Time (s)]],"")</f>
        <v>3.5</v>
      </c>
      <c r="H8" s="271"/>
      <c r="I8" s="271"/>
      <c r="J8" s="271"/>
      <c r="K8" s="271"/>
      <c r="L8" s="271"/>
      <c r="N8" s="227">
        <v>46190.0</v>
      </c>
      <c r="O8" s="269" t="inlineStr">
        <is>
          <t xml:space="preserve">Collected using inlet CO2 tube rather than outlet as MEP vialcap leaking</t>
        </is>
      </c>
    </row>
    <row r="9">
      <c r="A9" s="268" t="inlineStr">
        <is>
          <t xml:space="preserve">ed04</t>
        </is>
      </c>
      <c r="B9" s="227">
        <v>46190.0</v>
      </c>
      <c r="C9" s="268">
        <v>50.0</v>
      </c>
      <c r="D9" s="268">
        <v>40.0</v>
      </c>
      <c r="E9" s="277">
        <f>D9-D8</f>
        <v>14.0</v>
      </c>
      <c r="F9" s="268">
        <v>4.0</v>
      </c>
      <c r="G9" s="198">
        <f>IFERROR(CO2Flows[[#This Row],[Volume (mL)]]/CO2Flows[[#This Row],[Time (s)]],"")</f>
        <v>3.5</v>
      </c>
      <c r="H9" s="271"/>
      <c r="I9" s="271"/>
      <c r="J9" s="271"/>
      <c r="K9" s="271"/>
      <c r="L9" s="271"/>
      <c r="N9" s="227">
        <v>46190.0</v>
      </c>
      <c r="O9" s="269" t="inlineStr">
        <is>
          <t xml:space="preserve">Collected over saturated NaHCO3 solution</t>
        </is>
      </c>
    </row>
    <row r="10">
      <c r="A10" s="268" t="inlineStr">
        <is>
          <t xml:space="preserve">ed04</t>
        </is>
      </c>
      <c r="B10" s="227">
        <v>46190.0</v>
      </c>
      <c r="C10" s="268">
        <v>50.0</v>
      </c>
      <c r="D10" s="268">
        <v>0.0</v>
      </c>
      <c r="E10" s="271"/>
      <c r="F10" s="271"/>
      <c r="G10" s="198" t="str">
        <f>IFERROR(CO2Flows[[#This Row],[Volume (mL)]]/CO2Flows[[#This Row],[Time (s)]],"")</f>
        <v/>
      </c>
      <c r="H10" s="271"/>
      <c r="I10" s="271"/>
      <c r="J10" s="271"/>
      <c r="K10" s="271"/>
      <c r="L10" s="271"/>
      <c r="O10" s="269" t="inlineStr">
        <is>
          <t xml:space="preserve">Column K: highest steady flow at which no liquid is carried into the vial neck or vent for this reactor (measured; blank = not measured, and Mass Transfer carry_flag then reads "not measured"). If the lowest entry for the reactor is below the pulse flow, carry_flag reads RISK.</t>
        </is>
      </c>
    </row>
    <row r="11">
      <c r="A11" s="268" t="inlineStr">
        <is>
          <t xml:space="preserve">ed04</t>
        </is>
      </c>
      <c r="B11" s="227">
        <v>46190.0</v>
      </c>
      <c r="C11" s="268">
        <v>50.0</v>
      </c>
      <c r="D11" s="268">
        <v>6.0</v>
      </c>
      <c r="E11" s="277">
        <f>D11-D10</f>
        <v>6.0</v>
      </c>
      <c r="F11" s="268">
        <v>2.0</v>
      </c>
      <c r="G11" s="198">
        <f>IFERROR(CO2Flows[[#This Row],[Volume (mL)]]/CO2Flows[[#This Row],[Time (s)]],"")</f>
        <v>3.0</v>
      </c>
      <c r="H11" s="198">
        <f>AVERAGE(G11:G16)</f>
        <v>3.75</v>
      </c>
      <c r="I11" s="271"/>
      <c r="J11" s="271"/>
      <c r="K11" s="271"/>
      <c r="L11" s="271"/>
      <c r="O11" s="269" t="inlineStr">
        <is>
          <t xml:space="preserve">Column L: 1 = point excluded from the pulse-volume fit V = V₀ + Q·t on Mass Transfer (rows 401–408); 1 is set on the two red outliers (G36, G46). Blank = used.</t>
        </is>
      </c>
    </row>
    <row r="12">
      <c r="A12" s="268" t="inlineStr">
        <is>
          <t xml:space="preserve">ed04</t>
        </is>
      </c>
      <c r="B12" s="227">
        <v>46190.0</v>
      </c>
      <c r="C12" s="268">
        <v>50.0</v>
      </c>
      <c r="D12" s="268">
        <v>15.0</v>
      </c>
      <c r="E12" s="277">
        <f>D12-D11</f>
        <v>9.0</v>
      </c>
      <c r="F12" s="268">
        <v>2.0</v>
      </c>
      <c r="G12" s="198">
        <f>IFERROR(CO2Flows[[#This Row],[Volume (mL)]]/CO2Flows[[#This Row],[Time (s)]],"")</f>
        <v>4.5</v>
      </c>
      <c r="H12" s="271"/>
      <c r="I12" s="271"/>
      <c r="J12" s="271"/>
      <c r="K12" s="271"/>
      <c r="L12" s="271"/>
    </row>
    <row r="13">
      <c r="A13" s="268" t="inlineStr">
        <is>
          <t xml:space="preserve">ed04</t>
        </is>
      </c>
      <c r="B13" s="227">
        <v>46190.0</v>
      </c>
      <c r="C13" s="268">
        <v>50.0</v>
      </c>
      <c r="D13" s="268">
        <v>21.0</v>
      </c>
      <c r="E13" s="277">
        <f>D13-D12</f>
        <v>6.0</v>
      </c>
      <c r="F13" s="268">
        <v>2.0</v>
      </c>
      <c r="G13" s="198">
        <f>IFERROR(CO2Flows[[#This Row],[Volume (mL)]]/CO2Flows[[#This Row],[Time (s)]],"")</f>
        <v>3.0</v>
      </c>
      <c r="H13" s="271"/>
      <c r="I13" s="271"/>
      <c r="J13" s="271"/>
      <c r="K13" s="271"/>
      <c r="L13" s="271"/>
    </row>
    <row r="14">
      <c r="A14" s="268" t="inlineStr">
        <is>
          <t xml:space="preserve">ed04</t>
        </is>
      </c>
      <c r="B14" s="227">
        <v>46190.0</v>
      </c>
      <c r="C14" s="268">
        <v>50.0</v>
      </c>
      <c r="D14" s="268">
        <v>29.0</v>
      </c>
      <c r="E14" s="277">
        <f>D14-D13</f>
        <v>8.0</v>
      </c>
      <c r="F14" s="268">
        <v>2.0</v>
      </c>
      <c r="G14" s="198">
        <f>IFERROR(CO2Flows[[#This Row],[Volume (mL)]]/CO2Flows[[#This Row],[Time (s)]],"")</f>
        <v>4.0</v>
      </c>
      <c r="H14" s="271"/>
      <c r="I14" s="271"/>
      <c r="J14" s="271"/>
      <c r="K14" s="271"/>
      <c r="L14" s="271"/>
    </row>
    <row r="15">
      <c r="A15" s="268" t="inlineStr">
        <is>
          <t xml:space="preserve">ed04</t>
        </is>
      </c>
      <c r="B15" s="227">
        <v>46190.0</v>
      </c>
      <c r="C15" s="268">
        <v>50.0</v>
      </c>
      <c r="D15" s="268">
        <v>35.0</v>
      </c>
      <c r="E15" s="277">
        <f>D15-D14</f>
        <v>6.0</v>
      </c>
      <c r="F15" s="268">
        <v>2.0</v>
      </c>
      <c r="G15" s="198">
        <f>IFERROR(CO2Flows[[#This Row],[Volume (mL)]]/CO2Flows[[#This Row],[Time (s)]],"")</f>
        <v>3.0</v>
      </c>
      <c r="H15" s="271"/>
      <c r="I15" s="271"/>
      <c r="J15" s="271"/>
      <c r="K15" s="271"/>
      <c r="L15" s="271"/>
    </row>
    <row r="16">
      <c r="A16" s="268" t="inlineStr">
        <is>
          <t xml:space="preserve">ed04</t>
        </is>
      </c>
      <c r="B16" s="227">
        <v>46190.0</v>
      </c>
      <c r="C16" s="268">
        <v>50.0</v>
      </c>
      <c r="D16" s="268">
        <v>45.0</v>
      </c>
      <c r="E16" s="277">
        <f>D16-D15</f>
        <v>10.0</v>
      </c>
      <c r="F16" s="268">
        <v>2.0</v>
      </c>
      <c r="G16" s="198">
        <f>IFERROR(CO2Flows[[#This Row],[Volume (mL)]]/CO2Flows[[#This Row],[Time (s)]],"")</f>
        <v>5.0</v>
      </c>
      <c r="H16" s="271"/>
      <c r="I16" s="271"/>
      <c r="J16" s="271"/>
      <c r="K16" s="271"/>
      <c r="L16" s="271"/>
    </row>
    <row r="17">
      <c r="A17" s="268" t="inlineStr">
        <is>
          <t xml:space="preserve">ed04</t>
        </is>
      </c>
      <c r="B17" s="227">
        <v>46190.0</v>
      </c>
      <c r="C17" s="268">
        <v>50.0</v>
      </c>
      <c r="D17" s="268">
        <v>0.0</v>
      </c>
      <c r="E17" s="271"/>
      <c r="F17" s="271"/>
      <c r="G17" s="198" t="str">
        <f>IFERROR(CO2Flows[[#This Row],[Volume (mL)]]/CO2Flows[[#This Row],[Time (s)]],"")</f>
        <v/>
      </c>
      <c r="H17" s="271"/>
      <c r="I17" s="271"/>
      <c r="J17" s="271"/>
      <c r="K17" s="271"/>
      <c r="L17" s="271"/>
    </row>
    <row r="18">
      <c r="A18" s="268" t="inlineStr">
        <is>
          <t xml:space="preserve">ed04</t>
        </is>
      </c>
      <c r="B18" s="227">
        <v>46190.0</v>
      </c>
      <c r="C18" s="268">
        <v>50.0</v>
      </c>
      <c r="D18" s="268">
        <v>4.0</v>
      </c>
      <c r="E18" s="277">
        <f>D18-D17</f>
        <v>4.0</v>
      </c>
      <c r="F18" s="268">
        <v>1.0</v>
      </c>
      <c r="G18" s="198">
        <f>IFERROR(CO2Flows[[#This Row],[Volume (mL)]]/CO2Flows[[#This Row],[Time (s)]],"")</f>
        <v>4.0</v>
      </c>
      <c r="H18" s="198">
        <f>AVERAGE(G18:G23)</f>
        <v>3.833333333333</v>
      </c>
      <c r="I18" s="271"/>
      <c r="J18" s="271"/>
      <c r="K18" s="271"/>
      <c r="L18" s="271"/>
    </row>
    <row r="19">
      <c r="A19" s="268" t="inlineStr">
        <is>
          <t xml:space="preserve">ed04</t>
        </is>
      </c>
      <c r="B19" s="227">
        <v>46190.0</v>
      </c>
      <c r="C19" s="268">
        <v>50.0</v>
      </c>
      <c r="D19" s="268">
        <v>8.0</v>
      </c>
      <c r="E19" s="277">
        <f>D19-D18</f>
        <v>4.0</v>
      </c>
      <c r="F19" s="268">
        <v>1.0</v>
      </c>
      <c r="G19" s="198">
        <f>IFERROR(CO2Flows[[#This Row],[Volume (mL)]]/CO2Flows[[#This Row],[Time (s)]],"")</f>
        <v>4.0</v>
      </c>
      <c r="H19" s="271"/>
      <c r="I19" s="271"/>
      <c r="J19" s="271"/>
      <c r="K19" s="271"/>
      <c r="L19" s="271"/>
    </row>
    <row r="20">
      <c r="A20" s="268" t="inlineStr">
        <is>
          <t xml:space="preserve">ed04</t>
        </is>
      </c>
      <c r="B20" s="227">
        <v>46190.0</v>
      </c>
      <c r="C20" s="268">
        <v>50.0</v>
      </c>
      <c r="D20" s="268">
        <v>11.0</v>
      </c>
      <c r="E20" s="277">
        <f>D20-D19</f>
        <v>3.0</v>
      </c>
      <c r="F20" s="268">
        <v>1.0</v>
      </c>
      <c r="G20" s="198">
        <f>IFERROR(CO2Flows[[#This Row],[Volume (mL)]]/CO2Flows[[#This Row],[Time (s)]],"")</f>
        <v>3.0</v>
      </c>
      <c r="H20" s="271"/>
      <c r="I20" s="271"/>
      <c r="J20" s="271"/>
      <c r="K20" s="271"/>
      <c r="L20" s="271"/>
    </row>
    <row r="21">
      <c r="A21" s="268" t="inlineStr">
        <is>
          <t xml:space="preserve">ed04</t>
        </is>
      </c>
      <c r="B21" s="227">
        <v>46190.0</v>
      </c>
      <c r="C21" s="268">
        <v>50.0</v>
      </c>
      <c r="D21" s="268">
        <v>15.0</v>
      </c>
      <c r="E21" s="277">
        <f>D21-D20</f>
        <v>4.0</v>
      </c>
      <c r="F21" s="268">
        <v>1.0</v>
      </c>
      <c r="G21" s="198">
        <f>IFERROR(CO2Flows[[#This Row],[Volume (mL)]]/CO2Flows[[#This Row],[Time (s)]],"")</f>
        <v>4.0</v>
      </c>
      <c r="H21" s="271"/>
      <c r="I21" s="271"/>
      <c r="J21" s="271"/>
      <c r="K21" s="271"/>
      <c r="L21" s="271"/>
    </row>
    <row r="22">
      <c r="A22" s="268" t="inlineStr">
        <is>
          <t xml:space="preserve">ed04</t>
        </is>
      </c>
      <c r="B22" s="227">
        <v>46190.0</v>
      </c>
      <c r="C22" s="268">
        <v>50.0</v>
      </c>
      <c r="D22" s="268">
        <v>19.0</v>
      </c>
      <c r="E22" s="277">
        <f>D22-D21</f>
        <v>4.0</v>
      </c>
      <c r="F22" s="268">
        <v>1.0</v>
      </c>
      <c r="G22" s="198">
        <f>IFERROR(CO2Flows[[#This Row],[Volume (mL)]]/CO2Flows[[#This Row],[Time (s)]],"")</f>
        <v>4.0</v>
      </c>
      <c r="H22" s="271"/>
      <c r="I22" s="271"/>
      <c r="J22" s="271"/>
      <c r="K22" s="271"/>
      <c r="L22" s="271"/>
    </row>
    <row r="23">
      <c r="A23" s="268" t="inlineStr">
        <is>
          <t xml:space="preserve">ed04</t>
        </is>
      </c>
      <c r="B23" s="227">
        <v>46190.0</v>
      </c>
      <c r="C23" s="268">
        <v>50.0</v>
      </c>
      <c r="D23" s="268">
        <v>23.0</v>
      </c>
      <c r="E23" s="277">
        <f>D23-D22</f>
        <v>4.0</v>
      </c>
      <c r="F23" s="268">
        <v>1.0</v>
      </c>
      <c r="G23" s="198">
        <f>IFERROR(CO2Flows[[#This Row],[Volume (mL)]]/CO2Flows[[#This Row],[Time (s)]],"")</f>
        <v>4.0</v>
      </c>
      <c r="H23" s="271"/>
      <c r="I23" s="271"/>
      <c r="J23" s="271"/>
      <c r="K23" s="271"/>
      <c r="L23" s="271"/>
    </row>
    <row r="24">
      <c r="A24" s="268" t="inlineStr">
        <is>
          <t xml:space="preserve">ed04</t>
        </is>
      </c>
      <c r="B24" s="227">
        <v>46190.0</v>
      </c>
      <c r="C24" s="268">
        <v>50.0</v>
      </c>
      <c r="D24" s="268">
        <v>31.0</v>
      </c>
      <c r="E24" s="271"/>
      <c r="F24" s="271"/>
      <c r="G24" s="198" t="str">
        <f>IFERROR(CO2Flows[[#This Row],[Volume (mL)]]/CO2Flows[[#This Row],[Time (s)]],"")</f>
        <v/>
      </c>
      <c r="H24" s="271"/>
      <c r="I24" s="271"/>
      <c r="J24" s="271"/>
      <c r="K24" s="271"/>
      <c r="L24" s="271"/>
    </row>
    <row r="25">
      <c r="A25" s="268" t="inlineStr">
        <is>
          <t xml:space="preserve">ed04</t>
        </is>
      </c>
      <c r="B25" s="227">
        <v>46190.0</v>
      </c>
      <c r="C25" s="268">
        <v>50.0</v>
      </c>
      <c r="D25" s="268">
        <v>33.0</v>
      </c>
      <c r="E25" s="277">
        <f>D25-D24</f>
        <v>2.0</v>
      </c>
      <c r="F25" s="268">
        <v>0.5</v>
      </c>
      <c r="G25" s="198">
        <f>IFERROR(CO2Flows[[#This Row],[Volume (mL)]]/CO2Flows[[#This Row],[Time (s)]],"")</f>
        <v>4.0</v>
      </c>
      <c r="H25" s="277">
        <f>AVERAGE(G25:G29)</f>
        <v>4.0</v>
      </c>
      <c r="I25" s="271"/>
      <c r="J25" s="271"/>
      <c r="K25" s="271"/>
      <c r="L25" s="271"/>
    </row>
    <row r="26">
      <c r="A26" s="268" t="inlineStr">
        <is>
          <t xml:space="preserve">ed04</t>
        </is>
      </c>
      <c r="B26" s="227">
        <v>46190.0</v>
      </c>
      <c r="C26" s="268">
        <v>50.0</v>
      </c>
      <c r="D26" s="268">
        <v>35.0</v>
      </c>
      <c r="E26" s="277">
        <f>D26-D25</f>
        <v>2.0</v>
      </c>
      <c r="F26" s="268">
        <v>0.5</v>
      </c>
      <c r="G26" s="198">
        <f>IFERROR(CO2Flows[[#This Row],[Volume (mL)]]/CO2Flows[[#This Row],[Time (s)]],"")</f>
        <v>4.0</v>
      </c>
      <c r="H26" s="271"/>
      <c r="I26" s="271"/>
      <c r="J26" s="271"/>
      <c r="K26" s="271"/>
      <c r="L26" s="271"/>
    </row>
    <row r="27">
      <c r="A27" s="268" t="inlineStr">
        <is>
          <t xml:space="preserve">ed04</t>
        </is>
      </c>
      <c r="B27" s="227">
        <v>46190.0</v>
      </c>
      <c r="C27" s="268">
        <v>50.0</v>
      </c>
      <c r="D27" s="268">
        <v>37.0</v>
      </c>
      <c r="E27" s="277">
        <f>D27-D26</f>
        <v>2.0</v>
      </c>
      <c r="F27" s="268">
        <v>0.5</v>
      </c>
      <c r="G27" s="198">
        <f>IFERROR(CO2Flows[[#This Row],[Volume (mL)]]/CO2Flows[[#This Row],[Time (s)]],"")</f>
        <v>4.0</v>
      </c>
      <c r="H27" s="271"/>
      <c r="I27" s="271"/>
      <c r="J27" s="271"/>
      <c r="K27" s="271"/>
      <c r="L27" s="271"/>
    </row>
    <row r="28">
      <c r="A28" s="268" t="inlineStr">
        <is>
          <t xml:space="preserve">ed04</t>
        </is>
      </c>
      <c r="B28" s="227">
        <v>46190.0</v>
      </c>
      <c r="C28" s="268">
        <v>50.0</v>
      </c>
      <c r="D28" s="268">
        <v>39.0</v>
      </c>
      <c r="E28" s="277">
        <f>D28-D27</f>
        <v>2.0</v>
      </c>
      <c r="F28" s="268">
        <v>0.5</v>
      </c>
      <c r="G28" s="198">
        <f>IFERROR(CO2Flows[[#This Row],[Volume (mL)]]/CO2Flows[[#This Row],[Time (s)]],"")</f>
        <v>4.0</v>
      </c>
      <c r="H28" s="271"/>
      <c r="I28" s="271"/>
      <c r="J28" s="271"/>
      <c r="K28" s="271"/>
      <c r="L28" s="271"/>
    </row>
    <row r="29">
      <c r="A29" s="268" t="inlineStr">
        <is>
          <t xml:space="preserve">ed04</t>
        </is>
      </c>
      <c r="B29" s="227">
        <v>46190.0</v>
      </c>
      <c r="C29" s="268">
        <v>50.0</v>
      </c>
      <c r="D29" s="268">
        <v>41.0</v>
      </c>
      <c r="E29" s="277">
        <f>D29-D28</f>
        <v>2.0</v>
      </c>
      <c r="F29" s="268">
        <v>0.5</v>
      </c>
      <c r="G29" s="198">
        <f>IFERROR(CO2Flows[[#This Row],[Volume (mL)]]/CO2Flows[[#This Row],[Time (s)]],"")</f>
        <v>4.0</v>
      </c>
      <c r="H29" s="271"/>
      <c r="I29" s="271"/>
      <c r="J29" s="271"/>
      <c r="K29" s="271"/>
      <c r="L29" s="271"/>
    </row>
    <row r="30">
      <c r="A30" s="268" t="inlineStr">
        <is>
          <t xml:space="preserve">ed04</t>
        </is>
      </c>
      <c r="B30" s="227">
        <v>46190.0</v>
      </c>
      <c r="C30" s="268">
        <v>50.0</v>
      </c>
      <c r="D30" s="268">
        <v>42.0</v>
      </c>
      <c r="E30" s="277">
        <f>D30-D29</f>
        <v>1.0</v>
      </c>
      <c r="F30" s="268">
        <v>0.25</v>
      </c>
      <c r="G30" s="198">
        <f>IFERROR(CO2Flows[[#This Row],[Volume (mL)]]/CO2Flows[[#This Row],[Time (s)]],"")</f>
        <v>4.0</v>
      </c>
      <c r="H30" s="277">
        <f>AVERAGE(G30:G34)</f>
        <v>4.0</v>
      </c>
      <c r="I30" s="271"/>
      <c r="J30" s="271"/>
      <c r="K30" s="271"/>
      <c r="L30" s="271"/>
    </row>
    <row r="31">
      <c r="A31" s="268" t="inlineStr">
        <is>
          <t xml:space="preserve">ed04</t>
        </is>
      </c>
      <c r="B31" s="227">
        <v>46190.0</v>
      </c>
      <c r="C31" s="268">
        <v>50.0</v>
      </c>
      <c r="D31" s="268">
        <v>43.0</v>
      </c>
      <c r="E31" s="277">
        <f>D31-D30</f>
        <v>1.0</v>
      </c>
      <c r="F31" s="268">
        <v>0.25</v>
      </c>
      <c r="G31" s="198">
        <f>IFERROR(CO2Flows[[#This Row],[Volume (mL)]]/CO2Flows[[#This Row],[Time (s)]],"")</f>
        <v>4.0</v>
      </c>
      <c r="H31" s="271"/>
      <c r="I31" s="271"/>
      <c r="J31" s="271"/>
      <c r="K31" s="271"/>
      <c r="L31" s="271"/>
    </row>
    <row r="32">
      <c r="A32" s="268" t="inlineStr">
        <is>
          <t xml:space="preserve">ed04</t>
        </is>
      </c>
      <c r="B32" s="227">
        <v>46190.0</v>
      </c>
      <c r="C32" s="268">
        <v>50.0</v>
      </c>
      <c r="D32" s="268">
        <v>44.0</v>
      </c>
      <c r="E32" s="277">
        <f>D32-D31</f>
        <v>1.0</v>
      </c>
      <c r="F32" s="268">
        <v>0.25</v>
      </c>
      <c r="G32" s="198">
        <f>IFERROR(CO2Flows[[#This Row],[Volume (mL)]]/CO2Flows[[#This Row],[Time (s)]],"")</f>
        <v>4.0</v>
      </c>
      <c r="H32" s="271"/>
      <c r="I32" s="271"/>
      <c r="J32" s="271"/>
      <c r="K32" s="271"/>
      <c r="L32" s="271"/>
    </row>
    <row r="33">
      <c r="A33" s="268" t="inlineStr">
        <is>
          <t xml:space="preserve">ed04</t>
        </is>
      </c>
      <c r="B33" s="227">
        <v>46190.0</v>
      </c>
      <c r="C33" s="268">
        <v>50.0</v>
      </c>
      <c r="D33" s="268">
        <v>45.0</v>
      </c>
      <c r="E33" s="277">
        <f>D33-D32</f>
        <v>1.0</v>
      </c>
      <c r="F33" s="268">
        <v>0.25</v>
      </c>
      <c r="G33" s="198">
        <f>IFERROR(CO2Flows[[#This Row],[Volume (mL)]]/CO2Flows[[#This Row],[Time (s)]],"")</f>
        <v>4.0</v>
      </c>
      <c r="H33" s="271"/>
      <c r="I33" s="271"/>
      <c r="J33" s="271"/>
      <c r="K33" s="271"/>
      <c r="L33" s="271"/>
    </row>
    <row r="34">
      <c r="A34" s="268" t="inlineStr">
        <is>
          <t xml:space="preserve">ed04</t>
        </is>
      </c>
      <c r="B34" s="227">
        <v>46190.0</v>
      </c>
      <c r="C34" s="268">
        <v>50.0</v>
      </c>
      <c r="D34" s="268">
        <v>46.0</v>
      </c>
      <c r="E34" s="277">
        <f>D34-D33</f>
        <v>1.0</v>
      </c>
      <c r="F34" s="268">
        <v>0.25</v>
      </c>
      <c r="G34" s="198">
        <f>IFERROR(CO2Flows[[#This Row],[Volume (mL)]]/CO2Flows[[#This Row],[Time (s)]],"")</f>
        <v>4.0</v>
      </c>
      <c r="H34" s="271"/>
      <c r="I34" s="271"/>
      <c r="J34" s="271"/>
      <c r="K34" s="271"/>
      <c r="L34" s="271"/>
    </row>
    <row r="35">
      <c r="A35" s="268" t="inlineStr">
        <is>
          <t xml:space="preserve">ed04</t>
        </is>
      </c>
      <c r="B35" s="227">
        <v>46190.0</v>
      </c>
      <c r="C35" s="268">
        <v>10.0</v>
      </c>
      <c r="D35" s="268">
        <v>0.0</v>
      </c>
      <c r="E35" s="277">
        <f>D35-D34</f>
        <v>-46.0</v>
      </c>
      <c r="F35" s="271"/>
      <c r="G35" s="198" t="str">
        <f>IFERROR(CO2Flows[[#This Row],[Volume (mL)]]/CO2Flows[[#This Row],[Time (s)]],"")</f>
        <v/>
      </c>
      <c r="H35" s="271"/>
      <c r="I35" s="271"/>
      <c r="J35" s="271"/>
      <c r="K35" s="271"/>
      <c r="L35" s="271"/>
    </row>
    <row r="36">
      <c r="A36" s="268" t="inlineStr">
        <is>
          <t xml:space="preserve">ed04</t>
        </is>
      </c>
      <c r="B36" s="227">
        <v>46190.0</v>
      </c>
      <c r="C36" s="268">
        <v>10.0</v>
      </c>
      <c r="D36" s="268">
        <v>0.4</v>
      </c>
      <c r="E36" s="199">
        <f>D36-D35</f>
        <v>0.4</v>
      </c>
      <c r="F36" s="268">
        <v>0.2</v>
      </c>
      <c r="G36" s="198">
        <f>IFERROR(CO2Flows[[#This Row],[Volume (mL)]]/CO2Flows[[#This Row],[Time (s)]],"")</f>
        <v>2.0</v>
      </c>
      <c r="H36" s="271"/>
      <c r="I36" s="271"/>
      <c r="J36" s="271"/>
      <c r="K36" s="271"/>
      <c r="L36" s="268">
        <v>1.0</v>
      </c>
    </row>
    <row r="37">
      <c r="A37" s="268" t="inlineStr">
        <is>
          <t xml:space="preserve">ed04</t>
        </is>
      </c>
      <c r="B37" s="227">
        <v>46190.0</v>
      </c>
      <c r="C37" s="268">
        <v>10.0</v>
      </c>
      <c r="D37" s="268">
        <v>1.2</v>
      </c>
      <c r="E37" s="199">
        <f>D37-D36</f>
        <v>0.8</v>
      </c>
      <c r="F37" s="268">
        <v>0.2</v>
      </c>
      <c r="G37" s="198">
        <f>IFERROR(CO2Flows[[#This Row],[Volume (mL)]]/CO2Flows[[#This Row],[Time (s)]],"")</f>
        <v>4.0</v>
      </c>
      <c r="H37" s="198">
        <f>AVERAGE(G37:G39)</f>
        <v>4.333333333333</v>
      </c>
      <c r="I37" s="271"/>
      <c r="J37" s="271"/>
      <c r="K37" s="271"/>
      <c r="L37" s="271"/>
    </row>
    <row r="38">
      <c r="A38" s="268" t="inlineStr">
        <is>
          <t xml:space="preserve">ed04</t>
        </is>
      </c>
      <c r="B38" s="227">
        <v>46190.0</v>
      </c>
      <c r="C38" s="268">
        <v>10.0</v>
      </c>
      <c r="D38" s="268">
        <v>2.2</v>
      </c>
      <c r="E38" s="262">
        <f>D38-D37</f>
        <v>1.0</v>
      </c>
      <c r="F38" s="268">
        <v>0.2</v>
      </c>
      <c r="G38" s="198">
        <f>IFERROR(CO2Flows[[#This Row],[Volume (mL)]]/CO2Flows[[#This Row],[Time (s)]],"")</f>
        <v>5.0</v>
      </c>
      <c r="H38" s="271"/>
      <c r="I38" s="271"/>
      <c r="J38" s="271"/>
      <c r="K38" s="271"/>
      <c r="L38" s="271"/>
    </row>
    <row r="39">
      <c r="A39" s="268" t="inlineStr">
        <is>
          <t xml:space="preserve">ed04</t>
        </is>
      </c>
      <c r="B39" s="227">
        <v>46190.0</v>
      </c>
      <c r="C39" s="268">
        <v>10.0</v>
      </c>
      <c r="D39" s="268">
        <v>3.0</v>
      </c>
      <c r="E39" s="199">
        <f>D39-D38</f>
        <v>0.8</v>
      </c>
      <c r="F39" s="268">
        <v>0.2</v>
      </c>
      <c r="G39" s="198">
        <f>IFERROR(CO2Flows[[#This Row],[Volume (mL)]]/CO2Flows[[#This Row],[Time (s)]],"")</f>
        <v>4.0</v>
      </c>
      <c r="H39" s="271"/>
      <c r="I39" s="271"/>
      <c r="J39" s="271"/>
      <c r="K39" s="271"/>
      <c r="L39" s="271"/>
    </row>
    <row r="40">
      <c r="A40" s="268" t="inlineStr">
        <is>
          <t xml:space="preserve">ed04</t>
        </is>
      </c>
      <c r="B40" s="227">
        <v>46190.0</v>
      </c>
      <c r="C40" s="268">
        <v>10.0</v>
      </c>
      <c r="D40" s="268">
        <v>0.0</v>
      </c>
      <c r="E40" s="271"/>
      <c r="F40" s="271"/>
      <c r="G40" s="198" t="str">
        <f>IFERROR(CO2Flows[[#This Row],[Volume (mL)]]/CO2Flows[[#This Row],[Time (s)]],"")</f>
        <v/>
      </c>
      <c r="H40" s="271"/>
      <c r="I40" s="271"/>
      <c r="J40" s="271"/>
      <c r="K40" s="271"/>
      <c r="L40" s="271"/>
    </row>
    <row r="41">
      <c r="A41" s="268" t="inlineStr">
        <is>
          <t xml:space="preserve">ed04</t>
        </is>
      </c>
      <c r="B41" s="227">
        <v>46190.0</v>
      </c>
      <c r="C41" s="268">
        <v>10.0</v>
      </c>
      <c r="D41" s="268">
        <v>0.4</v>
      </c>
      <c r="E41" s="199">
        <f>D41-D40</f>
        <v>0.4</v>
      </c>
      <c r="F41" s="268">
        <v>0.1</v>
      </c>
      <c r="G41" s="198">
        <f>IFERROR(CO2Flows[[#This Row],[Volume (mL)]]/CO2Flows[[#This Row],[Time (s)]],"")</f>
        <v>4.0</v>
      </c>
      <c r="H41" s="198">
        <f>AVERAGE(G41:G45)</f>
        <v>5.2</v>
      </c>
      <c r="I41" s="271"/>
      <c r="J41" s="271"/>
      <c r="K41" s="271"/>
      <c r="L41" s="271"/>
    </row>
    <row r="42">
      <c r="A42" s="268" t="inlineStr">
        <is>
          <t xml:space="preserve">ed04</t>
        </is>
      </c>
      <c r="B42" s="227">
        <v>46190.0</v>
      </c>
      <c r="C42" s="268">
        <v>10.0</v>
      </c>
      <c r="D42" s="268">
        <v>0.8</v>
      </c>
      <c r="E42" s="199">
        <f>D42-D41</f>
        <v>0.4</v>
      </c>
      <c r="F42" s="268">
        <v>0.1</v>
      </c>
      <c r="G42" s="198">
        <f>IFERROR(CO2Flows[[#This Row],[Volume (mL)]]/CO2Flows[[#This Row],[Time (s)]],"")</f>
        <v>4.0</v>
      </c>
      <c r="H42" s="271"/>
      <c r="I42" s="271"/>
      <c r="J42" s="271"/>
      <c r="K42" s="271"/>
      <c r="L42" s="271"/>
    </row>
    <row r="43">
      <c r="A43" s="268" t="inlineStr">
        <is>
          <t xml:space="preserve">ed04</t>
        </is>
      </c>
      <c r="B43" s="227">
        <v>46190.0</v>
      </c>
      <c r="C43" s="268">
        <v>10.0</v>
      </c>
      <c r="D43" s="268">
        <v>1.4</v>
      </c>
      <c r="E43" s="199">
        <f>D43-D42</f>
        <v>0.6</v>
      </c>
      <c r="F43" s="268">
        <v>0.1</v>
      </c>
      <c r="G43" s="198">
        <f>IFERROR(CO2Flows[[#This Row],[Volume (mL)]]/CO2Flows[[#This Row],[Time (s)]],"")</f>
        <v>6.0</v>
      </c>
      <c r="H43" s="271"/>
      <c r="I43" s="271"/>
      <c r="J43" s="271"/>
      <c r="K43" s="271"/>
      <c r="L43" s="271"/>
    </row>
    <row r="44">
      <c r="A44" s="268" t="inlineStr">
        <is>
          <t xml:space="preserve">ed04</t>
        </is>
      </c>
      <c r="B44" s="227">
        <v>46190.0</v>
      </c>
      <c r="C44" s="268">
        <v>10.0</v>
      </c>
      <c r="D44" s="268">
        <v>2.0</v>
      </c>
      <c r="E44" s="199">
        <f>D44-D43</f>
        <v>0.6</v>
      </c>
      <c r="F44" s="268">
        <v>0.1</v>
      </c>
      <c r="G44" s="198">
        <f>IFERROR(CO2Flows[[#This Row],[Volume (mL)]]/CO2Flows[[#This Row],[Time (s)]],"")</f>
        <v>6.0</v>
      </c>
      <c r="H44" s="271"/>
      <c r="I44" s="271"/>
      <c r="J44" s="271"/>
      <c r="K44" s="271"/>
      <c r="L44" s="271"/>
    </row>
    <row r="45">
      <c r="A45" s="268" t="inlineStr">
        <is>
          <t xml:space="preserve">ed04</t>
        </is>
      </c>
      <c r="B45" s="227">
        <v>46190.0</v>
      </c>
      <c r="C45" s="268">
        <v>10.0</v>
      </c>
      <c r="D45" s="268">
        <v>2.6</v>
      </c>
      <c r="E45" s="199">
        <f>D45-D44</f>
        <v>0.6</v>
      </c>
      <c r="F45" s="268">
        <v>0.1</v>
      </c>
      <c r="G45" s="198">
        <f>IFERROR(CO2Flows[[#This Row],[Volume (mL)]]/CO2Flows[[#This Row],[Time (s)]],"")</f>
        <v>6.0</v>
      </c>
      <c r="H45" s="271"/>
      <c r="I45" s="271"/>
      <c r="J45" s="271"/>
      <c r="K45" s="271"/>
      <c r="L45" s="271"/>
    </row>
    <row r="46">
      <c r="A46" s="268" t="inlineStr">
        <is>
          <t xml:space="preserve">ed04</t>
        </is>
      </c>
      <c r="B46" s="227">
        <v>46190.0</v>
      </c>
      <c r="C46" s="268">
        <v>10.0</v>
      </c>
      <c r="D46" s="268">
        <v>2.8</v>
      </c>
      <c r="E46" s="199">
        <f>D46-D45</f>
        <v>0.2</v>
      </c>
      <c r="F46" s="268">
        <v>0.1</v>
      </c>
      <c r="G46" s="198">
        <f>IFERROR(CO2Flows[[#This Row],[Volume (mL)]]/CO2Flows[[#This Row],[Time (s)]],"")</f>
        <v>2.0</v>
      </c>
      <c r="H46" s="271"/>
      <c r="I46" s="271"/>
      <c r="J46" s="271"/>
      <c r="K46" s="271"/>
      <c r="L46" s="268">
        <v>1.0</v>
      </c>
    </row>
  </sheetData>
  <conditionalFormatting sqref="G4:G2000">
    <cfRule type="expression" dxfId="48" priority="1" stopIfTrue="1">
      <formula>$L4=1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sheetPr/>
  <dimension ref="A1:N142"/>
  <sheetViews>
    <sheetView workbookViewId="0"/>
  </sheetViews>
  <sheetFormatPr defaultRowHeight="15"/>
  <cols>
    <col min="1" max="1" width="62" customWidth="1"/>
    <col min="2" max="2" width="22" customWidth="1"/>
    <col min="3" max="3" width="10" customWidth="1"/>
    <col min="4" max="4" width="20" customWidth="1"/>
    <col min="5" max="5" width="70" customWidth="1"/>
    <col min="6" max="6" width="14" customWidth="1"/>
  </cols>
  <sheetData>
    <row r="1">
      <c r="A1" s="263" t="inlineStr">
        <is>
          <t xml:space="preserve">CALIBRATIONS</t>
        </is>
      </c>
      <c r="B1" s="263"/>
      <c r="C1" s="263"/>
      <c r="D1" s="263"/>
      <c r="E1" s="263"/>
      <c r="F1" s="263"/>
      <c r="G1" s="263"/>
      <c r="H1" s="263"/>
      <c r="I1" s="263"/>
      <c r="J1" s="263"/>
      <c r="K1" s="263"/>
      <c r="L1" s="263"/>
      <c r="M1" s="263"/>
      <c r="N1" s="263"/>
    </row>
    <row r="2">
      <c r="A2" s="269" t="inlineStr">
        <is>
          <t xml:space="preserve">On each log sheet, type one row per run: Researcher, Date, the key (Reactor or Organism) and the raw measurements, in blue. Black cells are computed. Set Include? to y for the runs the model should use.</t>
        </is>
      </c>
    </row>
    <row r="3">
      <c r="A3" s="269" t="inlineStr">
        <is>
          <t xml:space="preserve">The value in use for each calibration follows the rule stated under its heading. If no rows are included yet, the model falls back to its built-in default.</t>
        </is>
      </c>
    </row>
    <row r="4">
      <c r="A4" s="269" t="inlineStr">
        <is>
          <t xml:space="preserve">Each calibration log is an Excel Table on its own sheet (grey tabs): click a heading below to open it. Type a run in the first empty row under a table and it is picked up; the values in use below follow.</t>
        </is>
      </c>
    </row>
    <row r="6">
      <c r="A6" s="228" t="str">
        <f>HYPERLINK("#'Cal current'!A1","ELECTROLYSIS CURRENT  →  log on the Cal current sheet")</f>
        <v>ELECTROLYSIS CURRENT  →  log on the Cal current sheet</v>
      </c>
      <c r="B6" s="278"/>
      <c r="C6" s="278"/>
      <c r="D6" s="278"/>
      <c r="E6" s="278"/>
      <c r="F6" s="278"/>
    </row>
    <row r="7">
      <c r="A7" s="269" t="inlineStr">
        <is>
          <t xml:space="preserve">Value in use: one least-squares fit of current against intensity over every included point for the active reactor (pooled, so a run with more points weighs more).</t>
        </is>
      </c>
    </row>
    <row r="8">
      <c r="A8" s="265" t="inlineStr">
        <is>
          <t xml:space="preserve">Value in use - slope</t>
        </is>
      </c>
      <c r="B8" s="266" t="inlineStr">
        <is>
          <t xml:space="preserve">cal_gerrit_slope</t>
        </is>
      </c>
      <c r="C8" s="265" t="inlineStr">
        <is>
          <t xml:space="preserve">mA/%</t>
        </is>
      </c>
      <c r="D8" s="201" t="str">
        <f>IFERROR((COUNTIFS(CalCurrent[Reactor],Reactor_sel,CalCurrent[Include?],"y")*SUMPRODUCT((CalCurrent[Reactor]=Reactor_sel)*(CalCurrent[Include?]="y")*CalCurrent[Intensity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(%)],CalCurrent[Reactor],Reactor_sel,CalCurrent[Include?],"y")),"no included runs — model uses its default")</f>
        <v>no included runs — model uses its default</v>
      </c>
    </row>
    <row r="9">
      <c r="A9" s="265" t="inlineStr">
        <is>
          <t xml:space="preserve">Value in use - intercept</t>
        </is>
      </c>
      <c r="B9" s="266" t="inlineStr">
        <is>
          <t xml:space="preserve">cal_gerrit_int</t>
        </is>
      </c>
      <c r="C9" s="265" t="inlineStr">
        <is>
          <t xml:space="preserve">mA</t>
        </is>
      </c>
      <c r="D9" s="201" t="str">
        <f>IFERROR((SUMIFS(CalCurrent[Current (mA)],CalCurrent[Reactor],Reactor_sel,CalCurrent[Include?],"y")-((COUNTIFS(CalCurrent[Reactor],Reactor_sel,CalCurrent[Include?],"y")*SUMPRODUCT((CalCurrent[Reactor]=Reactor_sel)*(CalCurrent[Include?]="y")*CalCurrent[Intensity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(%)],CalCurrent[Reactor],Reactor_sel,CalCurrent[Include?],"y")))*SUMIFS(CalCurrent[Intensity (%)],CalCurrent[Reactor],Reactor_sel,CalCurrent[Include?],"y"))/COUNTIFS(CalCurrent[Reactor],Reactor_sel,CalCurrent[Include?],"y"),"no included runs — model uses its default")</f>
        <v>no included runs — model uses its default</v>
      </c>
    </row>
    <row r="11">
      <c r="A11" s="228" t="str">
        <f>HYPERLINK("#'Cal faradaic'!A1","FARADAIC EFFICIENCY  →  log on the Cal faradaic sheet")</f>
        <v>FARADAIC EFFICIENCY  →  log on the Cal faradaic sheet</v>
      </c>
      <c r="B11" s="278"/>
      <c r="C11" s="278"/>
      <c r="D11" s="278"/>
      <c r="E11" s="278"/>
      <c r="F11" s="278"/>
    </row>
    <row r="12">
      <c r="A12"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13">
      <c r="A13" s="265" t="inlineStr">
        <is>
          <t xml:space="preserve">Value in use - cathode (H2)</t>
        </is>
      </c>
      <c r="B13" s="266" t="inlineStr">
        <is>
          <t xml:space="preserve">cal_etaF</t>
        </is>
      </c>
      <c r="C13" s="265" t="inlineStr">
        <is>
          <t xml:space="preserve">-</t>
        </is>
      </c>
      <c r="D13" s="201" t="str">
        <f>IFERROR(AVERAGEIFS(CalFaradaic[etaF (computed)],CalFaradaic[Reactor],Reactor_sel,CalFaradaic[Include?],"y",CalFaradaic[Gas (H2 or O2)],"H2"),"no included runs — model uses its default")</f>
        <v>no included runs — model uses its default</v>
      </c>
      <c r="E13" s="320"/>
      <c r="F13" s="320"/>
      <c r="G13" s="320"/>
      <c r="H13" s="320"/>
      <c r="I13" s="320"/>
      <c r="J13" s="320"/>
      <c r="K13" s="320"/>
      <c r="L13" s="320"/>
      <c r="M13" s="320"/>
    </row>
    <row r="14">
      <c r="A14" s="265" t="inlineStr">
        <is>
          <t xml:space="preserve">Value in use - anode (O2)</t>
        </is>
      </c>
      <c r="B14" s="266" t="inlineStr">
        <is>
          <t xml:space="preserve">cal_etaF_OER</t>
        </is>
      </c>
      <c r="C14" s="265" t="inlineStr">
        <is>
          <t xml:space="preserve">-</t>
        </is>
      </c>
      <c r="D14" s="201" t="str">
        <f>IFERROR(AVERAGEIFS(CalFaradaic[etaF (computed)],CalFaradaic[Reactor],Reactor_sel,CalFaradaic[Include?],"y",CalFaradaic[Gas (H2 or O2)],"O2"),"no included runs — model uses its default")</f>
        <v>no included runs — model uses its default</v>
      </c>
      <c r="E14" s="320"/>
      <c r="F14" s="320"/>
      <c r="G14" s="320"/>
      <c r="H14" s="320"/>
      <c r="I14" s="320"/>
      <c r="J14" s="320"/>
      <c r="K14" s="320"/>
      <c r="L14" s="320"/>
      <c r="M14" s="320"/>
    </row>
    <row r="16">
      <c r="A16" s="228" t="str">
        <f>HYPERLINK("#'Cal kLa'!A1","SURFACE kLa  →  log on the Cal kLa sheet")</f>
        <v>SURFACE kLa  →  log on the Cal kLa sheet</v>
      </c>
      <c r="B16" s="278"/>
      <c r="C16" s="278"/>
      <c r="D16" s="278"/>
      <c r="E16" s="278"/>
      <c r="F16" s="278"/>
    </row>
    <row r="17">
      <c r="A17" s="269" t="inlineStr">
        <is>
          <t xml:space="preserve">Value in use: average of the included kLa runs for the active reactor.</t>
        </is>
      </c>
      <c r="B17" s="320"/>
      <c r="C17" s="320"/>
      <c r="D17" s="320"/>
      <c r="E17" s="320"/>
      <c r="F17" s="320"/>
      <c r="G17" s="320"/>
      <c r="H17" s="320"/>
      <c r="I17" s="320"/>
      <c r="J17" s="320"/>
      <c r="K17" s="320"/>
      <c r="L17" s="320"/>
      <c r="M17" s="320"/>
    </row>
    <row r="18">
      <c r="A18" s="265" t="inlineStr">
        <is>
          <t xml:space="preserve">Value in use - kLa</t>
        </is>
      </c>
      <c r="B18" s="266" t="inlineStr">
        <is>
          <t xml:space="preserve">cal_kLa</t>
        </is>
      </c>
      <c r="C18" s="265" t="inlineStr">
        <is>
          <t xml:space="preserve">1/h</t>
        </is>
      </c>
      <c r="D18" s="201" t="str">
        <f>IFERROR(AVERAGEIFS(CalKLa[kLa (1/h)],CalKLa[Reactor],Reactor_sel,CalKLa[Include?],"y"),"no included runs — model uses its default")</f>
        <v>no included runs — model uses its default</v>
      </c>
      <c r="E18" s="320"/>
      <c r="F18" s="320"/>
      <c r="G18" s="320"/>
      <c r="H18" s="320"/>
      <c r="I18" s="320"/>
      <c r="J18" s="320"/>
      <c r="K18" s="320"/>
      <c r="L18" s="320"/>
      <c r="M18" s="320"/>
    </row>
    <row r="20">
      <c r="A20" s="228" t="str">
        <f>HYPERLINK("#'Cal CO2 flow'!A1","CO2 FLOW  →  log on the Cal CO2 flow sheet")</f>
        <v>CO2 FLOW  →  log on the Cal CO2 flow sheet</v>
      </c>
      <c r="B20" s="278"/>
      <c r="C20" s="278"/>
      <c r="D20" s="278"/>
      <c r="E20" s="278"/>
      <c r="F20" s="278"/>
    </row>
    <row r="21">
      <c r="A21"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c r="B21" s="320"/>
      <c r="C21" s="320"/>
      <c r="D21" s="320"/>
      <c r="E21" s="320"/>
      <c r="F21" s="320"/>
      <c r="G21" s="320"/>
      <c r="H21" s="320"/>
      <c r="I21" s="320"/>
      <c r="J21" s="320"/>
      <c r="K21" s="320"/>
      <c r="L21" s="320"/>
      <c r="M21" s="320"/>
    </row>
    <row r="22">
      <c r="A22" s="265" t="inlineStr">
        <is>
          <t xml:space="preserve">Value in use - flow rate</t>
        </is>
      </c>
      <c r="B22" s="266" t="inlineStr">
        <is>
          <t xml:space="preserve">cal_flow</t>
        </is>
      </c>
      <c r="C22" s="265" t="inlineStr">
        <is>
          <t xml:space="preserve">mL/s</t>
        </is>
      </c>
      <c r="D22" s="201" t="str">
        <f>IFERROR(AVERAGEIFS(CalFlow[Flow (computed, mL/s)],CalFlow[Reactor],Reactor_sel,CalFlow[Include?],"y",CalFlow[Date],SUMPRODUCT(MAX((CalFlow[Reactor]=Reactor_sel)*(CalFlow[Include?]="y")*CalFlow[Date]))),"no included runs — model uses its default")</f>
        <v>no included runs — model uses its default</v>
      </c>
      <c r="E22" s="320"/>
      <c r="F22" s="320"/>
      <c r="G22" s="320"/>
      <c r="H22" s="320"/>
      <c r="I22" s="320"/>
      <c r="J22" s="320"/>
      <c r="K22" s="320"/>
      <c r="L22" s="320"/>
      <c r="M22" s="320"/>
    </row>
    <row r="23">
      <c r="A23" s="265" t="inlineStr">
        <is>
          <t xml:space="preserve">Value in use - minimum reliable pulse</t>
        </is>
      </c>
      <c r="B23" s="266" t="inlineStr">
        <is>
          <t xml:space="preserve">cal_pulse_floor</t>
        </is>
      </c>
      <c r="C23" s="265" t="inlineStr">
        <is>
          <t xml:space="preserve">s</t>
        </is>
      </c>
      <c r="D23" s="201" t="str">
        <f>IFERROR(AVERAGEIFS(CalFlow[Min pulse (s)],CalFlow[Reactor],Reactor_sel,CalFlow[Include?],"y",CalFlow[Min pulse (s)],"&gt;0",CalFlow[Date],SUMPRODUCT(MAX((CalFlow[Reactor]=Reactor_sel)*(CalFlow[Include?]="y")*(CalFlow[Min pulse (s)]&gt;0)*CalFlow[Date]))),"no included runs — model uses its default")</f>
        <v>no included runs — model uses its default</v>
      </c>
      <c r="E23" s="320"/>
      <c r="F23" s="320"/>
      <c r="G23" s="320"/>
      <c r="H23" s="320"/>
      <c r="I23" s="320"/>
      <c r="J23" s="320"/>
      <c r="K23" s="320"/>
      <c r="L23" s="320"/>
      <c r="M23" s="320"/>
    </row>
    <row r="25">
      <c r="A25" s="228" t="str">
        <f>HYPERLINK("#'Cal vial'!A1","VIAL GEOMETRY  →  log on the Cal vial sheet")</f>
        <v>VIAL GEOMETRY  →  log on the Cal vial sheet</v>
      </c>
      <c r="B25" s="278"/>
      <c r="C25" s="278"/>
      <c r="D25" s="278"/>
      <c r="E25" s="278"/>
      <c r="F25" s="278"/>
    </row>
    <row r="26">
      <c r="A26" s="269" t="inlineStr">
        <is>
          <t xml:space="preserve">Value in use: average across included vials of the active reactor type (all vials of a type are nominally identical). Headspace and total volume feed the model; the volume-equivalent depth (cal_Dint) is reported for the geometry check only, because a tapered vial’s equivalent depth is not its physical depth.</t>
        </is>
      </c>
      <c r="B26" s="320"/>
      <c r="C26" s="320"/>
      <c r="D26" s="320"/>
      <c r="E26" s="320"/>
      <c r="F26" s="320"/>
      <c r="G26" s="320"/>
      <c r="H26" s="320"/>
      <c r="I26" s="320"/>
      <c r="J26" s="320"/>
      <c r="K26" s="320"/>
      <c r="L26" s="320"/>
      <c r="M26" s="320"/>
    </row>
    <row r="27">
      <c r="A27" s="265" t="inlineStr">
        <is>
          <t xml:space="preserve">Value in use - total vial volume</t>
        </is>
      </c>
      <c r="B27" s="266" t="inlineStr">
        <is>
          <t xml:space="preserve">cal_Vtot</t>
        </is>
      </c>
      <c r="C27" s="265" t="inlineStr">
        <is>
          <t xml:space="preserve">mL</t>
        </is>
      </c>
      <c r="D27" s="201" t="str">
        <f>IFERROR(AVERAGEIFS(CalVial[V total (computed, mL)],CalVial[Type (auto)],rx_ver,CalVial[Include?],"y"),"no included runs — model uses its default")</f>
        <v>no included runs — model uses its default</v>
      </c>
      <c r="E27" s="320"/>
      <c r="F27" s="320"/>
      <c r="G27" s="320"/>
      <c r="H27" s="320"/>
      <c r="I27" s="320"/>
      <c r="J27" s="320"/>
      <c r="K27" s="320"/>
      <c r="L27" s="320"/>
      <c r="M27" s="320"/>
    </row>
    <row r="28">
      <c r="A28" s="265" t="inlineStr">
        <is>
          <t xml:space="preserve">Value in use - volume-equivalent depth (body volume ÷ A_x; not the physical depth)</t>
        </is>
      </c>
      <c r="B28" s="266" t="inlineStr">
        <is>
          <t xml:space="preserve">cal_Dint</t>
        </is>
      </c>
      <c r="C28" s="265" t="inlineStr">
        <is>
          <t xml:space="preserve">mm</t>
        </is>
      </c>
      <c r="D28" s="201" t="str">
        <f>IFERROR(AVERAGEIFS(CalVial[Volume-equivalent depth (computed, mm)],CalVial[Type (auto)],rx_ver,CalVial[Include?],"y"),"no included runs — model uses its default")</f>
        <v>no included runs — model uses its default</v>
      </c>
      <c r="E28" s="320"/>
      <c r="F28" s="320"/>
      <c r="G28" s="320"/>
      <c r="H28" s="320"/>
      <c r="I28" s="320"/>
      <c r="J28" s="320"/>
      <c r="K28" s="320"/>
      <c r="L28" s="320"/>
      <c r="M28" s="320"/>
    </row>
    <row r="29">
      <c r="A29" s="265" t="inlineStr">
        <is>
          <t xml:space="preserve">Value in use - headspace at working fill</t>
        </is>
      </c>
      <c r="B29" s="266" t="inlineStr">
        <is>
          <t xml:space="preserve">cal_hs</t>
        </is>
      </c>
      <c r="C29" s="265" t="inlineStr">
        <is>
          <t xml:space="preserve">mL</t>
        </is>
      </c>
      <c r="D29" s="201" t="str">
        <f>IFERROR(AVERAGEIFS(CalVial[Headspace (computed, mL)],CalVial[Type (auto)],rx_ver,CalVial[Include?],"y"),"no included runs — model uses its default")</f>
        <v>no included runs — model uses its default</v>
      </c>
      <c r="E29" s="320"/>
      <c r="F29" s="320"/>
      <c r="G29" s="320"/>
      <c r="H29" s="320"/>
      <c r="I29" s="320"/>
      <c r="J29" s="320"/>
      <c r="K29" s="320"/>
      <c r="L29" s="320"/>
      <c r="M29" s="320"/>
    </row>
    <row r="30">
      <c r="A30" s="265" t="inlineStr">
        <is>
          <t xml:space="preserve">Value in use - working fill behind that headspace</t>
        </is>
      </c>
      <c r="B30" s="266" t="inlineStr">
        <is>
          <t xml:space="preserve">cal_hs_fill</t>
        </is>
      </c>
      <c r="C30" s="265" t="inlineStr">
        <is>
          <t xml:space="preserve">mL</t>
        </is>
      </c>
      <c r="D30" s="201" t="str">
        <f>IFERROR(AVERAGEIFS(CalVial[Working fill (computed, mL)],CalVial[Type (auto)],rx_ver,CalVial[Include?],"y"),"no included runs — model uses its default")</f>
        <v>no included runs — model uses its default</v>
      </c>
      <c r="E30" s="320"/>
      <c r="F30" s="320"/>
      <c r="G30" s="320"/>
      <c r="H30" s="320"/>
      <c r="I30" s="320"/>
      <c r="J30" s="320"/>
      <c r="K30" s="320"/>
      <c r="L30" s="320"/>
      <c r="M30" s="320"/>
    </row>
    <row r="32">
      <c r="A32" s="228" t="str">
        <f>HYPERLINK("#'Cal sinter'!A1","SINTER POROSITY  →  log on the Cal sinter sheet")</f>
        <v>SINTER POROSITY  →  log on the Cal sinter sheet</v>
      </c>
      <c r="B32" s="278"/>
      <c r="C32" s="278"/>
      <c r="D32" s="278"/>
      <c r="E32" s="278"/>
      <c r="F32" s="278"/>
    </row>
    <row r="33">
      <c r="A33" s="269" t="inlineStr">
        <is>
          <t xml:space="preserve">Value in use: the bubble points of the most recent included runs for the active reactor are averaged first (cal_bp) and then graded once (cal_sinter), so conflicting runs never average into a fractional grade; a pore size outside the listed DURAN classes is reported and the model keeps its default.</t>
        </is>
      </c>
      <c r="B33" s="320"/>
      <c r="C33" s="320"/>
      <c r="D33" s="320"/>
      <c r="E33" s="320"/>
      <c r="F33" s="335"/>
      <c r="G33" s="320"/>
      <c r="H33" s="320"/>
      <c r="I33" s="320"/>
      <c r="J33" s="320"/>
      <c r="K33" s="320"/>
      <c r="L33" s="320"/>
      <c r="M33" s="320"/>
    </row>
    <row r="34">
      <c r="A34" s="265" t="inlineStr">
        <is>
          <t xml:space="preserve">Value in use - porosity grade</t>
        </is>
      </c>
      <c r="B34" s="266" t="inlineStr">
        <is>
          <t xml:space="preserve">cal_sinter</t>
        </is>
      </c>
      <c r="C34" s="265" t="inlineStr">
        <is>
          <t xml:space="preserve">0-5</t>
        </is>
      </c>
      <c r="D34"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34" s="320"/>
      <c r="F34" s="320"/>
      <c r="G34" s="320"/>
      <c r="H34" s="320"/>
      <c r="I34" s="320"/>
      <c r="J34" s="320"/>
      <c r="K34" s="320"/>
      <c r="L34" s="320"/>
      <c r="M34" s="320"/>
    </row>
    <row r="35">
      <c r="A35" s="265" t="inlineStr">
        <is>
          <t xml:space="preserve">Value in use - bubble point (mean of the latest included runs)</t>
        </is>
      </c>
      <c r="B35" s="266" t="inlineStr">
        <is>
          <t xml:space="preserve">cal_bp</t>
        </is>
      </c>
      <c r="C35" s="265" t="inlineStr">
        <is>
          <t xml:space="preserve">kPa</t>
        </is>
      </c>
      <c r="D35" s="201" t="str">
        <f>IFERROR(AVERAGEIFS(CalSinter[Bubble point (kPa)],CalSinter[Reactor],Reactor_sel,CalSinter[Include?],"y",CalSinter[Date],SUMPRODUCT(MAX((CalSinter[Reactor]=Reactor_sel)*(CalSinter[Include?]="y")*CalSinter[Date]))),"no included runs — model uses its default")</f>
        <v>no included runs — model uses its default</v>
      </c>
      <c r="E35" s="320"/>
      <c r="F35" s="320"/>
      <c r="G35" s="320"/>
      <c r="H35" s="320"/>
      <c r="I35" s="320"/>
      <c r="J35" s="320"/>
      <c r="K35" s="320"/>
      <c r="L35" s="320"/>
      <c r="M35" s="320"/>
    </row>
    <row r="37">
      <c r="A37" s="228" t="str">
        <f>HYPERLINK("#'Cal DO'!A1","DISSOLVED-OXYGEN THRESHOLDS  →  log on the Cal DO sheet")</f>
        <v>DISSOLVED-OXYGEN THRESHOLDS  →  log on the Cal DO sheet</v>
      </c>
      <c r="B37" s="278"/>
      <c r="C37" s="278"/>
      <c r="D37" s="278"/>
      <c r="E37" s="278"/>
      <c r="F37" s="278"/>
    </row>
    <row r="38">
      <c r="A38" s="269" t="inlineStr">
        <is>
          <t xml:space="preserve">Value in use: average of the included values for the active organism.</t>
        </is>
      </c>
      <c r="B38" s="320"/>
      <c r="C38" s="320"/>
      <c r="D38" s="320"/>
      <c r="E38" s="320"/>
      <c r="F38" s="320"/>
      <c r="G38" s="320"/>
      <c r="H38" s="320"/>
      <c r="I38" s="320"/>
      <c r="J38" s="320"/>
      <c r="K38" s="320"/>
      <c r="L38" s="320"/>
      <c r="M38" s="320"/>
    </row>
    <row r="39">
      <c r="A39" s="265" t="inlineStr">
        <is>
          <t xml:space="preserve">Value in use - minimum DO</t>
        </is>
      </c>
      <c r="B39" s="266" t="inlineStr">
        <is>
          <t xml:space="preserve">cal_DO_min</t>
        </is>
      </c>
      <c r="C39" s="265" t="inlineStr">
        <is>
          <t xml:space="preserve">mg/L</t>
        </is>
      </c>
      <c r="D39" s="201" t="str">
        <f>IFERROR(AVERAGEIFS(CalDO[Min DO (mg/L)],CalDO[Organism],organism_sel,CalDO[Include?],"y"),"no included runs — model uses its default")</f>
        <v>no included runs — model uses its default</v>
      </c>
      <c r="E39" s="320"/>
      <c r="F39" s="320"/>
      <c r="G39" s="320"/>
      <c r="H39" s="320"/>
      <c r="I39" s="320"/>
      <c r="J39" s="320"/>
      <c r="K39" s="320"/>
      <c r="L39" s="320"/>
      <c r="M39" s="320"/>
    </row>
    <row r="40">
      <c r="A40" s="265" t="inlineStr">
        <is>
          <t xml:space="preserve">Value in use - optimum DO</t>
        </is>
      </c>
      <c r="B40" s="266" t="inlineStr">
        <is>
          <t xml:space="preserve">cal_DO_opt</t>
        </is>
      </c>
      <c r="C40" s="265" t="inlineStr">
        <is>
          <t xml:space="preserve">mg/L</t>
        </is>
      </c>
      <c r="D40" s="201" t="str">
        <f>IFERROR(AVERAGEIFS(CalDO[Optimum DO (mg/L)],CalDO[Organism],organism_sel,CalDO[Include?],"y"),"no included runs — model uses its default")</f>
        <v>no included runs — model uses its default</v>
      </c>
      <c r="E40" s="320"/>
      <c r="F40" s="320"/>
      <c r="G40" s="320"/>
      <c r="H40" s="320"/>
      <c r="I40" s="320"/>
      <c r="J40" s="320"/>
      <c r="K40" s="320"/>
      <c r="L40" s="320"/>
      <c r="M40" s="320"/>
    </row>
    <row r="41">
      <c r="A41" s="265" t="inlineStr">
        <is>
          <t xml:space="preserve">Value in use - impairment DO</t>
        </is>
      </c>
      <c r="B41" s="266" t="inlineStr">
        <is>
          <t xml:space="preserve">cal_DO_impair</t>
        </is>
      </c>
      <c r="C41" s="265" t="inlineStr">
        <is>
          <t xml:space="preserve">mg/L</t>
        </is>
      </c>
      <c r="D41" s="201" t="str">
        <f>IFERROR(AVERAGEIFS(CalDO[Impairment DO (mg/L)],CalDO[Organism],organism_sel,CalDO[Include?],"y"),"no included runs — model uses its default")</f>
        <v>no included runs — model uses its default</v>
      </c>
      <c r="E41" s="320"/>
      <c r="F41" s="320"/>
      <c r="G41" s="320"/>
      <c r="H41" s="320"/>
      <c r="I41" s="320"/>
      <c r="J41" s="320"/>
      <c r="K41" s="320"/>
      <c r="L41" s="320"/>
      <c r="M41" s="320"/>
    </row>
    <row r="42">
      <c r="A42" s="265" t="inlineStr">
        <is>
          <t xml:space="preserve">Value in use - toxic DO</t>
        </is>
      </c>
      <c r="B42" s="266" t="inlineStr">
        <is>
          <t xml:space="preserve">cal_DO_toxic</t>
        </is>
      </c>
      <c r="C42" s="265" t="inlineStr">
        <is>
          <t xml:space="preserve">mg/L</t>
        </is>
      </c>
      <c r="D42" s="201" t="str">
        <f>IFERROR(AVERAGEIFS(CalDO[Toxic DO (mg/L)],CalDO[Organism],organism_sel,CalDO[Include?],"y"),"no included runs — model uses its default")</f>
        <v>no included runs — model uses its default</v>
      </c>
      <c r="E42" s="320"/>
      <c r="F42" s="320"/>
      <c r="G42" s="320"/>
      <c r="H42" s="320"/>
      <c r="I42" s="320"/>
      <c r="J42" s="320"/>
      <c r="K42" s="320"/>
      <c r="L42" s="320"/>
      <c r="M42" s="320"/>
    </row>
    <row r="44">
      <c r="A44" s="228" t="str">
        <f>HYPERLINK("#'Cal knallgas'!A1","KNALLGAS UPTAKE RATIO  →  log on the Cal knallgas sheet")</f>
        <v>KNALLGAS UPTAKE RATIO  →  log on the Cal knallgas sheet</v>
      </c>
      <c r="B44" s="278"/>
      <c r="C44" s="278"/>
      <c r="D44" s="278"/>
      <c r="E44" s="278"/>
      <c r="F44" s="278"/>
    </row>
    <row r="45">
      <c r="A45"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45" s="320"/>
      <c r="C45" s="320"/>
      <c r="D45" s="320"/>
      <c r="E45" s="320"/>
      <c r="F45" s="320"/>
      <c r="G45" s="320"/>
      <c r="H45" s="320"/>
      <c r="I45" s="320"/>
      <c r="J45" s="320"/>
      <c r="K45" s="320"/>
      <c r="L45" s="320"/>
      <c r="M45" s="320"/>
    </row>
    <row r="46">
      <c r="A46" s="265" t="inlineStr">
        <is>
          <t xml:space="preserve">Value in use - H2</t>
        </is>
      </c>
      <c r="B46" s="266" t="inlineStr">
        <is>
          <t xml:space="preserve">cal_knall_H2</t>
        </is>
      </c>
      <c r="C46" s="265" t="inlineStr">
        <is>
          <t xml:space="preserve">parts</t>
        </is>
      </c>
      <c r="D46" s="201" t="str">
        <f>IF(AND(ISNUMBER(cal_knall_O2),ISNUMBER(cal_knall_CO2)),knall_H2_basis,"no included runs — model uses its default")</f>
        <v>no included runs — model uses its default</v>
      </c>
      <c r="E46" s="320"/>
      <c r="F46" s="320"/>
      <c r="G46" s="320"/>
      <c r="H46" s="320"/>
      <c r="I46" s="320"/>
      <c r="J46" s="320"/>
      <c r="K46" s="320"/>
      <c r="L46" s="320"/>
      <c r="M46" s="320"/>
    </row>
    <row r="47">
      <c r="A47" s="265" t="inlineStr">
        <is>
          <t xml:space="preserve">Value in use - O2</t>
        </is>
      </c>
      <c r="B47" s="266" t="inlineStr">
        <is>
          <t xml:space="preserve">cal_knall_O2</t>
        </is>
      </c>
      <c r="C47" s="265" t="inlineStr">
        <is>
          <t xml:space="preserve">parts</t>
        </is>
      </c>
      <c r="D47" s="201" t="str">
        <f>IFERROR(knall_H2_basis*AVERAGEIFS(CalKnallgas[O₂ per H₂ (computed)],CalKnallgas[Organism],organism_sel,CalKnallgas[Include?],"y"),"no included runs — model uses its default")</f>
        <v>no included runs — model uses its default</v>
      </c>
      <c r="E47" s="320"/>
      <c r="F47" s="320"/>
      <c r="G47" s="320"/>
      <c r="H47" s="320"/>
      <c r="I47" s="320"/>
      <c r="J47" s="320"/>
      <c r="K47" s="320"/>
      <c r="L47" s="320"/>
      <c r="M47" s="320"/>
    </row>
    <row r="48">
      <c r="A48" s="265" t="inlineStr">
        <is>
          <t xml:space="preserve">Value in use - CO2</t>
        </is>
      </c>
      <c r="B48" s="266" t="inlineStr">
        <is>
          <t xml:space="preserve">cal_knall_CO2</t>
        </is>
      </c>
      <c r="C48" s="265" t="inlineStr">
        <is>
          <t xml:space="preserve">parts</t>
        </is>
      </c>
      <c r="D48" s="201" t="str">
        <f>IFERROR(knall_H2_basis*AVERAGEIFS(CalKnallgas[CO₂ per H₂ (computed)],CalKnallgas[Organism],organism_sel,CalKnallgas[Include?],"y"),"no included runs — model uses its default")</f>
        <v>no included runs — model uses its default</v>
      </c>
      <c r="E48" s="320"/>
      <c r="F48" s="320"/>
      <c r="G48" s="320"/>
      <c r="H48" s="320"/>
      <c r="I48" s="320"/>
      <c r="J48" s="320"/>
      <c r="K48" s="320"/>
      <c r="L48" s="320"/>
      <c r="M48" s="320"/>
    </row>
    <row r="50">
      <c r="A50" s="228" t="str">
        <f>HYPERLINK("#'Cal j screen'!A1","CURRENT-DENSITY TOLERANCE  →  log on the Cal j screen sheet")</f>
        <v>CURRENT-DENSITY TOLERANCE  →  log on the Cal j screen sheet</v>
      </c>
      <c r="B50" s="278"/>
      <c r="C50" s="278"/>
      <c r="D50" s="278"/>
      <c r="E50" s="278"/>
      <c r="F50" s="278"/>
    </row>
    <row r="51">
      <c r="A51" s="269" t="inlineStr">
        <is>
          <t xml:space="preserve">Value in use: average of the included screen results for the active organism.</t>
        </is>
      </c>
      <c r="B51" s="320"/>
      <c r="C51" s="320"/>
      <c r="D51" s="320"/>
      <c r="E51" s="320"/>
      <c r="F51" s="320"/>
      <c r="G51" s="320"/>
      <c r="H51" s="320"/>
      <c r="I51" s="320"/>
      <c r="J51" s="320"/>
      <c r="K51" s="320"/>
      <c r="L51" s="320"/>
      <c r="M51" s="320"/>
    </row>
    <row r="52">
      <c r="A52" s="265" t="inlineStr">
        <is>
          <t xml:space="preserve">Value in use - optimum j</t>
        </is>
      </c>
      <c r="B52" s="266" t="inlineStr">
        <is>
          <t xml:space="preserve">cal_j_opt</t>
        </is>
      </c>
      <c r="C52" s="265" t="inlineStr">
        <is>
          <t xml:space="preserve">mA/cm²</t>
        </is>
      </c>
      <c r="D52" s="201" t="str">
        <f>IFERROR(AVERAGEIFS(CalJScreen[j optimum (mA/cm²)],CalJScreen[Organism],organism_sel,CalJScreen[Include?],"y"),"no included runs — model uses its default")</f>
        <v>no included runs — model uses its default</v>
      </c>
      <c r="E52" s="320"/>
      <c r="F52" s="320"/>
      <c r="G52" s="320"/>
      <c r="H52" s="320"/>
      <c r="I52" s="320"/>
      <c r="J52" s="320"/>
      <c r="K52" s="320"/>
      <c r="L52" s="320"/>
      <c r="M52" s="320"/>
    </row>
    <row r="53">
      <c r="A53" s="265" t="inlineStr">
        <is>
          <t xml:space="preserve">Value in use - ceiling j</t>
        </is>
      </c>
      <c r="B53" s="266" t="inlineStr">
        <is>
          <t xml:space="preserve">cal_j_ceiling</t>
        </is>
      </c>
      <c r="C53" s="265" t="inlineStr">
        <is>
          <t xml:space="preserve">mA/cm²</t>
        </is>
      </c>
      <c r="D53" s="201" t="str">
        <f>IFERROR(AVERAGEIFS(CalJScreen[j ceiling (mA/cm²)],CalJScreen[Organism],organism_sel,CalJScreen[Include?],"y"),"no included runs — model uses its default")</f>
        <v>no included runs — model uses its default</v>
      </c>
      <c r="E53" s="320"/>
      <c r="F53" s="320"/>
      <c r="G53" s="320"/>
      <c r="H53" s="320"/>
      <c r="I53" s="320"/>
      <c r="J53" s="320"/>
      <c r="K53" s="320"/>
      <c r="L53" s="320"/>
      <c r="M53" s="320"/>
    </row>
    <row r="55">
      <c r="A55" s="228" t="str">
        <f>HYPERLINK("#'Cal km'!A1","ELECTRODE MASS TRANSFER  →  log on the Cal km sheet")</f>
        <v>ELECTRODE MASS TRANSFER  →  log on the Cal km sheet</v>
      </c>
      <c r="B55" s="278"/>
      <c r="C55" s="278"/>
      <c r="D55" s="278"/>
      <c r="E55" s="278"/>
      <c r="F55" s="278"/>
    </row>
    <row r="56">
      <c r="A56"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57">
      <c r="A57" s="265" t="inlineStr">
        <is>
          <t xml:space="preserve">Value in use - k_m O₂</t>
        </is>
      </c>
      <c r="B57" s="266" t="inlineStr">
        <is>
          <t xml:space="preserve">cal_km_O2</t>
        </is>
      </c>
      <c r="C57" s="265" t="inlineStr">
        <is>
          <t xml:space="preserve">cm/s</t>
        </is>
      </c>
      <c r="D57" s="201" t="str">
        <f>IFERROR(AVERAGEIFS(CalKm[k_m O₂ (computed, cm/s)],CalKm[Reactor],Reactor_sel,CalKm[Electrode],electrode_sel,CalKm[Include?],"y",CalKm[Stir rate (rpm)],stir_rpm_set,CalKm[Temp (°C)],"&gt;="&amp;(temp_C-km_T_tol),CalKm[Temp (°C)],"&lt;="&amp;(temp_C+km_T_tol)),"no included runs — model uses its default")</f>
        <v>no included runs — model uses its default</v>
      </c>
    </row>
    <row r="59">
      <c r="A59" s="228" t="str">
        <f>HYPERLINK("#'Cal chloramine'!A1","MONOCHLORAMINE LIFETIME  →  log on the Cal chloramine sheet")</f>
        <v>MONOCHLORAMINE LIFETIME  →  log on the Cal chloramine sheet</v>
      </c>
      <c r="B59" s="278"/>
      <c r="C59" s="278"/>
      <c r="D59" s="278"/>
      <c r="E59" s="278"/>
      <c r="F59" s="278"/>
    </row>
    <row r="60">
      <c r="A60"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61">
      <c r="A61" s="265" t="inlineStr">
        <is>
          <t xml:space="preserve">Value in use - monochloramine lifetime</t>
        </is>
      </c>
      <c r="B61" s="266" t="inlineStr">
        <is>
          <t xml:space="preserve">cal_tau_NH2Cl</t>
        </is>
      </c>
      <c r="C61" s="265" t="inlineStr">
        <is>
          <t xml:space="preserve">h</t>
        </is>
      </c>
      <c r="D61" s="201" t="str">
        <f>IFERROR(AVERAGEIFS(CalChloramine[Lifetime (computed, h)],CalChloramine[Reactor],Reactor_sel,CalChloramine[Medium],media_sel,CalChloramine[Include?],"y"),"no included runs — model uses its default")</f>
        <v>no included runs — model uses its default</v>
      </c>
    </row>
    <row r="63">
      <c r="A63" s="278" t="inlineStr">
        <is>
          <t xml:space="preserve">NAMED CONSTANTS AND IMPORTS</t>
        </is>
      </c>
      <c r="B63" s="278"/>
      <c r="C63" s="278"/>
      <c r="D63" s="278"/>
      <c r="E63" s="278"/>
      <c r="F63" s="278"/>
      <c r="G63" s="278"/>
      <c r="H63" s="278"/>
      <c r="I63" s="278"/>
      <c r="J63" s="278"/>
      <c r="K63" s="278"/>
      <c r="L63" s="278"/>
      <c r="M63" s="278"/>
      <c r="N63" s="278"/>
    </row>
    <row r="64">
      <c r="A64" s="265" t="inlineStr">
        <is>
          <t xml:space="preserve">Bubble-point constant (water)</t>
        </is>
      </c>
      <c r="B64" s="266" t="inlineStr">
        <is>
          <t xml:space="preserve">bp_const</t>
        </is>
      </c>
      <c r="C64" s="265" t="inlineStr">
        <is>
          <t xml:space="preserve">µm·kPa</t>
        </is>
      </c>
      <c r="D64" s="268">
        <v>291.2</v>
      </c>
      <c r="E64" s="310" t="inlineStr">
        <is>
          <t xml:space="preserve">Bubble-point law d = 4σ/ΔP for water (σ = 72.8 mN/m, θ = 0): d in µm with ΔP in kPa.</t>
        </is>
      </c>
    </row>
    <row r="65">
      <c r="A65" s="265" t="inlineStr">
        <is>
          <t xml:space="preserve">Sinter grade boundary P0/P1</t>
        </is>
      </c>
      <c r="B65" s="266" t="inlineStr">
        <is>
          <t xml:space="preserve">por_break_1</t>
        </is>
      </c>
      <c r="C65" s="265" t="inlineStr">
        <is>
          <t xml:space="preserve">µm</t>
        </is>
      </c>
      <c r="D65" s="268">
        <v>160.0</v>
      </c>
      <c r="E65" s="310" t="inlineStr">
        <is>
          <t xml:space="preserve">ISO 4793 / DURAN pore-size grade boundary between P0 and P1 (Mass Transfer E33:E38).</t>
        </is>
      </c>
    </row>
    <row r="66">
      <c r="A66" s="265" t="inlineStr">
        <is>
          <t xml:space="preserve">Sinter grade boundary P1/P2</t>
        </is>
      </c>
      <c r="B66" s="266" t="inlineStr">
        <is>
          <t xml:space="preserve">por_break_2</t>
        </is>
      </c>
      <c r="C66" s="265" t="inlineStr">
        <is>
          <t xml:space="preserve">µm</t>
        </is>
      </c>
      <c r="D66" s="268">
        <v>100.0</v>
      </c>
      <c r="E66" s="310" t="inlineStr">
        <is>
          <t xml:space="preserve">ISO 4793 / DURAN pore-size grade boundary between P1 and P2 (Mass Transfer E33:E38).</t>
        </is>
      </c>
    </row>
    <row r="67">
      <c r="A67" s="265" t="inlineStr">
        <is>
          <t xml:space="preserve">Sinter grade boundary P2/P3</t>
        </is>
      </c>
      <c r="B67" s="266" t="inlineStr">
        <is>
          <t xml:space="preserve">por_break_3</t>
        </is>
      </c>
      <c r="C67" s="265" t="inlineStr">
        <is>
          <t xml:space="preserve">µm</t>
        </is>
      </c>
      <c r="D67" s="268">
        <v>40.0</v>
      </c>
      <c r="E67" s="310" t="inlineStr">
        <is>
          <t xml:space="preserve">ISO 4793 / DURAN pore-size grade boundary between P2 and P3 (Mass Transfer E33:E38).</t>
        </is>
      </c>
    </row>
    <row r="68">
      <c r="A68" s="265" t="inlineStr">
        <is>
          <t xml:space="preserve">Sinter grade boundary P3/P4</t>
        </is>
      </c>
      <c r="B68" s="266" t="inlineStr">
        <is>
          <t xml:space="preserve">por_break_4</t>
        </is>
      </c>
      <c r="C68" s="265" t="inlineStr">
        <is>
          <t xml:space="preserve">µm</t>
        </is>
      </c>
      <c r="D68" s="268">
        <v>16.0</v>
      </c>
      <c r="E68" s="310" t="inlineStr">
        <is>
          <t xml:space="preserve">ISO 4793 / DURAN pore-size grade boundary between P3 and P4 (Mass Transfer E33:E38).</t>
        </is>
      </c>
    </row>
    <row r="69">
      <c r="A69" s="265" t="inlineStr">
        <is>
          <t xml:space="preserve">Sinter grade boundary P4/P5</t>
        </is>
      </c>
      <c r="B69" s="266" t="inlineStr">
        <is>
          <t xml:space="preserve">por_break_5</t>
        </is>
      </c>
      <c r="C69" s="265" t="inlineStr">
        <is>
          <t xml:space="preserve">µm</t>
        </is>
      </c>
      <c r="D69" s="268">
        <v>10.0</v>
      </c>
      <c r="E69" s="310" t="inlineStr">
        <is>
          <t xml:space="preserve">ISO 4793 / DURAN pore-size grade boundary between P4 and P5 (Mass Transfer E33:E38).</t>
        </is>
      </c>
    </row>
    <row r="70">
      <c r="A70" s="265" t="inlineStr">
        <is>
          <t xml:space="preserve">(import) Electrons per H₂</t>
        </is>
      </c>
      <c r="B70" s="266" t="inlineStr">
        <is>
          <t xml:space="preserve">z_e_H2</t>
        </is>
      </c>
      <c r="C70" s="265" t="inlineStr">
        <is>
          <t xml:space="preserve">-</t>
        </is>
      </c>
      <c r="D70" s="277">
        <f>Electrochemistry!z_e_H2</f>
        <v>2.0</v>
      </c>
      <c r="E70" s="310" t="inlineStr">
        <is>
          <t xml:space="preserve">Import from Electrochemistry!D16</t>
        </is>
      </c>
    </row>
    <row r="71">
      <c r="A71" s="265" t="inlineStr">
        <is>
          <t xml:space="preserve">(import) Electrons per O₂</t>
        </is>
      </c>
      <c r="B71" s="266" t="inlineStr">
        <is>
          <t xml:space="preserve">z_e_O2</t>
        </is>
      </c>
      <c r="C71" s="265" t="inlineStr">
        <is>
          <t xml:space="preserve">-</t>
        </is>
      </c>
      <c r="D71" s="277">
        <f>Electrochemistry!z_e_O2</f>
        <v>4.0</v>
      </c>
      <c r="E71" s="310" t="inlineStr">
        <is>
          <t xml:space="preserve">Import from Electrochemistry!D17</t>
        </is>
      </c>
    </row>
    <row r="72">
      <c r="A72" s="265" t="inlineStr">
        <is>
          <t xml:space="preserve">(import) Celsius-to-kelvin offset</t>
        </is>
      </c>
      <c r="B72" s="266" t="inlineStr">
        <is>
          <t xml:space="preserve">T_zero_C</t>
        </is>
      </c>
      <c r="C72" s="265" t="inlineStr">
        <is>
          <t xml:space="preserve">K</t>
        </is>
      </c>
      <c r="D72" s="196">
        <f>Biology!T_zero_C</f>
        <v>273.15</v>
      </c>
      <c r="E72" s="310" t="inlineStr">
        <is>
          <t xml:space="preserve">Import from Biology!D66</t>
        </is>
      </c>
    </row>
    <row r="73">
      <c r="A73" s="265" t="inlineStr">
        <is>
          <t xml:space="preserve">(import) Magnus coefficient A</t>
        </is>
      </c>
      <c r="B73" s="266" t="inlineStr">
        <is>
          <t xml:space="preserve">pw_A</t>
        </is>
      </c>
      <c r="C73" s="265" t="inlineStr">
        <is>
          <t xml:space="preserve">Pa</t>
        </is>
      </c>
      <c r="D73" s="196">
        <f>'Mass Transfer'!pw_A</f>
        <v>610.94</v>
      </c>
      <c r="E73" s="310" t="inlineStr">
        <is>
          <t xml:space="preserve">Import from Mass Transfer!D203 (pw_A; Magnus–Tetens, T in °C)</t>
        </is>
      </c>
    </row>
    <row r="74">
      <c r="A74" s="265" t="inlineStr">
        <is>
          <t xml:space="preserve">(import) Magnus coefficient B</t>
        </is>
      </c>
      <c r="B74" s="266" t="inlineStr">
        <is>
          <t xml:space="preserve">pw_B</t>
        </is>
      </c>
      <c r="C74" s="265" t="inlineStr">
        <is>
          <t xml:space="preserve">-</t>
        </is>
      </c>
      <c r="D74" s="212">
        <f>'Mass Transfer'!pw_B</f>
        <v>17.625</v>
      </c>
      <c r="E74" s="310" t="inlineStr">
        <is>
          <t xml:space="preserve">Import from Mass Transfer!D204 (pw_B; Magnus–Tetens, T in °C)</t>
        </is>
      </c>
    </row>
    <row r="75">
      <c r="A75" s="265" t="inlineStr">
        <is>
          <t xml:space="preserve">(import) Magnus coefficient C</t>
        </is>
      </c>
      <c r="B75" s="266" t="inlineStr">
        <is>
          <t xml:space="preserve">pw_C</t>
        </is>
      </c>
      <c r="C75" s="265" t="inlineStr">
        <is>
          <t xml:space="preserve">°C</t>
        </is>
      </c>
      <c r="D75" s="196">
        <f>'Mass Transfer'!pw_C</f>
        <v>243.04</v>
      </c>
      <c r="E75" s="310" t="inlineStr">
        <is>
          <t xml:space="preserve">Import from Mass Transfer!D205 (pw_C; Magnus–Tetens, T in °C)</t>
        </is>
      </c>
    </row>
    <row r="79">
      <c r="A79" s="265" t="inlineStr">
        <is>
          <t xml:space="preserve">(import) Liquid density intercept</t>
        </is>
      </c>
      <c r="B79" s="266" t="inlineStr">
        <is>
          <t xml:space="preserve">ca_rho_0</t>
        </is>
      </c>
      <c r="C79" s="265" t="inlineStr">
        <is>
          <t xml:space="preserve">kg/m³</t>
        </is>
      </c>
      <c r="D79" s="222">
        <f>'Mass Transfer'!rho_0</f>
        <v>1003.33</v>
      </c>
      <c r="E79" s="310" t="inlineStr">
        <is>
          <t xml:space="preserve">Import from Mass Transfer!D169 (rho_0; density law ρ = ρ₀ + k·T[°C])</t>
        </is>
      </c>
    </row>
    <row r="80">
      <c r="A80" s="265" t="inlineStr">
        <is>
          <t xml:space="preserve">(import) Liquid density slope</t>
        </is>
      </c>
      <c r="B80" s="266" t="inlineStr">
        <is>
          <t xml:space="preserve">ca_rho_k</t>
        </is>
      </c>
      <c r="C80" s="265" t="inlineStr">
        <is>
          <t xml:space="preserve">kg/m³/K</t>
        </is>
      </c>
      <c r="D80" s="199">
        <f>'Mass Transfer'!rho_k</f>
        <v>-0.2556</v>
      </c>
      <c r="E80" s="310" t="inlineStr">
        <is>
          <t xml:space="preserve">Import from Mass Transfer!D170 (rho_k)</t>
        </is>
      </c>
    </row>
    <row r="81">
      <c r="A81" s="265" t="inlineStr">
        <is>
          <t xml:space="preserve">(import) Reactor selected on Summary</t>
        </is>
      </c>
      <c r="B81" s="266" t="inlineStr">
        <is>
          <t xml:space="preserve">Reactor_sel</t>
        </is>
      </c>
      <c r="C81" s="265" t="inlineStr">
        <is>
          <t xml:space="preserve">-</t>
        </is>
      </c>
      <c r="D81" s="277" t="str">
        <f>Summary!Reactor_sel</f>
        <v>ed04</v>
      </c>
      <c r="E81" s="310" t="inlineStr">
        <is>
          <t xml:space="preserve">Import from Summary!D2 (Reactor_sel)</t>
        </is>
      </c>
    </row>
    <row r="82">
      <c r="A82" s="265" t="inlineStr">
        <is>
          <t xml:space="preserve">(import) Organism selected on Summary</t>
        </is>
      </c>
      <c r="B82" s="266" t="inlineStr">
        <is>
          <t xml:space="preserve">organism_sel</t>
        </is>
      </c>
      <c r="C82" s="265" t="inlineStr">
        <is>
          <t xml:space="preserve">-</t>
        </is>
      </c>
      <c r="D82" s="277" t="str">
        <f>Summary!organism_sel</f>
        <v>Xanthobacter tagetidis</v>
      </c>
      <c r="E82" s="310" t="inlineStr">
        <is>
          <t xml:space="preserve">Import from Summary!D4 (organism_sel)</t>
        </is>
      </c>
    </row>
    <row r="83">
      <c r="A83" s="265" t="inlineStr">
        <is>
          <t xml:space="preserve">(import) Reactor type (resolved from reactor)</t>
        </is>
      </c>
      <c r="B83" s="266" t="inlineStr">
        <is>
          <t xml:space="preserve">rx_ver</t>
        </is>
      </c>
      <c r="C83" s="265" t="inlineStr">
        <is>
          <t xml:space="preserve">-</t>
        </is>
      </c>
      <c r="D83" s="277" t="str">
        <f>Geometry!rx_ver</f>
        <v>MEP0.3</v>
      </c>
      <c r="E83" s="310" t="inlineStr">
        <is>
          <t xml:space="preserve">Import from Geometry!D51 (rx_ver)</t>
        </is>
      </c>
    </row>
    <row r="84">
      <c r="A84" s="265" t="inlineStr">
        <is>
          <t xml:space="preserve">(import) Internal cross-sectional area</t>
        </is>
      </c>
      <c r="B84" s="266" t="inlineStr">
        <is>
          <t xml:space="preserve">A_x</t>
        </is>
      </c>
      <c r="C84" s="265" t="inlineStr">
        <is>
          <t xml:space="preserve">mm²</t>
        </is>
      </c>
      <c r="D84" s="196">
        <f>Geometry!A_x</f>
        <v>501.93100162698</v>
      </c>
      <c r="E84" s="310" t="inlineStr">
        <is>
          <t xml:space="preserve">Import from Geometry!D21 (A_x)</t>
        </is>
      </c>
    </row>
    <row r="85">
      <c r="A85" s="265" t="inlineStr">
        <is>
          <t xml:space="preserve">(import) Molar gas constant</t>
        </is>
      </c>
      <c r="B85" s="266" t="inlineStr">
        <is>
          <t xml:space="preserve">R_gas</t>
        </is>
      </c>
      <c r="C85" s="265" t="inlineStr">
        <is>
          <t xml:space="preserve">J/mol/K</t>
        </is>
      </c>
      <c r="D85" s="198">
        <f>'Mass Transfer'!R_gas</f>
        <v>8.314462618</v>
      </c>
      <c r="E85" s="310" t="inlineStr">
        <is>
          <t xml:space="preserve">Import from Mass Transfer!D101 (R_gas)</t>
        </is>
      </c>
    </row>
    <row r="86">
      <c r="A86" s="265" t="inlineStr">
        <is>
          <t xml:space="preserve">(import) Faraday constant</t>
        </is>
      </c>
      <c r="B86" s="266" t="inlineStr">
        <is>
          <t xml:space="preserve">F_const</t>
        </is>
      </c>
      <c r="C86" s="265" t="inlineStr">
        <is>
          <t xml:space="preserve">C/mol</t>
        </is>
      </c>
      <c r="D86" s="222">
        <f>Electrochemistry!F_const</f>
        <v>96485.33212</v>
      </c>
      <c r="E86" s="310" t="inlineStr">
        <is>
          <t xml:space="preserve">Import from Electrochemistry!D15 (F_const)</t>
        </is>
      </c>
    </row>
    <row r="87">
      <c r="A87" s="278" t="inlineStr">
        <is>
          <t xml:space="preserve">NAMED CONSTANTS AND IMPORTS (electrode mass transfer, monochloramine lifetime)</t>
        </is>
      </c>
      <c r="B87" s="278"/>
      <c r="C87" s="278"/>
      <c r="D87" s="278"/>
      <c r="E87" s="278"/>
      <c r="F87" s="278"/>
      <c r="G87" s="278"/>
      <c r="H87" s="278"/>
      <c r="I87" s="278"/>
      <c r="J87" s="278"/>
      <c r="K87" s="278"/>
      <c r="L87" s="278"/>
      <c r="M87" s="278"/>
      <c r="N87" s="278"/>
    </row>
    <row r="88">
      <c r="A88" s="265" t="inlineStr">
        <is>
          <t xml:space="preserve">Electrons per ferricyanide reduced</t>
        </is>
      </c>
      <c r="B88" s="266" t="inlineStr">
        <is>
          <t xml:space="preserve">n_e_fcn</t>
        </is>
      </c>
      <c r="C88" s="265" t="inlineStr">
        <is>
          <t xml:space="preserve">-</t>
        </is>
      </c>
      <c r="D88" s="268">
        <v>1.0</v>
      </c>
      <c r="E88" s="310" t="inlineStr">
        <is>
          <t xml:space="preserve">Fe(CN)₆³⁻ + e⁻ → Fe(CN)₆⁴⁻: a one-electron couple (protocols/electrode-mass-transfer.md).</t>
        </is>
      </c>
    </row>
    <row r="89">
      <c r="A89" s="265" t="inlineStr">
        <is>
          <t xml:space="preserve">Temperature tolerance for a k_m run</t>
        </is>
      </c>
      <c r="B89" s="266" t="inlineStr">
        <is>
          <t xml:space="preserve">km_T_tol</t>
        </is>
      </c>
      <c r="C89" s="265" t="inlineStr">
        <is>
          <t xml:space="preserve">°C</t>
        </is>
      </c>
      <c r="D89" s="268">
        <v>1.0</v>
      </c>
      <c r="E89" s="305" t="inlineStr">
        <is>
          <t xml:space="preserve">Design assumption: diffusivity and viscosity move ~2 %/K, so a run within ±1 °C of the Summary temperature is used as measured; others need a separate temperature correction.</t>
        </is>
      </c>
    </row>
    <row r="90">
      <c r="A90" s="265" t="inlineStr">
        <is>
          <t xml:space="preserve">(import) Stirrer rate on Summary</t>
        </is>
      </c>
      <c r="B90" s="266" t="inlineStr">
        <is>
          <t xml:space="preserve">stir_rpm_set</t>
        </is>
      </c>
      <c r="C90" s="265" t="inlineStr">
        <is>
          <t xml:space="preserve">rpm</t>
        </is>
      </c>
      <c r="D90" s="277">
        <f>Summary!stir_rpm_set</f>
        <v>1000.0</v>
      </c>
      <c r="E90" s="310" t="inlineStr">
        <is>
          <t xml:space="preserve">Import from Summary!D7 (stir_rpm_set)</t>
        </is>
      </c>
    </row>
    <row r="91">
      <c r="A91" s="265" t="inlineStr">
        <is>
          <t xml:space="preserve">(import) Temperature setpoint on Summary</t>
        </is>
      </c>
      <c r="B91" s="266" t="inlineStr">
        <is>
          <t xml:space="preserve">temp_C</t>
        </is>
      </c>
      <c r="C91" s="265" t="inlineStr">
        <is>
          <t xml:space="preserve">°C</t>
        </is>
      </c>
      <c r="D91" s="277">
        <f>Summary!temp_C</f>
        <v>30.0</v>
      </c>
      <c r="E91" s="310" t="inlineStr">
        <is>
          <t xml:space="preserve">Import from Summary!D8 (temp_C)</t>
        </is>
      </c>
    </row>
    <row r="92">
      <c r="A92" s="265" t="inlineStr">
        <is>
          <t xml:space="preserve">(import) Medium selected on Summary</t>
        </is>
      </c>
      <c r="B92" s="266" t="inlineStr">
        <is>
          <t xml:space="preserve">media_sel</t>
        </is>
      </c>
      <c r="C92" s="265" t="inlineStr">
        <is>
          <t xml:space="preserve">-</t>
        </is>
      </c>
      <c r="D92" s="277" t="str">
        <f>Summary!media_sel</f>
        <v>AM003</v>
      </c>
      <c r="E92" s="310" t="inlineStr">
        <is>
          <t xml:space="preserve">Import from Summary!D5 (media_sel)</t>
        </is>
      </c>
    </row>
    <row r="93">
      <c r="A93" s="265" t="inlineStr">
        <is>
          <t xml:space="preserve">(import) Electrode selected on Summary</t>
        </is>
      </c>
      <c r="B93" s="266" t="inlineStr">
        <is>
          <t xml:space="preserve">electrode_sel</t>
        </is>
      </c>
      <c r="C93" s="265" t="inlineStr">
        <is>
          <t xml:space="preserve">-</t>
        </is>
      </c>
      <c r="D93" s="277" t="str">
        <f>Summary!electrode_sel</f>
        <v>MMO tube</v>
      </c>
      <c r="E93" s="310" t="inlineStr">
        <is>
          <t xml:space="preserve">Import from Summary!D3 (electrode_sel)</t>
        </is>
      </c>
    </row>
    <row r="94">
      <c r="A94" s="265" t="inlineStr">
        <is>
          <t xml:space="preserve">(import) O₂ diffusivity at reactor T</t>
        </is>
      </c>
      <c r="B94" s="266" t="inlineStr">
        <is>
          <t xml:space="preserve">D_O2</t>
        </is>
      </c>
      <c r="C94" s="265" t="inlineStr">
        <is>
          <t xml:space="preserve">m²/s</t>
        </is>
      </c>
      <c r="D94" s="209">
        <f>'Mass Transfer'!D_O2</f>
        <v>2.249544435762e-09</v>
      </c>
      <c r="E94" s="310" t="inlineStr">
        <is>
          <t xml:space="preserve">Import from Mass Transfer!D32 (D_O2)</t>
        </is>
      </c>
    </row>
    <row r="95">
      <c r="A95" s="265" t="inlineStr">
        <is>
          <t xml:space="preserve">(import) Diffusivity exponent for k_m scaling</t>
        </is>
      </c>
      <c r="B95" s="266" t="inlineStr">
        <is>
          <t xml:space="preserve">km_exp</t>
        </is>
      </c>
      <c r="C95" s="265" t="inlineStr">
        <is>
          <t xml:space="preserve">-</t>
        </is>
      </c>
      <c r="D95" s="199">
        <f>Electrochemistry!km_exp</f>
        <v>0.644</v>
      </c>
      <c r="E95" s="310" t="inlineStr">
        <is>
          <t xml:space="preserve">Import from Electrochemistry!D84 (km_exp): the same Eisenberg scaling the model uses for every species.</t>
        </is>
      </c>
    </row>
    <row r="96">
      <c r="A96" s="265" t="inlineStr">
        <is>
          <t xml:space="preserve">(import) Cl₂ molar mass</t>
        </is>
      </c>
      <c r="B96" s="266" t="inlineStr">
        <is>
          <t xml:space="preserve">M_Cl2</t>
        </is>
      </c>
      <c r="C96" s="265" t="inlineStr">
        <is>
          <t xml:space="preserve">mg/mol</t>
        </is>
      </c>
      <c r="D96" s="277">
        <f>Chemistry!M_Cl2</f>
        <v>70906.0</v>
      </c>
      <c r="E96" s="310" t="inlineStr">
        <is>
          <t xml:space="preserve">Import from Chemistry!D223 (M_Cl2): DPD results are mg/L as Cl₂.</t>
        </is>
      </c>
    </row>
    <row r="97">
      <c r="A97" s="265" t="inlineStr">
        <is>
          <t xml:space="preserve">(import) H₂ basis of the uptake ratio</t>
        </is>
      </c>
      <c r="B97" s="266" t="inlineStr">
        <is>
          <t xml:space="preserve">knall_H2_basis</t>
        </is>
      </c>
      <c r="C97" s="265" t="inlineStr">
        <is>
          <t xml:space="preserve">parts</t>
        </is>
      </c>
      <c r="D97" s="277">
        <f>Biology!knall_H2_default</f>
        <v>6.0</v>
      </c>
      <c r="E97" s="310" t="inlineStr">
        <is>
          <t xml:space="preserve">Import from Biology!D63 (knall_H2_default): the H₂ term of the default 6:2:1, so a measured ratio reads on the same scale.</t>
        </is>
      </c>
    </row>
    <row r="98">
      <c r="A98" s="265" t="inlineStr">
        <is>
          <t xml:space="preserve">Sinter grade P0 upper bound</t>
        </is>
      </c>
      <c r="B98" s="266" t="inlineStr">
        <is>
          <t xml:space="preserve">por_p0_hi</t>
        </is>
      </c>
      <c r="C98" s="265" t="inlineStr">
        <is>
          <t xml:space="preserve">µm</t>
        </is>
      </c>
      <c r="D98" s="268">
        <v>250.0</v>
      </c>
      <c r="E98" s="310" t="inlineStr">
        <is>
          <t xml:space="preserve">DURAN P0 160–250 µm (Mass Transfer E33): above this the frit is coarser than any listed grade.</t>
        </is>
      </c>
    </row>
    <row r="99">
      <c r="A99" s="265" t="inlineStr">
        <is>
          <t xml:space="preserve">Sinter grade P5 upper bound</t>
        </is>
      </c>
      <c r="B99" s="266" t="inlineStr">
        <is>
          <t xml:space="preserve">por_p5_hi</t>
        </is>
      </c>
      <c r="C99" s="265" t="inlineStr">
        <is>
          <t xml:space="preserve">µm</t>
        </is>
      </c>
      <c r="D99" s="268">
        <v>1.6</v>
      </c>
      <c r="E99" s="310" t="inlineStr">
        <is>
          <t xml:space="preserve">DURAN P5 1.0–1.6 µm (Mass Transfer E38); 1.6–10 µm falls between P5 and P4 and is not a listed grade.</t>
        </is>
      </c>
    </row>
    <row r="100">
      <c r="A100" s="265" t="inlineStr">
        <is>
          <t xml:space="preserve">Sinter grade P5 lower bound</t>
        </is>
      </c>
      <c r="B100" s="266" t="inlineStr">
        <is>
          <t xml:space="preserve">por_p5_lo</t>
        </is>
      </c>
      <c r="C100" s="265" t="inlineStr">
        <is>
          <t xml:space="preserve">µm</t>
        </is>
      </c>
      <c r="D100" s="268">
        <v>1.0</v>
      </c>
      <c r="E100" s="310" t="inlineStr">
        <is>
          <t xml:space="preserve">DURAN P5 1.0–1.6 µm (Mass Transfer E38).</t>
        </is>
      </c>
    </row>
    <row r="102">
      <c r="A102" s="228" t="str">
        <f>HYPERLINK("#'Experiments'!A1","EXPERIMENT RECORD  →  a Table on the Experiments sheet")</f>
        <v>EXPERIMENT RECORD  →  a Table on the Experiments sheet</v>
      </c>
      <c r="B102" s="278"/>
      <c r="C102" s="278"/>
      <c r="D102" s="278"/>
      <c r="E102" s="278"/>
      <c r="F102" s="278"/>
    </row>
    <row r="104">
      <c r="A104" s="278" t="inlineStr">
        <is>
          <t xml:space="preserve">EXPERIMENT STATUS (read by Summary column D; follows the Summary selections)</t>
        </is>
      </c>
      <c r="B104" s="278"/>
      <c r="C104" s="278"/>
      <c r="D104" s="278"/>
      <c r="E104" s="278"/>
      <c r="F104" s="278"/>
      <c r="G104" s="278"/>
      <c r="H104" s="278"/>
      <c r="I104" s="278"/>
      <c r="J104" s="278"/>
      <c r="K104" s="278"/>
      <c r="L104" s="278"/>
      <c r="M104" s="278"/>
      <c r="N104" s="278"/>
    </row>
    <row r="105">
      <c r="A105" s="263" t="inlineStr">
        <is>
          <t xml:space="preserve">Experiment</t>
        </is>
      </c>
      <c r="B105" s="263" t="inlineStr">
        <is>
          <t xml:space="preserve">Name</t>
        </is>
      </c>
      <c r="C105" s="263"/>
      <c r="D105" s="263" t="inlineStr">
        <is>
          <t xml:space="preserve">Status</t>
        </is>
      </c>
      <c r="E105" s="263" t="inlineStr">
        <is>
          <t xml:space="preserve">How it is decided</t>
        </is>
      </c>
      <c r="F105" s="263" t="inlineStr">
        <is>
          <t xml:space="preserve">From the record (0–2)</t>
        </is>
      </c>
    </row>
    <row r="106">
      <c r="A106" s="265" t="inlineStr">
        <is>
          <t xml:space="preserve">Measure / confirm vial total volume</t>
        </is>
      </c>
      <c r="B106" s="266" t="inlineStr">
        <is>
          <t xml:space="preserve">xs_vial</t>
        </is>
      </c>
      <c r="D106" s="277" t="str">
        <f>CHOOSE(1+MAX(IF(ISNUMBER(cal_Vtot),2,0),F106),"Not done","Approximate","Done")</f>
        <v>Not done</v>
      </c>
      <c r="E106" s="269" t="inlineStr">
        <is>
          <t xml:space="preserve">Done when the vial-geometry section has an included run for this reactor type.</t>
        </is>
      </c>
      <c r="F106" s="277">
        <f>IF(SUMPRODUCT((xr_exp=A106)*(xr_res="Done")*((xr_rx="")+(xr_rx=Reactor_sel)+(xr_rx=rx_ver)&gt;0)*((xr_el="")+(xr_el=electrode_sel)&gt;0)*((xr_org="")+(xr_org=organism_sel)&gt;0)*((xr_med="")+(xr_med=media_sel)&gt;0)*((xr_T="")+(ABS(xr_T-temp_C)&lt;=xr_T_tol)&gt;0))&gt;0,2,IF(SUMPRODUCT((xr_exp=A106)*(xr_res="Approximate")*((xr_rx="")+(xr_rx=Reactor_sel)+(xr_rx=rx_ver)&gt;0)*((xr_el="")+(xr_el=electrode_sel)&gt;0)*((xr_org="")+(xr_org=organism_sel)&gt;0)*((xr_med="")+(xr_med=media_sel)&gt;0)*((xr_T="")+(ABS(xr_T-temp_C)&lt;=xr_T_tol)&gt;0))&gt;0,1,0))</f>
        <v>0.0</v>
      </c>
    </row>
    <row r="107">
      <c r="A107" s="265" t="inlineStr">
        <is>
          <t xml:space="preserve">CO₂ flow of the reactor in use</t>
        </is>
      </c>
      <c r="B107" s="266" t="inlineStr">
        <is>
          <t xml:space="preserve">xs_flow</t>
        </is>
      </c>
      <c r="D107" s="277" t="str">
        <f>CHOOSE(1+MAX(IF(has_cal_ca&gt;0,2,0),F107),"Not done","Approximate","Done")</f>
        <v>Done</v>
      </c>
      <c r="E107" s="269" t="inlineStr">
        <is>
          <t xml:space="preserve">Done when this reactor has a CO₂ flow calibration (CO2 flows, or the CO₂-flow section here).</t>
        </is>
      </c>
      <c r="F107" s="277">
        <f>IF(SUMPRODUCT((xr_exp=A107)*(xr_res="Done")*((xr_rx="")+(xr_rx=Reactor_sel)+(xr_rx=rx_ver)&gt;0)*((xr_el="")+(xr_el=electrode_sel)&gt;0)*((xr_org="")+(xr_org=organism_sel)&gt;0)*((xr_med="")+(xr_med=media_sel)&gt;0)*((xr_T="")+(ABS(xr_T-temp_C)&lt;=xr_T_tol)&gt;0))&gt;0,2,IF(SUMPRODUCT((xr_exp=A107)*(xr_res="Approximate")*((xr_rx="")+(xr_rx=Reactor_sel)+(xr_rx=rx_ver)&gt;0)*((xr_el="")+(xr_el=electrode_sel)&gt;0)*((xr_org="")+(xr_org=organism_sel)&gt;0)*((xr_med="")+(xr_med=media_sel)&gt;0)*((xr_T="")+(ABS(xr_T-temp_C)&lt;=xr_T_tol)&gt;0))&gt;0,1,0))</f>
        <v>0.0</v>
      </c>
    </row>
    <row r="108">
      <c r="A108" s="265" t="inlineStr">
        <is>
          <t xml:space="preserve">Measure the electrode mass-transfer coefficient</t>
        </is>
      </c>
      <c r="B108" s="266" t="inlineStr">
        <is>
          <t xml:space="preserve">xs_km</t>
        </is>
      </c>
      <c r="D108" s="277" t="str">
        <f>CHOOSE(1+MAX(IF(ISNUMBER(cal_km_O2),2,IF(COUNTIFS(CalKm[Reactor],Reactor_sel,CalKm[Electrode],electrode_sel,CalKm[Include?],"y")&gt;0,1,0)),F108),"Not done","Approximate","Done")</f>
        <v>Not done</v>
      </c>
      <c r="E108" s="269" t="inlineStr">
        <is>
          <t xml:space="preserve">Done when a run matches this reactor, electrode, stirrer rate and temperature; Approximate when the reactor and electrode match only.</t>
        </is>
      </c>
      <c r="F108" s="277">
        <f>IF(SUMPRODUCT((xr_exp=A108)*(xr_res="Done")*((xr_rx="")+(xr_rx=Reactor_sel)+(xr_rx=rx_ver)&gt;0)*((xr_el="")+(xr_el=electrode_sel)&gt;0)*((xr_org="")+(xr_org=organism_sel)&gt;0)*((xr_med="")+(xr_med=media_sel)&gt;0)*((xr_T="")+(ABS(xr_T-temp_C)&lt;=xr_T_tol)&gt;0))&gt;0,2,IF(SUMPRODUCT((xr_exp=A108)*(xr_res="Approximate")*((xr_rx="")+(xr_rx=Reactor_sel)+(xr_rx=rx_ver)&gt;0)*((xr_el="")+(xr_el=electrode_sel)&gt;0)*((xr_org="")+(xr_org=organism_sel)&gt;0)*((xr_med="")+(xr_med=media_sel)&gt;0)*((xr_T="")+(ABS(xr_T-temp_C)&lt;=xr_T_tol)&gt;0))&gt;0,1,0))</f>
        <v>0.0</v>
      </c>
    </row>
    <row r="109">
      <c r="A109" s="265" t="inlineStr">
        <is>
          <t xml:space="preserve">Low-power current curve below 3 %</t>
        </is>
      </c>
      <c r="B109" s="266" t="inlineStr">
        <is>
          <t xml:space="preserve">xs_lowI</t>
        </is>
      </c>
      <c r="D109" s="277" t="str">
        <f>CHOOSE(1+MAX(IF(COUNTIFS(CalCurrent[Reactor],Reactor_sel,CalCurrent[Intensity (%)],"&lt;"&amp;gerrit_min_ca,CalCurrent[Include?],"y")&gt;0,1,0),F109),"Not done","Approximate","Done")</f>
        <v>Not done</v>
      </c>
      <c r="E109" s="269" t="inlineStr">
        <is>
          <t xml:space="preserve">Approximate when the electrolysis-current section holds an included point below 3 % for this reactor; Done only from the record.</t>
        </is>
      </c>
      <c r="F109" s="277">
        <f>IF(SUMPRODUCT((xr_exp=A109)*(xr_res="Done")*((xr_rx="")+(xr_rx=Reactor_sel)+(xr_rx=rx_ver)&gt;0)*((xr_el="")+(xr_el=electrode_sel)&gt;0)*((xr_org="")+(xr_org=organism_sel)&gt;0)*((xr_med="")+(xr_med=media_sel)&gt;0)*((xr_T="")+(ABS(xr_T-temp_C)&lt;=xr_T_tol)&gt;0))&gt;0,2,IF(SUMPRODUCT((xr_exp=A109)*(xr_res="Approximate")*((xr_rx="")+(xr_rx=Reactor_sel)+(xr_rx=rx_ver)&gt;0)*((xr_el="")+(xr_el=electrode_sel)&gt;0)*((xr_org="")+(xr_org=organism_sel)&gt;0)*((xr_med="")+(xr_med=media_sel)&gt;0)*((xr_T="")+(ABS(xr_T-temp_C)&lt;=xr_T_tol)&gt;0))&gt;0,1,0))</f>
        <v>0.0</v>
      </c>
    </row>
    <row r="110">
      <c r="A110" s="265" t="inlineStr">
        <is>
          <t xml:space="preserve">Electrochemist review of the calculated electrochemistry</t>
        </is>
      </c>
      <c r="B110" s="266" t="inlineStr">
        <is>
          <t xml:space="preserve">xs_review</t>
        </is>
      </c>
      <c r="D110" s="277" t="str">
        <f>CHOOSE(1+F110,"Not done","Approximate","Done")</f>
        <v>Not done</v>
      </c>
      <c r="E110" s="269" t="inlineStr">
        <is>
          <t xml:space="preserve">From the record.</t>
        </is>
      </c>
      <c r="F110" s="277">
        <f>IF(SUMPRODUCT((xr_exp=A110)*(xr_res="Done")*((xr_rx="")+(xr_rx=Reactor_sel)+(xr_rx=rx_ver)&gt;0)*((xr_el="")+(xr_el=electrode_sel)&gt;0)*((xr_org="")+(xr_org=organism_sel)&gt;0)*((xr_med="")+(xr_med=media_sel)&gt;0)*((xr_T="")+(ABS(xr_T-temp_C)&lt;=xr_T_tol)&gt;0))&gt;0,2,IF(SUMPRODUCT((xr_exp=A110)*(xr_res="Approximate")*((xr_rx="")+(xr_rx=Reactor_sel)+(xr_rx=rx_ver)&gt;0)*((xr_el="")+(xr_el=electrode_sel)&gt;0)*((xr_org="")+(xr_org=organism_sel)&gt;0)*((xr_med="")+(xr_med=media_sel)&gt;0)*((xr_T="")+(ABS(xr_T-temp_C)&lt;=xr_T_tol)&gt;0))&gt;0,1,0))</f>
        <v>0.0</v>
      </c>
    </row>
    <row r="111">
      <c r="A111" s="265" t="inlineStr">
        <is>
          <t xml:space="preserve">Measure the cell voltage at a known setpoint</t>
        </is>
      </c>
      <c r="B111" s="266" t="inlineStr">
        <is>
          <t xml:space="preserve">xs_V</t>
        </is>
      </c>
      <c r="D111" s="277" t="str">
        <f>CHOOSE(1+F111,"Not done","Approximate","Done")</f>
        <v>Not done</v>
      </c>
      <c r="E111" s="269" t="inlineStr">
        <is>
          <t xml:space="preserve">From the record: reactor, electrode, medium and temperature all matter.</t>
        </is>
      </c>
      <c r="F111" s="277">
        <f>IF(SUMPRODUCT((xr_exp=A111)*(xr_res="Done")*((xr_rx="")+(xr_rx=Reactor_sel)+(xr_rx=rx_ver)&gt;0)*((xr_el="")+(xr_el=electrode_sel)&gt;0)*((xr_org="")+(xr_org=organism_sel)&gt;0)*((xr_med="")+(xr_med=media_sel)&gt;0)*((xr_T="")+(ABS(xr_T-temp_C)&lt;=xr_T_tol)&gt;0))&gt;0,2,IF(SUMPRODUCT((xr_exp=A111)*(xr_res="Approximate")*((xr_rx="")+(xr_rx=Reactor_sel)+(xr_rx=rx_ver)&gt;0)*((xr_el="")+(xr_el=electrode_sel)&gt;0)*((xr_org="")+(xr_org=organism_sel)&gt;0)*((xr_med="")+(xr_med=media_sel)&gt;0)*((xr_T="")+(ABS(xr_T-temp_C)&lt;=xr_T_tol)&gt;0))&gt;0,1,0))</f>
        <v>0.0</v>
      </c>
    </row>
    <row r="112">
      <c r="A112" s="265" t="inlineStr">
        <is>
          <t xml:space="preserve">Headspace H₂/O₂ during lag (safety)</t>
        </is>
      </c>
      <c r="B112" s="266" t="inlineStr">
        <is>
          <t xml:space="preserve">xs_hsgas</t>
        </is>
      </c>
      <c r="D112" s="277" t="str">
        <f>CHOOSE(1+F112,"Not done","Approximate","Done")</f>
        <v>Not done</v>
      </c>
      <c r="E112" s="269" t="inlineStr">
        <is>
          <t xml:space="preserve">From the record.</t>
        </is>
      </c>
      <c r="F112" s="277">
        <f>IF(SUMPRODUCT((xr_exp=A112)*(xr_res="Done")*((xr_rx="")+(xr_rx=Reactor_sel)+(xr_rx=rx_ver)&gt;0)*((xr_el="")+(xr_el=electrode_sel)&gt;0)*((xr_org="")+(xr_org=organism_sel)&gt;0)*((xr_med="")+(xr_med=media_sel)&gt;0)*((xr_T="")+(ABS(xr_T-temp_C)&lt;=xr_T_tol)&gt;0))&gt;0,2,IF(SUMPRODUCT((xr_exp=A112)*(xr_res="Approximate")*((xr_rx="")+(xr_rx=Reactor_sel)+(xr_rx=rx_ver)&gt;0)*((xr_el="")+(xr_el=electrode_sel)&gt;0)*((xr_org="")+(xr_org=organism_sel)&gt;0)*((xr_med="")+(xr_med=media_sel)&gt;0)*((xr_T="")+(ABS(xr_T-temp_C)&lt;=xr_T_tol)&gt;0))&gt;0,1,0))</f>
        <v>0.0</v>
      </c>
    </row>
    <row r="113">
      <c r="A113" s="265" t="inlineStr">
        <is>
          <t xml:space="preserve">Characterise the headspace vent</t>
        </is>
      </c>
      <c r="B113" s="266" t="inlineStr">
        <is>
          <t xml:space="preserve">xs_vent</t>
        </is>
      </c>
      <c r="D113" s="277" t="str">
        <f>IF(vent_model_ca="Outflow only","Not needed",CHOOSE(1+F113,"Not done","Approximate","Done"))</f>
        <v>Not done</v>
      </c>
      <c r="E113" s="269" t="inlineStr">
        <is>
          <t xml:space="preserve">Not needed with an "Outflow only" vent (no air drawn back); otherwise from the record.</t>
        </is>
      </c>
      <c r="F113" s="277">
        <f>IF(SUMPRODUCT((xr_exp=A113)*(xr_res="Done")*((xr_rx="")+(xr_rx=Reactor_sel)+(xr_rx=rx_ver)&gt;0)*((xr_el="")+(xr_el=electrode_sel)&gt;0)*((xr_org="")+(xr_org=organism_sel)&gt;0)*((xr_med="")+(xr_med=media_sel)&gt;0)*((xr_T="")+(ABS(xr_T-temp_C)&lt;=xr_T_tol)&gt;0))&gt;0,2,IF(SUMPRODUCT((xr_exp=A113)*(xr_res="Approximate")*((xr_rx="")+(xr_rx=Reactor_sel)+(xr_rx=rx_ver)&gt;0)*((xr_el="")+(xr_el=electrode_sel)&gt;0)*((xr_org="")+(xr_org=organism_sel)&gt;0)*((xr_med="")+(xr_med=media_sel)&gt;0)*((xr_T="")+(ABS(xr_T-temp_C)&lt;=xr_T_tol)&gt;0))&gt;0,1,0))</f>
        <v>0.0</v>
      </c>
    </row>
    <row r="114">
      <c r="A114" s="265" t="inlineStr">
        <is>
          <t xml:space="preserve">Measure surface kLa (kL_surf)</t>
        </is>
      </c>
      <c r="B114" s="266" t="inlineStr">
        <is>
          <t xml:space="preserve">xs_kLa</t>
        </is>
      </c>
      <c r="D114" s="277" t="str">
        <f>CHOOSE(1+MAX(IF(ISNUMBER(cal_kLa),2,IF(COUNTIFS(CalKLa[Type (auto)],rx_ver,CalKLa[Include?],"y")&gt;0,1,0)),F114),"Not done","Approximate","Done")</f>
        <v>Not done</v>
      </c>
      <c r="E114" s="269" t="inlineStr">
        <is>
          <t xml:space="preserve">Done when the surface-kLa section has an included run for this reactor; Approximate for another reactor of the same type.</t>
        </is>
      </c>
      <c r="F114" s="277">
        <f>IF(SUMPRODUCT((xr_exp=A114)*(xr_res="Done")*((xr_rx="")+(xr_rx=Reactor_sel)+(xr_rx=rx_ver)&gt;0)*((xr_el="")+(xr_el=electrode_sel)&gt;0)*((xr_org="")+(xr_org=organism_sel)&gt;0)*((xr_med="")+(xr_med=media_sel)&gt;0)*((xr_T="")+(ABS(xr_T-temp_C)&lt;=xr_T_tol)&gt;0))&gt;0,2,IF(SUMPRODUCT((xr_exp=A114)*(xr_res="Approximate")*((xr_rx="")+(xr_rx=Reactor_sel)+(xr_rx=rx_ver)&gt;0)*((xr_el="")+(xr_el=electrode_sel)&gt;0)*((xr_org="")+(xr_org=organism_sel)&gt;0)*((xr_med="")+(xr_med=media_sel)&gt;0)*((xr_T="")+(ABS(xr_T-temp_C)&lt;=xr_T_tol)&gt;0))&gt;0,1,0))</f>
        <v>0.0</v>
      </c>
    </row>
    <row r="115">
      <c r="A115" s="265" t="inlineStr">
        <is>
          <t xml:space="preserve">Abiotic DO trace under the schedule</t>
        </is>
      </c>
      <c r="B115" s="266" t="inlineStr">
        <is>
          <t xml:space="preserve">xs_DOtrace</t>
        </is>
      </c>
      <c r="D115" s="277" t="str">
        <f>CHOOSE(1+F115,"Not done","Approximate","Done")</f>
        <v>Not done</v>
      </c>
      <c r="E115" s="269" t="inlineStr">
        <is>
          <t xml:space="preserve">From the record.</t>
        </is>
      </c>
      <c r="F115" s="277">
        <f>IF(SUMPRODUCT((xr_exp=A115)*(xr_res="Done")*((xr_rx="")+(xr_rx=Reactor_sel)+(xr_rx=rx_ver)&gt;0)*((xr_el="")+(xr_el=electrode_sel)&gt;0)*((xr_org="")+(xr_org=organism_sel)&gt;0)*((xr_med="")+(xr_med=media_sel)&gt;0)*((xr_T="")+(ABS(xr_T-temp_C)&lt;=xr_T_tol)&gt;0))&gt;0,2,IF(SUMPRODUCT((xr_exp=A115)*(xr_res="Approximate")*((xr_rx="")+(xr_rx=Reactor_sel)+(xr_rx=rx_ver)&gt;0)*((xr_el="")+(xr_el=electrode_sel)&gt;0)*((xr_org="")+(xr_org=organism_sel)&gt;0)*((xr_med="")+(xr_med=media_sel)&gt;0)*((xr_T="")+(ABS(xr_T-temp_C)&lt;=xr_T_tol)&gt;0))&gt;0,1,0))</f>
        <v>0.0</v>
      </c>
    </row>
    <row r="116">
      <c r="A116" s="265" t="inlineStr">
        <is>
          <t xml:space="preserve">pH through a growth run (tests the nitrogen-uptake acidification)</t>
        </is>
      </c>
      <c r="B116" s="266" t="inlineStr">
        <is>
          <t xml:space="preserve">xs_pHrun</t>
        </is>
      </c>
      <c r="D116" s="277" t="str">
        <f>CHOOSE(1+F116,"Not done","Approximate","Done")</f>
        <v>Not done</v>
      </c>
      <c r="E116" s="269" t="inlineStr">
        <is>
          <t xml:space="preserve">From the record: organism, medium and temperature matter.</t>
        </is>
      </c>
      <c r="F116" s="277">
        <f>IF(SUMPRODUCT((xr_exp=A116)*(xr_res="Done")*((xr_rx="")+(xr_rx=Reactor_sel)+(xr_rx=rx_ver)&gt;0)*((xr_el="")+(xr_el=electrode_sel)&gt;0)*((xr_org="")+(xr_org=organism_sel)&gt;0)*((xr_med="")+(xr_med=media_sel)&gt;0)*((xr_T="")+(ABS(xr_T-temp_C)&lt;=xr_T_tol)&gt;0))&gt;0,2,IF(SUMPRODUCT((xr_exp=A116)*(xr_res="Approximate")*((xr_rx="")+(xr_rx=Reactor_sel)+(xr_rx=rx_ver)&gt;0)*((xr_el="")+(xr_el=electrode_sel)&gt;0)*((xr_org="")+(xr_org=organism_sel)&gt;0)*((xr_med="")+(xr_med=media_sel)&gt;0)*((xr_T="")+(ABS(xr_T-temp_C)&lt;=xr_T_tol)&gt;0))&gt;0,1,0))</f>
        <v>0.0</v>
      </c>
    </row>
    <row r="117">
      <c r="A117" s="265" t="inlineStr">
        <is>
          <t xml:space="preserve">Assay dissolved metals in spent medium</t>
        </is>
      </c>
      <c r="B117" s="266" t="inlineStr">
        <is>
          <t xml:space="preserve">xs_metals</t>
        </is>
      </c>
      <c r="D117" s="277" t="str">
        <f>CHOOSE(1+F117,"Not done","Approximate","Done")</f>
        <v>Not done</v>
      </c>
      <c r="E117" s="269" t="inlineStr">
        <is>
          <t xml:space="preserve">From the record.</t>
        </is>
      </c>
      <c r="F117" s="277">
        <f>IF(SUMPRODUCT((xr_exp=A117)*(xr_res="Done")*((xr_rx="")+(xr_rx=Reactor_sel)+(xr_rx=rx_ver)&gt;0)*((xr_el="")+(xr_el=electrode_sel)&gt;0)*((xr_org="")+(xr_org=organism_sel)&gt;0)*((xr_med="")+(xr_med=media_sel)&gt;0)*((xr_T="")+(ABS(xr_T-temp_C)&lt;=xr_T_tol)&gt;0))&gt;0,2,IF(SUMPRODUCT((xr_exp=A117)*(xr_res="Approximate")*((xr_rx="")+(xr_rx=Reactor_sel)+(xr_rx=rx_ver)&gt;0)*((xr_el="")+(xr_el=electrode_sel)&gt;0)*((xr_org="")+(xr_org=organism_sel)&gt;0)*((xr_med="")+(xr_med=media_sel)&gt;0)*((xr_T="")+(ABS(xr_T-temp_C)&lt;=xr_T_tol)&gt;0))&gt;0,1,0))</f>
        <v>0.0</v>
      </c>
    </row>
    <row r="118">
      <c r="A118" s="265" t="inlineStr">
        <is>
          <t xml:space="preserve">Measure cathodic Faradaic efficiency (etaF)</t>
        </is>
      </c>
      <c r="B118" s="266" t="inlineStr">
        <is>
          <t xml:space="preserve">xs_FE</t>
        </is>
      </c>
      <c r="D118" s="277" t="str">
        <f>CHOOSE(1+MAX(IF(ISNUMBER(cal_etaF),2,0),F118),"Not done","Approximate","Done")</f>
        <v>Not done</v>
      </c>
      <c r="E118" s="269" t="inlineStr">
        <is>
          <t xml:space="preserve">Done when the Faradaic-efficiency section has an included H₂ run for this reactor.</t>
        </is>
      </c>
      <c r="F118" s="277">
        <f>IF(SUMPRODUCT((xr_exp=A118)*(xr_res="Done")*((xr_rx="")+(xr_rx=Reactor_sel)+(xr_rx=rx_ver)&gt;0)*((xr_el="")+(xr_el=electrode_sel)&gt;0)*((xr_org="")+(xr_org=organism_sel)&gt;0)*((xr_med="")+(xr_med=media_sel)&gt;0)*((xr_T="")+(ABS(xr_T-temp_C)&lt;=xr_T_tol)&gt;0))&gt;0,2,IF(SUMPRODUCT((xr_exp=A118)*(xr_res="Approximate")*((xr_rx="")+(xr_rx=Reactor_sel)+(xr_rx=rx_ver)&gt;0)*((xr_el="")+(xr_el=electrode_sel)&gt;0)*((xr_org="")+(xr_org=organism_sel)&gt;0)*((xr_med="")+(xr_med=media_sel)&gt;0)*((xr_T="")+(ABS(xr_T-temp_C)&lt;=xr_T_tol)&gt;0))&gt;0,1,0))</f>
        <v>0.0</v>
      </c>
    </row>
    <row r="119">
      <c r="A119" s="265" t="inlineStr">
        <is>
          <t xml:space="preserve">Off-gas H₂ at steady growth</t>
        </is>
      </c>
      <c r="B119" s="266" t="inlineStr">
        <is>
          <t xml:space="preserve">xs_offgas</t>
        </is>
      </c>
      <c r="D119" s="277" t="str">
        <f>CHOOSE(1+F119,"Not done","Approximate","Done")</f>
        <v>Not done</v>
      </c>
      <c r="E119" s="269" t="inlineStr">
        <is>
          <t xml:space="preserve">From the record.</t>
        </is>
      </c>
      <c r="F119" s="277">
        <f>IF(SUMPRODUCT((xr_exp=A119)*(xr_res="Done")*((xr_rx="")+(xr_rx=Reactor_sel)+(xr_rx=rx_ver)&gt;0)*((xr_el="")+(xr_el=electrode_sel)&gt;0)*((xr_org="")+(xr_org=organism_sel)&gt;0)*((xr_med="")+(xr_med=media_sel)&gt;0)*((xr_T="")+(ABS(xr_T-temp_C)&lt;=xr_T_tol)&gt;0))&gt;0,2,IF(SUMPRODUCT((xr_exp=A119)*(xr_res="Approximate")*((xr_rx="")+(xr_rx=Reactor_sel)+(xr_rx=rx_ver)&gt;0)*((xr_el="")+(xr_el=electrode_sel)&gt;0)*((xr_org="")+(xr_org=organism_sel)&gt;0)*((xr_med="")+(xr_med=media_sel)&gt;0)*((xr_T="")+(ABS(xr_T-temp_C)&lt;=xr_T_tol)&gt;0))&gt;0,1,0))</f>
        <v>0.0</v>
      </c>
    </row>
    <row r="120">
      <c r="A120" s="265" t="inlineStr">
        <is>
          <t xml:space="preserve">Organism DO thresholds</t>
        </is>
      </c>
      <c r="B120" s="266" t="inlineStr">
        <is>
          <t xml:space="preserve">xs_DOthr</t>
        </is>
      </c>
      <c r="D120" s="277" t="str">
        <f>CHOOSE(1+MAX(IF(AND(ISNUMBER(cal_DO_min),ISNUMBER(cal_DO_opt),ISNUMBER(cal_DO_impair),ISNUMBER(cal_DO_toxic)),2,IF(OR(ISNUMBER(cal_DO_min),ISNUMBER(cal_DO_opt),ISNUMBER(cal_DO_impair),ISNUMBER(cal_DO_toxic)),1,0)),F120),"Not done","Approximate","Done")</f>
        <v>Not done</v>
      </c>
      <c r="E120" s="269" t="inlineStr">
        <is>
          <t xml:space="preserve">Done when all four thresholds are included for this organism; Approximate when some are.</t>
        </is>
      </c>
      <c r="F120" s="277">
        <f>IF(SUMPRODUCT((xr_exp=A120)*(xr_res="Done")*((xr_rx="")+(xr_rx=Reactor_sel)+(xr_rx=rx_ver)&gt;0)*((xr_el="")+(xr_el=electrode_sel)&gt;0)*((xr_org="")+(xr_org=organism_sel)&gt;0)*((xr_med="")+(xr_med=media_sel)&gt;0)*((xr_T="")+(ABS(xr_T-temp_C)&lt;=xr_T_tol)&gt;0))&gt;0,2,IF(SUMPRODUCT((xr_exp=A120)*(xr_res="Approximate")*((xr_rx="")+(xr_rx=Reactor_sel)+(xr_rx=rx_ver)&gt;0)*((xr_el="")+(xr_el=electrode_sel)&gt;0)*((xr_org="")+(xr_org=organism_sel)&gt;0)*((xr_med="")+(xr_med=media_sel)&gt;0)*((xr_T="")+(ABS(xr_T-temp_C)&lt;=xr_T_tol)&gt;0))&gt;0,1,0))</f>
        <v>0.0</v>
      </c>
    </row>
    <row r="121">
      <c r="A121" s="265" t="inlineStr">
        <is>
          <t xml:space="preserve">Calibrate flow for each reactor</t>
        </is>
      </c>
      <c r="B121" s="266" t="inlineStr">
        <is>
          <t xml:space="preserve">xs_flow_all</t>
        </is>
      </c>
      <c r="D121" s="277" t="str">
        <f>CHOOSE(1+MAX(IF(SUMPRODUCT(--((COUNTIFS(co2f_reactor,ReactorList,co2f_nominal,"&gt;0")+COUNTIFS(CalFlow[Reactor],ReactorList,CalFlow[Include?],"y"))&gt;0))=ROWS(ReactorList),2,IF(SUMPRODUCT(--((COUNTIFS(co2f_reactor,ReactorList,co2f_nominal,"&gt;0")+COUNTIFS(CalFlow[Reactor],ReactorList,CalFlow[Include?],"y"))&gt;0))&gt;0,1,0)),F121),"Not done","Approximate","Done")</f>
        <v>Approximate</v>
      </c>
      <c r="E121" s="269" t="inlineStr">
        <is>
          <t xml:space="preserve">Done when every listed reactor has a flow calibration; Approximate when some do.</t>
        </is>
      </c>
      <c r="F121" s="277">
        <f>IF(SUMPRODUCT((xr_exp=A121)*(xr_res="Done")*((xr_rx="")+(xr_rx=Reactor_sel)+(xr_rx=rx_ver)&gt;0)*((xr_el="")+(xr_el=electrode_sel)&gt;0)*((xr_org="")+(xr_org=organism_sel)&gt;0)*((xr_med="")+(xr_med=media_sel)&gt;0)*((xr_T="")+(ABS(xr_T-temp_C)&lt;=xr_T_tol)&gt;0))&gt;0,2,IF(SUMPRODUCT((xr_exp=A121)*(xr_res="Approximate")*((xr_rx="")+(xr_rx=Reactor_sel)+(xr_rx=rx_ver)&gt;0)*((xr_el="")+(xr_el=electrode_sel)&gt;0)*((xr_org="")+(xr_org=organism_sel)&gt;0)*((xr_med="")+(xr_med=media_sel)&gt;0)*((xr_T="")+(ABS(xr_T-temp_C)&lt;=xr_T_tol)&gt;0))&gt;0,1,0))</f>
        <v>0.0</v>
      </c>
    </row>
    <row r="122">
      <c r="A122" s="265" t="inlineStr">
        <is>
          <t xml:space="preserve">Measure vial wall thickness</t>
        </is>
      </c>
      <c r="B122" s="266" t="inlineStr">
        <is>
          <t xml:space="preserve">xs_wall</t>
        </is>
      </c>
      <c r="D122" s="277" t="str">
        <f>CHOOSE(1+F122,"Not done","Approximate","Done")</f>
        <v>Not done</v>
      </c>
      <c r="E122" s="269" t="inlineStr">
        <is>
          <t xml:space="preserve">From the record.</t>
        </is>
      </c>
      <c r="F122" s="277">
        <f>IF(SUMPRODUCT((xr_exp=A122)*(xr_res="Done")*((xr_rx="")+(xr_rx=Reactor_sel)+(xr_rx=rx_ver)&gt;0)*((xr_el="")+(xr_el=electrode_sel)&gt;0)*((xr_org="")+(xr_org=organism_sel)&gt;0)*((xr_med="")+(xr_med=media_sel)&gt;0)*((xr_T="")+(ABS(xr_T-temp_C)&lt;=xr_T_tol)&gt;0))&gt;0,2,IF(SUMPRODUCT((xr_exp=A122)*(xr_res="Approximate")*((xr_rx="")+(xr_rx=Reactor_sel)+(xr_rx=rx_ver)&gt;0)*((xr_el="")+(xr_el=electrode_sel)&gt;0)*((xr_org="")+(xr_org=organism_sel)&gt;0)*((xr_med="")+(xr_med=media_sel)&gt;0)*((xr_T="")+(ABS(xr_T-temp_C)&lt;=xr_T_tol)&gt;0))&gt;0,1,0))</f>
        <v>0.0</v>
      </c>
    </row>
    <row r="123">
      <c r="A123" s="265" t="inlineStr">
        <is>
          <t xml:space="preserve">Free and combined chlorine (DPD)</t>
        </is>
      </c>
      <c r="B123" s="266" t="inlineStr">
        <is>
          <t xml:space="preserve">xs_DPD</t>
        </is>
      </c>
      <c r="D123" s="277" t="str">
        <f>IF(Cl_sel_ca=0,"Not needed",CHOOSE(1+MAX(IF(ISNUMBER(cal_tau_NH2Cl),2,0),F123),"Not done","Approximate","Done"))</f>
        <v>Not needed</v>
      </c>
      <c r="E123" s="269" t="inlineStr">
        <is>
          <t xml:space="preserve">Not needed for a chloride-free medium; Done when the monochloramine section has an included run for this reactor and medium.</t>
        </is>
      </c>
      <c r="F123" s="277">
        <f>IF(SUMPRODUCT((xr_exp=A123)*(xr_res="Done")*((xr_rx="")+(xr_rx=Reactor_sel)+(xr_rx=rx_ver)&gt;0)*((xr_el="")+(xr_el=electrode_sel)&gt;0)*((xr_org="")+(xr_org=organism_sel)&gt;0)*((xr_med="")+(xr_med=media_sel)&gt;0)*((xr_T="")+(ABS(xr_T-temp_C)&lt;=xr_T_tol)&gt;0))&gt;0,2,IF(SUMPRODUCT((xr_exp=A123)*(xr_res="Approximate")*((xr_rx="")+(xr_rx=Reactor_sel)+(xr_rx=rx_ver)&gt;0)*((xr_el="")+(xr_el=electrode_sel)&gt;0)*((xr_org="")+(xr_org=organism_sel)&gt;0)*((xr_med="")+(xr_med=media_sel)&gt;0)*((xr_T="")+(ABS(xr_T-temp_C)&lt;=xr_T_tol)&gt;0))&gt;0,1,0))</f>
        <v>0.0</v>
      </c>
    </row>
    <row r="124">
      <c r="A124" s="265" t="inlineStr">
        <is>
          <t xml:space="preserve">Conductivity of the medium in use at the operating temperature</t>
        </is>
      </c>
      <c r="B124" s="266" t="inlineStr">
        <is>
          <t xml:space="preserve">xs_cond</t>
        </is>
      </c>
      <c r="D124" s="277" t="str">
        <f>CHOOSE(1+F124,"Not done","Approximate","Done")</f>
        <v>Not done</v>
      </c>
      <c r="E124" s="269" t="inlineStr">
        <is>
          <t xml:space="preserve">From the record: the medium and temperature matter.</t>
        </is>
      </c>
      <c r="F124" s="277">
        <f>IF(SUMPRODUCT((xr_exp=A124)*(xr_res="Done")*((xr_rx="")+(xr_rx=Reactor_sel)+(xr_rx=rx_ver)&gt;0)*((xr_el="")+(xr_el=electrode_sel)&gt;0)*((xr_org="")+(xr_org=organism_sel)&gt;0)*((xr_med="")+(xr_med=media_sel)&gt;0)*((xr_T="")+(ABS(xr_T-temp_C)&lt;=xr_T_tol)&gt;0))&gt;0,2,IF(SUMPRODUCT((xr_exp=A124)*(xr_res="Approximate")*((xr_rx="")+(xr_rx=Reactor_sel)+(xr_rx=rx_ver)&gt;0)*((xr_el="")+(xr_el=electrode_sel)&gt;0)*((xr_org="")+(xr_org=organism_sel)&gt;0)*((xr_med="")+(xr_med=media_sel)&gt;0)*((xr_T="")+(ABS(xr_T-temp_C)&lt;=xr_T_tol)&gt;0))&gt;0,1,0))</f>
        <v>0.0</v>
      </c>
    </row>
    <row r="125">
      <c r="A125" s="265" t="inlineStr">
        <is>
          <t xml:space="preserve">Measure the electrode centre-to-centre gap</t>
        </is>
      </c>
      <c r="B125" s="266" t="inlineStr">
        <is>
          <t xml:space="preserve">xs_gap</t>
        </is>
      </c>
      <c r="D125" s="277" t="str">
        <f>CHOOSE(1+F125,"Not done","Approximate","Done")</f>
        <v>Not done</v>
      </c>
      <c r="E125" s="269" t="inlineStr">
        <is>
          <t xml:space="preserve">From the record.</t>
        </is>
      </c>
      <c r="F125" s="277">
        <f>IF(SUMPRODUCT((xr_exp=A125)*(xr_res="Done")*((xr_rx="")+(xr_rx=Reactor_sel)+(xr_rx=rx_ver)&gt;0)*((xr_el="")+(xr_el=electrode_sel)&gt;0)*((xr_org="")+(xr_org=organism_sel)&gt;0)*((xr_med="")+(xr_med=media_sel)&gt;0)*((xr_T="")+(ABS(xr_T-temp_C)&lt;=xr_T_tol)&gt;0))&gt;0,2,IF(SUMPRODUCT((xr_exp=A125)*(xr_res="Approximate")*((xr_rx="")+(xr_rx=Reactor_sel)+(xr_rx=rx_ver)&gt;0)*((xr_el="")+(xr_el=electrode_sel)&gt;0)*((xr_org="")+(xr_org=organism_sel)&gt;0)*((xr_med="")+(xr_med=media_sel)&gt;0)*((xr_T="")+(ABS(xr_T-temp_C)&lt;=xr_T_tol)&gt;0))&gt;0,1,0))</f>
        <v>0.0</v>
      </c>
    </row>
    <row r="126">
      <c r="A126" s="265" t="inlineStr">
        <is>
          <t xml:space="preserve">Measure anodic Faradaic efficiency (etaF_OER)</t>
        </is>
      </c>
      <c r="B126" s="266" t="inlineStr">
        <is>
          <t xml:space="preserve">xs_FE_OER</t>
        </is>
      </c>
      <c r="D126" s="277" t="str">
        <f>CHOOSE(1+MAX(IF(ISNUMBER(cal_etaF_OER),2,0),F126),"Not done","Approximate","Done")</f>
        <v>Not done</v>
      </c>
      <c r="E126" s="269" t="inlineStr">
        <is>
          <t xml:space="preserve">Done when the Faradaic-efficiency section has an included O₂ run for this reactor.</t>
        </is>
      </c>
      <c r="F126" s="277">
        <f>IF(SUMPRODUCT((xr_exp=A126)*(xr_res="Done")*((xr_rx="")+(xr_rx=Reactor_sel)+(xr_rx=rx_ver)&gt;0)*((xr_el="")+(xr_el=electrode_sel)&gt;0)*((xr_org="")+(xr_org=organism_sel)&gt;0)*((xr_med="")+(xr_med=media_sel)&gt;0)*((xr_T="")+(ABS(xr_T-temp_C)&lt;=xr_T_tol)&gt;0))&gt;0,2,IF(SUMPRODUCT((xr_exp=A126)*(xr_res="Approximate")*((xr_rx="")+(xr_rx=Reactor_sel)+(xr_rx=rx_ver)&gt;0)*((xr_el="")+(xr_el=electrode_sel)&gt;0)*((xr_org="")+(xr_org=organism_sel)&gt;0)*((xr_med="")+(xr_med=media_sel)&gt;0)*((xr_T="")+(ABS(xr_T-temp_C)&lt;=xr_T_tol)&gt;0))&gt;0,1,0))</f>
        <v>0.0</v>
      </c>
    </row>
    <row r="127">
      <c r="A127" s="265" t="inlineStr">
        <is>
          <t xml:space="preserve">Confirm knallgas uptake ratio (H2:O2:CO2)</t>
        </is>
      </c>
      <c r="B127" s="266" t="inlineStr">
        <is>
          <t xml:space="preserve">xs_knall</t>
        </is>
      </c>
      <c r="D127" s="277" t="str">
        <f>CHOOSE(1+MAX(IF(ISNUMBER(cal_knall_O2),2,0),F127),"Not done","Approximate","Done")</f>
        <v>Not done</v>
      </c>
      <c r="E127" s="269" t="inlineStr">
        <is>
          <t xml:space="preserve">Done when the knallgas section has an included run for this organism.</t>
        </is>
      </c>
      <c r="F127" s="277">
        <f>IF(SUMPRODUCT((xr_exp=A127)*(xr_res="Done")*((xr_rx="")+(xr_rx=Reactor_sel)+(xr_rx=rx_ver)&gt;0)*((xr_el="")+(xr_el=electrode_sel)&gt;0)*((xr_org="")+(xr_org=organism_sel)&gt;0)*((xr_med="")+(xr_med=media_sel)&gt;0)*((xr_T="")+(ABS(xr_T-temp_C)&lt;=xr_T_tol)&gt;0))&gt;0,2,IF(SUMPRODUCT((xr_exp=A127)*(xr_res="Approximate")*((xr_rx="")+(xr_rx=Reactor_sel)+(xr_rx=rx_ver)&gt;0)*((xr_el="")+(xr_el=electrode_sel)&gt;0)*((xr_org="")+(xr_org=organism_sel)&gt;0)*((xr_med="")+(xr_med=media_sel)&gt;0)*((xr_T="")+(ABS(xr_T-temp_C)&lt;=xr_T_tol)&gt;0))&gt;0,1,0))</f>
        <v>0.0</v>
      </c>
    </row>
    <row r="128">
      <c r="A128" s="265" t="inlineStr">
        <is>
          <t xml:space="preserve">Bench-characterise the solenoid pulse floor</t>
        </is>
      </c>
      <c r="B128" s="266" t="inlineStr">
        <is>
          <t xml:space="preserve">xs_floor</t>
        </is>
      </c>
      <c r="D128" s="277" t="str">
        <f>CHOOSE(1+MAX(IF(ISNUMBER(cal_pulse_floor),2,0),F128),"Not done","Approximate","Done")</f>
        <v>Approximate</v>
      </c>
      <c r="E128" s="269" t="inlineStr">
        <is>
          <t xml:space="preserve">Done when the CO₂-flow section has an included Min pulse for this reactor.</t>
        </is>
      </c>
      <c r="F128" s="277">
        <f>IF(SUMPRODUCT((xr_exp=A128)*(xr_res="Done")*((xr_rx="")+(xr_rx=Reactor_sel)+(xr_rx=rx_ver)&gt;0)*((xr_el="")+(xr_el=electrode_sel)&gt;0)*((xr_org="")+(xr_org=organism_sel)&gt;0)*((xr_med="")+(xr_med=media_sel)&gt;0)*((xr_T="")+(ABS(xr_T-temp_C)&lt;=xr_T_tol)&gt;0))&gt;0,2,IF(SUMPRODUCT((xr_exp=A128)*(xr_res="Approximate")*((xr_rx="")+(xr_rx=Reactor_sel)+(xr_rx=rx_ver)&gt;0)*((xr_el="")+(xr_el=electrode_sel)&gt;0)*((xr_org="")+(xr_org=organism_sel)&gt;0)*((xr_med="")+(xr_med=media_sel)&gt;0)*((xr_T="")+(ABS(xr_T-temp_C)&lt;=xr_T_tol)&gt;0))&gt;0,1,0))</f>
        <v>1.0</v>
      </c>
    </row>
    <row r="129">
      <c r="A129" s="265" t="inlineStr">
        <is>
          <t xml:space="preserve">Sparger-attached flow check</t>
        </is>
      </c>
      <c r="B129" s="266" t="inlineStr">
        <is>
          <t xml:space="preserve">xs_spflow</t>
        </is>
      </c>
      <c r="D129" s="277" t="str">
        <f>CHOOSE(1+F129,"Not done","Approximate","Done")</f>
        <v>Approximate</v>
      </c>
      <c r="E129" s="269" t="inlineStr">
        <is>
          <t xml:space="preserve">From the record.</t>
        </is>
      </c>
      <c r="F129" s="277">
        <f>IF(SUMPRODUCT((xr_exp=A129)*(xr_res="Done")*((xr_rx="")+(xr_rx=Reactor_sel)+(xr_rx=rx_ver)&gt;0)*((xr_el="")+(xr_el=electrode_sel)&gt;0)*((xr_org="")+(xr_org=organism_sel)&gt;0)*((xr_med="")+(xr_med=media_sel)&gt;0)*((xr_T="")+(ABS(xr_T-temp_C)&lt;=xr_T_tol)&gt;0))&gt;0,2,IF(SUMPRODUCT((xr_exp=A129)*(xr_res="Approximate")*((xr_rx="")+(xr_rx=Reactor_sel)+(xr_rx=rx_ver)&gt;0)*((xr_el="")+(xr_el=electrode_sel)&gt;0)*((xr_org="")+(xr_org=organism_sel)&gt;0)*((xr_med="")+(xr_med=media_sel)&gt;0)*((xr_T="")+(ABS(xr_T-temp_C)&lt;=xr_T_tol)&gt;0))&gt;0,1,0))</f>
        <v>1.0</v>
      </c>
    </row>
    <row r="130">
      <c r="A130" s="265" t="inlineStr">
        <is>
          <t xml:space="preserve">No-carryover maximum flow</t>
        </is>
      </c>
      <c r="B130" s="266" t="inlineStr">
        <is>
          <t xml:space="preserve">xs_carry</t>
        </is>
      </c>
      <c r="D130" s="277" t="str">
        <f>CHOOSE(1+MAX(IF(ISNUMBER(SEARCH("not measured",carry_flag_ca)),0,2),F130),"Not done","Approximate","Done")</f>
        <v>Approximate</v>
      </c>
      <c r="E130" s="269" t="inlineStr">
        <is>
          <t xml:space="preserve">Done when CO2 flows column K holds a no-carryover flow for this reactor.</t>
        </is>
      </c>
      <c r="F130" s="277">
        <f>IF(SUMPRODUCT((xr_exp=A130)*(xr_res="Done")*((xr_rx="")+(xr_rx=Reactor_sel)+(xr_rx=rx_ver)&gt;0)*((xr_el="")+(xr_el=electrode_sel)&gt;0)*((xr_org="")+(xr_org=organism_sel)&gt;0)*((xr_med="")+(xr_med=media_sel)&gt;0)*((xr_T="")+(ABS(xr_T-temp_C)&lt;=xr_T_tol)&gt;0))&gt;0,2,IF(SUMPRODUCT((xr_exp=A130)*(xr_res="Approximate")*((xr_rx="")+(xr_rx=Reactor_sel)+(xr_rx=rx_ver)&gt;0)*((xr_el="")+(xr_el=electrode_sel)&gt;0)*((xr_org="")+(xr_org=organism_sel)&gt;0)*((xr_med="")+(xr_med=media_sel)&gt;0)*((xr_T="")+(ABS(xr_T-temp_C)&lt;=xr_T_tol)&gt;0))&gt;0,1,0))</f>
        <v>1.0</v>
      </c>
    </row>
    <row r="131">
      <c r="A131" s="265" t="inlineStr">
        <is>
          <t xml:space="preserve">Measure / confirm sinter porosity</t>
        </is>
      </c>
      <c r="B131" s="266" t="inlineStr">
        <is>
          <t xml:space="preserve">xs_sinter</t>
        </is>
      </c>
      <c r="D131" s="277" t="str">
        <f>IF(sparger_ca&lt;&gt;"Sintered","Not needed",CHOOSE(1+MAX(IF(ISNUMBER(cal_sinter),2,0),F131),"Not done","Approximate","Done"))</f>
        <v>Not done</v>
      </c>
      <c r="E131" s="269" t="inlineStr">
        <is>
          <t xml:space="preserve">Not needed without a sintered sparger; Done when the sinter section has an included run for this reactor.</t>
        </is>
      </c>
      <c r="F131" s="277">
        <f>IF(SUMPRODUCT((xr_exp=A131)*(xr_res="Done")*((xr_rx="")+(xr_rx=Reactor_sel)+(xr_rx=rx_ver)&gt;0)*((xr_el="")+(xr_el=electrode_sel)&gt;0)*((xr_org="")+(xr_org=organism_sel)&gt;0)*((xr_med="")+(xr_med=media_sel)&gt;0)*((xr_T="")+(ABS(xr_T-temp_C)&lt;=xr_T_tol)&gt;0))&gt;0,2,IF(SUMPRODUCT((xr_exp=A131)*(xr_res="Approximate")*((xr_rx="")+(xr_rx=Reactor_sel)+(xr_rx=rx_ver)&gt;0)*((xr_el="")+(xr_el=electrode_sel)&gt;0)*((xr_org="")+(xr_org=organism_sel)&gt;0)*((xr_med="")+(xr_med=media_sel)&gt;0)*((xr_T="")+(ABS(xr_T-temp_C)&lt;=xr_T_tol)&gt;0))&gt;0,1,0))</f>
        <v>0.0</v>
      </c>
    </row>
    <row r="132">
      <c r="A132" s="265" t="inlineStr">
        <is>
          <t xml:space="preserve">Record lab ambient pressure</t>
        </is>
      </c>
      <c r="B132" s="266" t="inlineStr">
        <is>
          <t xml:space="preserve">xs_patm</t>
        </is>
      </c>
      <c r="D132" s="277" t="str">
        <f>CHOOSE(1+MAX(IF(ISNUMBER(P_atm_ca),2,0),F132),"Not done","Approximate","Done")</f>
        <v>Not done</v>
      </c>
      <c r="E132" s="269" t="inlineStr">
        <is>
          <t xml:space="preserve">Done when an ambient pressure is entered on Summary (row 10).</t>
        </is>
      </c>
      <c r="F132" s="277">
        <f>IF(SUMPRODUCT((xr_exp=A132)*(xr_res="Done")*((xr_rx="")+(xr_rx=Reactor_sel)+(xr_rx=rx_ver)&gt;0)*((xr_el="")+(xr_el=electrode_sel)&gt;0)*((xr_org="")+(xr_org=organism_sel)&gt;0)*((xr_med="")+(xr_med=media_sel)&gt;0)*((xr_T="")+(ABS(xr_T-temp_C)&lt;=xr_T_tol)&gt;0))&gt;0,2,IF(SUMPRODUCT((xr_exp=A132)*(xr_res="Approximate")*((xr_rx="")+(xr_rx=Reactor_sel)+(xr_rx=rx_ver)&gt;0)*((xr_el="")+(xr_el=electrode_sel)&gt;0)*((xr_org="")+(xr_org=organism_sel)&gt;0)*((xr_med="")+(xr_med=media_sel)&gt;0)*((xr_T="")+(ABS(xr_T-temp_C)&lt;=xr_T_tol)&gt;0))&gt;0,1,0))</f>
        <v>0.0</v>
      </c>
    </row>
    <row r="134">
      <c r="A134" s="278" t="inlineStr">
        <is>
          <t xml:space="preserve">NAMED CONSTANTS AND IMPORTS (experiment status)</t>
        </is>
      </c>
      <c r="B134" s="278"/>
      <c r="C134" s="278"/>
      <c r="D134" s="278"/>
      <c r="E134" s="278"/>
      <c r="F134" s="278"/>
      <c r="G134" s="278"/>
      <c r="H134" s="278"/>
      <c r="I134" s="278"/>
      <c r="J134" s="278"/>
      <c r="K134" s="278"/>
      <c r="L134" s="278"/>
      <c r="M134" s="278"/>
      <c r="N134" s="278"/>
    </row>
    <row r="135">
      <c r="A135" s="265" t="inlineStr">
        <is>
          <t xml:space="preserve">Temperature tolerance for a recorded experiment</t>
        </is>
      </c>
      <c r="B135" s="266" t="inlineStr">
        <is>
          <t xml:space="preserve">xr_T_tol</t>
        </is>
      </c>
      <c r="C135" s="265" t="inlineStr">
        <is>
          <t xml:space="preserve">°C</t>
        </is>
      </c>
      <c r="D135" s="268">
        <v>2.0</v>
      </c>
      <c r="E135" s="314" t="inlineStr">
        <is>
          <t xml:space="preserve">Design assumption: a result recorded within ±2 °C of the Summary temperature counts as matching (k_m runs use the tighter km_T_tol).</t>
        </is>
      </c>
    </row>
    <row r="136">
      <c r="A136" s="265" t="inlineStr">
        <is>
          <t xml:space="preserve">(import) Reactor has a CO₂ flow calibration</t>
        </is>
      </c>
      <c r="B136" s="266" t="inlineStr">
        <is>
          <t xml:space="preserve">has_cal_ca</t>
        </is>
      </c>
      <c r="C136" s="265" t="inlineStr">
        <is>
          <t xml:space="preserve">count</t>
        </is>
      </c>
      <c r="D136" s="277">
        <f>'Mass Transfer'!has_cal</f>
        <v>1.0</v>
      </c>
      <c r="E136" s="310" t="inlineStr">
        <is>
          <t xml:space="preserve">Import from Mass Transfer!D119 (has_cal).</t>
        </is>
      </c>
    </row>
    <row r="137">
      <c r="A137" s="265" t="inlineStr">
        <is>
          <t xml:space="preserve">(import) Lower edge of the fitted current curve</t>
        </is>
      </c>
      <c r="B137" s="266" t="inlineStr">
        <is>
          <t xml:space="preserve">gerrit_min_ca</t>
        </is>
      </c>
      <c r="C137" s="265" t="inlineStr">
        <is>
          <t xml:space="preserve">%</t>
        </is>
      </c>
      <c r="D137" s="277">
        <f>Electrochemistry!gerrit_min</f>
        <v>3.0</v>
      </c>
      <c r="E137" s="310" t="inlineStr">
        <is>
          <t xml:space="preserve">Import from Electrochemistry!D13 (gerrit_min).</t>
        </is>
      </c>
    </row>
    <row r="138">
      <c r="A138" s="265" t="inlineStr">
        <is>
          <t xml:space="preserve">(import) Vent model on Summary</t>
        </is>
      </c>
      <c r="B138" s="266" t="inlineStr">
        <is>
          <t xml:space="preserve">vent_model_ca</t>
        </is>
      </c>
      <c r="C138" s="265" t="inlineStr">
        <is>
          <t xml:space="preserve">-</t>
        </is>
      </c>
      <c r="D138" s="277" t="str">
        <f>Summary!vent_model_sel</f>
        <v>Open vent</v>
      </c>
      <c r="E138" s="310" t="inlineStr">
        <is>
          <t xml:space="preserve">Import from Summary!D11 (vent_model_sel).</t>
        </is>
      </c>
    </row>
    <row r="139">
      <c r="A139" s="265" t="inlineStr">
        <is>
          <t xml:space="preserve">(import) Chloride in the medium in use</t>
        </is>
      </c>
      <c r="B139" s="266" t="inlineStr">
        <is>
          <t xml:space="preserve">Cl_sel_ca</t>
        </is>
      </c>
      <c r="C139" s="265" t="inlineStr">
        <is>
          <t xml:space="preserve">mol/L</t>
        </is>
      </c>
      <c r="D139" s="277">
        <f>Chemistry!pH_Cl</f>
        <v>0.0</v>
      </c>
      <c r="E139" s="310" t="inlineStr">
        <is>
          <t xml:space="preserve">Import from Chemistry!D47 (pH_Cl).</t>
        </is>
      </c>
    </row>
    <row r="140">
      <c r="A140" s="265" t="inlineStr">
        <is>
          <t xml:space="preserve">(import) Carryover verdict</t>
        </is>
      </c>
      <c r="B140" s="266" t="inlineStr">
        <is>
          <t xml:space="preserve">carry_flag_ca</t>
        </is>
      </c>
      <c r="C140" s="265" t="inlineStr">
        <is>
          <t xml:space="preserve">-</t>
        </is>
      </c>
      <c r="D140" s="277" t="str">
        <f>'Mass Transfer'!carry_flag</f>
        <v>not measured – record the max flow without carryover for ed04 in CO2 flows column M</v>
      </c>
      <c r="E140" s="310" t="inlineStr">
        <is>
          <t xml:space="preserve">Import from Mass Transfer!D59 (carry_flag).</t>
        </is>
      </c>
    </row>
    <row r="141">
      <c r="A141" s="265" t="inlineStr">
        <is>
          <t xml:space="preserve">(import) Sparger of the electrode in use</t>
        </is>
      </c>
      <c r="B141" s="266" t="inlineStr">
        <is>
          <t xml:space="preserve">sparger_ca</t>
        </is>
      </c>
      <c r="C141" s="265" t="inlineStr">
        <is>
          <t xml:space="preserve">-</t>
        </is>
      </c>
      <c r="D141" s="277" t="str">
        <f>'Mass Transfer'!sparger</f>
        <v>Sintered</v>
      </c>
      <c r="E141" s="310" t="inlineStr">
        <is>
          <t xml:space="preserve">Import from Mass Transfer!D21 (sparger).</t>
        </is>
      </c>
    </row>
    <row r="142">
      <c r="A142" s="265" t="inlineStr">
        <is>
          <t xml:space="preserve">(import) Ambient pressure entered on Summary</t>
        </is>
      </c>
      <c r="B142" s="266" t="inlineStr">
        <is>
          <t xml:space="preserve">P_atm_ca</t>
        </is>
      </c>
      <c r="C142" s="265" t="inlineStr">
        <is>
          <t xml:space="preserve">Pa</t>
        </is>
      </c>
      <c r="D142" s="277" t="str">
        <f>IF(ISNUMBER(Summary!P_atm_set),Summary!P_atm_set,"blank")</f>
        <v>blank</v>
      </c>
      <c r="E142" s="310" t="inlineStr">
        <is>
          <t xml:space="preserve">Import from Summary!D10 (P_atm_set); "blank" when none is entered.</t>
        </is>
      </c>
    </row>
  </sheetData>
  <conditionalFormatting sqref="D65 D66 D67 D68 D69 D98 D99 D100">
    <cfRule type="expression" dxfId="48" priority="1" stopIfTrue="1">
      <formula>OR(ISBLANK(D65),NOT(ISNUMBER(D65)),D65&lt;=0)</formula>
    </cfRule>
  </conditionalFormatting>
  <conditionalFormatting sqref="D64 D88 D89 D135">
    <cfRule type="expression" dxfId="48" priority="2" stopIfTrue="1">
      <formula>OR(ISBLANK(D64),NOT(ISNUMBER(D64)))</formula>
    </cfRule>
  </conditionalFormatting>
  <conditionalFormatting sqref="D106:D132">
    <cfRule type="expression" dxfId="46" priority="3" stopIfTrue="1">
      <formula>OR(D106="Done",D106="Not needed")</formula>
    </cfRule>
    <cfRule type="expression" dxfId="47" priority="4" stopIfTrue="1">
      <formula>D106="Approximate"</formula>
    </cfRule>
    <cfRule type="expression" dxfId="48" priority="5" stopIfTrue="1">
      <formula>D106="Not done"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MediaFormulation.md says 0.2 M was the intended increase, so the first stock may have been weaker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8" t="inlineStr">
        <is>
          <t xml:space="preserve">Potassium dihydrogen phosphate</t>
        </is>
      </c>
      <c r="B18" s="268"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8" t="inlineStr">
        <is>
          <t xml:space="preserve">Disodium hydrogen phosphate</t>
        </is>
      </c>
      <c r="B19" s="268"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8" t="inlineStr">
        <is>
          <t xml:space="preserve">Sodium dihydrogen phosphate dihydrate</t>
        </is>
      </c>
      <c r="B20" s="268"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8" t="inlineStr">
        <is>
          <t xml:space="preserve">Sodium bicarbonate</t>
        </is>
      </c>
      <c r="B21" s="268"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8" t="inlineStr">
        <is>
          <t xml:space="preserve">Potassium sulfate</t>
        </is>
      </c>
      <c r="B22" s="268"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8" t="inlineStr">
        <is>
          <t xml:space="preserve">Calcium sulfate dihydrate</t>
        </is>
      </c>
      <c r="B23" s="268"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8" t="inlineStr">
        <is>
          <t xml:space="preserve">Magnesium sulfate heptahydrate</t>
        </is>
      </c>
      <c r="B24" s="268"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8" t="inlineStr">
        <is>
          <t xml:space="preserve">Ammonium sulfate</t>
        </is>
      </c>
      <c r="B25" s="268"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8" t="inlineStr">
        <is>
          <t xml:space="preserve">Calcium chloride</t>
        </is>
      </c>
      <c r="B26" s="268"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8" t="inlineStr">
        <is>
          <t xml:space="preserve">Iron(II) sulfate heptahydrate</t>
        </is>
      </c>
      <c r="B27" s="268"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8" t="inlineStr">
        <is>
          <t xml:space="preserve">Sodium molybdate dihydrate</t>
        </is>
      </c>
      <c r="B28" s="268"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8" t="inlineStr">
        <is>
          <t xml:space="preserve">Zinc sulfate heptahydrate</t>
        </is>
      </c>
      <c r="B29" s="268"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8" t="inlineStr">
        <is>
          <t xml:space="preserve">Manganese(II) sulfate monohydrate</t>
        </is>
      </c>
      <c r="B30" s="268"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8" t="inlineStr">
        <is>
          <t xml:space="preserve">Copper(II) sulfate pentahydrate</t>
        </is>
      </c>
      <c r="B31" s="268"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8" t="inlineStr">
        <is>
          <t xml:space="preserve">Nickel(II) sulfate hexahydrate</t>
        </is>
      </c>
      <c r="B32" s="268"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8" t="inlineStr">
        <is>
          <t xml:space="preserve">Cobalt(II) sulfate heptahydrate</t>
        </is>
      </c>
      <c r="B33" s="268"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8" t="inlineStr">
        <is>
          <t xml:space="preserve">Sulfuric acid (from the acidified stocks)</t>
        </is>
      </c>
      <c r="B34" s="268"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sheetPr>
    <tabColor rgb="FF4472C4"/>
  </sheetPr>
  <dimension ref="A1:L26"/>
  <sheetViews>
    <sheetView workbookViewId="0">
      <pane ySplit="4" topLeftCell="A5" activePane="bottomLeft" state="frozen"/>
      <selection pane="bottomLeft" activeCell="A5" sqref="A5"/>
    </sheetView>
  </sheetViews>
  <sheetFormatPr defaultRowHeight="15"/>
  <cols>
    <col min="1" max="1" width="14" customWidth="1"/>
    <col min="2" max="2" width="14" customWidth="1"/>
    <col min="3" max="3" width="4" customWidth="1"/>
    <col min="4" max="12" width="14" customWidth="1"/>
  </cols>
  <sheetData>
    <row r="1">
      <c r="A1" s="263" t="inlineStr">
        <is>
          <t xml:space="preserve">REACTORS – every reactor and its type (left); the geometry of each reactor type (right)</t>
        </is>
      </c>
      <c r="B1" s="263"/>
      <c r="C1" s="263"/>
      <c r="D1" s="263"/>
      <c r="E1" s="263"/>
      <c r="F1" s="263"/>
      <c r="G1" s="263"/>
      <c r="H1" s="263"/>
      <c r="I1" s="263"/>
      <c r="J1" s="263"/>
      <c r="K1" s="263"/>
      <c r="L1" s="263"/>
    </row>
    <row r="2">
      <c r="A2" s="269" t="inlineStr">
        <is>
          <t xml:space="preserve">Add a reactor: type its ID in the first empty row under the Reactors table and choose its type. Add a reactor type the same way under Reactor types. Both tables grow on their own, and the Summary reactor list follows.</t>
        </is>
      </c>
    </row>
    <row r="4" ht="30" customHeight="1">
      <c r="A4" s="264" t="inlineStr">
        <is>
          <t xml:space="preserve">Reactor</t>
        </is>
      </c>
      <c r="B4" s="264" t="inlineStr">
        <is>
          <t xml:space="preserve">Type</t>
        </is>
      </c>
      <c r="D4" s="264" t="inlineStr">
        <is>
          <t xml:space="preserve">Type</t>
        </is>
      </c>
      <c r="E4" s="264" t="inlineStr">
        <is>
          <t xml:space="preserve">Pioreactor</t>
        </is>
      </c>
      <c r="F4" s="264" t="inlineStr">
        <is>
          <t xml:space="preserve">vial (mL)</t>
        </is>
      </c>
      <c r="G4" s="264" t="inlineStr">
        <is>
          <t xml:space="preserve">usable depth (mm)</t>
        </is>
      </c>
      <c r="H4" s="264" t="inlineStr">
        <is>
          <t xml:space="preserve">max working (mL)</t>
        </is>
      </c>
      <c r="I4" s="264" t="inlineStr">
        <is>
          <t xml:space="preserve">total vial (mL)</t>
        </is>
      </c>
      <c r="J4" s="264" t="inlineStr">
        <is>
          <t xml:space="preserve">vial OD (mm)</t>
        </is>
      </c>
      <c r="K4" s="264" t="inlineStr">
        <is>
          <t xml:space="preserve">stir bar L (mm)</t>
        </is>
      </c>
      <c r="L4" s="264" t="inlineStr">
        <is>
          <t xml:space="preserve">stir bar dia (mm)</t>
        </is>
      </c>
    </row>
    <row r="5">
      <c r="A5" s="268" t="inlineStr">
        <is>
          <t xml:space="preserve">imp01</t>
        </is>
      </c>
      <c r="B5" s="268" t="inlineStr">
        <is>
          <t xml:space="preserve">AEP0.1.1</t>
        </is>
      </c>
      <c r="D5" s="268" t="inlineStr">
        <is>
          <t xml:space="preserve">AEP0.1.1</t>
        </is>
      </c>
      <c r="E5" s="268" t="inlineStr">
        <is>
          <t xml:space="preserve">1.1</t>
        </is>
      </c>
      <c r="F5" s="268">
        <v>20.0</v>
      </c>
      <c r="G5" s="268">
        <v>55.0</v>
      </c>
      <c r="H5" s="268">
        <v>16.0</v>
      </c>
      <c r="I5" s="268">
        <v>20.0</v>
      </c>
      <c r="J5" s="268">
        <v>27.48</v>
      </c>
      <c r="K5" s="268">
        <v>12.0</v>
      </c>
      <c r="L5" s="268">
        <v>3.0</v>
      </c>
    </row>
    <row r="6">
      <c r="A6" s="268" t="inlineStr">
        <is>
          <t xml:space="preserve">imp02</t>
        </is>
      </c>
      <c r="B6" s="268" t="inlineStr">
        <is>
          <t xml:space="preserve">AEP0.1.1</t>
        </is>
      </c>
      <c r="D6" s="268" t="inlineStr">
        <is>
          <t xml:space="preserve">MEP0.3</t>
        </is>
      </c>
      <c r="E6" s="268" t="inlineStr">
        <is>
          <t xml:space="preserve">1.1</t>
        </is>
      </c>
      <c r="F6" s="268">
        <v>20.0</v>
      </c>
      <c r="G6" s="268">
        <v>55.0</v>
      </c>
      <c r="H6" s="268">
        <v>16.0</v>
      </c>
      <c r="I6" s="268">
        <v>20.0</v>
      </c>
      <c r="J6" s="268">
        <v>27.48</v>
      </c>
      <c r="K6" s="268">
        <v>12.0</v>
      </c>
      <c r="L6" s="268">
        <v>3.0</v>
      </c>
    </row>
    <row r="7">
      <c r="A7" s="268" t="inlineStr">
        <is>
          <t xml:space="preserve">imp03</t>
        </is>
      </c>
      <c r="B7" s="268" t="inlineStr">
        <is>
          <t xml:space="preserve">AEP0.1.1</t>
        </is>
      </c>
      <c r="D7" s="268" t="inlineStr">
        <is>
          <t xml:space="preserve">AEP0.2</t>
        </is>
      </c>
      <c r="E7" s="268" t="inlineStr">
        <is>
          <t xml:space="preserve">1.5</t>
        </is>
      </c>
      <c r="F7" s="268">
        <v>40.0</v>
      </c>
      <c r="G7" s="268">
        <v>95.0</v>
      </c>
      <c r="H7" s="268">
        <v>30.0</v>
      </c>
      <c r="I7" s="268">
        <v>42.0</v>
      </c>
      <c r="J7" s="268">
        <v>27.48</v>
      </c>
      <c r="K7" s="268">
        <v>15.0</v>
      </c>
      <c r="L7" s="268">
        <v>6.0</v>
      </c>
    </row>
    <row r="8">
      <c r="A8" s="268" t="inlineStr">
        <is>
          <t xml:space="preserve">imp04</t>
        </is>
      </c>
      <c r="B8" s="268" t="inlineStr">
        <is>
          <t xml:space="preserve">AEP0.1.1</t>
        </is>
      </c>
      <c r="D8" s="268" t="inlineStr">
        <is>
          <t xml:space="preserve">AEP0.2a</t>
        </is>
      </c>
      <c r="E8" s="268" t="inlineStr">
        <is>
          <t xml:space="preserve">1.5</t>
        </is>
      </c>
      <c r="F8" s="268">
        <v>40.0</v>
      </c>
      <c r="G8" s="268">
        <v>95.0</v>
      </c>
      <c r="H8" s="268">
        <v>30.0</v>
      </c>
      <c r="I8" s="268">
        <v>42.0</v>
      </c>
      <c r="J8" s="268">
        <v>27.48</v>
      </c>
      <c r="K8" s="268">
        <v>15.0</v>
      </c>
      <c r="L8" s="268">
        <v>6.0</v>
      </c>
    </row>
    <row r="9">
      <c r="A9" s="268" t="inlineStr">
        <is>
          <t xml:space="preserve">imp05</t>
        </is>
      </c>
      <c r="B9" s="268" t="inlineStr">
        <is>
          <t xml:space="preserve">AEP0.1.1</t>
        </is>
      </c>
    </row>
    <row r="10">
      <c r="A10" s="268" t="inlineStr">
        <is>
          <t xml:space="preserve">imp06</t>
        </is>
      </c>
      <c r="B10" s="268" t="inlineStr">
        <is>
          <t xml:space="preserve">AEP0.1.1</t>
        </is>
      </c>
    </row>
    <row r="11">
      <c r="A11" s="268" t="inlineStr">
        <is>
          <t xml:space="preserve">ed01</t>
        </is>
      </c>
      <c r="B11" s="268" t="inlineStr">
        <is>
          <t xml:space="preserve">AEP0.1.1</t>
        </is>
      </c>
    </row>
    <row r="12">
      <c r="A12" s="268" t="inlineStr">
        <is>
          <t xml:space="preserve">ed02</t>
        </is>
      </c>
      <c r="B12" s="268" t="inlineStr">
        <is>
          <t xml:space="preserve">AEP0.1.1</t>
        </is>
      </c>
    </row>
    <row r="13">
      <c r="A13" s="268" t="inlineStr">
        <is>
          <t xml:space="preserve">ed03</t>
        </is>
      </c>
      <c r="B13" s="268" t="inlineStr">
        <is>
          <t xml:space="preserve">AEP0.1.1</t>
        </is>
      </c>
    </row>
    <row r="14">
      <c r="A14" s="268" t="inlineStr">
        <is>
          <t xml:space="preserve">ed04</t>
        </is>
      </c>
      <c r="B14" s="268" t="inlineStr">
        <is>
          <t xml:space="preserve">MEP0.3</t>
        </is>
      </c>
    </row>
    <row r="15">
      <c r="A15" s="268" t="inlineStr">
        <is>
          <t xml:space="preserve">ed05</t>
        </is>
      </c>
      <c r="B15" s="268" t="inlineStr">
        <is>
          <t xml:space="preserve">MEP0.3</t>
        </is>
      </c>
    </row>
    <row r="16">
      <c r="A16" s="268" t="inlineStr">
        <is>
          <t xml:space="preserve">ed06</t>
        </is>
      </c>
      <c r="B16" s="268" t="inlineStr">
        <is>
          <t xml:space="preserve">AEP0.2</t>
        </is>
      </c>
    </row>
    <row r="17">
      <c r="A17" s="268" t="inlineStr">
        <is>
          <t xml:space="preserve">ed07</t>
        </is>
      </c>
      <c r="B17" s="268" t="inlineStr">
        <is>
          <t xml:space="preserve">AEP0.2</t>
        </is>
      </c>
    </row>
    <row r="18">
      <c r="A18" s="268" t="inlineStr">
        <is>
          <t xml:space="preserve">ed08</t>
        </is>
      </c>
      <c r="B18" s="268" t="inlineStr">
        <is>
          <t xml:space="preserve">AEP0.2</t>
        </is>
      </c>
    </row>
    <row r="19">
      <c r="A19" s="268" t="inlineStr">
        <is>
          <t xml:space="preserve">imp07</t>
        </is>
      </c>
      <c r="B19" s="268" t="inlineStr">
        <is>
          <t xml:space="preserve">AEP0.2</t>
        </is>
      </c>
    </row>
    <row r="20">
      <c r="A20" s="268" t="inlineStr">
        <is>
          <t xml:space="preserve">imp08</t>
        </is>
      </c>
      <c r="B20" s="268" t="inlineStr">
        <is>
          <t xml:space="preserve">AEP0.2</t>
        </is>
      </c>
    </row>
    <row r="21">
      <c r="A21" s="268" t="inlineStr">
        <is>
          <t xml:space="preserve">imp09</t>
        </is>
      </c>
      <c r="B21" s="268" t="inlineStr">
        <is>
          <t xml:space="preserve">AEP0.2</t>
        </is>
      </c>
    </row>
    <row r="22">
      <c r="A22" s="268" t="inlineStr">
        <is>
          <t xml:space="preserve">imp10</t>
        </is>
      </c>
      <c r="B22" s="268" t="inlineStr">
        <is>
          <t xml:space="preserve">AEP0.2</t>
        </is>
      </c>
    </row>
    <row r="23">
      <c r="A23" s="268" t="inlineStr">
        <is>
          <t xml:space="preserve">imp11</t>
        </is>
      </c>
      <c r="B23" s="268" t="inlineStr">
        <is>
          <t xml:space="preserve">AEP0.2</t>
        </is>
      </c>
    </row>
    <row r="24">
      <c r="A24" s="268" t="inlineStr">
        <is>
          <t xml:space="preserve">imp12</t>
        </is>
      </c>
      <c r="B24" s="268" t="inlineStr">
        <is>
          <t xml:space="preserve">AEP0.2</t>
        </is>
      </c>
    </row>
    <row r="25">
      <c r="A25" s="268" t="inlineStr">
        <is>
          <t xml:space="preserve">nm01</t>
        </is>
      </c>
      <c r="B25" s="268" t="inlineStr">
        <is>
          <t xml:space="preserve">AEP0.2a</t>
        </is>
      </c>
    </row>
    <row r="26">
      <c r="A26" s="268" t="inlineStr">
        <is>
          <t xml:space="preserve">nm02</t>
        </is>
      </c>
      <c r="B26" s="268" t="inlineStr">
        <is>
          <t xml:space="preserve">AEP0.2</t>
        </is>
      </c>
    </row>
  </sheetData>
  <dataValidations count="1">
    <dataValidation type="list" allowBlank="1" showErrorMessage="1" errorTitle="Invalid value" error="Choose a type from the Reactor types table." sqref="B5:B26">
      <formula1>RxTypeNames</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sheetPr>
    <tabColor rgb="FF4472C4"/>
  </sheetPr>
  <dimension ref="A1:N8"/>
  <sheetViews>
    <sheetView workbookViewId="0">
      <pane ySplit="4" topLeftCell="A5" activePane="bottomLeft" state="frozen"/>
      <selection pane="bottomLeft" activeCell="A5" sqref="A5"/>
    </sheetView>
  </sheetViews>
  <sheetFormatPr defaultRowHeight="15"/>
  <cols>
    <col min="1" max="1" width="16" customWidth="1"/>
    <col min="2" max="13" width="13" customWidth="1"/>
    <col min="14" max="14" width="60" customWidth="1"/>
  </cols>
  <sheetData>
    <row r="1">
      <c r="A1" s="263" t="inlineStr">
        <is>
          <t xml:space="preserve">ELECTRODES – every electrode assembly (selecting one on Summary sets sparger, porosity, cathode and current-density limits)</t>
        </is>
      </c>
      <c r="B1" s="263"/>
      <c r="C1" s="263"/>
      <c r="D1" s="263"/>
      <c r="E1" s="263"/>
      <c r="F1" s="263"/>
      <c r="G1" s="263"/>
      <c r="H1" s="263"/>
      <c r="I1" s="263"/>
      <c r="J1" s="263"/>
      <c r="K1" s="263"/>
      <c r="L1" s="263"/>
      <c r="M1" s="263"/>
      <c r="N1" s="263"/>
    </row>
    <row r="2">
      <c r="A2" s="269" t="inlineStr">
        <is>
          <t xml:space="preserve">Add an electrode assembly: type it in the first empty row under the table and fill its columns. The table grows on its own, and the Summary electrode list follows.</t>
        </is>
      </c>
    </row>
    <row r="4" ht="30" customHeight="1">
      <c r="A4" s="264" t="inlineStr">
        <is>
          <t xml:space="preserve">Electrode</t>
        </is>
      </c>
      <c r="B4" s="264" t="inlineStr">
        <is>
          <t xml:space="preserve">anode material</t>
        </is>
      </c>
      <c r="C4" s="264" t="inlineStr">
        <is>
          <t xml:space="preserve">anode dia (mm)</t>
        </is>
      </c>
      <c r="D4" s="264" t="inlineStr">
        <is>
          <t xml:space="preserve">sparger</t>
        </is>
      </c>
      <c r="E4" s="264" t="inlineStr">
        <is>
          <t xml:space="preserve">sinter porosity</t>
        </is>
      </c>
      <c r="F4" s="264" t="inlineStr">
        <is>
          <t xml:space="preserve">cathode</t>
        </is>
      </c>
      <c r="G4" s="264" t="inlineStr">
        <is>
          <t xml:space="preserve">cathode dia (mm)</t>
        </is>
      </c>
      <c r="H4" s="264" t="inlineStr">
        <is>
          <t xml:space="preserve">etaF</t>
        </is>
      </c>
      <c r="I4" s="264" t="inlineStr">
        <is>
          <t xml:space="preserve">z_e_ORR</t>
        </is>
      </c>
      <c r="J4" s="264" t="inlineStr">
        <is>
          <t xml:space="preserve">anode shape</t>
        </is>
      </c>
      <c r="K4" s="264" t="inlineStr">
        <is>
          <t xml:space="preserve">anode j cont (mA/cm²)</t>
        </is>
      </c>
      <c r="L4" s="264" t="inlineStr">
        <is>
          <t xml:space="preserve">anode j max (mA/cm²)</t>
        </is>
      </c>
      <c r="M4" s="264" t="inlineStr">
        <is>
          <t xml:space="preserve">cathode shape</t>
        </is>
      </c>
      <c r="N4" s="264" t="inlineStr">
        <is>
          <t xml:space="preserve">material note</t>
        </is>
      </c>
    </row>
    <row r="5">
      <c r="A5" s="268" t="inlineStr">
        <is>
          <t xml:space="preserve">Pt/Ti rod</t>
        </is>
      </c>
      <c r="B5" s="268" t="inlineStr">
        <is>
          <t xml:space="preserve">Pt/Ti</t>
        </is>
      </c>
      <c r="C5" s="268">
        <v>6.0</v>
      </c>
      <c r="D5" s="268" t="inlineStr">
        <is>
          <t xml:space="preserve">Tube</t>
        </is>
      </c>
      <c r="E5" s="268" t="inlineStr">
        <is>
          <t xml:space="preserve">n/a</t>
        </is>
      </c>
      <c r="F5" s="268" t="inlineStr">
        <is>
          <t xml:space="preserve">SS rod</t>
        </is>
      </c>
      <c r="G5" s="268">
        <v>6.0</v>
      </c>
      <c r="H5" s="287" t="inlineStr">
        <is>
          <t xml:space="preserve">?</t>
        </is>
      </c>
      <c r="I5" s="268">
        <v>2.0</v>
      </c>
      <c r="J5" s="268" t="inlineStr">
        <is>
          <t xml:space="preserve">rod</t>
        </is>
      </c>
      <c r="K5" s="268">
        <v>100.0</v>
      </c>
      <c r="L5" s="268">
        <v>500.0</v>
      </c>
      <c r="M5" s="268" t="inlineStr">
        <is>
          <t xml:space="preserve">rod</t>
        </is>
      </c>
      <c r="N5" s="269" t="inlineStr">
        <is>
          <t xml:space="preserve">Pt/Ti O₂-evolution; cells bind before the coating.</t>
        </is>
      </c>
    </row>
    <row r="6">
      <c r="A6" s="268" t="inlineStr">
        <is>
          <t xml:space="preserve">MMO rod</t>
        </is>
      </c>
      <c r="B6" s="268" t="inlineStr">
        <is>
          <t xml:space="preserve">MMO</t>
        </is>
      </c>
      <c r="C6" s="268">
        <v>6.0</v>
      </c>
      <c r="D6" s="268" t="inlineStr">
        <is>
          <t xml:space="preserve">Tube</t>
        </is>
      </c>
      <c r="E6" s="268" t="inlineStr">
        <is>
          <t xml:space="preserve">n/a</t>
        </is>
      </c>
      <c r="F6" s="268" t="inlineStr">
        <is>
          <t xml:space="preserve">SS rod</t>
        </is>
      </c>
      <c r="G6" s="268">
        <v>6.0</v>
      </c>
      <c r="H6" s="287" t="inlineStr">
        <is>
          <t xml:space="preserve">?</t>
        </is>
      </c>
      <c r="I6" s="268">
        <v>2.0</v>
      </c>
      <c r="J6" s="268" t="inlineStr">
        <is>
          <t xml:space="preserve">rod</t>
        </is>
      </c>
      <c r="K6" s="268">
        <v>50.0</v>
      </c>
      <c r="L6" s="268">
        <v>500.0</v>
      </c>
      <c r="M6" s="268" t="inlineStr">
        <is>
          <t xml:space="preserve">rod</t>
        </is>
      </c>
      <c r="N6" s="269" t="inlineStr">
        <is>
          <t xml:space="preserve">IrO₂-Ta₂O₅ O₂-selective; derates vs chloride.</t>
        </is>
      </c>
    </row>
    <row r="7">
      <c r="A7" s="268" t="inlineStr">
        <is>
          <t xml:space="preserve">MMO tube</t>
        </is>
      </c>
      <c r="B7" s="268" t="inlineStr">
        <is>
          <t xml:space="preserve">MMO</t>
        </is>
      </c>
      <c r="C7" s="268">
        <v>6.0</v>
      </c>
      <c r="D7" s="268" t="inlineStr">
        <is>
          <t xml:space="preserve">Sintered</t>
        </is>
      </c>
      <c r="E7" s="312">
        <v>0.0</v>
      </c>
      <c r="F7" s="268" t="inlineStr">
        <is>
          <t xml:space="preserve">SS rod</t>
        </is>
      </c>
      <c r="G7" s="268">
        <v>6.0</v>
      </c>
      <c r="H7" s="287" t="inlineStr">
        <is>
          <t xml:space="preserve">?</t>
        </is>
      </c>
      <c r="I7" s="268">
        <v>2.0</v>
      </c>
      <c r="J7" s="268" t="inlineStr">
        <is>
          <t xml:space="preserve">tube</t>
        </is>
      </c>
      <c r="K7" s="268">
        <v>10.0</v>
      </c>
      <c r="L7" s="268">
        <v>60.0</v>
      </c>
      <c r="M7" s="268" t="inlineStr">
        <is>
          <t xml:space="preserve">rod</t>
        </is>
      </c>
      <c r="N7" s="269" t="inlineStr">
        <is>
          <t xml:space="preserve">Tubular MMO CP rating ~100 A/m²; binds near the cell limit.</t>
        </is>
      </c>
    </row>
    <row r="8">
      <c r="A8" s="268" t="inlineStr">
        <is>
          <t xml:space="preserve">Graphite rod</t>
        </is>
      </c>
      <c r="B8" s="268" t="inlineStr">
        <is>
          <t xml:space="preserve">Graphite</t>
        </is>
      </c>
      <c r="C8" s="268">
        <v>6.0</v>
      </c>
      <c r="D8" s="268" t="inlineStr">
        <is>
          <t xml:space="preserve">Tube</t>
        </is>
      </c>
      <c r="E8" s="268" t="inlineStr">
        <is>
          <t xml:space="preserve">n/a</t>
        </is>
      </c>
      <c r="F8" s="268" t="inlineStr">
        <is>
          <t xml:space="preserve">SS rod</t>
        </is>
      </c>
      <c r="G8" s="268">
        <v>6.0</v>
      </c>
      <c r="H8" s="287" t="inlineStr">
        <is>
          <t xml:space="preserve">?</t>
        </is>
      </c>
      <c r="I8" s="268">
        <v>2.0</v>
      </c>
      <c r="J8" s="268" t="inlineStr">
        <is>
          <t xml:space="preserve">rod</t>
        </is>
      </c>
      <c r="K8" s="268">
        <v>35.0</v>
      </c>
      <c r="L8" s="268">
        <v>50.0</v>
      </c>
      <c r="M8" s="268" t="inlineStr">
        <is>
          <t xml:space="preserve">rod</t>
        </is>
      </c>
      <c r="N8" s="269" t="inlineStr">
        <is>
          <t xml:space="preserve">Consumable; ~35 mA/cm² erosion, unsuitable for sustained neutral O₂; testing only.</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sheetPr>
    <tabColor rgb="FF4472C4"/>
  </sheetPr>
  <dimension ref="A1:J10"/>
  <sheetViews>
    <sheetView workbookViewId="0">
      <pane ySplit="4" topLeftCell="A5" activePane="bottomLeft" state="frozen"/>
      <selection pane="bottomLeft" activeCell="A5" sqref="A5"/>
    </sheetView>
  </sheetViews>
  <sheetFormatPr defaultRowHeight="15"/>
  <cols>
    <col min="1" max="1" width="28" customWidth="1"/>
    <col min="2" max="5" width="13" customWidth="1"/>
    <col min="6" max="6" width="50" customWidth="1"/>
    <col min="7" max="9" width="13" customWidth="1"/>
    <col min="10" max="10" width="50" customWidth="1"/>
  </cols>
  <sheetData>
    <row r="1">
      <c r="A1" s="263" t="inlineStr">
        <is>
          <t xml:space="preserve">ORGANISMS – dissolved-O₂ thresholds and tolerated current densities of each organism (? = not measured)</t>
        </is>
      </c>
      <c r="B1" s="263"/>
      <c r="C1" s="263"/>
      <c r="D1" s="263"/>
      <c r="E1" s="263"/>
      <c r="F1" s="263"/>
      <c r="G1" s="263"/>
      <c r="H1" s="263"/>
      <c r="I1" s="263"/>
      <c r="J1" s="263"/>
    </row>
    <row r="2">
      <c r="A2" s="269" t="inlineStr">
        <is>
          <t xml:space="preserve">Add an organism: type it in the first empty row under the table. Leave a value as ? (or blank) until it is measured; measured values can also go in the Calibrations DO and current-density sections. The Summary organism list follows.</t>
        </is>
      </c>
    </row>
    <row r="4" ht="30" customHeight="1">
      <c r="A4" s="264" t="inlineStr">
        <is>
          <t xml:space="preserve">Organism</t>
        </is>
      </c>
      <c r="B4" s="264" t="inlineStr">
        <is>
          <t xml:space="preserve">minimum DO (mg/L)</t>
        </is>
      </c>
      <c r="C4" s="264" t="inlineStr">
        <is>
          <t xml:space="preserve">optimum DO (mg/L)</t>
        </is>
      </c>
      <c r="D4" s="264" t="inlineStr">
        <is>
          <t xml:space="preserve">impairment DO (mg/L)</t>
        </is>
      </c>
      <c r="E4" s="264" t="inlineStr">
        <is>
          <t xml:space="preserve">toxic DO (mg/L)</t>
        </is>
      </c>
      <c r="F4" s="264" t="inlineStr">
        <is>
          <t xml:space="preserve">DO source</t>
        </is>
      </c>
      <c r="G4" s="264" t="inlineStr">
        <is>
          <t xml:space="preserve">j optimum (mA/cm²)</t>
        </is>
      </c>
      <c r="H4" s="264" t="inlineStr">
        <is>
          <t xml:space="preserve">j ceiling (mA/cm²)</t>
        </is>
      </c>
      <c r="I4" s="264" t="inlineStr">
        <is>
          <t xml:space="preserve">j confidence</t>
        </is>
      </c>
      <c r="J4" s="264" t="inlineStr">
        <is>
          <t xml:space="preserve">j source</t>
        </is>
      </c>
    </row>
    <row r="5">
      <c r="A5" s="268" t="inlineStr">
        <is>
          <t xml:space="preserve">Cupriavidus necator</t>
        </is>
      </c>
      <c r="B5" s="287" t="inlineStr">
        <is>
          <t xml:space="preserve">?</t>
        </is>
      </c>
      <c r="C5" s="268">
        <v>2.6</v>
      </c>
      <c r="D5" s="268">
        <v>3.0</v>
      </c>
      <c r="E5" s="268">
        <v>11.5</v>
      </c>
      <c r="F5" s="269"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c r="G5" s="268">
        <v>2.0</v>
      </c>
      <c r="H5" s="268">
        <v>4.0</v>
      </c>
      <c r="I5" s="268" t="inlineStr">
        <is>
          <t xml:space="preserve">low</t>
        </is>
      </c>
      <c r="J5" s="305" t="inlineStr">
        <is>
          <t xml:space="preserve">Inferred analogue (Zhang 2020; Bause 2018 biofilm 0.5). Run screen.</t>
        </is>
      </c>
    </row>
    <row r="6">
      <c r="A6" s="268" t="inlineStr">
        <is>
          <t xml:space="preserve">Xanthobacter autotrophicus</t>
        </is>
      </c>
      <c r="B6" s="287" t="inlineStr">
        <is>
          <t xml:space="preserve">?</t>
        </is>
      </c>
      <c r="C6" s="287" t="inlineStr">
        <is>
          <t xml:space="preserve">?</t>
        </is>
      </c>
      <c r="D6" s="287" t="inlineStr">
        <is>
          <t xml:space="preserve">?</t>
        </is>
      </c>
      <c r="E6" s="268">
        <v>11.5</v>
      </c>
      <c r="F6" s="269" t="inlineStr">
        <is>
          <t xml:space="preserve">Wilde &amp; Schlegel 1982 (~0.30 atm)</t>
        </is>
      </c>
      <c r="G6" s="268">
        <v>2.0</v>
      </c>
      <c r="H6" s="268">
        <v>4.0</v>
      </c>
      <c r="I6" s="268" t="inlineStr">
        <is>
          <t xml:space="preserve">low</t>
        </is>
      </c>
      <c r="J6" s="305" t="inlineStr">
        <is>
          <t xml:space="preserve">No strain-specific j; mixed-HOB analogue. Run screen.</t>
        </is>
      </c>
    </row>
    <row r="7">
      <c r="A7" s="268" t="inlineStr">
        <is>
          <t xml:space="preserve">Xanthobacter flavus</t>
        </is>
      </c>
      <c r="B7" s="287" t="inlineStr">
        <is>
          <t xml:space="preserve">?</t>
        </is>
      </c>
      <c r="C7" s="287" t="inlineStr">
        <is>
          <t xml:space="preserve">?</t>
        </is>
      </c>
      <c r="D7" s="287" t="inlineStr">
        <is>
          <t xml:space="preserve">?</t>
        </is>
      </c>
      <c r="E7" s="315" t="inlineStr">
        <is>
          <t xml:space="preserve">?</t>
        </is>
      </c>
      <c r="F7" s="269" t="inlineStr">
        <is>
          <t xml:space="preserve">no species data — assume genus ~11.5</t>
        </is>
      </c>
      <c r="G7" s="268">
        <v>2.0</v>
      </c>
      <c r="H7" s="268">
        <v>4.0</v>
      </c>
      <c r="I7" s="268" t="inlineStr">
        <is>
          <t xml:space="preserve">low</t>
        </is>
      </c>
      <c r="J7" s="305" t="inlineStr">
        <is>
          <t xml:space="preserve">No strain-specific j; mixed-HOB analogue. Run screen.</t>
        </is>
      </c>
    </row>
    <row r="8">
      <c r="A8" s="268" t="inlineStr">
        <is>
          <t xml:space="preserve">Xanthobacter tagetidis</t>
        </is>
      </c>
      <c r="B8" s="287" t="inlineStr">
        <is>
          <t xml:space="preserve">?</t>
        </is>
      </c>
      <c r="C8" s="287" t="inlineStr">
        <is>
          <t xml:space="preserve">?</t>
        </is>
      </c>
      <c r="D8" s="287" t="inlineStr">
        <is>
          <t xml:space="preserve">?</t>
        </is>
      </c>
      <c r="E8" s="315" t="inlineStr">
        <is>
          <t xml:space="preserve">?</t>
        </is>
      </c>
      <c r="F8" s="269" t="inlineStr">
        <is>
          <t xml:space="preserve">no species data — assume genus ~11.5</t>
        </is>
      </c>
      <c r="G8" s="268">
        <v>2.0</v>
      </c>
      <c r="H8" s="268">
        <v>4.0</v>
      </c>
      <c r="I8" s="268" t="inlineStr">
        <is>
          <t xml:space="preserve">low</t>
        </is>
      </c>
      <c r="J8" s="305" t="inlineStr">
        <is>
          <t xml:space="preserve">No strain-specific j; mixed-HOB analogue. Run screen.</t>
        </is>
      </c>
    </row>
    <row r="9">
      <c r="A9" s="268" t="inlineStr">
        <is>
          <t xml:space="preserve">Cupriavidus metallidurans</t>
        </is>
      </c>
      <c r="B9" s="287" t="inlineStr">
        <is>
          <t xml:space="preserve">?</t>
        </is>
      </c>
      <c r="C9" s="287" t="inlineStr">
        <is>
          <t xml:space="preserve">?</t>
        </is>
      </c>
      <c r="D9" s="287" t="inlineStr">
        <is>
          <t xml:space="preserve">?</t>
        </is>
      </c>
      <c r="E9" s="315" t="inlineStr">
        <is>
          <t xml:space="preserve">?</t>
        </is>
      </c>
      <c r="F9" s="269" t="inlineStr">
        <is>
          <t xml:space="preserve">no species data — assume genus ~11.5</t>
        </is>
      </c>
      <c r="G9" s="268">
        <v>2.0</v>
      </c>
      <c r="H9" s="268">
        <v>4.0</v>
      </c>
      <c r="I9" s="268" t="inlineStr">
        <is>
          <t xml:space="preserve">low</t>
        </is>
      </c>
      <c r="J9" s="305" t="inlineStr">
        <is>
          <t xml:space="preserve">No strain-specific j; genus-mate of necator. Run screen.</t>
        </is>
      </c>
    </row>
    <row r="10">
      <c r="A10" s="268" t="inlineStr">
        <is>
          <t xml:space="preserve">UdG (mixed)</t>
        </is>
      </c>
      <c r="B10" s="287" t="inlineStr">
        <is>
          <t xml:space="preserve">?</t>
        </is>
      </c>
      <c r="C10" s="287" t="inlineStr">
        <is>
          <t xml:space="preserve">?</t>
        </is>
      </c>
      <c r="D10" s="287" t="inlineStr">
        <is>
          <t xml:space="preserve">?</t>
        </is>
      </c>
      <c r="E10" s="315" t="inlineStr">
        <is>
          <t xml:space="preserve">?</t>
        </is>
      </c>
      <c r="F10" s="269" t="inlineStr">
        <is>
          <t xml:space="preserve">Rovira-Alsina 2025; Pous 2022/23</t>
        </is>
      </c>
      <c r="G10" s="268">
        <v>2.14</v>
      </c>
      <c r="H10" s="268">
        <v>4.29</v>
      </c>
      <c r="I10" s="268" t="inlineStr">
        <is>
          <t xml:space="preserve">med</t>
        </is>
      </c>
      <c r="J10" s="306" t="inlineStr">
        <is>
          <t xml:space="preserve">Zhang 2020 (JCP 263:121596) + Pous 2022 (BiTE 18:101010); undivided cell.</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ELECTROLYSIS CURRENT</t>
        </is>
      </c>
      <c r="B1" s="263"/>
      <c r="C1" s="263"/>
      <c r="D1" s="263"/>
      <c r="E1" s="263"/>
      <c r="F1" s="263"/>
      <c r="G1" s="263"/>
      <c r="H1" s="263"/>
    </row>
    <row r="2">
      <c r="A2" s="243" t="str">
        <f>HYPERLINK("https://github.com/amy-bo/electroPioreactor/blob/AEP02/Media/protocols/gerrit-current.md","Protocol (opens on GitHub)")</f>
        <v>Protocol (opens on GitHub)</v>
      </c>
    </row>
    <row r="3">
      <c r="A3" s="269" t="inlineStr">
        <is>
          <t xml:space="preserve">Value in use: one least-squares fit of current against intensity over every included point for the active reactor (pooled, so a run with more points weighs more).</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slope</t>
        </is>
      </c>
      <c r="C5" s="265" t="inlineStr">
        <is>
          <t xml:space="preserve">mA/%</t>
        </is>
      </c>
      <c r="D5" s="201" t="str">
        <f>cal_gerrit_slope</f>
        <v>no included runs — model uses its default</v>
      </c>
    </row>
    <row r="6">
      <c r="A6" s="265" t="inlineStr">
        <is>
          <t xml:space="preserve">Value in use - intercept</t>
        </is>
      </c>
      <c r="C6" s="265" t="inlineStr">
        <is>
          <t xml:space="preserve">mA</t>
        </is>
      </c>
      <c r="D6" s="201" t="str">
        <f>cal_gerrit_int</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Intensity (%)</t>
        </is>
      </c>
      <c r="E8" s="264" t="inlineStr">
        <is>
          <t xml:space="preserve">Current (mA)</t>
        </is>
      </c>
      <c r="F8" s="264" t="inlineStr">
        <is>
          <t xml:space="preserve">Type (auto)</t>
        </is>
      </c>
      <c r="G8" s="264" t="inlineStr">
        <is>
          <t xml:space="preserve">Include?</t>
        </is>
      </c>
      <c r="H8" s="264" t="inlineStr">
        <is>
          <t xml:space="preserve">Notes</t>
        </is>
      </c>
    </row>
    <row r="9">
      <c r="A9" s="309"/>
      <c r="B9" s="227"/>
      <c r="C9" s="309"/>
      <c r="D9" s="309"/>
      <c r="E9" s="309"/>
      <c r="F9" s="201" t="str">
        <f>IFERROR(INDEX(ReactorTypeList,MATCH(CalCurrent[[#This Row],[Reactor]],ReactorList,0)),"")</f>
        <v/>
      </c>
      <c r="G9" s="309"/>
      <c r="H9" s="309"/>
    </row>
    <row r="10">
      <c r="A10" s="309"/>
      <c r="B10" s="227"/>
      <c r="C10" s="309"/>
      <c r="D10" s="309"/>
      <c r="E10" s="309"/>
      <c r="F10" s="201" t="str">
        <f>IFERROR(INDEX(ReactorTypeList,MATCH(CalCurrent[[#This Row],[Reactor]],ReactorList,0)),"")</f>
        <v/>
      </c>
      <c r="G10" s="309"/>
      <c r="H10" s="309"/>
    </row>
    <row r="11">
      <c r="A11" s="309"/>
      <c r="B11" s="227"/>
      <c r="C11" s="309"/>
      <c r="D11" s="309"/>
      <c r="E11" s="309"/>
      <c r="F11" s="201" t="str">
        <f>IFERROR(INDEX(ReactorTypeList,MATCH(CalCurrent[[#This Row],[Reactor]],ReactorList,0)),"")</f>
        <v/>
      </c>
      <c r="G11" s="309"/>
      <c r="H11" s="309"/>
    </row>
    <row r="12">
      <c r="A12" s="309"/>
      <c r="B12" s="227"/>
      <c r="C12" s="309"/>
      <c r="D12" s="309"/>
      <c r="E12" s="309"/>
      <c r="F12" s="201" t="str">
        <f>IFERROR(INDEX(ReactorTypeList,MATCH(CalCurrent[[#This Row],[Reactor]],ReactorList,0)),"")</f>
        <v/>
      </c>
      <c r="G12" s="309"/>
      <c r="H12" s="309"/>
    </row>
    <row r="13">
      <c r="A13" s="309"/>
      <c r="B13" s="227"/>
      <c r="C13" s="309"/>
      <c r="D13" s="309"/>
      <c r="E13" s="309"/>
      <c r="F13" s="201" t="str">
        <f>IFERROR(INDEX(ReactorTypeList,MATCH(CalCurrent[[#This Row],[Reactor]],ReactorList,0)),"")</f>
        <v/>
      </c>
      <c r="G13" s="309"/>
      <c r="H13" s="309"/>
    </row>
    <row r="14">
      <c r="A14" s="309"/>
      <c r="B14" s="227"/>
      <c r="C14" s="309"/>
      <c r="D14" s="309"/>
      <c r="E14" s="309"/>
      <c r="F14" s="201" t="str">
        <f>IFERROR(INDEX(ReactorTypeList,MATCH(CalCurrent[[#This Row],[Reactor]],ReactorList,0)),"")</f>
        <v/>
      </c>
      <c r="G14" s="309"/>
      <c r="H14" s="309"/>
    </row>
    <row r="15">
      <c r="A15" s="309"/>
      <c r="B15" s="227"/>
      <c r="C15" s="309"/>
      <c r="D15" s="309"/>
      <c r="E15" s="309"/>
      <c r="F15" s="201" t="str">
        <f>IFERROR(INDEX(ReactorTypeList,MATCH(CalCurrent[[#This Row],[Reactor]],ReactorList,0)),"")</f>
        <v/>
      </c>
      <c r="G15" s="309"/>
      <c r="H15" s="309"/>
    </row>
    <row r="16">
      <c r="A16" s="309"/>
      <c r="B16" s="227"/>
      <c r="C16" s="309"/>
      <c r="D16" s="309"/>
      <c r="E16" s="309"/>
      <c r="F16" s="201" t="str">
        <f>IFERROR(INDEX(ReactorTypeList,MATCH(CalCurrent[[#This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sheetPr>
    <tabColor rgb="FFA5A5A5"/>
  </sheetPr>
  <dimension ref="A1:L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2" width="15" customWidth="1"/>
  </cols>
  <sheetData>
    <row r="1">
      <c r="A1" s="263" t="inlineStr">
        <is>
          <t xml:space="preserve">CALIBRATION LOG – FARADAIC EFFICIENCY  (cathodic etaF, anodic etaF_OER)</t>
        </is>
      </c>
      <c r="B1" s="263"/>
      <c r="C1" s="263"/>
      <c r="D1" s="263"/>
      <c r="E1" s="263"/>
      <c r="F1" s="263"/>
      <c r="G1" s="263"/>
      <c r="H1" s="263"/>
      <c r="I1" s="263"/>
      <c r="J1" s="263"/>
      <c r="K1" s="263"/>
      <c r="L1" s="263"/>
    </row>
    <row r="2">
      <c r="A2" s="243" t="str">
        <f>HYPERLINK("https://github.com/amy-bo/electroPioreactor/blob/AEP02/Media/protocols/faradaic-efficiency.md","Protocol (opens on GitHub)")</f>
        <v>Protocol (opens on GitHub)</v>
      </c>
    </row>
    <row r="3">
      <c r="A3"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cathode (H2)</t>
        </is>
      </c>
      <c r="C5" s="265" t="inlineStr">
        <is>
          <t xml:space="preserve">-</t>
        </is>
      </c>
      <c r="D5" s="201" t="str">
        <f>cal_etaF</f>
        <v>no included runs — model uses its default</v>
      </c>
    </row>
    <row r="6">
      <c r="A6" s="265" t="inlineStr">
        <is>
          <t xml:space="preserve">Value in use - anode (O2)</t>
        </is>
      </c>
      <c r="C6" s="265" t="inlineStr">
        <is>
          <t xml:space="preserve">-</t>
        </is>
      </c>
      <c r="D6" s="201" t="str">
        <f>cal_etaF_OER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Charge Q (C)</t>
        </is>
      </c>
      <c r="E8" s="264" t="inlineStr">
        <is>
          <t xml:space="preserve">Gas volume (mL)</t>
        </is>
      </c>
      <c r="F8" s="264" t="inlineStr">
        <is>
          <t xml:space="preserve">Temp (°C)</t>
        </is>
      </c>
      <c r="G8" s="264" t="inlineStr">
        <is>
          <t xml:space="preserve">Pressure (Pa)</t>
        </is>
      </c>
      <c r="H8" s="264" t="inlineStr">
        <is>
          <t xml:space="preserve">Gas (H2 or O2)</t>
        </is>
      </c>
      <c r="I8" s="264" t="inlineStr">
        <is>
          <t xml:space="preserve">etaF (computed)</t>
        </is>
      </c>
      <c r="J8" s="264" t="inlineStr">
        <is>
          <t xml:space="preserve">Type (auto)</t>
        </is>
      </c>
      <c r="K8" s="264" t="inlineStr">
        <is>
          <t xml:space="preserve">Include?</t>
        </is>
      </c>
      <c r="L8" s="264" t="inlineStr">
        <is>
          <t xml:space="preserve">Notes</t>
        </is>
      </c>
    </row>
    <row r="9">
      <c r="A9" s="309"/>
      <c r="B9" s="227"/>
      <c r="C9" s="309"/>
      <c r="D9" s="309"/>
      <c r="E9" s="309"/>
      <c r="F9" s="309"/>
      <c r="G9" s="309"/>
      <c r="H9" s="309"/>
      <c r="I9"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9" s="201" t="str">
        <f>IFERROR(INDEX(ReactorTypeList,MATCH(CalFaradaic[[#This Row],[Reactor]],ReactorList,0)),"")</f>
        <v/>
      </c>
      <c r="K9" s="309"/>
      <c r="L9" s="309"/>
    </row>
    <row r="10">
      <c r="A10" s="309"/>
      <c r="B10" s="227"/>
      <c r="C10" s="309"/>
      <c r="D10" s="309"/>
      <c r="E10" s="309"/>
      <c r="F10" s="309"/>
      <c r="G10" s="309"/>
      <c r="H10" s="309"/>
      <c r="I10"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0" s="201" t="str">
        <f>IFERROR(INDEX(ReactorTypeList,MATCH(CalFaradaic[[#This Row],[Reactor]],ReactorList,0)),"")</f>
        <v/>
      </c>
      <c r="K10" s="309"/>
      <c r="L10" s="309"/>
    </row>
    <row r="11">
      <c r="A11" s="309"/>
      <c r="B11" s="227"/>
      <c r="C11" s="309"/>
      <c r="D11" s="309"/>
      <c r="E11" s="309"/>
      <c r="F11" s="309"/>
      <c r="G11" s="309"/>
      <c r="H11" s="309"/>
      <c r="I11"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1" s="201" t="str">
        <f>IFERROR(INDEX(ReactorTypeList,MATCH(CalFaradaic[[#This Row],[Reactor]],ReactorList,0)),"")</f>
        <v/>
      </c>
      <c r="K11" s="309"/>
      <c r="L11" s="309"/>
    </row>
    <row r="12">
      <c r="A12" s="309"/>
      <c r="B12" s="227"/>
      <c r="C12" s="309"/>
      <c r="D12" s="309"/>
      <c r="E12" s="309"/>
      <c r="F12" s="309"/>
      <c r="G12" s="309"/>
      <c r="H12" s="309"/>
      <c r="I12"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2" s="201" t="str">
        <f>IFERROR(INDEX(ReactorTypeList,MATCH(CalFaradaic[[#This Row],[Reactor]],ReactorList,0)),"")</f>
        <v/>
      </c>
      <c r="K12" s="309"/>
      <c r="L12" s="309"/>
    </row>
    <row r="13">
      <c r="A13" s="309"/>
      <c r="B13" s="227"/>
      <c r="C13" s="309"/>
      <c r="D13" s="309"/>
      <c r="E13" s="309"/>
      <c r="F13" s="309"/>
      <c r="G13" s="309"/>
      <c r="H13" s="309"/>
      <c r="I13"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3" s="201" t="str">
        <f>IFERROR(INDEX(ReactorTypeList,MATCH(CalFaradaic[[#This Row],[Reactor]],ReactorList,0)),"")</f>
        <v/>
      </c>
      <c r="K13" s="309"/>
      <c r="L13" s="309"/>
    </row>
    <row r="14">
      <c r="A14" s="309"/>
      <c r="B14" s="227"/>
      <c r="C14" s="309"/>
      <c r="D14" s="309"/>
      <c r="E14" s="309"/>
      <c r="F14" s="309"/>
      <c r="G14" s="309"/>
      <c r="H14" s="309"/>
      <c r="I14"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4" s="201" t="str">
        <f>IFERROR(INDEX(ReactorTypeList,MATCH(CalFaradaic[[#This Row],[Reactor]],ReactorList,0)),"")</f>
        <v/>
      </c>
      <c r="K14" s="309"/>
      <c r="L14" s="309"/>
    </row>
    <row r="15">
      <c r="A15" s="309"/>
      <c r="B15" s="227"/>
      <c r="C15" s="309"/>
      <c r="D15" s="309"/>
      <c r="E15" s="309"/>
      <c r="F15" s="309"/>
      <c r="G15" s="309"/>
      <c r="H15" s="309"/>
      <c r="I15"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5" s="201" t="str">
        <f>IFERROR(INDEX(ReactorTypeList,MATCH(CalFaradaic[[#This Row],[Reactor]],ReactorList,0)),"")</f>
        <v/>
      </c>
      <c r="K15" s="309"/>
      <c r="L15" s="309"/>
    </row>
    <row r="16">
      <c r="A16" s="309"/>
      <c r="B16" s="227"/>
      <c r="C16" s="309"/>
      <c r="D16" s="309"/>
      <c r="E16" s="309"/>
      <c r="F16" s="309"/>
      <c r="G16" s="309"/>
      <c r="H16" s="309"/>
      <c r="I16"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6" s="201" t="str">
        <f>IFERROR(INDEX(ReactorTypeList,MATCH(CalFaradaic[[#This Row],[Reactor]],ReactorList,0)),"")</f>
        <v/>
      </c>
      <c r="K16" s="309"/>
      <c r="L16" s="309"/>
    </row>
  </sheetData>
  <dataValidations count="3">
    <dataValidation type="list" allowBlank="1" showErrorMessage="1" errorTitle="Invalid value" error="Choose from the list." sqref="C9:C16">
      <formula1>ReactorList</formula1>
    </dataValidation>
    <dataValidation type="list" allowBlank="1" showErrorMessage="1" errorTitle="Invalid value" error="Choose from the list." sqref="K9:K16">
      <formula1>"y,n"</formula1>
    </dataValidation>
    <dataValidation type="list" allowBlank="1" showErrorMessage="1" errorTitle="Invalid value" error="Choose from the list." sqref="H9:H16">
      <formula1>"H2,O2"</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sheetPr>
    <tabColor rgb="FFA5A5A5"/>
  </sheetPr>
  <dimension ref="A1:G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7" width="15" customWidth="1"/>
  </cols>
  <sheetData>
    <row r="1">
      <c r="A1" s="263" t="inlineStr">
        <is>
          <t xml:space="preserve">CALIBRATION LOG – SURFACE kLa  (oxygen surface transfer)</t>
        </is>
      </c>
      <c r="B1" s="263"/>
      <c r="C1" s="263"/>
      <c r="D1" s="263"/>
      <c r="E1" s="263"/>
      <c r="F1" s="263"/>
      <c r="G1" s="263"/>
    </row>
    <row r="2">
      <c r="A2" s="243" t="str">
        <f>HYPERLINK("https://github.com/amy-bo/electroPioreactor/blob/AEP02/Media/protocols/surface-kla.md","Protocol (opens on GitHub)")</f>
        <v>Protocol (opens on GitHub)</v>
      </c>
    </row>
    <row r="3">
      <c r="A3" s="269" t="inlineStr">
        <is>
          <t xml:space="preserve">Value in use: average of the included kLa runs for the active reactor.</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kLa</t>
        </is>
      </c>
      <c r="C5" s="265" t="inlineStr">
        <is>
          <t xml:space="preserve">1/h</t>
        </is>
      </c>
      <c r="D5" s="201" t="str">
        <f>cal_kLa</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kLa (1/h)</t>
        </is>
      </c>
      <c r="E7" s="264" t="inlineStr">
        <is>
          <t xml:space="preserve">Type (auto)</t>
        </is>
      </c>
      <c r="F7" s="264" t="inlineStr">
        <is>
          <t xml:space="preserve">Include?</t>
        </is>
      </c>
      <c r="G7" s="264" t="inlineStr">
        <is>
          <t xml:space="preserve">Notes</t>
        </is>
      </c>
    </row>
    <row r="8">
      <c r="A8" s="309"/>
      <c r="B8" s="227"/>
      <c r="C8" s="309"/>
      <c r="D8" s="309"/>
      <c r="E8" s="201" t="str">
        <f>IFERROR(INDEX(ReactorTypeList,MATCH(CalKLa[[#This Row],[Reactor]],ReactorList,0)),"")</f>
        <v/>
      </c>
      <c r="F8" s="309"/>
      <c r="G8" s="309"/>
    </row>
    <row r="9">
      <c r="A9" s="309"/>
      <c r="B9" s="227"/>
      <c r="C9" s="309"/>
      <c r="D9" s="309"/>
      <c r="E9" s="201" t="str">
        <f>IFERROR(INDEX(ReactorTypeList,MATCH(CalKLa[[#This Row],[Reactor]],ReactorList,0)),"")</f>
        <v/>
      </c>
      <c r="F9" s="309"/>
      <c r="G9" s="309"/>
    </row>
    <row r="10">
      <c r="A10" s="309"/>
      <c r="B10" s="227"/>
      <c r="C10" s="309"/>
      <c r="D10" s="309"/>
      <c r="E10" s="201" t="str">
        <f>IFERROR(INDEX(ReactorTypeList,MATCH(CalKLa[[#This Row],[Reactor]],ReactorList,0)),"")</f>
        <v/>
      </c>
      <c r="F10" s="309"/>
      <c r="G10" s="309"/>
    </row>
    <row r="11">
      <c r="A11" s="309"/>
      <c r="B11" s="227"/>
      <c r="C11" s="309"/>
      <c r="D11" s="309"/>
      <c r="E11" s="201" t="str">
        <f>IFERROR(INDEX(ReactorTypeList,MATCH(CalKLa[[#This Row],[Reactor]],ReactorList,0)),"")</f>
        <v/>
      </c>
      <c r="F11" s="309"/>
      <c r="G11" s="309"/>
    </row>
    <row r="12">
      <c r="A12" s="309"/>
      <c r="B12" s="227"/>
      <c r="C12" s="309"/>
      <c r="D12" s="309"/>
      <c r="E12" s="201" t="str">
        <f>IFERROR(INDEX(ReactorTypeList,MATCH(CalKLa[[#This Row],[Reactor]],ReactorList,0)),"")</f>
        <v/>
      </c>
      <c r="F12" s="309"/>
      <c r="G12" s="309"/>
    </row>
    <row r="13">
      <c r="A13" s="309"/>
      <c r="B13" s="227"/>
      <c r="C13" s="309"/>
      <c r="D13" s="309"/>
      <c r="E13" s="201" t="str">
        <f>IFERROR(INDEX(ReactorTypeList,MATCH(CalKLa[[#This Row],[Reactor]],ReactorList,0)),"")</f>
        <v/>
      </c>
      <c r="F13" s="309"/>
      <c r="G13" s="309"/>
    </row>
    <row r="14">
      <c r="A14" s="309"/>
      <c r="B14" s="227"/>
      <c r="C14" s="309"/>
      <c r="D14" s="309"/>
      <c r="E14" s="201" t="str">
        <f>IFERROR(INDEX(ReactorTypeList,MATCH(CalKLa[[#This Row],[Reactor]],ReactorList,0)),"")</f>
        <v/>
      </c>
      <c r="F14" s="309"/>
      <c r="G14" s="309"/>
    </row>
    <row r="15">
      <c r="A15" s="309"/>
      <c r="B15" s="227"/>
      <c r="C15" s="309"/>
      <c r="D15" s="309"/>
      <c r="E15" s="201" t="str">
        <f>IFERROR(INDEX(ReactorTypeList,MATCH(CalKLa[[#This Row],[Reactor]],ReactorList,0)),"")</f>
        <v/>
      </c>
      <c r="F15" s="309"/>
      <c r="G15" s="309"/>
    </row>
  </sheetData>
  <dataValidations count="2">
    <dataValidation type="list" allowBlank="1" showErrorMessage="1" errorTitle="Invalid value" error="Choose from the list." sqref="C8:C15">
      <formula1>ReactorList</formula1>
    </dataValidation>
    <dataValidation type="list" allowBlank="1" showErrorMessage="1" errorTitle="Invalid value" error="Choose from the list." sqref="F8:F15">
      <formula1>"y,n"</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sheetPr>
    <tabColor rgb="FFA5A5A5"/>
  </sheetPr>
  <dimension ref="A1:J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0" width="15" customWidth="1"/>
  </cols>
  <sheetData>
    <row r="1">
      <c r="A1" s="263" t="inlineStr">
        <is>
          <t xml:space="preserve">CALIBRATION LOG – CO2 FLOW  (dosing flow rate)</t>
        </is>
      </c>
      <c r="B1" s="263"/>
      <c r="C1" s="263"/>
      <c r="D1" s="263"/>
      <c r="E1" s="263"/>
      <c r="F1" s="263"/>
      <c r="G1" s="263"/>
      <c r="H1" s="263"/>
      <c r="I1" s="263"/>
      <c r="J1" s="263"/>
    </row>
    <row r="2">
      <c r="A2" s="243" t="str">
        <f>HYPERLINK("https://github.com/amy-bo/electroPioreactor/blob/AEP02/Media/protocols/flow-calibration.md","Protocol (opens on GitHub)")</f>
        <v>Protocol (opens on GitHub)</v>
      </c>
    </row>
    <row r="3">
      <c r="A3"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flow rate</t>
        </is>
      </c>
      <c r="C5" s="265" t="inlineStr">
        <is>
          <t xml:space="preserve">mL/s</t>
        </is>
      </c>
      <c r="D5" s="201" t="str">
        <f>cal_flow</f>
        <v>no included runs — model uses its default</v>
      </c>
    </row>
    <row r="6">
      <c r="A6" s="265" t="inlineStr">
        <is>
          <t xml:space="preserve">Value in use - minimum reliable pulse</t>
        </is>
      </c>
      <c r="C6" s="265" t="inlineStr">
        <is>
          <t xml:space="preserve">s</t>
        </is>
      </c>
      <c r="D6" s="201" t="str">
        <f>cal_pulse_floor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CO2 volume (mL)</t>
        </is>
      </c>
      <c r="E8" s="264" t="inlineStr">
        <is>
          <t xml:space="preserve">Time (s)</t>
        </is>
      </c>
      <c r="F8" s="264" t="inlineStr">
        <is>
          <t xml:space="preserve">Flow (computed, mL/s)</t>
        </is>
      </c>
      <c r="G8" s="264" t="inlineStr">
        <is>
          <t xml:space="preserve">Type (auto)</t>
        </is>
      </c>
      <c r="H8" s="264" t="inlineStr">
        <is>
          <t xml:space="preserve">Include?</t>
        </is>
      </c>
      <c r="I8" s="264" t="inlineStr">
        <is>
          <t xml:space="preserve">Notes</t>
        </is>
      </c>
      <c r="J8" s="264" t="inlineStr">
        <is>
          <t xml:space="preserve">Min pulse (s)</t>
        </is>
      </c>
    </row>
    <row r="9">
      <c r="A9" s="309"/>
      <c r="B9" s="227"/>
      <c r="C9" s="309"/>
      <c r="D9" s="309"/>
      <c r="E9" s="309"/>
      <c r="F9" s="201" t="str">
        <f>IFERROR(CalFlow[[#This Row],[CO2 volume (mL)]]/CalFlow[[#This Row],[Time (s)]],"")</f>
        <v/>
      </c>
      <c r="G9" s="201" t="str">
        <f>IFERROR(INDEX(ReactorTypeList,MATCH(CalFlow[[#This Row],[Reactor]],ReactorList,0)),"")</f>
        <v/>
      </c>
      <c r="H9" s="309"/>
      <c r="I9" s="309"/>
      <c r="J9" s="309"/>
    </row>
    <row r="10">
      <c r="A10" s="309"/>
      <c r="B10" s="227"/>
      <c r="C10" s="309"/>
      <c r="D10" s="309"/>
      <c r="E10" s="309"/>
      <c r="F10" s="201" t="str">
        <f>IFERROR(CalFlow[[#This Row],[CO2 volume (mL)]]/CalFlow[[#This Row],[Time (s)]],"")</f>
        <v/>
      </c>
      <c r="G10" s="201" t="str">
        <f>IFERROR(INDEX(ReactorTypeList,MATCH(CalFlow[[#This Row],[Reactor]],ReactorList,0)),"")</f>
        <v/>
      </c>
      <c r="H10" s="309"/>
      <c r="I10" s="309"/>
      <c r="J10" s="309"/>
    </row>
    <row r="11">
      <c r="A11" s="309"/>
      <c r="B11" s="227"/>
      <c r="C11" s="309"/>
      <c r="D11" s="309"/>
      <c r="E11" s="309"/>
      <c r="F11" s="201" t="str">
        <f>IFERROR(CalFlow[[#This Row],[CO2 volume (mL)]]/CalFlow[[#This Row],[Time (s)]],"")</f>
        <v/>
      </c>
      <c r="G11" s="201" t="str">
        <f>IFERROR(INDEX(ReactorTypeList,MATCH(CalFlow[[#This Row],[Reactor]],ReactorList,0)),"")</f>
        <v/>
      </c>
      <c r="H11" s="309"/>
      <c r="I11" s="309"/>
      <c r="J11" s="309"/>
    </row>
    <row r="12">
      <c r="A12" s="309"/>
      <c r="B12" s="227"/>
      <c r="C12" s="309"/>
      <c r="D12" s="309"/>
      <c r="E12" s="309"/>
      <c r="F12" s="201" t="str">
        <f>IFERROR(CalFlow[[#This Row],[CO2 volume (mL)]]/CalFlow[[#This Row],[Time (s)]],"")</f>
        <v/>
      </c>
      <c r="G12" s="201" t="str">
        <f>IFERROR(INDEX(ReactorTypeList,MATCH(CalFlow[[#This Row],[Reactor]],ReactorList,0)),"")</f>
        <v/>
      </c>
      <c r="H12" s="309"/>
      <c r="I12" s="309"/>
      <c r="J12" s="309"/>
    </row>
    <row r="13">
      <c r="A13" s="309"/>
      <c r="B13" s="227"/>
      <c r="C13" s="309"/>
      <c r="D13" s="309"/>
      <c r="E13" s="309"/>
      <c r="F13" s="201" t="str">
        <f>IFERROR(CalFlow[[#This Row],[CO2 volume (mL)]]/CalFlow[[#This Row],[Time (s)]],"")</f>
        <v/>
      </c>
      <c r="G13" s="201" t="str">
        <f>IFERROR(INDEX(ReactorTypeList,MATCH(CalFlow[[#This Row],[Reactor]],ReactorList,0)),"")</f>
        <v/>
      </c>
      <c r="H13" s="309"/>
      <c r="I13" s="309"/>
      <c r="J13" s="309"/>
    </row>
    <row r="14">
      <c r="A14" s="309"/>
      <c r="B14" s="227"/>
      <c r="C14" s="309"/>
      <c r="D14" s="309"/>
      <c r="E14" s="309"/>
      <c r="F14" s="201" t="str">
        <f>IFERROR(CalFlow[[#This Row],[CO2 volume (mL)]]/CalFlow[[#This Row],[Time (s)]],"")</f>
        <v/>
      </c>
      <c r="G14" s="201" t="str">
        <f>IFERROR(INDEX(ReactorTypeList,MATCH(CalFlow[[#This Row],[Reactor]],ReactorList,0)),"")</f>
        <v/>
      </c>
      <c r="H14" s="309"/>
      <c r="I14" s="309"/>
      <c r="J14" s="309"/>
    </row>
    <row r="15">
      <c r="A15" s="309"/>
      <c r="B15" s="227"/>
      <c r="C15" s="309"/>
      <c r="D15" s="309"/>
      <c r="E15" s="309"/>
      <c r="F15" s="201" t="str">
        <f>IFERROR(CalFlow[[#This Row],[CO2 volume (mL)]]/CalFlow[[#This Row],[Time (s)]],"")</f>
        <v/>
      </c>
      <c r="G15" s="201" t="str">
        <f>IFERROR(INDEX(ReactorTypeList,MATCH(CalFlow[[#This Row],[Reactor]],ReactorList,0)),"")</f>
        <v/>
      </c>
      <c r="H15" s="309"/>
      <c r="I15" s="309"/>
      <c r="J15" s="309"/>
    </row>
    <row r="16">
      <c r="A16" s="309"/>
      <c r="B16" s="227"/>
      <c r="C16" s="309"/>
      <c r="D16" s="309"/>
      <c r="E16" s="309"/>
      <c r="F16" s="201" t="str">
        <f>IFERROR(CalFlow[[#This Row],[CO2 volume (mL)]]/CalFlow[[#This Row],[Time (s)]],"")</f>
        <v/>
      </c>
      <c r="G16" s="201" t="str">
        <f>IFERROR(INDEX(ReactorTypeList,MATCH(CalFlow[[#This Row],[Reactor]],ReactorList,0)),"")</f>
        <v/>
      </c>
      <c r="H16" s="309"/>
      <c r="I16" s="309"/>
      <c r="J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H9:H16">
      <formula1>"y,n"</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sheetPr>
    <tabColor rgb="FFA5A5A5"/>
  </sheetPr>
  <dimension ref="A1:N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14" width="15" customWidth="1"/>
  </cols>
  <sheetData>
    <row r="1">
      <c r="A1" s="263" t="inlineStr">
        <is>
          <t xml:space="preserve">CALIBRATION LOG – VIAL GEOMETRY  (true volume &amp; bore depth)</t>
        </is>
      </c>
      <c r="B1" s="263"/>
      <c r="C1" s="263"/>
      <c r="D1" s="263"/>
      <c r="E1" s="263"/>
      <c r="F1" s="263"/>
      <c r="G1" s="263"/>
      <c r="H1" s="263"/>
      <c r="I1" s="263"/>
      <c r="J1" s="263"/>
      <c r="K1" s="263"/>
      <c r="L1" s="263"/>
      <c r="M1" s="263"/>
      <c r="N1" s="263"/>
    </row>
    <row r="2">
      <c r="A2" s="243" t="str">
        <f>HYPERLINK("https://github.com/amy-bo/electroPioreactor/blob/AEP02/Media/protocols/vial-geometry.md","Protocol (opens on GitHub)")</f>
        <v>Protocol (opens on GitHub)</v>
      </c>
    </row>
    <row r="3">
      <c r="A3" s="269" t="inlineStr">
        <is>
          <t xml:space="preserve">Value in use: average across included vials of the active reactor type (all vials of a type are nominally identical). Headspace and total volume feed the model; the volume-equivalent depth (cal_Dint) is reported for the geometry check only, because a tapered vial’s equivalent depth is not its physical depth.</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total vial volume</t>
        </is>
      </c>
      <c r="C5" s="265" t="inlineStr">
        <is>
          <t xml:space="preserve">mL</t>
        </is>
      </c>
      <c r="D5" s="201" t="str">
        <f>cal_Vtot</f>
        <v>no included runs — model uses its default</v>
      </c>
    </row>
    <row r="6">
      <c r="A6" s="265" t="inlineStr">
        <is>
          <t xml:space="preserve">Value in use - volume-equivalent depth (body volume ÷ A_x; not the physical depth)</t>
        </is>
      </c>
      <c r="C6" s="265" t="inlineStr">
        <is>
          <t xml:space="preserve">mm</t>
        </is>
      </c>
      <c r="D6" s="201" t="str">
        <f>cal_Dint</f>
        <v>no included runs — model uses its default</v>
      </c>
    </row>
    <row r="7">
      <c r="A7" s="265" t="inlineStr">
        <is>
          <t xml:space="preserve">Value in use - headspace at working fill</t>
        </is>
      </c>
      <c r="C7" s="265" t="inlineStr">
        <is>
          <t xml:space="preserve">mL</t>
        </is>
      </c>
      <c r="D7" s="201" t="str">
        <f>cal_hs</f>
        <v>no included runs — model uses its default</v>
      </c>
    </row>
    <row r="8">
      <c r="A8" s="265" t="inlineStr">
        <is>
          <t xml:space="preserve">Value in use - working fill behind that headspace</t>
        </is>
      </c>
      <c r="C8" s="265" t="inlineStr">
        <is>
          <t xml:space="preserve">mL</t>
        </is>
      </c>
      <c r="D8" s="201" t="str">
        <f>cal_hs_fill</f>
        <v>no included runs — model uses its default</v>
      </c>
    </row>
    <row r="10" ht="45" customHeight="1">
      <c r="A10" s="264" t="inlineStr">
        <is>
          <t xml:space="preserve">Researcher</t>
        </is>
      </c>
      <c r="B10" s="264" t="inlineStr">
        <is>
          <t xml:space="preserve">Date</t>
        </is>
      </c>
      <c r="C10" s="264" t="inlineStr">
        <is>
          <t xml:space="preserve">Reactor</t>
        </is>
      </c>
      <c r="D10" s="264" t="inlineStr">
        <is>
          <t xml:space="preserve">Headspace mass (g)</t>
        </is>
      </c>
      <c r="E10" s="264" t="inlineStr">
        <is>
          <t xml:space="preserve">Body mass (g)</t>
        </is>
      </c>
      <c r="F10" s="264" t="inlineStr">
        <is>
          <t xml:space="preserve">Temp (°C)</t>
        </is>
      </c>
      <c r="G10" s="264" t="inlineStr">
        <is>
          <t xml:space="preserve">V total (computed, mL)</t>
        </is>
      </c>
      <c r="H10" s="264" t="inlineStr">
        <is>
          <t xml:space="preserve">Volume-equivalent depth (computed, mm)</t>
        </is>
      </c>
      <c r="I10" s="264" t="inlineStr">
        <is>
          <t xml:space="preserve">Type (auto)</t>
        </is>
      </c>
      <c r="J10" s="264" t="inlineStr">
        <is>
          <t xml:space="preserve">Include?</t>
        </is>
      </c>
      <c r="K10" s="264" t="inlineStr">
        <is>
          <t xml:space="preserve">Notes</t>
        </is>
      </c>
      <c r="L10" s="264" t="inlineStr">
        <is>
          <t xml:space="preserve">Headspace (computed, mL)</t>
        </is>
      </c>
      <c r="M10" s="264" t="inlineStr">
        <is>
          <t xml:space="preserve">Working-fill mass (g)</t>
        </is>
      </c>
      <c r="N10" s="264" t="inlineStr">
        <is>
          <t xml:space="preserve">Working fill (computed, mL)</t>
        </is>
      </c>
    </row>
    <row r="11">
      <c r="A11" s="309"/>
      <c r="B11" s="227"/>
      <c r="C11" s="309"/>
      <c r="D11" s="309"/>
      <c r="E11" s="309"/>
      <c r="F11" s="309"/>
      <c r="G11" s="201" t="str">
        <f>IF(CalVial[[#This Row],[Body mass (g)]]="","",IFERROR(CalVial[[#This Row],[Body mass (g)]]/((Calibrations!ca_rho_0+Calibrations!ca_rho_k*CalVial[[#This Row],[Temp (°C)]])/1000),""))</f>
        <v/>
      </c>
      <c r="H11" s="201" t="str">
        <f>IF(CalVial[[#This Row],[Body mass (g)]]="","",IFERROR((CalVial[[#This Row],[Body mass (g)]]/((Calibrations!ca_rho_0+Calibrations!ca_rho_k*CalVial[[#This Row],[Temp (°C)]])/1000))*1000/Calibrations!A_x,""))</f>
        <v/>
      </c>
      <c r="I11" s="201" t="str">
        <f>IFERROR(INDEX(ReactorTypeList,MATCH(CalVial[[#This Row],[Reactor]],ReactorList,0)),"")</f>
        <v/>
      </c>
      <c r="J11" s="309"/>
      <c r="K11" s="309"/>
      <c r="L11" s="201" t="str">
        <f>IF(CalVial[[#This Row],[Headspace mass (g)]]="","",IFERROR(CalVial[[#This Row],[Headspace mass (g)]]/((Calibrations!ca_rho_0+Calibrations!ca_rho_k*CalVial[[#This Row],[Temp (°C)]])/1000),""))</f>
        <v/>
      </c>
      <c r="M11" s="309"/>
      <c r="N11" s="201" t="str">
        <f>IF(CalVial[[#This Row],[Working-fill mass (g)]]="","",IFERROR(CalVial[[#This Row],[Working-fill mass (g)]]/((Calibrations!ca_rho_0+Calibrations!ca_rho_k*CalVial[[#This Row],[Temp (°C)]])/1000),""))</f>
        <v/>
      </c>
    </row>
    <row r="12">
      <c r="A12" s="309"/>
      <c r="B12" s="227"/>
      <c r="C12" s="309"/>
      <c r="D12" s="309"/>
      <c r="E12" s="309"/>
      <c r="F12" s="309"/>
      <c r="G12" s="201" t="str">
        <f>IF(CalVial[[#This Row],[Body mass (g)]]="","",IFERROR(CalVial[[#This Row],[Body mass (g)]]/((Calibrations!ca_rho_0+Calibrations!ca_rho_k*CalVial[[#This Row],[Temp (°C)]])/1000),""))</f>
        <v/>
      </c>
      <c r="H12" s="201" t="str">
        <f>IF(CalVial[[#This Row],[Body mass (g)]]="","",IFERROR((CalVial[[#This Row],[Body mass (g)]]/((Calibrations!ca_rho_0+Calibrations!ca_rho_k*CalVial[[#This Row],[Temp (°C)]])/1000))*1000/Calibrations!A_x,""))</f>
        <v/>
      </c>
      <c r="I12" s="201" t="str">
        <f>IFERROR(INDEX(ReactorTypeList,MATCH(CalVial[[#This Row],[Reactor]],ReactorList,0)),"")</f>
        <v/>
      </c>
      <c r="J12" s="309"/>
      <c r="K12" s="309"/>
      <c r="L12" s="201" t="str">
        <f>IF(CalVial[[#This Row],[Headspace mass (g)]]="","",IFERROR(CalVial[[#This Row],[Headspace mass (g)]]/((Calibrations!ca_rho_0+Calibrations!ca_rho_k*CalVial[[#This Row],[Temp (°C)]])/1000),""))</f>
        <v/>
      </c>
      <c r="M12" s="309"/>
      <c r="N12" s="201" t="str">
        <f>IF(CalVial[[#This Row],[Working-fill mass (g)]]="","",IFERROR(CalVial[[#This Row],[Working-fill mass (g)]]/((Calibrations!ca_rho_0+Calibrations!ca_rho_k*CalVial[[#This Row],[Temp (°C)]])/1000),""))</f>
        <v/>
      </c>
    </row>
    <row r="13">
      <c r="A13" s="309"/>
      <c r="B13" s="227"/>
      <c r="C13" s="309"/>
      <c r="D13" s="309"/>
      <c r="E13" s="309"/>
      <c r="F13" s="309"/>
      <c r="G13" s="201" t="str">
        <f>IF(CalVial[[#This Row],[Body mass (g)]]="","",IFERROR(CalVial[[#This Row],[Body mass (g)]]/((Calibrations!ca_rho_0+Calibrations!ca_rho_k*CalVial[[#This Row],[Temp (°C)]])/1000),""))</f>
        <v/>
      </c>
      <c r="H13" s="201" t="str">
        <f>IF(CalVial[[#This Row],[Body mass (g)]]="","",IFERROR((CalVial[[#This Row],[Body mass (g)]]/((Calibrations!ca_rho_0+Calibrations!ca_rho_k*CalVial[[#This Row],[Temp (°C)]])/1000))*1000/Calibrations!A_x,""))</f>
        <v/>
      </c>
      <c r="I13" s="201" t="str">
        <f>IFERROR(INDEX(ReactorTypeList,MATCH(CalVial[[#This Row],[Reactor]],ReactorList,0)),"")</f>
        <v/>
      </c>
      <c r="J13" s="309"/>
      <c r="K13" s="309"/>
      <c r="L13" s="201" t="str">
        <f>IF(CalVial[[#This Row],[Headspace mass (g)]]="","",IFERROR(CalVial[[#This Row],[Headspace mass (g)]]/((Calibrations!ca_rho_0+Calibrations!ca_rho_k*CalVial[[#This Row],[Temp (°C)]])/1000),""))</f>
        <v/>
      </c>
      <c r="M13" s="309"/>
      <c r="N13" s="201" t="str">
        <f>IF(CalVial[[#This Row],[Working-fill mass (g)]]="","",IFERROR(CalVial[[#This Row],[Working-fill mass (g)]]/((Calibrations!ca_rho_0+Calibrations!ca_rho_k*CalVial[[#This Row],[Temp (°C)]])/1000),""))</f>
        <v/>
      </c>
    </row>
    <row r="14">
      <c r="A14" s="309"/>
      <c r="B14" s="227"/>
      <c r="C14" s="309"/>
      <c r="D14" s="309"/>
      <c r="E14" s="309"/>
      <c r="F14" s="309"/>
      <c r="G14" s="201" t="str">
        <f>IF(CalVial[[#This Row],[Body mass (g)]]="","",IFERROR(CalVial[[#This Row],[Body mass (g)]]/((Calibrations!ca_rho_0+Calibrations!ca_rho_k*CalVial[[#This Row],[Temp (°C)]])/1000),""))</f>
        <v/>
      </c>
      <c r="H14" s="201" t="str">
        <f>IF(CalVial[[#This Row],[Body mass (g)]]="","",IFERROR((CalVial[[#This Row],[Body mass (g)]]/((Calibrations!ca_rho_0+Calibrations!ca_rho_k*CalVial[[#This Row],[Temp (°C)]])/1000))*1000/Calibrations!A_x,""))</f>
        <v/>
      </c>
      <c r="I14" s="201" t="str">
        <f>IFERROR(INDEX(ReactorTypeList,MATCH(CalVial[[#This Row],[Reactor]],ReactorList,0)),"")</f>
        <v/>
      </c>
      <c r="J14" s="309"/>
      <c r="K14" s="309"/>
      <c r="L14" s="201" t="str">
        <f>IF(CalVial[[#This Row],[Headspace mass (g)]]="","",IFERROR(CalVial[[#This Row],[Headspace mass (g)]]/((Calibrations!ca_rho_0+Calibrations!ca_rho_k*CalVial[[#This Row],[Temp (°C)]])/1000),""))</f>
        <v/>
      </c>
      <c r="M14" s="309"/>
      <c r="N14" s="201" t="str">
        <f>IF(CalVial[[#This Row],[Working-fill mass (g)]]="","",IFERROR(CalVial[[#This Row],[Working-fill mass (g)]]/((Calibrations!ca_rho_0+Calibrations!ca_rho_k*CalVial[[#This Row],[Temp (°C)]])/1000),""))</f>
        <v/>
      </c>
    </row>
    <row r="15">
      <c r="A15" s="309"/>
      <c r="B15" s="227"/>
      <c r="C15" s="309"/>
      <c r="D15" s="309"/>
      <c r="E15" s="309"/>
      <c r="F15" s="309"/>
      <c r="G15" s="201" t="str">
        <f>IF(CalVial[[#This Row],[Body mass (g)]]="","",IFERROR(CalVial[[#This Row],[Body mass (g)]]/((Calibrations!ca_rho_0+Calibrations!ca_rho_k*CalVial[[#This Row],[Temp (°C)]])/1000),""))</f>
        <v/>
      </c>
      <c r="H15" s="201" t="str">
        <f>IF(CalVial[[#This Row],[Body mass (g)]]="","",IFERROR((CalVial[[#This Row],[Body mass (g)]]/((Calibrations!ca_rho_0+Calibrations!ca_rho_k*CalVial[[#This Row],[Temp (°C)]])/1000))*1000/Calibrations!A_x,""))</f>
        <v/>
      </c>
      <c r="I15" s="201" t="str">
        <f>IFERROR(INDEX(ReactorTypeList,MATCH(CalVial[[#This Row],[Reactor]],ReactorList,0)),"")</f>
        <v/>
      </c>
      <c r="J15" s="309"/>
      <c r="K15" s="309"/>
      <c r="L15" s="201" t="str">
        <f>IF(CalVial[[#This Row],[Headspace mass (g)]]="","",IFERROR(CalVial[[#This Row],[Headspace mass (g)]]/((Calibrations!ca_rho_0+Calibrations!ca_rho_k*CalVial[[#This Row],[Temp (°C)]])/1000),""))</f>
        <v/>
      </c>
      <c r="M15" s="309"/>
      <c r="N15" s="201" t="str">
        <f>IF(CalVial[[#This Row],[Working-fill mass (g)]]="","",IFERROR(CalVial[[#This Row],[Working-fill mass (g)]]/((Calibrations!ca_rho_0+Calibrations!ca_rho_k*CalVial[[#This Row],[Temp (°C)]])/1000),""))</f>
        <v/>
      </c>
    </row>
    <row r="16">
      <c r="A16" s="309"/>
      <c r="B16" s="227"/>
      <c r="C16" s="309"/>
      <c r="D16" s="309"/>
      <c r="E16" s="309"/>
      <c r="F16" s="309"/>
      <c r="G16" s="201" t="str">
        <f>IF(CalVial[[#This Row],[Body mass (g)]]="","",IFERROR(CalVial[[#This Row],[Body mass (g)]]/((Calibrations!ca_rho_0+Calibrations!ca_rho_k*CalVial[[#This Row],[Temp (°C)]])/1000),""))</f>
        <v/>
      </c>
      <c r="H16" s="201" t="str">
        <f>IF(CalVial[[#This Row],[Body mass (g)]]="","",IFERROR((CalVial[[#This Row],[Body mass (g)]]/((Calibrations!ca_rho_0+Calibrations!ca_rho_k*CalVial[[#This Row],[Temp (°C)]])/1000))*1000/Calibrations!A_x,""))</f>
        <v/>
      </c>
      <c r="I16" s="201" t="str">
        <f>IFERROR(INDEX(ReactorTypeList,MATCH(CalVial[[#This Row],[Reactor]],ReactorList,0)),"")</f>
        <v/>
      </c>
      <c r="J16" s="309"/>
      <c r="K16" s="309"/>
      <c r="L16" s="201" t="str">
        <f>IF(CalVial[[#This Row],[Headspace mass (g)]]="","",IFERROR(CalVial[[#This Row],[Headspace mass (g)]]/((Calibrations!ca_rho_0+Calibrations!ca_rho_k*CalVial[[#This Row],[Temp (°C)]])/1000),""))</f>
        <v/>
      </c>
      <c r="M16" s="309"/>
      <c r="N16" s="201" t="str">
        <f>IF(CalVial[[#This Row],[Working-fill mass (g)]]="","",IFERROR(CalVial[[#This Row],[Working-fill mass (g)]]/((Calibrations!ca_rho_0+Calibrations!ca_rho_k*CalVial[[#This Row],[Temp (°C)]])/1000),""))</f>
        <v/>
      </c>
    </row>
    <row r="17">
      <c r="A17" s="309"/>
      <c r="B17" s="227"/>
      <c r="C17" s="309"/>
      <c r="D17" s="309"/>
      <c r="E17" s="309"/>
      <c r="F17" s="309"/>
      <c r="G17" s="201" t="str">
        <f>IF(CalVial[[#This Row],[Body mass (g)]]="","",IFERROR(CalVial[[#This Row],[Body mass (g)]]/((Calibrations!ca_rho_0+Calibrations!ca_rho_k*CalVial[[#This Row],[Temp (°C)]])/1000),""))</f>
        <v/>
      </c>
      <c r="H17" s="201" t="str">
        <f>IF(CalVial[[#This Row],[Body mass (g)]]="","",IFERROR((CalVial[[#This Row],[Body mass (g)]]/((Calibrations!ca_rho_0+Calibrations!ca_rho_k*CalVial[[#This Row],[Temp (°C)]])/1000))*1000/Calibrations!A_x,""))</f>
        <v/>
      </c>
      <c r="I17" s="201" t="str">
        <f>IFERROR(INDEX(ReactorTypeList,MATCH(CalVial[[#This Row],[Reactor]],ReactorList,0)),"")</f>
        <v/>
      </c>
      <c r="J17" s="309"/>
      <c r="K17" s="309"/>
      <c r="L17" s="201" t="str">
        <f>IF(CalVial[[#This Row],[Headspace mass (g)]]="","",IFERROR(CalVial[[#This Row],[Headspace mass (g)]]/((Calibrations!ca_rho_0+Calibrations!ca_rho_k*CalVial[[#This Row],[Temp (°C)]])/1000),""))</f>
        <v/>
      </c>
      <c r="M17" s="309"/>
      <c r="N17" s="201" t="str">
        <f>IF(CalVial[[#This Row],[Working-fill mass (g)]]="","",IFERROR(CalVial[[#This Row],[Working-fill mass (g)]]/((Calibrations!ca_rho_0+Calibrations!ca_rho_k*CalVial[[#This Row],[Temp (°C)]])/1000),""))</f>
        <v/>
      </c>
    </row>
    <row r="18">
      <c r="A18" s="309"/>
      <c r="B18" s="227"/>
      <c r="C18" s="309"/>
      <c r="D18" s="309"/>
      <c r="E18" s="309"/>
      <c r="F18" s="309"/>
      <c r="G18" s="201" t="str">
        <f>IF(CalVial[[#This Row],[Body mass (g)]]="","",IFERROR(CalVial[[#This Row],[Body mass (g)]]/((Calibrations!ca_rho_0+Calibrations!ca_rho_k*CalVial[[#This Row],[Temp (°C)]])/1000),""))</f>
        <v/>
      </c>
      <c r="H18" s="201" t="str">
        <f>IF(CalVial[[#This Row],[Body mass (g)]]="","",IFERROR((CalVial[[#This Row],[Body mass (g)]]/((Calibrations!ca_rho_0+Calibrations!ca_rho_k*CalVial[[#This Row],[Temp (°C)]])/1000))*1000/Calibrations!A_x,""))</f>
        <v/>
      </c>
      <c r="I18" s="201" t="str">
        <f>IFERROR(INDEX(ReactorTypeList,MATCH(CalVial[[#This Row],[Reactor]],ReactorList,0)),"")</f>
        <v/>
      </c>
      <c r="J18" s="309"/>
      <c r="K18" s="309"/>
      <c r="L18" s="201" t="str">
        <f>IF(CalVial[[#This Row],[Headspace mass (g)]]="","",IFERROR(CalVial[[#This Row],[Headspace mass (g)]]/((Calibrations!ca_rho_0+Calibrations!ca_rho_k*CalVial[[#This Row],[Temp (°C)]])/1000),""))</f>
        <v/>
      </c>
      <c r="M18" s="309"/>
      <c r="N18" s="201" t="str">
        <f>IF(CalVial[[#This Row],[Working-fill mass (g)]]="","",IFERROR(CalVial[[#This Row],[Working-fill mass (g)]]/((Calibrations!ca_rho_0+Calibrations!ca_rho_k*CalVial[[#This Row],[Temp (°C)]])/1000),""))</f>
        <v/>
      </c>
    </row>
  </sheetData>
  <dataValidations count="2">
    <dataValidation type="list" allowBlank="1" showErrorMessage="1" errorTitle="Invalid value" error="Choose from the list." sqref="C11:C18">
      <formula1>ReactorList</formula1>
    </dataValidation>
    <dataValidation type="list" allowBlank="1" showErrorMessage="1" errorTitle="Invalid value" error="Choose from the list." sqref="J11:J18">
      <formula1>"y,n"</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SINTER POROSITY  (sparger frit grade)</t>
        </is>
      </c>
      <c r="B1" s="263"/>
      <c r="C1" s="263"/>
      <c r="D1" s="263"/>
      <c r="E1" s="263"/>
      <c r="F1" s="263"/>
      <c r="G1" s="263"/>
      <c r="H1" s="263"/>
    </row>
    <row r="2">
      <c r="A2" s="243" t="str">
        <f>HYPERLINK("https://github.com/amy-bo/electroPioreactor/blob/AEP02/Media/protocols/sinter-porosity.md","Protocol (opens on GitHub)")</f>
        <v>Protocol (opens on GitHub)</v>
      </c>
    </row>
    <row r="3">
      <c r="A3" s="269" t="inlineStr">
        <is>
          <t xml:space="preserve">Value in use: the bubble points of the most recent included runs for the active reactor are averaged first (cal_bp) and then graded once (cal_sinter), so conflicting runs never average into a fractional grade; a pore size outside the listed DURAN classes is reported and the model keeps its default.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porosity grade</t>
        </is>
      </c>
      <c r="C5" s="265" t="inlineStr">
        <is>
          <t xml:space="preserve">0-5</t>
        </is>
      </c>
      <c r="D5" s="201" t="str">
        <f>cal_sinter</f>
        <v>no included runs — model uses its default</v>
      </c>
    </row>
    <row r="6">
      <c r="A6" s="265" t="inlineStr">
        <is>
          <t xml:space="preserve">Value in use - bubble point (mean of the latest included runs)</t>
        </is>
      </c>
      <c r="C6" s="265" t="inlineStr">
        <is>
          <t xml:space="preserve">kPa</t>
        </is>
      </c>
      <c r="D6" s="201" t="str">
        <f>Calibrations!cal_bp</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Bubble point (kPa)</t>
        </is>
      </c>
      <c r="E8" s="264" t="inlineStr">
        <is>
          <t xml:space="preserve">Grade (computed)</t>
        </is>
      </c>
      <c r="F8" s="264" t="inlineStr">
        <is>
          <t xml:space="preserve">Type (auto)</t>
        </is>
      </c>
      <c r="G8" s="264" t="inlineStr">
        <is>
          <t xml:space="preserve">Include?</t>
        </is>
      </c>
      <c r="H8" s="264" t="inlineStr">
        <is>
          <t xml:space="preserve">Notes</t>
        </is>
      </c>
    </row>
    <row r="9">
      <c r="A9" s="309"/>
      <c r="B9" s="227"/>
      <c r="C9" s="309"/>
      <c r="D9" s="309"/>
      <c r="E9"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9" s="201" t="str">
        <f>IFERROR(INDEX(ReactorTypeList,MATCH(CalSinter[[#This Row],[Reactor]],ReactorList,0)),"")</f>
        <v/>
      </c>
      <c r="G9" s="309"/>
      <c r="H9" s="309"/>
    </row>
    <row r="10">
      <c r="A10" s="309"/>
      <c r="B10" s="227"/>
      <c r="C10" s="309"/>
      <c r="D10" s="309"/>
      <c r="E10"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0" s="277" t="str">
        <f>IFERROR(INDEX(ReactorTypeList,MATCH(CalSinter[[#This Row],[Reactor]],ReactorList,0)),"")</f>
        <v/>
      </c>
      <c r="G10" s="309"/>
      <c r="H10" s="309"/>
    </row>
    <row r="11">
      <c r="A11" s="309"/>
      <c r="B11" s="227"/>
      <c r="C11" s="309"/>
      <c r="D11" s="309"/>
      <c r="E11"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1" s="277" t="str">
        <f>IFERROR(INDEX(ReactorTypeList,MATCH(CalSinter[[#This Row],[Reactor]],ReactorList,0)),"")</f>
        <v/>
      </c>
      <c r="G11" s="309"/>
      <c r="H11" s="309"/>
    </row>
    <row r="12">
      <c r="A12" s="309"/>
      <c r="B12" s="227"/>
      <c r="C12" s="309"/>
      <c r="D12" s="309"/>
      <c r="E12"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2" s="277" t="str">
        <f>IFERROR(INDEX(ReactorTypeList,MATCH(CalSinter[[#This Row],[Reactor]],ReactorList,0)),"")</f>
        <v/>
      </c>
      <c r="G12" s="309"/>
      <c r="H12" s="309"/>
    </row>
    <row r="13">
      <c r="A13" s="309"/>
      <c r="B13" s="227"/>
      <c r="C13" s="309"/>
      <c r="D13" s="309"/>
      <c r="E13"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3" s="277" t="str">
        <f>IFERROR(INDEX(ReactorTypeList,MATCH(CalSinter[[#This Row],[Reactor]],ReactorList,0)),"")</f>
        <v/>
      </c>
      <c r="G13" s="309"/>
      <c r="H13" s="309"/>
    </row>
    <row r="14">
      <c r="A14" s="309"/>
      <c r="B14" s="227"/>
      <c r="C14" s="309"/>
      <c r="D14" s="309"/>
      <c r="E14"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4" s="201" t="str">
        <f>IFERROR(INDEX(ReactorTypeList,MATCH(CalSinter[[#This Row],[Reactor]],ReactorList,0)),"")</f>
        <v/>
      </c>
      <c r="G14" s="309"/>
      <c r="H14" s="309"/>
    </row>
    <row r="15">
      <c r="A15" s="309"/>
      <c r="B15" s="227"/>
      <c r="C15" s="309"/>
      <c r="D15" s="309"/>
      <c r="E15"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5" s="201" t="str">
        <f>IFERROR(INDEX(ReactorTypeList,MATCH(CalSinter[[#This Row],[Reactor]],ReactorList,0)),"")</f>
        <v/>
      </c>
      <c r="G15" s="309"/>
      <c r="H15" s="309"/>
    </row>
    <row r="16">
      <c r="A16" s="309"/>
      <c r="B16" s="227"/>
      <c r="C16" s="309"/>
      <c r="D16" s="309"/>
      <c r="E16"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6" s="201" t="str">
        <f>IFERROR(INDEX(ReactorTypeList,MATCH(CalSinter[[#This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sheetPr>
    <tabColor rgb="FFA5A5A5"/>
  </sheetPr>
  <dimension ref="A1:I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9" width="15" customWidth="1"/>
  </cols>
  <sheetData>
    <row r="1">
      <c r="A1" s="263" t="inlineStr">
        <is>
          <t xml:space="preserve">CALIBRATION LOG – DISSOLVED-OXYGEN THRESHOLDS  (per organism)</t>
        </is>
      </c>
      <c r="B1" s="263"/>
      <c r="C1" s="263"/>
      <c r="D1" s="263"/>
      <c r="E1" s="263"/>
      <c r="F1" s="263"/>
      <c r="G1" s="263"/>
      <c r="H1" s="263"/>
      <c r="I1" s="263"/>
    </row>
    <row r="2">
      <c r="A2" s="243" t="str">
        <f>HYPERLINK("https://github.com/amy-bo/electroPioreactor/blob/AEP02/Media/protocols/dissolved-oxygen.md","Protocol (opens on GitHub)")</f>
        <v>Protocol (opens on GitHub)</v>
      </c>
    </row>
    <row r="3">
      <c r="A3" s="269" t="inlineStr">
        <is>
          <t xml:space="preserve">Value in use: average of the included values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minimum DO</t>
        </is>
      </c>
      <c r="C5" s="265" t="inlineStr">
        <is>
          <t xml:space="preserve">mg/L</t>
        </is>
      </c>
      <c r="D5" s="201" t="str">
        <f>cal_DO_min</f>
        <v>no included runs — model uses its default</v>
      </c>
    </row>
    <row r="6">
      <c r="A6" s="265" t="inlineStr">
        <is>
          <t xml:space="preserve">Value in use - optimum DO</t>
        </is>
      </c>
      <c r="C6" s="265" t="inlineStr">
        <is>
          <t xml:space="preserve">mg/L</t>
        </is>
      </c>
      <c r="D6" s="201" t="str">
        <f>cal_DO_opt</f>
        <v>no included runs — model uses its default</v>
      </c>
    </row>
    <row r="7">
      <c r="A7" s="265" t="inlineStr">
        <is>
          <t xml:space="preserve">Value in use - impairment DO</t>
        </is>
      </c>
      <c r="C7" s="265" t="inlineStr">
        <is>
          <t xml:space="preserve">mg/L</t>
        </is>
      </c>
      <c r="D7" s="201" t="str">
        <f>cal_DO_impair</f>
        <v>no included runs — model uses its default</v>
      </c>
    </row>
    <row r="8">
      <c r="A8" s="265" t="inlineStr">
        <is>
          <t xml:space="preserve">Value in use - toxic DO</t>
        </is>
      </c>
      <c r="C8" s="265" t="inlineStr">
        <is>
          <t xml:space="preserve">mg/L</t>
        </is>
      </c>
      <c r="D8" s="201" t="str">
        <f>cal_DO_toxic</f>
        <v>no included runs — model uses its default</v>
      </c>
    </row>
    <row r="10" ht="45" customHeight="1">
      <c r="A10" s="264" t="inlineStr">
        <is>
          <t xml:space="preserve">Researcher</t>
        </is>
      </c>
      <c r="B10" s="264" t="inlineStr">
        <is>
          <t xml:space="preserve">Date</t>
        </is>
      </c>
      <c r="C10" s="264" t="inlineStr">
        <is>
          <t xml:space="preserve">Organism</t>
        </is>
      </c>
      <c r="D10" s="264" t="inlineStr">
        <is>
          <t xml:space="preserve">Min DO (mg/L)</t>
        </is>
      </c>
      <c r="E10" s="264" t="inlineStr">
        <is>
          <t xml:space="preserve">Optimum DO (mg/L)</t>
        </is>
      </c>
      <c r="F10" s="264" t="inlineStr">
        <is>
          <t xml:space="preserve">Impairment DO (mg/L)</t>
        </is>
      </c>
      <c r="G10" s="264" t="inlineStr">
        <is>
          <t xml:space="preserve">Toxic DO (mg/L)</t>
        </is>
      </c>
      <c r="H10" s="264" t="inlineStr">
        <is>
          <t xml:space="preserve">Include?</t>
        </is>
      </c>
      <c r="I10" s="264" t="inlineStr">
        <is>
          <t xml:space="preserve">Notes</t>
        </is>
      </c>
    </row>
    <row r="11">
      <c r="A11" s="309"/>
      <c r="B11" s="227"/>
      <c r="C11" s="309"/>
      <c r="D11" s="309"/>
      <c r="E11" s="309"/>
      <c r="F11" s="309"/>
      <c r="G11" s="309"/>
      <c r="H11" s="309"/>
      <c r="I11" s="309"/>
    </row>
    <row r="12">
      <c r="A12" s="309"/>
      <c r="B12" s="227"/>
      <c r="C12" s="309"/>
      <c r="D12" s="309"/>
      <c r="E12" s="309"/>
      <c r="F12" s="309"/>
      <c r="G12" s="309"/>
      <c r="H12" s="309"/>
      <c r="I12" s="309"/>
    </row>
    <row r="13">
      <c r="A13" s="309"/>
      <c r="B13" s="227"/>
      <c r="C13" s="309"/>
      <c r="D13" s="309"/>
      <c r="E13" s="309"/>
      <c r="F13" s="309"/>
      <c r="G13" s="309"/>
      <c r="H13" s="309"/>
      <c r="I13" s="309"/>
    </row>
    <row r="14">
      <c r="A14" s="309"/>
      <c r="B14" s="227"/>
      <c r="C14" s="309"/>
      <c r="D14" s="309"/>
      <c r="E14" s="309"/>
      <c r="F14" s="309"/>
      <c r="G14" s="309"/>
      <c r="H14" s="309"/>
      <c r="I14" s="309"/>
    </row>
    <row r="15">
      <c r="A15" s="309"/>
      <c r="B15" s="227"/>
      <c r="C15" s="309"/>
      <c r="D15" s="309"/>
      <c r="E15" s="309"/>
      <c r="F15" s="309"/>
      <c r="G15" s="309"/>
      <c r="H15" s="309"/>
      <c r="I15" s="309"/>
    </row>
    <row r="16">
      <c r="A16" s="309"/>
      <c r="B16" s="227"/>
      <c r="C16" s="309"/>
      <c r="D16" s="309"/>
      <c r="E16" s="309"/>
      <c r="F16" s="309"/>
      <c r="G16" s="309"/>
      <c r="H16" s="309"/>
      <c r="I16" s="309"/>
    </row>
    <row r="17">
      <c r="A17" s="309"/>
      <c r="B17" s="227"/>
      <c r="C17" s="309"/>
      <c r="D17" s="309"/>
      <c r="E17" s="309"/>
      <c r="F17" s="309"/>
      <c r="G17" s="309"/>
      <c r="H17" s="309"/>
      <c r="I17" s="309"/>
    </row>
    <row r="18">
      <c r="A18" s="309"/>
      <c r="B18" s="227"/>
      <c r="C18" s="309"/>
      <c r="D18" s="309"/>
      <c r="E18" s="309"/>
      <c r="F18" s="309"/>
      <c r="G18" s="309"/>
      <c r="H18" s="309"/>
      <c r="I18" s="309"/>
    </row>
  </sheetData>
  <dataValidations count="2">
    <dataValidation type="list" allowBlank="1" showErrorMessage="1" errorTitle="Invalid value" error="Choose from the list." sqref="H11:H18">
      <formula1>"y,n"</formula1>
    </dataValidation>
    <dataValidation type="list" allowBlank="1" showErrorMessage="1" errorTitle="Invalid value" error="Choose from the list." sqref="C11:C18">
      <formula1>OrganismList</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sheetPr>
    <tabColor rgb="FFA5A5A5"/>
  </sheetPr>
  <dimension ref="A1:J17"/>
  <sheetViews>
    <sheetView workbookViewId="0">
      <pane ySplit="9" topLeftCell="A10" activePane="bottomLeft" state="frozen"/>
      <selection pane="bottomLeft" activeCell="A10" sqref="A10"/>
    </sheetView>
  </sheetViews>
  <sheetFormatPr defaultRowHeight="15"/>
  <cols>
    <col min="1" max="1" width="16" customWidth="1"/>
    <col min="2" max="2" width="12" customWidth="1"/>
    <col min="3" max="10" width="15" customWidth="1"/>
  </cols>
  <sheetData>
    <row r="1">
      <c r="A1" s="263" t="inlineStr">
        <is>
          <t xml:space="preserve">CALIBRATION LOG – KNALLGAS UPTAKE RATIO  (per organism)</t>
        </is>
      </c>
      <c r="B1" s="263"/>
      <c r="C1" s="263"/>
      <c r="D1" s="263"/>
      <c r="E1" s="263"/>
      <c r="F1" s="263"/>
      <c r="G1" s="263"/>
      <c r="H1" s="263"/>
      <c r="I1" s="263"/>
      <c r="J1" s="263"/>
    </row>
    <row r="2">
      <c r="A2" s="243" t="str">
        <f>HYPERLINK("https://github.com/amy-bo/electroPioreactor/blob/AEP02/Media/protocols/knallgas-stoichiometry.md","Protocol (opens on GitHub)")</f>
        <v>Protocol (opens on GitHub)</v>
      </c>
    </row>
    <row r="3">
      <c r="A3"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H2</t>
        </is>
      </c>
      <c r="C5" s="265" t="inlineStr">
        <is>
          <t xml:space="preserve">parts</t>
        </is>
      </c>
      <c r="D5" s="201" t="str">
        <f>cal_knall_H2</f>
        <v>no included runs — model uses its default</v>
      </c>
    </row>
    <row r="6">
      <c r="A6" s="265" t="inlineStr">
        <is>
          <t xml:space="preserve">Value in use - O2</t>
        </is>
      </c>
      <c r="C6" s="265" t="inlineStr">
        <is>
          <t xml:space="preserve">parts</t>
        </is>
      </c>
      <c r="D6" s="201" t="str">
        <f>cal_knall_O2</f>
        <v>no included runs — model uses its default</v>
      </c>
    </row>
    <row r="7">
      <c r="A7" s="265" t="inlineStr">
        <is>
          <t xml:space="preserve">Value in use - CO2</t>
        </is>
      </c>
      <c r="C7" s="265" t="inlineStr">
        <is>
          <t xml:space="preserve">parts</t>
        </is>
      </c>
      <c r="D7" s="201" t="str">
        <f>cal_knall_CO2</f>
        <v>no included runs — model uses its default</v>
      </c>
    </row>
    <row r="9" ht="45" customHeight="1">
      <c r="A9" s="264" t="inlineStr">
        <is>
          <t xml:space="preserve">Researcher</t>
        </is>
      </c>
      <c r="B9" s="264" t="inlineStr">
        <is>
          <t xml:space="preserve">Date</t>
        </is>
      </c>
      <c r="C9" s="264" t="inlineStr">
        <is>
          <t xml:space="preserve">Organism</t>
        </is>
      </c>
      <c r="D9" s="264" t="inlineStr">
        <is>
          <t xml:space="preserve">H2</t>
        </is>
      </c>
      <c r="E9" s="264" t="inlineStr">
        <is>
          <t xml:space="preserve">O2</t>
        </is>
      </c>
      <c r="F9" s="264" t="inlineStr">
        <is>
          <t xml:space="preserve">CO2</t>
        </is>
      </c>
      <c r="G9" s="264" t="inlineStr">
        <is>
          <t xml:space="preserve">Include?</t>
        </is>
      </c>
      <c r="H9" s="264" t="inlineStr">
        <is>
          <t xml:space="preserve">Notes</t>
        </is>
      </c>
      <c r="I9" s="264" t="inlineStr">
        <is>
          <t xml:space="preserve">O₂ per H₂ (computed)</t>
        </is>
      </c>
      <c r="J9" s="264" t="inlineStr">
        <is>
          <t xml:space="preserve">CO₂ per H₂ (computed)</t>
        </is>
      </c>
    </row>
    <row r="10">
      <c r="A10" s="309"/>
      <c r="B10" s="227"/>
      <c r="C10" s="309"/>
      <c r="D10" s="309"/>
      <c r="E10" s="309"/>
      <c r="F10" s="309"/>
      <c r="G10" s="309"/>
      <c r="H10" s="309"/>
      <c r="I10" s="201" t="str">
        <f>IF(OR(CalKnallgas[[#This Row],[H2]]="",CalKnallgas[[#This Row],[O2]]=""),"",IFERROR(IF(CalKnallgas[[#This Row],[H2]]&gt;0,CalKnallgas[[#This Row],[O2]]/CalKnallgas[[#This Row],[H2]],""),""))</f>
        <v/>
      </c>
      <c r="J10" s="201" t="str">
        <f>IF(OR(CalKnallgas[[#This Row],[H2]]="",CalKnallgas[[#This Row],[CO2]]=""),"",IFERROR(IF(CalKnallgas[[#This Row],[H2]]&gt;0,CalKnallgas[[#This Row],[CO2]]/CalKnallgas[[#This Row],[H2]],""),""))</f>
        <v/>
      </c>
    </row>
    <row r="11">
      <c r="A11" s="309"/>
      <c r="B11" s="227"/>
      <c r="C11" s="309"/>
      <c r="D11" s="309"/>
      <c r="E11" s="309"/>
      <c r="F11" s="309"/>
      <c r="G11" s="309"/>
      <c r="H11" s="309"/>
      <c r="I11" s="201" t="str">
        <f>IF(OR(CalKnallgas[[#This Row],[H2]]="",CalKnallgas[[#This Row],[O2]]=""),"",IFERROR(IF(CalKnallgas[[#This Row],[H2]]&gt;0,CalKnallgas[[#This Row],[O2]]/CalKnallgas[[#This Row],[H2]],""),""))</f>
        <v/>
      </c>
      <c r="J11" s="201" t="str">
        <f>IF(OR(CalKnallgas[[#This Row],[H2]]="",CalKnallgas[[#This Row],[CO2]]=""),"",IFERROR(IF(CalKnallgas[[#This Row],[H2]]&gt;0,CalKnallgas[[#This Row],[CO2]]/CalKnallgas[[#This Row],[H2]],""),""))</f>
        <v/>
      </c>
    </row>
    <row r="12">
      <c r="A12" s="309"/>
      <c r="B12" s="227"/>
      <c r="C12" s="309"/>
      <c r="D12" s="309"/>
      <c r="E12" s="309"/>
      <c r="F12" s="309"/>
      <c r="G12" s="309"/>
      <c r="H12" s="309"/>
      <c r="I12" s="201" t="str">
        <f>IF(OR(CalKnallgas[[#This Row],[H2]]="",CalKnallgas[[#This Row],[O2]]=""),"",IFERROR(IF(CalKnallgas[[#This Row],[H2]]&gt;0,CalKnallgas[[#This Row],[O2]]/CalKnallgas[[#This Row],[H2]],""),""))</f>
        <v/>
      </c>
      <c r="J12" s="201" t="str">
        <f>IF(OR(CalKnallgas[[#This Row],[H2]]="",CalKnallgas[[#This Row],[CO2]]=""),"",IFERROR(IF(CalKnallgas[[#This Row],[H2]]&gt;0,CalKnallgas[[#This Row],[CO2]]/CalKnallgas[[#This Row],[H2]],""),""))</f>
        <v/>
      </c>
    </row>
    <row r="13">
      <c r="A13" s="309"/>
      <c r="B13" s="227"/>
      <c r="C13" s="309"/>
      <c r="D13" s="309"/>
      <c r="E13" s="309"/>
      <c r="F13" s="309"/>
      <c r="G13" s="309"/>
      <c r="H13" s="309"/>
      <c r="I13" s="201" t="str">
        <f>IF(OR(CalKnallgas[[#This Row],[H2]]="",CalKnallgas[[#This Row],[O2]]=""),"",IFERROR(IF(CalKnallgas[[#This Row],[H2]]&gt;0,CalKnallgas[[#This Row],[O2]]/CalKnallgas[[#This Row],[H2]],""),""))</f>
        <v/>
      </c>
      <c r="J13" s="201" t="str">
        <f>IF(OR(CalKnallgas[[#This Row],[H2]]="",CalKnallgas[[#This Row],[CO2]]=""),"",IFERROR(IF(CalKnallgas[[#This Row],[H2]]&gt;0,CalKnallgas[[#This Row],[CO2]]/CalKnallgas[[#This Row],[H2]],""),""))</f>
        <v/>
      </c>
    </row>
    <row r="14">
      <c r="A14" s="309"/>
      <c r="B14" s="227"/>
      <c r="C14" s="309"/>
      <c r="D14" s="309"/>
      <c r="E14" s="309"/>
      <c r="F14" s="309"/>
      <c r="G14" s="309"/>
      <c r="H14" s="309"/>
      <c r="I14" s="201" t="str">
        <f>IF(OR(CalKnallgas[[#This Row],[H2]]="",CalKnallgas[[#This Row],[O2]]=""),"",IFERROR(IF(CalKnallgas[[#This Row],[H2]]&gt;0,CalKnallgas[[#This Row],[O2]]/CalKnallgas[[#This Row],[H2]],""),""))</f>
        <v/>
      </c>
      <c r="J14" s="201" t="str">
        <f>IF(OR(CalKnallgas[[#This Row],[H2]]="",CalKnallgas[[#This Row],[CO2]]=""),"",IFERROR(IF(CalKnallgas[[#This Row],[H2]]&gt;0,CalKnallgas[[#This Row],[CO2]]/CalKnallgas[[#This Row],[H2]],""),""))</f>
        <v/>
      </c>
    </row>
    <row r="15">
      <c r="A15" s="309"/>
      <c r="B15" s="227"/>
      <c r="C15" s="309"/>
      <c r="D15" s="309"/>
      <c r="E15" s="309"/>
      <c r="F15" s="309"/>
      <c r="G15" s="309"/>
      <c r="H15" s="309"/>
      <c r="I15" s="201" t="str">
        <f>IF(OR(CalKnallgas[[#This Row],[H2]]="",CalKnallgas[[#This Row],[O2]]=""),"",IFERROR(IF(CalKnallgas[[#This Row],[H2]]&gt;0,CalKnallgas[[#This Row],[O2]]/CalKnallgas[[#This Row],[H2]],""),""))</f>
        <v/>
      </c>
      <c r="J15" s="201" t="str">
        <f>IF(OR(CalKnallgas[[#This Row],[H2]]="",CalKnallgas[[#This Row],[CO2]]=""),"",IFERROR(IF(CalKnallgas[[#This Row],[H2]]&gt;0,CalKnallgas[[#This Row],[CO2]]/CalKnallgas[[#This Row],[H2]],""),""))</f>
        <v/>
      </c>
    </row>
    <row r="16">
      <c r="A16" s="309"/>
      <c r="B16" s="227"/>
      <c r="C16" s="309"/>
      <c r="D16" s="309"/>
      <c r="E16" s="309"/>
      <c r="F16" s="309"/>
      <c r="G16" s="309"/>
      <c r="H16" s="309"/>
      <c r="I16" s="201" t="str">
        <f>IF(OR(CalKnallgas[[#This Row],[H2]]="",CalKnallgas[[#This Row],[O2]]=""),"",IFERROR(IF(CalKnallgas[[#This Row],[H2]]&gt;0,CalKnallgas[[#This Row],[O2]]/CalKnallgas[[#This Row],[H2]],""),""))</f>
        <v/>
      </c>
      <c r="J16" s="201" t="str">
        <f>IF(OR(CalKnallgas[[#This Row],[H2]]="",CalKnallgas[[#This Row],[CO2]]=""),"",IFERROR(IF(CalKnallgas[[#This Row],[H2]]&gt;0,CalKnallgas[[#This Row],[CO2]]/CalKnallgas[[#This Row],[H2]],""),""))</f>
        <v/>
      </c>
    </row>
    <row r="17">
      <c r="A17" s="309"/>
      <c r="B17" s="227"/>
      <c r="C17" s="309"/>
      <c r="D17" s="309"/>
      <c r="E17" s="309"/>
      <c r="F17" s="309"/>
      <c r="G17" s="309"/>
      <c r="H17" s="309"/>
      <c r="I17" s="201" t="str">
        <f>IF(OR(CalKnallgas[[#This Row],[H2]]="",CalKnallgas[[#This Row],[O2]]=""),"",IFERROR(IF(CalKnallgas[[#This Row],[H2]]&gt;0,CalKnallgas[[#This Row],[O2]]/CalKnallgas[[#This Row],[H2]],""),""))</f>
        <v/>
      </c>
      <c r="J17" s="201" t="str">
        <f>IF(OR(CalKnallgas[[#This Row],[H2]]="",CalKnallgas[[#This Row],[CO2]]=""),"",IFERROR(IF(CalKnallgas[[#This Row],[H2]]&gt;0,CalKnallgas[[#This Row],[CO2]]/CalKnallgas[[#This Row],[H2]],""),""))</f>
        <v/>
      </c>
    </row>
  </sheetData>
  <dataValidations count="2">
    <dataValidation type="list" allowBlank="1" showErrorMessage="1" errorTitle="Invalid value" error="Choose from the list." sqref="G10:G17">
      <formula1>"y,n"</formula1>
    </dataValidation>
    <dataValidation type="list" allowBlank="1" showErrorMessage="1" errorTitle="Invalid value" error="Choose from the list." sqref="C10:C17">
      <formula1>OrganismList</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sheetPr>
    <tabColor rgb="FFA5A5A5"/>
  </sheetPr>
  <dimension ref="A1:G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7" width="15" customWidth="1"/>
  </cols>
  <sheetData>
    <row r="1">
      <c r="A1" s="263" t="inlineStr">
        <is>
          <t xml:space="preserve">CALIBRATION LOG – CURRENT-DENSITY TOLERANCE  (per organism)</t>
        </is>
      </c>
      <c r="B1" s="263"/>
      <c r="C1" s="263"/>
      <c r="D1" s="263"/>
      <c r="E1" s="263"/>
      <c r="F1" s="263"/>
      <c r="G1" s="263"/>
    </row>
    <row r="2">
      <c r="A2" s="243" t="str">
        <f>HYPERLINK("https://github.com/amy-bo/electroPioreactor/blob/AEP02/Media/protocols/current-density-screen.md","Protocol (opens on GitHub)")</f>
        <v>Protocol (opens on GitHub)</v>
      </c>
    </row>
    <row r="3">
      <c r="A3" s="269" t="inlineStr">
        <is>
          <t xml:space="preserve">Value in use: average of the included screen results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optimum j</t>
        </is>
      </c>
      <c r="C5" s="265" t="inlineStr">
        <is>
          <t xml:space="preserve">mA/cm²</t>
        </is>
      </c>
      <c r="D5" s="201" t="str">
        <f>cal_j_opt</f>
        <v>no included runs — model uses its default</v>
      </c>
    </row>
    <row r="6">
      <c r="A6" s="265" t="inlineStr">
        <is>
          <t xml:space="preserve">Value in use - ceiling j</t>
        </is>
      </c>
      <c r="C6" s="265" t="inlineStr">
        <is>
          <t xml:space="preserve">mA/cm²</t>
        </is>
      </c>
      <c r="D6" s="201" t="str">
        <f>cal_j_ceiling</f>
        <v>no included runs — model uses its default</v>
      </c>
    </row>
    <row r="8" ht="45" customHeight="1">
      <c r="A8" s="264" t="inlineStr">
        <is>
          <t xml:space="preserve">Researcher</t>
        </is>
      </c>
      <c r="B8" s="264" t="inlineStr">
        <is>
          <t xml:space="preserve">Date</t>
        </is>
      </c>
      <c r="C8" s="264" t="inlineStr">
        <is>
          <t xml:space="preserve">Organism</t>
        </is>
      </c>
      <c r="D8" s="264" t="inlineStr">
        <is>
          <t xml:space="preserve">j optimum (mA/cm²)</t>
        </is>
      </c>
      <c r="E8" s="264" t="inlineStr">
        <is>
          <t xml:space="preserve">j ceiling (mA/cm²)</t>
        </is>
      </c>
      <c r="F8" s="264" t="inlineStr">
        <is>
          <t xml:space="preserve">Include?</t>
        </is>
      </c>
      <c r="G8" s="264" t="inlineStr">
        <is>
          <t xml:space="preserve">Notes</t>
        </is>
      </c>
    </row>
    <row r="9">
      <c r="A9" s="309"/>
      <c r="B9" s="227"/>
      <c r="C9" s="309"/>
      <c r="D9" s="309"/>
      <c r="E9" s="309"/>
      <c r="F9" s="309"/>
      <c r="G9" s="309"/>
    </row>
    <row r="10">
      <c r="A10" s="309"/>
      <c r="B10" s="227"/>
      <c r="C10" s="309"/>
      <c r="D10" s="309"/>
      <c r="E10" s="309"/>
      <c r="F10" s="309"/>
      <c r="G10" s="309"/>
    </row>
    <row r="11">
      <c r="A11" s="309"/>
      <c r="B11" s="227"/>
      <c r="C11" s="309"/>
      <c r="D11" s="309"/>
      <c r="E11" s="309"/>
      <c r="F11" s="309"/>
      <c r="G11" s="309"/>
    </row>
    <row r="12">
      <c r="A12" s="309"/>
      <c r="B12" s="227"/>
      <c r="C12" s="309"/>
      <c r="D12" s="309"/>
      <c r="E12" s="309"/>
      <c r="F12" s="309"/>
      <c r="G12" s="309"/>
    </row>
    <row r="13">
      <c r="A13" s="309"/>
      <c r="B13" s="227"/>
      <c r="C13" s="309"/>
      <c r="D13" s="309"/>
      <c r="E13" s="309"/>
      <c r="F13" s="309"/>
      <c r="G13" s="309"/>
    </row>
    <row r="14">
      <c r="A14" s="309"/>
      <c r="B14" s="227"/>
      <c r="C14" s="309"/>
      <c r="D14" s="309"/>
      <c r="E14" s="309"/>
      <c r="F14" s="309"/>
      <c r="G14" s="309"/>
    </row>
    <row r="15">
      <c r="A15" s="309"/>
      <c r="B15" s="227"/>
      <c r="C15" s="309"/>
      <c r="D15" s="309"/>
      <c r="E15" s="309"/>
      <c r="F15" s="309"/>
      <c r="G15" s="309"/>
    </row>
    <row r="16">
      <c r="A16" s="309"/>
      <c r="B16" s="227"/>
      <c r="C16" s="309"/>
      <c r="D16" s="309"/>
      <c r="E16" s="309"/>
      <c r="F16" s="309"/>
      <c r="G16" s="309"/>
    </row>
  </sheetData>
  <dataValidations count="2">
    <dataValidation type="list" allowBlank="1" showErrorMessage="1" errorTitle="Invalid value" error="Choose from the list." sqref="F9:F16">
      <formula1>"y,n"</formula1>
    </dataValidation>
    <dataValidation type="list" allowBlank="1" showErrorMessage="1" errorTitle="Invalid value" error="Choose from the list." sqref="C9:C16">
      <formula1>OrganismList</formula1>
    </dataValidation>
  </dataValidation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sheetPr>
    <tabColor rgb="FFA5A5A5"/>
  </sheetPr>
  <dimension ref="A1:O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5" width="15" customWidth="1"/>
  </cols>
  <sheetData>
    <row r="1">
      <c r="A1" s="263" t="inlineStr">
        <is>
          <t xml:space="preserve">CALIBRATION LOG – ELECTRODE MASS TRANSFER  (ferricyanide limiting current)</t>
        </is>
      </c>
      <c r="B1" s="263"/>
      <c r="C1" s="263"/>
      <c r="D1" s="263"/>
      <c r="E1" s="263"/>
      <c r="F1" s="263"/>
      <c r="G1" s="263"/>
      <c r="H1" s="263"/>
      <c r="I1" s="263"/>
      <c r="J1" s="263"/>
      <c r="K1" s="263"/>
      <c r="L1" s="263"/>
      <c r="M1" s="263"/>
      <c r="N1" s="263"/>
      <c r="O1" s="263"/>
    </row>
    <row r="2">
      <c r="A2" s="243" t="str">
        <f>HYPERLINK("https://github.com/amy-bo/electroPioreactor/blob/AEP02/Media/protocols/electrode-mass-transfer.md","Protocol (opens on GitHub)")</f>
        <v>Protocol (opens on GitHub)</v>
      </c>
    </row>
    <row r="3">
      <c r="A3" s="269" t="inlineStr">
        <is>
          <t xml:space="preserve">Value in use: average O₂-scaled k_m of the included runs for the active reactor and electrode, at the Summary stirrer rate and within the temperature tolerance (km_T_tol, Calibrations) of the Summary temperature; other runs are kept but not used. One k_m serves both electrodes in the model. Feeds Electrochemistry km_O2 (D83).</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k_m O₂</t>
        </is>
      </c>
      <c r="C5" s="265" t="inlineStr">
        <is>
          <t xml:space="preserve">cm/s</t>
        </is>
      </c>
      <c r="D5" s="201" t="str">
        <f>cal_km_O2</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Electrode</t>
        </is>
      </c>
      <c r="E7" s="264" t="inlineStr">
        <is>
          <t xml:space="preserve">Stir rate (rpm)</t>
        </is>
      </c>
      <c r="F7" s="264" t="inlineStr">
        <is>
          <t xml:space="preserve">Temp (°C)</t>
        </is>
      </c>
      <c r="G7" s="264" t="inlineStr">
        <is>
          <t xml:space="preserve">Limiting current (mA)</t>
        </is>
      </c>
      <c r="H7" s="264" t="inlineStr">
        <is>
          <t xml:space="preserve">Electrode area (cm²)</t>
        </is>
      </c>
      <c r="I7" s="264" t="inlineStr">
        <is>
          <t xml:space="preserve">Ferricyanide (mM)</t>
        </is>
      </c>
      <c r="J7" s="264" t="inlineStr">
        <is>
          <t xml:space="preserve">D ferricyanide (m²/s)</t>
        </is>
      </c>
      <c r="K7" s="264" t="inlineStr">
        <is>
          <t xml:space="preserve">k_m ferricyanide (computed, cm/s)</t>
        </is>
      </c>
      <c r="L7" s="264" t="inlineStr">
        <is>
          <t xml:space="preserve">k_m O₂ (computed, cm/s)</t>
        </is>
      </c>
      <c r="M7" s="264" t="inlineStr">
        <is>
          <t xml:space="preserve">Type (auto)</t>
        </is>
      </c>
      <c r="N7" s="264" t="inlineStr">
        <is>
          <t xml:space="preserve">Include?</t>
        </is>
      </c>
      <c r="O7" s="264" t="inlineStr">
        <is>
          <t xml:space="preserve">Notes</t>
        </is>
      </c>
    </row>
    <row r="8">
      <c r="A8" s="309"/>
      <c r="B8" s="227"/>
      <c r="C8" s="309"/>
      <c r="D8" s="309"/>
      <c r="E8" s="309"/>
      <c r="F8" s="309"/>
      <c r="G8" s="309"/>
      <c r="H8" s="309"/>
      <c r="I8" s="309"/>
      <c r="J8" s="309"/>
      <c r="K8" s="201" t="str">
        <f>IF(OR(CalKm[[#This Row],[Limiting current (mA)]]="",CalKm[[#This Row],[Electrode area (cm²)]]="",CalKm[[#This Row],[Ferricyanide (mM)]]=""),"",IFERROR((CalKm[[#This Row],[Limiting current (mA)]]/1000)/(Calibrations!n_e_fcn*Calibrations!F_const*(CalKm[[#This Row],[Electrode area (cm²)]]/10000)*CalKm[[#This Row],[Ferricyanide (mM)]])*100,""))</f>
        <v/>
      </c>
      <c r="L8" s="201" t="str">
        <f>IF(OR(CalKm[[#This Row],[k_m ferricyanide (computed, cm/s)]]="",CalKm[[#This Row],[D ferricyanide (m²/s)]]=""),"",IFERROR(CalKm[[#This Row],[k_m ferricyanide (computed, cm/s)]]*(Calibrations!D_O2/CalKm[[#This Row],[D ferricyanide (m²/s)]])^Calibrations!km_exp,""))</f>
        <v/>
      </c>
      <c r="M8" s="201" t="str">
        <f>IFERROR(INDEX(ReactorTypeList,MATCH(CalKm[[#This Row],[Reactor]],ReactorList,0)),"")</f>
        <v/>
      </c>
      <c r="N8" s="309"/>
      <c r="O8" s="309"/>
    </row>
    <row r="9">
      <c r="A9" s="309"/>
      <c r="B9" s="227"/>
      <c r="C9" s="309"/>
      <c r="D9" s="309"/>
      <c r="E9" s="309"/>
      <c r="F9" s="309"/>
      <c r="G9" s="309"/>
      <c r="H9" s="309"/>
      <c r="I9" s="309"/>
      <c r="J9" s="309"/>
      <c r="K9" s="201" t="str">
        <f>IF(OR(CalKm[[#This Row],[Limiting current (mA)]]="",CalKm[[#This Row],[Electrode area (cm²)]]="",CalKm[[#This Row],[Ferricyanide (mM)]]=""),"",IFERROR((CalKm[[#This Row],[Limiting current (mA)]]/1000)/(Calibrations!n_e_fcn*Calibrations!F_const*(CalKm[[#This Row],[Electrode area (cm²)]]/10000)*CalKm[[#This Row],[Ferricyanide (mM)]])*100,""))</f>
        <v/>
      </c>
      <c r="L9" s="201" t="str">
        <f>IF(OR(CalKm[[#This Row],[k_m ferricyanide (computed, cm/s)]]="",CalKm[[#This Row],[D ferricyanide (m²/s)]]=""),"",IFERROR(CalKm[[#This Row],[k_m ferricyanide (computed, cm/s)]]*(Calibrations!D_O2/CalKm[[#This Row],[D ferricyanide (m²/s)]])^Calibrations!km_exp,""))</f>
        <v/>
      </c>
      <c r="M9" s="201" t="str">
        <f>IFERROR(INDEX(ReactorTypeList,MATCH(CalKm[[#This Row],[Reactor]],ReactorList,0)),"")</f>
        <v/>
      </c>
      <c r="N9" s="309"/>
      <c r="O9" s="309"/>
    </row>
    <row r="10">
      <c r="A10" s="309"/>
      <c r="B10" s="227"/>
      <c r="C10" s="309"/>
      <c r="D10" s="309"/>
      <c r="E10" s="309"/>
      <c r="F10" s="309"/>
      <c r="G10" s="309"/>
      <c r="H10" s="309"/>
      <c r="I10" s="309"/>
      <c r="J10" s="309"/>
      <c r="K10" s="201" t="str">
        <f>IF(OR(CalKm[[#This Row],[Limiting current (mA)]]="",CalKm[[#This Row],[Electrode area (cm²)]]="",CalKm[[#This Row],[Ferricyanide (mM)]]=""),"",IFERROR((CalKm[[#This Row],[Limiting current (mA)]]/1000)/(Calibrations!n_e_fcn*Calibrations!F_const*(CalKm[[#This Row],[Electrode area (cm²)]]/10000)*CalKm[[#This Row],[Ferricyanide (mM)]])*100,""))</f>
        <v/>
      </c>
      <c r="L10" s="201" t="str">
        <f>IF(OR(CalKm[[#This Row],[k_m ferricyanide (computed, cm/s)]]="",CalKm[[#This Row],[D ferricyanide (m²/s)]]=""),"",IFERROR(CalKm[[#This Row],[k_m ferricyanide (computed, cm/s)]]*(Calibrations!D_O2/CalKm[[#This Row],[D ferricyanide (m²/s)]])^Calibrations!km_exp,""))</f>
        <v/>
      </c>
      <c r="M10" s="201" t="str">
        <f>IFERROR(INDEX(ReactorTypeList,MATCH(CalKm[[#This Row],[Reactor]],ReactorList,0)),"")</f>
        <v/>
      </c>
      <c r="N10" s="309"/>
      <c r="O10" s="309"/>
    </row>
    <row r="11">
      <c r="A11" s="309"/>
      <c r="B11" s="227"/>
      <c r="C11" s="309"/>
      <c r="D11" s="309"/>
      <c r="E11" s="309"/>
      <c r="F11" s="309"/>
      <c r="G11" s="309"/>
      <c r="H11" s="309"/>
      <c r="I11" s="309"/>
      <c r="J11" s="309"/>
      <c r="K11" s="201" t="str">
        <f>IF(OR(CalKm[[#This Row],[Limiting current (mA)]]="",CalKm[[#This Row],[Electrode area (cm²)]]="",CalKm[[#This Row],[Ferricyanide (mM)]]=""),"",IFERROR((CalKm[[#This Row],[Limiting current (mA)]]/1000)/(Calibrations!n_e_fcn*Calibrations!F_const*(CalKm[[#This Row],[Electrode area (cm²)]]/10000)*CalKm[[#This Row],[Ferricyanide (mM)]])*100,""))</f>
        <v/>
      </c>
      <c r="L11" s="201" t="str">
        <f>IF(OR(CalKm[[#This Row],[k_m ferricyanide (computed, cm/s)]]="",CalKm[[#This Row],[D ferricyanide (m²/s)]]=""),"",IFERROR(CalKm[[#This Row],[k_m ferricyanide (computed, cm/s)]]*(Calibrations!D_O2/CalKm[[#This Row],[D ferricyanide (m²/s)]])^Calibrations!km_exp,""))</f>
        <v/>
      </c>
      <c r="M11" s="201" t="str">
        <f>IFERROR(INDEX(ReactorTypeList,MATCH(CalKm[[#This Row],[Reactor]],ReactorList,0)),"")</f>
        <v/>
      </c>
      <c r="N11" s="309"/>
      <c r="O11" s="309"/>
    </row>
    <row r="12">
      <c r="A12" s="309"/>
      <c r="B12" s="227"/>
      <c r="C12" s="309"/>
      <c r="D12" s="309"/>
      <c r="E12" s="309"/>
      <c r="F12" s="309"/>
      <c r="G12" s="309"/>
      <c r="H12" s="309"/>
      <c r="I12" s="309"/>
      <c r="J12" s="309"/>
      <c r="K12" s="201" t="str">
        <f>IF(OR(CalKm[[#This Row],[Limiting current (mA)]]="",CalKm[[#This Row],[Electrode area (cm²)]]="",CalKm[[#This Row],[Ferricyanide (mM)]]=""),"",IFERROR((CalKm[[#This Row],[Limiting current (mA)]]/1000)/(Calibrations!n_e_fcn*Calibrations!F_const*(CalKm[[#This Row],[Electrode area (cm²)]]/10000)*CalKm[[#This Row],[Ferricyanide (mM)]])*100,""))</f>
        <v/>
      </c>
      <c r="L12" s="201" t="str">
        <f>IF(OR(CalKm[[#This Row],[k_m ferricyanide (computed, cm/s)]]="",CalKm[[#This Row],[D ferricyanide (m²/s)]]=""),"",IFERROR(CalKm[[#This Row],[k_m ferricyanide (computed, cm/s)]]*(Calibrations!D_O2/CalKm[[#This Row],[D ferricyanide (m²/s)]])^Calibrations!km_exp,""))</f>
        <v/>
      </c>
      <c r="M12" s="201" t="str">
        <f>IFERROR(INDEX(ReactorTypeList,MATCH(CalKm[[#This Row],[Reactor]],ReactorList,0)),"")</f>
        <v/>
      </c>
      <c r="N12" s="309"/>
      <c r="O12" s="309"/>
    </row>
    <row r="13">
      <c r="A13" s="309"/>
      <c r="B13" s="227"/>
      <c r="C13" s="309"/>
      <c r="D13" s="309"/>
      <c r="E13" s="309"/>
      <c r="F13" s="309"/>
      <c r="G13" s="309"/>
      <c r="H13" s="309"/>
      <c r="I13" s="309"/>
      <c r="J13" s="309"/>
      <c r="K13" s="201" t="str">
        <f>IF(OR(CalKm[[#This Row],[Limiting current (mA)]]="",CalKm[[#This Row],[Electrode area (cm²)]]="",CalKm[[#This Row],[Ferricyanide (mM)]]=""),"",IFERROR((CalKm[[#This Row],[Limiting current (mA)]]/1000)/(Calibrations!n_e_fcn*Calibrations!F_const*(CalKm[[#This Row],[Electrode area (cm²)]]/10000)*CalKm[[#This Row],[Ferricyanide (mM)]])*100,""))</f>
        <v/>
      </c>
      <c r="L13" s="201" t="str">
        <f>IF(OR(CalKm[[#This Row],[k_m ferricyanide (computed, cm/s)]]="",CalKm[[#This Row],[D ferricyanide (m²/s)]]=""),"",IFERROR(CalKm[[#This Row],[k_m ferricyanide (computed, cm/s)]]*(Calibrations!D_O2/CalKm[[#This Row],[D ferricyanide (m²/s)]])^Calibrations!km_exp,""))</f>
        <v/>
      </c>
      <c r="M13" s="201" t="str">
        <f>IFERROR(INDEX(ReactorTypeList,MATCH(CalKm[[#This Row],[Reactor]],ReactorList,0)),"")</f>
        <v/>
      </c>
      <c r="N13" s="309"/>
      <c r="O13" s="309"/>
    </row>
    <row r="14">
      <c r="A14" s="309"/>
      <c r="B14" s="227"/>
      <c r="C14" s="309"/>
      <c r="D14" s="309"/>
      <c r="E14" s="309"/>
      <c r="F14" s="309"/>
      <c r="G14" s="309"/>
      <c r="H14" s="309"/>
      <c r="I14" s="309"/>
      <c r="J14" s="309"/>
      <c r="K14" s="201" t="str">
        <f>IF(OR(CalKm[[#This Row],[Limiting current (mA)]]="",CalKm[[#This Row],[Electrode area (cm²)]]="",CalKm[[#This Row],[Ferricyanide (mM)]]=""),"",IFERROR((CalKm[[#This Row],[Limiting current (mA)]]/1000)/(Calibrations!n_e_fcn*Calibrations!F_const*(CalKm[[#This Row],[Electrode area (cm²)]]/10000)*CalKm[[#This Row],[Ferricyanide (mM)]])*100,""))</f>
        <v/>
      </c>
      <c r="L14" s="201" t="str">
        <f>IF(OR(CalKm[[#This Row],[k_m ferricyanide (computed, cm/s)]]="",CalKm[[#This Row],[D ferricyanide (m²/s)]]=""),"",IFERROR(CalKm[[#This Row],[k_m ferricyanide (computed, cm/s)]]*(Calibrations!D_O2/CalKm[[#This Row],[D ferricyanide (m²/s)]])^Calibrations!km_exp,""))</f>
        <v/>
      </c>
      <c r="M14" s="201" t="str">
        <f>IFERROR(INDEX(ReactorTypeList,MATCH(CalKm[[#This Row],[Reactor]],ReactorList,0)),"")</f>
        <v/>
      </c>
      <c r="N14" s="309"/>
      <c r="O14" s="309"/>
    </row>
    <row r="15">
      <c r="A15" s="309"/>
      <c r="B15" s="227"/>
      <c r="C15" s="309"/>
      <c r="D15" s="309"/>
      <c r="E15" s="309"/>
      <c r="F15" s="309"/>
      <c r="G15" s="309"/>
      <c r="H15" s="309"/>
      <c r="I15" s="309"/>
      <c r="J15" s="309"/>
      <c r="K15" s="201" t="str">
        <f>IF(OR(CalKm[[#This Row],[Limiting current (mA)]]="",CalKm[[#This Row],[Electrode area (cm²)]]="",CalKm[[#This Row],[Ferricyanide (mM)]]=""),"",IFERROR((CalKm[[#This Row],[Limiting current (mA)]]/1000)/(Calibrations!n_e_fcn*Calibrations!F_const*(CalKm[[#This Row],[Electrode area (cm²)]]/10000)*CalKm[[#This Row],[Ferricyanide (mM)]])*100,""))</f>
        <v/>
      </c>
      <c r="L15" s="201" t="str">
        <f>IF(OR(CalKm[[#This Row],[k_m ferricyanide (computed, cm/s)]]="",CalKm[[#This Row],[D ferricyanide (m²/s)]]=""),"",IFERROR(CalKm[[#This Row],[k_m ferricyanide (computed, cm/s)]]*(Calibrations!D_O2/CalKm[[#This Row],[D ferricyanide (m²/s)]])^Calibrations!km_exp,""))</f>
        <v/>
      </c>
      <c r="M15" s="201" t="str">
        <f>IFERROR(INDEX(ReactorTypeList,MATCH(CalKm[[#This Row],[Reactor]],ReactorList,0)),"")</f>
        <v/>
      </c>
      <c r="N15" s="309"/>
      <c r="O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N8:N15">
      <formula1>"y,n"</formula1>
    </dataValidation>
    <dataValidation type="list" allowBlank="1" showErrorMessage="1" errorTitle="Invalid value" error="Choose from the list." sqref="D8:D15">
      <formula1>ElectrodeList</formula1>
    </dataValidation>
  </dataValidation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sheetPr>
    <tabColor rgb="FFA5A5A5"/>
  </sheetPr>
  <dimension ref="A1:L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2" width="15" customWidth="1"/>
  </cols>
  <sheetData>
    <row r="1">
      <c r="A1" s="263" t="inlineStr">
        <is>
          <t xml:space="preserve">CALIBRATION LOG – MONOCHLORAMINE LIFETIME  (DPD combined chlorine at plateau)</t>
        </is>
      </c>
      <c r="B1" s="263"/>
      <c r="C1" s="263"/>
      <c r="D1" s="263"/>
      <c r="E1" s="263"/>
      <c r="F1" s="263"/>
      <c r="G1" s="263"/>
      <c r="H1" s="263"/>
      <c r="I1" s="263"/>
      <c r="J1" s="263"/>
      <c r="K1" s="263"/>
      <c r="L1" s="263"/>
    </row>
    <row r="2">
      <c r="A2" s="243" t="str">
        <f>HYPERLINK("https://github.com/amy-bo/electroPioreactor/blob/AEP02/Media/protocols/chlorine-species.md","Protocol (opens on GitHub)")</f>
        <v>Protocol (opens on GitHub)</v>
      </c>
    </row>
    <row r="3">
      <c r="A3"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monochloramine lifetime</t>
        </is>
      </c>
      <c r="C5" s="265" t="inlineStr">
        <is>
          <t xml:space="preserve">h</t>
        </is>
      </c>
      <c r="D5" s="201" t="str">
        <f>cal_tau_NH2Cl</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Medium</t>
        </is>
      </c>
      <c r="E7" s="264" t="inlineStr">
        <is>
          <t xml:space="preserve">Combined chlorine plateau (mg/L as Cl₂)</t>
        </is>
      </c>
      <c r="F7" s="264" t="inlineStr">
        <is>
          <t xml:space="preserve">Chloride turnover k (1/s)</t>
        </is>
      </c>
      <c r="G7" s="264" t="inlineStr">
        <is>
          <t xml:space="preserve">Chloride pool C (mol/L)</t>
        </is>
      </c>
      <c r="H7" s="264" t="inlineStr">
        <is>
          <t xml:space="preserve">Max production P (mol/L/s)</t>
        </is>
      </c>
      <c r="I7" s="264" t="inlineStr">
        <is>
          <t xml:space="preserve">Lifetime (computed, h)</t>
        </is>
      </c>
      <c r="J7" s="264" t="inlineStr">
        <is>
          <t xml:space="preserve">Type (auto)</t>
        </is>
      </c>
      <c r="K7" s="264" t="inlineStr">
        <is>
          <t xml:space="preserve">Include?</t>
        </is>
      </c>
      <c r="L7" s="264" t="inlineStr">
        <is>
          <t xml:space="preserve">Notes</t>
        </is>
      </c>
    </row>
    <row r="8">
      <c r="A8" s="309"/>
      <c r="B8" s="227"/>
      <c r="C8" s="309"/>
      <c r="D8" s="309"/>
      <c r="E8" s="309"/>
      <c r="F8" s="309"/>
      <c r="G8" s="309"/>
      <c r="H8" s="309"/>
      <c r="I8"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8" s="201" t="str">
        <f>IFERROR(INDEX(ReactorTypeList,MATCH(CalChloramine[[#This Row],[Reactor]],ReactorList,0)),"")</f>
        <v/>
      </c>
      <c r="K8" s="309"/>
      <c r="L8" s="309"/>
    </row>
    <row r="9">
      <c r="A9" s="309"/>
      <c r="B9" s="227"/>
      <c r="C9" s="309"/>
      <c r="D9" s="309"/>
      <c r="E9" s="309"/>
      <c r="F9" s="309"/>
      <c r="G9" s="309"/>
      <c r="H9" s="309"/>
      <c r="I9"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9" s="201" t="str">
        <f>IFERROR(INDEX(ReactorTypeList,MATCH(CalChloramine[[#This Row],[Reactor]],ReactorList,0)),"")</f>
        <v/>
      </c>
      <c r="K9" s="309"/>
      <c r="L9" s="309"/>
    </row>
    <row r="10">
      <c r="A10" s="309"/>
      <c r="B10" s="227"/>
      <c r="C10" s="309"/>
      <c r="D10" s="309"/>
      <c r="E10" s="309"/>
      <c r="F10" s="309"/>
      <c r="G10" s="309"/>
      <c r="H10" s="309"/>
      <c r="I10"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0" s="201" t="str">
        <f>IFERROR(INDEX(ReactorTypeList,MATCH(CalChloramine[[#This Row],[Reactor]],ReactorList,0)),"")</f>
        <v/>
      </c>
      <c r="K10" s="309"/>
      <c r="L10" s="309"/>
    </row>
    <row r="11">
      <c r="A11" s="309"/>
      <c r="B11" s="227"/>
      <c r="C11" s="309"/>
      <c r="D11" s="309"/>
      <c r="E11" s="309"/>
      <c r="F11" s="309"/>
      <c r="G11" s="309"/>
      <c r="H11" s="309"/>
      <c r="I11"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1" s="201" t="str">
        <f>IFERROR(INDEX(ReactorTypeList,MATCH(CalChloramine[[#This Row],[Reactor]],ReactorList,0)),"")</f>
        <v/>
      </c>
      <c r="K11" s="309"/>
      <c r="L11" s="309"/>
    </row>
    <row r="12">
      <c r="A12" s="309"/>
      <c r="B12" s="227"/>
      <c r="C12" s="309"/>
      <c r="D12" s="309"/>
      <c r="E12" s="309"/>
      <c r="F12" s="309"/>
      <c r="G12" s="309"/>
      <c r="H12" s="309"/>
      <c r="I12"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2" s="201" t="str">
        <f>IFERROR(INDEX(ReactorTypeList,MATCH(CalChloramine[[#This Row],[Reactor]],ReactorList,0)),"")</f>
        <v/>
      </c>
      <c r="K12" s="309"/>
      <c r="L12" s="309"/>
    </row>
    <row r="13">
      <c r="A13" s="309"/>
      <c r="B13" s="227"/>
      <c r="C13" s="309"/>
      <c r="D13" s="309"/>
      <c r="E13" s="309"/>
      <c r="F13" s="309"/>
      <c r="G13" s="309"/>
      <c r="H13" s="309"/>
      <c r="I13"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3" s="201" t="str">
        <f>IFERROR(INDEX(ReactorTypeList,MATCH(CalChloramine[[#This Row],[Reactor]],ReactorList,0)),"")</f>
        <v/>
      </c>
      <c r="K13" s="309"/>
      <c r="L13" s="309"/>
    </row>
    <row r="14">
      <c r="A14" s="309"/>
      <c r="B14" s="227"/>
      <c r="C14" s="309"/>
      <c r="D14" s="309"/>
      <c r="E14" s="309"/>
      <c r="F14" s="309"/>
      <c r="G14" s="309"/>
      <c r="H14" s="309"/>
      <c r="I14"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4" s="201" t="str">
        <f>IFERROR(INDEX(ReactorTypeList,MATCH(CalChloramine[[#This Row],[Reactor]],ReactorList,0)),"")</f>
        <v/>
      </c>
      <c r="K14" s="309"/>
      <c r="L14" s="309"/>
    </row>
    <row r="15">
      <c r="A15" s="309"/>
      <c r="B15" s="227"/>
      <c r="C15" s="309"/>
      <c r="D15" s="309"/>
      <c r="E15" s="309"/>
      <c r="F15" s="309"/>
      <c r="G15" s="309"/>
      <c r="H15" s="309"/>
      <c r="I15"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5" s="201" t="str">
        <f>IFERROR(INDEX(ReactorTypeList,MATCH(CalChloramine[[#This Row],[Reactor]],ReactorList,0)),"")</f>
        <v/>
      </c>
      <c r="K15" s="309"/>
      <c r="L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K8:K15">
      <formula1>"y,n"</formula1>
    </dataValidation>
    <dataValidation type="list" allowBlank="1" showErrorMessage="1" errorTitle="Invalid value" error="Choose from the list." sqref="D8:D15">
      <formula1>MediaList</formula1>
    </dataValidation>
  </dataValidation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sheetPr>
    <tabColor rgb="FFA5A5A5"/>
  </sheetPr>
  <dimension ref="A1:J25"/>
  <sheetViews>
    <sheetView workbookViewId="0">
      <pane ySplit="5" topLeftCell="A6" activePane="bottomLeft" state="frozen"/>
      <selection pane="bottomLeft" activeCell="A6" sqref="A6"/>
    </sheetView>
  </sheetViews>
  <sheetFormatPr defaultRowHeight="15"/>
  <cols>
    <col min="1" max="1" width="16" customWidth="1"/>
    <col min="2" max="2" width="12" customWidth="1"/>
    <col min="3" max="10" width="15" customWidth="1"/>
  </cols>
  <sheetData>
    <row r="1">
      <c r="A1" s="263" t="inlineStr">
        <is>
          <t xml:space="preserve">EXPERIMENT RECORD – one row per experiment done; leave a condition blank when the result holds for any value of it</t>
        </is>
      </c>
      <c r="B1" s="263"/>
      <c r="C1" s="263"/>
      <c r="D1" s="263"/>
      <c r="E1" s="263"/>
      <c r="F1" s="263"/>
      <c r="G1" s="263"/>
      <c r="H1" s="263"/>
      <c r="I1" s="263"/>
      <c r="J1" s="263"/>
    </row>
    <row r="2">
      <c r="A2"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3">
      <c r="A3" s="269" t="inlineStr">
        <is>
          <t xml:space="preserve">Add an experiment: type it in the first empty row under the table; it grows on its own. Summary column D (experiment status) reads it.</t>
        </is>
      </c>
    </row>
    <row r="5" ht="45" customHeight="1">
      <c r="A5" s="264" t="inlineStr">
        <is>
          <t xml:space="preserve">Researcher</t>
        </is>
      </c>
      <c r="B5" s="264" t="inlineStr">
        <is>
          <t xml:space="preserve">Date</t>
        </is>
      </c>
      <c r="C5" s="264" t="inlineStr">
        <is>
          <t xml:space="preserve">Experiment (Summary list)</t>
        </is>
      </c>
      <c r="D5" s="264" t="inlineStr">
        <is>
          <t xml:space="preserve">Reactor or type</t>
        </is>
      </c>
      <c r="E5" s="264" t="inlineStr">
        <is>
          <t xml:space="preserve">Electrode</t>
        </is>
      </c>
      <c r="F5" s="264" t="inlineStr">
        <is>
          <t xml:space="preserve">Organism</t>
        </is>
      </c>
      <c r="G5" s="264" t="inlineStr">
        <is>
          <t xml:space="preserve">Medium</t>
        </is>
      </c>
      <c r="H5" s="264" t="inlineStr">
        <is>
          <t xml:space="preserve">Temp (°C)</t>
        </is>
      </c>
      <c r="I5" s="264" t="inlineStr">
        <is>
          <t xml:space="preserve">Result</t>
        </is>
      </c>
      <c r="J5" s="264" t="inlineStr">
        <is>
          <t xml:space="preserve">Notes</t>
        </is>
      </c>
    </row>
    <row r="6">
      <c r="A6" s="268" t="inlineStr">
        <is>
          <t xml:space="preserve">Edinburgh MSc</t>
        </is>
      </c>
      <c r="B6" s="227"/>
      <c r="C6" s="268" t="inlineStr">
        <is>
          <t xml:space="preserve">Measure the cell voltage at a known setpoint</t>
        </is>
      </c>
      <c r="D6" s="268" t="inlineStr">
        <is>
          <t xml:space="preserve">MEP0.3</t>
        </is>
      </c>
      <c r="E6" s="268"/>
      <c r="F6" s="268"/>
      <c r="G6" s="268" t="inlineStr">
        <is>
          <t xml:space="preserve">UdG phosphate</t>
        </is>
      </c>
      <c r="H6" s="268">
        <v>30.0</v>
      </c>
      <c r="I6" s="268" t="inlineStr">
        <is>
          <t xml:space="preserve">Approximate</t>
        </is>
      </c>
      <c r="J6" s="268" t="inlineStr">
        <is>
          <t xml:space="preserve">About 3.4 V at 3 % power in Exp 1 (ed04/ed05, lab notebook, June 2026); meter and electrode not recorded.</t>
        </is>
      </c>
    </row>
    <row r="7">
      <c r="A7" s="268" t="inlineStr">
        <is>
          <t xml:space="preserve">Edinburgh MSc</t>
        </is>
      </c>
      <c r="B7" s="227">
        <v>46190.0</v>
      </c>
      <c r="C7" s="268" t="inlineStr">
        <is>
          <t xml:space="preserve">Sparger-attached flow check</t>
        </is>
      </c>
      <c r="D7" s="268" t="inlineStr">
        <is>
          <t xml:space="preserve">ed04</t>
        </is>
      </c>
      <c r="E7" s="268"/>
      <c r="F7" s="268"/>
      <c r="G7" s="268"/>
      <c r="H7" s="268"/>
      <c r="I7" s="268" t="inlineStr">
        <is>
          <t xml:space="preserve">Approximate</t>
        </is>
      </c>
      <c r="J7" s="268" t="inlineStr">
        <is>
          <t xml:space="preserve">Pulse ladder 0.1–4 s on 17 Jun 2026 (CO2 flows rows 4–46), collected from the inlet tube because the cap leaked, not through the sparger.</t>
        </is>
      </c>
    </row>
    <row r="8">
      <c r="A8" s="268" t="inlineStr">
        <is>
          <t xml:space="preserve">Edinburgh MSc</t>
        </is>
      </c>
      <c r="B8" s="227">
        <v>46190.0</v>
      </c>
      <c r="C8" s="268" t="inlineStr">
        <is>
          <t xml:space="preserve">Bench-characterise the solenoid pulse floor</t>
        </is>
      </c>
      <c r="D8" s="268" t="inlineStr">
        <is>
          <t xml:space="preserve">ed04</t>
        </is>
      </c>
      <c r="E8" s="268"/>
      <c r="F8" s="268"/>
      <c r="G8" s="268"/>
      <c r="H8" s="268"/>
      <c r="I8" s="268" t="inlineStr">
        <is>
          <t xml:space="preserve">Approximate</t>
        </is>
      </c>
      <c r="J8" s="268" t="inlineStr">
        <is>
          <t xml:space="preserve">0.25 s minimum sparge from the same ladder (CO2 flows I4); 0.1 and 0.2 s pulses tried, two outliers excluded (column L).</t>
        </is>
      </c>
    </row>
    <row r="9">
      <c r="A9" s="268" t="inlineStr">
        <is>
          <t xml:space="preserve">Edinburgh MSc</t>
        </is>
      </c>
      <c r="B9" s="227">
        <v>46190.0</v>
      </c>
      <c r="C9" s="268" t="inlineStr">
        <is>
          <t xml:space="preserve">No-carryover maximum flow</t>
        </is>
      </c>
      <c r="D9" s="268" t="inlineStr">
        <is>
          <t xml:space="preserve">ed04</t>
        </is>
      </c>
      <c r="E9" s="268"/>
      <c r="F9" s="268"/>
      <c r="G9" s="268"/>
      <c r="H9" s="268"/>
      <c r="I9" s="268" t="inlineStr">
        <is>
          <t xml:space="preserve">Approximate</t>
        </is>
      </c>
      <c r="J9" s="268" t="inlineStr">
        <is>
          <t xml:space="preserve">3.33 mL/s set by inspection as the most that keeps bubbles out of the vial neck (CO2 flows J4); column K not yet entered.</t>
        </is>
      </c>
    </row>
    <row r="10">
      <c r="A10"/>
      <c r="B10"/>
      <c r="C10"/>
      <c r="D10"/>
      <c r="E10"/>
      <c r="F10"/>
      <c r="G10"/>
      <c r="H10"/>
      <c r="I10"/>
      <c r="J10"/>
    </row>
    <row r="11">
      <c r="A11"/>
      <c r="B11"/>
      <c r="C11"/>
      <c r="D11"/>
      <c r="E11"/>
      <c r="F11"/>
      <c r="G11"/>
      <c r="H11"/>
      <c r="I11"/>
      <c r="J11"/>
    </row>
    <row r="12">
      <c r="A12"/>
      <c r="B12"/>
      <c r="C12"/>
      <c r="D12"/>
      <c r="E12"/>
      <c r="F12"/>
      <c r="G12"/>
      <c r="H12"/>
      <c r="I12"/>
      <c r="J12"/>
    </row>
    <row r="13">
      <c r="A13"/>
      <c r="B13"/>
      <c r="C13"/>
      <c r="D13"/>
      <c r="E13"/>
      <c r="F13"/>
      <c r="G13"/>
      <c r="H13"/>
      <c r="I13"/>
      <c r="J13"/>
    </row>
    <row r="14">
      <c r="A14"/>
      <c r="B14"/>
      <c r="C14"/>
      <c r="D14"/>
      <c r="E14"/>
      <c r="F14"/>
      <c r="G14"/>
      <c r="H14"/>
      <c r="I14"/>
      <c r="J14"/>
    </row>
    <row r="15">
      <c r="A15"/>
      <c r="B15"/>
      <c r="C15"/>
      <c r="D15"/>
      <c r="E15"/>
      <c r="F15"/>
      <c r="G15"/>
      <c r="H15"/>
      <c r="I15"/>
      <c r="J15"/>
    </row>
    <row r="16">
      <c r="A16"/>
      <c r="B16"/>
      <c r="C16"/>
      <c r="D16"/>
      <c r="E16"/>
      <c r="F16"/>
      <c r="G16"/>
      <c r="H16"/>
      <c r="I16"/>
      <c r="J16"/>
    </row>
    <row r="17">
      <c r="A17"/>
      <c r="B17"/>
      <c r="C17"/>
      <c r="D17"/>
      <c r="E17"/>
      <c r="F17"/>
      <c r="G17"/>
      <c r="H17"/>
      <c r="I17"/>
      <c r="J17"/>
    </row>
    <row r="18">
      <c r="A18"/>
      <c r="B18"/>
      <c r="C18"/>
      <c r="D18"/>
      <c r="E18"/>
      <c r="F18"/>
      <c r="G18"/>
      <c r="H18"/>
      <c r="I18"/>
      <c r="J18"/>
    </row>
    <row r="19">
      <c r="A19"/>
      <c r="B19"/>
      <c r="C19"/>
      <c r="D19"/>
      <c r="E19"/>
      <c r="F19"/>
      <c r="G19"/>
      <c r="H19"/>
      <c r="I19"/>
      <c r="J19"/>
    </row>
    <row r="20">
      <c r="A20"/>
      <c r="B20"/>
      <c r="C20"/>
      <c r="D20"/>
      <c r="E20"/>
      <c r="F20"/>
      <c r="G20"/>
      <c r="H20"/>
      <c r="I20"/>
      <c r="J20"/>
    </row>
    <row r="21">
      <c r="A21"/>
      <c r="B21"/>
      <c r="C21"/>
      <c r="D21"/>
      <c r="E21"/>
      <c r="F21"/>
      <c r="G21"/>
      <c r="H21"/>
      <c r="I21"/>
      <c r="J21"/>
    </row>
    <row r="22">
      <c r="A22"/>
      <c r="B22"/>
      <c r="C22"/>
      <c r="D22"/>
      <c r="E22"/>
      <c r="F22"/>
      <c r="G22"/>
      <c r="H22"/>
      <c r="I22"/>
      <c r="J22"/>
    </row>
    <row r="23">
      <c r="A23"/>
      <c r="B23"/>
      <c r="C23"/>
      <c r="D23"/>
      <c r="E23"/>
      <c r="F23"/>
      <c r="G23"/>
      <c r="H23"/>
      <c r="I23"/>
      <c r="J23"/>
    </row>
    <row r="24">
      <c r="A24"/>
      <c r="B24"/>
      <c r="C24"/>
      <c r="D24"/>
      <c r="E24"/>
      <c r="F24"/>
      <c r="G24"/>
      <c r="H24"/>
      <c r="I24"/>
      <c r="J24"/>
    </row>
    <row r="25">
      <c r="A25"/>
      <c r="B25"/>
      <c r="C25"/>
      <c r="D25"/>
      <c r="E25"/>
      <c r="F25"/>
      <c r="G25"/>
      <c r="H25"/>
      <c r="I25"/>
      <c r="J25"/>
    </row>
  </sheetData>
  <dataValidations count="6">
    <dataValidation type="list" allowBlank="1" showErrorMessage="1" errorTitle="Invalid value" error="Choose from the list." sqref="C6:C25">
      <formula1>xs_list</formula1>
    </dataValidation>
    <dataValidation type="list" allowBlank="1" showErrorMessage="1" errorTitle="Invalid value" error="Choose from the list." sqref="I6:I25">
      <formula1>"Done,Approximate"</formula1>
    </dataValidation>
    <dataValidation type="list" allowBlank="1" showErrorMessage="1" errorTitle="Invalid value" error="Choose from the list, or leave blank for any." sqref="E6:E25">
      <formula1>ElectrodeList</formula1>
    </dataValidation>
    <dataValidation type="list" allowBlank="1" showErrorMessage="1" errorTitle="Invalid value" error="Choose from the list, or leave blank for any." sqref="F6:F25">
      <formula1>OrganismList</formula1>
    </dataValidation>
    <dataValidation type="list" allowBlank="1" showErrorMessage="1" errorTitle="Invalid value" error="Choose from the list, or leave blank for any." sqref="G6:G25">
      <formula1>MediaList</formula1>
    </dataValidation>
    <dataValidation type="decimal" allowBlank="1" showErrorMessage="1" errorTitle="Invalid value" error="A temperature in °C, or blank for any." sqref="H6:H25">
      <formula1>-50</formula1>
      <formula2>150</formula2>
    </dataValidation>
  </dataValidations>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sheetPr>
    <tabColor rgb="FF000000"/>
  </sheetPr>
  <dimension ref="A1:C24"/>
  <sheetViews>
    <sheetView workbookViewId="0"/>
  </sheetViews>
  <sheetFormatPr defaultRowHeight="15"/>
  <cols>
    <col min="1" max="1" width="22" customWidth="1"/>
    <col min="2" max="2" width="90" customWidth="1"/>
    <col min="3" max="3" width="50" customWidth="1"/>
  </cols>
  <sheetData>
    <row r="1">
      <c r="A1" s="263" t="inlineStr">
        <is>
          <t xml:space="preserve">CONTENTS – electroPioreactor gas model</t>
        </is>
      </c>
      <c r="B1" s="263"/>
      <c r="C1" s="263"/>
    </row>
    <row r="2">
      <c r="A2" s="269" t="inlineStr">
        <is>
          <t xml:space="preserve">Click a sheet name to open it. Blue bold cells are inputs; black cells are calculated; the Key on Summary explains the fills.</t>
        </is>
      </c>
    </row>
    <row r="4">
      <c r="A4" s="278" t="inlineStr">
        <is>
          <t xml:space="preserve">START HERE</t>
        </is>
      </c>
      <c r="B4" s="278"/>
      <c r="C4" s="278"/>
    </row>
    <row r="5">
      <c r="A5" s="243" t="str">
        <f>HYPERLINK("#'Summary'!A1","Summary")</f>
        <v>Summary</v>
      </c>
      <c r="B5" s="270" t="inlineStr">
        <is>
          <t xml:space="preserve">Choose the reactor, electrode, organism, medium and settings; read the CO₂ schedule, pH, DO and safety results; see which experiments are still needed.</t>
        </is>
      </c>
      <c r="C5"/>
    </row>
    <row r="7">
      <c r="A7" s="278" t="inlineStr">
        <is>
          <t xml:space="preserve">LIBRARIES – add a row or column and every dropdown and calculation follows</t>
        </is>
      </c>
      <c r="B7" s="278"/>
      <c r="C7" s="278"/>
    </row>
    <row r="8">
      <c r="A8" s="243" t="str">
        <f>HYPERLINK("#'Media'!A1","Media")</f>
        <v>Media</v>
      </c>
      <c r="B8" s="270" t="inlineStr">
        <is>
          <t xml:space="preserve">Every growth medium side by side, its full recipe and the chemistry the model uses.</t>
        </is>
      </c>
      <c r="C8" s="270" t="inlineStr">
        <is>
          <t xml:space="preserve">Type a new medium name in the first empty column of the table.</t>
        </is>
      </c>
    </row>
    <row r="9">
      <c r="A9" s="243" t="str">
        <f>HYPERLINK("#'Reactors'!A1","Reactors")</f>
        <v>Reactors</v>
      </c>
      <c r="B9" s="270" t="inlineStr">
        <is>
          <t xml:space="preserve">Each reactor ID and its type; the geometry of each reactor type.</t>
        </is>
      </c>
      <c r="C9" s="270" t="inlineStr">
        <is>
          <t xml:space="preserve">Type a new row under either table.</t>
        </is>
      </c>
    </row>
    <row r="10">
      <c r="A10" s="243" t="str">
        <f>HYPERLINK("#'Electrodes'!A1","Electrodes")</f>
        <v>Electrodes</v>
      </c>
      <c r="B10" s="270" t="inlineStr">
        <is>
          <t xml:space="preserve">Electrode assemblies: materials, sparger, porosity, current-density limits.</t>
        </is>
      </c>
      <c r="C10" s="270" t="inlineStr">
        <is>
          <t xml:space="preserve">Type a new row under the table.</t>
        </is>
      </c>
    </row>
    <row r="11">
      <c r="A11" s="243" t="str">
        <f>HYPERLINK("#'Organisms'!A1","Organisms")</f>
        <v>Organisms</v>
      </c>
      <c r="B11" s="270" t="inlineStr">
        <is>
          <t xml:space="preserve">Dissolved-O₂ thresholds and tolerated current densities of each organism.</t>
        </is>
      </c>
      <c r="C11" s="270" t="inlineStr">
        <is>
          <t xml:space="preserve">Type a new row under the table.</t>
        </is>
      </c>
    </row>
    <row r="13">
      <c r="A13" s="278" t="inlineStr">
        <is>
          <t xml:space="preserve">MEASUREMENTS – your bench data; each log is a table that grows</t>
        </is>
      </c>
      <c r="B13" s="278"/>
      <c r="C13" s="278"/>
    </row>
    <row r="14">
      <c r="A14" s="243" t="str">
        <f>HYPERLINK("#'CO2 flows'!A1","CO2 flows")</f>
        <v>CO2 flows</v>
      </c>
      <c r="B14" s="270" t="inlineStr">
        <is>
          <t xml:space="preserve">CO₂ flow measurements behind the pulse-volume fit.</t>
        </is>
      </c>
      <c r="C14" s="270" t="inlineStr">
        <is>
          <t xml:space="preserve">Type a new row under the table.</t>
        </is>
      </c>
    </row>
    <row r="15">
      <c r="A15" s="243" t="str">
        <f>HYPERLINK("#'Calibrations'!A1","Calibrations")</f>
        <v>Calibrations</v>
      </c>
      <c r="B15" s="270" t="inlineStr">
        <is>
          <t xml:space="preserve">Overview: the value in use for each calibration, with links to the logs (grey tabs), and the experiment status logic.</t>
        </is>
      </c>
      <c r="C15" s="270" t="inlineStr">
        <is>
          <t xml:space="preserve">Open a log from here.</t>
        </is>
      </c>
    </row>
    <row r="16">
      <c r="A16" s="243" t="str">
        <f>HYPERLINK("#'Experiments'!A1","Experiments")</f>
        <v>Experiments</v>
      </c>
      <c r="B16" s="270" t="inlineStr">
        <is>
          <t xml:space="preserve">One row per experiment done; feeds the experiment status on Summary.</t>
        </is>
      </c>
      <c r="C16" s="270" t="inlineStr">
        <is>
          <t xml:space="preserve">Type a new row under the table.</t>
        </is>
      </c>
    </row>
    <row r="17">
      <c r="A17" s="269" t="inlineStr">
        <is>
          <t xml:space="preserve">Calibration logs: Cal current, Cal faradaic, Cal kLa, Cal CO2 flow, Cal vial, Cal sinter, Cal DO, Cal knallgas, Cal j screen, Cal km, Cal chloramine</t>
        </is>
      </c>
    </row>
    <row r="19">
      <c r="A19" s="278" t="inlineStr">
        <is>
          <t xml:space="preserve">CALCULATIONS – the model; read rather than edit (blue cells are inputs you may change)</t>
        </is>
      </c>
      <c r="B19" s="278"/>
      <c r="C19" s="278"/>
    </row>
    <row r="20">
      <c r="A20" s="243" t="str">
        <f>HYPERLINK("#'Geometry'!A1","Geometry")</f>
        <v>Geometry</v>
      </c>
      <c r="B20" s="270" t="inlineStr">
        <is>
          <t xml:space="preserve">Vial, liquid level, headspace and electrode geometry.</t>
        </is>
      </c>
      <c r="C20"/>
    </row>
    <row r="21">
      <c r="A21" s="243" t="str">
        <f>HYPERLINK("#'Electrochemistry'!A1","Electrochemistry")</f>
        <v>Electrochemistry</v>
      </c>
      <c r="B21" s="270" t="inlineStr">
        <is>
          <t xml:space="preserve">Electrolysis current, gas rates, Faradaic efficiency, current density and voltage.</t>
        </is>
      </c>
      <c r="C21"/>
    </row>
    <row r="22">
      <c r="A22" s="243" t="str">
        <f>HYPERLINK("#'Chemistry'!A1","Chemistry")</f>
        <v>Chemistry</v>
      </c>
      <c r="B22" s="270" t="inlineStr">
        <is>
          <t xml:space="preserve">pH charge balance, chlorine, conductivity and the medium the Summary selects.</t>
        </is>
      </c>
      <c r="C22"/>
    </row>
    <row r="23">
      <c r="A23" s="243" t="str">
        <f>HYPERLINK("#'Biology'!A1","Biology")</f>
        <v>Biology</v>
      </c>
      <c r="B23" s="270" t="inlineStr">
        <is>
          <t xml:space="preserve">Temperature, gas solubility, organism DO band and gas demand.</t>
        </is>
      </c>
      <c r="C23"/>
    </row>
    <row r="24">
      <c r="A24" s="243" t="str">
        <f>HYPERLINK("#'Mass Transfer'!A1","Mass Transfer")</f>
        <v>Mass Transfer</v>
      </c>
      <c r="B24" s="270" t="inlineStr">
        <is>
          <t xml:space="preserve">CO₂ dosing, headspace balance, DO sawtooth and the pulse schedule.</t>
        </is>
      </c>
      <c r="C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25" baseType="lpstr">
      <vt:lpstr>Contents</vt:lpstr>
      <vt:lpstr>Summary</vt:lpstr>
      <vt:lpstr>Reactors</vt:lpstr>
      <vt:lpstr>Electrodes</vt:lpstr>
      <vt:lpstr>Organisms</vt:lpstr>
      <vt:lpstr>Media</vt:lpstr>
      <vt:lpstr>Geometry</vt:lpstr>
      <vt:lpstr>Electrochemistry</vt:lpstr>
      <vt:lpstr>Chemistry</vt:lpstr>
      <vt:lpstr>Biology</vt:lpstr>
      <vt:lpstr>Mass Transfer</vt:lpstr>
      <vt:lpstr>CO2 flows</vt:lpstr>
      <vt:lpstr>Calibrations</vt:lpstr>
      <vt:lpstr>Cal current</vt:lpstr>
      <vt:lpstr>Cal faradaic</vt:lpstr>
      <vt:lpstr>Cal kLa</vt:lpstr>
      <vt:lpstr>Cal CO2 flow</vt:lpstr>
      <vt:lpstr>Cal vial</vt:lpstr>
      <vt:lpstr>Cal sinter</vt:lpstr>
      <vt:lpstr>Cal DO</vt:lpstr>
      <vt:lpstr>Cal knallgas</vt:lpstr>
      <vt:lpstr>Cal j screen</vt:lpstr>
      <vt:lpstr>Cal km</vt:lpstr>
      <vt:lpstr>Cal chloramine</vt:lpstr>
      <vt:lpstr>Experiments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