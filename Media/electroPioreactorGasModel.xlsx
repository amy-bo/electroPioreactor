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00290DCA-E4FD-0C4F-9B5E-A39CAEAD2AB5}" xr6:coauthVersionLast="47" xr6:coauthVersionMax="47" xr10:uidLastSave="{00000000-0000-0000-0000-000000000000}"/>
  <bookViews>
    <workbookView xWindow="14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  <sheet name="Calibrations" sheetId="8" r:id="rId12"/>
  </sheets>
  <definedNames>
    <definedName name="A_anode" localSheetId="3">Chemistry!$D$130</definedName>
    <definedName name="A_anode_wet" localSheetId="2">Electrochemistry!$D$46</definedName>
    <definedName name="A_cath_wet" localSheetId="2">Electrochemistry!$D$47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anode_dia" localSheetId="2">Electrochemistry!$D$42</definedName>
    <definedName name="anode_j_cont" localSheetId="2">Electrochemistry!$D$50</definedName>
    <definedName name="anode_j_max" localSheetId="2">Electrochemistry!$D$51</definedName>
    <definedName name="anode_material" localSheetId="2">Electrochemistry!$D$63</definedName>
    <definedName name="anode_shape" localSheetId="2">Electrochemistry!$D$41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eff_hi" localSheetId="3">Chemistry!$D$157</definedName>
    <definedName name="C_eff_lo" localSheetId="3">Chemistry!$D$156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ath_j_cont" localSheetId="2">Electrochemistry!$D$52</definedName>
    <definedName name="cath_j_max" localSheetId="2">Electrochemistry!$D$53</definedName>
    <definedName name="cathode_dia" localSheetId="2">Electrochemistry!$D$44</definedName>
    <definedName name="cathode_shape" localSheetId="2">Electrochemistry!$D$43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pool_mgL" localSheetId="3">Chemistry!$D$149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corr_I_frac" localSheetId="3">Chemistry!$D$158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max" localSheetId="2">Electrochemistry!$D$74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j_anode" localSheetId="2">Electrochemistry!$D$48</definedName>
    <definedName name="j_anode_max" localSheetId="2">Electrochemistry!$D$75</definedName>
    <definedName name="j_bio_flag" localSheetId="2">Electrochemistry!$D$59</definedName>
    <definedName name="j_cath_flag" localSheetId="2">Electrochemistry!$D$61</definedName>
    <definedName name="j_cathode" localSheetId="2">Electrochemistry!$D$49</definedName>
    <definedName name="j_ceiling_default" localSheetId="2">Electrochemistry!$D$55</definedName>
    <definedName name="j_ceiling_strain" localSheetId="2">Electrochemistry!$D$57</definedName>
    <definedName name="j_flag" localSheetId="2">Electrochemistry!$D$62</definedName>
    <definedName name="j_flag_max" localSheetId="2">Electrochemistry!$D$76</definedName>
    <definedName name="j_mat_flag" localSheetId="2">Electrochemistry!$D$60</definedName>
    <definedName name="j_opt_default" localSheetId="2">Electrochemistry!$D$54</definedName>
    <definedName name="j_opt_strain" localSheetId="2">Electrochemistry!$D$56</definedName>
    <definedName name="j_strain_conf" localSheetId="2">Electrochemistry!$D$58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_sub" localSheetId="2">Electrochemistry!$D$45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etal_flag" localSheetId="3">Chemistry!$D$163</definedName>
    <definedName name="metal_leach_rate" localSheetId="3">Chemistry!$D$161</definedName>
    <definedName name="metal_MW" localSheetId="3">Chemistry!$D$159</definedName>
    <definedName name="metal_tox_thresh" localSheetId="3">Chemistry!$D$162</definedName>
    <definedName name="metal_z" localSheetId="3">Chemistry!$D$160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e_Cl" localSheetId="3">Chemistry!$D$148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hi" localSheetId="3">Chemistry!$D$155</definedName>
    <definedName name="NH2Cl_lo" localSheetId="3">Chemistry!$D$154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ower_max" localSheetId="2">Electrochemistry!$D$73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chloramine_hi" localSheetId="3">Chemistry!$D$153</definedName>
    <definedName name="R_chloramine_lo" localSheetId="3">Chemistry!$D$152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NH2Cl_hi" localSheetId="3">Chemistry!$D$151</definedName>
    <definedName name="tau_NH2Cl_lo" localSheetId="3">Chemistry!$D$150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cal_gerrit_slope">Calibrations!$D$16</definedName>
    <definedName name="cal_gerrit_int">Calibrations!$D$17</definedName>
    <definedName name="cal_etaF">Calibrations!$D$31</definedName>
    <definedName name="cal_etaF_OER">Calibrations!$D$32</definedName>
    <definedName name="cal_kLa">Calibrations!$D$46</definedName>
    <definedName name="cal_flow">Calibrations!$D$60</definedName>
    <definedName name="cal_Vtot">Calibrations!$D$74</definedName>
    <definedName name="cal_Dint">Calibrations!$D$75</definedName>
    <definedName name="cal_sinter">Calibrations!$D$89</definedName>
    <definedName name="cal_DO_min">Calibrations!$D$103</definedName>
    <definedName name="cal_DO_opt">Calibrations!$D$104</definedName>
    <definedName name="cal_DO_impair">Calibrations!$D$105</definedName>
    <definedName name="cal_DO_toxic">Calibrations!$D$106</definedName>
    <definedName name="cal_knall_H2">Calibrations!$D$120</definedName>
    <definedName name="cal_knall_O2">Calibrations!$D$121</definedName>
    <definedName name="cal_knall_CO2">Calibrations!$D$122</definedName>
    <definedName name="cal_j_opt">Calibrations!$D$136</definedName>
    <definedName name="cal_j_ceiling">Calibrations!$D$137</definedName>
  </definedNames>
  <calcPr calcId="191029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<sst xmlns="http://schemas.openxmlformats.org/spreadsheetml/2006/main" count="1958" uniqueCount="1438">
  <si>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</si>
  <si>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</si>
  <si>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</si>
  <si>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</si>
  <si>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</si>
  <si>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</si>
  <si>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</si>
  <si>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</si>
  <si>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</si>
  <si>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</si>
  <si>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</si>
  <si>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</si>
  <si>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</si>
  <si>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</si>
  <si>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</si>
  <si>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</si>
  <si>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</si>
  <si>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</si>
  <si>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</si>
  <si>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</si>
  <si>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</si>
  <si>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</si>
  <si>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</si>
  <si>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</si>
  <si>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</si>
  <si>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</si>
  <si>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</si>
  <si>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</si>
  <si>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</si>
  <si>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</si>
  <si>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</si>
  <si>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</si>
  <si>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</si>
  <si>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</si>
  <si>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</si>
  <si>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</si>
  <si>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</si>
  <si>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</si>
  <si>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</si>
  <si>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</si>
  <si>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</si>
  <si>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</si>
  <si>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</si>
  <si>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</si>
  <si>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led_intensity</t>
  </si>
  <si>
    <t>%</t>
  </si>
  <si>
    <t>input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</si>
  <si>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</si>
  <si>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</si>
  <si>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</si>
  <si>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</si>
  <si>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</si>
  <si>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</si>
  <si>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</si>
  <si>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</si>
  <si>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</si>
  <si>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</si>
  <si>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</si>
  <si>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</si>
  <si>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</si>
  <si>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</si>
  <si>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</si>
  <si>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</si>
  <si>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</si>
  <si>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</si>
  <si>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</si>
  <si>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</si>
  <si>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</si>
  <si>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</si>
  <si>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</si>
  <si>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</si>
  <si>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</si>
  <si>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</si>
  <si>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</si>
  <si>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</si>
  <si>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</si>
  <si>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</si>
  <si>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</si>
  <si>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</si>
  <si>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</si>
  <si>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</si>
  <si>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</si>
  <si>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</si>
  <si>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</si>
  <si>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</si>
  <si>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</si>
  <si>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</si>
  <si>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</si>
  <si>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</si>
  <si>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</si>
  <si>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</si>
  <si>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</si>
  <si>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</si>
  <si>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</si>
  <si>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</si>
  <si>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</si>
  <si>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</si>
  <si>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</si>
  <si>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</si>
  <si>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</si>
  <si>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</si>
  <si>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</si>
  <si>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</si>
  <si>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</si>
  <si>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</si>
  <si>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</si>
  <si>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</si>
  <si>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</si>
  <si>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</si>
  <si>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</si>
  <si>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</si>
  <si>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</si>
  <si>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</si>
  <si>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</si>
  <si>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</si>
  <si>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</si>
  <si>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</si>
  <si>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</si>
  <si>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</si>
  <si>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</si>
  <si>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</si>
  <si>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</si>
  <si>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</si>
  <si>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</si>
  <si>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</si>
  <si>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</si>
  <si>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</si>
  <si>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</si>
  <si>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</si>
  <si>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</si>
  <si>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</si>
  <si>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</si>
  <si>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</si>
  <si>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</si>
  <si>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</si>
  <si>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</si>
  <si>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</si>
  <si>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</si>
  <si>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</si>
  <si>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</si>
  <si>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</si>
  <si>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</si>
  <si>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</si>
  <si>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</si>
  <si>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</si>
  <si>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</si>
  <si>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</si>
  <si>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</si>
  <si>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</si>
  <si>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</si>
  <si>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</si>
  <si>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</si>
  <si>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</si>
  <si>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</si>
  <si>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</si>
  <si>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</si>
  <si>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</si>
  <si>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</si>
  <si>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</si>
  <si>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</si>
  <si>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</si>
  <si>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</si>
  <si>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</si>
  <si>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</si>
  <si>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</si>
  <si>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</si>
  <si>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</si>
  <si>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</si>
  <si>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</si>
  <si>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</si>
  <si>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</si>
  <si>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</si>
  <si>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</si>
  <si>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</si>
  <si>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</si>
  <si>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</si>
  <si>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</si>
  <si>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</si>
  <si>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</si>
  <si>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</si>
  <si>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</si>
  <si>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</si>
  <si>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</si>
  <si>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</si>
  <si>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</si>
  <si>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</si>
  <si>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</si>
  <si>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</si>
  <si>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</si>
  <si>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</si>
  <si>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</si>
  <si>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</si>
  <si>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</si>
  <si>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</si>
  <si>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</si>
  <si>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</si>
  <si>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</si>
  <si>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</si>
  <si>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</si>
  <si>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</si>
  <si>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</si>
  <si>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</si>
  <si>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</si>
  <si>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</si>
  <si>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</si>
  <si>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</si>
  <si>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</si>
  <si>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</si>
  <si>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</si>
  <si>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</si>
  <si>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</si>
  <si>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</si>
  <si>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</si>
  <si>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</si>
  <si>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</si>
  <si>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</si>
  <si>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</si>
  <si>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</si>
  <si>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</si>
  <si>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</si>
  <si>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</si>
  <si>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</si>
  <si>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</si>
  <si>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</si>
  <si>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</si>
  <si>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</si>
  <si>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</si>
  <si>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</si>
  <si>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</si>
  <si>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</si>
  <si>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</si>
  <si>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</si>
  <si>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</si>
  <si>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</si>
  <si>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</si>
  <si>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</si>
  <si>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</si>
  <si>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</si>
  <si>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</si>
  <si>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</si>
  <si>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</si>
  <si>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</si>
  <si>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</si>
  <si>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</si>
  <si>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</si>
  <si>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</si>
  <si>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</si>
  <si>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</si>
  <si>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</si>
  <si>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</si>
  <si>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</si>
  <si>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</si>
  <si>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</si>
  <si>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</si>
  <si>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</si>
  <si>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</si>
  <si>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</si>
  <si>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</si>
  <si>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</si>
  <si>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</si>
  <si>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</si>
  <si>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</si>
  <si>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</si>
  <si>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</si>
  <si>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</si>
  <si>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</si>
  <si>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</si>
  <si>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</si>
  <si>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</si>
  <si>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</si>
  <si>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</si>
  <si>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</si>
  <si>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</si>
  <si>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</si>
  <si>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</si>
  <si>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</si>
  <si>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</si>
  <si>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</si>
  <si>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</si>
  <si>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</si>
  <si>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</si>
  <si>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</si>
  <si>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</si>
  <si>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</si>
  <si>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</si>
  <si>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</si>
  <si>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</si>
  <si>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</si>
  <si>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</si>
  <si>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</si>
  <si>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</si>
  <si>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</si>
  <si>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</si>
  <si>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</si>
  <si>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</si>
  <si>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</si>
  <si>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</si>
  <si>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</si>
  <si>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</si>
  <si>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</si>
  <si>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</si>
  <si>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</si>
  <si>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</si>
  <si>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</si>
  <si>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</si>
  <si>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</si>
  <si>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</si>
  <si>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</si>
  <si>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</si>
  <si>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</si>
  <si>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</si>
  <si>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</si>
  <si>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</si>
  <si>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</si>
  <si>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</si>
  <si>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</si>
  <si>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</si>
  <si>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</si>
  <si>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</si>
  <si>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</si>
  <si>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</si>
  <si>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</si>
  <si>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</si>
  <si>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</si>
  <si>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</si>
  <si>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</si>
  <si>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</si>
  <si>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</si>
  <si>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</si>
  <si>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</si>
  <si>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</si>
  <si>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</si>
  <si>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</si>
  <si>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</si>
  <si>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</si>
  <si>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</si>
  <si>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</si>
  <si>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</si>
  <si>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</si>
  <si>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</si>
  <si>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</si>
  <si>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</si>
  <si>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</si>
  <si>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</si>
  <si>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</si>
  <si>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</si>
  <si>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</si>
  <si>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</si>
  <si>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</si>
  <si>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</si>
  <si>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</si>
  <si>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</si>
  <si>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</si>
  <si>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</si>
  <si>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</si>
  <si>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</si>
  <si>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</si>
  <si>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</si>
  <si>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</si>
  <si>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</si>
  <si>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</si>
  <si>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</si>
  <si>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</si>
  <si>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</si>
  <si>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</si>
  <si>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</si>
  <si>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</si>
  <si>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</si>
  <si>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</si>
  <si>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</si>
  <si>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</si>
  <si>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</si>
  <si>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</si>
  <si>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</si>
  <si>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</si>
  <si>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</si>
  <si>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</si>
  <si>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</si>
  <si>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</si>
  <si>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</si>
  <si>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</si>
  <si>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</si>
  <si>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</si>
  <si>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</si>
  <si>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</si>
  <si>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</si>
  <si>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</si>
  <si>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</si>
  <si>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</si>
  <si>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</si>
  <si>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</si>
  <si>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</si>
  <si>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</si>
  <si>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</si>
  <si>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</si>
  <si>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</si>
  <si>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</si>
  <si>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</si>
  <si>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</si>
  <si>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</si>
  <si>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</si>
  <si>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</si>
  <si>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</si>
  <si>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</si>
  <si>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</si>
  <si>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</si>
  <si>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</si>
  <si>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</si>
  <si>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</si>
  <si>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</si>
  <si>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</si>
  <si>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</si>
  <si>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</si>
  <si>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</si>
  <si>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</si>
  <si>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</si>
  <si>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</si>
  <si>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</si>
  <si>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</si>
  <si>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</si>
  <si>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</si>
  <si>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</si>
  <si>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</si>
  <si>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</si>
  <si>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</si>
  <si>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</si>
  <si>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</si>
  <si>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</si>
  <si>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</si>
  <si>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</si>
  <si>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</si>
  <si>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</si>
  <si>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</si>
  <si>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</si>
  <si>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</si>
  <si>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</si>
  <si>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</si>
  <si>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</si>
  <si>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</si>
  <si>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</si>
  <si>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</si>
  <si>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</si>
  <si>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</si>
  <si>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</si>
  <si>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</si>
  <si>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</si>
  <si>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</si>
  <si>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</si>
  <si>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</si>
  <si>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</si>
  <si>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</si>
  <si>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</si>
  <si>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</si>
  <si>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</si>
  <si>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</si>
  <si>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</si>
  <si>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</si>
  <si>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</si>
  <si>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</si>
  <si>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</si>
  <si>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</si>
  <si>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</si>
  <si>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</si>
  <si>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</si>
  <si>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</si>
  <si>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</si>
  <si>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</si>
  <si>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</si>
  <si>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</si>
  <si>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</si>
  <si>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</si>
  <si>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</si>
  <si>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</si>
  <si>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</si>
  <si>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</si>
  <si>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</si>
  <si>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</si>
  <si>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</si>
  <si>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</si>
  <si>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</si>
  <si>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</si>
  <si>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</si>
  <si>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</si>
  <si>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</si>
  <si>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</si>
  <si>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</si>
  <si>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</si>
  <si>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</si>
  <si>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</si>
  <si>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</si>
  <si>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</si>
  <si>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</si>
  <si>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</si>
  <si>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</si>
  <si>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</si>
  <si>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</si>
  <si>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</si>
  <si>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</si>
  <si>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</si>
  <si>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</si>
  <si>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</si>
  <si>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</si>
  <si>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</si>
  <si>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</si>
  <si>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</si>
  <si>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</si>
  <si>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</si>
  <si>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</si>
  <si>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</si>
  <si>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</si>
  <si>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</si>
  <si>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</si>
  <si>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</si>
  <si>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</si>
  <si>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</si>
  <si>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</si>
  <si>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</si>
  <si>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</si>
  <si>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</si>
  <si>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</si>
  <si>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</si>
  <si>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</si>
  <si>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</si>
  <si>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</si>
  <si>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</si>
  <si>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</si>
  <si>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</si>
  <si>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</si>
  <si>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</si>
  <si>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</si>
  <si>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</si>
  <si>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</si>
  <si>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</si>
  <si>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</si>
  <si>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</si>
  <si>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</si>
  <si>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</si>
  <si>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</si>
  <si>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</si>
  <si>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</si>
  <si>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</si>
  <si>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</si>
  <si>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</si>
  <si>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</si>
  <si>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</si>
  <si>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</si>
  <si>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</si>
  <si>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</si>
  <si>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</si>
  <si>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</si>
  <si>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</si>
  <si>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</si>
  <si>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</si>
  <si>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</si>
  <si>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</si>
  <si>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</si>
  <si>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</si>
  <si>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</si>
  <si>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</si>
  <si>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</si>
  <si>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</si>
  <si>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</si>
  <si>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</si>
  <si>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</si>
  <si>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</si>
  <si>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</si>
  <si>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</si>
  <si>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</si>
  <si>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</si>
  <si>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</si>
  <si>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</si>
  <si>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</si>
  <si>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</si>
  <si>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</si>
  <si>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</si>
  <si>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</si>
  <si>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</si>
  <si>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</si>
  <si>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</si>
  <si>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</si>
  <si>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</si>
  <si>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</si>
  <si>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</si>
  <si>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</si>
  <si>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</si>
  <si>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</si>
  <si>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</si>
  <si>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</si>
  <si>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</si>
  <si>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</si>
  <si>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</si>
  <si>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</si>
  <si>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</si>
  <si>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</si>
  <si>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</si>
  <si>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</si>
  <si>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</si>
  <si>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</si>
  <si>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</si>
  <si>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</si>
  <si>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</si>
  <si>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</si>
  <si>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</si>
  <si>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</si>
  <si>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</si>
  <si>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</si>
  <si>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</si>
  <si>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</si>
  <si>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</si>
  <si>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</si>
  <si>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</si>
  <si>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</si>
  <si>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</si>
  <si>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</si>
  <si>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</si>
  <si>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</si>
  <si>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</si>
  <si>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</si>
  <si>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</si>
  <si>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</si>
  <si>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</si>
  <si>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</si>
  <si>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</si>
  <si>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</si>
  <si>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</si>
  <si>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</si>
  <si>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</si>
  <si>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</si>
  <si>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</si>
  <si>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</si>
  <si>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</si>
  <si>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</si>
  <si>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</si>
  <si>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</si>
  <si>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</si>
  <si>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</si>
  <si>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</si>
  <si>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</si>
  <si>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</si>
  <si>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</si>
  <si>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</si>
  <si>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</si>
  <si>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</si>
  <si>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</si>
  <si>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</si>
  <si>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</si>
  <si>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</si>
  <si>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</si>
  <si>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</si>
  <si>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</si>
  <si>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</si>
  <si>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</si>
  <si>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</si>
  <si>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</si>
  <si>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</si>
  <si>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</si>
  <si>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</si>
  <si>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</si>
  <si>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</si>
  <si>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</si>
  <si>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</si>
  <si>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</si>
  <si>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</si>
  <si>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</si>
  <si>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</si>
  <si>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</si>
  <si>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</si>
  <si>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</si>
  <si>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</si>
  <si>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</si>
  <si>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</si>
  <si>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</si>
  <si>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</si>
  <si>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</si>
  <si>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</si>
  <si>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</si>
  <si>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</si>
  <si>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</si>
  <si>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</si>
  <si>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</si>
  <si>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</si>
  <si>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</si>
  <si>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</si>
  <si>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</si>
  <si>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</si>
  <si>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</si>
  <si>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</si>
  <si>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</si>
  <si>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</si>
  <si>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</si>
  <si>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</si>
  <si>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</si>
  <si>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</si>
  <si>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</si>
  <si>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</si>
  <si>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</si>
  <si>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</si>
  <si>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</si>
  <si>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</si>
  <si>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</si>
  <si>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</si>
  <si>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</si>
  <si>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</si>
  <si>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</si>
  <si>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</si>
  <si>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</si>
  <si>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</si>
  <si>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</si>
  <si>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</si>
  <si>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</si>
  <si>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</si>
  <si>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</si>
  <si>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</si>
  <si>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</si>
  <si>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</si>
  <si>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</si>
  <si>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</si>
  <si>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</si>
  <si>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</si>
  <si>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</si>
  <si>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</si>
  <si>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</si>
  <si>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</si>
  <si>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</si>
  <si>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</si>
  <si>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</si>
  <si>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</si>
  <si>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</si>
  <si>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</si>
  <si>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</si>
  <si>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</si>
  <si>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</si>
  <si>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</si>
  <si>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</si>
  <si>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</si>
  <si>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</si>
  <si>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</si>
  <si>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</si>
  <si>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</si>
  <si>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</si>
  <si>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</si>
  <si>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</si>
  <si>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</si>
  <si>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</si>
  <si>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</si>
  <si>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</si>
  <si>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</si>
  <si>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</si>
  <si>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OPTIMAL pulse duration</t>
  </si>
  <si>
    <t>spg_dur_opt</t>
  </si>
  <si>
    <t>ANSWER. Shortest reliable pulse → most frequent, smoothest DO, best OD-read windows.</t>
  </si>
  <si>
    <t>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</si>
  <si>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</si>
  <si>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</si>
  <si>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</si>
  <si>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</si>
  <si>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</si>
  <si>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</si>
  <si>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</si>
  <si>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</si>
  <si>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</si>
  <si>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</si>
  <si>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</si>
  <si>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</si>
  <si>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</si>
  <si>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</si>
  <si>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</si>
  <si>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</si>
  <si>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</si>
  <si>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</si>
  <si>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</si>
  <si>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</si>
  <si>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</si>
  <si>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</si>
  <si>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</si>
  <si>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</si>
  <si>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</si>
  <si>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</si>
  <si>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</si>
  <si>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</si>
  <si>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</si>
  <si>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</si>
  <si>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</si>
  <si>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</si>
  <si>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</si>
  <si>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</si>
  <si>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</si>
  <si>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</si>
  <si>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</si>
  <si>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</si>
  <si>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</si>
  <si>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</si>
  <si>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</si>
  <si>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</si>
  <si>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</si>
  <si>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</si>
  <si>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</si>
  <si>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</si>
  <si>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</si>
  <si>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</si>
  <si>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</si>
  <si>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</si>
  <si>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</si>
  <si>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</si>
  <si>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</si>
  <si>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</si>
  <si>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</si>
  <si>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</si>
  <si>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</si>
  <si>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</si>
  <si>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</si>
  <si>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</si>
  <si>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</si>
  <si>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</si>
  <si>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</si>
  <si>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</si>
  <si>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</si>
  <si>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</si>
  <si>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</si>
  <si>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</si>
  <si>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</si>
  <si>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</si>
  <si>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</si>
  <si>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</si>
  <si>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</si>
  <si>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</si>
  <si>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</si>
  <si>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</si>
  <si>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</si>
  <si>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</si>
  <si>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</si>
  <si>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</si>
  <si>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</si>
  <si>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</si>
  <si>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</si>
  <si>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</si>
  <si>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</si>
  <si>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</si>
  <si>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</si>
  <si>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</si>
  <si>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</si>
  <si>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</si>
  <si>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</si>
  <si>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</si>
  <si>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</si>
  <si>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</si>
  <si>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</si>
  <si>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</si>
  <si>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</si>
  <si>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</si>
  <si>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</si>
  <si>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</si>
  <si>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</si>
  <si>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</si>
  <si>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</si>
  <si>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</si>
  <si>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</si>
  <si>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</si>
  <si>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</si>
  <si>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</si>
  <si>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</si>
  <si>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</si>
  <si>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</si>
  <si>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</si>
  <si>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</si>
  <si>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</si>
  <si>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</si>
  <si>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</si>
  <si>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</si>
  <si>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</si>
  <si>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</si>
  <si>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</si>
  <si>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</si>
  <si>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</si>
  <si>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</si>
  <si>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</si>
  <si>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</si>
  <si>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</si>
  <si>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</si>
  <si>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</si>
  <si>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</si>
  <si>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</si>
  <si>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</si>
  <si>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</si>
  <si>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</si>
  <si>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</si>
  <si>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</si>
  <si>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</si>
  <si>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</si>
  <si>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</si>
  <si>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</si>
  <si>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</si>
  <si>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</si>
  <si>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</si>
  <si>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</si>
  <si>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</si>
  <si>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</si>
  <si>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</si>
  <si>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</si>
  <si>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</si>
  <si>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</si>
  <si>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</si>
  <si>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</si>
  <si>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</si>
  <si>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</si>
  <si>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</si>
  <si>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</si>
  <si>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</si>
  <si>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</si>
  <si>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</si>
  <si>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</si>
  <si>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</si>
  <si>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</si>
  <si>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</si>
  <si>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</si>
  <si>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</si>
  <si>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</si>
  <si>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</si>
  <si>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</si>
  <si>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</si>
  <si>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</si>
  <si>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</si>
  <si>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</si>
  <si>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</si>
  <si>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</si>
  <si>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</si>
  <si>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</si>
  <si>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</si>
  <si>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</si>
  <si>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</si>
  <si>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</si>
  <si>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</si>
  <si>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</si>
  <si>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</si>
  <si>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</si>
  <si>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</si>
  <si>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</si>
  <si>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</si>
  <si>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</si>
  <si>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</si>
  <si>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</si>
  <si>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</si>
  <si>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</si>
  <si>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</si>
  <si>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</si>
  <si>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</si>
  <si>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</si>
  <si>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</si>
  <si>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</si>
  <si>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</si>
  <si>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</si>
  <si>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</si>
  <si>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</si>
  <si>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</si>
  <si>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</si>
  <si>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</si>
  <si>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</si>
  <si>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</si>
  <si>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</si>
  <si>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</si>
  <si>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</si>
  <si>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</si>
  <si>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</si>
  <si>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</si>
  <si>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</si>
  <si>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</si>
  <si>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</si>
  <si>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</si>
  <si>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</si>
  <si>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</si>
  <si>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</si>
  <si>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</si>
  <si>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</si>
  <si>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</si>
  <si>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</si>
  <si>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</si>
  <si>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</si>
  <si>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</si>
  <si>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</si>
  <si>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</si>
  <si>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</si>
  <si>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</si>
  <si>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</si>
  <si>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</si>
  <si>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</si>
  <si>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</si>
  <si>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</si>
  <si>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</si>
  <si>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</si>
  <si>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</si>
  <si>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</si>
  <si>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</si>
  <si>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</si>
  <si>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</si>
  <si>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</si>
  <si>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</si>
  <si>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</si>
  <si>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</si>
  <si>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</si>
  <si>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</si>
  <si>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</si>
  <si>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</si>
  <si>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</si>
  <si>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</si>
  <si>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</si>
  <si>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</si>
  <si>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</si>
  <si>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</si>
  <si>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</si>
  <si>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</si>
  <si>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</si>
  <si>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</si>
  <si>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</si>
  <si>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</si>
  <si>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</si>
  <si>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</si>
  <si>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</si>
  <si>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</si>
  <si>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</si>
  <si>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</si>
  <si>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</si>
  <si>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</si>
  <si>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</si>
  <si>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</si>
  <si>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</si>
  <si>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</si>
  <si>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</si>
  <si>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</si>
  <si>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</si>
  <si>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</si>
  <si>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</si>
  <si>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</si>
  <si>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</si>
  <si>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</si>
  <si>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</si>
  <si>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</si>
  <si>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</si>
  <si>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</si>
  <si>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</si>
  <si>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</si>
  <si>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</si>
  <si>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</si>
  <si>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</si>
  <si>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</si>
  <si>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</si>
  <si>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</si>
  <si>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</si>
  <si>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</si>
  <si>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</si>
  <si>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</si>
  <si>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</si>
  <si>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</si>
  <si>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</si>
  <si>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</si>
  <si>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</si>
  <si>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</si>
  <si>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</si>
  <si>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</si>
  <si>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</si>
  <si>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</si>
  <si>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</si>
  <si>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</si>
  <si>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</si>
  <si>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</si>
  <si>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</si>
  <si>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</si>
  <si>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</si>
  <si>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</si>
  <si>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</si>
  <si>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</si>
  <si>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</si>
  <si>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</si>
  <si>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</si>
  <si>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</si>
  <si>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</si>
  <si>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</si>
  <si>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</si>
  <si>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</si>
  <si>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</si>
  <si>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</si>
  <si>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</si>
  <si>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</si>
  <si>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</si>
  <si>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</si>
  <si>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</si>
  <si>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</si>
  <si>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</si>
  <si>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</si>
  <si>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</si>
  <si>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</si>
  <si>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</si>
  <si>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</si>
  <si>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</si>
  <si>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</si>
  <si>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</si>
  <si>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</si>
  <si>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</si>
  <si>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</si>
  <si>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</si>
  <si>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</si>
  <si>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</si>
  <si>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</si>
  <si>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</si>
  <si>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</si>
  <si>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</si>
  <si>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</si>
  <si>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</si>
  <si>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</si>
  <si>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</si>
  <si>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</si>
  <si>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</si>
  <si>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</si>
  <si>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</si>
  <si>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</si>
  <si>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</si>
  <si>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</si>
  <si>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</si>
  <si>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</si>
  <si>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</si>
  <si>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</si>
  <si>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</si>
  <si>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</si>
  <si>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</si>
  <si>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</si>
  <si>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</si>
  <si>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</si>
  <si>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</si>
  <si>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</si>
  <si>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</si>
  <si>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</si>
  <si>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</si>
  <si>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</si>
  <si>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</si>
  <si>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</si>
  <si>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</si>
  <si>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</si>
  <si>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</si>
  <si>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</si>
  <si>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</si>
  <si>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</si>
  <si>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</si>
  <si>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</si>
  <si>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</si>
  <si>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</si>
  <si>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</si>
  <si>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</si>
  <si>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</si>
  <si>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</si>
  <si>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</si>
  <si>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</si>
  <si>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</si>
  <si>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</si>
  <si>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</si>
  <si>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</si>
  <si>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</si>
  <si>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</si>
  <si>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</si>
  <si>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</si>
  <si>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</si>
  <si>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</si>
  <si>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</si>
  <si>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</si>
  <si>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</si>
  <si>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</si>
  <si>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</si>
  <si>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</si>
  <si>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</si>
  <si>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</si>
  <si>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</si>
  <si>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</si>
  <si>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</si>
  <si>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</si>
  <si>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</si>
  <si>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</si>
  <si>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</si>
  <si>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</si>
  <si>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</si>
  <si>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</si>
  <si>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</si>
  <si>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</si>
  <si>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</si>
  <si>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</si>
  <si>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</si>
  <si>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</si>
  <si>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</si>
  <si>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</si>
  <si>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</si>
  <si>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</si>
  <si>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</si>
  <si>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</si>
  <si>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</si>
  <si>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</si>
  <si>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</si>
  <si>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</si>
  <si>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</si>
  <si>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</si>
  <si>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</si>
  <si>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</si>
  <si>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</si>
  <si>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</si>
  <si>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</si>
  <si>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</si>
  <si>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</si>
  <si>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</si>
  <si>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</si>
  <si>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</si>
  <si>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</si>
  <si>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</si>
  <si>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</si>
  <si>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</si>
  <si>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</si>
  <si>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</si>
  <si>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</si>
  <si>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</si>
  <si>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</si>
  <si>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</si>
  <si>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</si>
  <si>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</si>
  <si>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</si>
  <si>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</si>
  <si>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</si>
  <si>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</si>
  <si>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</si>
  <si>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</si>
  <si>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</si>
  <si>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</si>
  <si>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</si>
  <si>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</si>
  <si>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</si>
  <si>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</si>
  <si>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</si>
  <si>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</si>
  <si>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</si>
  <si>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</si>
  <si>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</si>
  <si>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</si>
  <si>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</si>
  <si>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</si>
  <si>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</si>
  <si>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</si>
  <si>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</si>
  <si>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</si>
  <si>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</si>
  <si>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</si>
  <si>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</si>
  <si>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</si>
  <si>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</si>
  <si>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</si>
  <si>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</si>
  <si>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</si>
  <si>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</si>
  <si>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</si>
  <si>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</si>
  <si>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</si>
  <si>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</si>
  <si>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</si>
  <si>
    <t>electrons per produced HOCl</t>
  </si>
  <si>
    <t>n_e_Cl</t>
  </si>
  <si>
    <t>e-/HOCl</t>
  </si>
  <si>
    <t>n-electron count in the binding regime: 1 e-/Cl- when chloride-arrival-limited, 2 e-/Cl2 on the FE route</t>
  </si>
  <si>
    <t>chloride-pool ceiling on chlorine</t>
  </si>
  <si>
    <t>Cl_pool_mgL</t>
  </si>
  <si>
    <t>mg/L</t>
  </si>
  <si>
    <t>Total chloride pool as HOCl-equivalent; chlorine (free+combined) cannot exceed this. UdG CaCl2-derived (closed batch also depletes it)</t>
  </si>
  <si>
    <t>monochloramine residence (low)</t>
  </si>
  <si>
    <t>tau_NH2Cl_lo</t>
  </si>
  <si>
    <t>h</t>
  </si>
  <si>
    <t>Low bound of monochloramine residence (~1 min); weak estimate, swept for the C_eff band</t>
  </si>
  <si>
    <t>monochloramine residence (high)</t>
  </si>
  <si>
    <t>tau_NH2Cl_hi</t>
  </si>
  <si>
    <t>h</t>
  </si>
  <si>
    <t>High bound of monochloramine residence (5 h); weak estimate, swept for the C_eff band</t>
  </si>
  <si>
    <t>chloramine potency divisor (low)</t>
  </si>
  <si>
    <t>R_chloramine_lo</t>
  </si>
  <si>
    <t>x</t>
  </si>
  <si>
    <t>Most-potent end of the monochloramine potency-divisor band (defensible)</t>
  </si>
  <si>
    <t>chloramine potency divisor (high)</t>
  </si>
  <si>
    <t>R_chloramine_hi</t>
  </si>
  <si>
    <t>x</t>
  </si>
  <si>
    <t>Least-potent end of the monochloramine potency-divisor band</t>
  </si>
  <si>
    <t>combined chlorine (low-tau)</t>
  </si>
  <si>
    <t>NH2Cl_lo</t>
  </si>
  <si>
    <t>mg/L</t>
  </si>
  <si>
    <t>Combined chlorine at the low-tau bound, chloride-pool-capped</t>
  </si>
  <si>
    <t>combined chlorine (high-tau)</t>
  </si>
  <si>
    <t>NH2Cl_hi</t>
  </si>
  <si>
    <t>mg/L</t>
  </si>
  <si>
    <t>Combined chlorine at the high-tau bound, chloride-pool-capped</t>
  </si>
  <si>
    <t>effective biocidal chlorine (low)</t>
  </si>
  <si>
    <t>C_eff_lo</t>
  </si>
  <si>
    <t>mg/L</t>
  </si>
  <si>
    <t>Low bound of effective biocidal chlorine (least chlorine, least potent)</t>
  </si>
  <si>
    <t>effective biocidal chlorine (high)</t>
  </si>
  <si>
    <t>C_eff_hi</t>
  </si>
  <si>
    <t>mg/L</t>
  </si>
  <si>
    <t>High bound (most chlorine, most potent); the chloride-pool cap keeps it below the kill threshold in UdG</t>
  </si>
  <si>
    <t>anodic charge to metal dissolution</t>
  </si>
  <si>
    <t>corr_I_frac</t>
  </si>
  <si>
    <t>-</t>
  </si>
  <si>
    <t>DATA GAP - fraction of anodic charge going to electrode metal dissolution; measure (the green anode points to Cu/Ni ammine)</t>
  </si>
  <si>
    <t>leached-metal molar mass</t>
  </si>
  <si>
    <t>metal_MW</t>
  </si>
  <si>
    <t>g/mol</t>
  </si>
  <si>
    <t>Cu molar mass, representative leached transition metal</t>
  </si>
  <si>
    <t>electrons per metal ion</t>
  </si>
  <si>
    <t>metal_z</t>
  </si>
  <si>
    <t>e-/ion</t>
  </si>
  <si>
    <t>Electrons per dissolved divalent metal ion</t>
  </si>
  <si>
    <t>dissolved-metal leach rate</t>
  </si>
  <si>
    <t>metal_leach_rate</t>
  </si>
  <si>
    <t>mg/L/h</t>
  </si>
  <si>
    <t>Dissolved-metal accumulation rate; #N/A until corr_I_frac is measured</t>
  </si>
  <si>
    <t>metal toxicity threshold</t>
  </si>
  <si>
    <t>metal_tox_thresh</t>
  </si>
  <si>
    <t>mg/L</t>
  </si>
  <si>
    <t>Order-of-magnitude bactericidal Cu/Ni concentration for gram-negatives (literature)</t>
  </si>
  <si>
    <t>electrode-corrosion verdict</t>
  </si>
  <si>
    <t>metal_flag</t>
  </si>
  <si>
    <t>-</t>
  </si>
  <si>
    <t>Verdict pointer: the unmodelled prime suspect for the Exp-2 death</t>
  </si>
  <si>
    <t>Electrolysis power</t>
  </si>
  <si>
    <t>LED channel D %, the AEP-Plugin 'electrolysis_power' setting (runtime-clamped 0–10 %); drives the electrolysis current via Gerrit's Law.</t>
  </si>
  <si>
    <t>ELECTROLYSIS &amp; CURRENT DENSITY</t>
  </si>
  <si>
    <t>Electrolysis current</t>
  </si>
  <si>
    <t>Cell current at the set Electrolysis power (Gerrit's Law).</t>
  </si>
  <si>
    <t>Anode current density</t>
  </si>
  <si>
    <t>mA/cm²</t>
  </si>
  <si>
    <t>Current per unit submerged anode area (shape-aware).</t>
  </si>
  <si>
    <t>Current density status (now)</t>
  </si>
  <si>
    <t>Green = at/below the strain optimum; amber = above optimum; red = over the strain ceiling or the electrode's rating.</t>
  </si>
  <si>
    <t>Max Electrolysis power</t>
  </si>
  <si>
    <t>AEP-Plugin runtime clamp: electrolysis_power ≤ 10 %.</t>
  </si>
  <si>
    <t>Max electrolysis current</t>
  </si>
  <si>
    <t>Highest cell current you can set (at max power).</t>
  </si>
  <si>
    <t>Max anode current density</t>
  </si>
  <si>
    <t>Anode current density at max power.</t>
  </si>
  <si>
    <t>Current density status (at max power)</t>
  </si>
  <si>
    <t>Whether the highest current you can set stays within the strain and electrode limits.</t>
  </si>
  <si>
    <t>anode shape</t>
  </si>
  <si>
    <t>anode j cont (mA/cm²)</t>
  </si>
  <si>
    <t>anode j max (mA/cm²)</t>
  </si>
  <si>
    <t>cathode shape</t>
  </si>
  <si>
    <t>material note</t>
  </si>
  <si>
    <t>rod</t>
  </si>
  <si>
    <t>Pt/Ti O₂-evolution; cells bind before the coating.</t>
  </si>
  <si>
    <t>IrO₂-Ta₂O₅ O₂-selective; derates vs chloride.</t>
  </si>
  <si>
    <t>tube</t>
  </si>
  <si>
    <t>Tubular MMO CP rating ~100 A/m²; binds near the cell limit.</t>
  </si>
  <si>
    <t>Graphite rod</t>
  </si>
  <si>
    <t>Graphite</t>
  </si>
  <si>
    <t>Consumable; ~35 mA/cm² erosion, unsuitable for sustained neutral O₂; testing only.</t>
  </si>
  <si>
    <t>CURRENT DENSITY, WETTED AREA &amp; LIMITS</t>
  </si>
  <si>
    <t>Anode shape (from electrode)</t>
  </si>
  <si>
    <t>anode_shape</t>
  </si>
  <si>
    <t>Rod counts its end face; a tube does not.</t>
  </si>
  <si>
    <t>Anode diameter (from electrode)</t>
  </si>
  <si>
    <t>anode_dia</t>
  </si>
  <si>
    <t>Electrode table.</t>
  </si>
  <si>
    <t>Cathode shape (from electrode)</t>
  </si>
  <si>
    <t>cathode_shape</t>
  </si>
  <si>
    <t>Rod/tube; sets the end-face term.</t>
  </si>
  <si>
    <t>Cathode diameter (from electrode)</t>
  </si>
  <si>
    <t>cathode_dia</t>
  </si>
  <si>
    <t>(import) Submerged electrode length</t>
  </si>
  <si>
    <t>L_sub</t>
  </si>
  <si>
    <t>Resolves per selected reactor.</t>
  </si>
  <si>
    <t>A_anode_wet</t>
  </si>
  <si>
    <t>Lateral π·d·L (+ end face for a rod). mm²→cm².</t>
  </si>
  <si>
    <t>Cathode wetted area</t>
  </si>
  <si>
    <t>A_cath_wet</t>
  </si>
  <si>
    <t>Same, cathode.</t>
  </si>
  <si>
    <t>j_anode</t>
  </si>
  <si>
    <t>I / anode wetted area.</t>
  </si>
  <si>
    <t>Cathode current density</t>
  </si>
  <si>
    <t>j_cathode</t>
  </si>
  <si>
    <t>I / cathode wetted area.</t>
  </si>
  <si>
    <t>Anode plating limit — continuous</t>
  </si>
  <si>
    <t>anode_j_cont</t>
  </si>
  <si>
    <t>Coating continuous rating (electrode table).</t>
  </si>
  <si>
    <t>Anode plating limit — maximum</t>
  </si>
  <si>
    <t>anode_j_max</t>
  </si>
  <si>
    <t>Coating maximum (electrode table).</t>
  </si>
  <si>
    <t>Cathode (SS) HER limit — continuous</t>
  </si>
  <si>
    <t>cath_j_cont</t>
  </si>
  <si>
    <t>Stainless-steel HER ~25–80 mA/cm² continuous.</t>
  </si>
  <si>
    <t>Cathode (SS) HER limit — maximum</t>
  </si>
  <si>
    <t>cath_j_max</t>
  </si>
  <si>
    <t>Stainless-steel HER ~250 mA/cm² lab max.</t>
  </si>
  <si>
    <t>Fallback optimum j (unlisted strain)</t>
  </si>
  <si>
    <t>j_opt_default</t>
  </si>
  <si>
    <t>Conservative fallback for an unlisted organism.</t>
  </si>
  <si>
    <t>Fallback ceiling j (unlisted strain)</t>
  </si>
  <si>
    <t>j_ceiling_default</t>
  </si>
  <si>
    <t>Conservative fallback ceiling.</t>
  </si>
  <si>
    <t>Strain optimum current density</t>
  </si>
  <si>
    <t>j_opt_strain</t>
  </si>
  <si>
    <t>Strain table below; fallback if unlisted.</t>
  </si>
  <si>
    <t>Strain tolerated ceiling</t>
  </si>
  <si>
    <t>j_ceiling_strain</t>
  </si>
  <si>
    <t>Inhibition above this.</t>
  </si>
  <si>
    <t>Strain data confidence</t>
  </si>
  <si>
    <t>j_strain_conf</t>
  </si>
  <si>
    <t>low/unknown → provisional; run the screen.</t>
  </si>
  <si>
    <t>Current density vs strain</t>
  </si>
  <si>
    <t>j_bio_flag</t>
  </si>
  <si>
    <t>Green ≤ optimum, amber ≤ ceiling, red above.</t>
  </si>
  <si>
    <t>Current density vs anode plating</t>
  </si>
  <si>
    <t>j_mat_flag</t>
  </si>
  <si>
    <t>Anode coating limit; graphite always ≥ amber.</t>
  </si>
  <si>
    <t>Cathode current density vs SS norm</t>
  </si>
  <si>
    <t>j_cath_flag</t>
  </si>
  <si>
    <t>SS cathode HER check.</t>
  </si>
  <si>
    <t>CURRENT DENSITY STATUS (worst of above)</t>
  </si>
  <si>
    <t>j_flag</t>
  </si>
  <si>
    <t>Worst of strain, plating and cathode.</t>
  </si>
  <si>
    <t>Anode material (from electrode)</t>
  </si>
  <si>
    <t>anode_material</t>
  </si>
  <si>
    <t>Electrode table; drives the graphite warning.</t>
  </si>
  <si>
    <t>STRAIN CURRENT-DENSITY TOLERANCE (mA/cm²) — keyed on organism; see current-density-screen.md</t>
  </si>
  <si>
    <t>Strain / organism</t>
  </si>
  <si>
    <t>j_opt</t>
  </si>
  <si>
    <t>j_ceiling</t>
  </si>
  <si>
    <t>confidence</t>
  </si>
  <si>
    <t>Inferred analogue (Zhang 2020; Bause 2018 biofilm 0.5). Run screen.</t>
  </si>
  <si>
    <t>No strain-specific j; mixed-HOB analogue. Run screen.</t>
  </si>
  <si>
    <t>No strain-specific j; genus-mate of necator. Run screen.</t>
  </si>
  <si>
    <t>Zhang 2020 (JCP 263:121596) + Pous 2022 (BiTE 18:101010); undivided cell.</t>
  </si>
  <si>
    <t>MAXIMUM-POWER CURRENT (AEP-Plugin clamp)</t>
  </si>
  <si>
    <t>Max electrolysis power</t>
  </si>
  <si>
    <t>power_max</t>
  </si>
  <si>
    <t>AEP-Plugin runtime clamp: electrolysis_power ≤ 10 % (MAX_ELECTROLYSIS_POWER).</t>
  </si>
  <si>
    <t>I_max</t>
  </si>
  <si>
    <t>Gerrit's Law at the power clamp.</t>
  </si>
  <si>
    <t>j_anode_max</t>
  </si>
  <si>
    <t>Status at max power</t>
  </si>
  <si>
    <t>j_flag_max</t>
  </si>
  <si>
    <t>Worst of strain ceiling and plating at max power.</t>
  </si>
  <si>
    <t>Computed from the shape-aware wetted area (Electrochemistry A_anode_wet); tracks reactor &amp; electrode.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</si>
</sst>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4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9"/>
  <sheetViews>
    <sheetView tabSelected="1" zoomScale="116" workbookViewId="0">
      <selection activeCell="E45" sqref="E4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395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538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996</v>
      </c>
      <c r="E5" s="20" t="s">
        <v>31</v>
      </c>
      <c r="F5" s="21" t="s">
        <v>43</v>
      </c>
    </row>
    <row r="6" spans="1:7" x14ac:dyDescent="0.2">
      <c r="A6" s="20" t="s">
        <v>1320</v>
      </c>
      <c r="B6" s="18" t="s">
        <v>44</v>
      </c>
      <c r="C6" s="20" t="s">
        <v>45</v>
      </c>
      <c r="D6" s="106">
        <v>3</v>
      </c>
      <c r="E6" s="20" t="s">
        <v>46</v>
      </c>
      <c r="F6" s="21" t="s">
        <v>1321</v>
      </c>
    </row>
    <row r="7" spans="1:7" x14ac:dyDescent="0.2">
      <c r="A7" s="20" t="s">
        <v>47</v>
      </c>
      <c r="B7" s="18" t="s">
        <v>48</v>
      </c>
      <c r="C7" s="20" t="s">
        <v>49</v>
      </c>
      <c r="D7" s="106">
        <v>1000</v>
      </c>
      <c r="E7" s="20" t="s">
        <v>46</v>
      </c>
      <c r="F7" s="21" t="s">
        <v>50</v>
      </c>
    </row>
    <row r="8" spans="1:7" x14ac:dyDescent="0.2">
      <c r="A8" s="20" t="s">
        <v>51</v>
      </c>
      <c r="B8" s="18" t="s">
        <v>52</v>
      </c>
      <c r="C8" s="20" t="s">
        <v>53</v>
      </c>
      <c r="D8" s="106">
        <v>25</v>
      </c>
      <c r="E8" s="20" t="s">
        <v>46</v>
      </c>
      <c r="F8" s="21" t="s">
        <v>54</v>
      </c>
    </row>
    <row r="9" spans="1:7" x14ac:dyDescent="0.2">
      <c r="A9" s="20" t="s">
        <v>55</v>
      </c>
      <c r="B9" s="18" t="s">
        <v>56</v>
      </c>
      <c r="C9" s="20" t="s">
        <v>57</v>
      </c>
      <c r="D9" s="106"/>
      <c r="E9" s="20" t="s">
        <v>58</v>
      </c>
      <c r="F9" s="21" t="s">
        <v>59</v>
      </c>
    </row>
    <row r="10" spans="1:7" ht="16" customHeight="1" x14ac:dyDescent="0.2">
      <c r="A10" s="20" t="s">
        <v>60</v>
      </c>
      <c r="B10" s="18" t="s">
        <v>61</v>
      </c>
      <c r="C10" s="20" t="s">
        <v>62</v>
      </c>
      <c r="D10" s="106"/>
      <c r="E10" s="20" t="s">
        <v>58</v>
      </c>
      <c r="F10" s="107" t="s">
        <v>63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64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1084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65</v>
      </c>
      <c r="G13" s="130"/>
    </row>
    <row r="14" spans="1:7" s="3" customFormat="1" ht="16" customHeight="1" thickBot="1" x14ac:dyDescent="0.25">
      <c r="A14" s="28" t="s">
        <v>1085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66</v>
      </c>
      <c r="B15" s="20"/>
      <c r="C15" s="20" t="s">
        <v>67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68</v>
      </c>
      <c r="G15" s="130"/>
    </row>
    <row r="16" spans="1:7" x14ac:dyDescent="0.2">
      <c r="A16" s="28" t="s">
        <v>1083</v>
      </c>
      <c r="B16" s="20"/>
      <c r="C16" s="20" t="s">
        <v>67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69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70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71</v>
      </c>
    </row>
    <row r="20" spans="1:6" x14ac:dyDescent="0.2">
      <c r="A20" s="90" t="s">
        <v>72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73</v>
      </c>
    </row>
    <row r="21" spans="1:6" x14ac:dyDescent="0.2">
      <c r="A21" s="90" t="s">
        <v>74</v>
      </c>
      <c r="B21" s="20"/>
      <c r="C21" s="20"/>
      <c r="D21" s="91" t="str">
        <f>'Mass Transfer'!$D$109</f>
        <v>organism optimum unknown</v>
      </c>
      <c r="E21" s="23" t="str">
        <f>HYPERLINK("#'Mass Transfer'!D109","→ Mass")</f>
        <v>→ Mass</v>
      </c>
      <c r="F21" s="21" t="s">
        <v>75</v>
      </c>
    </row>
    <row r="22" spans="1:6" x14ac:dyDescent="0.2">
      <c r="A22" s="90" t="s">
        <v>76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77</v>
      </c>
    </row>
    <row r="23" spans="1:6" x14ac:dyDescent="0.2">
      <c r="A23" s="90" t="s">
        <v>78</v>
      </c>
      <c r="B23" s="20"/>
      <c r="C23" s="20"/>
      <c r="D23" s="91" t="str">
        <f>'Mass Transfer'!$D$113</f>
        <v>organism DO unknown</v>
      </c>
      <c r="E23" s="23" t="str">
        <f>HYPERLINK("#'Mass Transfer'!D113","→ Mass")</f>
        <v>→ Mass</v>
      </c>
      <c r="F23" s="21" t="s">
        <v>79</v>
      </c>
    </row>
    <row r="24" spans="1:6" x14ac:dyDescent="0.2">
      <c r="A24" s="90" t="s">
        <v>80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81</v>
      </c>
    </row>
    <row r="25" spans="1:6" x14ac:dyDescent="0.2">
      <c r="A25" s="90" t="s">
        <v>82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83</v>
      </c>
    </row>
    <row r="26" spans="1:6" x14ac:dyDescent="0.2">
      <c r="A26" s="90" t="s">
        <v>84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85</v>
      </c>
    </row>
    <row r="27" spans="1:6" x14ac:dyDescent="0.2">
      <c r="A27" s="90" t="s">
        <v>86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87</v>
      </c>
    </row>
    <row r="28" spans="1:6" x14ac:dyDescent="0.2">
      <c r="A28" s="90" t="s">
        <v>88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89</v>
      </c>
    </row>
    <row r="29" spans="1:6" x14ac:dyDescent="0.2">
      <c r="A29" s="90" t="s">
        <v>90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91</v>
      </c>
    </row>
    <row r="30" spans="1:6" x14ac:dyDescent="0.2">
      <c r="A30" s="90" t="s">
        <v>92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93</v>
      </c>
    </row>
    <row r="31" spans="1:6" x14ac:dyDescent="0.2">
      <c r="A31" s="90" t="s">
        <v>94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95</v>
      </c>
    </row>
    <row r="32" spans="1:6" x14ac:dyDescent="0.2">
      <c r="A32" s="90" t="s">
        <v>96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97</v>
      </c>
    </row>
    <row r="33" spans="1:6" ht="16" thickBot="1" x14ac:dyDescent="0.25">
      <c r="A33" s="90" t="s">
        <v>98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99</v>
      </c>
    </row>
    <row r="34" spans="1:6" ht="16" thickBot="1" x14ac:dyDescent="0.25">
      <c r="A34" s="90" t="s">
        <v>1002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1003</v>
      </c>
    </row>
    <row r="35" spans="1:6" ht="16" thickBot="1" x14ac:dyDescent="0.25">
      <c r="A35" s="90" t="s">
        <v>1004</v>
      </c>
      <c r="C35" s="20"/>
      <c r="D35" s="129">
        <f>Chemistry!$D$103</f>
        <v>7.3761471820171503</v>
      </c>
      <c r="E35" s="23" t="str">
        <f>HYPERLINK("#Chemistry!D103","→ Chemistry")</f>
        <v>→ Chemistry</v>
      </c>
      <c r="F35" s="21" t="s">
        <v>1005</v>
      </c>
    </row>
    <row r="36" spans="1:6" ht="16" thickBot="1" x14ac:dyDescent="0.25">
      <c r="A36" s="90" t="s">
        <v>1164</v>
      </c>
      <c r="C36" s="20" t="s">
        <v>102</v>
      </c>
      <c r="D36" s="129">
        <f>Chemistry!$D$145</f>
        <v>0.37826108670710051</v>
      </c>
      <c r="E36" s="23" t="str">
        <f>HYPERLINK("#Chemistry!D139","→ Chemistry")</f>
        <v>→ Chemistry</v>
      </c>
      <c r="F36" s="21" t="s">
        <v>1006</v>
      </c>
    </row>
    <row r="37" spans="1:6" ht="16" thickBot="1" x14ac:dyDescent="0.25">
      <c r="A37" s="109" t="s">
        <v>100</v>
      </c>
      <c r="B37" s="20"/>
      <c r="C37" s="20"/>
      <c r="D37" s="20"/>
      <c r="E37" s="20"/>
      <c r="F37" s="21"/>
    </row>
    <row r="38" spans="1:6" x14ac:dyDescent="0.2">
      <c r="A38" s="90" t="s">
        <v>101</v>
      </c>
      <c r="B38" s="108"/>
      <c r="C38" s="20" t="s">
        <v>102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103</v>
      </c>
    </row>
    <row r="39" spans="1:6" x14ac:dyDescent="0.2">
      <c r="A39" s="90" t="s">
        <v>104</v>
      </c>
      <c r="B39" s="108"/>
      <c r="C39" s="20" t="s">
        <v>67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105</v>
      </c>
    </row>
    <row r="40" spans="1:6" x14ac:dyDescent="0.2">
      <c r="A40" s="90" t="s">
        <v>106</v>
      </c>
      <c r="B40" s="20"/>
      <c r="C40" s="20" t="s">
        <v>107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108</v>
      </c>
    </row>
    <row r="41" spans="1:6" x14ac:dyDescent="0.2">
      <c r="A41" s="90" t="s">
        <v>109</v>
      </c>
      <c r="B41" s="20"/>
      <c r="C41" s="20" t="s">
        <v>110</v>
      </c>
      <c r="D41" s="96">
        <f>Biology!$D$35</f>
        <v>668.745</v>
      </c>
      <c r="E41" s="23" t="str">
        <f>HYPERLINK("#Biology!D35","→ Biology")</f>
        <v>→ Biology</v>
      </c>
      <c r="F41" s="21" t="s">
        <v>111</v>
      </c>
    </row>
    <row r="42" spans="1:6" x14ac:dyDescent="0.2">
      <c r="A42" s="109" t="s">
        <v>1322</v>
      </c>
    </row>
    <row r="43" spans="1:6" x14ac:dyDescent="0.2">
      <c r="A43" s="90" t="s">
        <v>1323</v>
      </c>
      <c r="C43" s="20" t="s">
        <v>325</v>
      </c>
      <c r="D43" s="91">
        <f>Electrochemistry!$D$19*1000</f>
        <v>5.6899999999999995</v>
      </c>
      <c r="E43" s="23" t="str">
        <f>HYPERLINK("#Electrochemistry!D19","→ Electrochemistry")</f>
        <v>→ Electrochemistry</v>
      </c>
      <c r="F43" s="21" t="s">
        <v>1324</v>
      </c>
    </row>
    <row r="44" spans="1:6" x14ac:dyDescent="0.2">
      <c r="A44" s="90" t="s">
        <v>1325</v>
      </c>
      <c r="C44" s="20" t="s">
        <v>1326</v>
      </c>
      <c r="D44" s="91">
        <f>Electrochemistry!$D$48</f>
        <v>2.6533071849389076</v>
      </c>
      <c r="E44" s="23" t="str">
        <f>HYPERLINK("#Electrochemistry!D48","→ Electrochemistry")</f>
        <v>→ Electrochemistry</v>
      </c>
      <c r="F44" s="21" t="s">
        <v>1327</v>
      </c>
    </row>
    <row r="45" spans="1:6" x14ac:dyDescent="0.2">
      <c r="A45" s="90" t="s">
        <v>1328</v>
      </c>
      <c r="D45" s="91" t="str">
        <f>Electrochemistry!$D$62</f>
        <v>watch - above optimum current density</v>
      </c>
      <c r="E45" s="23" t="str">
        <f>HYPERLINK("#Electrochemistry!D62","→ Electrochemistry")</f>
        <v>→ Electrochemistry</v>
      </c>
      <c r="F45" s="21" t="s">
        <v>1329</v>
      </c>
    </row>
    <row r="46" spans="1:6" x14ac:dyDescent="0.2">
      <c r="A46" s="90" t="s">
        <v>1330</v>
      </c>
      <c r="C46" s="20" t="s">
        <v>45</v>
      </c>
      <c r="D46" s="91">
        <f>Electrochemistry!$D$73</f>
        <v>10</v>
      </c>
      <c r="E46" s="23" t="str">
        <f>HYPERLINK("#Electrochemistry!D73","→ Electrochemistry")</f>
        <v>→ Electrochemistry</v>
      </c>
      <c r="F46" s="21" t="s">
        <v>1331</v>
      </c>
    </row>
    <row r="47" spans="1:6" x14ac:dyDescent="0.2">
      <c r="A47" s="90" t="s">
        <v>1332</v>
      </c>
      <c r="C47" s="20" t="s">
        <v>325</v>
      </c>
      <c r="D47" s="91">
        <f>Electrochemistry!$D$74</f>
        <v>12.9</v>
      </c>
      <c r="E47" s="23" t="str">
        <f>HYPERLINK("#Electrochemistry!D74","→ Electrochemistry")</f>
        <v>→ Electrochemistry</v>
      </c>
      <c r="F47" s="21" t="s">
        <v>1333</v>
      </c>
    </row>
    <row r="48" spans="1:6" x14ac:dyDescent="0.2">
      <c r="A48" s="90" t="s">
        <v>1334</v>
      </c>
      <c r="C48" s="20" t="s">
        <v>1326</v>
      </c>
      <c r="D48" s="91">
        <f>Electrochemistry!$D$75</f>
        <v>6.0154064474010385</v>
      </c>
      <c r="E48" s="23" t="str">
        <f>HYPERLINK("#Electrochemistry!D75","→ Electrochemistry")</f>
        <v>→ Electrochemistry</v>
      </c>
      <c r="F48" s="21" t="s">
        <v>1335</v>
      </c>
    </row>
    <row r="49" spans="1:6" x14ac:dyDescent="0.2">
      <c r="A49" s="90" t="s">
        <v>1336</v>
      </c>
      <c r="D49" s="91" t="str">
        <f>Electrochemistry!$D$76</f>
        <v>EXCEED - max current over a limit</v>
      </c>
      <c r="E49" s="23" t="str">
        <f>HYPERLINK("#Electrochemistry!D76","→ Electrochemistry")</f>
        <v>→ Electrochemistry</v>
      </c>
      <c r="F49" s="21" t="s">
        <v>1337</v>
      </c>
    </row>
    <row r="50" spans="1:6" x14ac:dyDescent="0.2">
      <c r="A50" s="20"/>
      <c r="B50" s="20"/>
      <c r="C50" s="20"/>
      <c r="D50" s="20"/>
      <c r="E50" s="20"/>
      <c r="F50" s="20"/>
    </row>
    <row r="51" spans="1:6" x14ac:dyDescent="0.2">
      <c r="A51" s="16" t="s">
        <v>112</v>
      </c>
      <c r="B51" s="16"/>
      <c r="C51" s="16"/>
      <c r="D51" s="16"/>
      <c r="E51" s="16"/>
      <c r="F51" s="16"/>
    </row>
    <row r="52" spans="1:6" x14ac:dyDescent="0.2">
      <c r="A52" s="88" t="s">
        <v>113</v>
      </c>
      <c r="B52" s="20"/>
      <c r="C52" s="20"/>
      <c r="D52" s="28"/>
      <c r="E52" s="20"/>
      <c r="F52" s="20"/>
    </row>
    <row r="53" spans="1:6" x14ac:dyDescent="0.2">
      <c r="A53" s="29" t="s">
        <v>114</v>
      </c>
      <c r="B53" s="20"/>
      <c r="C53" s="20"/>
      <c r="D53" s="28"/>
      <c r="E53" s="20"/>
      <c r="F53" s="20"/>
    </row>
    <row r="54" spans="1:6" x14ac:dyDescent="0.2">
      <c r="A54" s="99" t="s">
        <v>115</v>
      </c>
      <c r="B54" s="20"/>
      <c r="C54" s="20"/>
      <c r="D54" s="28"/>
      <c r="E54" s="20"/>
      <c r="F54" s="20"/>
    </row>
    <row r="55" spans="1:6" x14ac:dyDescent="0.2">
      <c r="A55" s="30" t="s">
        <v>116</v>
      </c>
      <c r="B55" s="20"/>
      <c r="C55" s="20"/>
      <c r="D55" s="28"/>
      <c r="E55" s="20"/>
      <c r="F55" s="20"/>
    </row>
    <row r="56" spans="1:6" x14ac:dyDescent="0.2">
      <c r="A56" s="31" t="s">
        <v>117</v>
      </c>
      <c r="B56" s="20"/>
      <c r="C56" s="20"/>
      <c r="D56" s="28"/>
      <c r="E56" s="93"/>
      <c r="F56" s="20"/>
    </row>
    <row r="57" spans="1:6" x14ac:dyDescent="0.2">
      <c r="A57" s="32" t="s">
        <v>118</v>
      </c>
      <c r="B57" s="20"/>
      <c r="C57" s="20"/>
      <c r="D57" s="28"/>
      <c r="E57" s="93"/>
      <c r="F57" s="20"/>
    </row>
    <row r="58" spans="1:6" x14ac:dyDescent="0.2">
      <c r="A58" s="89" t="s">
        <v>119</v>
      </c>
      <c r="B58" s="20"/>
      <c r="C58" s="20"/>
      <c r="D58" s="28"/>
      <c r="E58" s="93"/>
      <c r="F58" s="20"/>
    </row>
    <row r="59" spans="1:6" x14ac:dyDescent="0.2">
      <c r="A59" s="33" t="s">
        <v>120</v>
      </c>
      <c r="B59" s="20"/>
      <c r="C59" s="20"/>
      <c r="D59" s="20"/>
      <c r="E59" s="20"/>
      <c r="F59" s="20"/>
    </row>
    <row r="60" spans="1:6" x14ac:dyDescent="0.2">
      <c r="A60" s="34" t="s">
        <v>121</v>
      </c>
      <c r="B60" s="20"/>
      <c r="C60" s="20"/>
      <c r="D60" s="20"/>
      <c r="E60" s="20"/>
      <c r="F60" s="20"/>
    </row>
    <row r="61" spans="1:6" s="20" customFormat="1" x14ac:dyDescent="0.2">
      <c r="A61" s="85" t="s">
        <v>122</v>
      </c>
    </row>
    <row r="62" spans="1:6" s="20" customFormat="1" x14ac:dyDescent="0.2">
      <c r="A62" s="86" t="s">
        <v>123</v>
      </c>
    </row>
    <row r="63" spans="1:6" x14ac:dyDescent="0.2">
      <c r="A63" s="87" t="s">
        <v>124</v>
      </c>
      <c r="B63" s="20"/>
      <c r="C63" s="20"/>
      <c r="D63" s="20"/>
      <c r="E63" s="20"/>
      <c r="F63" s="20"/>
    </row>
    <row r="64" spans="1:6" x14ac:dyDescent="0.2">
      <c r="A64" s="20"/>
      <c r="B64" s="20"/>
      <c r="C64" s="20"/>
      <c r="D64" s="28"/>
      <c r="E64" s="93"/>
      <c r="F64" s="20"/>
    </row>
    <row r="65" spans="1:6" x14ac:dyDescent="0.2">
      <c r="A65" s="35" t="s">
        <v>125</v>
      </c>
      <c r="B65" s="35" t="s">
        <v>126</v>
      </c>
      <c r="C65" s="35" t="s">
        <v>127</v>
      </c>
      <c r="D65" s="35" t="s">
        <v>128</v>
      </c>
      <c r="E65" s="35"/>
      <c r="F65" s="35" t="s">
        <v>129</v>
      </c>
    </row>
    <row r="66" spans="1:6" x14ac:dyDescent="0.2">
      <c r="A66" s="20" t="s">
        <v>1036</v>
      </c>
      <c r="B66" s="20" t="s">
        <v>1037</v>
      </c>
      <c r="C66" s="20" t="s">
        <v>1038</v>
      </c>
      <c r="D66" s="36" t="str">
        <f>HYPERLINK("https://github.com/amy-bo/electroPioreactor/blob/CO2-modular/Media/protocols/surface-kla.md","surface-kla.md →")</f>
        <v>surface-kla.md →</v>
      </c>
      <c r="E66" s="109"/>
      <c r="F66" s="21" t="s">
        <v>1039</v>
      </c>
    </row>
    <row r="67" spans="1:6" x14ac:dyDescent="0.2">
      <c r="A67" s="20" t="s">
        <v>1040</v>
      </c>
      <c r="B67" s="20" t="s">
        <v>1041</v>
      </c>
      <c r="C67" s="20" t="s">
        <v>1042</v>
      </c>
      <c r="D67" s="36" t="str">
        <f>HYPERLINK("https://github.com/amy-bo/electroPioreactor/blob/CO2-modular/Media/protocols/vial-geometry.md","vial-geometry.md →")</f>
        <v>vial-geometry.md →</v>
      </c>
      <c r="E67" s="109"/>
      <c r="F67" s="21" t="s">
        <v>1043</v>
      </c>
    </row>
    <row r="68" spans="1:6" x14ac:dyDescent="0.2">
      <c r="A68" s="20" t="s">
        <v>1044</v>
      </c>
      <c r="B68" s="20" t="s">
        <v>1045</v>
      </c>
      <c r="C68" s="20" t="s">
        <v>1046</v>
      </c>
      <c r="D68" s="36" t="str">
        <f>HYPERLINK("https://github.com/amy-bo/electroPioreactor/blob/CO2-modular/Media/protocols/faradaic-efficiency.md","faradaic-efficiency.md →")</f>
        <v>faradaic-efficiency.md →</v>
      </c>
      <c r="E68" s="109"/>
      <c r="F68" s="21" t="s">
        <v>1047</v>
      </c>
    </row>
    <row r="69" spans="1:6" x14ac:dyDescent="0.2">
      <c r="A69" s="20" t="s">
        <v>1048</v>
      </c>
      <c r="B69" s="20" t="s">
        <v>1049</v>
      </c>
      <c r="C69" s="20" t="s">
        <v>1050</v>
      </c>
      <c r="D69" s="36" t="str">
        <f>HYPERLINK("https://github.com/amy-bo/electroPioreactor/blob/CO2-modular/Media/protocols/knallgas-stoichiometry.md","knallgas-stoichiometry.md →")</f>
        <v>knallgas-stoichiometry.md →</v>
      </c>
      <c r="E69" s="109"/>
      <c r="F69" s="21" t="s">
        <v>1051</v>
      </c>
    </row>
    <row r="70" spans="1:6" x14ac:dyDescent="0.2">
      <c r="A70" s="20" t="s">
        <v>1052</v>
      </c>
      <c r="B70" s="20" t="s">
        <v>1053</v>
      </c>
      <c r="C70" s="20" t="s">
        <v>1054</v>
      </c>
      <c r="D70" s="36" t="str">
        <f>HYPERLINK("https://github.com/amy-bo/electroPioreactor/blob/CO2-modular/Media/protocols/faradaic-efficiency.md","faradaic-efficiency.md →")</f>
        <v>faradaic-efficiency.md →</v>
      </c>
      <c r="E70" s="109"/>
      <c r="F70" s="21" t="s">
        <v>1055</v>
      </c>
    </row>
    <row r="71" spans="1:6" x14ac:dyDescent="0.2">
      <c r="A71" s="20" t="s">
        <v>1056</v>
      </c>
      <c r="B71" s="20" t="s">
        <v>1057</v>
      </c>
      <c r="C71" s="20" t="s">
        <v>1058</v>
      </c>
      <c r="D71" s="36" t="str">
        <f>HYPERLINK("https://github.com/amy-bo/electroPioreactor/blob/CO2-modular/Media/protocols/vial-geometry.md","vial-geometry.md →")</f>
        <v>vial-geometry.md →</v>
      </c>
      <c r="E71" s="109"/>
      <c r="F71" s="21" t="s">
        <v>1059</v>
      </c>
    </row>
    <row r="72" spans="1:6" x14ac:dyDescent="0.2">
      <c r="A72" s="20" t="s">
        <v>1060</v>
      </c>
      <c r="B72" s="20" t="s">
        <v>1061</v>
      </c>
      <c r="C72" s="20" t="s">
        <v>1062</v>
      </c>
      <c r="D72" s="36" t="str">
        <f>HYPERLINK("https://github.com/amy-bo/electroPioreactor/blob/CO2-modular/Media/protocols/flow-calibration.md","flow-calibration.md →")</f>
        <v>flow-calibration.md →</v>
      </c>
      <c r="E72" s="109"/>
      <c r="F72" s="21" t="s">
        <v>1063</v>
      </c>
    </row>
    <row r="73" spans="1:6" x14ac:dyDescent="0.2">
      <c r="A73" s="20" t="s">
        <v>1064</v>
      </c>
      <c r="B73" s="20" t="s">
        <v>1065</v>
      </c>
      <c r="C73" s="20" t="s">
        <v>1066</v>
      </c>
      <c r="D73" s="36" t="str">
        <f>HYPERLINK("https://github.com/amy-bo/electroPioreactor/blob/CO2-modular/Media/protocols/dissolved-oxygen.md","dissolved-oxygen.md →")</f>
        <v>dissolved-oxygen.md →</v>
      </c>
      <c r="E73" s="109"/>
      <c r="F73" s="21" t="s">
        <v>1067</v>
      </c>
    </row>
    <row r="74" spans="1:6" x14ac:dyDescent="0.2">
      <c r="A74" s="20" t="s">
        <v>1068</v>
      </c>
      <c r="B74" s="20" t="s">
        <v>1069</v>
      </c>
      <c r="C74" s="20" t="s">
        <v>1070</v>
      </c>
      <c r="D74" s="36" t="str">
        <f>HYPERLINK("https://github.com/amy-bo/electroPioreactor/blob/CO2-modular/Media/protocols/flow-calibration.md","flow-calibration.md →")</f>
        <v>flow-calibration.md →</v>
      </c>
      <c r="E74" s="109"/>
      <c r="F74" s="21" t="s">
        <v>1071</v>
      </c>
    </row>
    <row r="75" spans="1:6" x14ac:dyDescent="0.2">
      <c r="A75" s="20" t="s">
        <v>1072</v>
      </c>
      <c r="B75" s="20" t="s">
        <v>1073</v>
      </c>
      <c r="C75" s="20" t="s">
        <v>1074</v>
      </c>
      <c r="D75" s="36" t="str">
        <f>HYPERLINK("https://github.com/amy-bo/electroPioreactor/blob/CO2-modular/Media/protocols/sinter-porosity.md","sinter-porosity.md →")</f>
        <v>sinter-porosity.md →</v>
      </c>
      <c r="E75" s="109"/>
      <c r="F75" s="21" t="s">
        <v>1075</v>
      </c>
    </row>
    <row r="76" spans="1:6" x14ac:dyDescent="0.2">
      <c r="A76" s="20" t="s">
        <v>1076</v>
      </c>
      <c r="B76" s="20" t="s">
        <v>1077</v>
      </c>
      <c r="C76" s="20" t="s">
        <v>1078</v>
      </c>
      <c r="D76" s="36" t="str">
        <f>HYPERLINK("https://github.com/amy-bo/electroPioreactor/blob/CO2-modular/Media/protocols/README.md","README.md →")</f>
        <v>README.md →</v>
      </c>
      <c r="E76" s="109"/>
      <c r="F76" s="21" t="s">
        <v>1079</v>
      </c>
    </row>
    <row r="77" spans="1:6" x14ac:dyDescent="0.2">
      <c r="A77" s="20"/>
      <c r="B77" s="20"/>
      <c r="C77" s="20"/>
      <c r="D77" s="100"/>
      <c r="E77" s="20"/>
      <c r="F77" s="20"/>
    </row>
    <row r="78" spans="1:6" x14ac:dyDescent="0.2">
      <c r="A78" s="20"/>
      <c r="B78" s="20"/>
      <c r="C78" s="20"/>
      <c r="D78" s="28"/>
      <c r="E78" s="20"/>
      <c r="F78" s="20"/>
    </row>
    <row r="79" spans="1:6" x14ac:dyDescent="0.2">
      <c r="A79" s="20"/>
      <c r="B79" s="20"/>
      <c r="C79" s="20"/>
      <c r="D79" s="28"/>
      <c r="E79" s="20"/>
      <c r="F79" s="20"/>
    </row>
  </sheetData>
  <conditionalFormatting sqref="B64:B76">
    <cfRule type="expression" dxfId="42" priority="16" stopIfTrue="1">
      <formula>EXACT(B64,"HIGH")</formula>
    </cfRule>
    <cfRule type="expression" dxfId="41" priority="17" stopIfTrue="1">
      <formula>EXACT(B64,"MED")</formula>
    </cfRule>
    <cfRule type="expression" dxfId="40" priority="18" stopIfTrue="1">
      <formula>EXACT(B64,"LOW")</formula>
    </cfRule>
  </conditionalFormatting>
  <conditionalFormatting sqref="C64:C76">
    <cfRule type="expression" dxfId="39" priority="19" stopIfTrue="1">
      <formula>EXACT(C64,"low")</formula>
    </cfRule>
    <cfRule type="expression" dxfId="38" priority="20" stopIfTrue="1">
      <formula>EXACT(C64,"med")</formula>
    </cfRule>
    <cfRule type="expression" dxfId="37" priority="21" stopIfTrue="1">
      <formula>EXACT(C64,"high")</formula>
    </cfRule>
  </conditionalFormatting>
  <conditionalFormatting sqref="D13:D16">
    <cfRule type="expression" dxfId="36" priority="15" stopIfTrue="1">
      <formula>ISNUMBER(SEARCH("calibrate this",D13))</formula>
    </cfRule>
  </conditionalFormatting>
  <conditionalFormatting sqref="D14">
    <cfRule type="expression" dxfId="35" priority="1" stopIfTrue="1">
      <formula>AND(ISNUMBER($G$13),$G$13&gt;0)</formula>
    </cfRule>
  </conditionalFormatting>
  <conditionalFormatting sqref="D16">
    <cfRule type="expression" dxfId="34" priority="3" stopIfTrue="1">
      <formula>AND(ISNUMBER($G$15),$G$15&gt;0)</formula>
    </cfRule>
  </conditionalFormatting>
  <conditionalFormatting sqref="D19:D36">
    <cfRule type="expression" dxfId="33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32" priority="13" stopIfTrue="1">
      <formula>OR(ISNUMBER(SEARCH("above optimum",D19)),ISNUMBER(SEARCH("watch",D19)),ISNUMBER(SEARCH("NEAREST",D19)),ISNUMBER(SEARCH("unknown",D19)),ISNUMBER(SEARCH("TIGHT",D19)))</formula>
    </cfRule>
    <cfRule type="expression" dxfId="31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30" priority="22" stopIfTrue="1">
      <formula>OR(D35&lt;6,D35&gt;8)</formula>
    </cfRule>
    <cfRule type="expression" dxfId="29" priority="23" stopIfTrue="1">
      <formula>OR(D35&lt;6.5,D35&gt;7.5)</formula>
    </cfRule>
    <cfRule type="expression" dxfId="28" priority="24" stopIfTrue="1">
      <formula>ISNUMBER(D35)</formula>
    </cfRule>
  </conditionalFormatting>
  <conditionalFormatting sqref="D36">
    <cfRule type="expression" dxfId="27" priority="25" stopIfTrue="1">
      <formula>D36&gt;1</formula>
    </cfRule>
    <cfRule type="expression" dxfId="26" priority="26" stopIfTrue="1">
      <formula>D36&gt;0.1</formula>
    </cfRule>
    <cfRule type="expression" dxfId="25" priority="27" stopIfTrue="1">
      <formula>ISNUMBER(D36)</formula>
    </cfRule>
  </conditionalFormatting>
  <conditionalFormatting sqref="D45">
    <cfRule type="expression" dxfId="24" priority="40" stopIfTrue="1">
      <formula>ISNUMBER(SEARCH("EXCEED",D45))</formula>
    </cfRule>
    <cfRule type="expression" dxfId="23" priority="41" stopIfTrue="1">
      <formula>ISNUMBER(SEARCH("watch",D45))</formula>
    </cfRule>
    <cfRule type="expression" dxfId="22" priority="42" stopIfTrue="1">
      <formula>ISNUMBER(SEARCH("OK",D45))</formula>
    </cfRule>
  </conditionalFormatting>
  <conditionalFormatting sqref="D49">
    <cfRule type="expression" dxfId="21" priority="43" stopIfTrue="1">
      <formula>ISNUMBER(SEARCH("EXCEED",D49))</formula>
    </cfRule>
    <cfRule type="expression" dxfId="20" priority="44" stopIfTrue="1">
      <formula>ISNUMBER(SEARCH("watch",D49))</formula>
    </cfRule>
    <cfRule type="expression" dxfId="19" priority="45" stopIfTrue="1">
      <formula>ISNUMBER(SEARCH("OK",D49))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Electrochemistry!$A$35:$A$38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130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133</v>
      </c>
      <c r="B5" s="20" t="s">
        <v>134</v>
      </c>
      <c r="C5" s="20" t="s">
        <v>135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136</v>
      </c>
      <c r="B6" s="20" t="s">
        <v>56</v>
      </c>
      <c r="C6" s="20" t="s">
        <v>57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137</v>
      </c>
      <c r="B8" s="18" t="s">
        <v>138</v>
      </c>
      <c r="C8" s="19" t="s">
        <v>135</v>
      </c>
      <c r="D8" s="111" t="s">
        <v>139</v>
      </c>
      <c r="E8" s="113" t="s">
        <v>140</v>
      </c>
      <c r="F8" s="20"/>
      <c r="G8" s="20"/>
      <c r="H8" s="20"/>
      <c r="I8" s="20"/>
    </row>
    <row r="9" spans="1:9" x14ac:dyDescent="0.2">
      <c r="A9" s="17" t="s">
        <v>141</v>
      </c>
      <c r="B9" s="18" t="s">
        <v>142</v>
      </c>
      <c r="C9" s="19" t="s">
        <v>135</v>
      </c>
      <c r="D9" s="111" t="s">
        <v>143</v>
      </c>
      <c r="E9" s="113" t="s">
        <v>140</v>
      </c>
      <c r="F9" s="20"/>
      <c r="G9" s="20"/>
      <c r="H9" s="20"/>
      <c r="I9" s="20"/>
    </row>
    <row r="10" spans="1:9" ht="24" customHeight="1" x14ac:dyDescent="0.2">
      <c r="A10" s="17" t="s">
        <v>144</v>
      </c>
      <c r="B10" s="18" t="s">
        <v>145</v>
      </c>
      <c r="C10" s="19" t="s">
        <v>146</v>
      </c>
      <c r="D10" s="114">
        <v>27.48</v>
      </c>
      <c r="E10" s="115" t="s">
        <v>140</v>
      </c>
      <c r="F10" s="20"/>
      <c r="G10" s="20"/>
      <c r="H10" s="20"/>
      <c r="I10" s="20"/>
    </row>
    <row r="11" spans="1:9" x14ac:dyDescent="0.2">
      <c r="A11" s="17" t="s">
        <v>147</v>
      </c>
      <c r="B11" s="18" t="s">
        <v>148</v>
      </c>
      <c r="C11" s="19" t="s">
        <v>146</v>
      </c>
      <c r="D11" s="114">
        <v>27.48</v>
      </c>
      <c r="E11" s="116" t="s">
        <v>140</v>
      </c>
      <c r="F11" s="20"/>
      <c r="G11" s="20"/>
      <c r="H11" s="20"/>
      <c r="I11" s="20"/>
    </row>
    <row r="12" spans="1:9" x14ac:dyDescent="0.2">
      <c r="A12" s="17" t="s">
        <v>149</v>
      </c>
      <c r="B12" s="18" t="s">
        <v>150</v>
      </c>
      <c r="C12" s="19" t="s">
        <v>146</v>
      </c>
      <c r="D12" s="112">
        <v>55</v>
      </c>
      <c r="E12" s="117" t="s">
        <v>140</v>
      </c>
      <c r="F12" s="20"/>
      <c r="G12" s="20"/>
      <c r="H12" s="20"/>
      <c r="I12" s="20"/>
    </row>
    <row r="13" spans="1:9" x14ac:dyDescent="0.2">
      <c r="A13" s="17" t="s">
        <v>151</v>
      </c>
      <c r="B13" s="18" t="s">
        <v>152</v>
      </c>
      <c r="C13" s="19" t="s">
        <v>146</v>
      </c>
      <c r="D13" s="112">
        <v>95</v>
      </c>
      <c r="E13" s="117" t="s">
        <v>140</v>
      </c>
      <c r="F13" s="20"/>
      <c r="G13" s="20"/>
      <c r="H13" s="20"/>
      <c r="I13" s="20"/>
    </row>
    <row r="14" spans="1:9" ht="24" customHeight="1" x14ac:dyDescent="0.2">
      <c r="A14" s="17" t="s">
        <v>153</v>
      </c>
      <c r="B14" s="18" t="s">
        <v>154</v>
      </c>
      <c r="C14" s="19" t="s">
        <v>57</v>
      </c>
      <c r="D14" s="112">
        <v>16</v>
      </c>
      <c r="E14" s="115" t="s">
        <v>140</v>
      </c>
      <c r="F14" s="20"/>
      <c r="G14" s="20"/>
      <c r="H14" s="20"/>
      <c r="I14" s="20"/>
    </row>
    <row r="15" spans="1:9" ht="24" customHeight="1" x14ac:dyDescent="0.2">
      <c r="A15" s="17" t="s">
        <v>155</v>
      </c>
      <c r="B15" s="18" t="s">
        <v>156</v>
      </c>
      <c r="C15" s="19" t="s">
        <v>57</v>
      </c>
      <c r="D15" s="112">
        <v>30</v>
      </c>
      <c r="E15" s="115" t="s">
        <v>140</v>
      </c>
      <c r="F15" s="20"/>
      <c r="G15" s="20"/>
      <c r="H15" s="20"/>
      <c r="I15" s="20"/>
    </row>
    <row r="16" spans="1:9" x14ac:dyDescent="0.2">
      <c r="A16" s="17" t="s">
        <v>157</v>
      </c>
      <c r="B16" s="18" t="s">
        <v>158</v>
      </c>
      <c r="C16" s="19" t="s">
        <v>57</v>
      </c>
      <c r="D16" s="112">
        <v>20</v>
      </c>
      <c r="E16" s="118" t="s">
        <v>140</v>
      </c>
      <c r="F16" s="20"/>
      <c r="G16" s="20"/>
      <c r="H16" s="20"/>
      <c r="I16" s="20"/>
    </row>
    <row r="17" spans="1:9" x14ac:dyDescent="0.2">
      <c r="A17" s="17" t="s">
        <v>159</v>
      </c>
      <c r="B17" s="18" t="s">
        <v>160</v>
      </c>
      <c r="C17" s="19" t="s">
        <v>57</v>
      </c>
      <c r="D17" s="112">
        <v>42</v>
      </c>
      <c r="E17" s="118" t="s">
        <v>140</v>
      </c>
      <c r="F17" s="20"/>
      <c r="G17" s="20"/>
      <c r="H17" s="20"/>
      <c r="I17" s="20"/>
    </row>
    <row r="18" spans="1:9" x14ac:dyDescent="0.2">
      <c r="A18" s="17" t="s">
        <v>161</v>
      </c>
      <c r="B18" s="18" t="s">
        <v>162</v>
      </c>
      <c r="C18" s="19" t="s">
        <v>146</v>
      </c>
      <c r="D18" s="40">
        <f>VLOOKUP(rx_ver,$A$84:$I$87,7,FALSE)</f>
        <v>27.48</v>
      </c>
      <c r="E18" s="101" t="s">
        <v>163</v>
      </c>
      <c r="F18" s="20"/>
      <c r="G18" s="20"/>
      <c r="H18" s="20"/>
      <c r="I18" s="20"/>
    </row>
    <row r="19" spans="1:9" ht="24" customHeight="1" x14ac:dyDescent="0.2">
      <c r="A19" s="17" t="s">
        <v>164</v>
      </c>
      <c r="B19" s="18" t="s">
        <v>165</v>
      </c>
      <c r="C19" s="19" t="s">
        <v>146</v>
      </c>
      <c r="D19" s="114">
        <v>1.1000000000000001</v>
      </c>
      <c r="E19" s="41" t="s">
        <v>166</v>
      </c>
      <c r="F19" s="20"/>
      <c r="G19" s="20"/>
      <c r="H19" s="20"/>
      <c r="I19" s="20"/>
    </row>
    <row r="20" spans="1:9" x14ac:dyDescent="0.2">
      <c r="A20" s="17" t="s">
        <v>167</v>
      </c>
      <c r="B20" s="18" t="s">
        <v>168</v>
      </c>
      <c r="C20" s="19" t="s">
        <v>146</v>
      </c>
      <c r="D20" s="42">
        <f>vial_OD-2*vial_wall</f>
        <v>25.28</v>
      </c>
      <c r="E20" s="101" t="s">
        <v>169</v>
      </c>
      <c r="F20" s="20"/>
      <c r="G20" s="20"/>
      <c r="H20" s="20"/>
      <c r="I20" s="20"/>
    </row>
    <row r="21" spans="1:9" x14ac:dyDescent="0.2">
      <c r="A21" s="17" t="s">
        <v>170</v>
      </c>
      <c r="B21" s="18" t="s">
        <v>171</v>
      </c>
      <c r="C21" s="19" t="s">
        <v>172</v>
      </c>
      <c r="D21" s="43">
        <f>PI()/4*vial_ID^2</f>
        <v>501.93100162697988</v>
      </c>
      <c r="E21" s="101" t="s">
        <v>173</v>
      </c>
      <c r="F21" s="20"/>
      <c r="G21" s="20"/>
      <c r="H21" s="20"/>
      <c r="I21" s="20"/>
    </row>
    <row r="22" spans="1:9" x14ac:dyDescent="0.2">
      <c r="A22" s="17" t="s">
        <v>174</v>
      </c>
      <c r="B22" s="18" t="s">
        <v>175</v>
      </c>
      <c r="C22" s="19" t="s">
        <v>146</v>
      </c>
      <c r="D22" s="44">
        <f>IFERROR(cal_Dint,VLOOKUP(rx_ver,$A$84:$I$87,4,FALSE))</f>
        <v>55</v>
      </c>
      <c r="E22" s="101" t="s">
        <v>176</v>
      </c>
      <c r="F22" s="20"/>
      <c r="G22" s="20"/>
      <c r="H22" s="20"/>
      <c r="I22" s="20"/>
    </row>
    <row r="23" spans="1:9" x14ac:dyDescent="0.2">
      <c r="A23" s="17" t="s">
        <v>177</v>
      </c>
      <c r="B23" s="18" t="s">
        <v>178</v>
      </c>
      <c r="C23" s="19" t="s">
        <v>57</v>
      </c>
      <c r="D23" s="44">
        <f>VLOOKUP(rx_ver,$A$84:$I$87,5,FALSE)</f>
        <v>16</v>
      </c>
      <c r="E23" s="101" t="s">
        <v>176</v>
      </c>
      <c r="F23" s="20"/>
      <c r="G23" s="20"/>
      <c r="H23" s="20"/>
      <c r="I23" s="20"/>
    </row>
    <row r="24" spans="1:9" x14ac:dyDescent="0.2">
      <c r="A24" s="17" t="s">
        <v>179</v>
      </c>
      <c r="B24" s="18" t="s">
        <v>180</v>
      </c>
      <c r="C24" s="19" t="s">
        <v>57</v>
      </c>
      <c r="D24" s="44">
        <f>IFERROR(cal_Vtot,VLOOKUP(rx_ver,$A$84:$I$87,6,FALSE))</f>
        <v>20</v>
      </c>
      <c r="E24" s="101" t="s">
        <v>176</v>
      </c>
      <c r="F24" s="20"/>
      <c r="G24" s="20"/>
      <c r="H24" s="20"/>
      <c r="I24" s="20"/>
    </row>
    <row r="25" spans="1:9" x14ac:dyDescent="0.2">
      <c r="A25" s="17" t="s">
        <v>181</v>
      </c>
      <c r="B25" s="18" t="s">
        <v>182</v>
      </c>
      <c r="C25" s="19" t="s">
        <v>146</v>
      </c>
      <c r="D25" s="42">
        <f>V_max*1000/A_x</f>
        <v>31.876891341911417</v>
      </c>
      <c r="E25" s="101" t="s">
        <v>183</v>
      </c>
      <c r="F25" s="20"/>
      <c r="G25" s="20"/>
      <c r="H25" s="20"/>
      <c r="I25" s="20"/>
    </row>
    <row r="26" spans="1:9" x14ac:dyDescent="0.2">
      <c r="A26" s="17" t="s">
        <v>184</v>
      </c>
      <c r="B26" s="18" t="s">
        <v>185</v>
      </c>
      <c r="C26" s="19" t="s">
        <v>146</v>
      </c>
      <c r="D26" s="112">
        <v>6</v>
      </c>
      <c r="E26" s="37" t="s">
        <v>186</v>
      </c>
      <c r="F26" s="20"/>
      <c r="G26" s="20"/>
      <c r="H26" s="20"/>
      <c r="I26" s="20"/>
    </row>
    <row r="27" spans="1:9" x14ac:dyDescent="0.2">
      <c r="A27" s="17" t="s">
        <v>187</v>
      </c>
      <c r="B27" s="18" t="s">
        <v>188</v>
      </c>
      <c r="C27" s="19" t="s">
        <v>135</v>
      </c>
      <c r="D27" s="111">
        <v>2</v>
      </c>
      <c r="E27" s="101" t="s">
        <v>189</v>
      </c>
      <c r="F27" s="20"/>
      <c r="G27" s="20"/>
      <c r="H27" s="20"/>
      <c r="I27" s="20"/>
    </row>
    <row r="28" spans="1:9" x14ac:dyDescent="0.2">
      <c r="A28" s="17" t="s">
        <v>190</v>
      </c>
      <c r="B28" s="18" t="s">
        <v>191</v>
      </c>
      <c r="C28" s="19" t="s">
        <v>146</v>
      </c>
      <c r="D28" s="112">
        <v>22</v>
      </c>
      <c r="E28" s="37" t="s">
        <v>192</v>
      </c>
      <c r="F28" s="20"/>
      <c r="G28" s="20"/>
      <c r="H28" s="20"/>
      <c r="I28" s="20"/>
    </row>
    <row r="29" spans="1:9" x14ac:dyDescent="0.2">
      <c r="A29" s="119" t="s">
        <v>193</v>
      </c>
      <c r="B29" s="18" t="s">
        <v>194</v>
      </c>
      <c r="C29" s="19" t="s">
        <v>146</v>
      </c>
      <c r="D29" s="43">
        <f>D_int-elec_clear</f>
        <v>33</v>
      </c>
      <c r="E29" s="101" t="s">
        <v>195</v>
      </c>
      <c r="F29" s="20"/>
      <c r="G29" s="20"/>
      <c r="H29" s="20"/>
      <c r="I29" s="20"/>
    </row>
    <row r="30" spans="1:9" x14ac:dyDescent="0.2">
      <c r="A30" s="17" t="s">
        <v>196</v>
      </c>
      <c r="B30" s="18" t="s">
        <v>197</v>
      </c>
      <c r="C30" s="19" t="s">
        <v>146</v>
      </c>
      <c r="D30" s="120">
        <v>3.1749999999999998</v>
      </c>
      <c r="E30" s="101" t="s">
        <v>198</v>
      </c>
      <c r="F30" s="20"/>
      <c r="G30" s="20"/>
      <c r="H30" s="20"/>
      <c r="I30" s="20"/>
    </row>
    <row r="31" spans="1:9" x14ac:dyDescent="0.2">
      <c r="A31" s="17" t="s">
        <v>199</v>
      </c>
      <c r="B31" s="18" t="s">
        <v>200</v>
      </c>
      <c r="C31" s="19" t="s">
        <v>146</v>
      </c>
      <c r="D31" s="121">
        <v>1.5874999999999999</v>
      </c>
      <c r="E31" s="101" t="s">
        <v>201</v>
      </c>
      <c r="F31" s="20"/>
      <c r="G31" s="20"/>
      <c r="H31" s="20"/>
      <c r="I31" s="20"/>
    </row>
    <row r="32" spans="1:9" x14ac:dyDescent="0.2">
      <c r="A32" s="17" t="s">
        <v>202</v>
      </c>
      <c r="B32" s="18" t="s">
        <v>203</v>
      </c>
      <c r="C32" s="19" t="s">
        <v>146</v>
      </c>
      <c r="D32" s="43">
        <f>elec_clear</f>
        <v>22</v>
      </c>
      <c r="E32" s="37" t="s">
        <v>204</v>
      </c>
      <c r="F32" s="20"/>
      <c r="G32" s="20"/>
      <c r="H32" s="20"/>
      <c r="I32" s="20"/>
    </row>
    <row r="33" spans="1:9" x14ac:dyDescent="0.2">
      <c r="A33" s="17" t="s">
        <v>205</v>
      </c>
      <c r="B33" s="18" t="s">
        <v>206</v>
      </c>
      <c r="C33" s="19" t="s">
        <v>146</v>
      </c>
      <c r="D33" s="120">
        <v>3.1749999999999998</v>
      </c>
      <c r="E33" s="101" t="s">
        <v>198</v>
      </c>
      <c r="F33" s="20"/>
      <c r="G33" s="20"/>
      <c r="H33" s="20"/>
      <c r="I33" s="20"/>
    </row>
    <row r="34" spans="1:9" x14ac:dyDescent="0.2">
      <c r="A34" s="17" t="s">
        <v>207</v>
      </c>
      <c r="B34" s="18" t="s">
        <v>208</v>
      </c>
      <c r="C34" s="19" t="s">
        <v>146</v>
      </c>
      <c r="D34" s="121">
        <v>1.5874999999999999</v>
      </c>
      <c r="E34" s="101" t="s">
        <v>201</v>
      </c>
      <c r="F34" s="20"/>
      <c r="G34" s="20"/>
      <c r="H34" s="20"/>
      <c r="I34" s="20"/>
    </row>
    <row r="35" spans="1:9" x14ac:dyDescent="0.2">
      <c r="A35" s="17" t="s">
        <v>209</v>
      </c>
      <c r="B35" s="18" t="s">
        <v>210</v>
      </c>
      <c r="C35" s="19" t="s">
        <v>146</v>
      </c>
      <c r="D35" s="42">
        <f>MAX(0,h_datum-elec_clear)</f>
        <v>9.876891341911417</v>
      </c>
      <c r="E35" s="101" t="s">
        <v>211</v>
      </c>
      <c r="F35" s="20"/>
      <c r="G35" s="20"/>
      <c r="H35" s="20"/>
      <c r="I35" s="20"/>
    </row>
    <row r="36" spans="1:9" x14ac:dyDescent="0.2">
      <c r="A36" s="17" t="s">
        <v>212</v>
      </c>
      <c r="B36" s="18" t="s">
        <v>213</v>
      </c>
      <c r="C36" s="19" t="s">
        <v>57</v>
      </c>
      <c r="D36" s="45">
        <f>rod_n*(PI()/4*rod_d^2)*elec_sub_L/1000</f>
        <v>0.55852504704096373</v>
      </c>
      <c r="E36" s="101" t="s">
        <v>214</v>
      </c>
      <c r="F36" s="20"/>
      <c r="G36" s="20"/>
      <c r="H36" s="20"/>
      <c r="I36" s="20"/>
    </row>
    <row r="37" spans="1:9" x14ac:dyDescent="0.2">
      <c r="A37" s="17" t="s">
        <v>215</v>
      </c>
      <c r="B37" s="18" t="s">
        <v>216</v>
      </c>
      <c r="C37" s="19" t="s">
        <v>57</v>
      </c>
      <c r="D37" s="45">
        <f>(PI()/4*spg_OD^2)*MAX(0,h_datum-spg_tip_h)/1000</f>
        <v>7.8198354893434921E-2</v>
      </c>
      <c r="E37" s="101" t="s">
        <v>217</v>
      </c>
      <c r="F37" s="20"/>
      <c r="G37" s="20"/>
      <c r="H37" s="20"/>
      <c r="I37" s="20"/>
    </row>
    <row r="38" spans="1:9" x14ac:dyDescent="0.2">
      <c r="A38" s="17" t="s">
        <v>218</v>
      </c>
      <c r="B38" s="18" t="s">
        <v>219</v>
      </c>
      <c r="C38" s="19" t="s">
        <v>146</v>
      </c>
      <c r="D38" s="45">
        <f>(eff_OD+eff_ID)/2</f>
        <v>2.3812499999999996</v>
      </c>
      <c r="E38" s="37" t="s">
        <v>220</v>
      </c>
      <c r="F38" s="20"/>
      <c r="G38" s="20"/>
      <c r="H38" s="20"/>
      <c r="I38" s="20"/>
    </row>
    <row r="39" spans="1:9" x14ac:dyDescent="0.2">
      <c r="A39" s="17" t="s">
        <v>221</v>
      </c>
      <c r="B39" s="18" t="s">
        <v>222</v>
      </c>
      <c r="C39" s="19" t="s">
        <v>57</v>
      </c>
      <c r="D39" s="46">
        <f>(PI()/4*(eff_OD^2-eff_ID^2))*eff_sub_L/1000</f>
        <v>1.4139810757041989E-2</v>
      </c>
      <c r="E39" s="37" t="s">
        <v>223</v>
      </c>
      <c r="F39" s="20"/>
      <c r="G39" s="20"/>
      <c r="H39" s="20"/>
      <c r="I39" s="20"/>
    </row>
    <row r="40" spans="1:9" x14ac:dyDescent="0.2">
      <c r="A40" s="17" t="s">
        <v>224</v>
      </c>
      <c r="B40" s="18" t="s">
        <v>225</v>
      </c>
      <c r="C40" s="19" t="s">
        <v>57</v>
      </c>
      <c r="D40" s="45">
        <f>elec_disp+spg_disp+eff_disp</f>
        <v>0.65086321269144065</v>
      </c>
      <c r="E40" s="101" t="s">
        <v>226</v>
      </c>
      <c r="F40" s="20"/>
      <c r="G40" s="20"/>
      <c r="H40" s="20"/>
      <c r="I40" s="20"/>
    </row>
    <row r="41" spans="1:9" x14ac:dyDescent="0.2">
      <c r="A41" s="119" t="s">
        <v>227</v>
      </c>
      <c r="B41" s="18" t="s">
        <v>228</v>
      </c>
      <c r="C41" s="19" t="s">
        <v>57</v>
      </c>
      <c r="D41" s="47">
        <f>IF(media_volume&gt;0,media_volume,ROUND(V_max-disp_tot,0))</f>
        <v>15</v>
      </c>
      <c r="E41" s="101" t="s">
        <v>229</v>
      </c>
      <c r="F41" s="20"/>
      <c r="G41" s="20"/>
      <c r="H41" s="20"/>
      <c r="I41" s="20"/>
    </row>
    <row r="42" spans="1:9" x14ac:dyDescent="0.2">
      <c r="A42" s="119" t="s">
        <v>230</v>
      </c>
      <c r="B42" s="18" t="s">
        <v>231</v>
      </c>
      <c r="C42" s="19" t="s">
        <v>146</v>
      </c>
      <c r="D42" s="42">
        <f>(V_charge+disp_tot)*1000/A_x</f>
        <v>31.18130412738023</v>
      </c>
      <c r="E42" s="101" t="s">
        <v>232</v>
      </c>
      <c r="F42" s="20"/>
      <c r="G42" s="20"/>
      <c r="H42" s="20"/>
      <c r="I42" s="20"/>
    </row>
    <row r="43" spans="1:9" x14ac:dyDescent="0.2">
      <c r="A43" s="119" t="s">
        <v>233</v>
      </c>
      <c r="B43" s="18" t="s">
        <v>234</v>
      </c>
      <c r="C43" s="19" t="s">
        <v>146</v>
      </c>
      <c r="D43" s="42">
        <f>MAX(0,h_actual-spg_tip_h)</f>
        <v>9.1813041273802298</v>
      </c>
      <c r="E43" s="101" t="s">
        <v>235</v>
      </c>
      <c r="F43" s="20"/>
      <c r="G43" s="20"/>
      <c r="H43" s="20"/>
      <c r="I43" s="20"/>
    </row>
    <row r="44" spans="1:9" x14ac:dyDescent="0.2">
      <c r="A44" s="119" t="s">
        <v>236</v>
      </c>
      <c r="B44" s="18" t="s">
        <v>237</v>
      </c>
      <c r="C44" s="19" t="s">
        <v>172</v>
      </c>
      <c r="D44" s="43">
        <f>A_x-(rod_n*(PI()/4*rod_d^2)+(PI()/4*spg_OD^2)+(PI()/4*eff_OD^2))</f>
        <v>429.5477251405668</v>
      </c>
      <c r="E44" s="37" t="s">
        <v>238</v>
      </c>
      <c r="F44" s="20"/>
      <c r="G44" s="20"/>
      <c r="H44" s="20"/>
      <c r="I44" s="20"/>
    </row>
    <row r="45" spans="1:9" x14ac:dyDescent="0.2">
      <c r="A45" s="17" t="s">
        <v>239</v>
      </c>
      <c r="B45" s="18" t="s">
        <v>240</v>
      </c>
      <c r="C45" s="19" t="s">
        <v>146</v>
      </c>
      <c r="D45" s="45">
        <f>eff_OD</f>
        <v>3.1749999999999998</v>
      </c>
      <c r="E45" s="37" t="s">
        <v>241</v>
      </c>
      <c r="F45" s="20"/>
      <c r="G45" s="20"/>
      <c r="H45" s="20"/>
      <c r="I45" s="20"/>
    </row>
    <row r="46" spans="1:9" x14ac:dyDescent="0.2">
      <c r="A46" s="17" t="s">
        <v>242</v>
      </c>
      <c r="B46" s="18" t="s">
        <v>243</v>
      </c>
      <c r="C46" s="19" t="s">
        <v>135</v>
      </c>
      <c r="D46" s="111">
        <v>3</v>
      </c>
      <c r="E46" s="37" t="s">
        <v>244</v>
      </c>
      <c r="F46" s="20"/>
      <c r="G46" s="20"/>
      <c r="H46" s="20"/>
      <c r="I46" s="20"/>
    </row>
    <row r="47" spans="1:9" x14ac:dyDescent="0.2">
      <c r="A47" s="17" t="s">
        <v>245</v>
      </c>
      <c r="B47" s="18" t="s">
        <v>246</v>
      </c>
      <c r="C47" s="19" t="s">
        <v>146</v>
      </c>
      <c r="D47" s="112">
        <v>5</v>
      </c>
      <c r="E47" s="41" t="s">
        <v>247</v>
      </c>
      <c r="F47" s="20"/>
      <c r="G47" s="20"/>
      <c r="H47" s="20"/>
      <c r="I47" s="20"/>
    </row>
    <row r="48" spans="1:9" x14ac:dyDescent="0.2">
      <c r="A48" s="17" t="s">
        <v>248</v>
      </c>
      <c r="B48" s="18" t="s">
        <v>249</v>
      </c>
      <c r="C48" s="19" t="s">
        <v>57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250</v>
      </c>
      <c r="F48" s="20"/>
      <c r="G48" s="20"/>
      <c r="H48" s="20"/>
      <c r="I48" s="20"/>
    </row>
    <row r="49" spans="1:9" x14ac:dyDescent="0.2">
      <c r="A49" s="119" t="s">
        <v>251</v>
      </c>
      <c r="B49" s="18" t="s">
        <v>252</v>
      </c>
      <c r="C49" s="19" t="s">
        <v>57</v>
      </c>
      <c r="D49" s="42">
        <f>V_vial_total-V_charge-V_inserts</f>
        <v>2.6124284559171356</v>
      </c>
      <c r="E49" s="37" t="s">
        <v>253</v>
      </c>
      <c r="F49" s="20"/>
      <c r="G49" s="20"/>
      <c r="H49" s="20"/>
      <c r="I49" s="20"/>
    </row>
    <row r="50" spans="1:9" x14ac:dyDescent="0.2">
      <c r="A50" s="17" t="s">
        <v>254</v>
      </c>
      <c r="B50" s="18" t="s">
        <v>255</v>
      </c>
      <c r="C50" s="19" t="s">
        <v>146</v>
      </c>
      <c r="D50" s="48">
        <f>D_int-spg_tip_h</f>
        <v>33</v>
      </c>
      <c r="E50" s="101" t="s">
        <v>256</v>
      </c>
      <c r="F50" s="20"/>
      <c r="G50" s="20"/>
      <c r="H50" s="20"/>
      <c r="I50" s="20"/>
    </row>
    <row r="51" spans="1:9" x14ac:dyDescent="0.2">
      <c r="A51" s="20" t="s">
        <v>257</v>
      </c>
      <c r="B51" s="20" t="s">
        <v>258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259</v>
      </c>
      <c r="B52" s="20" t="s">
        <v>260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261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262</v>
      </c>
      <c r="B54" s="20" t="s">
        <v>263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264</v>
      </c>
      <c r="B55" s="20" t="s">
        <v>265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266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267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268</v>
      </c>
      <c r="B59" s="20" t="s">
        <v>139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269</v>
      </c>
      <c r="B60" s="20" t="s">
        <v>139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270</v>
      </c>
      <c r="B61" s="20" t="s">
        <v>139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271</v>
      </c>
      <c r="B62" s="20" t="s">
        <v>139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272</v>
      </c>
      <c r="B63" s="20" t="s">
        <v>139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273</v>
      </c>
      <c r="B64" s="20" t="s">
        <v>139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274</v>
      </c>
      <c r="B65" s="20" t="s">
        <v>139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275</v>
      </c>
      <c r="B66" s="20" t="s">
        <v>139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276</v>
      </c>
      <c r="B67" s="20" t="s">
        <v>139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277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278</v>
      </c>
      <c r="B69" s="20" t="s">
        <v>277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279</v>
      </c>
      <c r="B70" s="20" t="s">
        <v>143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280</v>
      </c>
      <c r="B71" s="20" t="s">
        <v>143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281</v>
      </c>
      <c r="B72" s="20" t="s">
        <v>143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282</v>
      </c>
      <c r="B73" s="20" t="s">
        <v>143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283</v>
      </c>
      <c r="B74" s="20" t="s">
        <v>143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284</v>
      </c>
      <c r="B75" s="20" t="s">
        <v>143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285</v>
      </c>
      <c r="B76" s="20" t="s">
        <v>143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286</v>
      </c>
      <c r="B77" s="20" t="s">
        <v>143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287</v>
      </c>
      <c r="B78" s="20" t="s">
        <v>143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288</v>
      </c>
      <c r="B79" s="20" t="s">
        <v>289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290</v>
      </c>
      <c r="B80" s="20" t="s">
        <v>143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291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267</v>
      </c>
      <c r="B83" s="109" t="s">
        <v>292</v>
      </c>
      <c r="C83" s="109" t="s">
        <v>293</v>
      </c>
      <c r="D83" s="109" t="s">
        <v>294</v>
      </c>
      <c r="E83" s="109" t="s">
        <v>295</v>
      </c>
      <c r="F83" s="109" t="s">
        <v>296</v>
      </c>
      <c r="G83" s="109" t="s">
        <v>297</v>
      </c>
      <c r="H83" s="109" t="s">
        <v>298</v>
      </c>
      <c r="I83" s="109" t="s">
        <v>299</v>
      </c>
    </row>
    <row r="84" spans="1:9" x14ac:dyDescent="0.2">
      <c r="A84" s="20" t="s">
        <v>139</v>
      </c>
      <c r="B84" s="20" t="s">
        <v>300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277</v>
      </c>
      <c r="B85" s="20" t="s">
        <v>300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143</v>
      </c>
      <c r="B86" s="20" t="s">
        <v>301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289</v>
      </c>
      <c r="B87" s="20" t="s">
        <v>301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302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303</v>
      </c>
      <c r="B90" s="20" t="s">
        <v>304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305</v>
      </c>
      <c r="G90" s="20"/>
      <c r="H90" s="20"/>
      <c r="I90" s="20"/>
    </row>
  </sheetData>
  <conditionalFormatting sqref="D86:D87">
    <cfRule type="expression" dxfId="18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7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N76"/>
  <sheetViews>
    <sheetView zoomScale="181" workbookViewId="0">
      <selection activeCell="D48" sqref="D48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306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307</v>
      </c>
      <c r="B5" s="20" t="s">
        <v>308</v>
      </c>
      <c r="C5" s="20" t="s">
        <v>309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310</v>
      </c>
      <c r="B6" s="20" t="s">
        <v>311</v>
      </c>
      <c r="C6" s="20" t="s">
        <v>62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312</v>
      </c>
      <c r="B7" s="20" t="s">
        <v>313</v>
      </c>
      <c r="C7" s="20" t="s">
        <v>314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315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316</v>
      </c>
      <c r="B10" s="18" t="s">
        <v>317</v>
      </c>
      <c r="C10" s="19" t="s">
        <v>45</v>
      </c>
      <c r="D10" s="53">
        <f>Summary!$D$6</f>
        <v>3</v>
      </c>
      <c r="E10" s="37" t="s">
        <v>318</v>
      </c>
      <c r="F10" s="20"/>
      <c r="G10" s="20"/>
      <c r="H10" s="20"/>
      <c r="I10" s="20"/>
    </row>
    <row r="11" spans="1:9" ht="36" customHeight="1" x14ac:dyDescent="0.2">
      <c r="A11" s="17" t="s">
        <v>319</v>
      </c>
      <c r="B11" s="18" t="s">
        <v>320</v>
      </c>
      <c r="C11" s="19" t="s">
        <v>321</v>
      </c>
      <c r="D11" s="50">
        <f>IFERROR(cal_gerrit_slope,1.03)</f>
        <v>1.03</v>
      </c>
      <c r="E11" s="115" t="s">
        <v>322</v>
      </c>
      <c r="F11" s="20"/>
      <c r="G11" s="20"/>
      <c r="H11" s="20"/>
      <c r="I11" s="20"/>
    </row>
    <row r="12" spans="1:9" x14ac:dyDescent="0.2">
      <c r="A12" s="17" t="s">
        <v>323</v>
      </c>
      <c r="B12" s="18" t="s">
        <v>324</v>
      </c>
      <c r="C12" s="19" t="s">
        <v>325</v>
      </c>
      <c r="D12" s="54">
        <f>IFERROR(cal_gerrit_int,2.6)</f>
        <v>2.6</v>
      </c>
      <c r="E12" s="115" t="s">
        <v>326</v>
      </c>
      <c r="F12" s="20"/>
      <c r="G12" s="20"/>
      <c r="H12" s="20"/>
      <c r="I12" s="20"/>
    </row>
    <row r="13" spans="1:9" x14ac:dyDescent="0.2">
      <c r="A13" s="17" t="s">
        <v>327</v>
      </c>
      <c r="B13" s="18" t="s">
        <v>328</v>
      </c>
      <c r="C13" s="19" t="s">
        <v>45</v>
      </c>
      <c r="D13" s="55">
        <v>3</v>
      </c>
      <c r="E13" s="51" t="s">
        <v>329</v>
      </c>
      <c r="F13" s="20"/>
      <c r="G13" s="20"/>
      <c r="H13" s="20"/>
      <c r="I13" s="20"/>
    </row>
    <row r="14" spans="1:9" x14ac:dyDescent="0.2">
      <c r="A14" s="17" t="s">
        <v>330</v>
      </c>
      <c r="B14" s="18" t="s">
        <v>331</v>
      </c>
      <c r="C14" s="19" t="s">
        <v>45</v>
      </c>
      <c r="D14" s="55">
        <v>25</v>
      </c>
      <c r="E14" s="51" t="s">
        <v>332</v>
      </c>
      <c r="F14" s="20"/>
      <c r="G14" s="20"/>
      <c r="H14" s="20"/>
      <c r="I14" s="20"/>
    </row>
    <row r="15" spans="1:9" x14ac:dyDescent="0.2">
      <c r="A15" s="17" t="s">
        <v>333</v>
      </c>
      <c r="B15" s="18" t="s">
        <v>334</v>
      </c>
      <c r="C15" s="19" t="s">
        <v>335</v>
      </c>
      <c r="D15" s="56">
        <v>96485.332120000006</v>
      </c>
      <c r="E15" s="102" t="s">
        <v>336</v>
      </c>
      <c r="F15" s="20"/>
      <c r="G15" s="20"/>
      <c r="H15" s="20"/>
      <c r="I15" s="20"/>
    </row>
    <row r="16" spans="1:9" x14ac:dyDescent="0.2">
      <c r="A16" s="17" t="s">
        <v>337</v>
      </c>
      <c r="B16" s="18" t="s">
        <v>338</v>
      </c>
      <c r="C16" s="19" t="s">
        <v>135</v>
      </c>
      <c r="D16" s="52">
        <v>2</v>
      </c>
      <c r="E16" s="101" t="s">
        <v>339</v>
      </c>
      <c r="F16" s="20"/>
      <c r="G16" s="20"/>
      <c r="H16" s="20"/>
      <c r="I16" s="20"/>
    </row>
    <row r="17" spans="1:9" x14ac:dyDescent="0.2">
      <c r="A17" s="17" t="s">
        <v>340</v>
      </c>
      <c r="B17" s="18" t="s">
        <v>341</v>
      </c>
      <c r="C17" s="19" t="s">
        <v>135</v>
      </c>
      <c r="D17" s="52">
        <v>4</v>
      </c>
      <c r="E17" s="101" t="s">
        <v>342</v>
      </c>
      <c r="F17" s="20"/>
      <c r="G17" s="20"/>
      <c r="H17" s="20"/>
      <c r="I17" s="20"/>
    </row>
    <row r="18" spans="1:9" ht="24" customHeight="1" x14ac:dyDescent="0.2">
      <c r="A18" s="17" t="s">
        <v>343</v>
      </c>
      <c r="B18" s="18" t="s">
        <v>344</v>
      </c>
      <c r="C18" s="19" t="s">
        <v>135</v>
      </c>
      <c r="D18" s="114">
        <f>IFERROR(cal_etaF,1)</f>
        <v>1</v>
      </c>
      <c r="E18" s="57" t="s">
        <v>345</v>
      </c>
      <c r="F18" s="20"/>
      <c r="G18" s="20"/>
      <c r="H18" s="20"/>
      <c r="I18" s="20"/>
    </row>
    <row r="19" spans="1:9" ht="24" customHeight="1" x14ac:dyDescent="0.2">
      <c r="A19" s="17" t="s">
        <v>346</v>
      </c>
      <c r="B19" s="18" t="s">
        <v>347</v>
      </c>
      <c r="C19" s="19" t="s">
        <v>348</v>
      </c>
      <c r="D19" s="46">
        <f>(gerrit_slope*intensity+gerrit_int)/1000</f>
        <v>5.6899999999999997E-3</v>
      </c>
      <c r="E19" s="51" t="s">
        <v>349</v>
      </c>
      <c r="F19" s="20"/>
      <c r="G19" s="20"/>
      <c r="H19" s="20"/>
      <c r="I19" s="20"/>
    </row>
    <row r="20" spans="1:9" ht="24" customHeight="1" x14ac:dyDescent="0.2">
      <c r="A20" s="17" t="s">
        <v>350</v>
      </c>
      <c r="B20" s="18" t="s">
        <v>351</v>
      </c>
      <c r="C20" s="19" t="s">
        <v>135</v>
      </c>
      <c r="D20" s="58" t="str">
        <f>IF(AND(intensity&gt;=gerrit_min,intensity&lt;=gerrit_max),"OK","OUT")</f>
        <v>OK</v>
      </c>
      <c r="E20" s="51" t="s">
        <v>352</v>
      </c>
      <c r="F20" s="20"/>
      <c r="G20" s="20"/>
      <c r="H20" s="20"/>
      <c r="I20" s="20"/>
    </row>
    <row r="21" spans="1:9" x14ac:dyDescent="0.2">
      <c r="A21" s="17" t="s">
        <v>353</v>
      </c>
      <c r="B21" s="18" t="s">
        <v>354</v>
      </c>
      <c r="C21" s="19" t="s">
        <v>355</v>
      </c>
      <c r="D21" s="48">
        <f>I_app*etaF/(z_e_H2*F_const)*3600</f>
        <v>1.0615084982307878E-4</v>
      </c>
      <c r="E21" s="101" t="s">
        <v>356</v>
      </c>
      <c r="F21" s="20"/>
      <c r="G21" s="20"/>
      <c r="H21" s="20"/>
      <c r="I21" s="20"/>
    </row>
    <row r="22" spans="1:9" x14ac:dyDescent="0.2">
      <c r="A22" s="17" t="s">
        <v>357</v>
      </c>
      <c r="B22" s="18" t="s">
        <v>358</v>
      </c>
      <c r="C22" s="19" t="s">
        <v>355</v>
      </c>
      <c r="D22" s="48">
        <f>I_app*etaF_OER/(z_e_O2*F_const)*3600</f>
        <v>5.3075424911539388E-5</v>
      </c>
      <c r="E22" s="101" t="s">
        <v>359</v>
      </c>
      <c r="F22" s="20"/>
      <c r="G22" s="20"/>
      <c r="H22" s="20"/>
      <c r="I22" s="20"/>
    </row>
    <row r="23" spans="1:9" x14ac:dyDescent="0.2">
      <c r="A23" s="17" t="s">
        <v>360</v>
      </c>
      <c r="B23" s="18" t="s">
        <v>361</v>
      </c>
      <c r="C23" s="19" t="s">
        <v>362</v>
      </c>
      <c r="D23" s="48">
        <f>rH2_gen/60*R_gas*T_K/P_atm*1000000</f>
        <v>4.3283723227623763E-2</v>
      </c>
      <c r="E23" s="101" t="s">
        <v>363</v>
      </c>
      <c r="F23" s="20"/>
      <c r="G23" s="20"/>
      <c r="H23" s="20"/>
      <c r="I23" s="20"/>
    </row>
    <row r="24" spans="1:9" x14ac:dyDescent="0.2">
      <c r="A24" s="17" t="s">
        <v>364</v>
      </c>
      <c r="B24" s="18" t="s">
        <v>365</v>
      </c>
      <c r="C24" s="19" t="s">
        <v>362</v>
      </c>
      <c r="D24" s="48">
        <f>rO2_gen/60*R_gas*T_K/P_atm*1000000</f>
        <v>2.1641861613811882E-2</v>
      </c>
      <c r="E24" s="101" t="s">
        <v>366</v>
      </c>
      <c r="F24" s="20"/>
      <c r="G24" s="20"/>
      <c r="H24" s="20"/>
      <c r="I24" s="20"/>
    </row>
    <row r="25" spans="1:9" ht="24" customHeight="1" x14ac:dyDescent="0.2">
      <c r="A25" s="17" t="s">
        <v>367</v>
      </c>
      <c r="B25" s="18" t="s">
        <v>368</v>
      </c>
      <c r="C25" s="19" t="s">
        <v>362</v>
      </c>
      <c r="D25" s="48">
        <f>V_H2_gen+V_O2_gen</f>
        <v>6.4925584841435652E-2</v>
      </c>
      <c r="E25" s="101" t="s">
        <v>369</v>
      </c>
      <c r="F25" s="20"/>
      <c r="G25" s="20"/>
      <c r="H25" s="20"/>
      <c r="I25" s="20"/>
    </row>
    <row r="26" spans="1:9" x14ac:dyDescent="0.2">
      <c r="A26" s="17" t="s">
        <v>370</v>
      </c>
      <c r="B26" s="18" t="s">
        <v>371</v>
      </c>
      <c r="C26" s="19" t="s">
        <v>135</v>
      </c>
      <c r="D26" s="114">
        <f>IFERROR(cal_etaF_OER,1)</f>
        <v>1</v>
      </c>
      <c r="E26" s="122" t="s">
        <v>372</v>
      </c>
      <c r="F26" s="20"/>
      <c r="G26" s="20"/>
      <c r="H26" s="20"/>
      <c r="I26" s="20"/>
    </row>
    <row r="27" spans="1:9" ht="24" customHeight="1" x14ac:dyDescent="0.2">
      <c r="A27" s="17" t="s">
        <v>373</v>
      </c>
      <c r="B27" s="18" t="s">
        <v>374</v>
      </c>
      <c r="C27" s="19" t="s">
        <v>135</v>
      </c>
      <c r="D27" s="40">
        <f>VLOOKUP(electrode_sel,$A$35:$I$38,9,FALSE)</f>
        <v>2</v>
      </c>
      <c r="E27" s="122" t="s">
        <v>375</v>
      </c>
      <c r="F27" s="20"/>
      <c r="G27" s="20"/>
      <c r="H27" s="20"/>
      <c r="I27" s="20"/>
    </row>
    <row r="28" spans="1:9" x14ac:dyDescent="0.2">
      <c r="A28" s="17" t="s">
        <v>376</v>
      </c>
      <c r="B28" s="18" t="s">
        <v>377</v>
      </c>
      <c r="C28" s="19" t="s">
        <v>355</v>
      </c>
      <c r="D28" s="48">
        <f>I_app*(1-etaF)/(z_e_ORR*F_const)*3600</f>
        <v>0</v>
      </c>
      <c r="E28" s="101" t="s">
        <v>378</v>
      </c>
      <c r="F28" s="20"/>
      <c r="G28" s="20"/>
      <c r="H28" s="20"/>
      <c r="I28" s="20"/>
    </row>
    <row r="29" spans="1:9" x14ac:dyDescent="0.2">
      <c r="A29" s="17" t="s">
        <v>379</v>
      </c>
      <c r="B29" s="18" t="s">
        <v>380</v>
      </c>
      <c r="C29" s="19" t="s">
        <v>355</v>
      </c>
      <c r="D29" s="48">
        <f>rO2_gen-O2_cathode_ORR</f>
        <v>5.3075424911539388E-5</v>
      </c>
      <c r="E29" s="101" t="s">
        <v>381</v>
      </c>
      <c r="F29" s="20"/>
      <c r="G29" s="20"/>
      <c r="H29" s="20"/>
      <c r="I29" s="20"/>
    </row>
    <row r="30" spans="1:9" x14ac:dyDescent="0.2">
      <c r="A30" s="107" t="s">
        <v>382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383</v>
      </c>
      <c r="B31" s="20" t="s">
        <v>384</v>
      </c>
      <c r="C31" s="20"/>
      <c r="D31" s="24" t="str">
        <f>VLOOKUP(electrode_sel,$A$35:$I$38,4,FALSE)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385</v>
      </c>
      <c r="B32" s="20" t="s">
        <v>386</v>
      </c>
      <c r="C32" s="20"/>
      <c r="D32" s="24">
        <f>IFERROR(cal_sinter,IF(ISNUMBER(VLOOKUP(electrode_sel,$A$35:$I$38,5,FALSE)),VLOOKUP(electrode_sel,$A$35:$I$38,5,FALSE),0))</f>
        <v>0</v>
      </c>
      <c r="E32" s="107" t="s">
        <v>387</v>
      </c>
      <c r="F32" s="20"/>
      <c r="G32" s="20"/>
      <c r="H32" s="59"/>
      <c r="I32" s="20"/>
    </row>
    <row r="33" spans="1:14" x14ac:dyDescent="0.2">
      <c r="A33" s="109" t="s">
        <v>388</v>
      </c>
      <c r="B33" s="20"/>
      <c r="C33" s="20"/>
      <c r="D33" s="20"/>
      <c r="E33" s="20"/>
      <c r="F33" s="20"/>
      <c r="G33" s="20"/>
      <c r="H33" s="20"/>
      <c r="I33" s="20"/>
    </row>
    <row r="34" spans="1:14" x14ac:dyDescent="0.2">
      <c r="A34" s="109" t="s">
        <v>33</v>
      </c>
      <c r="B34" s="109" t="s">
        <v>389</v>
      </c>
      <c r="C34" s="109" t="s">
        <v>390</v>
      </c>
      <c r="D34" s="109" t="s">
        <v>391</v>
      </c>
      <c r="E34" s="109" t="s">
        <v>392</v>
      </c>
      <c r="F34" s="109" t="s">
        <v>393</v>
      </c>
      <c r="G34" s="109" t="s">
        <v>394</v>
      </c>
      <c r="H34" s="109" t="s">
        <v>344</v>
      </c>
      <c r="I34" s="109" t="s">
        <v>374</v>
      </c>
      <c r="J34" s="109" t="s">
        <v>1338</v>
      </c>
      <c r="K34" s="109" t="s">
        <v>1339</v>
      </c>
      <c r="L34" s="109" t="s">
        <v>1340</v>
      </c>
      <c r="M34" s="109" t="s">
        <v>1341</v>
      </c>
      <c r="N34" s="109" t="s">
        <v>1342</v>
      </c>
    </row>
    <row r="35" spans="1:14" x14ac:dyDescent="0.2">
      <c r="A35" s="20" t="s">
        <v>395</v>
      </c>
      <c r="B35" s="20" t="s">
        <v>396</v>
      </c>
      <c r="C35" s="20">
        <v>6</v>
      </c>
      <c r="D35" s="20" t="s">
        <v>397</v>
      </c>
      <c r="E35" s="20" t="s">
        <v>398</v>
      </c>
      <c r="F35" s="20" t="s">
        <v>399</v>
      </c>
      <c r="G35" s="20">
        <v>6</v>
      </c>
      <c r="H35" s="59" t="s">
        <v>400</v>
      </c>
      <c r="I35" s="20">
        <v>2</v>
      </c>
      <c r="J35" s="20" t="s">
        <v>1343</v>
      </c>
      <c r="K35" s="20">
        <v>100</v>
      </c>
      <c r="L35" s="20">
        <v>500</v>
      </c>
      <c r="M35" s="20" t="s">
        <v>1343</v>
      </c>
      <c r="N35" s="20" t="s">
        <v>1344</v>
      </c>
    </row>
    <row r="36" spans="1:14" x14ac:dyDescent="0.2">
      <c r="A36" s="20" t="s">
        <v>401</v>
      </c>
      <c r="B36" s="20" t="s">
        <v>402</v>
      </c>
      <c r="C36" s="20">
        <v>6</v>
      </c>
      <c r="D36" s="20" t="s">
        <v>397</v>
      </c>
      <c r="E36" s="20" t="s">
        <v>398</v>
      </c>
      <c r="F36" s="20" t="s">
        <v>399</v>
      </c>
      <c r="G36" s="20">
        <v>6</v>
      </c>
      <c r="H36" s="59" t="s">
        <v>400</v>
      </c>
      <c r="I36" s="20">
        <v>2</v>
      </c>
      <c r="J36" s="20" t="s">
        <v>1343</v>
      </c>
      <c r="K36" s="20">
        <v>50</v>
      </c>
      <c r="L36" s="20">
        <v>500</v>
      </c>
      <c r="M36" s="20" t="s">
        <v>1343</v>
      </c>
      <c r="N36" s="20" t="s">
        <v>1345</v>
      </c>
    </row>
    <row r="37" spans="1:14" x14ac:dyDescent="0.2">
      <c r="A37" s="20" t="s">
        <v>35</v>
      </c>
      <c r="B37" s="20" t="s">
        <v>402</v>
      </c>
      <c r="C37" s="20">
        <v>6</v>
      </c>
      <c r="D37" s="20" t="s">
        <v>403</v>
      </c>
      <c r="E37" s="59">
        <v>0</v>
      </c>
      <c r="F37" s="20" t="s">
        <v>399</v>
      </c>
      <c r="G37" s="20">
        <v>6</v>
      </c>
      <c r="H37" s="59" t="s">
        <v>400</v>
      </c>
      <c r="I37" s="20">
        <v>2</v>
      </c>
      <c r="J37" s="20" t="s">
        <v>1346</v>
      </c>
      <c r="K37" s="20">
        <v>10</v>
      </c>
      <c r="L37" s="20">
        <v>60</v>
      </c>
      <c r="M37" s="20" t="s">
        <v>1343</v>
      </c>
      <c r="N37" s="20" t="s">
        <v>1347</v>
      </c>
    </row>
    <row r="38" spans="1:14" x14ac:dyDescent="0.2">
      <c r="A38" s="20" t="s">
        <v>1348</v>
      </c>
      <c r="B38" s="20" t="s">
        <v>1349</v>
      </c>
      <c r="C38" s="20">
        <v>6</v>
      </c>
      <c r="D38" s="20" t="s">
        <v>397</v>
      </c>
      <c r="E38" s="20" t="s">
        <v>398</v>
      </c>
      <c r="F38" s="20" t="s">
        <v>399</v>
      </c>
      <c r="G38" s="20">
        <v>6</v>
      </c>
      <c r="H38" s="59" t="s">
        <v>400</v>
      </c>
      <c r="I38" s="20">
        <v>2</v>
      </c>
      <c r="J38" s="20" t="s">
        <v>1343</v>
      </c>
      <c r="K38" s="20">
        <v>35</v>
      </c>
      <c r="L38" s="20">
        <v>50</v>
      </c>
      <c r="M38" s="20" t="s">
        <v>1343</v>
      </c>
      <c r="N38" s="20" t="s">
        <v>1350</v>
      </c>
    </row>
    <row r="39" spans="1:14" x14ac:dyDescent="0.2">
      <c r="A39" s="20"/>
      <c r="B39" s="20"/>
      <c r="C39" s="20"/>
      <c r="D39" s="28"/>
      <c r="E39" s="20"/>
      <c r="F39" s="20"/>
      <c r="G39" s="20"/>
      <c r="H39" s="20"/>
      <c r="I39" s="20"/>
    </row>
    <row r="40" spans="1:14" ht="16" x14ac:dyDescent="0.2">
      <c r="A40" s="110" t="s">
        <v>1351</v>
      </c>
    </row>
    <row r="41" spans="1:14" x14ac:dyDescent="0.2">
      <c r="A41" s="17" t="s">
        <v>1352</v>
      </c>
      <c r="B41" s="18" t="s">
        <v>1353</v>
      </c>
      <c r="C41" s="19" t="s">
        <v>135</v>
      </c>
      <c r="D41" s="48" t="str">
        <f>VLOOKUP(electrode_sel,$A$35:$N$38,10,FALSE)</f>
        <v>rod</v>
      </c>
      <c r="E41" s="101" t="s">
        <v>1354</v>
      </c>
    </row>
    <row r="42" spans="1:14" x14ac:dyDescent="0.2">
      <c r="A42" s="17" t="s">
        <v>1355</v>
      </c>
      <c r="B42" s="18" t="s">
        <v>1356</v>
      </c>
      <c r="C42" s="19" t="s">
        <v>146</v>
      </c>
      <c r="D42" s="48">
        <f>VLOOKUP(electrode_sel,$A$35:$N$38,3,FALSE)</f>
        <v>6</v>
      </c>
      <c r="E42" s="101" t="s">
        <v>1357</v>
      </c>
    </row>
    <row r="43" spans="1:14" x14ac:dyDescent="0.2">
      <c r="A43" s="17" t="s">
        <v>1358</v>
      </c>
      <c r="B43" s="18" t="s">
        <v>1359</v>
      </c>
      <c r="C43" s="19" t="s">
        <v>135</v>
      </c>
      <c r="D43" s="48" t="str">
        <f>VLOOKUP(electrode_sel,$A$35:$N$38,13,FALSE)</f>
        <v>rod</v>
      </c>
      <c r="E43" s="101" t="s">
        <v>1360</v>
      </c>
    </row>
    <row r="44" spans="1:14" x14ac:dyDescent="0.2">
      <c r="A44" s="17" t="s">
        <v>1361</v>
      </c>
      <c r="B44" s="18" t="s">
        <v>1362</v>
      </c>
      <c r="C44" s="19" t="s">
        <v>146</v>
      </c>
      <c r="D44" s="48">
        <f>VLOOKUP(electrode_sel,$A$35:$N$38,7,FALSE)</f>
        <v>6</v>
      </c>
      <c r="E44" s="101" t="s">
        <v>1357</v>
      </c>
    </row>
    <row r="45" spans="1:14" x14ac:dyDescent="0.2">
      <c r="A45" s="17" t="s">
        <v>1363</v>
      </c>
      <c r="B45" s="18" t="s">
        <v>1364</v>
      </c>
      <c r="C45" s="19" t="s">
        <v>146</v>
      </c>
      <c r="D45" s="48">
        <f>Geometry!$D$35</f>
        <v>9.876891341911417</v>
      </c>
      <c r="E45" s="101" t="s">
        <v>1365</v>
      </c>
    </row>
    <row r="46" spans="1:14" x14ac:dyDescent="0.2">
      <c r="A46" s="17" t="s">
        <v>1103</v>
      </c>
      <c r="B46" s="18" t="s">
        <v>1366</v>
      </c>
      <c r="C46" s="19" t="s">
        <v>1105</v>
      </c>
      <c r="D46" s="48">
        <f>(PI()*anode_dia*L_sub+IF(anode_shape="rod",PI()/4*anode_dia^2,0))/100</f>
        <v>2.144493495626294</v>
      </c>
      <c r="E46" s="101" t="s">
        <v>1367</v>
      </c>
    </row>
    <row r="47" spans="1:14" x14ac:dyDescent="0.2">
      <c r="A47" s="17" t="s">
        <v>1368</v>
      </c>
      <c r="B47" s="18" t="s">
        <v>1369</v>
      </c>
      <c r="C47" s="19" t="s">
        <v>1105</v>
      </c>
      <c r="D47" s="48">
        <f>(PI()*cathode_dia*L_sub+IF(cathode_shape="rod",PI()/4*cathode_dia^2,0))/100</f>
        <v>2.144493495626294</v>
      </c>
      <c r="E47" s="101" t="s">
        <v>1370</v>
      </c>
    </row>
    <row r="48" spans="1:14" x14ac:dyDescent="0.2">
      <c r="A48" s="17" t="s">
        <v>1325</v>
      </c>
      <c r="B48" s="18" t="s">
        <v>1371</v>
      </c>
      <c r="C48" s="19" t="s">
        <v>1326</v>
      </c>
      <c r="D48" s="48">
        <f>I_app*1000/A_anode_wet</f>
        <v>2.6533071849389076</v>
      </c>
      <c r="E48" s="101" t="s">
        <v>1372</v>
      </c>
    </row>
    <row r="49" spans="1:5" x14ac:dyDescent="0.2">
      <c r="A49" s="17" t="s">
        <v>1373</v>
      </c>
      <c r="B49" s="18" t="s">
        <v>1374</v>
      </c>
      <c r="C49" s="19" t="s">
        <v>1326</v>
      </c>
      <c r="D49" s="48">
        <f>I_app*1000/A_cath_wet</f>
        <v>2.6533071849389076</v>
      </c>
      <c r="E49" s="101" t="s">
        <v>1375</v>
      </c>
    </row>
    <row r="50" spans="1:5" x14ac:dyDescent="0.2">
      <c r="A50" s="17" t="s">
        <v>1376</v>
      </c>
      <c r="B50" s="18" t="s">
        <v>1377</v>
      </c>
      <c r="C50" s="19" t="s">
        <v>1326</v>
      </c>
      <c r="D50" s="48">
        <f>VLOOKUP(electrode_sel,$A$35:$N$38,11,FALSE)</f>
        <v>100</v>
      </c>
      <c r="E50" s="101" t="s">
        <v>1378</v>
      </c>
    </row>
    <row r="51" spans="1:5" x14ac:dyDescent="0.2">
      <c r="A51" s="17" t="s">
        <v>1379</v>
      </c>
      <c r="B51" s="18" t="s">
        <v>1380</v>
      </c>
      <c r="C51" s="19" t="s">
        <v>1326</v>
      </c>
      <c r="D51" s="48">
        <f>VLOOKUP(electrode_sel,$A$35:$N$38,12,FALSE)</f>
        <v>500</v>
      </c>
      <c r="E51" s="101" t="s">
        <v>1381</v>
      </c>
    </row>
    <row r="52" spans="1:5" x14ac:dyDescent="0.2">
      <c r="A52" s="17" t="s">
        <v>1382</v>
      </c>
      <c r="B52" s="18" t="s">
        <v>1383</v>
      </c>
      <c r="C52" s="19" t="s">
        <v>1326</v>
      </c>
      <c r="D52" s="52">
        <v>80</v>
      </c>
      <c r="E52" s="51" t="s">
        <v>1384</v>
      </c>
    </row>
    <row r="53" spans="1:5" x14ac:dyDescent="0.2">
      <c r="A53" s="17" t="s">
        <v>1385</v>
      </c>
      <c r="B53" s="18" t="s">
        <v>1386</v>
      </c>
      <c r="C53" s="19" t="s">
        <v>1326</v>
      </c>
      <c r="D53" s="52">
        <v>250</v>
      </c>
      <c r="E53" s="51" t="s">
        <v>1387</v>
      </c>
    </row>
    <row r="54" spans="1:5" x14ac:dyDescent="0.2">
      <c r="A54" s="17" t="s">
        <v>1388</v>
      </c>
      <c r="B54" s="18" t="s">
        <v>1389</v>
      </c>
      <c r="C54" s="19" t="s">
        <v>1326</v>
      </c>
      <c r="D54" s="52">
        <v>1</v>
      </c>
      <c r="E54" s="122" t="s">
        <v>1390</v>
      </c>
    </row>
    <row r="55" spans="1:5" x14ac:dyDescent="0.2">
      <c r="A55" s="17" t="s">
        <v>1391</v>
      </c>
      <c r="B55" s="18" t="s">
        <v>1392</v>
      </c>
      <c r="C55" s="19" t="s">
        <v>1326</v>
      </c>
      <c r="D55" s="52">
        <v>2</v>
      </c>
      <c r="E55" s="122" t="s">
        <v>1393</v>
      </c>
    </row>
    <row r="56" spans="1:5" x14ac:dyDescent="0.2">
      <c r="A56" s="17" t="s">
        <v>1394</v>
      </c>
      <c r="B56" s="18" t="s">
        <v>1395</v>
      </c>
      <c r="C56" s="19" t="s">
        <v>1326</v>
      </c>
      <c r="D56" s="48">
        <f>IFERROR(cal_j_opt,IFERROR(VLOOKUP(Summary!$D$4,$A$66:$E$71,2,FALSE),j_opt_default))</f>
        <v>2.14</v>
      </c>
      <c r="E56" s="101" t="s">
        <v>1396</v>
      </c>
    </row>
    <row r="57" spans="1:5" x14ac:dyDescent="0.2">
      <c r="A57" s="17" t="s">
        <v>1397</v>
      </c>
      <c r="B57" s="18" t="s">
        <v>1398</v>
      </c>
      <c r="C57" s="19" t="s">
        <v>1326</v>
      </c>
      <c r="D57" s="48">
        <f>IFERROR(cal_j_ceiling,IFERROR(VLOOKUP(Summary!$D$4,$A$66:$E$71,3,FALSE),j_ceiling_default))</f>
        <v>4.29</v>
      </c>
      <c r="E57" s="101" t="s">
        <v>1399</v>
      </c>
    </row>
    <row r="58" spans="1:5" x14ac:dyDescent="0.2">
      <c r="A58" s="17" t="s">
        <v>1400</v>
      </c>
      <c r="B58" s="18" t="s">
        <v>1401</v>
      </c>
      <c r="C58" s="19" t="s">
        <v>135</v>
      </c>
      <c r="D58" s="48" t="str">
        <f>IFERROR(VLOOKUP(Summary!$D$4,$A$66:$E$71,4,FALSE),"unknown")</f>
        <v>med</v>
      </c>
      <c r="E58" s="101" t="s">
        <v>1402</v>
      </c>
    </row>
    <row r="59" spans="1:5" x14ac:dyDescent="0.2">
      <c r="A59" s="17" t="s">
        <v>1403</v>
      </c>
      <c r="B59" s="18" t="s">
        <v>1404</v>
      </c>
      <c r="C59" s="19" t="s">
        <v>135</v>
      </c>
      <c r="D59" s="48" t="str">
        <f>IF(j_anode&lt;=j_opt_strain,"OK - at/below optimum",IF(j_anode&lt;=j_ceiling_strain,"watch - above optimum","EXCEED - over strain ceiling"))</f>
        <v>watch - above optimum</v>
      </c>
      <c r="E59" s="101" t="s">
        <v>1405</v>
      </c>
    </row>
    <row r="60" spans="1:5" x14ac:dyDescent="0.2">
      <c r="A60" s="17" t="s">
        <v>1406</v>
      </c>
      <c r="B60" s="18" t="s">
        <v>1407</v>
      </c>
      <c r="C60" s="19" t="s">
        <v>135</v>
      </c>
      <c r="D60" s="48" t="str">
        <f>IF(j_anode&gt;anode_j_max,"EXCEED - over plating maximum",IF(OR(j_anode&gt;anode_j_cont,anode_material="Graphite"),IF(anode_material="Graphite","watch - graphite consumable in neutral O₂ (testing only)","watch - above continuous plating rating"),"OK - within plating rating"))</f>
        <v>OK - within plating rating</v>
      </c>
      <c r="E60" s="101" t="s">
        <v>1408</v>
      </c>
    </row>
    <row r="61" spans="1:5" x14ac:dyDescent="0.2">
      <c r="A61" s="17" t="s">
        <v>1409</v>
      </c>
      <c r="B61" s="18" t="s">
        <v>1410</v>
      </c>
      <c r="C61" s="19" t="s">
        <v>135</v>
      </c>
      <c r="D61" s="48" t="str">
        <f>IF(j_cathode&lt;=cath_j_cont,"OK - cathode within HER norm",IF(j_cathode&lt;=cath_j_max,"watch - high cathodic j","EXCEED - over SS HER norm"))</f>
        <v>OK - cathode within HER norm</v>
      </c>
      <c r="E61" s="101" t="s">
        <v>1411</v>
      </c>
    </row>
    <row r="62" spans="1:5" x14ac:dyDescent="0.2">
      <c r="A62" s="17" t="s">
        <v>1412</v>
      </c>
      <c r="B62" s="18" t="s">
        <v>1413</v>
      </c>
      <c r="C62" s="19" t="s">
        <v>135</v>
      </c>
      <c r="D62" s="48" t="str">
        <f>IF(OR(ISNUMBER(SEARCH("EXCEED",j_bio_flag)),ISNUMBER(SEARCH("EXCEED",j_mat_flag)),ISNUMBER(SEARCH("EXCEED",j_cath_flag))),"EXCEED - current density over a limit",IF(OR(ISNUMBER(SEARCH("watch",j_bio_flag)),ISNUMBER(SEARCH("watch",j_mat_flag)),ISNUMBER(SEARCH("watch",j_cath_flag))),"watch - above optimum current density","OK - current density in range"))</f>
        <v>watch - above optimum current density</v>
      </c>
      <c r="E62" s="101" t="s">
        <v>1414</v>
      </c>
    </row>
    <row r="63" spans="1:5" x14ac:dyDescent="0.2">
      <c r="A63" s="17" t="s">
        <v>1415</v>
      </c>
      <c r="B63" s="18" t="s">
        <v>1416</v>
      </c>
      <c r="C63" s="19" t="s">
        <v>135</v>
      </c>
      <c r="D63" s="48" t="str">
        <f>VLOOKUP(electrode_sel,$A$35:$N$38,2,FALSE)</f>
        <v>Pt/Ti</v>
      </c>
      <c r="E63" s="101" t="s">
        <v>1417</v>
      </c>
    </row>
    <row r="64" spans="1:5" ht="16" x14ac:dyDescent="0.2">
      <c r="A64" s="110" t="s">
        <v>1418</v>
      </c>
    </row>
    <row r="65" spans="1:5" x14ac:dyDescent="0.2">
      <c r="A65" s="109" t="s">
        <v>1419</v>
      </c>
      <c r="B65" s="109" t="s">
        <v>1420</v>
      </c>
      <c r="C65" s="109" t="s">
        <v>1421</v>
      </c>
      <c r="D65" s="109" t="s">
        <v>1422</v>
      </c>
      <c r="E65" s="109" t="s">
        <v>530</v>
      </c>
    </row>
    <row r="66" spans="1:5" x14ac:dyDescent="0.2">
      <c r="A66" s="20" t="s">
        <v>39</v>
      </c>
      <c r="B66" s="20">
        <v>2</v>
      </c>
      <c r="C66" s="20">
        <v>4</v>
      </c>
      <c r="D66" s="20" t="s">
        <v>1042</v>
      </c>
      <c r="E66" s="122" t="s">
        <v>1423</v>
      </c>
    </row>
    <row r="67" spans="1:5" x14ac:dyDescent="0.2">
      <c r="A67" s="20" t="s">
        <v>532</v>
      </c>
      <c r="B67" s="20">
        <v>2</v>
      </c>
      <c r="C67" s="20">
        <v>4</v>
      </c>
      <c r="D67" s="20" t="s">
        <v>1042</v>
      </c>
      <c r="E67" s="122" t="s">
        <v>1424</v>
      </c>
    </row>
    <row r="68" spans="1:5" x14ac:dyDescent="0.2">
      <c r="A68" s="20" t="s">
        <v>534</v>
      </c>
      <c r="B68" s="20">
        <v>2</v>
      </c>
      <c r="C68" s="20">
        <v>4</v>
      </c>
      <c r="D68" s="20" t="s">
        <v>1042</v>
      </c>
      <c r="E68" s="122" t="s">
        <v>1424</v>
      </c>
    </row>
    <row r="69" spans="1:5" x14ac:dyDescent="0.2">
      <c r="A69" s="20" t="s">
        <v>536</v>
      </c>
      <c r="B69" s="20">
        <v>2</v>
      </c>
      <c r="C69" s="20">
        <v>4</v>
      </c>
      <c r="D69" s="20" t="s">
        <v>1042</v>
      </c>
      <c r="E69" s="122" t="s">
        <v>1424</v>
      </c>
    </row>
    <row r="70" spans="1:5" x14ac:dyDescent="0.2">
      <c r="A70" s="20" t="s">
        <v>537</v>
      </c>
      <c r="B70" s="20">
        <v>2</v>
      </c>
      <c r="C70" s="20">
        <v>4</v>
      </c>
      <c r="D70" s="20" t="s">
        <v>1042</v>
      </c>
      <c r="E70" s="122" t="s">
        <v>1425</v>
      </c>
    </row>
    <row r="71" spans="1:5" x14ac:dyDescent="0.2">
      <c r="A71" s="20" t="s">
        <v>538</v>
      </c>
      <c r="B71" s="20">
        <v>2.14</v>
      </c>
      <c r="C71" s="20">
        <v>4.29</v>
      </c>
      <c r="D71" s="20" t="s">
        <v>1038</v>
      </c>
      <c r="E71" s="51" t="s">
        <v>1426</v>
      </c>
    </row>
    <row r="72" spans="1:5" ht="16" x14ac:dyDescent="0.2">
      <c r="A72" s="110" t="s">
        <v>1427</v>
      </c>
    </row>
    <row r="73" spans="1:5" x14ac:dyDescent="0.2">
      <c r="A73" s="17" t="s">
        <v>1428</v>
      </c>
      <c r="B73" s="18" t="s">
        <v>1429</v>
      </c>
      <c r="C73" s="19" t="s">
        <v>45</v>
      </c>
      <c r="D73" s="52">
        <v>10</v>
      </c>
      <c r="E73" s="51" t="s">
        <v>1430</v>
      </c>
    </row>
    <row r="74" spans="1:5" x14ac:dyDescent="0.2">
      <c r="A74" s="17" t="s">
        <v>1332</v>
      </c>
      <c r="B74" s="18" t="s">
        <v>1431</v>
      </c>
      <c r="C74" s="19" t="s">
        <v>325</v>
      </c>
      <c r="D74" s="48">
        <f>gerrit_slope*power_max+gerrit_int</f>
        <v>12.9</v>
      </c>
      <c r="E74" s="101" t="s">
        <v>1432</v>
      </c>
    </row>
    <row r="75" spans="1:5" x14ac:dyDescent="0.2">
      <c r="A75" s="17" t="s">
        <v>1334</v>
      </c>
      <c r="B75" s="18" t="s">
        <v>1433</v>
      </c>
      <c r="C75" s="19" t="s">
        <v>1326</v>
      </c>
      <c r="D75" s="48">
        <f>I_max/A_anode_wet</f>
        <v>6.0154064474010385</v>
      </c>
      <c r="E75" s="101" t="s">
        <v>1335</v>
      </c>
    </row>
    <row r="76" spans="1:5" x14ac:dyDescent="0.2">
      <c r="A76" s="17" t="s">
        <v>1434</v>
      </c>
      <c r="B76" s="18" t="s">
        <v>1435</v>
      </c>
      <c r="C76" s="19" t="s">
        <v>135</v>
      </c>
      <c r="D76" s="48" t="str">
        <f>IF(OR(j_anode_max&gt;j_ceiling_strain,j_anode_max&gt;anode_j_max),"EXCEED - max current over a limit",IF(OR(j_anode_max&gt;j_opt_strain,j_anode_max&gt;anode_j_cont),"watch - max current above optimum","OK - max current in range"))</f>
        <v>EXCEED - max current over a limit</v>
      </c>
      <c r="E76" s="101" t="s">
        <v>1436</v>
      </c>
    </row>
  </sheetData>
  <conditionalFormatting sqref="D13">
    <cfRule type="cellIs" dxfId="16" priority="1" operator="equal">
      <formula>"OK"</formula>
    </cfRule>
    <cfRule type="cellIs" dxfId="15" priority="2" operator="equal">
      <formula>"OUT"</formula>
    </cfRule>
  </conditionalFormatting>
  <conditionalFormatting sqref="D59:D62">
    <cfRule type="expression" dxfId="14" priority="3" stopIfTrue="1">
      <formula>ISNUMBER(SEARCH("EXCEED",D59))</formula>
    </cfRule>
    <cfRule type="expression" dxfId="13" priority="4" stopIfTrue="1">
      <formula>ISNUMBER(SEARCH("watch",D59))</formula>
    </cfRule>
    <cfRule type="expression" dxfId="12" priority="5" stopIfTrue="1">
      <formula>ISNUMBER(SEARCH("OK",D59))</formula>
    </cfRule>
  </conditionalFormatting>
  <conditionalFormatting sqref="D76">
    <cfRule type="expression" dxfId="11" priority="15" stopIfTrue="1">
      <formula>ISNUMBER(SEARCH("EXCEED",D76))</formula>
    </cfRule>
    <cfRule type="expression" dxfId="10" priority="16" stopIfTrue="1">
      <formula>ISNUMBER(SEARCH("watch",D76))</formula>
    </cfRule>
    <cfRule type="expression" dxfId="9" priority="17" stopIfTrue="1">
      <formula>ISNUMBER(SEARCH("OK",D76))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63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845</v>
      </c>
    </row>
    <row r="2" spans="1:6" x14ac:dyDescent="0.2">
      <c r="A2" s="16" t="s">
        <v>846</v>
      </c>
      <c r="B2" s="16" t="s">
        <v>847</v>
      </c>
      <c r="C2" s="16" t="s">
        <v>848</v>
      </c>
      <c r="D2" s="16" t="s">
        <v>849</v>
      </c>
      <c r="E2" s="16" t="s">
        <v>850</v>
      </c>
    </row>
    <row r="3" spans="1:6" x14ac:dyDescent="0.2">
      <c r="A3" s="109" t="s">
        <v>851</v>
      </c>
    </row>
    <row r="4" spans="1:6" x14ac:dyDescent="0.2">
      <c r="A4" s="17" t="s">
        <v>852</v>
      </c>
      <c r="B4" s="18" t="s">
        <v>853</v>
      </c>
      <c r="C4" s="19" t="s">
        <v>854</v>
      </c>
      <c r="D4" s="64">
        <f>Biology!$D$18</f>
        <v>298.14999999999998</v>
      </c>
      <c r="E4" s="51" t="s">
        <v>855</v>
      </c>
    </row>
    <row r="5" spans="1:6" ht="36" x14ac:dyDescent="0.2">
      <c r="A5" s="17" t="s">
        <v>856</v>
      </c>
      <c r="B5" s="18" t="s">
        <v>857</v>
      </c>
      <c r="C5" s="19" t="s">
        <v>858</v>
      </c>
      <c r="D5" s="64">
        <f>'Mass Transfer'!$D$162</f>
        <v>9.8009182872224013E-4</v>
      </c>
      <c r="E5" s="51" t="s">
        <v>1194</v>
      </c>
    </row>
    <row r="6" spans="1:6" x14ac:dyDescent="0.2">
      <c r="A6" s="17" t="s">
        <v>859</v>
      </c>
      <c r="B6" s="18" t="s">
        <v>860</v>
      </c>
      <c r="C6" s="19" t="s">
        <v>861</v>
      </c>
      <c r="D6" s="64">
        <f>Electrochemistry!$D$19</f>
        <v>5.6899999999999997E-3</v>
      </c>
      <c r="E6" s="51" t="s">
        <v>862</v>
      </c>
    </row>
    <row r="7" spans="1:6" x14ac:dyDescent="0.2">
      <c r="A7" s="17" t="s">
        <v>863</v>
      </c>
      <c r="B7" s="18" t="s">
        <v>864</v>
      </c>
      <c r="C7" s="19" t="s">
        <v>865</v>
      </c>
      <c r="D7" s="64">
        <f>Electrochemistry!$D$15</f>
        <v>96485.332120000006</v>
      </c>
      <c r="E7" s="51" t="s">
        <v>866</v>
      </c>
    </row>
    <row r="8" spans="1:6" x14ac:dyDescent="0.2">
      <c r="A8" s="17" t="s">
        <v>867</v>
      </c>
      <c r="B8" s="18" t="s">
        <v>868</v>
      </c>
      <c r="C8" s="19" t="s">
        <v>869</v>
      </c>
      <c r="D8" s="64">
        <f>Biology!$D$6/1000</f>
        <v>1.4999999999999999E-2</v>
      </c>
      <c r="E8" s="51" t="s">
        <v>870</v>
      </c>
    </row>
    <row r="9" spans="1:6" x14ac:dyDescent="0.2">
      <c r="A9" s="17" t="s">
        <v>871</v>
      </c>
      <c r="B9" s="18" t="s">
        <v>872</v>
      </c>
      <c r="C9" s="19" t="s">
        <v>873</v>
      </c>
      <c r="D9" s="52">
        <v>8.3140000000000001</v>
      </c>
      <c r="E9" s="85" t="s">
        <v>874</v>
      </c>
    </row>
    <row r="11" spans="1:6" ht="16" x14ac:dyDescent="0.2">
      <c r="A11" s="110" t="s">
        <v>875</v>
      </c>
      <c r="F11" s="107" t="s">
        <v>876</v>
      </c>
    </row>
    <row r="12" spans="1:6" x14ac:dyDescent="0.2">
      <c r="A12" s="16" t="s">
        <v>877</v>
      </c>
      <c r="B12" s="16" t="s">
        <v>878</v>
      </c>
      <c r="C12" s="16" t="s">
        <v>879</v>
      </c>
      <c r="D12" s="16" t="s">
        <v>880</v>
      </c>
      <c r="E12" s="16" t="s">
        <v>881</v>
      </c>
    </row>
    <row r="13" spans="1:6" x14ac:dyDescent="0.2">
      <c r="A13" s="17" t="s">
        <v>883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882</v>
      </c>
    </row>
    <row r="14" spans="1:6" x14ac:dyDescent="0.2">
      <c r="A14" s="17" t="s">
        <v>884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882</v>
      </c>
    </row>
    <row r="15" spans="1:6" x14ac:dyDescent="0.2">
      <c r="A15" s="17" t="s">
        <v>885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882</v>
      </c>
    </row>
    <row r="16" spans="1:6" x14ac:dyDescent="0.2">
      <c r="A16" s="17" t="s">
        <v>886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882</v>
      </c>
    </row>
    <row r="17" spans="1:6" x14ac:dyDescent="0.2">
      <c r="A17" s="17" t="s">
        <v>1030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882</v>
      </c>
    </row>
    <row r="18" spans="1:6" x14ac:dyDescent="0.2">
      <c r="A18" s="17" t="s">
        <v>887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882</v>
      </c>
    </row>
    <row r="19" spans="1:6" x14ac:dyDescent="0.2">
      <c r="A19" s="17" t="s">
        <v>888</v>
      </c>
      <c r="B19" s="52">
        <v>1E-14</v>
      </c>
      <c r="C19" s="52">
        <v>55.8</v>
      </c>
      <c r="D19" s="64">
        <f t="shared" si="0"/>
        <v>1E-14</v>
      </c>
      <c r="E19" s="85" t="s">
        <v>882</v>
      </c>
    </row>
    <row r="20" spans="1:6" x14ac:dyDescent="0.2">
      <c r="A20" s="17" t="s">
        <v>889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882</v>
      </c>
    </row>
    <row r="21" spans="1:6" x14ac:dyDescent="0.2">
      <c r="A21" s="17" t="s">
        <v>890</v>
      </c>
      <c r="B21" s="18" t="s">
        <v>891</v>
      </c>
      <c r="C21" s="19" t="s">
        <v>892</v>
      </c>
      <c r="D21" s="62">
        <f>-LOG10(Ka_HOCl)</f>
        <v>7.54</v>
      </c>
      <c r="E21" s="51" t="s">
        <v>893</v>
      </c>
    </row>
    <row r="23" spans="1:6" ht="16" x14ac:dyDescent="0.2">
      <c r="A23" s="110" t="s">
        <v>894</v>
      </c>
      <c r="F23" s="107" t="s">
        <v>895</v>
      </c>
    </row>
    <row r="24" spans="1:6" x14ac:dyDescent="0.2">
      <c r="A24" s="16" t="s">
        <v>898</v>
      </c>
      <c r="B24" s="16" t="s">
        <v>899</v>
      </c>
      <c r="C24" s="16" t="s">
        <v>900</v>
      </c>
      <c r="D24" s="16" t="s">
        <v>901</v>
      </c>
      <c r="E24" s="16" t="s">
        <v>902</v>
      </c>
    </row>
    <row r="25" spans="1:6" x14ac:dyDescent="0.2">
      <c r="A25" s="17" t="s">
        <v>903</v>
      </c>
      <c r="B25" s="52">
        <v>136.08600000000001</v>
      </c>
      <c r="C25" s="20">
        <v>0</v>
      </c>
      <c r="D25" s="52">
        <v>2.2999999999999998</v>
      </c>
      <c r="E25" s="51" t="s">
        <v>896</v>
      </c>
    </row>
    <row r="26" spans="1:6" x14ac:dyDescent="0.2">
      <c r="A26" s="17" t="s">
        <v>904</v>
      </c>
      <c r="B26" s="52">
        <v>141.96</v>
      </c>
      <c r="C26" s="52">
        <v>2.895</v>
      </c>
      <c r="D26" s="52">
        <v>2.9</v>
      </c>
      <c r="E26" s="51" t="s">
        <v>897</v>
      </c>
    </row>
    <row r="27" spans="1:6" x14ac:dyDescent="0.2">
      <c r="A27" s="17" t="s">
        <v>905</v>
      </c>
      <c r="B27" s="52">
        <v>156.01</v>
      </c>
      <c r="C27" s="52">
        <v>3.06</v>
      </c>
      <c r="D27" s="20">
        <v>0</v>
      </c>
      <c r="E27" s="51" t="s">
        <v>897</v>
      </c>
    </row>
    <row r="28" spans="1:6" x14ac:dyDescent="0.2">
      <c r="A28" s="17" t="s">
        <v>906</v>
      </c>
      <c r="B28" s="52">
        <v>84.007000000000005</v>
      </c>
      <c r="C28" s="20">
        <v>0</v>
      </c>
      <c r="D28" s="52">
        <v>1.05</v>
      </c>
      <c r="E28" s="51" t="s">
        <v>896</v>
      </c>
    </row>
    <row r="29" spans="1:6" x14ac:dyDescent="0.2">
      <c r="A29" s="17" t="s">
        <v>907</v>
      </c>
      <c r="B29" s="52">
        <v>174.26</v>
      </c>
      <c r="C29" s="52">
        <v>0.17</v>
      </c>
      <c r="D29" s="20">
        <v>0</v>
      </c>
      <c r="E29" s="51" t="s">
        <v>897</v>
      </c>
    </row>
    <row r="30" spans="1:6" x14ac:dyDescent="0.2">
      <c r="A30" s="17" t="s">
        <v>908</v>
      </c>
      <c r="B30" s="52">
        <v>172.17</v>
      </c>
      <c r="C30" s="52">
        <v>9.7000000000000003E-2</v>
      </c>
      <c r="D30" s="20">
        <v>0</v>
      </c>
      <c r="E30" s="51" t="s">
        <v>897</v>
      </c>
    </row>
    <row r="31" spans="1:6" x14ac:dyDescent="0.2">
      <c r="A31" s="17" t="s">
        <v>909</v>
      </c>
      <c r="B31" s="52">
        <v>246.48</v>
      </c>
      <c r="C31" s="52">
        <v>0.8</v>
      </c>
      <c r="D31" s="52">
        <v>0.5</v>
      </c>
      <c r="E31" s="51" t="s">
        <v>897</v>
      </c>
    </row>
    <row r="32" spans="1:6" x14ac:dyDescent="0.2">
      <c r="A32" s="17" t="s">
        <v>910</v>
      </c>
      <c r="B32" s="52">
        <v>132.13999999999999</v>
      </c>
      <c r="C32" s="52">
        <v>0.94299999999999995</v>
      </c>
      <c r="D32" s="52">
        <v>0.47</v>
      </c>
      <c r="E32" s="51" t="s">
        <v>897</v>
      </c>
    </row>
    <row r="33" spans="1:5" ht="24" x14ac:dyDescent="0.2">
      <c r="A33" s="17" t="s">
        <v>911</v>
      </c>
      <c r="B33" s="52">
        <v>110.98</v>
      </c>
      <c r="C33" s="20">
        <v>0</v>
      </c>
      <c r="D33" s="52">
        <v>0.01</v>
      </c>
      <c r="E33" s="51" t="s">
        <v>1090</v>
      </c>
    </row>
    <row r="35" spans="1:5" x14ac:dyDescent="0.2">
      <c r="A35" s="17" t="s">
        <v>912</v>
      </c>
      <c r="B35" s="18" t="s">
        <v>913</v>
      </c>
      <c r="C35" s="19" t="s">
        <v>914</v>
      </c>
      <c r="D35" s="62">
        <f>mc_Na2HPO4/MW_Na2HPO4+mc_NaH2PO4_2H2O/MW_NaH2PO4_2H2O</f>
        <v>4.0007195769523628E-2</v>
      </c>
      <c r="E35" s="51" t="s">
        <v>915</v>
      </c>
    </row>
    <row r="36" spans="1:5" x14ac:dyDescent="0.2">
      <c r="A36" s="17" t="s">
        <v>916</v>
      </c>
      <c r="B36" s="18" t="s">
        <v>917</v>
      </c>
      <c r="C36" s="19" t="s">
        <v>918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919</v>
      </c>
    </row>
    <row r="37" spans="1:5" x14ac:dyDescent="0.2">
      <c r="A37" s="17" t="s">
        <v>920</v>
      </c>
      <c r="B37" s="18" t="s">
        <v>921</v>
      </c>
      <c r="C37" s="19" t="s">
        <v>922</v>
      </c>
      <c r="D37" s="62">
        <f>2*mc_NH42SO4/MW_NH42SO4</f>
        <v>1.4272741032238535E-2</v>
      </c>
      <c r="E37" s="51" t="s">
        <v>923</v>
      </c>
    </row>
    <row r="38" spans="1:5" x14ac:dyDescent="0.2">
      <c r="A38" s="17" t="s">
        <v>924</v>
      </c>
      <c r="B38" s="18" t="s">
        <v>925</v>
      </c>
      <c r="C38" s="19" t="s">
        <v>926</v>
      </c>
      <c r="D38" s="62">
        <f>0</f>
        <v>0</v>
      </c>
      <c r="E38" s="51" t="s">
        <v>927</v>
      </c>
    </row>
    <row r="39" spans="1:5" x14ac:dyDescent="0.2">
      <c r="A39" s="17" t="s">
        <v>928</v>
      </c>
      <c r="B39" s="18" t="s">
        <v>929</v>
      </c>
      <c r="C39" s="19" t="s">
        <v>930</v>
      </c>
      <c r="D39" s="62">
        <f>udg_KH2PO4/MW_KH2PO4+udg_Na2HPO4/MW_Na2HPO4</f>
        <v>3.7329366919026843E-2</v>
      </c>
      <c r="E39" s="51" t="s">
        <v>931</v>
      </c>
    </row>
    <row r="40" spans="1:5" x14ac:dyDescent="0.2">
      <c r="A40" s="17" t="s">
        <v>932</v>
      </c>
      <c r="B40" s="18" t="s">
        <v>933</v>
      </c>
      <c r="C40" s="19" t="s">
        <v>934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935</v>
      </c>
    </row>
    <row r="41" spans="1:5" x14ac:dyDescent="0.2">
      <c r="A41" s="17" t="s">
        <v>936</v>
      </c>
      <c r="B41" s="18" t="s">
        <v>937</v>
      </c>
      <c r="C41" s="19" t="s">
        <v>938</v>
      </c>
      <c r="D41" s="62">
        <f>2*udg_NH42SO4/MW_NH42SO4</f>
        <v>7.1136673225367037E-3</v>
      </c>
      <c r="E41" s="51" t="s">
        <v>939</v>
      </c>
    </row>
    <row r="42" spans="1:5" x14ac:dyDescent="0.2">
      <c r="A42" s="17" t="s">
        <v>940</v>
      </c>
      <c r="B42" s="18" t="s">
        <v>941</v>
      </c>
      <c r="C42" s="19" t="s">
        <v>942</v>
      </c>
      <c r="D42" s="62">
        <f>2*udg_CaCl2/MW_CaCl2</f>
        <v>1.8021265092809516E-4</v>
      </c>
      <c r="E42" s="51" t="s">
        <v>943</v>
      </c>
    </row>
    <row r="44" spans="1:5" x14ac:dyDescent="0.2">
      <c r="A44" s="17" t="s">
        <v>944</v>
      </c>
      <c r="B44" s="18" t="s">
        <v>945</v>
      </c>
      <c r="C44" s="19" t="s">
        <v>946</v>
      </c>
      <c r="D44" s="62">
        <f>IF(Summary!$D$5="MC02",SID_mc02,IF(Summary!$D$5="UdG phosphate",SID_udg,NA()))</f>
        <v>6.3142947675680683E-2</v>
      </c>
      <c r="E44" s="51" t="s">
        <v>947</v>
      </c>
    </row>
    <row r="45" spans="1:5" x14ac:dyDescent="0.2">
      <c r="A45" s="17" t="s">
        <v>948</v>
      </c>
      <c r="B45" s="18" t="s">
        <v>949</v>
      </c>
      <c r="C45" s="19" t="s">
        <v>950</v>
      </c>
      <c r="D45" s="62">
        <f>IF(Summary!$D$5="MC02",PT_mc02,IF(Summary!$D$5="UdG phosphate",PT_udg,NA()))</f>
        <v>3.7329366919026843E-2</v>
      </c>
      <c r="E45" s="51" t="s">
        <v>951</v>
      </c>
    </row>
    <row r="46" spans="1:5" x14ac:dyDescent="0.2">
      <c r="A46" s="17" t="s">
        <v>952</v>
      </c>
      <c r="B46" s="18" t="s">
        <v>953</v>
      </c>
      <c r="C46" s="19" t="s">
        <v>954</v>
      </c>
      <c r="D46" s="62">
        <f>IF(Summary!$D$5="MC02",NT_mc02,IF(Summary!$D$5="UdG phosphate",NT_udg,NA()))</f>
        <v>7.1136673225367037E-3</v>
      </c>
      <c r="E46" s="51" t="s">
        <v>955</v>
      </c>
    </row>
    <row r="47" spans="1:5" x14ac:dyDescent="0.2">
      <c r="A47" s="17" t="s">
        <v>956</v>
      </c>
      <c r="B47" s="18" t="s">
        <v>957</v>
      </c>
      <c r="C47" s="19" t="s">
        <v>958</v>
      </c>
      <c r="D47" s="62">
        <f>IF(Summary!$D$5="MC02",Cl_mc02,IF(Summary!$D$5="UdG phosphate",Cl_udg,NA()))</f>
        <v>1.8021265092809516E-4</v>
      </c>
      <c r="E47" s="51" t="s">
        <v>959</v>
      </c>
    </row>
    <row r="49" spans="1:3" x14ac:dyDescent="0.2">
      <c r="A49" s="16" t="s">
        <v>960</v>
      </c>
      <c r="B49" s="16" t="s">
        <v>961</v>
      </c>
      <c r="C49" s="16" t="s">
        <v>962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3.3517774517338811E-2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3.3384522985935881E-2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3.3274889786970713E-2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3.3183307892540218E-2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3.3105074993299691E-2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3.3036139256554423E-2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3.297290744358844E-2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3.291206994508325E-2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3.2850436754628849E-2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3.2784778168851753E-2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3.2711663930267844E-2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3.2627294556085151E-2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3.2527318743270667E-2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3.2406631110720986E-2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3.2259145334480252E-2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3.207753927489275E-2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3.1852971459638446E-2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3.1574772919404664E-2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3.1230125674441868E-2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3.0803749991778262E-2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3.0277637494317763E-2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2.9630886108782794E-2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2.8839713658810901E-2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2.7877744284005988E-2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2.6716665431949674E-2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2.532732668498941E-2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2.3681274978059403E-2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2.1752577334341151E-2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1.9519574225990561E-2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1.6965973789974383E-2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1.4080526789693596E-2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1.0854530162518642E-2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7.276676554452138E-3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3.3252688428751227E-3</v>
      </c>
      <c r="C83" s="64">
        <f t="shared" si="4"/>
        <v>7.3761471820171503</v>
      </c>
    </row>
    <row r="84" spans="1:3" x14ac:dyDescent="0.2">
      <c r="A84" s="20">
        <v>7.4</v>
      </c>
      <c r="B84" s="64">
        <f t="shared" si="3"/>
        <v>-1.0416279414683588E-3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-5.8971860782859728E-3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-1.1357132390000149E-2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-1.7591051221532129E-2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-2.4834081383202963E-2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-3.3400148091886857E-2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-4.3698443776948967E-2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-5.6255294638319062E-2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-7.1743965497692963E-2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-9.1025569288744251E-2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-0.11520528483710941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-0.14570980052831864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-0.18439462545018237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-0.23369414228106924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-0.29683379986713238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-0.3781338949228632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-0.48344992527027159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131</v>
      </c>
    </row>
    <row r="103" spans="1:7" x14ac:dyDescent="0.2">
      <c r="A103" s="17" t="s">
        <v>963</v>
      </c>
      <c r="B103" s="18" t="s">
        <v>964</v>
      </c>
      <c r="C103" s="19" t="s">
        <v>965</v>
      </c>
      <c r="D103" s="62">
        <f>IF(n_cross=1,SUM(C50:C100),NA())</f>
        <v>7.3761471820171503</v>
      </c>
      <c r="E103" s="51" t="s">
        <v>966</v>
      </c>
      <c r="F103" s="107" t="s">
        <v>967</v>
      </c>
    </row>
    <row r="104" spans="1:7" x14ac:dyDescent="0.2">
      <c r="A104" s="17" t="s">
        <v>968</v>
      </c>
      <c r="B104" s="18" t="s">
        <v>969</v>
      </c>
      <c r="C104" s="19" t="s">
        <v>970</v>
      </c>
      <c r="D104" s="62">
        <f>1/(1+10^(pH_op-pKa_HOCl))</f>
        <v>0.59321812496000326</v>
      </c>
      <c r="E104" s="51" t="s">
        <v>971</v>
      </c>
    </row>
    <row r="105" spans="1:7" ht="36" x14ac:dyDescent="0.2">
      <c r="A105" s="17" t="s">
        <v>1026</v>
      </c>
      <c r="B105" s="18" t="s">
        <v>1027</v>
      </c>
      <c r="C105" s="19" t="s">
        <v>1028</v>
      </c>
      <c r="D105" s="62">
        <f>SUMPRODUCT((B50:B99&gt;=0)*(B51:B100&lt;0))</f>
        <v>1</v>
      </c>
      <c r="E105" s="51" t="s">
        <v>1029</v>
      </c>
      <c r="F105" s="20"/>
    </row>
    <row r="106" spans="1:7" ht="48" x14ac:dyDescent="0.2">
      <c r="A106" s="110" t="s">
        <v>972</v>
      </c>
      <c r="G106" s="69" t="s">
        <v>1031</v>
      </c>
    </row>
    <row r="107" spans="1:7" ht="328" x14ac:dyDescent="0.2">
      <c r="A107" s="17" t="s">
        <v>1086</v>
      </c>
      <c r="B107" s="18" t="s">
        <v>973</v>
      </c>
      <c r="C107" s="19" t="s">
        <v>974</v>
      </c>
      <c r="D107" s="62">
        <f>Iappc/(2*Fcc)*52460*3600/VLc</f>
        <v>371.24490544791416</v>
      </c>
      <c r="E107" s="51" t="s">
        <v>1088</v>
      </c>
      <c r="G107" s="69" t="s">
        <v>1032</v>
      </c>
    </row>
    <row r="108" spans="1:7" ht="284" x14ac:dyDescent="0.2">
      <c r="A108" s="17" t="s">
        <v>975</v>
      </c>
      <c r="B108" s="18" t="s">
        <v>976</v>
      </c>
      <c r="C108" s="19" t="s">
        <v>977</v>
      </c>
      <c r="D108" s="62">
        <f>1/(bleach_rate)*60</f>
        <v>0.16161837945657148</v>
      </c>
      <c r="E108" s="51" t="s">
        <v>978</v>
      </c>
      <c r="G108" s="69" t="s">
        <v>1033</v>
      </c>
    </row>
    <row r="109" spans="1:7" ht="204" x14ac:dyDescent="0.2">
      <c r="A109" s="17" t="s">
        <v>979</v>
      </c>
      <c r="B109" s="18" t="s">
        <v>980</v>
      </c>
      <c r="C109" s="19" t="s">
        <v>981</v>
      </c>
      <c r="D109" s="64" t="str">
        <f>IF(C_eff&lt;Cl_onset,"negligible free chlorine ("&amp;TEXT(C_eff,"0.00")&amp;" mg/L &lt; onset); does NOT account for the Exp-2 death - see metal_flag",IF(C_eff&lt;Cl_kill,"sub-lethal "&amp;TEXT(C_eff,"0.00")&amp;" mg/L (band "&amp;TEXT(C_eff_lo,"0.00")&amp;"-"&amp;TEXT(C_eff_hi,"0.00")&amp;"); chloride-pool-bounded, cannot reach the kill threshold in this medium; does NOT explain the death - see metal_flag","SEVERE free chlorine: "&amp;TEXT(C_eff,"0.0")&amp;" mg/L biofilm/electrode damage (Baek 2021)"))</f>
        <v>sub-lethal 0.38 mg/L (band 0.00-0.53); chloride-pool-bounded, cannot reach the kill threshold in this medium; does NOT explain the death - see metal_flag</v>
      </c>
      <c r="E109" s="51" t="s">
        <v>1163</v>
      </c>
      <c r="G109" s="69" t="s">
        <v>1034</v>
      </c>
    </row>
    <row r="110" spans="1:7" ht="328" x14ac:dyDescent="0.2">
      <c r="A110" s="17" t="s">
        <v>982</v>
      </c>
      <c r="B110" s="18" t="s">
        <v>983</v>
      </c>
      <c r="C110" s="19" t="s">
        <v>984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985</v>
      </c>
      <c r="G110" s="69" t="s">
        <v>1035</v>
      </c>
    </row>
    <row r="112" spans="1:7" ht="16" x14ac:dyDescent="0.2">
      <c r="A112" s="110" t="s">
        <v>986</v>
      </c>
    </row>
    <row r="113" spans="1:5" x14ac:dyDescent="0.2">
      <c r="A113" s="16" t="s">
        <v>987</v>
      </c>
      <c r="B113" s="16" t="s">
        <v>988</v>
      </c>
      <c r="C113" s="16" t="s">
        <v>989</v>
      </c>
      <c r="D113" s="16" t="s">
        <v>990</v>
      </c>
      <c r="E113" s="16" t="s">
        <v>991</v>
      </c>
    </row>
    <row r="114" spans="1:5" x14ac:dyDescent="0.2">
      <c r="A114" s="20" t="s">
        <v>992</v>
      </c>
      <c r="B114" s="20" t="s">
        <v>993</v>
      </c>
      <c r="C114" s="62">
        <f>PT_mc02*1000</f>
        <v>40.007195769523626</v>
      </c>
      <c r="D114" s="20" t="s">
        <v>994</v>
      </c>
      <c r="E114" s="20" t="s">
        <v>995</v>
      </c>
    </row>
    <row r="115" spans="1:5" x14ac:dyDescent="0.2">
      <c r="A115" s="20" t="s">
        <v>996</v>
      </c>
      <c r="B115" s="20" t="s">
        <v>997</v>
      </c>
      <c r="C115" s="62">
        <f>PT_udg*1000</f>
        <v>37.329366919026846</v>
      </c>
      <c r="D115" s="20" t="s">
        <v>998</v>
      </c>
      <c r="E115" s="20" t="s">
        <v>999</v>
      </c>
    </row>
    <row r="123" spans="1:5" ht="16" x14ac:dyDescent="0.2">
      <c r="A123" s="110"/>
    </row>
    <row r="125" spans="1:5" ht="36" x14ac:dyDescent="0.2">
      <c r="A125" s="17" t="s">
        <v>1087</v>
      </c>
      <c r="B125" s="18" t="s">
        <v>1000</v>
      </c>
      <c r="C125" s="19" t="s">
        <v>1001</v>
      </c>
      <c r="D125" s="62">
        <f>pH_Cl*pH_fHOCl*52460</f>
        <v>5.6082578546407955</v>
      </c>
      <c r="E125" s="51" t="s">
        <v>1089</v>
      </c>
    </row>
    <row r="127" spans="1:5" ht="16" x14ac:dyDescent="0.2">
      <c r="A127" s="110" t="s">
        <v>1094</v>
      </c>
    </row>
    <row r="128" spans="1:5" ht="48" x14ac:dyDescent="0.2">
      <c r="A128" s="17" t="s">
        <v>1095</v>
      </c>
      <c r="B128" s="18" t="s">
        <v>1096</v>
      </c>
      <c r="C128" s="19" t="s">
        <v>1097</v>
      </c>
      <c r="D128" s="52">
        <v>0.5</v>
      </c>
      <c r="E128" s="51" t="s">
        <v>1098</v>
      </c>
    </row>
    <row r="129" spans="1:5" ht="24" x14ac:dyDescent="0.2">
      <c r="A129" s="17" t="s">
        <v>1099</v>
      </c>
      <c r="B129" s="18" t="s">
        <v>1100</v>
      </c>
      <c r="C129" s="19" t="s">
        <v>1101</v>
      </c>
      <c r="D129" s="52">
        <v>3.0000000000000001E-3</v>
      </c>
      <c r="E129" s="51" t="s">
        <v>1102</v>
      </c>
    </row>
    <row r="130" spans="1:5" ht="24" x14ac:dyDescent="0.2">
      <c r="A130" s="17" t="s">
        <v>1103</v>
      </c>
      <c r="B130" s="18" t="s">
        <v>1104</v>
      </c>
      <c r="C130" s="19" t="s">
        <v>1105</v>
      </c>
      <c r="D130" s="52">
        <f>Electrochemistry!$D$46</f>
        <v>2.144493495626294</v>
      </c>
      <c r="E130" s="51" t="s">
        <v>1437</v>
      </c>
    </row>
    <row r="131" spans="1:5" x14ac:dyDescent="0.2">
      <c r="A131" s="17" t="s">
        <v>1106</v>
      </c>
      <c r="B131" s="18" t="s">
        <v>1107</v>
      </c>
      <c r="C131" s="19" t="s">
        <v>1108</v>
      </c>
      <c r="D131" s="62">
        <f>Iappc*FE_CER</f>
        <v>2.8449999999999999E-3</v>
      </c>
      <c r="E131" s="51" t="s">
        <v>1109</v>
      </c>
    </row>
    <row r="132" spans="1:5" ht="36" x14ac:dyDescent="0.2">
      <c r="A132" s="17" t="s">
        <v>1110</v>
      </c>
      <c r="B132" s="18" t="s">
        <v>1111</v>
      </c>
      <c r="C132" s="19" t="s">
        <v>1108</v>
      </c>
      <c r="D132" s="62">
        <f>Fcc*km_Cl*(pH_Cl/1000)*A_anode</f>
        <v>1.1186457045666757E-4</v>
      </c>
      <c r="E132" s="51" t="s">
        <v>1112</v>
      </c>
    </row>
    <row r="133" spans="1:5" x14ac:dyDescent="0.2">
      <c r="A133" s="17" t="s">
        <v>1113</v>
      </c>
      <c r="B133" s="18" t="s">
        <v>1114</v>
      </c>
      <c r="C133" s="19" t="s">
        <v>1108</v>
      </c>
      <c r="D133" s="62">
        <f>MIN(I_Cl_FE,I_Cl_mt)</f>
        <v>1.1186457045666757E-4</v>
      </c>
      <c r="E133" s="51" t="s">
        <v>1115</v>
      </c>
    </row>
    <row r="134" spans="1:5" x14ac:dyDescent="0.2">
      <c r="A134" s="17" t="s">
        <v>1116</v>
      </c>
      <c r="B134" s="18" t="s">
        <v>1117</v>
      </c>
      <c r="C134" s="19" t="s">
        <v>1118</v>
      </c>
      <c r="D134" s="62">
        <f>I_Cl/(n_e_Cl*Fcc*VLc)</f>
        <v>7.7292971548974378E-8</v>
      </c>
      <c r="E134" s="51" t="s">
        <v>1119</v>
      </c>
    </row>
    <row r="135" spans="1:5" x14ac:dyDescent="0.2">
      <c r="A135" s="17" t="s">
        <v>1120</v>
      </c>
      <c r="B135" s="18" t="s">
        <v>1121</v>
      </c>
      <c r="C135" s="19" t="s">
        <v>1122</v>
      </c>
      <c r="D135" s="62">
        <f>pH_NT*14007</f>
        <v>99.641138186771613</v>
      </c>
      <c r="E135" s="51" t="s">
        <v>1123</v>
      </c>
    </row>
    <row r="136" spans="1:5" ht="36" x14ac:dyDescent="0.2">
      <c r="A136" s="17" t="s">
        <v>1124</v>
      </c>
      <c r="B136" s="18" t="s">
        <v>1125</v>
      </c>
      <c r="C136" s="19" t="s">
        <v>1126</v>
      </c>
      <c r="D136" s="52">
        <v>4200000</v>
      </c>
      <c r="E136" s="51" t="s">
        <v>1127</v>
      </c>
    </row>
    <row r="137" spans="1:5" ht="36" x14ac:dyDescent="0.2">
      <c r="A137" s="17" t="s">
        <v>1128</v>
      </c>
      <c r="B137" s="18" t="s">
        <v>1129</v>
      </c>
      <c r="C137" s="19" t="s">
        <v>1097</v>
      </c>
      <c r="D137" s="52">
        <v>9.25</v>
      </c>
      <c r="E137" s="51" t="s">
        <v>1130</v>
      </c>
    </row>
    <row r="138" spans="1:5" ht="24" x14ac:dyDescent="0.2">
      <c r="A138" s="17" t="s">
        <v>1131</v>
      </c>
      <c r="B138" s="18" t="s">
        <v>1132</v>
      </c>
      <c r="C138" s="19" t="s">
        <v>1133</v>
      </c>
      <c r="D138" s="62">
        <f>pH_NT/(1+10^(pKa_NH4-pH_op))</f>
        <v>9.3858256339933826E-5</v>
      </c>
      <c r="E138" s="51" t="s">
        <v>1134</v>
      </c>
    </row>
    <row r="139" spans="1:5" ht="24" x14ac:dyDescent="0.2">
      <c r="A139" s="17" t="s">
        <v>1135</v>
      </c>
      <c r="B139" s="18" t="s">
        <v>1136</v>
      </c>
      <c r="C139" s="19" t="s">
        <v>1133</v>
      </c>
      <c r="D139" s="62">
        <f>P_HOCl/(k1_NH2Cl*NH3_free)</f>
        <v>1.9607319783770122E-10</v>
      </c>
      <c r="E139" s="51" t="s">
        <v>1137</v>
      </c>
    </row>
    <row r="140" spans="1:5" ht="24" x14ac:dyDescent="0.2">
      <c r="A140" s="17" t="s">
        <v>1138</v>
      </c>
      <c r="B140" s="18" t="s">
        <v>1139</v>
      </c>
      <c r="C140" s="19" t="s">
        <v>1122</v>
      </c>
      <c r="D140" s="62">
        <f>HOCl_ss*52460</f>
        <v>1.0285999958565806E-5</v>
      </c>
      <c r="E140" s="51" t="s">
        <v>1140</v>
      </c>
    </row>
    <row r="141" spans="1:5" ht="48" x14ac:dyDescent="0.2">
      <c r="A141" s="17" t="s">
        <v>1141</v>
      </c>
      <c r="B141" s="18" t="s">
        <v>1142</v>
      </c>
      <c r="C141" s="19" t="s">
        <v>1097</v>
      </c>
      <c r="D141" s="52">
        <v>10</v>
      </c>
      <c r="E141" s="51" t="s">
        <v>1143</v>
      </c>
    </row>
    <row r="142" spans="1:5" ht="36" x14ac:dyDescent="0.2">
      <c r="A142" s="17" t="s">
        <v>1144</v>
      </c>
      <c r="B142" s="18" t="s">
        <v>1145</v>
      </c>
      <c r="C142" s="19" t="s">
        <v>1146</v>
      </c>
      <c r="D142" s="52">
        <v>1</v>
      </c>
      <c r="E142" s="51" t="s">
        <v>1147</v>
      </c>
    </row>
    <row r="143" spans="1:5" ht="36" x14ac:dyDescent="0.2">
      <c r="A143" s="17" t="s">
        <v>1148</v>
      </c>
      <c r="B143" s="18" t="s">
        <v>1149</v>
      </c>
      <c r="C143" s="19" t="s">
        <v>1122</v>
      </c>
      <c r="D143" s="62">
        <f>MIN(P_HOCl*tau_NH2Cl*3600*52460,5.06*NH3_N,Cl_pool_mgL)</f>
        <v>9.4539556676878718</v>
      </c>
      <c r="E143" s="51" t="s">
        <v>1150</v>
      </c>
    </row>
    <row r="144" spans="1:5" ht="36" x14ac:dyDescent="0.2">
      <c r="A144" s="17" t="s">
        <v>1151</v>
      </c>
      <c r="B144" s="18" t="s">
        <v>1152</v>
      </c>
      <c r="C144" s="19" t="s">
        <v>1097</v>
      </c>
      <c r="D144" s="52">
        <v>25</v>
      </c>
      <c r="E144" s="51" t="s">
        <v>1153</v>
      </c>
    </row>
    <row r="145" spans="1:5" ht="36" x14ac:dyDescent="0.2">
      <c r="A145" s="17" t="s">
        <v>1154</v>
      </c>
      <c r="B145" s="18" t="s">
        <v>1155</v>
      </c>
      <c r="C145" s="19" t="s">
        <v>1122</v>
      </c>
      <c r="D145" s="62">
        <f>f_local*HOCl_ss_mgL+NH2Cl_mgL/R_chloramine</f>
        <v>0.37826108670710051</v>
      </c>
      <c r="E145" s="51" t="s">
        <v>1156</v>
      </c>
    </row>
    <row r="146" spans="1:5" ht="36" x14ac:dyDescent="0.2">
      <c r="A146" s="17" t="s">
        <v>1157</v>
      </c>
      <c r="B146" s="18" t="s">
        <v>1158</v>
      </c>
      <c r="C146" s="19" t="s">
        <v>1122</v>
      </c>
      <c r="D146" s="52">
        <v>0.1</v>
      </c>
      <c r="E146" s="51" t="s">
        <v>1159</v>
      </c>
    </row>
    <row r="147" spans="1:5" ht="24" x14ac:dyDescent="0.2">
      <c r="A147" s="17" t="s">
        <v>1160</v>
      </c>
      <c r="B147" s="18" t="s">
        <v>1161</v>
      </c>
      <c r="C147" s="19" t="s">
        <v>1122</v>
      </c>
      <c r="D147" s="52">
        <v>2</v>
      </c>
      <c r="E147" s="51" t="s">
        <v>1162</v>
      </c>
    </row>
    <row r="148" spans="1:5" ht="24" x14ac:dyDescent="0.2">
      <c r="A148" s="17" t="s">
        <v>1256</v>
      </c>
      <c r="B148" s="18" t="s">
        <v>1257</v>
      </c>
      <c r="C148" s="19" t="s">
        <v>1258</v>
      </c>
      <c r="D148" s="62">
        <f>IF(I_Cl_mt&lt;=I_Cl_FE,1,2)</f>
        <v>1</v>
      </c>
      <c r="E148" s="51" t="s">
        <v>1259</v>
      </c>
    </row>
    <row r="149" spans="1:5" ht="36" x14ac:dyDescent="0.2">
      <c r="A149" s="17" t="s">
        <v>1260</v>
      </c>
      <c r="B149" s="18" t="s">
        <v>1261</v>
      </c>
      <c r="C149" s="19" t="s">
        <v>1262</v>
      </c>
      <c r="D149" s="62">
        <f>pH_Cl*52460</f>
        <v>9.4539556676878718</v>
      </c>
      <c r="E149" s="51" t="s">
        <v>1263</v>
      </c>
    </row>
    <row r="150" spans="1:5" ht="24" x14ac:dyDescent="0.2">
      <c r="A150" s="17" t="s">
        <v>1264</v>
      </c>
      <c r="B150" s="18" t="s">
        <v>1265</v>
      </c>
      <c r="C150" s="19" t="s">
        <v>1266</v>
      </c>
      <c r="D150" s="52">
        <v>1.6666666666666666E-2</v>
      </c>
      <c r="E150" s="75" t="s">
        <v>1267</v>
      </c>
    </row>
    <row r="151" spans="1:5" ht="24" x14ac:dyDescent="0.2">
      <c r="A151" s="17" t="s">
        <v>1268</v>
      </c>
      <c r="B151" s="18" t="s">
        <v>1269</v>
      </c>
      <c r="C151" s="19" t="s">
        <v>1270</v>
      </c>
      <c r="D151" s="52">
        <v>5</v>
      </c>
      <c r="E151" s="75" t="s">
        <v>1271</v>
      </c>
    </row>
    <row r="152" spans="1:5" ht="24" x14ac:dyDescent="0.2">
      <c r="A152" s="17" t="s">
        <v>1272</v>
      </c>
      <c r="B152" s="18" t="s">
        <v>1273</v>
      </c>
      <c r="C152" s="19" t="s">
        <v>1274</v>
      </c>
      <c r="D152" s="52">
        <v>18</v>
      </c>
      <c r="E152" s="75" t="s">
        <v>1275</v>
      </c>
    </row>
    <row r="153" spans="1:5" x14ac:dyDescent="0.2">
      <c r="A153" s="17" t="s">
        <v>1276</v>
      </c>
      <c r="B153" s="18" t="s">
        <v>1277</v>
      </c>
      <c r="C153" s="19" t="s">
        <v>1278</v>
      </c>
      <c r="D153" s="52">
        <v>70</v>
      </c>
      <c r="E153" s="75" t="s">
        <v>1279</v>
      </c>
    </row>
    <row r="154" spans="1:5" x14ac:dyDescent="0.2">
      <c r="A154" s="17" t="s">
        <v>1280</v>
      </c>
      <c r="B154" s="18" t="s">
        <v>1281</v>
      </c>
      <c r="C154" s="19" t="s">
        <v>1282</v>
      </c>
      <c r="D154" s="62">
        <f>MIN(P_HOCl*tau_NH2Cl_lo*3600*52460,5.06*NH3_N,Cl_pool_mgL)</f>
        <v>0.24328735724755179</v>
      </c>
      <c r="E154" s="51" t="s">
        <v>1283</v>
      </c>
    </row>
    <row r="155" spans="1:5" x14ac:dyDescent="0.2">
      <c r="A155" s="17" t="s">
        <v>1284</v>
      </c>
      <c r="B155" s="18" t="s">
        <v>1285</v>
      </c>
      <c r="C155" s="19" t="s">
        <v>1286</v>
      </c>
      <c r="D155" s="62">
        <f>MIN(P_HOCl*tau_NH2Cl_hi*3600*52460,5.06*NH3_N,Cl_pool_mgL)</f>
        <v>9.4539556676878718</v>
      </c>
      <c r="E155" s="51" t="s">
        <v>1287</v>
      </c>
    </row>
    <row r="156" spans="1:5" x14ac:dyDescent="0.2">
      <c r="A156" s="17" t="s">
        <v>1288</v>
      </c>
      <c r="B156" s="18" t="s">
        <v>1289</v>
      </c>
      <c r="C156" s="19" t="s">
        <v>1290</v>
      </c>
      <c r="D156" s="62">
        <f>f_local*HOCl_ss_mgL+NH2Cl_lo/R_chloramine_hi</f>
        <v>3.5783936745506836E-3</v>
      </c>
      <c r="E156" s="51" t="s">
        <v>1291</v>
      </c>
    </row>
    <row r="157" spans="1:5" ht="24" x14ac:dyDescent="0.2">
      <c r="A157" s="17" t="s">
        <v>1292</v>
      </c>
      <c r="B157" s="18" t="s">
        <v>1293</v>
      </c>
      <c r="C157" s="19" t="s">
        <v>1294</v>
      </c>
      <c r="D157" s="62">
        <f>f_local*HOCl_ss_mgL+NH2Cl_hi/R_chloramine_lo</f>
        <v>0.52532261931557855</v>
      </c>
      <c r="E157" s="51" t="s">
        <v>1295</v>
      </c>
    </row>
    <row r="158" spans="1:5" ht="24" x14ac:dyDescent="0.2">
      <c r="A158" s="17" t="s">
        <v>1296</v>
      </c>
      <c r="B158" s="18" t="s">
        <v>1297</v>
      </c>
      <c r="C158" s="19" t="s">
        <v>1298</v>
      </c>
      <c r="D158" s="52"/>
      <c r="E158" s="57" t="s">
        <v>1299</v>
      </c>
    </row>
    <row r="159" spans="1:5" x14ac:dyDescent="0.2">
      <c r="A159" s="17" t="s">
        <v>1300</v>
      </c>
      <c r="B159" s="18" t="s">
        <v>1301</v>
      </c>
      <c r="C159" s="19" t="s">
        <v>1302</v>
      </c>
      <c r="D159" s="52">
        <v>63.55</v>
      </c>
      <c r="E159" s="51" t="s">
        <v>1303</v>
      </c>
    </row>
    <row r="160" spans="1:5" x14ac:dyDescent="0.2">
      <c r="A160" s="17" t="s">
        <v>1304</v>
      </c>
      <c r="B160" s="18" t="s">
        <v>1305</v>
      </c>
      <c r="C160" s="19" t="s">
        <v>1306</v>
      </c>
      <c r="D160" s="52">
        <v>2</v>
      </c>
      <c r="E160" s="51" t="s">
        <v>1307</v>
      </c>
    </row>
    <row r="161" spans="1:5" ht="24" x14ac:dyDescent="0.2">
      <c r="A161" s="17" t="s">
        <v>1308</v>
      </c>
      <c r="B161" s="18" t="s">
        <v>1309</v>
      </c>
      <c r="C161" s="19" t="s">
        <v>1310</v>
      </c>
      <c r="D161" s="62" t="e">
        <f>IF(ISNUMBER(corr_I_frac),corr_I_frac*Iappc/(metal_z*Fcc)*metal_MW*1000*3600/VLc,NA())</f>
        <v>#N/A</v>
      </c>
      <c r="E161" s="57" t="s">
        <v>1311</v>
      </c>
    </row>
    <row r="162" spans="1:5" ht="24" x14ac:dyDescent="0.2">
      <c r="A162" s="17" t="s">
        <v>1312</v>
      </c>
      <c r="B162" s="18" t="s">
        <v>1313</v>
      </c>
      <c r="C162" s="19" t="s">
        <v>1314</v>
      </c>
      <c r="D162" s="52">
        <v>0.5</v>
      </c>
      <c r="E162" s="51" t="s">
        <v>1315</v>
      </c>
    </row>
    <row r="163" spans="1:5" x14ac:dyDescent="0.2">
      <c r="A163" s="17" t="s">
        <v>1316</v>
      </c>
      <c r="B163" s="18" t="s">
        <v>1317</v>
      </c>
      <c r="C163" s="19" t="s">
        <v>1318</v>
      </c>
      <c r="D163" s="64" t="str">
        <f>IF(ISNUMBER(corr_I_frac),"metal leach "&amp;TEXT(metal_leach_rate,"0.00")&amp;" mg/L/h vs ~"&amp;TEXT(metal_tox_thresh,"0.0")&amp;" mg/L bactericidal threshold","DATA GAP - measure dissolved Cu/Ni/Fe in spent medium; the green anode implicates electrode corrosion / metal leaching as the unmodelled prime suspect for the Exp-2 death")</f>
        <v>DATA GAP - measure dissolved Cu/Ni/Fe in spent medium; the green anode implicates electrode corrosion / metal leaching as the unmodelled prime suspect for the Exp-2 death</v>
      </c>
      <c r="E163" s="57" t="s">
        <v>1319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404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ht="16" customHeight="1" x14ac:dyDescent="0.2">
      <c r="A3" s="110" t="s">
        <v>132</v>
      </c>
      <c r="B3" s="18"/>
      <c r="C3" s="19"/>
      <c r="D3" s="111"/>
      <c r="E3" s="20"/>
      <c r="F3" s="20"/>
    </row>
    <row r="4" spans="1:6" x14ac:dyDescent="0.2">
      <c r="A4" s="20" t="s">
        <v>405</v>
      </c>
      <c r="B4" s="18" t="s">
        <v>354</v>
      </c>
      <c r="C4" s="20" t="s">
        <v>355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406</v>
      </c>
      <c r="B5" s="18" t="s">
        <v>380</v>
      </c>
      <c r="C5" s="20" t="s">
        <v>355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407</v>
      </c>
      <c r="B6" s="18" t="s">
        <v>228</v>
      </c>
      <c r="C6" s="20" t="s">
        <v>57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408</v>
      </c>
      <c r="B7" s="18" t="s">
        <v>38</v>
      </c>
      <c r="C7" s="20"/>
      <c r="D7" s="38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408</v>
      </c>
      <c r="B8" s="18" t="s">
        <v>38</v>
      </c>
      <c r="C8" s="20"/>
      <c r="D8" s="38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409</v>
      </c>
      <c r="B10" s="18" t="s">
        <v>410</v>
      </c>
      <c r="C10" s="19" t="s">
        <v>135</v>
      </c>
      <c r="D10" s="111">
        <f>IFERROR(cal_knall_H2,6)</f>
        <v>6</v>
      </c>
      <c r="E10" s="61" t="s">
        <v>411</v>
      </c>
      <c r="F10" s="20"/>
    </row>
    <row r="11" spans="1:6" x14ac:dyDescent="0.2">
      <c r="A11" s="17" t="s">
        <v>412</v>
      </c>
      <c r="B11" s="18" t="s">
        <v>413</v>
      </c>
      <c r="C11" s="19" t="s">
        <v>135</v>
      </c>
      <c r="D11" s="111">
        <f>IFERROR(cal_knall_O2,2)</f>
        <v>2</v>
      </c>
      <c r="E11" s="61" t="s">
        <v>414</v>
      </c>
      <c r="F11" s="20"/>
    </row>
    <row r="12" spans="1:6" x14ac:dyDescent="0.2">
      <c r="A12" s="17" t="s">
        <v>415</v>
      </c>
      <c r="B12" s="18" t="s">
        <v>416</v>
      </c>
      <c r="C12" s="19" t="s">
        <v>135</v>
      </c>
      <c r="D12" s="111">
        <f>IFERROR(cal_knall_CO2,1)</f>
        <v>1</v>
      </c>
      <c r="E12" s="61" t="s">
        <v>417</v>
      </c>
      <c r="F12" s="20"/>
    </row>
    <row r="13" spans="1:6" x14ac:dyDescent="0.2">
      <c r="A13" s="17" t="s">
        <v>418</v>
      </c>
      <c r="B13" s="18" t="s">
        <v>419</v>
      </c>
      <c r="C13" s="19" t="s">
        <v>355</v>
      </c>
      <c r="D13" s="48">
        <f>rH2_gen</f>
        <v>1.0615084982307878E-4</v>
      </c>
      <c r="E13" s="37" t="s">
        <v>420</v>
      </c>
      <c r="F13" s="20"/>
    </row>
    <row r="14" spans="1:6" ht="26" customHeight="1" x14ac:dyDescent="0.2">
      <c r="A14" s="17" t="s">
        <v>421</v>
      </c>
      <c r="B14" s="18" t="s">
        <v>422</v>
      </c>
      <c r="C14" s="19" t="s">
        <v>355</v>
      </c>
      <c r="D14" s="48">
        <f>H2_cons*bio_O2/bio_H2</f>
        <v>3.5383616607692927E-5</v>
      </c>
      <c r="E14" s="113" t="s">
        <v>423</v>
      </c>
      <c r="F14" s="20"/>
    </row>
    <row r="15" spans="1:6" x14ac:dyDescent="0.2">
      <c r="A15" s="17" t="s">
        <v>424</v>
      </c>
      <c r="B15" s="18" t="s">
        <v>425</v>
      </c>
      <c r="C15" s="19" t="s">
        <v>355</v>
      </c>
      <c r="D15" s="48">
        <f>H2_cons*bio_CO2/bio_H2</f>
        <v>1.7691808303846464E-5</v>
      </c>
      <c r="E15" s="37" t="s">
        <v>426</v>
      </c>
      <c r="F15" s="20"/>
    </row>
    <row r="16" spans="1:6" x14ac:dyDescent="0.2">
      <c r="A16" s="119" t="s">
        <v>427</v>
      </c>
      <c r="B16" s="18" t="s">
        <v>428</v>
      </c>
      <c r="C16" s="19" t="s">
        <v>355</v>
      </c>
      <c r="D16" s="48">
        <f>O2_net_gen-O2_cons</f>
        <v>1.769180830384646E-5</v>
      </c>
      <c r="E16" s="123" t="s">
        <v>429</v>
      </c>
      <c r="F16" s="20"/>
    </row>
    <row r="17" spans="1:6" x14ac:dyDescent="0.2">
      <c r="A17" s="17" t="s">
        <v>430</v>
      </c>
      <c r="B17" s="18" t="s">
        <v>431</v>
      </c>
      <c r="C17" s="19" t="s">
        <v>53</v>
      </c>
      <c r="D17" s="62">
        <f>Summary!$D$8</f>
        <v>25</v>
      </c>
      <c r="E17" s="37" t="s">
        <v>432</v>
      </c>
      <c r="F17" s="20"/>
    </row>
    <row r="18" spans="1:6" ht="24" customHeight="1" x14ac:dyDescent="0.2">
      <c r="A18" s="17" t="s">
        <v>433</v>
      </c>
      <c r="B18" s="18" t="s">
        <v>308</v>
      </c>
      <c r="C18" s="19" t="s">
        <v>309</v>
      </c>
      <c r="D18" s="42">
        <f>T_C+273.15</f>
        <v>298.14999999999998</v>
      </c>
      <c r="E18" s="101" t="s">
        <v>434</v>
      </c>
      <c r="F18" s="20"/>
    </row>
    <row r="19" spans="1:6" x14ac:dyDescent="0.2">
      <c r="A19" s="17" t="s">
        <v>435</v>
      </c>
      <c r="B19" s="18" t="s">
        <v>311</v>
      </c>
      <c r="C19" s="19" t="s">
        <v>62</v>
      </c>
      <c r="D19" s="63">
        <f>IF(Summary!$D$10&gt;0,Summary!$D$10,101325)</f>
        <v>101325</v>
      </c>
      <c r="E19" s="37" t="s">
        <v>436</v>
      </c>
      <c r="F19" s="20"/>
    </row>
    <row r="20" spans="1:6" x14ac:dyDescent="0.2">
      <c r="A20" s="17" t="s">
        <v>437</v>
      </c>
      <c r="B20" s="18" t="s">
        <v>438</v>
      </c>
      <c r="C20" s="19" t="s">
        <v>439</v>
      </c>
      <c r="D20" s="52">
        <v>101325</v>
      </c>
      <c r="E20" s="101" t="s">
        <v>440</v>
      </c>
      <c r="F20" s="20"/>
    </row>
    <row r="21" spans="1:6" x14ac:dyDescent="0.2">
      <c r="A21" s="17" t="s">
        <v>441</v>
      </c>
      <c r="B21" s="18" t="s">
        <v>442</v>
      </c>
      <c r="C21" s="19" t="s">
        <v>443</v>
      </c>
      <c r="D21" s="52">
        <v>1.2E-5</v>
      </c>
      <c r="E21" s="51" t="s">
        <v>444</v>
      </c>
      <c r="F21" s="20"/>
    </row>
    <row r="22" spans="1:6" x14ac:dyDescent="0.2">
      <c r="A22" s="17" t="s">
        <v>445</v>
      </c>
      <c r="B22" s="18" t="s">
        <v>446</v>
      </c>
      <c r="C22" s="19" t="s">
        <v>309</v>
      </c>
      <c r="D22" s="52">
        <v>1500</v>
      </c>
      <c r="E22" s="51" t="s">
        <v>447</v>
      </c>
      <c r="F22" s="20"/>
    </row>
    <row r="23" spans="1:6" x14ac:dyDescent="0.2">
      <c r="A23" s="17" t="s">
        <v>448</v>
      </c>
      <c r="B23" s="18" t="s">
        <v>449</v>
      </c>
      <c r="C23" s="19" t="s">
        <v>309</v>
      </c>
      <c r="D23" s="52">
        <v>298.14999999999998</v>
      </c>
      <c r="E23" s="101" t="s">
        <v>450</v>
      </c>
      <c r="F23" s="20"/>
    </row>
    <row r="24" spans="1:6" x14ac:dyDescent="0.2">
      <c r="A24" s="17" t="s">
        <v>451</v>
      </c>
      <c r="B24" s="18" t="s">
        <v>452</v>
      </c>
      <c r="C24" s="19" t="s">
        <v>443</v>
      </c>
      <c r="D24" s="64">
        <f>H_O2ref*EXP(H_O2T*(1/T_K-1/T_ref))</f>
        <v>1.2E-5</v>
      </c>
      <c r="E24" s="101" t="s">
        <v>453</v>
      </c>
      <c r="F24" s="20"/>
    </row>
    <row r="25" spans="1:6" ht="24" customHeight="1" x14ac:dyDescent="0.2">
      <c r="A25" s="17" t="s">
        <v>454</v>
      </c>
      <c r="B25" s="18" t="s">
        <v>455</v>
      </c>
      <c r="C25" s="19" t="s">
        <v>456</v>
      </c>
      <c r="D25" s="52">
        <v>0.3</v>
      </c>
      <c r="E25" s="51" t="s">
        <v>457</v>
      </c>
      <c r="F25" s="20"/>
    </row>
    <row r="26" spans="1:6" x14ac:dyDescent="0.2">
      <c r="A26" s="17" t="s">
        <v>458</v>
      </c>
      <c r="B26" s="18" t="s">
        <v>459</v>
      </c>
      <c r="C26" s="19" t="s">
        <v>62</v>
      </c>
      <c r="D26" s="43">
        <f>O2_ceil_atm*Pa_per_atm</f>
        <v>30397.5</v>
      </c>
      <c r="E26" s="101" t="s">
        <v>460</v>
      </c>
      <c r="F26" s="20"/>
    </row>
    <row r="27" spans="1:6" x14ac:dyDescent="0.2">
      <c r="A27" s="17" t="s">
        <v>461</v>
      </c>
      <c r="B27" s="18" t="s">
        <v>462</v>
      </c>
      <c r="C27" s="19" t="s">
        <v>463</v>
      </c>
      <c r="D27" s="46">
        <f>H_O2_T*O2_ceil_Pa</f>
        <v>0.36476999999999998</v>
      </c>
      <c r="E27" s="101" t="s">
        <v>464</v>
      </c>
      <c r="F27" s="20"/>
    </row>
    <row r="28" spans="1:6" x14ac:dyDescent="0.2">
      <c r="A28" s="119" t="s">
        <v>461</v>
      </c>
      <c r="B28" s="18" t="s">
        <v>465</v>
      </c>
      <c r="C28" s="19" t="s">
        <v>466</v>
      </c>
      <c r="D28" s="43">
        <f>O2_ceil_C*1000</f>
        <v>364.77</v>
      </c>
      <c r="E28" s="65" t="s">
        <v>467</v>
      </c>
      <c r="F28" s="20"/>
    </row>
    <row r="29" spans="1:6" x14ac:dyDescent="0.2">
      <c r="A29" s="17" t="s">
        <v>468</v>
      </c>
      <c r="B29" s="18" t="s">
        <v>469</v>
      </c>
      <c r="C29" s="19" t="s">
        <v>443</v>
      </c>
      <c r="D29" s="66">
        <v>3.3E-4</v>
      </c>
      <c r="E29" s="67" t="s">
        <v>1080</v>
      </c>
      <c r="F29" s="20"/>
    </row>
    <row r="30" spans="1:6" ht="24" customHeight="1" x14ac:dyDescent="0.2">
      <c r="A30" s="17" t="s">
        <v>470</v>
      </c>
      <c r="B30" s="18" t="s">
        <v>471</v>
      </c>
      <c r="C30" s="19" t="s">
        <v>309</v>
      </c>
      <c r="D30" s="66">
        <v>2400</v>
      </c>
      <c r="E30" s="67" t="s">
        <v>472</v>
      </c>
      <c r="F30" s="20"/>
    </row>
    <row r="31" spans="1:6" x14ac:dyDescent="0.2">
      <c r="A31" s="17" t="s">
        <v>473</v>
      </c>
      <c r="B31" s="18" t="s">
        <v>474</v>
      </c>
      <c r="C31" s="19" t="s">
        <v>443</v>
      </c>
      <c r="D31" s="48">
        <f>H_CO2ref*EXP(H_CO2T*(1/T_K-1/T_ref))</f>
        <v>3.3E-4</v>
      </c>
      <c r="E31" s="101" t="s">
        <v>475</v>
      </c>
      <c r="F31" s="20"/>
    </row>
    <row r="32" spans="1:6" x14ac:dyDescent="0.2">
      <c r="A32" s="17" t="s">
        <v>476</v>
      </c>
      <c r="B32" s="18" t="s">
        <v>477</v>
      </c>
      <c r="C32" s="19" t="s">
        <v>62</v>
      </c>
      <c r="D32" s="48">
        <f>P_atm</f>
        <v>101325</v>
      </c>
      <c r="E32" s="68" t="s">
        <v>478</v>
      </c>
      <c r="F32" s="20"/>
    </row>
    <row r="33" spans="1:6" x14ac:dyDescent="0.2">
      <c r="A33" s="17" t="s">
        <v>479</v>
      </c>
      <c r="B33" s="18" t="s">
        <v>480</v>
      </c>
      <c r="C33" s="19" t="s">
        <v>463</v>
      </c>
      <c r="D33" s="48">
        <f>H_CO2_T*p_CO2_sparge</f>
        <v>33.437249999999999</v>
      </c>
      <c r="E33" s="101" t="s">
        <v>481</v>
      </c>
      <c r="F33" s="20"/>
    </row>
    <row r="34" spans="1:6" x14ac:dyDescent="0.2">
      <c r="A34" s="17" t="s">
        <v>482</v>
      </c>
      <c r="B34" s="18" t="s">
        <v>483</v>
      </c>
      <c r="C34" s="19" t="s">
        <v>466</v>
      </c>
      <c r="D34" s="124">
        <v>50</v>
      </c>
      <c r="E34" s="69" t="s">
        <v>484</v>
      </c>
      <c r="F34" s="20"/>
    </row>
    <row r="35" spans="1:6" ht="24" customHeight="1" x14ac:dyDescent="0.2">
      <c r="A35" s="17" t="s">
        <v>485</v>
      </c>
      <c r="B35" s="18" t="s">
        <v>486</v>
      </c>
      <c r="C35" s="19" t="s">
        <v>110</v>
      </c>
      <c r="D35" s="48">
        <f>CO2_diss*1000/Km_CO2</f>
        <v>668.745</v>
      </c>
      <c r="E35" s="101" t="s">
        <v>487</v>
      </c>
      <c r="F35" s="20"/>
    </row>
    <row r="36" spans="1:6" x14ac:dyDescent="0.2">
      <c r="A36" s="17" t="s">
        <v>488</v>
      </c>
      <c r="B36" s="18" t="s">
        <v>489</v>
      </c>
      <c r="C36" s="19" t="s">
        <v>490</v>
      </c>
      <c r="D36" s="66">
        <v>4.4499999999999997E-7</v>
      </c>
      <c r="E36" s="67" t="s">
        <v>491</v>
      </c>
      <c r="F36" s="20"/>
    </row>
    <row r="37" spans="1:6" ht="24" customHeight="1" x14ac:dyDescent="0.2">
      <c r="A37" s="17" t="s">
        <v>492</v>
      </c>
      <c r="B37" s="18" t="s">
        <v>493</v>
      </c>
      <c r="C37" s="19" t="s">
        <v>135</v>
      </c>
      <c r="D37" s="48">
        <f>-LOG10(SQRT(Ka1_carb*(CO2_diss/1000)))</f>
        <v>3.913704718363725</v>
      </c>
      <c r="E37" s="69" t="s">
        <v>494</v>
      </c>
      <c r="F37" s="20"/>
    </row>
    <row r="38" spans="1:6" x14ac:dyDescent="0.2">
      <c r="A38" s="17" t="s">
        <v>495</v>
      </c>
      <c r="B38" s="18" t="s">
        <v>496</v>
      </c>
      <c r="C38" s="19" t="s">
        <v>443</v>
      </c>
      <c r="D38" s="66">
        <v>7.7999999999999999E-6</v>
      </c>
      <c r="E38" s="67" t="s">
        <v>1081</v>
      </c>
      <c r="F38" s="20"/>
    </row>
    <row r="39" spans="1:6" x14ac:dyDescent="0.2">
      <c r="A39" s="17" t="s">
        <v>497</v>
      </c>
      <c r="B39" s="18" t="s">
        <v>498</v>
      </c>
      <c r="C39" s="19" t="s">
        <v>309</v>
      </c>
      <c r="D39" s="66">
        <v>500</v>
      </c>
      <c r="E39" s="67" t="s">
        <v>499</v>
      </c>
      <c r="F39" s="20"/>
    </row>
    <row r="40" spans="1:6" x14ac:dyDescent="0.2">
      <c r="A40" s="17" t="s">
        <v>500</v>
      </c>
      <c r="B40" s="18" t="s">
        <v>501</v>
      </c>
      <c r="C40" s="19" t="s">
        <v>443</v>
      </c>
      <c r="D40" s="48">
        <f>H_H2ref*EXP(H_H2T*(1/T_K-1/T_ref))</f>
        <v>7.7999999999999999E-6</v>
      </c>
      <c r="E40" s="101" t="s">
        <v>475</v>
      </c>
      <c r="F40" s="20"/>
    </row>
    <row r="41" spans="1:6" x14ac:dyDescent="0.2">
      <c r="A41" s="17" t="s">
        <v>502</v>
      </c>
      <c r="B41" s="18" t="s">
        <v>503</v>
      </c>
      <c r="C41" s="19" t="s">
        <v>463</v>
      </c>
      <c r="D41" s="48">
        <f>H_H2_T*P_atm</f>
        <v>0.79033500000000001</v>
      </c>
      <c r="E41" s="101" t="s">
        <v>504</v>
      </c>
      <c r="F41" s="20"/>
    </row>
    <row r="42" spans="1:6" ht="24" customHeight="1" x14ac:dyDescent="0.2">
      <c r="A42" s="17" t="s">
        <v>505</v>
      </c>
      <c r="B42" s="18" t="s">
        <v>506</v>
      </c>
      <c r="C42" s="19" t="s">
        <v>67</v>
      </c>
      <c r="D42" s="48">
        <f>C_H2_sat*(V_charge/1000000)/rH2_gen*60</f>
        <v>6.7008554447328832</v>
      </c>
      <c r="E42" s="101" t="s">
        <v>507</v>
      </c>
      <c r="F42" s="20"/>
    </row>
    <row r="43" spans="1:6" x14ac:dyDescent="0.2">
      <c r="A43" s="17" t="s">
        <v>508</v>
      </c>
      <c r="B43" s="18" t="s">
        <v>509</v>
      </c>
      <c r="C43" s="19" t="s">
        <v>510</v>
      </c>
      <c r="D43" s="48">
        <f>rH2_gen/(V_charge/1000000)/C_H2_sat</f>
        <v>8.9540806386387857</v>
      </c>
      <c r="E43" s="69" t="s">
        <v>511</v>
      </c>
      <c r="F43" s="20"/>
    </row>
    <row r="44" spans="1:6" ht="24" customHeight="1" x14ac:dyDescent="0.2">
      <c r="A44" s="17" t="s">
        <v>512</v>
      </c>
      <c r="B44" s="18" t="s">
        <v>513</v>
      </c>
      <c r="C44" s="19" t="s">
        <v>135</v>
      </c>
      <c r="D44" s="48" t="str">
        <f>IF(H2_turnover&gt;1,"EXPLOSIVE","watch")</f>
        <v>EXPLOSIVE</v>
      </c>
      <c r="E44" s="70" t="s">
        <v>514</v>
      </c>
      <c r="F44" s="107" t="s">
        <v>515</v>
      </c>
    </row>
    <row r="45" spans="1:6" x14ac:dyDescent="0.2">
      <c r="A45" s="20" t="s">
        <v>516</v>
      </c>
      <c r="B45" s="20" t="s">
        <v>517</v>
      </c>
      <c r="C45" s="20" t="s">
        <v>102</v>
      </c>
      <c r="D45" s="71">
        <f>IFERROR(cal_DO_min,IF(ISNUMBER(VLOOKUP(organism_sel,$A$52:$F$57,2,FALSE)),VLOOKUP(organism_sel,$A$52:$F$57,2,FALSE),NA()))</f>
        <v>#N/A</v>
      </c>
      <c r="E45" s="20"/>
      <c r="F45" s="20"/>
    </row>
    <row r="46" spans="1:6" x14ac:dyDescent="0.2">
      <c r="A46" s="20" t="s">
        <v>518</v>
      </c>
      <c r="B46" s="20" t="s">
        <v>519</v>
      </c>
      <c r="C46" s="20" t="s">
        <v>102</v>
      </c>
      <c r="D46" s="24">
        <f>IFERROR(cal_DO_opt,IF(ISNUMBER(VLOOKUP(organism_sel,$A$52:$F$57,3,FALSE)),VLOOKUP(organism_sel,$A$52:$F$57,3,FALSE),NA()))</f>
        <v>#N/A</v>
      </c>
      <c r="E46" s="20"/>
      <c r="F46" s="20"/>
    </row>
    <row r="47" spans="1:6" x14ac:dyDescent="0.2">
      <c r="A47" s="20" t="s">
        <v>520</v>
      </c>
      <c r="B47" s="20" t="s">
        <v>521</v>
      </c>
      <c r="C47" s="20" t="s">
        <v>102</v>
      </c>
      <c r="D47" s="24">
        <f>IFERROR(cal_DO_impair,IF(ISNUMBER(VLOOKUP(organism_sel,$A$52:$F$57,4,FALSE)),VLOOKUP(organism_sel,$A$52:$F$57,4,FALSE),NA()))</f>
        <v>#N/A</v>
      </c>
      <c r="E47" s="20"/>
      <c r="F47" s="20"/>
    </row>
    <row r="48" spans="1:6" x14ac:dyDescent="0.2">
      <c r="A48" s="20" t="s">
        <v>522</v>
      </c>
      <c r="B48" s="20" t="s">
        <v>523</v>
      </c>
      <c r="C48" s="20" t="s">
        <v>102</v>
      </c>
      <c r="D48" s="24">
        <f>IFERROR(cal_DO_toxic,IF(ISNUMBER(VLOOKUP(organism_sel,$A$52:$F$57,5,FALSE)),VLOOKUP(organism_sel,$A$52:$F$57,5,FALSE),NA()))</f>
        <v>#N/A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524</v>
      </c>
      <c r="B50" s="20"/>
      <c r="C50" s="20"/>
      <c r="D50" s="20"/>
      <c r="E50" s="20"/>
      <c r="F50" s="20"/>
    </row>
    <row r="51" spans="1:6" x14ac:dyDescent="0.2">
      <c r="A51" s="109" t="s">
        <v>525</v>
      </c>
      <c r="B51" s="109" t="s">
        <v>526</v>
      </c>
      <c r="C51" s="109" t="s">
        <v>527</v>
      </c>
      <c r="D51" s="109" t="s">
        <v>528</v>
      </c>
      <c r="E51" s="109" t="s">
        <v>529</v>
      </c>
      <c r="F51" s="109" t="s">
        <v>530</v>
      </c>
    </row>
    <row r="52" spans="1:6" x14ac:dyDescent="0.2">
      <c r="A52" s="20" t="s">
        <v>39</v>
      </c>
      <c r="B52" s="59" t="s">
        <v>400</v>
      </c>
      <c r="C52" s="20">
        <v>2.6</v>
      </c>
      <c r="D52" s="20">
        <v>3</v>
      </c>
      <c r="E52" s="20">
        <v>11.5</v>
      </c>
      <c r="F52" s="107" t="s">
        <v>531</v>
      </c>
    </row>
    <row r="53" spans="1:6" x14ac:dyDescent="0.2">
      <c r="A53" s="20" t="s">
        <v>532</v>
      </c>
      <c r="B53" s="59" t="s">
        <v>400</v>
      </c>
      <c r="C53" s="59" t="s">
        <v>400</v>
      </c>
      <c r="D53" s="59" t="s">
        <v>400</v>
      </c>
      <c r="E53" s="20">
        <v>11.5</v>
      </c>
      <c r="F53" s="20" t="s">
        <v>533</v>
      </c>
    </row>
    <row r="54" spans="1:6" x14ac:dyDescent="0.2">
      <c r="A54" s="20" t="s">
        <v>534</v>
      </c>
      <c r="B54" s="59" t="s">
        <v>400</v>
      </c>
      <c r="C54" s="59" t="s">
        <v>400</v>
      </c>
      <c r="D54" s="59" t="s">
        <v>400</v>
      </c>
      <c r="E54" s="59" t="s">
        <v>400</v>
      </c>
      <c r="F54" s="20" t="s">
        <v>535</v>
      </c>
    </row>
    <row r="55" spans="1:6" x14ac:dyDescent="0.2">
      <c r="A55" s="20" t="s">
        <v>536</v>
      </c>
      <c r="B55" s="59" t="s">
        <v>400</v>
      </c>
      <c r="C55" s="59" t="s">
        <v>400</v>
      </c>
      <c r="D55" s="59" t="s">
        <v>400</v>
      </c>
      <c r="E55" s="59" t="s">
        <v>400</v>
      </c>
      <c r="F55" s="20" t="s">
        <v>535</v>
      </c>
    </row>
    <row r="56" spans="1:6" x14ac:dyDescent="0.2">
      <c r="A56" s="20" t="s">
        <v>537</v>
      </c>
      <c r="B56" s="59" t="s">
        <v>400</v>
      </c>
      <c r="C56" s="59" t="s">
        <v>400</v>
      </c>
      <c r="D56" s="59" t="s">
        <v>400</v>
      </c>
      <c r="E56" s="59" t="s">
        <v>400</v>
      </c>
      <c r="F56" s="20" t="s">
        <v>535</v>
      </c>
    </row>
    <row r="57" spans="1:6" x14ac:dyDescent="0.2">
      <c r="A57" s="20" t="s">
        <v>538</v>
      </c>
      <c r="B57" s="59" t="s">
        <v>400</v>
      </c>
      <c r="C57" s="59" t="s">
        <v>400</v>
      </c>
      <c r="D57" s="59" t="s">
        <v>400</v>
      </c>
      <c r="E57" s="59" t="s">
        <v>400</v>
      </c>
      <c r="F57" s="20" t="s">
        <v>539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540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132</v>
      </c>
      <c r="B4" s="18"/>
      <c r="C4" s="19"/>
      <c r="D4" s="111"/>
      <c r="E4" s="37"/>
      <c r="F4" s="20"/>
    </row>
    <row r="5" spans="1:6" x14ac:dyDescent="0.2">
      <c r="A5" s="17" t="s">
        <v>541</v>
      </c>
      <c r="B5" s="18" t="s">
        <v>542</v>
      </c>
      <c r="C5" s="19" t="s">
        <v>146</v>
      </c>
      <c r="D5" s="72">
        <f>Geometry!$D$52</f>
        <v>12</v>
      </c>
      <c r="E5" s="73" t="str">
        <f>HYPERLINK("#Geometry!D52","→ Geometry")</f>
        <v>→ Geometry</v>
      </c>
      <c r="F5" s="107" t="s">
        <v>543</v>
      </c>
    </row>
    <row r="6" spans="1:6" x14ac:dyDescent="0.2">
      <c r="A6" s="20" t="s">
        <v>544</v>
      </c>
      <c r="B6" s="20" t="s">
        <v>462</v>
      </c>
      <c r="C6" s="20" t="s">
        <v>463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545</v>
      </c>
      <c r="B7" s="20" t="s">
        <v>459</v>
      </c>
      <c r="C7" s="20" t="s">
        <v>62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307</v>
      </c>
      <c r="B8" s="20" t="s">
        <v>308</v>
      </c>
      <c r="C8" s="20" t="s">
        <v>309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310</v>
      </c>
      <c r="B9" s="20" t="s">
        <v>311</v>
      </c>
      <c r="C9" s="20" t="s">
        <v>62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546</v>
      </c>
      <c r="B10" s="20" t="s">
        <v>425</v>
      </c>
      <c r="C10" s="20" t="s">
        <v>355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547</v>
      </c>
      <c r="B11" s="20" t="s">
        <v>428</v>
      </c>
      <c r="C11" s="20" t="s">
        <v>355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548</v>
      </c>
      <c r="B12" s="20" t="s">
        <v>452</v>
      </c>
      <c r="C12" s="20" t="s">
        <v>443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406</v>
      </c>
      <c r="B13" s="20" t="s">
        <v>380</v>
      </c>
      <c r="C13" s="20" t="s">
        <v>355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549</v>
      </c>
      <c r="B14" s="20" t="s">
        <v>237</v>
      </c>
      <c r="C14" s="20" t="s">
        <v>172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550</v>
      </c>
      <c r="B15" s="20" t="s">
        <v>168</v>
      </c>
      <c r="C15" s="20" t="s">
        <v>146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407</v>
      </c>
      <c r="B16" s="20" t="s">
        <v>228</v>
      </c>
      <c r="C16" s="20" t="s">
        <v>57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551</v>
      </c>
      <c r="B17" s="20" t="s">
        <v>171</v>
      </c>
      <c r="C17" s="20" t="s">
        <v>172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552</v>
      </c>
      <c r="B18" s="20" t="s">
        <v>200</v>
      </c>
      <c r="C18" s="20" t="s">
        <v>146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553</v>
      </c>
      <c r="B19" s="20" t="s">
        <v>252</v>
      </c>
      <c r="C19" s="20" t="s">
        <v>57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554</v>
      </c>
      <c r="B20" s="20" t="s">
        <v>555</v>
      </c>
      <c r="C20" s="20" t="s">
        <v>556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557</v>
      </c>
      <c r="B21" s="20" t="s">
        <v>391</v>
      </c>
      <c r="C21" s="20" t="s">
        <v>135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558</v>
      </c>
      <c r="B22" s="20" t="s">
        <v>519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559</v>
      </c>
      <c r="B23" s="20" t="s">
        <v>521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560</v>
      </c>
      <c r="B24" s="20" t="s">
        <v>523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561</v>
      </c>
      <c r="B25" s="20" t="s">
        <v>517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562</v>
      </c>
      <c r="B27" s="18" t="s">
        <v>563</v>
      </c>
      <c r="C27" s="19" t="s">
        <v>135</v>
      </c>
      <c r="D27" s="111" t="s">
        <v>397</v>
      </c>
      <c r="E27" s="37" t="s">
        <v>564</v>
      </c>
      <c r="F27" s="20"/>
    </row>
    <row r="28" spans="1:6" x14ac:dyDescent="0.2">
      <c r="A28" s="17" t="s">
        <v>565</v>
      </c>
      <c r="B28" s="18" t="s">
        <v>566</v>
      </c>
      <c r="C28" s="19" t="s">
        <v>135</v>
      </c>
      <c r="D28" s="111" t="s">
        <v>403</v>
      </c>
      <c r="E28" s="37" t="s">
        <v>567</v>
      </c>
      <c r="F28" s="20"/>
    </row>
    <row r="29" spans="1:6" x14ac:dyDescent="0.2">
      <c r="A29" s="17" t="s">
        <v>568</v>
      </c>
      <c r="B29" s="18" t="s">
        <v>569</v>
      </c>
      <c r="C29" s="19" t="s">
        <v>570</v>
      </c>
      <c r="D29" s="76">
        <v>7.1199999999999999E-2</v>
      </c>
      <c r="E29" s="51" t="s">
        <v>571</v>
      </c>
      <c r="F29" s="20"/>
    </row>
    <row r="30" spans="1:6" ht="24" customHeight="1" x14ac:dyDescent="0.2">
      <c r="A30" s="17" t="s">
        <v>572</v>
      </c>
      <c r="B30" s="18" t="s">
        <v>573</v>
      </c>
      <c r="C30" s="19" t="s">
        <v>574</v>
      </c>
      <c r="D30" s="50">
        <v>995.65</v>
      </c>
      <c r="E30" s="51" t="s">
        <v>575</v>
      </c>
      <c r="F30" s="20"/>
    </row>
    <row r="31" spans="1:6" x14ac:dyDescent="0.2">
      <c r="A31" s="17" t="s">
        <v>576</v>
      </c>
      <c r="B31" s="18" t="s">
        <v>577</v>
      </c>
      <c r="C31" s="19" t="s">
        <v>578</v>
      </c>
      <c r="D31" s="56">
        <v>9.8066499999999994</v>
      </c>
      <c r="E31" s="102" t="s">
        <v>579</v>
      </c>
      <c r="F31" s="20"/>
    </row>
    <row r="32" spans="1:6" ht="24" customHeight="1" x14ac:dyDescent="0.2">
      <c r="A32" s="17" t="s">
        <v>580</v>
      </c>
      <c r="B32" s="18" t="s">
        <v>581</v>
      </c>
      <c r="C32" s="19" t="s">
        <v>582</v>
      </c>
      <c r="D32" s="52">
        <v>2.249E-9</v>
      </c>
      <c r="E32" s="37" t="s">
        <v>583</v>
      </c>
      <c r="F32" s="20"/>
    </row>
    <row r="33" spans="1:6" x14ac:dyDescent="0.2">
      <c r="A33" s="17" t="s">
        <v>584</v>
      </c>
      <c r="B33" s="18" t="s">
        <v>585</v>
      </c>
      <c r="C33" s="19" t="s">
        <v>586</v>
      </c>
      <c r="D33" s="52">
        <v>205</v>
      </c>
      <c r="E33" s="51" t="s">
        <v>587</v>
      </c>
      <c r="F33" s="20"/>
    </row>
    <row r="34" spans="1:6" ht="24" customHeight="1" x14ac:dyDescent="0.2">
      <c r="A34" s="17" t="s">
        <v>588</v>
      </c>
      <c r="B34" s="18" t="s">
        <v>589</v>
      </c>
      <c r="C34" s="19" t="s">
        <v>586</v>
      </c>
      <c r="D34" s="52">
        <v>130</v>
      </c>
      <c r="E34" s="51" t="s">
        <v>590</v>
      </c>
      <c r="F34" s="20"/>
    </row>
    <row r="35" spans="1:6" x14ac:dyDescent="0.2">
      <c r="A35" s="17" t="s">
        <v>591</v>
      </c>
      <c r="B35" s="18" t="s">
        <v>592</v>
      </c>
      <c r="C35" s="19" t="s">
        <v>586</v>
      </c>
      <c r="D35" s="52">
        <v>70</v>
      </c>
      <c r="E35" s="51" t="s">
        <v>593</v>
      </c>
      <c r="F35" s="20"/>
    </row>
    <row r="36" spans="1:6" x14ac:dyDescent="0.2">
      <c r="A36" s="17" t="s">
        <v>594</v>
      </c>
      <c r="B36" s="18" t="s">
        <v>595</v>
      </c>
      <c r="C36" s="19" t="s">
        <v>586</v>
      </c>
      <c r="D36" s="52">
        <v>28</v>
      </c>
      <c r="E36" s="51" t="s">
        <v>596</v>
      </c>
      <c r="F36" s="20"/>
    </row>
    <row r="37" spans="1:6" x14ac:dyDescent="0.2">
      <c r="A37" s="17" t="s">
        <v>597</v>
      </c>
      <c r="B37" s="18" t="s">
        <v>598</v>
      </c>
      <c r="C37" s="19" t="s">
        <v>586</v>
      </c>
      <c r="D37" s="52">
        <v>13</v>
      </c>
      <c r="E37" s="51" t="s">
        <v>599</v>
      </c>
      <c r="F37" s="20"/>
    </row>
    <row r="38" spans="1:6" x14ac:dyDescent="0.2">
      <c r="A38" s="17" t="s">
        <v>600</v>
      </c>
      <c r="B38" s="18" t="s">
        <v>601</v>
      </c>
      <c r="C38" s="19" t="s">
        <v>586</v>
      </c>
      <c r="D38" s="54">
        <v>1.3</v>
      </c>
      <c r="E38" s="51" t="s">
        <v>602</v>
      </c>
      <c r="F38" s="20"/>
    </row>
    <row r="39" spans="1:6" x14ac:dyDescent="0.2">
      <c r="A39" s="17" t="s">
        <v>603</v>
      </c>
      <c r="B39" s="18" t="s">
        <v>604</v>
      </c>
      <c r="C39" s="19" t="s">
        <v>605</v>
      </c>
      <c r="D39" s="77">
        <f>CHOOSE(por_grade+1,por0_um,por1_um,por2_um,por3_um,por4_um,por5_um)/1000000</f>
        <v>2.05E-4</v>
      </c>
      <c r="E39" s="101" t="s">
        <v>606</v>
      </c>
      <c r="F39" s="20"/>
    </row>
    <row r="40" spans="1:6" ht="24" customHeight="1" x14ac:dyDescent="0.2">
      <c r="A40" s="17" t="s">
        <v>607</v>
      </c>
      <c r="B40" s="18" t="s">
        <v>608</v>
      </c>
      <c r="C40" s="19" t="s">
        <v>605</v>
      </c>
      <c r="D40" s="77">
        <f>spg_ID/1000</f>
        <v>1.5874999999999999E-3</v>
      </c>
      <c r="E40" s="101" t="s">
        <v>609</v>
      </c>
      <c r="F40" s="20"/>
    </row>
    <row r="41" spans="1:6" x14ac:dyDescent="0.2">
      <c r="A41" s="17" t="s">
        <v>610</v>
      </c>
      <c r="B41" s="18" t="s">
        <v>611</v>
      </c>
      <c r="C41" s="19" t="s">
        <v>605</v>
      </c>
      <c r="D41" s="77">
        <f>IF(sparger=spg_name_1,tube_d_m,IF(sparger=spg_name_2,por_pore,NA()))</f>
        <v>1.5874999999999999E-3</v>
      </c>
      <c r="E41" s="101" t="s">
        <v>612</v>
      </c>
      <c r="F41" s="20"/>
    </row>
    <row r="42" spans="1:6" ht="24" customHeight="1" x14ac:dyDescent="0.2">
      <c r="A42" s="119" t="s">
        <v>613</v>
      </c>
      <c r="B42" s="18" t="s">
        <v>614</v>
      </c>
      <c r="C42" s="19" t="s">
        <v>605</v>
      </c>
      <c r="D42" s="48">
        <f>(6*d_orifice*sigma/(rho_L*g_const))^(1/3)</f>
        <v>4.1106061542088958E-3</v>
      </c>
      <c r="E42" s="75" t="s">
        <v>615</v>
      </c>
      <c r="F42" s="20"/>
    </row>
    <row r="43" spans="1:6" x14ac:dyDescent="0.2">
      <c r="A43" s="119" t="s">
        <v>616</v>
      </c>
      <c r="B43" s="18" t="s">
        <v>617</v>
      </c>
      <c r="C43" s="19" t="s">
        <v>146</v>
      </c>
      <c r="D43" s="45">
        <f>d_bubble*1000</f>
        <v>4.1106061542088961</v>
      </c>
      <c r="E43" s="75"/>
      <c r="F43" s="20"/>
    </row>
    <row r="44" spans="1:6" x14ac:dyDescent="0.2">
      <c r="A44" s="17" t="s">
        <v>618</v>
      </c>
      <c r="B44" s="18" t="s">
        <v>619</v>
      </c>
      <c r="C44" s="19" t="s">
        <v>135</v>
      </c>
      <c r="D44" s="50">
        <v>2.14</v>
      </c>
      <c r="E44" s="75" t="s">
        <v>620</v>
      </c>
      <c r="F44" s="20"/>
    </row>
    <row r="45" spans="1:6" x14ac:dyDescent="0.2">
      <c r="A45" s="17" t="s">
        <v>621</v>
      </c>
      <c r="B45" s="18" t="s">
        <v>622</v>
      </c>
      <c r="C45" s="19" t="s">
        <v>135</v>
      </c>
      <c r="D45" s="78">
        <v>0.505</v>
      </c>
      <c r="E45" s="75" t="s">
        <v>623</v>
      </c>
      <c r="F45" s="20"/>
    </row>
    <row r="46" spans="1:6" ht="36" customHeight="1" x14ac:dyDescent="0.2">
      <c r="A46" s="17" t="s">
        <v>624</v>
      </c>
      <c r="B46" s="18" t="s">
        <v>625</v>
      </c>
      <c r="C46" s="19" t="s">
        <v>107</v>
      </c>
      <c r="D46" s="46">
        <f>SQRT(mend_a*sigma/(rho_L*d_bubble)+mend_b*g_const*d_bubble)</f>
        <v>0.23997120602218533</v>
      </c>
      <c r="E46" s="75" t="s">
        <v>626</v>
      </c>
      <c r="F46" s="20"/>
    </row>
    <row r="47" spans="1:6" x14ac:dyDescent="0.2">
      <c r="A47" s="17" t="s">
        <v>627</v>
      </c>
      <c r="B47" s="18" t="s">
        <v>628</v>
      </c>
      <c r="C47" s="19" t="s">
        <v>107</v>
      </c>
      <c r="D47" s="48">
        <f>(Q_CO2/1000000/60)/(A_x/1000000)</f>
        <v>6.6343780105353137E-3</v>
      </c>
      <c r="E47" s="101" t="s">
        <v>629</v>
      </c>
      <c r="F47" s="20"/>
    </row>
    <row r="48" spans="1:6" x14ac:dyDescent="0.2">
      <c r="A48" s="17" t="s">
        <v>630</v>
      </c>
      <c r="B48" s="18" t="s">
        <v>631</v>
      </c>
      <c r="C48" s="19" t="s">
        <v>135</v>
      </c>
      <c r="D48" s="48">
        <f>u_sg/u_rise</f>
        <v>2.764655860387669E-2</v>
      </c>
      <c r="E48" s="75" t="s">
        <v>632</v>
      </c>
      <c r="F48" s="20"/>
    </row>
    <row r="49" spans="1:6" x14ac:dyDescent="0.2">
      <c r="A49" s="17" t="s">
        <v>633</v>
      </c>
      <c r="B49" s="18" t="s">
        <v>634</v>
      </c>
      <c r="C49" s="19" t="s">
        <v>635</v>
      </c>
      <c r="D49" s="42">
        <f>6*holdup/d_bubble</f>
        <v>40.353988049527544</v>
      </c>
      <c r="E49" s="75" t="s">
        <v>636</v>
      </c>
      <c r="F49" s="20"/>
    </row>
    <row r="50" spans="1:6" x14ac:dyDescent="0.2">
      <c r="A50" s="17" t="s">
        <v>637</v>
      </c>
      <c r="B50" s="18" t="s">
        <v>638</v>
      </c>
      <c r="C50" s="19" t="s">
        <v>13</v>
      </c>
      <c r="D50" s="46">
        <f>d_bubble/u_rise</f>
        <v>1.7129580762405595E-2</v>
      </c>
      <c r="E50" s="75" t="s">
        <v>639</v>
      </c>
      <c r="F50" s="20"/>
    </row>
    <row r="51" spans="1:6" x14ac:dyDescent="0.2">
      <c r="A51" s="17" t="s">
        <v>640</v>
      </c>
      <c r="B51" s="18" t="s">
        <v>641</v>
      </c>
      <c r="C51" s="19" t="s">
        <v>107</v>
      </c>
      <c r="D51" s="48">
        <f>2*SQRT(D_O2/(PI()*t_contact))</f>
        <v>4.088616905871452E-4</v>
      </c>
      <c r="E51" s="75" t="s">
        <v>642</v>
      </c>
      <c r="F51" s="20"/>
    </row>
    <row r="52" spans="1:6" x14ac:dyDescent="0.2">
      <c r="A52" s="119" t="s">
        <v>643</v>
      </c>
      <c r="B52" s="18" t="s">
        <v>644</v>
      </c>
      <c r="C52" s="19" t="s">
        <v>645</v>
      </c>
      <c r="D52" s="48">
        <f>kL*a_int</f>
        <v>1.6499199775863286E-2</v>
      </c>
      <c r="E52" s="75" t="s">
        <v>646</v>
      </c>
      <c r="F52" s="20"/>
    </row>
    <row r="53" spans="1:6" x14ac:dyDescent="0.2">
      <c r="A53" s="17" t="s">
        <v>647</v>
      </c>
      <c r="B53" s="18" t="s">
        <v>648</v>
      </c>
      <c r="C53" s="19" t="s">
        <v>645</v>
      </c>
      <c r="D53" s="64">
        <f>kLa_sparge*duty</f>
        <v>1.1914360970566213E-6</v>
      </c>
      <c r="E53" s="125" t="s">
        <v>649</v>
      </c>
      <c r="F53" s="20"/>
    </row>
    <row r="54" spans="1:6" ht="24" customHeight="1" x14ac:dyDescent="0.2">
      <c r="A54" s="17" t="s">
        <v>650</v>
      </c>
      <c r="B54" s="18" t="s">
        <v>651</v>
      </c>
      <c r="C54" s="19" t="s">
        <v>355</v>
      </c>
      <c r="D54" s="48">
        <f>IF(d_bubble&lt;0.001,0,kLa_sparge*(V_charge/1000000)*O2_ceil_C*3600)</f>
        <v>3.2499430752104915E-4</v>
      </c>
      <c r="E54" s="75" t="s">
        <v>652</v>
      </c>
      <c r="F54" s="20"/>
    </row>
    <row r="55" spans="1:6" ht="24" customHeight="1" x14ac:dyDescent="0.2">
      <c r="A55" s="119" t="s">
        <v>653</v>
      </c>
      <c r="B55" s="18" t="s">
        <v>654</v>
      </c>
      <c r="C55" s="19" t="s">
        <v>355</v>
      </c>
      <c r="D55" s="48">
        <f>strip_sparge*duty</f>
        <v>2.3468407836660565E-8</v>
      </c>
      <c r="E55" s="75" t="s">
        <v>655</v>
      </c>
      <c r="F55" s="20"/>
    </row>
    <row r="56" spans="1:6" x14ac:dyDescent="0.2">
      <c r="A56" s="119" t="s">
        <v>656</v>
      </c>
      <c r="B56" s="18" t="s">
        <v>657</v>
      </c>
      <c r="C56" s="19" t="s">
        <v>110</v>
      </c>
      <c r="D56" s="45">
        <f>IF(O2_excess&gt;0,strip_avg/O2_excess,NA())</f>
        <v>1.3265126681006479E-3</v>
      </c>
      <c r="E56" s="75" t="s">
        <v>658</v>
      </c>
      <c r="F56" s="20"/>
    </row>
    <row r="57" spans="1:6" ht="36" customHeight="1" x14ac:dyDescent="0.2">
      <c r="A57" s="17" t="s">
        <v>659</v>
      </c>
      <c r="B57" s="18" t="s">
        <v>660</v>
      </c>
      <c r="C57" s="19" t="s">
        <v>645</v>
      </c>
      <c r="D57" s="48">
        <f>IF(O2_excess&gt;0,O2_excess/3600/((V_charge/1000000)*O2_ceil_C),NA())</f>
        <v>8.9817166899926085E-4</v>
      </c>
      <c r="E57" s="75" t="s">
        <v>661</v>
      </c>
      <c r="F57" s="20"/>
    </row>
    <row r="58" spans="1:6" ht="24" customHeight="1" x14ac:dyDescent="0.2">
      <c r="A58" s="17" t="s">
        <v>662</v>
      </c>
      <c r="B58" s="18" t="s">
        <v>663</v>
      </c>
      <c r="C58" s="19" t="s">
        <v>107</v>
      </c>
      <c r="D58" s="120">
        <v>0.05</v>
      </c>
      <c r="E58" s="75" t="s">
        <v>664</v>
      </c>
      <c r="F58" s="20"/>
    </row>
    <row r="59" spans="1:6" x14ac:dyDescent="0.2">
      <c r="A59" s="119" t="s">
        <v>665</v>
      </c>
      <c r="B59" s="18" t="s">
        <v>666</v>
      </c>
      <c r="C59" s="19" t="s">
        <v>135</v>
      </c>
      <c r="D59" s="58" t="str">
        <f>IF(u_sg&gt;u_g_max,"RISK","OK")</f>
        <v>OK</v>
      </c>
      <c r="E59" s="75" t="s">
        <v>667</v>
      </c>
      <c r="F59" s="20"/>
    </row>
    <row r="60" spans="1:6" x14ac:dyDescent="0.2">
      <c r="A60" s="17" t="s">
        <v>668</v>
      </c>
      <c r="B60" s="18" t="s">
        <v>669</v>
      </c>
      <c r="C60" s="19" t="s">
        <v>574</v>
      </c>
      <c r="D60" s="48">
        <f>P_atm*(M_CO2/1000)/(R_gas*T_K)</f>
        <v>1.7988462624934765</v>
      </c>
      <c r="E60" s="101" t="s">
        <v>670</v>
      </c>
      <c r="F60" s="20"/>
    </row>
    <row r="61" spans="1:6" x14ac:dyDescent="0.2">
      <c r="A61" s="17" t="s">
        <v>671</v>
      </c>
      <c r="B61" s="18" t="s">
        <v>672</v>
      </c>
      <c r="C61" s="19" t="s">
        <v>135</v>
      </c>
      <c r="D61" s="114">
        <v>1</v>
      </c>
      <c r="E61" s="70" t="s">
        <v>673</v>
      </c>
      <c r="F61" s="20"/>
    </row>
    <row r="62" spans="1:6" x14ac:dyDescent="0.2">
      <c r="A62" s="17" t="s">
        <v>674</v>
      </c>
      <c r="B62" s="18" t="s">
        <v>675</v>
      </c>
      <c r="C62" s="19" t="s">
        <v>107</v>
      </c>
      <c r="D62" s="48">
        <f>(Q_CO2/1000000/60)/(n_pores_active*(PI()/4*d_orifice^2))</f>
        <v>1.6823907977801345</v>
      </c>
      <c r="E62" s="123" t="s">
        <v>649</v>
      </c>
      <c r="F62" s="20"/>
    </row>
    <row r="63" spans="1:6" x14ac:dyDescent="0.2">
      <c r="A63" s="17" t="s">
        <v>676</v>
      </c>
      <c r="B63" s="18" t="s">
        <v>677</v>
      </c>
      <c r="C63" s="19" t="s">
        <v>135</v>
      </c>
      <c r="D63" s="48">
        <f>rho_CO2*v_orifice^2*d_orifice/sigma</f>
        <v>0.11352239813517449</v>
      </c>
      <c r="E63" s="123" t="s">
        <v>649</v>
      </c>
      <c r="F63" s="20"/>
    </row>
    <row r="64" spans="1:6" ht="24" customHeight="1" x14ac:dyDescent="0.2">
      <c r="A64" s="17" t="s">
        <v>678</v>
      </c>
      <c r="B64" s="18" t="s">
        <v>679</v>
      </c>
      <c r="C64" s="19" t="s">
        <v>135</v>
      </c>
      <c r="D64" s="48" t="str">
        <f>IF(d_bubble&lt;0.001,"Sinter OOR – add fine-bubble model",IF(We_orifice&lt;2,"Static","Dynamic"))</f>
        <v>Static</v>
      </c>
      <c r="E64" s="101" t="s">
        <v>680</v>
      </c>
      <c r="F64" s="20"/>
    </row>
    <row r="65" spans="1:6" ht="24" customHeight="1" x14ac:dyDescent="0.2">
      <c r="A65" s="17" t="s">
        <v>681</v>
      </c>
      <c r="B65" s="18" t="s">
        <v>682</v>
      </c>
      <c r="C65" s="19" t="s">
        <v>67</v>
      </c>
      <c r="D65" s="48">
        <f>O2_ceil_C*(V_charge/1000000)/O2_excess*60</f>
        <v>18.556215077721834</v>
      </c>
      <c r="E65" s="101" t="s">
        <v>683</v>
      </c>
      <c r="F65" s="20"/>
    </row>
    <row r="66" spans="1:6" ht="24" customHeight="1" x14ac:dyDescent="0.2">
      <c r="A66" s="17" t="s">
        <v>684</v>
      </c>
      <c r="B66" s="18" t="s">
        <v>685</v>
      </c>
      <c r="C66" s="19" t="s">
        <v>67</v>
      </c>
      <c r="D66" s="48">
        <f>IF(O2_excess-strip_avg&gt;0,O2_ceil_C*(V_charge/1000000)/(O2_excess-strip_avg)*60,9999)</f>
        <v>18.580862827646946</v>
      </c>
      <c r="E66" s="101" t="s">
        <v>686</v>
      </c>
      <c r="F66" s="20"/>
    </row>
    <row r="67" spans="1:6" x14ac:dyDescent="0.2">
      <c r="A67" s="17" t="s">
        <v>687</v>
      </c>
      <c r="B67" s="18" t="s">
        <v>688</v>
      </c>
      <c r="C67" s="19" t="s">
        <v>689</v>
      </c>
      <c r="D67" s="79">
        <f>Summary!$D$7</f>
        <v>1000</v>
      </c>
      <c r="E67" s="68" t="s">
        <v>690</v>
      </c>
      <c r="F67" s="20"/>
    </row>
    <row r="68" spans="1:6" ht="24" customHeight="1" x14ac:dyDescent="0.2">
      <c r="A68" s="17" t="s">
        <v>106</v>
      </c>
      <c r="B68" s="18" t="s">
        <v>691</v>
      </c>
      <c r="C68" s="19" t="s">
        <v>107</v>
      </c>
      <c r="D68" s="48">
        <f>PI()*(stir_len/1000)*stir_rpm/60</f>
        <v>0.62831853071795862</v>
      </c>
      <c r="E68" s="101" t="s">
        <v>692</v>
      </c>
      <c r="F68" s="20"/>
    </row>
    <row r="69" spans="1:6" x14ac:dyDescent="0.2">
      <c r="A69" s="17" t="s">
        <v>693</v>
      </c>
      <c r="B69" s="18" t="s">
        <v>694</v>
      </c>
      <c r="C69" s="19" t="s">
        <v>645</v>
      </c>
      <c r="D69" s="48">
        <f>tip_speed/(vial_ID/1000)</f>
        <v>24.854372259412919</v>
      </c>
      <c r="E69" s="69" t="s">
        <v>695</v>
      </c>
      <c r="F69" s="20"/>
    </row>
    <row r="70" spans="1:6" ht="24" x14ac:dyDescent="0.2">
      <c r="A70" s="17" t="s">
        <v>696</v>
      </c>
      <c r="B70" s="18" t="s">
        <v>697</v>
      </c>
      <c r="C70" s="19" t="s">
        <v>107</v>
      </c>
      <c r="D70" s="48">
        <f>2*SQRT(D_O2*s_renew/PI())</f>
        <v>2.6677872118283601E-4</v>
      </c>
      <c r="E70" s="69" t="s">
        <v>1082</v>
      </c>
      <c r="F70" s="20"/>
    </row>
    <row r="71" spans="1:6" x14ac:dyDescent="0.2">
      <c r="A71" s="17" t="s">
        <v>698</v>
      </c>
      <c r="B71" s="18" t="s">
        <v>699</v>
      </c>
      <c r="C71" s="19" t="s">
        <v>635</v>
      </c>
      <c r="D71" s="48">
        <f>interface_A/V_charge</f>
        <v>28.63651500937112</v>
      </c>
      <c r="E71" s="101" t="s">
        <v>700</v>
      </c>
      <c r="F71" s="20"/>
    </row>
    <row r="72" spans="1:6" x14ac:dyDescent="0.2">
      <c r="A72" s="17" t="s">
        <v>701</v>
      </c>
      <c r="B72" s="18" t="s">
        <v>702</v>
      </c>
      <c r="C72" s="19" t="s">
        <v>645</v>
      </c>
      <c r="D72" s="48">
        <f>kL_surf*a_surf</f>
        <v>7.6396128533331165E-3</v>
      </c>
      <c r="E72" s="69" t="s">
        <v>703</v>
      </c>
      <c r="F72" s="20"/>
    </row>
    <row r="73" spans="1:6" ht="36" customHeight="1" x14ac:dyDescent="0.2">
      <c r="A73" s="17" t="s">
        <v>704</v>
      </c>
      <c r="B73" s="18" t="s">
        <v>705</v>
      </c>
      <c r="C73" s="19" t="s">
        <v>355</v>
      </c>
      <c r="D73" s="48">
        <f>kLa_surf_used*(V_charge/1000000)*O2_ceil_C*3600</f>
        <v>1.5048188534755734E-4</v>
      </c>
      <c r="E73" s="69" t="s">
        <v>1023</v>
      </c>
      <c r="F73" s="20"/>
    </row>
    <row r="74" spans="1:6" ht="24" customHeight="1" x14ac:dyDescent="0.2">
      <c r="A74" s="17" t="s">
        <v>706</v>
      </c>
      <c r="B74" s="18" t="s">
        <v>707</v>
      </c>
      <c r="C74" s="19" t="s">
        <v>110</v>
      </c>
      <c r="D74" s="48">
        <f>IF(O2_excess&gt;0,surf_strip/O2_excess,NA())</f>
        <v>8.5057379530186488</v>
      </c>
      <c r="E74" s="69" t="s">
        <v>708</v>
      </c>
      <c r="F74" s="20"/>
    </row>
    <row r="75" spans="1:6" ht="24" customHeight="1" x14ac:dyDescent="0.2">
      <c r="A75" s="17" t="s">
        <v>709</v>
      </c>
      <c r="B75" s="18" t="s">
        <v>710</v>
      </c>
      <c r="C75" s="19" t="s">
        <v>135</v>
      </c>
      <c r="D75" s="48">
        <f>IF(CO2_supply&gt;0,O2_excess/(O2_excess+CO2_supply),NA())</f>
        <v>0.33333333333333326</v>
      </c>
      <c r="E75" s="101" t="s">
        <v>711</v>
      </c>
      <c r="F75" s="20"/>
    </row>
    <row r="76" spans="1:6" ht="60" x14ac:dyDescent="0.2">
      <c r="A76" s="17" t="s">
        <v>712</v>
      </c>
      <c r="B76" s="18" t="s">
        <v>713</v>
      </c>
      <c r="C76" s="19" t="s">
        <v>466</v>
      </c>
      <c r="D76" s="48">
        <f>H_O2_T*y_O2_vent*P_atm*1000</f>
        <v>405.2999999999999</v>
      </c>
      <c r="E76" s="69" t="s">
        <v>1024</v>
      </c>
      <c r="F76" s="20"/>
    </row>
    <row r="77" spans="1:6" x14ac:dyDescent="0.2">
      <c r="A77" s="17" t="s">
        <v>714</v>
      </c>
      <c r="B77" s="18" t="s">
        <v>715</v>
      </c>
      <c r="C77" s="19" t="s">
        <v>67</v>
      </c>
      <c r="D77" s="48">
        <f>headspace_V/(Q_CO2*duty)</f>
        <v>181.0677266956931</v>
      </c>
      <c r="E77" s="101" t="s">
        <v>716</v>
      </c>
      <c r="F77" s="20"/>
    </row>
    <row r="78" spans="1:6" ht="26" customHeight="1" x14ac:dyDescent="0.2">
      <c r="A78" s="17" t="s">
        <v>717</v>
      </c>
      <c r="B78" s="18" t="s">
        <v>718</v>
      </c>
      <c r="C78" s="19" t="s">
        <v>110</v>
      </c>
      <c r="D78" s="48">
        <f>IF(O2_excess&gt;0,(strip_avg+surf_strip)/O2_excess,NA())</f>
        <v>8.5070644656867511</v>
      </c>
      <c r="E78" s="126" t="s">
        <v>719</v>
      </c>
      <c r="F78" s="20"/>
    </row>
    <row r="79" spans="1:6" x14ac:dyDescent="0.2">
      <c r="A79" s="17" t="s">
        <v>720</v>
      </c>
      <c r="B79" s="18" t="s">
        <v>721</v>
      </c>
      <c r="C79" s="19" t="s">
        <v>67</v>
      </c>
      <c r="D79" s="48">
        <f>O2_ceil_C*(V_charge/1000000)/O2_net_gen*60</f>
        <v>6.1854050259072775</v>
      </c>
      <c r="E79" s="101" t="s">
        <v>722</v>
      </c>
      <c r="F79" s="20"/>
    </row>
    <row r="80" spans="1:6" ht="36" customHeight="1" x14ac:dyDescent="0.2">
      <c r="A80" s="17" t="s">
        <v>723</v>
      </c>
      <c r="B80" s="18" t="s">
        <v>724</v>
      </c>
      <c r="C80" s="19" t="s">
        <v>67</v>
      </c>
      <c r="D80" s="48">
        <f>IF(O2_net_gen-strip_avg-surf_strip&gt;0,O2_ceil_C*(V_charge/1000000)/(O2_net_gen-strip_avg-surf_strip)*60,9999)</f>
        <v>9999</v>
      </c>
      <c r="E80" s="69" t="s">
        <v>725</v>
      </c>
      <c r="F80" s="20"/>
    </row>
    <row r="81" spans="1:6" ht="24" customHeight="1" x14ac:dyDescent="0.2">
      <c r="A81" s="17" t="s">
        <v>726</v>
      </c>
      <c r="B81" s="18" t="s">
        <v>727</v>
      </c>
      <c r="C81" s="19" t="s">
        <v>135</v>
      </c>
      <c r="D81" s="124" t="s">
        <v>728</v>
      </c>
      <c r="E81" s="68" t="s">
        <v>1165</v>
      </c>
      <c r="F81" s="20"/>
    </row>
    <row r="82" spans="1:6" ht="24" x14ac:dyDescent="0.2">
      <c r="A82" s="17" t="s">
        <v>729</v>
      </c>
      <c r="B82" s="18" t="s">
        <v>730</v>
      </c>
      <c r="C82" s="19" t="s">
        <v>13</v>
      </c>
      <c r="D82" s="124">
        <v>1</v>
      </c>
      <c r="E82" s="68" t="s">
        <v>1166</v>
      </c>
      <c r="F82" s="20"/>
    </row>
    <row r="83" spans="1:6" ht="24" x14ac:dyDescent="0.2">
      <c r="A83" s="17" t="s">
        <v>731</v>
      </c>
      <c r="B83" s="18" t="s">
        <v>732</v>
      </c>
      <c r="C83" s="19" t="s">
        <v>67</v>
      </c>
      <c r="D83" s="124">
        <v>1</v>
      </c>
      <c r="E83" s="68" t="s">
        <v>1167</v>
      </c>
      <c r="F83" s="20"/>
    </row>
    <row r="84" spans="1:6" x14ac:dyDescent="0.2">
      <c r="A84" s="17" t="s">
        <v>733</v>
      </c>
      <c r="B84" s="18" t="s">
        <v>734</v>
      </c>
      <c r="C84" s="19" t="s">
        <v>135</v>
      </c>
      <c r="D84" s="80">
        <f>IF(AND(ISNUMBER(DO_opt),ISNUMBER(DO_toxic)),DO_opt/DO_toxic,0.5)</f>
        <v>0.5</v>
      </c>
      <c r="E84" s="68" t="s">
        <v>735</v>
      </c>
      <c r="F84" s="20"/>
    </row>
    <row r="85" spans="1:6" x14ac:dyDescent="0.2">
      <c r="A85" s="17" t="s">
        <v>736</v>
      </c>
      <c r="B85" s="18" t="s">
        <v>737</v>
      </c>
      <c r="C85" s="19" t="s">
        <v>135</v>
      </c>
      <c r="D85" s="124">
        <v>2</v>
      </c>
      <c r="E85" s="68" t="s">
        <v>738</v>
      </c>
      <c r="F85" s="20"/>
    </row>
    <row r="86" spans="1:6" x14ac:dyDescent="0.2">
      <c r="A86" s="17" t="s">
        <v>739</v>
      </c>
      <c r="B86" s="18" t="s">
        <v>740</v>
      </c>
      <c r="C86" s="19" t="s">
        <v>135</v>
      </c>
      <c r="D86" s="48">
        <f>carbon_margin_min*CO2_cons/(nCO2_rate*3600)</f>
        <v>7.2211750463169476E-5</v>
      </c>
      <c r="E86" s="101" t="s">
        <v>741</v>
      </c>
      <c r="F86" s="20"/>
    </row>
    <row r="87" spans="1:6" ht="24" customHeight="1" x14ac:dyDescent="0.2">
      <c r="A87" s="17" t="s">
        <v>742</v>
      </c>
      <c r="B87" s="18" t="s">
        <v>743</v>
      </c>
      <c r="C87" s="19" t="s">
        <v>135</v>
      </c>
      <c r="D87" s="48">
        <f>O2_src_guard/(target_DO_frac*(O2_ceil_Pa/P_atm))/(nCO2_rate*3600)</f>
        <v>7.2211750463169471E-4</v>
      </c>
      <c r="E87" s="101" t="s">
        <v>1093</v>
      </c>
      <c r="F87" s="20"/>
    </row>
    <row r="88" spans="1:6" ht="24" customHeight="1" x14ac:dyDescent="0.2">
      <c r="A88" s="17" t="s">
        <v>744</v>
      </c>
      <c r="B88" s="18" t="s">
        <v>745</v>
      </c>
      <c r="C88" s="19" t="s">
        <v>135</v>
      </c>
      <c r="D88" s="48">
        <f>MAX(duty_carbon,duty_O2vent)</f>
        <v>7.2211750463169471E-4</v>
      </c>
      <c r="E88" s="69" t="s">
        <v>1025</v>
      </c>
      <c r="F88" s="20"/>
    </row>
    <row r="89" spans="1:6" ht="36" x14ac:dyDescent="0.2">
      <c r="A89" s="17" t="s">
        <v>746</v>
      </c>
      <c r="B89" s="18" t="s">
        <v>747</v>
      </c>
      <c r="C89" s="19" t="s">
        <v>67</v>
      </c>
      <c r="D89" s="48">
        <f>target_DO_frac*O2_ceil_C*(V_charge/1000000)/O2_src_guard*60</f>
        <v>3.0927025129536387</v>
      </c>
      <c r="E89" s="101" t="s">
        <v>1092</v>
      </c>
      <c r="F89" s="20"/>
    </row>
    <row r="90" spans="1:6" x14ac:dyDescent="0.2">
      <c r="A90" s="17" t="s">
        <v>748</v>
      </c>
      <c r="B90" s="18" t="s">
        <v>749</v>
      </c>
      <c r="C90" s="19" t="s">
        <v>13</v>
      </c>
      <c r="D90" s="127">
        <f>MAX(pulse_floor,flush_factor*headspace_V/(Q_CO2/60))</f>
        <v>0.78451304982496561</v>
      </c>
      <c r="E90" s="81" t="s">
        <v>750</v>
      </c>
      <c r="F90" s="20"/>
    </row>
    <row r="91" spans="1:6" ht="24" customHeight="1" x14ac:dyDescent="0.2">
      <c r="A91" s="17" t="s">
        <v>751</v>
      </c>
      <c r="B91" s="18" t="s">
        <v>752</v>
      </c>
      <c r="C91" s="19" t="s">
        <v>67</v>
      </c>
      <c r="D91" s="127">
        <f>IF(spg_int_regime="SURFACE-HELD",spg_int_carbon,MIN(spg_dur_opt/(60*duty_opt),spg_int_max))</f>
        <v>181.0677266956931</v>
      </c>
      <c r="E91" s="81" t="s">
        <v>1091</v>
      </c>
      <c r="F91" s="20"/>
    </row>
    <row r="92" spans="1:6" x14ac:dyDescent="0.2">
      <c r="A92" s="17" t="s">
        <v>753</v>
      </c>
      <c r="B92" s="18" t="s">
        <v>754</v>
      </c>
      <c r="C92" s="19" t="s">
        <v>13</v>
      </c>
      <c r="D92" s="48">
        <f>spg_int_opt*60</f>
        <v>10864.063601741585</v>
      </c>
      <c r="E92" s="81" t="s">
        <v>755</v>
      </c>
      <c r="F92" s="20"/>
    </row>
    <row r="93" spans="1:6" x14ac:dyDescent="0.2">
      <c r="A93" s="17" t="s">
        <v>756</v>
      </c>
      <c r="B93" s="18" t="s">
        <v>757</v>
      </c>
      <c r="C93" s="19" t="s">
        <v>135</v>
      </c>
      <c r="D93" s="48">
        <f>spg_dur_opt/(spg_int_opt*60)</f>
        <v>7.2211750463169476E-5</v>
      </c>
      <c r="E93" s="101" t="s">
        <v>758</v>
      </c>
      <c r="F93" s="20"/>
    </row>
    <row r="94" spans="1:6" x14ac:dyDescent="0.2">
      <c r="A94" s="17" t="s">
        <v>759</v>
      </c>
      <c r="B94" s="18" t="s">
        <v>760</v>
      </c>
      <c r="C94" s="19" t="s">
        <v>135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761</v>
      </c>
      <c r="F94" s="20"/>
    </row>
    <row r="95" spans="1:6" ht="24" x14ac:dyDescent="0.2">
      <c r="A95" s="17" t="s">
        <v>762</v>
      </c>
      <c r="B95" s="18" t="s">
        <v>763</v>
      </c>
      <c r="C95" s="19" t="s">
        <v>135</v>
      </c>
      <c r="D95" s="48" t="str">
        <f>IF(spg_int*60-spg_dur&gt;=5,"OK","TIGHT")</f>
        <v>OK</v>
      </c>
      <c r="E95" s="101" t="s">
        <v>1168</v>
      </c>
      <c r="F95" s="20"/>
    </row>
    <row r="96" spans="1:6" ht="36" customHeight="1" x14ac:dyDescent="0.2">
      <c r="A96" s="17" t="s">
        <v>764</v>
      </c>
      <c r="B96" s="18" t="s">
        <v>765</v>
      </c>
      <c r="C96" s="19" t="s">
        <v>135</v>
      </c>
      <c r="D96" s="48" t="str">
        <f>"see note →"</f>
        <v>see note →</v>
      </c>
      <c r="E96" s="69" t="s">
        <v>766</v>
      </c>
      <c r="F96" s="20"/>
    </row>
    <row r="97" spans="1:6" ht="24" customHeight="1" x14ac:dyDescent="0.2">
      <c r="A97" s="17" t="s">
        <v>767</v>
      </c>
      <c r="B97" s="18" t="s">
        <v>768</v>
      </c>
      <c r="C97" s="19" t="s">
        <v>510</v>
      </c>
      <c r="D97" s="124">
        <f>IFERROR(cal_kLa,0)</f>
        <v>0</v>
      </c>
      <c r="E97" s="69" t="s">
        <v>769</v>
      </c>
      <c r="F97" s="20"/>
    </row>
    <row r="98" spans="1:6" ht="24" customHeight="1" x14ac:dyDescent="0.2">
      <c r="A98" s="17" t="s">
        <v>770</v>
      </c>
      <c r="B98" s="18" t="s">
        <v>771</v>
      </c>
      <c r="C98" s="19" t="s">
        <v>645</v>
      </c>
      <c r="D98" s="48">
        <f>IF(kLa_meas&gt;0,kLa_meas/3600,kLa_surf)</f>
        <v>7.6396128533331165E-3</v>
      </c>
      <c r="E98" s="101" t="s">
        <v>772</v>
      </c>
      <c r="F98" s="20"/>
    </row>
    <row r="99" spans="1:6" x14ac:dyDescent="0.2">
      <c r="A99" s="20" t="s">
        <v>773</v>
      </c>
      <c r="B99" s="20" t="s">
        <v>774</v>
      </c>
      <c r="C99" s="20" t="s">
        <v>13</v>
      </c>
      <c r="D99" s="24">
        <f>min_sparge_cal</f>
        <v>0.25</v>
      </c>
      <c r="E99" s="20" t="s">
        <v>775</v>
      </c>
      <c r="F99" s="20"/>
    </row>
    <row r="100" spans="1:6" x14ac:dyDescent="0.2">
      <c r="A100" s="20" t="s">
        <v>776</v>
      </c>
      <c r="B100" s="20" t="s">
        <v>777</v>
      </c>
      <c r="C100" s="20" t="s">
        <v>355</v>
      </c>
      <c r="D100" s="24">
        <f>CO2_pulse*pulses_h</f>
        <v>3.5383616607692934E-5</v>
      </c>
      <c r="E100" s="20" t="s">
        <v>775</v>
      </c>
      <c r="F100" s="20"/>
    </row>
    <row r="101" spans="1:6" x14ac:dyDescent="0.2">
      <c r="A101" s="20" t="s">
        <v>778</v>
      </c>
      <c r="B101" s="20" t="s">
        <v>313</v>
      </c>
      <c r="C101" s="20" t="s">
        <v>314</v>
      </c>
      <c r="D101" s="82">
        <v>8.3144626180000003</v>
      </c>
      <c r="E101" s="20" t="s">
        <v>775</v>
      </c>
      <c r="F101" s="20"/>
    </row>
    <row r="102" spans="1:6" x14ac:dyDescent="0.2">
      <c r="A102" s="20" t="s">
        <v>779</v>
      </c>
      <c r="B102" s="20" t="s">
        <v>780</v>
      </c>
      <c r="C102" s="20" t="s">
        <v>362</v>
      </c>
      <c r="D102" s="24">
        <f>IF(has_cal&gt;0,flowrate_cal*60,NA())</f>
        <v>199.8</v>
      </c>
      <c r="E102" s="20" t="s">
        <v>775</v>
      </c>
      <c r="F102" s="20"/>
    </row>
    <row r="103" spans="1:6" x14ac:dyDescent="0.2">
      <c r="A103" s="20" t="s">
        <v>781</v>
      </c>
      <c r="B103" s="20" t="s">
        <v>782</v>
      </c>
      <c r="C103" s="20" t="s">
        <v>783</v>
      </c>
      <c r="D103" s="82">
        <v>44.009500000000003</v>
      </c>
      <c r="E103" s="20" t="s">
        <v>775</v>
      </c>
      <c r="F103" s="20"/>
    </row>
    <row r="104" spans="1:6" x14ac:dyDescent="0.2">
      <c r="A104" s="20" t="s">
        <v>784</v>
      </c>
      <c r="B104" s="20" t="s">
        <v>785</v>
      </c>
      <c r="C104" s="20" t="s">
        <v>786</v>
      </c>
      <c r="D104" s="24">
        <f>P_atm*(Q_CO2/1000000/60)/(R_gas*T_K)</f>
        <v>1.36110568266017E-4</v>
      </c>
      <c r="E104" s="20" t="s">
        <v>775</v>
      </c>
      <c r="F104" s="20"/>
    </row>
    <row r="105" spans="1:6" x14ac:dyDescent="0.2">
      <c r="A105" s="20" t="s">
        <v>787</v>
      </c>
      <c r="B105" s="20" t="s">
        <v>788</v>
      </c>
      <c r="C105" s="20" t="s">
        <v>135</v>
      </c>
      <c r="D105" s="24">
        <f>spg_dur/(spg_int*60)</f>
        <v>7.2211750463169476E-5</v>
      </c>
      <c r="E105" s="20" t="s">
        <v>775</v>
      </c>
      <c r="F105" s="20"/>
    </row>
    <row r="106" spans="1:6" x14ac:dyDescent="0.2">
      <c r="A106" s="20" t="s">
        <v>789</v>
      </c>
      <c r="B106" s="20" t="s">
        <v>790</v>
      </c>
      <c r="C106" s="20" t="s">
        <v>135</v>
      </c>
      <c r="D106" s="82">
        <v>1</v>
      </c>
      <c r="E106" s="20" t="s">
        <v>775</v>
      </c>
      <c r="F106" s="20"/>
    </row>
    <row r="107" spans="1:6" x14ac:dyDescent="0.2">
      <c r="A107" s="109" t="s">
        <v>791</v>
      </c>
      <c r="B107" s="20"/>
      <c r="C107" s="20"/>
      <c r="D107" s="20"/>
      <c r="E107" s="20"/>
      <c r="F107" s="20"/>
    </row>
    <row r="108" spans="1:6" x14ac:dyDescent="0.2">
      <c r="A108" s="20" t="s">
        <v>792</v>
      </c>
      <c r="B108" s="20" t="s">
        <v>793</v>
      </c>
      <c r="C108" s="20" t="s">
        <v>102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794</v>
      </c>
      <c r="B109" s="20" t="s">
        <v>795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796</v>
      </c>
      <c r="B110" s="20" t="s">
        <v>797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798</v>
      </c>
      <c r="B111" s="20" t="s">
        <v>799</v>
      </c>
      <c r="C111" s="20"/>
      <c r="D111" s="24" t="str">
        <f>IF(tip_speed&gt;1.5,"TIP SPEED &gt; 1.5 m/s","OK")</f>
        <v>OK</v>
      </c>
      <c r="E111" s="83" t="s">
        <v>800</v>
      </c>
      <c r="F111" s="20"/>
    </row>
    <row r="112" spans="1:6" x14ac:dyDescent="0.2">
      <c r="A112" s="20" t="s">
        <v>801</v>
      </c>
      <c r="B112" s="20" t="s">
        <v>802</v>
      </c>
      <c r="C112" s="20" t="s">
        <v>67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803</v>
      </c>
      <c r="B113" s="20" t="s">
        <v>804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3" t="s">
        <v>805</v>
      </c>
      <c r="F113" s="20"/>
    </row>
    <row r="114" spans="1:6" x14ac:dyDescent="0.2">
      <c r="A114" s="109" t="s">
        <v>806</v>
      </c>
      <c r="B114" s="20"/>
      <c r="C114" s="20"/>
      <c r="D114" s="20"/>
      <c r="E114" s="20"/>
      <c r="F114" s="20"/>
    </row>
    <row r="115" spans="1:6" x14ac:dyDescent="0.2">
      <c r="A115" s="20" t="s">
        <v>807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808</v>
      </c>
      <c r="B116" s="20" t="s">
        <v>809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810</v>
      </c>
      <c r="B117" s="20" t="s">
        <v>811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812</v>
      </c>
      <c r="B118" s="20" t="s">
        <v>813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814</v>
      </c>
      <c r="B119" s="20" t="s">
        <v>815</v>
      </c>
      <c r="C119" s="20" t="s">
        <v>816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817</v>
      </c>
      <c r="B120" s="20" t="s">
        <v>818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819</v>
      </c>
      <c r="B121" s="20" t="s">
        <v>820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821</v>
      </c>
      <c r="B122" s="20" t="s">
        <v>822</v>
      </c>
      <c r="C122" s="20" t="s">
        <v>67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823</v>
      </c>
      <c r="B123" s="20" t="s">
        <v>824</v>
      </c>
      <c r="C123" s="20" t="s">
        <v>825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826</v>
      </c>
      <c r="B124" s="20" t="s">
        <v>827</v>
      </c>
      <c r="C124" s="20" t="s">
        <v>828</v>
      </c>
      <c r="D124" s="24">
        <f>60/spg_int</f>
        <v>0.3313677213214119</v>
      </c>
      <c r="E124" s="20"/>
      <c r="F124" s="20"/>
    </row>
    <row r="125" spans="1:6" x14ac:dyDescent="0.2">
      <c r="A125" s="20" t="s">
        <v>829</v>
      </c>
      <c r="B125" s="20" t="s">
        <v>830</v>
      </c>
      <c r="C125" s="20" t="s">
        <v>831</v>
      </c>
      <c r="D125" s="24">
        <f>pulses_h*24</f>
        <v>7.9528253117138856</v>
      </c>
      <c r="E125" s="20"/>
      <c r="F125" s="20"/>
    </row>
    <row r="126" spans="1:6" x14ac:dyDescent="0.2">
      <c r="A126" s="20" t="s">
        <v>832</v>
      </c>
      <c r="B126" s="20" t="s">
        <v>833</v>
      </c>
      <c r="C126" s="20" t="s">
        <v>110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834</v>
      </c>
      <c r="B127" s="20" t="s">
        <v>835</v>
      </c>
      <c r="C127" s="20" t="s">
        <v>825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836</v>
      </c>
      <c r="B128" s="20" t="s">
        <v>837</v>
      </c>
      <c r="C128" s="20" t="s">
        <v>825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838</v>
      </c>
      <c r="B129" s="20" t="s">
        <v>839</v>
      </c>
      <c r="C129" s="20" t="s">
        <v>110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840</v>
      </c>
      <c r="B130" s="20" t="s">
        <v>841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842</v>
      </c>
      <c r="B131" s="20" t="s">
        <v>843</v>
      </c>
      <c r="C131" s="20" t="s">
        <v>107</v>
      </c>
      <c r="D131" s="24" t="e">
        <f>IF(ISNUMBER(DO_impair),O2_excess*32/(DO_impair*3600*(V_charge/1000000)*a_surf),NA())</f>
        <v>#N/A</v>
      </c>
      <c r="E131" s="107" t="s">
        <v>844</v>
      </c>
      <c r="F131" s="20"/>
    </row>
    <row r="132" spans="1:6" ht="24" x14ac:dyDescent="0.2">
      <c r="A132" s="17" t="s">
        <v>1007</v>
      </c>
      <c r="B132" s="18" t="s">
        <v>1008</v>
      </c>
      <c r="C132" s="19" t="s">
        <v>1009</v>
      </c>
      <c r="D132" s="28">
        <f>O2_net_gen</f>
        <v>5.3075424911539388E-5</v>
      </c>
      <c r="E132" s="69" t="s">
        <v>1010</v>
      </c>
      <c r="F132" s="20"/>
    </row>
    <row r="133" spans="1:6" ht="24" x14ac:dyDescent="0.2">
      <c r="A133" s="17" t="s">
        <v>1011</v>
      </c>
      <c r="B133" s="18" t="s">
        <v>1012</v>
      </c>
      <c r="C133" s="19" t="s">
        <v>1013</v>
      </c>
      <c r="D133" s="28">
        <f>O2_excess/(kLa_surf_used*3600*(V_charge/1000000))</f>
        <v>4.2885167873123194E-2</v>
      </c>
      <c r="E133" s="69" t="s">
        <v>1014</v>
      </c>
      <c r="F133" s="20"/>
    </row>
    <row r="134" spans="1:6" ht="24" x14ac:dyDescent="0.2">
      <c r="A134" s="20" t="s">
        <v>1015</v>
      </c>
      <c r="B134" s="20" t="s">
        <v>1016</v>
      </c>
      <c r="C134" s="20" t="s">
        <v>1017</v>
      </c>
      <c r="D134" s="28" t="str">
        <f>IF(DO_ss_sawtooth&lt;target_DO_frac*O2_ceil_C,"SURFACE-HELD","SPARGE-NEEDED")</f>
        <v>SURFACE-HELD</v>
      </c>
      <c r="E134" s="69" t="s">
        <v>1018</v>
      </c>
      <c r="F134" s="20"/>
    </row>
    <row r="135" spans="1:6" ht="36" x14ac:dyDescent="0.2">
      <c r="A135" s="20" t="s">
        <v>1019</v>
      </c>
      <c r="B135" s="20" t="s">
        <v>1020</v>
      </c>
      <c r="C135" s="20" t="s">
        <v>1021</v>
      </c>
      <c r="D135" s="28">
        <f>O2_net_gen/(kLa_surf_used*3600*(V_charge/1000000))</f>
        <v>0.12865550361936959</v>
      </c>
      <c r="E135" s="69" t="s">
        <v>1022</v>
      </c>
      <c r="F135" s="20"/>
    </row>
    <row r="137" spans="1:6" x14ac:dyDescent="0.2">
      <c r="A137" s="20" t="s">
        <v>1170</v>
      </c>
      <c r="B137" s="20"/>
      <c r="C137" s="20"/>
      <c r="D137" s="20"/>
      <c r="E137" s="20" t="s">
        <v>1171</v>
      </c>
      <c r="F137" s="20"/>
    </row>
    <row r="138" spans="1:6" x14ac:dyDescent="0.2">
      <c r="A138" s="17" t="s">
        <v>1172</v>
      </c>
      <c r="B138" s="18" t="s">
        <v>1173</v>
      </c>
      <c r="C138" s="19" t="s">
        <v>582</v>
      </c>
      <c r="D138" s="124">
        <v>1.92E-9</v>
      </c>
      <c r="E138" s="67" t="s">
        <v>1195</v>
      </c>
      <c r="F138" s="20"/>
    </row>
    <row r="139" spans="1:6" x14ac:dyDescent="0.2">
      <c r="A139" s="17" t="s">
        <v>1196</v>
      </c>
      <c r="B139" s="18" t="s">
        <v>1174</v>
      </c>
      <c r="C139" s="19" t="s">
        <v>62</v>
      </c>
      <c r="D139" s="124">
        <v>40</v>
      </c>
      <c r="E139" s="67" t="s">
        <v>1197</v>
      </c>
      <c r="F139" s="20"/>
    </row>
    <row r="140" spans="1:6" x14ac:dyDescent="0.2">
      <c r="A140" s="17" t="s">
        <v>1198</v>
      </c>
      <c r="B140" s="18" t="s">
        <v>1199</v>
      </c>
      <c r="C140" s="19" t="s">
        <v>1200</v>
      </c>
      <c r="D140" s="48">
        <f>headspace_V/1000000</f>
        <v>2.6124284559171357E-6</v>
      </c>
      <c r="E140" s="67" t="s">
        <v>1201</v>
      </c>
      <c r="F140" s="20"/>
    </row>
    <row r="141" spans="1:6" x14ac:dyDescent="0.2">
      <c r="A141" s="17" t="s">
        <v>1202</v>
      </c>
      <c r="B141" s="18" t="s">
        <v>1203</v>
      </c>
      <c r="C141" s="19" t="s">
        <v>1200</v>
      </c>
      <c r="D141" s="48">
        <f>V_charge/1000000</f>
        <v>1.5E-5</v>
      </c>
      <c r="E141" s="67" t="s">
        <v>1204</v>
      </c>
      <c r="F141" s="20"/>
    </row>
    <row r="142" spans="1:6" ht="36" x14ac:dyDescent="0.2">
      <c r="A142" s="17" t="s">
        <v>1205</v>
      </c>
      <c r="B142" s="18" t="s">
        <v>1206</v>
      </c>
      <c r="C142" s="19" t="s">
        <v>362</v>
      </c>
      <c r="D142" s="124">
        <v>0.5</v>
      </c>
      <c r="E142" s="69" t="s">
        <v>1207</v>
      </c>
      <c r="F142" s="20"/>
    </row>
    <row r="143" spans="1:6" x14ac:dyDescent="0.2">
      <c r="A143" s="17" t="s">
        <v>1208</v>
      </c>
      <c r="B143" s="18" t="s">
        <v>1209</v>
      </c>
      <c r="C143" s="19" t="s">
        <v>645</v>
      </c>
      <c r="D143" s="48">
        <f>(Q_vent/1000000/60)/headspace_V_m3</f>
        <v>3.1898800192818222E-3</v>
      </c>
      <c r="E143" s="67" t="s">
        <v>1210</v>
      </c>
      <c r="F143" s="20"/>
    </row>
    <row r="144" spans="1:6" x14ac:dyDescent="0.2">
      <c r="A144" s="17" t="s">
        <v>1211</v>
      </c>
      <c r="B144" s="18" t="s">
        <v>1212</v>
      </c>
      <c r="C144" s="19" t="s">
        <v>67</v>
      </c>
      <c r="D144" s="48">
        <f>headspace_V_m3/(Q_vent/1000000/60)/60</f>
        <v>5.2248569118342711</v>
      </c>
      <c r="E144" s="67" t="s">
        <v>1213</v>
      </c>
      <c r="F144" s="20"/>
    </row>
    <row r="145" spans="1:6" x14ac:dyDescent="0.2">
      <c r="A145" s="17" t="s">
        <v>1175</v>
      </c>
      <c r="B145" s="18" t="s">
        <v>1176</v>
      </c>
      <c r="C145" s="19" t="s">
        <v>463</v>
      </c>
      <c r="D145" s="48">
        <f>Biology!$D$31*P_atm</f>
        <v>33.437249999999999</v>
      </c>
      <c r="E145" s="67" t="s">
        <v>1214</v>
      </c>
      <c r="F145" s="20"/>
    </row>
    <row r="146" spans="1:6" x14ac:dyDescent="0.2">
      <c r="A146" s="17" t="s">
        <v>1177</v>
      </c>
      <c r="B146" s="18" t="s">
        <v>1178</v>
      </c>
      <c r="C146" s="19" t="s">
        <v>463</v>
      </c>
      <c r="D146" s="48">
        <f>Biology!$D$31*pCO2_air</f>
        <v>1.32E-2</v>
      </c>
      <c r="E146" s="67" t="s">
        <v>1215</v>
      </c>
      <c r="F146" s="20"/>
    </row>
    <row r="147" spans="1:6" x14ac:dyDescent="0.2">
      <c r="A147" s="17" t="s">
        <v>1216</v>
      </c>
      <c r="B147" s="18" t="s">
        <v>1179</v>
      </c>
      <c r="C147" s="19" t="s">
        <v>135</v>
      </c>
      <c r="D147" s="48">
        <f>SQRT(D_CO2/D_O2)</f>
        <v>0.92396577925116474</v>
      </c>
      <c r="E147" s="67" t="s">
        <v>1217</v>
      </c>
      <c r="F147" s="20"/>
    </row>
    <row r="148" spans="1:6" x14ac:dyDescent="0.2">
      <c r="A148" s="17" t="s">
        <v>1218</v>
      </c>
      <c r="B148" s="18" t="s">
        <v>1180</v>
      </c>
      <c r="C148" s="19" t="s">
        <v>645</v>
      </c>
      <c r="D148" s="48">
        <f>kLa_surf*sqrtD_CO2</f>
        <v>7.0587408432071473E-3</v>
      </c>
      <c r="E148" s="67" t="s">
        <v>1219</v>
      </c>
      <c r="F148" s="20"/>
    </row>
    <row r="149" spans="1:6" x14ac:dyDescent="0.2">
      <c r="A149" s="17" t="s">
        <v>1220</v>
      </c>
      <c r="B149" s="18" t="s">
        <v>1221</v>
      </c>
      <c r="C149" s="19" t="s">
        <v>67</v>
      </c>
      <c r="D149" s="48">
        <f>1/kLa_CO2_off/60</f>
        <v>2.3611387692049264</v>
      </c>
      <c r="E149" s="67" t="s">
        <v>1222</v>
      </c>
      <c r="F149" s="20"/>
    </row>
    <row r="150" spans="1:6" x14ac:dyDescent="0.2">
      <c r="A150" s="17" t="s">
        <v>1223</v>
      </c>
      <c r="B150" s="18" t="s">
        <v>1224</v>
      </c>
      <c r="C150" s="19" t="s">
        <v>825</v>
      </c>
      <c r="D150" s="48">
        <f>P_atm*headspace_V_m3/(R_gas*T_K)</f>
        <v>1.0678051702378222E-4</v>
      </c>
      <c r="E150" s="67" t="s">
        <v>1225</v>
      </c>
      <c r="F150" s="20"/>
    </row>
    <row r="151" spans="1:6" x14ac:dyDescent="0.2">
      <c r="A151" s="17" t="s">
        <v>1181</v>
      </c>
      <c r="B151" s="18" t="s">
        <v>1182</v>
      </c>
      <c r="C151" s="19" t="s">
        <v>13</v>
      </c>
      <c r="D151" s="48">
        <f>spg_dur</f>
        <v>0.78451304982496561</v>
      </c>
      <c r="E151" s="67" t="s">
        <v>1226</v>
      </c>
      <c r="F151" s="20"/>
    </row>
    <row r="152" spans="1:6" x14ac:dyDescent="0.2">
      <c r="A152" s="17" t="s">
        <v>1183</v>
      </c>
      <c r="B152" s="18" t="s">
        <v>1184</v>
      </c>
      <c r="C152" s="19" t="s">
        <v>13</v>
      </c>
      <c r="D152" s="48">
        <f>MAX(0,spg_int*60-spg_dur)</f>
        <v>10863.279088691761</v>
      </c>
      <c r="E152" s="67" t="s">
        <v>1227</v>
      </c>
      <c r="F152" s="20"/>
    </row>
    <row r="153" spans="1:6" x14ac:dyDescent="0.2">
      <c r="A153" s="17" t="s">
        <v>1228</v>
      </c>
      <c r="B153" s="18" t="s">
        <v>1229</v>
      </c>
      <c r="C153" s="19" t="s">
        <v>135</v>
      </c>
      <c r="D153" s="48">
        <f>EXP(-kLa_CO2_off*t_on_CO2)</f>
        <v>0.99447763034777281</v>
      </c>
      <c r="E153" s="67" t="s">
        <v>1230</v>
      </c>
      <c r="F153" s="20"/>
    </row>
    <row r="154" spans="1:6" x14ac:dyDescent="0.2">
      <c r="A154" s="17" t="s">
        <v>1231</v>
      </c>
      <c r="B154" s="18" t="s">
        <v>1232</v>
      </c>
      <c r="C154" s="19" t="s">
        <v>135</v>
      </c>
      <c r="D154" s="48">
        <f>EXP(-kLa_CO2_off*t_off_CO2)</f>
        <v>4.9869343751369273E-34</v>
      </c>
      <c r="E154" s="67" t="s">
        <v>1233</v>
      </c>
      <c r="F154" s="20"/>
    </row>
    <row r="155" spans="1:6" x14ac:dyDescent="0.2">
      <c r="A155" s="17" t="s">
        <v>1234</v>
      </c>
      <c r="B155" s="18" t="s">
        <v>1235</v>
      </c>
      <c r="C155" s="19" t="s">
        <v>135</v>
      </c>
      <c r="D155" s="48">
        <f>EXP(-k_vent*t_off_CO2)</f>
        <v>8.9245381551518439E-16</v>
      </c>
      <c r="E155" s="67" t="s">
        <v>1236</v>
      </c>
      <c r="F155" s="20"/>
    </row>
    <row r="156" spans="1:6" x14ac:dyDescent="0.2">
      <c r="A156" s="17" t="s">
        <v>1237</v>
      </c>
      <c r="B156" s="18" t="s">
        <v>1238</v>
      </c>
      <c r="C156" s="19" t="s">
        <v>463</v>
      </c>
      <c r="D156" s="48">
        <f>(C_sat_CO2-C_air_CO2)*kLa_CO2_off/(kLa_CO2_off-k_vent)</f>
        <v>60.982216114205634</v>
      </c>
      <c r="E156" s="67" t="s">
        <v>1239</v>
      </c>
      <c r="F156" s="20"/>
    </row>
    <row r="157" spans="1:6" x14ac:dyDescent="0.2">
      <c r="A157" s="17" t="s">
        <v>1240</v>
      </c>
      <c r="B157" s="18" t="s">
        <v>1241</v>
      </c>
      <c r="C157" s="19" t="s">
        <v>463</v>
      </c>
      <c r="D157" s="48">
        <f>(e1_CO2*C_sat_CO2*(1-eon_CO2)+C_air_CO2*(1-e1_CO2)+coef_CO2*(e2_CO2-e1_CO2))/(1-e1_CO2*eon_CO2)</f>
        <v>1.3200000000054423E-2</v>
      </c>
      <c r="E157" s="67" t="s">
        <v>1242</v>
      </c>
      <c r="F157" s="20"/>
    </row>
    <row r="158" spans="1:6" x14ac:dyDescent="0.2">
      <c r="A158" s="17" t="s">
        <v>1243</v>
      </c>
      <c r="B158" s="18" t="s">
        <v>1244</v>
      </c>
      <c r="C158" s="19" t="s">
        <v>463</v>
      </c>
      <c r="D158" s="48">
        <f>C_sat_CO2+(Ca_CO2-C_sat_CO2)*eon_CO2</f>
        <v>0.1977799593745786</v>
      </c>
      <c r="E158" s="67" t="s">
        <v>1245</v>
      </c>
      <c r="F158" s="20"/>
    </row>
    <row r="159" spans="1:6" x14ac:dyDescent="0.2">
      <c r="A159" s="17" t="s">
        <v>1246</v>
      </c>
      <c r="B159" s="18" t="s">
        <v>1185</v>
      </c>
      <c r="C159" s="19" t="s">
        <v>1186</v>
      </c>
      <c r="D159" s="48">
        <f>C_sat_CO2*t_on_CO2+(Ca_CO2-C_sat_CO2)/kLa_CO2_off*(1-eon_CO2)</f>
        <v>8.2825089412320807E-2</v>
      </c>
      <c r="E159" s="67" t="s">
        <v>1247</v>
      </c>
      <c r="F159" s="20"/>
    </row>
    <row r="160" spans="1:6" x14ac:dyDescent="0.2">
      <c r="A160" s="17" t="s">
        <v>1248</v>
      </c>
      <c r="B160" s="18" t="s">
        <v>1187</v>
      </c>
      <c r="C160" s="19" t="s">
        <v>1186</v>
      </c>
      <c r="D160" s="48">
        <f>C_air_CO2*t_off_CO2+(Cb_CO2-C_air_CO2)/kLa_CO2_off*(1-e1_CO2)+coef_CO2*((1-e2_CO2)/k_vent-(1-e1_CO2)/kLa_CO2_off)</f>
        <v>10647.697137696226</v>
      </c>
      <c r="E160" s="67" t="s">
        <v>1249</v>
      </c>
      <c r="F160" s="20"/>
    </row>
    <row r="161" spans="1:6" x14ac:dyDescent="0.2">
      <c r="A161" s="17" t="s">
        <v>1188</v>
      </c>
      <c r="B161" s="18" t="s">
        <v>1189</v>
      </c>
      <c r="C161" s="19" t="s">
        <v>463</v>
      </c>
      <c r="D161" s="48">
        <f>(CO2_int_on+CO2_int_off)/(t_on_CO2+t_off_CO2)</f>
        <v>0.98009182872224021</v>
      </c>
      <c r="E161" s="67" t="s">
        <v>1250</v>
      </c>
      <c r="F161" s="20"/>
    </row>
    <row r="162" spans="1:6" ht="24" x14ac:dyDescent="0.2">
      <c r="A162" s="17" t="s">
        <v>1190</v>
      </c>
      <c r="B162" s="18" t="s">
        <v>1191</v>
      </c>
      <c r="C162" s="19" t="s">
        <v>490</v>
      </c>
      <c r="D162" s="48">
        <f>MIN(C_sat_CO2,MAX(C_air_CO2,CO2_cyc_avg))/1000</f>
        <v>9.8009182872224013E-4</v>
      </c>
      <c r="E162" s="67" t="s">
        <v>1251</v>
      </c>
      <c r="F162" s="20"/>
    </row>
    <row r="163" spans="1:6" x14ac:dyDescent="0.2">
      <c r="A163" s="17" t="s">
        <v>1252</v>
      </c>
      <c r="B163" s="18" t="s">
        <v>1253</v>
      </c>
      <c r="C163" s="19" t="s">
        <v>135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1254</v>
      </c>
      <c r="F163" s="20"/>
    </row>
    <row r="164" spans="1:6" x14ac:dyDescent="0.2">
      <c r="A164" s="17" t="s">
        <v>1192</v>
      </c>
      <c r="B164" s="18" t="s">
        <v>1193</v>
      </c>
      <c r="C164" s="19" t="s">
        <v>135</v>
      </c>
      <c r="D164" s="48" t="str">
        <f>IF(spg_int*60&gt;=spg_dur,"OK","INVALID: interval &lt; pulse")</f>
        <v>OK</v>
      </c>
      <c r="E164" s="67" t="s">
        <v>1255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40"/>
  <sheetViews>
    <sheetView workbookViewId="0"/>
  </sheetViews>
  <sheetFormatPr defaultRowHeight="12.75" x14ac:dyDescent="0.2"/>
  <sheetData>
    <row r="1" spans="1:14" x14ac:dyDescent="0.2">
      <c r="A1" s="110" t="inlineStr">
        <is>
          <t xml:space="preserve">CALIBRATIONS</t>
        </is>
      </c>
    </row>
    <row r="2" spans="1:14" x14ac:dyDescent="0.2">
      <c r="A2" s="51" t="inlineStr">
        <is>
          <t xml:space="preserve">Fill the white cells only: Researcher, Date, the key (Reactor or Organism) and the raw measurements. Grey cells are computed automatically. Set Include to y for rows the model should use.</t>
        </is>
      </c>
    </row>
    <row r="3" spans="1:14" x14ac:dyDescent="0.2">
      <c r="A3" s="51" t="inlineStr">
        <is>
          <t xml:space="preserve">The value in use for each calibration follows the rule stated under its heading. If no rows are included yet, the model falls back to its built-in default.</t>
        </is>
      </c>
    </row>
    <row r="5" spans="1:14" x14ac:dyDescent="0.2">
      <c r="A5" s="110" t="inlineStr">
        <is>
          <t xml:space="preserve">GERRIT CURRENT  (electrolysis current law)</t>
        </is>
      </c>
    </row>
    <row r="6" spans="1:14" x14ac:dyDescent="0.2">
      <c r="A6" s="51" t="inlineStr">
        <is>
          <t xml:space="preserve">Value in use: least-squares fit of current vs intensity, averaged across all included runs for the active reactor.</t>
        </is>
      </c>
    </row>
    <row r="7" spans="1:14" x14ac:dyDescent="0.2">
      <c r="A7" s="109" t="inlineStr">
        <is>
          <t xml:space="preserve">Researcher</t>
        </is>
      </c>
      <c r="B7" s="109" t="inlineStr">
        <is>
          <t xml:space="preserve">Date</t>
        </is>
      </c>
      <c r="C7" s="109" t="inlineStr">
        <is>
          <t xml:space="preserve">Reactor</t>
        </is>
      </c>
      <c r="D7" s="109" t="inlineStr">
        <is>
          <t xml:space="preserve">Intensity</t>
        </is>
      </c>
      <c r="E7" s="109" t="inlineStr">
        <is>
          <t xml:space="preserve">Current</t>
        </is>
      </c>
      <c r="F7" s="109" t="inlineStr">
        <is>
          <t xml:space="preserve">Type (auto)</t>
        </is>
      </c>
      <c r="G7" s="109" t="inlineStr">
        <is>
          <t xml:space="preserve">Include?</t>
        </is>
      </c>
      <c r="H7" s="109" t="inlineStr">
        <is>
          <t xml:space="preserve">Notes</t>
        </is>
      </c>
    </row>
    <row r="8" spans="1:14" x14ac:dyDescent="0.2">
      <c r="A8" s="53"/>
      <c r="B8" s="124"/>
      <c r="C8" s="53"/>
      <c r="D8" s="124"/>
      <c r="E8" s="124"/>
      <c r="F8" s="48">
        <f>IFERROR(VLOOKUP(C8,Geometry!$A$59:$B$80,2,FALSE),"")</f>
        <v/>
      </c>
      <c r="G8" s="53"/>
      <c r="H8" s="53"/>
    </row>
    <row r="9" spans="1:14" x14ac:dyDescent="0.2">
      <c r="A9" s="53"/>
      <c r="B9" s="124"/>
      <c r="C9" s="53"/>
      <c r="D9" s="124"/>
      <c r="E9" s="124"/>
      <c r="F9" s="48">
        <f>IFERROR(VLOOKUP(C9,Geometry!$A$59:$B$80,2,FALSE),"")</f>
        <v/>
      </c>
      <c r="G9" s="53"/>
      <c r="H9" s="53"/>
    </row>
    <row r="10" spans="1:14" x14ac:dyDescent="0.2">
      <c r="A10" s="53"/>
      <c r="B10" s="124"/>
      <c r="C10" s="53"/>
      <c r="D10" s="124"/>
      <c r="E10" s="124"/>
      <c r="F10" s="48">
        <f>IFERROR(VLOOKUP(C10,Geometry!$A$59:$B$80,2,FALSE),"")</f>
        <v/>
      </c>
      <c r="G10" s="53"/>
      <c r="H10" s="53"/>
    </row>
    <row r="11" spans="1:14" x14ac:dyDescent="0.2">
      <c r="A11" s="53"/>
      <c r="B11" s="124"/>
      <c r="C11" s="53"/>
      <c r="D11" s="124"/>
      <c r="E11" s="124"/>
      <c r="F11" s="48">
        <f>IFERROR(VLOOKUP(C11,Geometry!$A$59:$B$80,2,FALSE),"")</f>
        <v/>
      </c>
      <c r="G11" s="53"/>
      <c r="H11" s="53"/>
    </row>
    <row r="12" spans="1:14" x14ac:dyDescent="0.2">
      <c r="A12" s="53"/>
      <c r="B12" s="124"/>
      <c r="C12" s="53"/>
      <c r="D12" s="124"/>
      <c r="E12" s="124"/>
      <c r="F12" s="48">
        <f>IFERROR(VLOOKUP(C12,Geometry!$A$59:$B$80,2,FALSE),"")</f>
        <v/>
      </c>
      <c r="G12" s="53"/>
      <c r="H12" s="53"/>
    </row>
    <row r="13" spans="1:14" x14ac:dyDescent="0.2">
      <c r="A13" s="53"/>
      <c r="B13" s="124"/>
      <c r="C13" s="53"/>
      <c r="D13" s="124"/>
      <c r="E13" s="124"/>
      <c r="F13" s="48">
        <f>IFERROR(VLOOKUP(C13,Geometry!$A$59:$B$80,2,FALSE),"")</f>
        <v/>
      </c>
      <c r="G13" s="53"/>
      <c r="H13" s="53"/>
    </row>
    <row r="14" spans="1:14" x14ac:dyDescent="0.2">
      <c r="A14" s="53"/>
      <c r="B14" s="124"/>
      <c r="C14" s="53"/>
      <c r="D14" s="124"/>
      <c r="E14" s="124"/>
      <c r="F14" s="48">
        <f>IFERROR(VLOOKUP(C14,Geometry!$A$59:$B$80,2,FALSE),"")</f>
        <v/>
      </c>
      <c r="G14" s="53"/>
      <c r="H14" s="53"/>
    </row>
    <row r="15" spans="1:14" x14ac:dyDescent="0.2">
      <c r="A15" s="53"/>
      <c r="B15" s="124"/>
      <c r="C15" s="53"/>
      <c r="D15" s="124"/>
      <c r="E15" s="124"/>
      <c r="F15" s="48">
        <f>IFERROR(VLOOKUP(C15,Geometry!$A$59:$B$80,2,FALSE),"")</f>
        <v/>
      </c>
      <c r="G15" s="53"/>
      <c r="H15" s="53"/>
    </row>
    <row r="16" spans="1:14" x14ac:dyDescent="0.2">
      <c r="A16" s="17" t="inlineStr">
        <is>
          <t xml:space="preserve">Value in use - slope</t>
        </is>
      </c>
      <c r="C16" s="19" t="inlineStr">
        <is>
          <t xml:space="preserve">mA/%</t>
        </is>
      </c>
      <c r="D16" s="48">
        <f>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</f>
        <v/>
      </c>
    </row>
    <row r="17" spans="1:14" x14ac:dyDescent="0.2">
      <c r="A17" s="17" t="inlineStr">
        <is>
          <t xml:space="preserve">Value in use - intercept</t>
        </is>
      </c>
      <c r="C17" s="19" t="inlineStr">
        <is>
          <t xml:space="preserve">mA</t>
        </is>
      </c>
      <c r="D17" s="48">
        <f>(SUMIFS(E8:E15,C8:C15,Summary!$D$2,G8:G15,"y")-((COUNTIFS(C8:C15,Summary!$D$2,G8:G15,"y")*SUMPRODUCT((C8:C15=Summary!$D$2)*(G8:G15="y")*D8:D15*E8:E15)-SUMIFS(D8:D15,C8:C15,Summary!$D$2,G8:G15,"y")*SUMIFS(E8:E15,C8:C15,Summary!$D$2,G8:G15,"y"))/(COUNTIFS(C8:C15,Summary!$D$2,G8:G15,"y")*SUMPRODUCT((C8:C15=Summary!$D$2)*(G8:G15="y")*D8:D15*D8:D15)-SUMIFS(D8:D15,C8:C15,Summary!$D$2,G8:G15,"y")*SUMIFS(D8:D15,C8:C15,Summary!$D$2,G8:G15,"y")))*SUMIFS(D8:D15,C8:C15,Summary!$D$2,G8:G15,"y"))/COUNTIFS(C8:C15,Summary!$D$2,G8:G15,"y")</f>
        <v/>
      </c>
    </row>
    <row r="20" spans="1:14" x14ac:dyDescent="0.2">
      <c r="A20" s="110" t="inlineStr">
        <is>
          <t xml:space="preserve">FARADAIC EFFICIENCY  (cathodic etaF, anodic etaF_OER)</t>
        </is>
      </c>
    </row>
    <row r="21" spans="1:14" x14ac:dyDescent="0.2">
      <c r="A21" s="51" t="inlineStr">
        <is>
          <t xml:space="preserve">Value in use: average of the included runs for the active reactor, taken separately for the H2 (cathode) and O2 (anode) electrodes.</t>
        </is>
      </c>
    </row>
    <row r="22" spans="1:14" x14ac:dyDescent="0.2">
      <c r="A22" s="109" t="inlineStr">
        <is>
          <t xml:space="preserve">Researcher</t>
        </is>
      </c>
      <c r="B22" s="109" t="inlineStr">
        <is>
          <t xml:space="preserve">Date</t>
        </is>
      </c>
      <c r="C22" s="109" t="inlineStr">
        <is>
          <t xml:space="preserve">Reactor</t>
        </is>
      </c>
      <c r="D22" s="109" t="inlineStr">
        <is>
          <t xml:space="preserve">Charge Q</t>
        </is>
      </c>
      <c r="E22" s="109" t="inlineStr">
        <is>
          <t xml:space="preserve">Gas volume</t>
        </is>
      </c>
      <c r="F22" s="109" t="inlineStr">
        <is>
          <t xml:space="preserve">Temp</t>
        </is>
      </c>
      <c r="G22" s="109" t="inlineStr">
        <is>
          <t xml:space="preserve">Pressure</t>
        </is>
      </c>
      <c r="H22" s="109" t="inlineStr">
        <is>
          <t xml:space="preserve">Electrode</t>
        </is>
      </c>
      <c r="I22" s="109" t="inlineStr">
        <is>
          <t xml:space="preserve">etaF (computed)</t>
        </is>
      </c>
      <c r="J22" s="109" t="inlineStr">
        <is>
          <t xml:space="preserve">Type (auto)</t>
        </is>
      </c>
      <c r="K22" s="109" t="inlineStr">
        <is>
          <t xml:space="preserve">Include?</t>
        </is>
      </c>
      <c r="L22" s="109" t="inlineStr">
        <is>
          <t xml:space="preserve">Notes</t>
        </is>
      </c>
    </row>
    <row r="23" spans="1:14" x14ac:dyDescent="0.2">
      <c r="A23" s="53"/>
      <c r="B23" s="124"/>
      <c r="C23" s="53"/>
      <c r="D23" s="124"/>
      <c r="E23" s="124"/>
      <c r="F23" s="124"/>
      <c r="G23" s="124"/>
      <c r="H23" s="124"/>
      <c r="I23" s="48">
        <f>IFERROR((G23*(E23/1000000)/(8.314*(F23+273.15)))/(D23/(IF(H23="H2",2,4)*96485)),"")</f>
        <v/>
      </c>
      <c r="J23" s="48">
        <f>IFERROR(VLOOKUP(C23,Geometry!$A$59:$B$80,2,FALSE),"")</f>
        <v/>
      </c>
      <c r="K23" s="53"/>
      <c r="L23" s="53"/>
    </row>
    <row r="24" spans="1:14" x14ac:dyDescent="0.2">
      <c r="A24" s="53"/>
      <c r="B24" s="124"/>
      <c r="C24" s="53"/>
      <c r="D24" s="124"/>
      <c r="E24" s="124"/>
      <c r="F24" s="124"/>
      <c r="G24" s="124"/>
      <c r="H24" s="124"/>
      <c r="I24" s="48">
        <f>IFERROR((G24*(E24/1000000)/(8.314*(F24+273.15)))/(D24/(IF(H24="H2",2,4)*96485)),"")</f>
        <v/>
      </c>
      <c r="J24" s="48">
        <f>IFERROR(VLOOKUP(C24,Geometry!$A$59:$B$80,2,FALSE),"")</f>
        <v/>
      </c>
      <c r="K24" s="53"/>
      <c r="L24" s="53"/>
    </row>
    <row r="25" spans="1:14" x14ac:dyDescent="0.2">
      <c r="A25" s="53"/>
      <c r="B25" s="124"/>
      <c r="C25" s="53"/>
      <c r="D25" s="124"/>
      <c r="E25" s="124"/>
      <c r="F25" s="124"/>
      <c r="G25" s="124"/>
      <c r="H25" s="124"/>
      <c r="I25" s="48">
        <f>IFERROR((G25*(E25/1000000)/(8.314*(F25+273.15)))/(D25/(IF(H25="H2",2,4)*96485)),"")</f>
        <v/>
      </c>
      <c r="J25" s="48">
        <f>IFERROR(VLOOKUP(C25,Geometry!$A$59:$B$80,2,FALSE),"")</f>
        <v/>
      </c>
      <c r="K25" s="53"/>
      <c r="L25" s="53"/>
    </row>
    <row r="26" spans="1:14" x14ac:dyDescent="0.2">
      <c r="A26" s="53"/>
      <c r="B26" s="124"/>
      <c r="C26" s="53"/>
      <c r="D26" s="124"/>
      <c r="E26" s="124"/>
      <c r="F26" s="124"/>
      <c r="G26" s="124"/>
      <c r="H26" s="124"/>
      <c r="I26" s="48">
        <f>IFERROR((G26*(E26/1000000)/(8.314*(F26+273.15)))/(D26/(IF(H26="H2",2,4)*96485)),"")</f>
        <v/>
      </c>
      <c r="J26" s="48">
        <f>IFERROR(VLOOKUP(C26,Geometry!$A$59:$B$80,2,FALSE),"")</f>
        <v/>
      </c>
      <c r="K26" s="53"/>
      <c r="L26" s="53"/>
    </row>
    <row r="27" spans="1:14" x14ac:dyDescent="0.2">
      <c r="A27" s="53"/>
      <c r="B27" s="124"/>
      <c r="C27" s="53"/>
      <c r="D27" s="124"/>
      <c r="E27" s="124"/>
      <c r="F27" s="124"/>
      <c r="G27" s="124"/>
      <c r="H27" s="124"/>
      <c r="I27" s="48">
        <f>IFERROR((G27*(E27/1000000)/(8.314*(F27+273.15)))/(D27/(IF(H27="H2",2,4)*96485)),"")</f>
        <v/>
      </c>
      <c r="J27" s="48">
        <f>IFERROR(VLOOKUP(C27,Geometry!$A$59:$B$80,2,FALSE),"")</f>
        <v/>
      </c>
      <c r="K27" s="53"/>
      <c r="L27" s="53"/>
    </row>
    <row r="28" spans="1:14" x14ac:dyDescent="0.2">
      <c r="A28" s="53"/>
      <c r="B28" s="124"/>
      <c r="C28" s="53"/>
      <c r="D28" s="124"/>
      <c r="E28" s="124"/>
      <c r="F28" s="124"/>
      <c r="G28" s="124"/>
      <c r="H28" s="124"/>
      <c r="I28" s="48">
        <f>IFERROR((G28*(E28/1000000)/(8.314*(F28+273.15)))/(D28/(IF(H28="H2",2,4)*96485)),"")</f>
        <v/>
      </c>
      <c r="J28" s="48">
        <f>IFERROR(VLOOKUP(C28,Geometry!$A$59:$B$80,2,FALSE),"")</f>
        <v/>
      </c>
      <c r="K28" s="53"/>
      <c r="L28" s="53"/>
    </row>
    <row r="29" spans="1:14" x14ac:dyDescent="0.2">
      <c r="A29" s="53"/>
      <c r="B29" s="124"/>
      <c r="C29" s="53"/>
      <c r="D29" s="124"/>
      <c r="E29" s="124"/>
      <c r="F29" s="124"/>
      <c r="G29" s="124"/>
      <c r="H29" s="124"/>
      <c r="I29" s="48">
        <f>IFERROR((G29*(E29/1000000)/(8.314*(F29+273.15)))/(D29/(IF(H29="H2",2,4)*96485)),"")</f>
        <v/>
      </c>
      <c r="J29" s="48">
        <f>IFERROR(VLOOKUP(C29,Geometry!$A$59:$B$80,2,FALSE),"")</f>
        <v/>
      </c>
      <c r="K29" s="53"/>
      <c r="L29" s="53"/>
    </row>
    <row r="30" spans="1:14" x14ac:dyDescent="0.2">
      <c r="A30" s="53"/>
      <c r="B30" s="124"/>
      <c r="C30" s="53"/>
      <c r="D30" s="124"/>
      <c r="E30" s="124"/>
      <c r="F30" s="124"/>
      <c r="G30" s="124"/>
      <c r="H30" s="124"/>
      <c r="I30" s="48">
        <f>IFERROR((G30*(E30/1000000)/(8.314*(F30+273.15)))/(D30/(IF(H30="H2",2,4)*96485)),"")</f>
        <v/>
      </c>
      <c r="J30" s="48">
        <f>IFERROR(VLOOKUP(C30,Geometry!$A$59:$B$80,2,FALSE),"")</f>
        <v/>
      </c>
      <c r="K30" s="53"/>
      <c r="L30" s="53"/>
    </row>
    <row r="31" spans="1:14" x14ac:dyDescent="0.2">
      <c r="A31" s="17" t="inlineStr">
        <is>
          <t xml:space="preserve">Value in use - cathode (H2)</t>
        </is>
      </c>
      <c r="C31" s="19" t="inlineStr">
        <is>
          <t xml:space="preserve">-</t>
        </is>
      </c>
      <c r="D31" s="48">
        <f>AVERAGEIFS(I23:I30,C23:C30,Summary!$D$2,K23:K30,"y",H23:H30,"H2")</f>
        <v/>
      </c>
    </row>
    <row r="32" spans="1:14" x14ac:dyDescent="0.2">
      <c r="A32" s="17" t="inlineStr">
        <is>
          <t xml:space="preserve">Value in use - anode (O2)</t>
        </is>
      </c>
      <c r="C32" s="19" t="inlineStr">
        <is>
          <t xml:space="preserve">-</t>
        </is>
      </c>
      <c r="D32" s="48">
        <f>AVERAGEIFS(I23:I30,C23:C30,Summary!$D$2,K23:K30,"y",H23:H30,"O2")</f>
        <v/>
      </c>
    </row>
    <row r="35" spans="1:14" x14ac:dyDescent="0.2">
      <c r="A35" s="110" t="inlineStr">
        <is>
          <t xml:space="preserve">SURFACE kLa  (oxygen surface transfer)</t>
        </is>
      </c>
    </row>
    <row r="36" spans="1:14" x14ac:dyDescent="0.2">
      <c r="A36" s="51" t="inlineStr">
        <is>
          <t xml:space="preserve">Value in use: average of the included kLa runs for the active reactor.</t>
        </is>
      </c>
    </row>
    <row r="37" spans="1:14" x14ac:dyDescent="0.2">
      <c r="A37" s="109" t="inlineStr">
        <is>
          <t xml:space="preserve">Researcher</t>
        </is>
      </c>
      <c r="B37" s="109" t="inlineStr">
        <is>
          <t xml:space="preserve">Date</t>
        </is>
      </c>
      <c r="C37" s="109" t="inlineStr">
        <is>
          <t xml:space="preserve">Reactor</t>
        </is>
      </c>
      <c r="D37" s="109" t="inlineStr">
        <is>
          <t xml:space="preserve">kLa</t>
        </is>
      </c>
      <c r="E37" s="109" t="inlineStr">
        <is>
          <t xml:space="preserve">Type (auto)</t>
        </is>
      </c>
      <c r="F37" s="109" t="inlineStr">
        <is>
          <t xml:space="preserve">Include?</t>
        </is>
      </c>
      <c r="G37" s="109" t="inlineStr">
        <is>
          <t xml:space="preserve">Notes</t>
        </is>
      </c>
    </row>
    <row r="38" spans="1:14" x14ac:dyDescent="0.2">
      <c r="A38" s="53"/>
      <c r="B38" s="124"/>
      <c r="C38" s="53"/>
      <c r="D38" s="124"/>
      <c r="E38" s="48">
        <f>IFERROR(VLOOKUP(C38,Geometry!$A$59:$B$80,2,FALSE),"")</f>
        <v/>
      </c>
      <c r="F38" s="53"/>
      <c r="G38" s="53"/>
    </row>
    <row r="39" spans="1:14" x14ac:dyDescent="0.2">
      <c r="A39" s="53"/>
      <c r="B39" s="124"/>
      <c r="C39" s="53"/>
      <c r="D39" s="124"/>
      <c r="E39" s="48">
        <f>IFERROR(VLOOKUP(C39,Geometry!$A$59:$B$80,2,FALSE),"")</f>
        <v/>
      </c>
      <c r="F39" s="53"/>
      <c r="G39" s="53"/>
    </row>
    <row r="40" spans="1:14" x14ac:dyDescent="0.2">
      <c r="A40" s="53"/>
      <c r="B40" s="124"/>
      <c r="C40" s="53"/>
      <c r="D40" s="124"/>
      <c r="E40" s="48">
        <f>IFERROR(VLOOKUP(C40,Geometry!$A$59:$B$80,2,FALSE),"")</f>
        <v/>
      </c>
      <c r="F40" s="53"/>
      <c r="G40" s="53"/>
    </row>
    <row r="41" spans="1:14" x14ac:dyDescent="0.2">
      <c r="A41" s="53"/>
      <c r="B41" s="124"/>
      <c r="C41" s="53"/>
      <c r="D41" s="124"/>
      <c r="E41" s="48">
        <f>IFERROR(VLOOKUP(C41,Geometry!$A$59:$B$80,2,FALSE),"")</f>
        <v/>
      </c>
      <c r="F41" s="53"/>
      <c r="G41" s="53"/>
    </row>
    <row r="42" spans="1:14" x14ac:dyDescent="0.2">
      <c r="A42" s="53"/>
      <c r="B42" s="124"/>
      <c r="C42" s="53"/>
      <c r="D42" s="124"/>
      <c r="E42" s="48">
        <f>IFERROR(VLOOKUP(C42,Geometry!$A$59:$B$80,2,FALSE),"")</f>
        <v/>
      </c>
      <c r="F42" s="53"/>
      <c r="G42" s="53"/>
    </row>
    <row r="43" spans="1:14" x14ac:dyDescent="0.2">
      <c r="A43" s="53"/>
      <c r="B43" s="124"/>
      <c r="C43" s="53"/>
      <c r="D43" s="124"/>
      <c r="E43" s="48">
        <f>IFERROR(VLOOKUP(C43,Geometry!$A$59:$B$80,2,FALSE),"")</f>
        <v/>
      </c>
      <c r="F43" s="53"/>
      <c r="G43" s="53"/>
    </row>
    <row r="44" spans="1:14" x14ac:dyDescent="0.2">
      <c r="A44" s="53"/>
      <c r="B44" s="124"/>
      <c r="C44" s="53"/>
      <c r="D44" s="124"/>
      <c r="E44" s="48">
        <f>IFERROR(VLOOKUP(C44,Geometry!$A$59:$B$80,2,FALSE),"")</f>
        <v/>
      </c>
      <c r="F44" s="53"/>
      <c r="G44" s="53"/>
    </row>
    <row r="45" spans="1:14" x14ac:dyDescent="0.2">
      <c r="A45" s="53"/>
      <c r="B45" s="124"/>
      <c r="C45" s="53"/>
      <c r="D45" s="124"/>
      <c r="E45" s="48">
        <f>IFERROR(VLOOKUP(C45,Geometry!$A$59:$B$80,2,FALSE),"")</f>
        <v/>
      </c>
      <c r="F45" s="53"/>
      <c r="G45" s="53"/>
    </row>
    <row r="46" spans="1:14" x14ac:dyDescent="0.2">
      <c r="A46" s="17" t="inlineStr">
        <is>
          <t xml:space="preserve">Value in use - kLa</t>
        </is>
      </c>
      <c r="C46" s="19" t="inlineStr">
        <is>
          <t xml:space="preserve">1/s</t>
        </is>
      </c>
      <c r="D46" s="48">
        <f>AVERAGEIFS(D38:D45,C38:C45,Summary!$D$2,F38:F45,"y")</f>
        <v/>
      </c>
    </row>
    <row r="49" spans="1:14" x14ac:dyDescent="0.2">
      <c r="A49" s="110" t="inlineStr">
        <is>
          <t xml:space="preserve">CO2 FLOW  (dosing flow rate)</t>
        </is>
      </c>
    </row>
    <row r="50" spans="1:14" x14ac:dyDescent="0.2">
      <c r="A50" s="51" t="inlineStr">
        <is>
          <t xml:space="preserve">Value in use: the most recent included measurement for the active reactor (a flow rate is a valve/hardware setting, so the latest reading replaces older ones).</t>
        </is>
      </c>
    </row>
    <row r="51" spans="1:14" x14ac:dyDescent="0.2">
      <c r="A51" s="109" t="inlineStr">
        <is>
          <t xml:space="preserve">Researcher</t>
        </is>
      </c>
      <c r="B51" s="109" t="inlineStr">
        <is>
          <t xml:space="preserve">Date</t>
        </is>
      </c>
      <c r="C51" s="109" t="inlineStr">
        <is>
          <t xml:space="preserve">Reactor</t>
        </is>
      </c>
      <c r="D51" s="109" t="inlineStr">
        <is>
          <t xml:space="preserve">CO2 volume</t>
        </is>
      </c>
      <c r="E51" s="109" t="inlineStr">
        <is>
          <t xml:space="preserve">Time</t>
        </is>
      </c>
      <c r="F51" s="109" t="inlineStr">
        <is>
          <t xml:space="preserve">Flow (computed)</t>
        </is>
      </c>
      <c r="G51" s="109" t="inlineStr">
        <is>
          <t xml:space="preserve">Type (auto)</t>
        </is>
      </c>
      <c r="H51" s="109" t="inlineStr">
        <is>
          <t xml:space="preserve">Include?</t>
        </is>
      </c>
      <c r="I51" s="109" t="inlineStr">
        <is>
          <t xml:space="preserve">Notes</t>
        </is>
      </c>
    </row>
    <row r="52" spans="1:14" x14ac:dyDescent="0.2">
      <c r="A52" s="53"/>
      <c r="B52" s="124"/>
      <c r="C52" s="53"/>
      <c r="D52" s="124"/>
      <c r="E52" s="124"/>
      <c r="F52" s="48">
        <f>IFERROR(D52/E52,"")</f>
        <v/>
      </c>
      <c r="G52" s="48">
        <f>IFERROR(VLOOKUP(C52,Geometry!$A$59:$B$80,2,FALSE),"")</f>
        <v/>
      </c>
      <c r="H52" s="53"/>
      <c r="I52" s="53"/>
    </row>
    <row r="53" spans="1:14" x14ac:dyDescent="0.2">
      <c r="A53" s="53"/>
      <c r="B53" s="124"/>
      <c r="C53" s="53"/>
      <c r="D53" s="124"/>
      <c r="E53" s="124"/>
      <c r="F53" s="48">
        <f>IFERROR(D53/E53,"")</f>
        <v/>
      </c>
      <c r="G53" s="48">
        <f>IFERROR(VLOOKUP(C53,Geometry!$A$59:$B$80,2,FALSE),"")</f>
        <v/>
      </c>
      <c r="H53" s="53"/>
      <c r="I53" s="53"/>
    </row>
    <row r="54" spans="1:14" x14ac:dyDescent="0.2">
      <c r="A54" s="53"/>
      <c r="B54" s="124"/>
      <c r="C54" s="53"/>
      <c r="D54" s="124"/>
      <c r="E54" s="124"/>
      <c r="F54" s="48">
        <f>IFERROR(D54/E54,"")</f>
        <v/>
      </c>
      <c r="G54" s="48">
        <f>IFERROR(VLOOKUP(C54,Geometry!$A$59:$B$80,2,FALSE),"")</f>
        <v/>
      </c>
      <c r="H54" s="53"/>
      <c r="I54" s="53"/>
    </row>
    <row r="55" spans="1:14" x14ac:dyDescent="0.2">
      <c r="A55" s="53"/>
      <c r="B55" s="124"/>
      <c r="C55" s="53"/>
      <c r="D55" s="124"/>
      <c r="E55" s="124"/>
      <c r="F55" s="48">
        <f>IFERROR(D55/E55,"")</f>
        <v/>
      </c>
      <c r="G55" s="48">
        <f>IFERROR(VLOOKUP(C55,Geometry!$A$59:$B$80,2,FALSE),"")</f>
        <v/>
      </c>
      <c r="H55" s="53"/>
      <c r="I55" s="53"/>
    </row>
    <row r="56" spans="1:14" x14ac:dyDescent="0.2">
      <c r="A56" s="53"/>
      <c r="B56" s="124"/>
      <c r="C56" s="53"/>
      <c r="D56" s="124"/>
      <c r="E56" s="124"/>
      <c r="F56" s="48">
        <f>IFERROR(D56/E56,"")</f>
        <v/>
      </c>
      <c r="G56" s="48">
        <f>IFERROR(VLOOKUP(C56,Geometry!$A$59:$B$80,2,FALSE),"")</f>
        <v/>
      </c>
      <c r="H56" s="53"/>
      <c r="I56" s="53"/>
    </row>
    <row r="57" spans="1:14" x14ac:dyDescent="0.2">
      <c r="A57" s="53"/>
      <c r="B57" s="124"/>
      <c r="C57" s="53"/>
      <c r="D57" s="124"/>
      <c r="E57" s="124"/>
      <c r="F57" s="48">
        <f>IFERROR(D57/E57,"")</f>
        <v/>
      </c>
      <c r="G57" s="48">
        <f>IFERROR(VLOOKUP(C57,Geometry!$A$59:$B$80,2,FALSE),"")</f>
        <v/>
      </c>
      <c r="H57" s="53"/>
      <c r="I57" s="53"/>
    </row>
    <row r="58" spans="1:14" x14ac:dyDescent="0.2">
      <c r="A58" s="53"/>
      <c r="B58" s="124"/>
      <c r="C58" s="53"/>
      <c r="D58" s="124"/>
      <c r="E58" s="124"/>
      <c r="F58" s="48">
        <f>IFERROR(D58/E58,"")</f>
        <v/>
      </c>
      <c r="G58" s="48">
        <f>IFERROR(VLOOKUP(C58,Geometry!$A$59:$B$80,2,FALSE),"")</f>
        <v/>
      </c>
      <c r="H58" s="53"/>
      <c r="I58" s="53"/>
    </row>
    <row r="59" spans="1:14" x14ac:dyDescent="0.2">
      <c r="A59" s="53"/>
      <c r="B59" s="124"/>
      <c r="C59" s="53"/>
      <c r="D59" s="124"/>
      <c r="E59" s="124"/>
      <c r="F59" s="48">
        <f>IFERROR(D59/E59,"")</f>
        <v/>
      </c>
      <c r="G59" s="48">
        <f>IFERROR(VLOOKUP(C59,Geometry!$A$59:$B$80,2,FALSE),"")</f>
        <v/>
      </c>
      <c r="H59" s="53"/>
      <c r="I59" s="53"/>
    </row>
    <row r="60" spans="1:14" x14ac:dyDescent="0.2">
      <c r="A60" s="17" t="inlineStr">
        <is>
          <t xml:space="preserve">Value in use - flow rate</t>
        </is>
      </c>
      <c r="C60" s="19" t="inlineStr">
        <is>
          <t xml:space="preserve">mL/s</t>
        </is>
      </c>
      <c r="D60" s="48">
        <f>AVERAGEIFS(F52:F59,C52:C59,Summary!$D$2,H52:H59,"y",B52:B59,MAXIFS(B52:B59,C52:C59,Summary!$D$2,H52:H59,"y"))</f>
        <v/>
      </c>
    </row>
    <row r="63" spans="1:14" x14ac:dyDescent="0.2">
      <c r="A63" s="110" t="inlineStr">
        <is>
          <t xml:space="preserve">VIAL GEOMETRY  (true volume &amp; bore depth)</t>
        </is>
      </c>
    </row>
    <row r="64" spans="1:14" x14ac:dyDescent="0.2">
      <c r="A64" s="51" t="inlineStr">
        <is>
          <t xml:space="preserve">Value in use: average across included vials of the active reactor type (all vials of a type are nominally identical, so averaging improves the estimate).</t>
        </is>
      </c>
    </row>
    <row r="65" spans="1:14" x14ac:dyDescent="0.2">
      <c r="A65" s="109" t="inlineStr">
        <is>
          <t xml:space="preserve">Researcher</t>
        </is>
      </c>
      <c r="B65" s="109" t="inlineStr">
        <is>
          <t xml:space="preserve">Date</t>
        </is>
      </c>
      <c r="C65" s="109" t="inlineStr">
        <is>
          <t xml:space="preserve">Reactor</t>
        </is>
      </c>
      <c r="D65" s="109" t="inlineStr">
        <is>
          <t xml:space="preserve">Headspace mass</t>
        </is>
      </c>
      <c r="E65" s="109" t="inlineStr">
        <is>
          <t xml:space="preserve">Body mass</t>
        </is>
      </c>
      <c r="F65" s="109" t="inlineStr">
        <is>
          <t xml:space="preserve">Temp</t>
        </is>
      </c>
      <c r="G65" s="109" t="inlineStr">
        <is>
          <t xml:space="preserve">V total (computed)</t>
        </is>
      </c>
      <c r="H65" s="109" t="inlineStr">
        <is>
          <t xml:space="preserve">Bore depth (computed)</t>
        </is>
      </c>
      <c r="I65" s="109" t="inlineStr">
        <is>
          <t xml:space="preserve">Type (auto)</t>
        </is>
      </c>
      <c r="J65" s="109" t="inlineStr">
        <is>
          <t xml:space="preserve">Include?</t>
        </is>
      </c>
      <c r="K65" s="109" t="inlineStr">
        <is>
          <t xml:space="preserve">Notes</t>
        </is>
      </c>
    </row>
    <row r="66" spans="1:14" x14ac:dyDescent="0.2">
      <c r="A66" s="53"/>
      <c r="B66" s="124"/>
      <c r="C66" s="53"/>
      <c r="D66" s="124"/>
      <c r="E66" s="124"/>
      <c r="F66" s="124"/>
      <c r="G66" s="48">
        <f>IFERROR(E66/(0.99705-0.00028*(F66-25)),"")</f>
        <v/>
      </c>
      <c r="H66" s="48">
        <f>IFERROR((E66/(0.99705-0.00028*(F66-25)))*1000/Geometry!$D$21,"")</f>
        <v/>
      </c>
      <c r="I66" s="48">
        <f>IFERROR(VLOOKUP(C66,Geometry!$A$59:$B$80,2,FALSE),"")</f>
        <v/>
      </c>
      <c r="J66" s="53"/>
      <c r="K66" s="53"/>
    </row>
    <row r="67" spans="1:14" x14ac:dyDescent="0.2">
      <c r="A67" s="53"/>
      <c r="B67" s="124"/>
      <c r="C67" s="53"/>
      <c r="D67" s="124"/>
      <c r="E67" s="124"/>
      <c r="F67" s="124"/>
      <c r="G67" s="48">
        <f>IFERROR(E67/(0.99705-0.00028*(F67-25)),"")</f>
        <v/>
      </c>
      <c r="H67" s="48">
        <f>IFERROR((E67/(0.99705-0.00028*(F67-25)))*1000/Geometry!$D$21,"")</f>
        <v/>
      </c>
      <c r="I67" s="48">
        <f>IFERROR(VLOOKUP(C67,Geometry!$A$59:$B$80,2,FALSE),"")</f>
        <v/>
      </c>
      <c r="J67" s="53"/>
      <c r="K67" s="53"/>
    </row>
    <row r="68" spans="1:14" x14ac:dyDescent="0.2">
      <c r="A68" s="53"/>
      <c r="B68" s="124"/>
      <c r="C68" s="53"/>
      <c r="D68" s="124"/>
      <c r="E68" s="124"/>
      <c r="F68" s="124"/>
      <c r="G68" s="48">
        <f>IFERROR(E68/(0.99705-0.00028*(F68-25)),"")</f>
        <v/>
      </c>
      <c r="H68" s="48">
        <f>IFERROR((E68/(0.99705-0.00028*(F68-25)))*1000/Geometry!$D$21,"")</f>
        <v/>
      </c>
      <c r="I68" s="48">
        <f>IFERROR(VLOOKUP(C68,Geometry!$A$59:$B$80,2,FALSE),"")</f>
        <v/>
      </c>
      <c r="J68" s="53"/>
      <c r="K68" s="53"/>
    </row>
    <row r="69" spans="1:14" x14ac:dyDescent="0.2">
      <c r="A69" s="53"/>
      <c r="B69" s="124"/>
      <c r="C69" s="53"/>
      <c r="D69" s="124"/>
      <c r="E69" s="124"/>
      <c r="F69" s="124"/>
      <c r="G69" s="48">
        <f>IFERROR(E69/(0.99705-0.00028*(F69-25)),"")</f>
        <v/>
      </c>
      <c r="H69" s="48">
        <f>IFERROR((E69/(0.99705-0.00028*(F69-25)))*1000/Geometry!$D$21,"")</f>
        <v/>
      </c>
      <c r="I69" s="48">
        <f>IFERROR(VLOOKUP(C69,Geometry!$A$59:$B$80,2,FALSE),"")</f>
        <v/>
      </c>
      <c r="J69" s="53"/>
      <c r="K69" s="53"/>
    </row>
    <row r="70" spans="1:14" x14ac:dyDescent="0.2">
      <c r="A70" s="53"/>
      <c r="B70" s="124"/>
      <c r="C70" s="53"/>
      <c r="D70" s="124"/>
      <c r="E70" s="124"/>
      <c r="F70" s="124"/>
      <c r="G70" s="48">
        <f>IFERROR(E70/(0.99705-0.00028*(F70-25)),"")</f>
        <v/>
      </c>
      <c r="H70" s="48">
        <f>IFERROR((E70/(0.99705-0.00028*(F70-25)))*1000/Geometry!$D$21,"")</f>
        <v/>
      </c>
      <c r="I70" s="48">
        <f>IFERROR(VLOOKUP(C70,Geometry!$A$59:$B$80,2,FALSE),"")</f>
        <v/>
      </c>
      <c r="J70" s="53"/>
      <c r="K70" s="53"/>
    </row>
    <row r="71" spans="1:14" x14ac:dyDescent="0.2">
      <c r="A71" s="53"/>
      <c r="B71" s="124"/>
      <c r="C71" s="53"/>
      <c r="D71" s="124"/>
      <c r="E71" s="124"/>
      <c r="F71" s="124"/>
      <c r="G71" s="48">
        <f>IFERROR(E71/(0.99705-0.00028*(F71-25)),"")</f>
        <v/>
      </c>
      <c r="H71" s="48">
        <f>IFERROR((E71/(0.99705-0.00028*(F71-25)))*1000/Geometry!$D$21,"")</f>
        <v/>
      </c>
      <c r="I71" s="48">
        <f>IFERROR(VLOOKUP(C71,Geometry!$A$59:$B$80,2,FALSE),"")</f>
        <v/>
      </c>
      <c r="J71" s="53"/>
      <c r="K71" s="53"/>
    </row>
    <row r="72" spans="1:14" x14ac:dyDescent="0.2">
      <c r="A72" s="53"/>
      <c r="B72" s="124"/>
      <c r="C72" s="53"/>
      <c r="D72" s="124"/>
      <c r="E72" s="124"/>
      <c r="F72" s="124"/>
      <c r="G72" s="48">
        <f>IFERROR(E72/(0.99705-0.00028*(F72-25)),"")</f>
        <v/>
      </c>
      <c r="H72" s="48">
        <f>IFERROR((E72/(0.99705-0.00028*(F72-25)))*1000/Geometry!$D$21,"")</f>
        <v/>
      </c>
      <c r="I72" s="48">
        <f>IFERROR(VLOOKUP(C72,Geometry!$A$59:$B$80,2,FALSE),"")</f>
        <v/>
      </c>
      <c r="J72" s="53"/>
      <c r="K72" s="53"/>
    </row>
    <row r="73" spans="1:14" x14ac:dyDescent="0.2">
      <c r="A73" s="53"/>
      <c r="B73" s="124"/>
      <c r="C73" s="53"/>
      <c r="D73" s="124"/>
      <c r="E73" s="124"/>
      <c r="F73" s="124"/>
      <c r="G73" s="48">
        <f>IFERROR(E73/(0.99705-0.00028*(F73-25)),"")</f>
        <v/>
      </c>
      <c r="H73" s="48">
        <f>IFERROR((E73/(0.99705-0.00028*(F73-25)))*1000/Geometry!$D$21,"")</f>
        <v/>
      </c>
      <c r="I73" s="48">
        <f>IFERROR(VLOOKUP(C73,Geometry!$A$59:$B$80,2,FALSE),"")</f>
        <v/>
      </c>
      <c r="J73" s="53"/>
      <c r="K73" s="53"/>
    </row>
    <row r="74" spans="1:14" x14ac:dyDescent="0.2">
      <c r="A74" s="17" t="inlineStr">
        <is>
          <t xml:space="preserve">Value in use - total vial volume</t>
        </is>
      </c>
      <c r="C74" s="19" t="inlineStr">
        <is>
          <t xml:space="preserve">mL</t>
        </is>
      </c>
      <c r="D74" s="48">
        <f>AVERAGEIFS(G66:G73,I66:I73,Geometry!$D$51,J66:J73,"y")</f>
        <v/>
      </c>
    </row>
    <row r="75" spans="1:14" x14ac:dyDescent="0.2">
      <c r="A75" s="17" t="inlineStr">
        <is>
          <t xml:space="preserve">Value in use - usable depth</t>
        </is>
      </c>
      <c r="C75" s="19" t="inlineStr">
        <is>
          <t xml:space="preserve">mm</t>
        </is>
      </c>
      <c r="D75" s="48">
        <f>AVERAGEIFS(H66:H73,I66:I73,Geometry!$D$51,J66:J73,"y")</f>
        <v/>
      </c>
    </row>
    <row r="78" spans="1:14" x14ac:dyDescent="0.2">
      <c r="A78" s="110" t="inlineStr">
        <is>
          <t xml:space="preserve">SINTER POROSITY  (sparger frit grade)</t>
        </is>
      </c>
    </row>
    <row r="79" spans="1:14" x14ac:dyDescent="0.2">
      <c r="A79" s="51" t="inlineStr">
        <is>
          <t xml:space="preserve">Value in use: the most recent included measurement for the active reactor (the fitted frit is hardware, so the latest reading replaces older ones).</t>
        </is>
      </c>
    </row>
    <row r="80" spans="1:14" x14ac:dyDescent="0.2">
      <c r="A80" s="109" t="inlineStr">
        <is>
          <t xml:space="preserve">Researcher</t>
        </is>
      </c>
      <c r="B80" s="109" t="inlineStr">
        <is>
          <t xml:space="preserve">Date</t>
        </is>
      </c>
      <c r="C80" s="109" t="inlineStr">
        <is>
          <t xml:space="preserve">Reactor</t>
        </is>
      </c>
      <c r="D80" s="109" t="inlineStr">
        <is>
          <t xml:space="preserve">Bubble-point</t>
        </is>
      </c>
      <c r="E80" s="109" t="inlineStr">
        <is>
          <t xml:space="preserve">Grade (computed)</t>
        </is>
      </c>
      <c r="F80" s="109" t="inlineStr">
        <is>
          <t xml:space="preserve">Type (auto)</t>
        </is>
      </c>
      <c r="G80" s="109" t="inlineStr">
        <is>
          <t xml:space="preserve">Include?</t>
        </is>
      </c>
      <c r="H80" s="109" t="inlineStr">
        <is>
          <t xml:space="preserve">Notes</t>
        </is>
      </c>
    </row>
    <row r="81" spans="1:14" x14ac:dyDescent="0.2">
      <c r="A81" s="53"/>
      <c r="B81" s="124"/>
      <c r="C81" s="53"/>
      <c r="D81" s="124"/>
      <c r="E81" s="48">
        <f>IFERROR(IF((291.2/D81)&gt;160,0,IF((291.2/D81)&gt;100,1,IF((291.2/D81)&gt;40,2,IF((291.2/D81)&gt;16,3,IF((291.2/D81)&gt;10,4,5))))),"")</f>
        <v/>
      </c>
      <c r="F81" s="48">
        <f>IFERROR(VLOOKUP(C81,Geometry!$A$59:$B$80,2,FALSE),"")</f>
        <v/>
      </c>
      <c r="G81" s="53"/>
      <c r="H81" s="53"/>
    </row>
    <row r="82" spans="1:14" x14ac:dyDescent="0.2">
      <c r="A82" s="53"/>
      <c r="B82" s="124"/>
      <c r="C82" s="53"/>
      <c r="D82" s="124"/>
      <c r="E82" s="48">
        <f>IFERROR(IF((291.2/D82)&gt;160,0,IF((291.2/D82)&gt;100,1,IF((291.2/D82)&gt;40,2,IF((291.2/D82)&gt;16,3,IF((291.2/D82)&gt;10,4,5))))),"")</f>
        <v/>
      </c>
      <c r="F82" s="48">
        <f>IFERROR(VLOOKUP(C82,Geometry!$A$59:$B$80,2,FALSE),"")</f>
        <v/>
      </c>
      <c r="G82" s="53"/>
      <c r="H82" s="53"/>
    </row>
    <row r="83" spans="1:14" x14ac:dyDescent="0.2">
      <c r="A83" s="53"/>
      <c r="B83" s="124"/>
      <c r="C83" s="53"/>
      <c r="D83" s="124"/>
      <c r="E83" s="48">
        <f>IFERROR(IF((291.2/D83)&gt;160,0,IF((291.2/D83)&gt;100,1,IF((291.2/D83)&gt;40,2,IF((291.2/D83)&gt;16,3,IF((291.2/D83)&gt;10,4,5))))),"")</f>
        <v/>
      </c>
      <c r="F83" s="48">
        <f>IFERROR(VLOOKUP(C83,Geometry!$A$59:$B$80,2,FALSE),"")</f>
        <v/>
      </c>
      <c r="G83" s="53"/>
      <c r="H83" s="53"/>
    </row>
    <row r="84" spans="1:14" x14ac:dyDescent="0.2">
      <c r="A84" s="53"/>
      <c r="B84" s="124"/>
      <c r="C84" s="53"/>
      <c r="D84" s="124"/>
      <c r="E84" s="48">
        <f>IFERROR(IF((291.2/D84)&gt;160,0,IF((291.2/D84)&gt;100,1,IF((291.2/D84)&gt;40,2,IF((291.2/D84)&gt;16,3,IF((291.2/D84)&gt;10,4,5))))),"")</f>
        <v/>
      </c>
      <c r="F84" s="48">
        <f>IFERROR(VLOOKUP(C84,Geometry!$A$59:$B$80,2,FALSE),"")</f>
        <v/>
      </c>
      <c r="G84" s="53"/>
      <c r="H84" s="53"/>
    </row>
    <row r="85" spans="1:14" x14ac:dyDescent="0.2">
      <c r="A85" s="53"/>
      <c r="B85" s="124"/>
      <c r="C85" s="53"/>
      <c r="D85" s="124"/>
      <c r="E85" s="48">
        <f>IFERROR(IF((291.2/D85)&gt;160,0,IF((291.2/D85)&gt;100,1,IF((291.2/D85)&gt;40,2,IF((291.2/D85)&gt;16,3,IF((291.2/D85)&gt;10,4,5))))),"")</f>
        <v/>
      </c>
      <c r="F85" s="48">
        <f>IFERROR(VLOOKUP(C85,Geometry!$A$59:$B$80,2,FALSE),"")</f>
        <v/>
      </c>
      <c r="G85" s="53"/>
      <c r="H85" s="53"/>
    </row>
    <row r="86" spans="1:14" x14ac:dyDescent="0.2">
      <c r="A86" s="53"/>
      <c r="B86" s="124"/>
      <c r="C86" s="53"/>
      <c r="D86" s="124"/>
      <c r="E86" s="48">
        <f>IFERROR(IF((291.2/D86)&gt;160,0,IF((291.2/D86)&gt;100,1,IF((291.2/D86)&gt;40,2,IF((291.2/D86)&gt;16,3,IF((291.2/D86)&gt;10,4,5))))),"")</f>
        <v/>
      </c>
      <c r="F86" s="48">
        <f>IFERROR(VLOOKUP(C86,Geometry!$A$59:$B$80,2,FALSE),"")</f>
        <v/>
      </c>
      <c r="G86" s="53"/>
      <c r="H86" s="53"/>
    </row>
    <row r="87" spans="1:14" x14ac:dyDescent="0.2">
      <c r="A87" s="53"/>
      <c r="B87" s="124"/>
      <c r="C87" s="53"/>
      <c r="D87" s="124"/>
      <c r="E87" s="48">
        <f>IFERROR(IF((291.2/D87)&gt;160,0,IF((291.2/D87)&gt;100,1,IF((291.2/D87)&gt;40,2,IF((291.2/D87)&gt;16,3,IF((291.2/D87)&gt;10,4,5))))),"")</f>
        <v/>
      </c>
      <c r="F87" s="48">
        <f>IFERROR(VLOOKUP(C87,Geometry!$A$59:$B$80,2,FALSE),"")</f>
        <v/>
      </c>
      <c r="G87" s="53"/>
      <c r="H87" s="53"/>
    </row>
    <row r="88" spans="1:14" x14ac:dyDescent="0.2">
      <c r="A88" s="53"/>
      <c r="B88" s="124"/>
      <c r="C88" s="53"/>
      <c r="D88" s="124"/>
      <c r="E88" s="48">
        <f>IFERROR(IF((291.2/D88)&gt;160,0,IF((291.2/D88)&gt;100,1,IF((291.2/D88)&gt;40,2,IF((291.2/D88)&gt;16,3,IF((291.2/D88)&gt;10,4,5))))),"")</f>
        <v/>
      </c>
      <c r="F88" s="48">
        <f>IFERROR(VLOOKUP(C88,Geometry!$A$59:$B$80,2,FALSE),"")</f>
        <v/>
      </c>
      <c r="G88" s="53"/>
      <c r="H88" s="53"/>
    </row>
    <row r="89" spans="1:14" x14ac:dyDescent="0.2">
      <c r="A89" s="17" t="inlineStr">
        <is>
          <t xml:space="preserve">Value in use - porosity grade</t>
        </is>
      </c>
      <c r="C89" s="19" t="inlineStr">
        <is>
          <t xml:space="preserve">0-5</t>
        </is>
      </c>
      <c r="D89" s="48">
        <f>AVERAGEIFS(E81:E88,C81:C88,Summary!$D$2,G81:G88,"y",B81:B88,MAXIFS(B81:B88,C81:C88,Summary!$D$2,G81:G88,"y"))</f>
        <v/>
      </c>
    </row>
    <row r="92" spans="1:14" x14ac:dyDescent="0.2">
      <c r="A92" s="110" t="inlineStr">
        <is>
          <t xml:space="preserve">DISSOLVED-OXYGEN THRESHOLDS  (per organism)</t>
        </is>
      </c>
    </row>
    <row r="93" spans="1:14" x14ac:dyDescent="0.2">
      <c r="A93" s="51" t="inlineStr">
        <is>
          <t xml:space="preserve">Value in use: average of the included values for the active organism.</t>
        </is>
      </c>
    </row>
    <row r="94" spans="1:14" x14ac:dyDescent="0.2">
      <c r="A94" s="109" t="inlineStr">
        <is>
          <t xml:space="preserve">Researcher</t>
        </is>
      </c>
      <c r="B94" s="109" t="inlineStr">
        <is>
          <t xml:space="preserve">Date</t>
        </is>
      </c>
      <c r="C94" s="109" t="inlineStr">
        <is>
          <t xml:space="preserve">Organism</t>
        </is>
      </c>
      <c r="D94" s="109" t="inlineStr">
        <is>
          <t xml:space="preserve">Min DO</t>
        </is>
      </c>
      <c r="E94" s="109" t="inlineStr">
        <is>
          <t xml:space="preserve">Optimum DO</t>
        </is>
      </c>
      <c r="F94" s="109" t="inlineStr">
        <is>
          <t xml:space="preserve">Impairment DO</t>
        </is>
      </c>
      <c r="G94" s="109" t="inlineStr">
        <is>
          <t xml:space="preserve">Toxic DO</t>
        </is>
      </c>
      <c r="H94" s="109" t="inlineStr">
        <is>
          <t xml:space="preserve">Include?</t>
        </is>
      </c>
      <c r="I94" s="109" t="inlineStr">
        <is>
          <t xml:space="preserve">Notes</t>
        </is>
      </c>
    </row>
    <row r="95" spans="1:14" x14ac:dyDescent="0.2">
      <c r="A95" s="53"/>
      <c r="B95" s="124"/>
      <c r="C95" s="53"/>
      <c r="D95" s="124"/>
      <c r="E95" s="124"/>
      <c r="F95" s="124"/>
      <c r="G95" s="124"/>
      <c r="H95" s="53"/>
      <c r="I95" s="53"/>
    </row>
    <row r="96" spans="1:14" x14ac:dyDescent="0.2">
      <c r="A96" s="53"/>
      <c r="B96" s="124"/>
      <c r="C96" s="53"/>
      <c r="D96" s="124"/>
      <c r="E96" s="124"/>
      <c r="F96" s="124"/>
      <c r="G96" s="124"/>
      <c r="H96" s="53"/>
      <c r="I96" s="53"/>
    </row>
    <row r="97" spans="1:14" x14ac:dyDescent="0.2">
      <c r="A97" s="53"/>
      <c r="B97" s="124"/>
      <c r="C97" s="53"/>
      <c r="D97" s="124"/>
      <c r="E97" s="124"/>
      <c r="F97" s="124"/>
      <c r="G97" s="124"/>
      <c r="H97" s="53"/>
      <c r="I97" s="53"/>
    </row>
    <row r="98" spans="1:14" x14ac:dyDescent="0.2">
      <c r="A98" s="53"/>
      <c r="B98" s="124"/>
      <c r="C98" s="53"/>
      <c r="D98" s="124"/>
      <c r="E98" s="124"/>
      <c r="F98" s="124"/>
      <c r="G98" s="124"/>
      <c r="H98" s="53"/>
      <c r="I98" s="53"/>
    </row>
    <row r="99" spans="1:14" x14ac:dyDescent="0.2">
      <c r="A99" s="53"/>
      <c r="B99" s="124"/>
      <c r="C99" s="53"/>
      <c r="D99" s="124"/>
      <c r="E99" s="124"/>
      <c r="F99" s="124"/>
      <c r="G99" s="124"/>
      <c r="H99" s="53"/>
      <c r="I99" s="53"/>
    </row>
    <row r="100" spans="1:14" x14ac:dyDescent="0.2">
      <c r="A100" s="53"/>
      <c r="B100" s="124"/>
      <c r="C100" s="53"/>
      <c r="D100" s="124"/>
      <c r="E100" s="124"/>
      <c r="F100" s="124"/>
      <c r="G100" s="124"/>
      <c r="H100" s="53"/>
      <c r="I100" s="53"/>
    </row>
    <row r="101" spans="1:14" x14ac:dyDescent="0.2">
      <c r="A101" s="53"/>
      <c r="B101" s="124"/>
      <c r="C101" s="53"/>
      <c r="D101" s="124"/>
      <c r="E101" s="124"/>
      <c r="F101" s="124"/>
      <c r="G101" s="124"/>
      <c r="H101" s="53"/>
      <c r="I101" s="53"/>
    </row>
    <row r="102" spans="1:14" x14ac:dyDescent="0.2">
      <c r="A102" s="53"/>
      <c r="B102" s="124"/>
      <c r="C102" s="53"/>
      <c r="D102" s="124"/>
      <c r="E102" s="124"/>
      <c r="F102" s="124"/>
      <c r="G102" s="124"/>
      <c r="H102" s="53"/>
      <c r="I102" s="53"/>
    </row>
    <row r="103" spans="1:14" x14ac:dyDescent="0.2">
      <c r="A103" s="17" t="inlineStr">
        <is>
          <t xml:space="preserve">Value in use - minimum DO</t>
        </is>
      </c>
      <c r="C103" s="19" t="inlineStr">
        <is>
          <t xml:space="preserve">mg/L</t>
        </is>
      </c>
      <c r="D103" s="48">
        <f>AVERAGEIFS(D95:D102,C95:C102,Summary!$D$4,H95:H102,"y")</f>
        <v/>
      </c>
    </row>
    <row r="104" spans="1:14" x14ac:dyDescent="0.2">
      <c r="A104" s="17" t="inlineStr">
        <is>
          <t xml:space="preserve">Value in use - optimum DO</t>
        </is>
      </c>
      <c r="C104" s="19" t="inlineStr">
        <is>
          <t xml:space="preserve">mg/L</t>
        </is>
      </c>
      <c r="D104" s="48">
        <f>AVERAGEIFS(E95:E102,C95:C102,Summary!$D$4,H95:H102,"y")</f>
        <v/>
      </c>
    </row>
    <row r="105" spans="1:14" x14ac:dyDescent="0.2">
      <c r="A105" s="17" t="inlineStr">
        <is>
          <t xml:space="preserve">Value in use - impairment DO</t>
        </is>
      </c>
      <c r="C105" s="19" t="inlineStr">
        <is>
          <t xml:space="preserve">mg/L</t>
        </is>
      </c>
      <c r="D105" s="48">
        <f>AVERAGEIFS(F95:F102,C95:C102,Summary!$D$4,H95:H102,"y")</f>
        <v/>
      </c>
    </row>
    <row r="106" spans="1:14" x14ac:dyDescent="0.2">
      <c r="A106" s="17" t="inlineStr">
        <is>
          <t xml:space="preserve">Value in use - toxic DO</t>
        </is>
      </c>
      <c r="C106" s="19" t="inlineStr">
        <is>
          <t xml:space="preserve">mg/L</t>
        </is>
      </c>
      <c r="D106" s="48">
        <f>AVERAGEIFS(G95:G102,C95:C102,Summary!$D$4,H95:H102,"y")</f>
        <v/>
      </c>
    </row>
    <row r="109" spans="1:14" x14ac:dyDescent="0.2">
      <c r="A109" s="110" t="inlineStr">
        <is>
          <t xml:space="preserve">KNALLGAS UPTAKE RATIO  (per organism)</t>
        </is>
      </c>
    </row>
    <row r="110" spans="1:14" x14ac:dyDescent="0.2">
      <c r="A110" s="51" t="inlineStr">
        <is>
          <t xml:space="preserve">Value in use: average of the included ratios for the active organism.</t>
        </is>
      </c>
    </row>
    <row r="111" spans="1:14" x14ac:dyDescent="0.2">
      <c r="A111" s="109" t="inlineStr">
        <is>
          <t xml:space="preserve">Researcher</t>
        </is>
      </c>
      <c r="B111" s="109" t="inlineStr">
        <is>
          <t xml:space="preserve">Date</t>
        </is>
      </c>
      <c r="C111" s="109" t="inlineStr">
        <is>
          <t xml:space="preserve">Organism</t>
        </is>
      </c>
      <c r="D111" s="109" t="inlineStr">
        <is>
          <t xml:space="preserve">H2</t>
        </is>
      </c>
      <c r="E111" s="109" t="inlineStr">
        <is>
          <t xml:space="preserve">O2</t>
        </is>
      </c>
      <c r="F111" s="109" t="inlineStr">
        <is>
          <t xml:space="preserve">CO2</t>
        </is>
      </c>
      <c r="G111" s="109" t="inlineStr">
        <is>
          <t xml:space="preserve">Include?</t>
        </is>
      </c>
      <c r="H111" s="109" t="inlineStr">
        <is>
          <t xml:space="preserve">Notes</t>
        </is>
      </c>
    </row>
    <row r="112" spans="1:14" x14ac:dyDescent="0.2">
      <c r="A112" s="53"/>
      <c r="B112" s="124"/>
      <c r="C112" s="53"/>
      <c r="D112" s="124"/>
      <c r="E112" s="124"/>
      <c r="F112" s="124"/>
      <c r="G112" s="53"/>
      <c r="H112" s="53"/>
    </row>
    <row r="113" spans="1:14" x14ac:dyDescent="0.2">
      <c r="A113" s="53"/>
      <c r="B113" s="124"/>
      <c r="C113" s="53"/>
      <c r="D113" s="124"/>
      <c r="E113" s="124"/>
      <c r="F113" s="124"/>
      <c r="G113" s="53"/>
      <c r="H113" s="53"/>
    </row>
    <row r="114" spans="1:14" x14ac:dyDescent="0.2">
      <c r="A114" s="53"/>
      <c r="B114" s="124"/>
      <c r="C114" s="53"/>
      <c r="D114" s="124"/>
      <c r="E114" s="124"/>
      <c r="F114" s="124"/>
      <c r="G114" s="53"/>
      <c r="H114" s="53"/>
    </row>
    <row r="115" spans="1:14" x14ac:dyDescent="0.2">
      <c r="A115" s="53"/>
      <c r="B115" s="124"/>
      <c r="C115" s="53"/>
      <c r="D115" s="124"/>
      <c r="E115" s="124"/>
      <c r="F115" s="124"/>
      <c r="G115" s="53"/>
      <c r="H115" s="53"/>
    </row>
    <row r="116" spans="1:14" x14ac:dyDescent="0.2">
      <c r="A116" s="53"/>
      <c r="B116" s="124"/>
      <c r="C116" s="53"/>
      <c r="D116" s="124"/>
      <c r="E116" s="124"/>
      <c r="F116" s="124"/>
      <c r="G116" s="53"/>
      <c r="H116" s="53"/>
    </row>
    <row r="117" spans="1:14" x14ac:dyDescent="0.2">
      <c r="A117" s="53"/>
      <c r="B117" s="124"/>
      <c r="C117" s="53"/>
      <c r="D117" s="124"/>
      <c r="E117" s="124"/>
      <c r="F117" s="124"/>
      <c r="G117" s="53"/>
      <c r="H117" s="53"/>
    </row>
    <row r="118" spans="1:14" x14ac:dyDescent="0.2">
      <c r="A118" s="53"/>
      <c r="B118" s="124"/>
      <c r="C118" s="53"/>
      <c r="D118" s="124"/>
      <c r="E118" s="124"/>
      <c r="F118" s="124"/>
      <c r="G118" s="53"/>
      <c r="H118" s="53"/>
    </row>
    <row r="119" spans="1:14" x14ac:dyDescent="0.2">
      <c r="A119" s="53"/>
      <c r="B119" s="124"/>
      <c r="C119" s="53"/>
      <c r="D119" s="124"/>
      <c r="E119" s="124"/>
      <c r="F119" s="124"/>
      <c r="G119" s="53"/>
      <c r="H119" s="53"/>
    </row>
    <row r="120" spans="1:14" x14ac:dyDescent="0.2">
      <c r="A120" s="17" t="inlineStr">
        <is>
          <t xml:space="preserve">Value in use - H2</t>
        </is>
      </c>
      <c r="C120" s="19" t="inlineStr">
        <is>
          <t xml:space="preserve">parts</t>
        </is>
      </c>
      <c r="D120" s="48">
        <f>AVERAGEIFS(D112:D119,C112:C119,Summary!$D$4,G112:G119,"y")</f>
        <v/>
      </c>
    </row>
    <row r="121" spans="1:14" x14ac:dyDescent="0.2">
      <c r="A121" s="17" t="inlineStr">
        <is>
          <t xml:space="preserve">Value in use - O2</t>
        </is>
      </c>
      <c r="C121" s="19" t="inlineStr">
        <is>
          <t xml:space="preserve">parts</t>
        </is>
      </c>
      <c r="D121" s="48">
        <f>AVERAGEIFS(E112:E119,C112:C119,Summary!$D$4,G112:G119,"y")</f>
        <v/>
      </c>
    </row>
    <row r="122" spans="1:14" x14ac:dyDescent="0.2">
      <c r="A122" s="17" t="inlineStr">
        <is>
          <t xml:space="preserve">Value in use - CO2</t>
        </is>
      </c>
      <c r="C122" s="19" t="inlineStr">
        <is>
          <t xml:space="preserve">parts</t>
        </is>
      </c>
      <c r="D122" s="48">
        <f>AVERAGEIFS(F112:F119,C112:C119,Summary!$D$4,G112:G119,"y")</f>
        <v/>
      </c>
    </row>
    <row r="125" spans="1:14" x14ac:dyDescent="0.2">
      <c r="A125" s="110" t="inlineStr">
        <is>
          <t xml:space="preserve">CURRENT-DENSITY TOLERANCE  (per organism)</t>
        </is>
      </c>
    </row>
    <row r="126" spans="1:14" x14ac:dyDescent="0.2">
      <c r="A126" s="51" t="inlineStr">
        <is>
          <t xml:space="preserve">Value in use: average of the included screen results for the active organism.</t>
        </is>
      </c>
    </row>
    <row r="127" spans="1:14" x14ac:dyDescent="0.2">
      <c r="A127" s="109" t="inlineStr">
        <is>
          <t xml:space="preserve">Researcher</t>
        </is>
      </c>
      <c r="B127" s="109" t="inlineStr">
        <is>
          <t xml:space="preserve">Date</t>
        </is>
      </c>
      <c r="C127" s="109" t="inlineStr">
        <is>
          <t xml:space="preserve">Organism</t>
        </is>
      </c>
      <c r="D127" s="109" t="inlineStr">
        <is>
          <t xml:space="preserve">j optimum</t>
        </is>
      </c>
      <c r="E127" s="109" t="inlineStr">
        <is>
          <t xml:space="preserve">j ceiling</t>
        </is>
      </c>
      <c r="F127" s="109" t="inlineStr">
        <is>
          <t xml:space="preserve">Include?</t>
        </is>
      </c>
      <c r="G127" s="109" t="inlineStr">
        <is>
          <t xml:space="preserve">Notes</t>
        </is>
      </c>
    </row>
    <row r="128" spans="1:14" x14ac:dyDescent="0.2">
      <c r="A128" s="53"/>
      <c r="B128" s="124"/>
      <c r="C128" s="53"/>
      <c r="D128" s="124"/>
      <c r="E128" s="124"/>
      <c r="F128" s="53"/>
      <c r="G128" s="53"/>
    </row>
    <row r="129" spans="1:14" x14ac:dyDescent="0.2">
      <c r="A129" s="53"/>
      <c r="B129" s="124"/>
      <c r="C129" s="53"/>
      <c r="D129" s="124"/>
      <c r="E129" s="124"/>
      <c r="F129" s="53"/>
      <c r="G129" s="53"/>
    </row>
    <row r="130" spans="1:14" x14ac:dyDescent="0.2">
      <c r="A130" s="53"/>
      <c r="B130" s="124"/>
      <c r="C130" s="53"/>
      <c r="D130" s="124"/>
      <c r="E130" s="124"/>
      <c r="F130" s="53"/>
      <c r="G130" s="53"/>
    </row>
    <row r="131" spans="1:14" x14ac:dyDescent="0.2">
      <c r="A131" s="53"/>
      <c r="B131" s="124"/>
      <c r="C131" s="53"/>
      <c r="D131" s="124"/>
      <c r="E131" s="124"/>
      <c r="F131" s="53"/>
      <c r="G131" s="53"/>
    </row>
    <row r="132" spans="1:14" x14ac:dyDescent="0.2">
      <c r="A132" s="53"/>
      <c r="B132" s="124"/>
      <c r="C132" s="53"/>
      <c r="D132" s="124"/>
      <c r="E132" s="124"/>
      <c r="F132" s="53"/>
      <c r="G132" s="53"/>
    </row>
    <row r="133" spans="1:14" x14ac:dyDescent="0.2">
      <c r="A133" s="53"/>
      <c r="B133" s="124"/>
      <c r="C133" s="53"/>
      <c r="D133" s="124"/>
      <c r="E133" s="124"/>
      <c r="F133" s="53"/>
      <c r="G133" s="53"/>
    </row>
    <row r="134" spans="1:14" x14ac:dyDescent="0.2">
      <c r="A134" s="53"/>
      <c r="B134" s="124"/>
      <c r="C134" s="53"/>
      <c r="D134" s="124"/>
      <c r="E134" s="124"/>
      <c r="F134" s="53"/>
      <c r="G134" s="53"/>
    </row>
    <row r="135" spans="1:14" x14ac:dyDescent="0.2">
      <c r="A135" s="53"/>
      <c r="B135" s="124"/>
      <c r="C135" s="53"/>
      <c r="D135" s="124"/>
      <c r="E135" s="124"/>
      <c r="F135" s="53"/>
      <c r="G135" s="53"/>
    </row>
    <row r="136" spans="1:14" x14ac:dyDescent="0.2">
      <c r="A136" s="17" t="inlineStr">
        <is>
          <t xml:space="preserve">Value in use - optimum j</t>
        </is>
      </c>
      <c r="C136" s="19" t="inlineStr">
        <is>
          <t xml:space="preserve">mA/cm²</t>
        </is>
      </c>
      <c r="D136" s="48">
        <f>AVERAGEIFS(D128:D135,C128:C135,Summary!$D$4,F128:F135,"y")</f>
        <v/>
      </c>
    </row>
    <row r="137" spans="1:14" x14ac:dyDescent="0.2">
      <c r="A137" s="17" t="inlineStr">
        <is>
          <t xml:space="preserve">Value in use - ceiling j</t>
        </is>
      </c>
      <c r="C137" s="19" t="inlineStr">
        <is>
          <t xml:space="preserve">mA/cm²</t>
        </is>
      </c>
      <c r="D137" s="48">
        <f>AVERAGEIFS(E128:E135,C128:C135,Summary!$D$4,F128:F135,"y")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402</vt:i4>
      </vt:variant>
    </vt:vector>
  </HeadingPairs>
  <TitlesOfParts>
    <vt:vector size="410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Calibrations</vt:lpstr>
      <vt:lpstr>Chemistry!A_anode</vt:lpstr>
      <vt:lpstr>Electrochemistry!A_anode_wet</vt:lpstr>
      <vt:lpstr>Electrochemistry!A_cath_wet</vt:lpstr>
      <vt:lpstr>'Mass Transfer'!a_int</vt:lpstr>
      <vt:lpstr>'Mass Transfer'!a_surf</vt:lpstr>
      <vt:lpstr>Geometry!A_x</vt:lpstr>
      <vt:lpstr>'Mass Transfer'!A_x</vt:lpstr>
      <vt:lpstr>Electrochemistry!anode_dia</vt:lpstr>
      <vt:lpstr>Electrochemistry!anode_j_cont</vt:lpstr>
      <vt:lpstr>Electrochemistry!anode_j_max</vt:lpstr>
      <vt:lpstr>Electrochemistry!anode_material</vt:lpstr>
      <vt:lpstr>Electrochemistry!anode_shape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Chemistry!C_eff_hi</vt:lpstr>
      <vt:lpstr>Chemistry!C_eff_lo</vt:lpstr>
      <vt:lpstr>Biology!C_H2_sat</vt:lpstr>
      <vt:lpstr>'Mass Transfer'!C_sat_CO2</vt:lpstr>
      <vt:lpstr>'Mass Transfer'!Ca_CO2</vt:lpstr>
      <vt:lpstr>'Mass Transfer'!cal_warning</vt:lpstr>
      <vt:lpstr>'Mass Transfer'!carbon_margin_min</vt:lpstr>
      <vt:lpstr>'Mass Transfer'!carry_flag</vt:lpstr>
      <vt:lpstr>Electrochemistry!cath_j_cont</vt:lpstr>
      <vt:lpstr>Electrochemistry!cath_j_max</vt:lpstr>
      <vt:lpstr>Electrochemistry!cathode_dia</vt:lpstr>
      <vt:lpstr>Electrochemistry!cathode_shape</vt:lpstr>
      <vt:lpstr>'Mass Transfer'!Cb_CO2</vt:lpstr>
      <vt:lpstr>Chemistry!Cl_kill</vt:lpstr>
      <vt:lpstr>Chemistry!Cl_mc02</vt:lpstr>
      <vt:lpstr>Chemistry!Cl_onset</vt:lpstr>
      <vt:lpstr>Chemistry!Cl_pool_mgL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Chemistry!corr_I_frac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Electrochemistry!I_max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Electrochemistry!j_anode</vt:lpstr>
      <vt:lpstr>Electrochemistry!j_anode_max</vt:lpstr>
      <vt:lpstr>Electrochemistry!j_bio_flag</vt:lpstr>
      <vt:lpstr>Electrochemistry!j_cath_flag</vt:lpstr>
      <vt:lpstr>Electrochemistry!j_cathode</vt:lpstr>
      <vt:lpstr>Electrochemistry!j_ceiling_default</vt:lpstr>
      <vt:lpstr>Electrochemistry!j_ceiling_strain</vt:lpstr>
      <vt:lpstr>Electrochemistry!j_flag</vt:lpstr>
      <vt:lpstr>Electrochemistry!j_flag_max</vt:lpstr>
      <vt:lpstr>Electrochemistry!j_mat_flag</vt:lpstr>
      <vt:lpstr>Electrochemistry!j_opt_default</vt:lpstr>
      <vt:lpstr>Electrochemistry!j_opt_strain</vt:lpstr>
      <vt:lpstr>Electrochemistry!j_strain_conf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Electrochemistry!L_sub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Chemistry!metal_flag</vt:lpstr>
      <vt:lpstr>Chemistry!metal_leach_rate</vt:lpstr>
      <vt:lpstr>Chemistry!metal_MW</vt:lpstr>
      <vt:lpstr>Chemistry!metal_tox_thresh</vt:lpstr>
      <vt:lpstr>Chemistry!metal_z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Chemistry!n_e_Cl</vt:lpstr>
      <vt:lpstr>'Mass Transfer'!n_hs_gas</vt:lpstr>
      <vt:lpstr>'Mass Transfer'!n_pores_active</vt:lpstr>
      <vt:lpstr>'Mass Transfer'!nCO2_rate</vt:lpstr>
      <vt:lpstr>Chemistry!NH2Cl_hi</vt:lpstr>
      <vt:lpstr>Chemistry!NH2Cl_lo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Electrochemistry!power_max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Chemistry!R_chloramine_hi</vt:lpstr>
      <vt:lpstr>Chemistry!R_chloramine_lo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Chemistry!tau_NH2Cl_hi</vt:lpstr>
      <vt:lpstr>Chemistry!tau_NH2Cl_lo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2026-07-02T06:26:49Z</dcterms:modified>
  <dc:language>en-US</dc:language>
</cp:coreProperties>
</file>