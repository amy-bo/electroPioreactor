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 name="O2_net_su_max" localSheetId="2">Electrochemistry!$D$174</definedName>
    <definedName name="rH2_su_max" localSheetId="2">Electrochemistry!$D$175</definedName>
    <definedName name="O2_net_su_mt" localSheetId="5">'Mass Transfer'!$D$570</definedName>
    <definedName name="rH2_su_mt" localSheetId="5">'Mass Transfer'!$D$571</definedName>
    <definedName name="O2_src_su" localSheetId="5">'Mass Transfer'!$D$572</definedName>
    <definedName name="H2_src_su" localSheetId="5">'Mass Transfer'!$D$573</definedName>
    <definedName name="S_O2_su" localSheetId="5">'Mass Transfer'!$D$574</definedName>
    <definedName name="F_gap_su" localSheetId="5">'Mass Transfer'!$D$575</definedName>
    <definedName name="DO_surf_excess_su" localSheetId="5">'Mass Transfer'!$D$576</definedName>
    <definedName name="H2_LFL_mt" localSheetId="5">'Mass Transfer'!$D$577</definedName>
    <definedName name="O2_LOC_lim_mt" localSheetId="5">'Mass Transfer'!$D$578</definedName>
    <definedName name="t_gap_H2_su" localSheetId="5">'Mass Transfer'!$D$579</definedName>
    <definedName name="t_gap_O2_su" localSheetId="5">'Mass Transfer'!$D$580</definedName>
    <definedName name="spg_int_H2safe_su" localSheetId="5">'Mass Transfer'!$D$581</definedName>
    <definedName name="spg_int_H2safe_su_opt" localSheetId="5">'Mass Transfer'!$D$582</definedName>
    <definedName name="spg_int_max_su" localSheetId="5">'Mass Transfer'!$D$583</definedName>
    <definedName name="res_spg_int_pH" localSheetId="0">Summary!$D$30</definedName>
    <definedName name="res_duty_ratio" localSheetId="0">Summary!$D$32</definedName>
    <definedName name="chk_DO_pH" localSheetId="0">Summary!$D$52</definedName>
    <definedName name="chk_hs_sag" localSheetId="0">Summary!$D$53</definedName>
    <definedName name="chk_hs_sag_ok" localSheetId="0">Summary!$D$54</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<sst xmlns="http://schemas.openxmlformats.org/spreadsheetml/2006/main" count="3953" uniqueCount="2838">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</sst>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4" t="str">
        <f>HYPERLINK("#'Mass Transfer'!D121","→ Mass Transfer")</f>
        <v>→ Mass Transfer</v>
      </c>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7.07</v>
      </c>
      <c r="E21" s="24" t="str">
        <f>HYPERLINK("#'Mass Transfer'!D122","→ Mass Transfer")</f>
        <v>→ Mass Transfer</v>
      </c>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6.487161438894</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2.275287892306</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B30" s="19" t="inlineStr">
        <is>
          <t xml:space="preserve">res_spg_int_pH</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1.16</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is>
      </c>
    </row>
    <row r="32" x14ac:dyDescent="0.2">
      <c r="A32" s="64" t="s">
        <v>1788</v>
      </c>
      <c r="B32" s="19" t="inlineStr">
        <is>
          <t xml:space="preserve">res_duty_ratio</t>
        </is>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33" s="24" t="str">
        <f>HYPERLINK("#'Mass Transfer'!D556","→ Mass Transfer")</f>
        <v>→ Mass Transfer</v>
      </c>
      <c r="F33" s="22" t="inlineStr">
        <is>
          <t xml:space="preserve">The lag sawtooth at the start-up interval, on start-up sources that assume no cathodic O₂ loss (Mass Transfer D572) unless the schedule is sized on Lag;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x14ac:dyDescent="0.2" ht="32" customHeight="1">
      <c r="A52" s="64" t="s">
        <v>1827</v>
      </c>
      <c r="B52" s="19" t="inlineStr">
        <is>
          <t xml:space="preserve">chk_DO_pH</t>
        </is>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x14ac:dyDescent="0.2">
      <c r="A53" s="64" t="s">
        <v>1829</v>
      </c>
      <c r="B53" s="19" t="inlineStr">
        <is>
          <t xml:space="preserve">chk_hs_sag</t>
        </is>
      </c>
      <c r="C53" s="21" t="s">
        <v>111</v>
      </c>
      <c r="D53" s="65">
        <f>'Mass Transfer'!hs_sag</f>
        <v>0.05000728325</v>
      </c>
      <c r="E53" s="24" t="str">
        <f>HYPERLINK("#'Mass Transfer'!D389","→ Mass Transfer")</f>
        <v>→ Mass Transfer</v>
      </c>
      <c r="F53" s="22" t="s">
        <v>1830</v>
      </c>
    </row>
    <row r="54" x14ac:dyDescent="0.2" ht="32" customHeight="1">
      <c r="A54" s="64" t="s">
        <v>1831</v>
      </c>
      <c r="B54" s="19" t="inlineStr">
        <is>
          <t xml:space="preserve">chk_hs_sag_ok</t>
        </is>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c r="A61" s="64" t="s">
        <v>1805</v>
      </c>
      <c r="C61" s="21" t="s">
        <v>83</v>
      </c>
      <c r="D61" s="65">
        <f>'Mass Transfer'!DO_avg_l_mgL</f>
        <v>5.614717330178</v>
      </c>
      <c r="E61" s="24" t="str">
        <f>HYPERLINK("#'Mass Transfer'!D364","→ Mass Transfer")</f>
        <v>→ Mass Transfer</v>
      </c>
      <c r="F61" s="22"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inlineStr">
        <is>
          <t xml:space="preserve">Red = the growth-phase sawtooth peaks above the organism’s inhibition limit: its toxic DO when known, otherwise the 0.30 atm ceiling (Mass Transfer D565).</t>
        </is>
      </c>
    </row>
    <row r="64" spans="1:6" x14ac:dyDescent="0.2">
      <c r="A64" s="64" t="s">
        <v>1811</v>
      </c>
      <c r="D64" s="65" t="str">
        <f>'Mass Transfer'!DO_peak_chk_l</f>
        <v>peak 6.0 mg/L under the 10.1 mg/L ceiling</v>
      </c>
      <c r="E64" s="24" t="str">
        <f>HYPERLINK("#'Mass Transfer'!D369","→ Mass Transfer")</f>
        <v>→ Mass Transfer</v>
      </c>
      <c r="F64" s="22"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15.978886341621</v>
      </c>
      <c r="E67" s="24" t="str">
        <f>HYPERLINK("#'Mass Transfer'!D345","→ Mass Transfer")</f>
        <v>→ Mass Transfer</v>
      </c>
      <c r="F67" s="22" t="s">
        <v>1817</v>
      </c>
    </row>
    <row r="68" spans="1:6" x14ac:dyDescent="0.2">
      <c r="A68" s="64" t="s">
        <v>1818</v>
      </c>
      <c r="C68" s="21" t="s">
        <v>449</v>
      </c>
      <c r="D68" s="65">
        <f>'Mass Transfer'!kLa_surf_req_l*3600</f>
        <v>45.331424583836</v>
      </c>
      <c r="E68" s="24" t="str">
        <f>HYPERLINK("#'Mass Transfer'!D366","→ Mass Transfer")</f>
        <v>→ Mass Transfer</v>
      </c>
      <c r="F68" s="22"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c r="A72" s="64" t="s">
        <v>1825</v>
      </c>
      <c r="C72" s="21" t="s">
        <v>111</v>
      </c>
      <c r="D72" s="65">
        <f>'Mass Transfer'!y_CO2_mf</f>
        <v>0.940877306879</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509.521897908088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2.503892293977</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0.129751405739</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1.544530881222</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1.248916601067</v>
      </c>
      <c r="E101" s="24" t="str">
        <f>HYPERLINK("#Chemistry!D211","→ Chemistry")</f>
        <v>→ Chemistry</v>
      </c>
      <c r="F101" t="s">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c r="A103" t="s">
        <v>1668</v>
      </c>
      <c r="B103" s="19" t="s">
        <v>1785</v>
      </c>
      <c r="C103" s="20" t="s">
        <v>449</v>
      </c>
      <c r="D103" s="23">
        <f>'Mass Transfer'!kLa_surf_req*3600</f>
        <v>15.978886341621</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row r="174">
      <c r="A174" t="inlineStr">
        <is>
          <t xml:space="preserve">Upper bound on the lag O₂ source (no cathodic O₂ loss)</t>
        </is>
      </c>
      <c r="B174" s="19" t="inlineStr">
        <is>
          <t xml:space="preserve">O2_net_su_max</t>
        </is>
      </c>
      <c r="C174" s="20" t="inlineStr">
        <is>
          <t xml:space="preserve">mol/h</t>
        </is>
      </c>
      <c r="D174" s="111">
        <f>rO2_gen+IF(ISNUMBER(cal_etaF_OER),0,r_H2O2_an_g/2)</f>
        <v>5.307542491154e-05</v>
      </c>
      <c r="E174" s="51" t="inlineStr">
        <is>
          <t xml:space="preserve">O2_net_lag (D132) at zero cathodic O₂ reduction: no ORR, so no peroxide and the anode’s peroxide diversion (D170) returns to OER. D132 falls as the cathodic loss rises, so this is its ceiling at any lag DO. Sizes the start-up schedule, whose DO differs from DO_lag_ref (D129).</t>
        </is>
      </c>
    </row>
    <row r="175">
      <c r="A175" t="inlineStr">
        <is>
          <t xml:space="preserve">Upper bound on the lag H₂ evolution (no cathodic O₂ loss)</t>
        </is>
      </c>
      <c r="B175" s="19" t="inlineStr">
        <is>
          <t xml:space="preserve">rH2_su_max</t>
        </is>
      </c>
      <c r="C175" s="20" t="inlineStr">
        <is>
          <t xml:space="preserve">mol/h</t>
        </is>
      </c>
      <c r="D175" s="111">
        <f>I_app/(z_e_H2*F_const)*3600</f>
        <v>0.0001061508498231</v>
      </c>
      <c r="E175" s="51" t="inlineStr">
        <is>
          <t xml:space="preserve">All cathodic current to H₂: the ceiling of rH2_lag (D133) at any lag DO.</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83"/>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IF(x_hs_g&gt;0,(1-EXP(-x_hs_g))/x_hs_g,1)</f>
        <v>0.979144642091</v>
      </c>
      <c r="E333" s="51" t="s">
        <v>2418</v>
      </c>
    </row>
    <row r="334" spans="1:5" x14ac:dyDescent="0.2">
      <c r="A334" s="18" t="s">
        <v>2419</v>
      </c>
      <c r="B334" s="19" t="s">
        <v>2420</v>
      </c>
      <c r="C334" s="20" t="s">
        <v>111</v>
      </c>
      <c r="D334" s="41">
        <f>IF(x_hs_g&gt;0,(x_hs_g-1+EXP(-x_hs_g))/x_hs_g^2,1/2)</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IF(x_hs_l&gt;0,(1-EXP(-x_hs_l))/x_hs_l,1)</f>
        <v>0.901102060357</v>
      </c>
      <c r="E355" s="51" t="s">
        <v>2418</v>
      </c>
    </row>
    <row r="356" spans="1:5" x14ac:dyDescent="0.2">
      <c r="A356" s="18" t="s">
        <v>2476</v>
      </c>
      <c r="B356" s="19" t="s">
        <v>2477</v>
      </c>
      <c r="C356" s="20" t="s">
        <v>111</v>
      </c>
      <c r="D356" s="41">
        <f>IF(x_hs_l&gt;0,(x_hs_l-1+EXP(-x_hs_l))/x_hs_l^2,1/2)</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IF(pool_x&gt;0,(1-EXP(-pool_x))/pool_x,1)</f>
        <v>0.996931131905</v>
      </c>
      <c r="E377" s="51" t="s">
        <v>2523</v>
      </c>
    </row>
    <row r="378" spans="1:5" x14ac:dyDescent="0.2">
      <c r="A378" s="18" t="s">
        <v>2524</v>
      </c>
      <c r="B378" s="19" t="s">
        <v>2525</v>
      </c>
      <c r="C378" s="20" t="s">
        <v>111</v>
      </c>
      <c r="D378" s="41">
        <f>IF(pool_x&gt;0,(pool_x-1+EXP(-pool_x))/pool_x^2,1/2)</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4.002941317124e-05</v>
      </c>
      <c r="M440" s="41">
        <f>EXP(-L440)</f>
        <v>0.999959971388</v>
      </c>
      <c r="N440" s="41">
        <f>IF(L440&gt;0,(1-M440)/L440,1)</f>
        <v>0.999979985559</v>
      </c>
      <c r="O440" s="41">
        <f>IF(L440&gt;0,(L440-1+M440)/L440^2,1/2)</f>
        <v>0.499993382275</v>
      </c>
      <c r="P440" s="41">
        <f>(C_air_CO2/C_sat_CO2*F_vent_ex-CO2_fix_l)*(B440/3600)/(V_L_CO2+Vg_CO2)</f>
        <v>9.231456803077e-08</v>
      </c>
      <c r="Q440" s="41">
        <f>(P440*N440+pool_b*M440)/(1-pool_ret*M440)</f>
        <v>28.043578177755</v>
      </c>
      <c r="R440" s="41">
        <f>MIN(C_sat_CO2,MAX(C_air_CO2,(pool_ret*Q440+pool_b)*N440+P440*O440))</f>
        <v>28.044139423039</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5.051547692092e-05</v>
      </c>
      <c r="M441" s="41">
        <f>EXP(-L441)</f>
        <v>0.999949485799</v>
      </c>
      <c r="N441" s="41">
        <f>IF(L441&gt;0,(1-M441)/L441,1)</f>
        <v>0.999974742688</v>
      </c>
      <c r="O441" s="41">
        <f>IF(L441&gt;0,(L441-1+M441)/L441^2,1/2)</f>
        <v>0.49999156326</v>
      </c>
      <c r="P441" s="41">
        <f>(C_air_CO2/C_sat_CO2*F_vent_ex-CO2_fix_l)*(B441/3600)/(V_L_CO2+Vg_CO2)</f>
        <v>1.164971969705e-07</v>
      </c>
      <c r="Q441" s="41">
        <f>(P441*N441+pool_b*M441)/(1-pool_ret*M441)</f>
        <v>28.040401958976</v>
      </c>
      <c r="R441" s="41">
        <f>MIN(C_sat_CO2,MAX(C_air_CO2,(pool_ret*Q441+pool_b)*N441+P441*O441))</f>
        <v>28.041110149814</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6.226054495309e-05</v>
      </c>
      <c r="M442" s="41">
        <f>EXP(-L442)</f>
        <v>0.999937741393</v>
      </c>
      <c r="N442" s="41">
        <f>IF(L442&gt;0,(1-M442)/L442,1)</f>
        <v>0.999968870373</v>
      </c>
      <c r="O442" s="41">
        <f>IF(L442&gt;0,(L442-1+M442)/L442^2,1/2)</f>
        <v>0.499989630114</v>
      </c>
      <c r="P442" s="41">
        <f>(C_air_CO2/C_sat_CO2*F_vent_ex-CO2_fix_l)*(B442/3600)/(V_L_CO2+Vg_CO2)</f>
        <v>1.435833018116e-07</v>
      </c>
      <c r="Q442" s="41">
        <f>(P442*N442+pool_b*M442)/(1-pool_ret*M442)</f>
        <v>28.036845203663</v>
      </c>
      <c r="R442" s="41">
        <f>MIN(C_sat_CO2,MAX(C_air_CO2,(pool_ret*Q442+pool_b)*N442+P442*O442))</f>
        <v>28.03771794459</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7.54157790212e-05</v>
      </c>
      <c r="M443" s="41">
        <f>EXP(-L443)</f>
        <v>0.999924587065</v>
      </c>
      <c r="N443" s="41">
        <f>IF(L443&gt;0,(1-M443)/L443,1)</f>
        <v>0.999962293059</v>
      </c>
      <c r="O443" s="41">
        <f>IF(L443&gt;0,(L443-1+M443)/L443^2,1/2)</f>
        <v>0.499987413568</v>
      </c>
      <c r="P443" s="41">
        <f>(C_air_CO2/C_sat_CO2*F_vent_ex-CO2_fix_l)*(B443/3600)/(V_L_CO2+Vg_CO2)</f>
        <v>1.739214870142e-07</v>
      </c>
      <c r="Q443" s="41">
        <f>(P443*N443+pool_b*M443)/(1-pool_ret*M443)</f>
        <v>28.032862429876</v>
      </c>
      <c r="R443" s="41">
        <f>MIN(C_sat_CO2,MAX(C_air_CO2,(pool_ret*Q443+pool_b)*N443+P443*O443))</f>
        <v>28.033919429582</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9.015049004312e-05</v>
      </c>
      <c r="M444" s="41">
        <f>EXP(-L444)</f>
        <v>0.999909853573</v>
      </c>
      <c r="N444" s="41">
        <f>IF(L444&gt;0,(1-M444)/L444,1)</f>
        <v>0.999954926109</v>
      </c>
      <c r="O444" s="41">
        <f>IF(L444&gt;0,(L444-1+M444)/L444^2,1/2)</f>
        <v>0.499984981139</v>
      </c>
      <c r="P444" s="41">
        <f>(C_air_CO2/C_sat_CO2*F_vent_ex-CO2_fix_l)*(B444/3600)/(V_L_CO2+Vg_CO2)</f>
        <v>2.079022120682e-07</v>
      </c>
      <c r="Q444" s="41">
        <f>(P444*N444+pool_b*M444)/(1-pool_ret*M444)</f>
        <v>28.028402747444</v>
      </c>
      <c r="R444" s="41">
        <f>MIN(C_sat_CO2,MAX(C_air_CO2,(pool_ret*Q444+pool_b)*N444+P444*O444))</f>
        <v>28.029666068564</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0.000106654317172</v>
      </c>
      <c r="M445" s="41">
        <f>EXP(-L445)</f>
        <v>0.99989335137</v>
      </c>
      <c r="N445" s="41">
        <f>IF(L445&gt;0,(1-M445)/L445,1)</f>
        <v>0.999946674737</v>
      </c>
      <c r="O445" s="41">
        <f>IF(L445&gt;0,(L445-1+M445)/L445^2,1/2)</f>
        <v>0.499982222515</v>
      </c>
      <c r="P445" s="41">
        <f>(C_air_CO2/C_sat_CO2*F_vent_ex-CO2_fix_l)*(B445/3600)/(V_L_CO2+Vg_CO2)</f>
        <v>2.459628167974e-07</v>
      </c>
      <c r="Q445" s="41">
        <f>(P445*N445+pool_b*M445)/(1-pool_ret*M445)</f>
        <v>28.023409221948</v>
      </c>
      <c r="R445" s="41">
        <f>MIN(C_sat_CO2,MAX(C_air_CO2,(pool_ret*Q445+pool_b)*N445+P445*O445))</f>
        <v>28.024903560881</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0.000125139668496</v>
      </c>
      <c r="M446" s="41">
        <f>EXP(-L446)</f>
        <v>0.999874868161</v>
      </c>
      <c r="N446" s="41">
        <f>IF(L446&gt;0,(1-M446)/L446,1)</f>
        <v>0.999937432776</v>
      </c>
      <c r="O446" s="41">
        <f>IF(L446&gt;0,(L446-1+M446)/L446^2,1/2)</f>
        <v>0.499979144048</v>
      </c>
      <c r="P446" s="41">
        <f>(C_air_CO2/C_sat_CO2*F_vent_ex-CO2_fix_l)*(B446/3600)/(V_L_CO2+Vg_CO2)</f>
        <v>2.885931500246e-07</v>
      </c>
      <c r="Q446" s="41">
        <f>(P446*N446+pool_b*M446)/(1-pool_ret*M446)</f>
        <v>28.017818165691</v>
      </c>
      <c r="R446" s="41">
        <f>MIN(C_sat_CO2,MAX(C_air_CO2,(pool_ret*Q446+pool_b)*N446+P446*O446))</f>
        <v>28.019571164762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0.0001458444547802</v>
      </c>
      <c r="M447" s="41">
        <f>EXP(-L447)</f>
        <v>0.99985416618</v>
      </c>
      <c r="N447" s="41">
        <f>IF(L447&gt;0,(1-M447)/L447,1)</f>
        <v>0.999927081317</v>
      </c>
      <c r="O447" s="41">
        <f>IF(L447&gt;0,(L447-1+M447)/L447^2,1/2)</f>
        <v>0.499975694232</v>
      </c>
      <c r="P447" s="41">
        <f>(C_air_CO2/C_sat_CO2*F_vent_ex-CO2_fix_l)*(B447/3600)/(V_L_CO2+Vg_CO2)</f>
        <v>3.363418740395e-07</v>
      </c>
      <c r="Q447" s="41">
        <f>(P447*N447+pool_b*M447)/(1-pool_ret*M447)</f>
        <v>28.011558347763</v>
      </c>
      <c r="R447" s="41">
        <f>MIN(C_sat_CO2,MAX(C_air_CO2,(pool_ret*Q447+pool_b)*N447+P447*O447))</f>
        <v>28.013600944114</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0.0001690351514328</v>
      </c>
      <c r="M448" s="41">
        <f>EXP(-L448)</f>
        <v>0.999830979134</v>
      </c>
      <c r="N448" s="41">
        <f>IF(L448&gt;0,(1-M448)/L448,1)</f>
        <v>0.999915487186</v>
      </c>
      <c r="O448" s="41">
        <f>IF(L448&gt;0,(L448-1+M448)/L448^2,1/2)</f>
        <v>0.499971831004</v>
      </c>
      <c r="P448" s="41">
        <f>(C_air_CO2/C_sat_CO2*F_vent_ex-CO2_fix_l)*(B448/3600)/(V_L_CO2+Vg_CO2)</f>
        <v>3.898235260103e-07</v>
      </c>
      <c r="Q448" s="41">
        <f>(P448*N448+pool_b*M448)/(1-pool_ret*M448)</f>
        <v>28.00455011452</v>
      </c>
      <c r="R448" s="41">
        <f>MIN(C_sat_CO2,MAX(C_air_CO2,(pool_ret*Q448+pool_b)*N448+P448*O448))</f>
        <v>28.006916929646</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0.000195010228106</v>
      </c>
      <c r="M449" s="41">
        <f>EXP(-L449)</f>
        <v>0.999805008785</v>
      </c>
      <c r="N449" s="41">
        <f>IF(L449&gt;0,(1-M449)/L449,1)</f>
        <v>0.999902501224</v>
      </c>
      <c r="O449" s="41">
        <f>IF(L449&gt;0,(L449-1+M449)/L449^2,1/2)</f>
        <v>0.49996750114</v>
      </c>
      <c r="P449" s="41">
        <f>(C_air_CO2/C_sat_CO2*F_vent_ex-CO2_fix_l)*(B449/3600)/(V_L_CO2+Vg_CO2)</f>
        <v>4.497264272194e-07</v>
      </c>
      <c r="Q449" s="41">
        <f>(P449*N449+pool_b*M449)/(1-pool_ret*M449)</f>
        <v>27.996704411059</v>
      </c>
      <c r="R449" s="41">
        <f>MIN(C_sat_CO2,MAX(C_air_CO2,(pool_ret*Q449+pool_b)*N449+P449*O449))</f>
        <v>27.999434185494</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0.0002241039900696</v>
      </c>
      <c r="M450" s="41">
        <f>EXP(-L450)</f>
        <v>0.999775921119</v>
      </c>
      <c r="N450" s="41">
        <f>IF(L450&gt;0,(1-M450)/L450,1)</f>
        <v>0.999887956375</v>
      </c>
      <c r="O450" s="41">
        <f>IF(L450&gt;0,(L450-1+M450)/L450^2,1/2)</f>
        <v>0.499962651212</v>
      </c>
      <c r="P450" s="41">
        <f>(C_air_CO2/C_sat_CO2*F_vent_ex-CO2_fix_l)*(B450/3600)/(V_L_CO2+Vg_CO2)</f>
        <v>5.168215419183e-07</v>
      </c>
      <c r="Q450" s="41">
        <f>(P450*N450+pool_b*M450)/(1-pool_ret*M450)</f>
        <v>27.987921693449</v>
      </c>
      <c r="R450" s="41">
        <f>MIN(C_sat_CO2,MAX(C_air_CO2,(pool_ret*Q450+pool_b)*N450+P450*O450))</f>
        <v>27.991057771765</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0.0002566908807971</v>
      </c>
      <c r="M451" s="41">
        <f>EXP(-L451)</f>
        <v>0.999743342061</v>
      </c>
      <c r="N451" s="41">
        <f>IF(L451&gt;0,(1-M451)/L451,1)</f>
        <v>0.999871665541</v>
      </c>
      <c r="O451" s="41">
        <f>IF(L451&gt;0,(L451-1+M451)/L451^2,1/2)</f>
        <v>0.499957221456</v>
      </c>
      <c r="P451" s="41">
        <f>(C_air_CO2/C_sat_CO2*F_vent_ex-CO2_fix_l)*(B451/3600)/(V_L_CO2+Vg_CO2)</f>
        <v>5.919723998166e-07</v>
      </c>
      <c r="Q451" s="41">
        <f>(P451*N451+pool_b*M451)/(1-pool_ret*M451)</f>
        <v>27.978090720656</v>
      </c>
      <c r="R451" s="41">
        <f>MIN(C_sat_CO2,MAX(C_air_CO2,(pool_ret*Q451+pool_b)*N451+P451*O451))</f>
        <v>27.981681592283</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0.000293190301141</v>
      </c>
      <c r="M452" s="41">
        <f>EXP(-L452)</f>
        <v>0.999706852675</v>
      </c>
      <c r="N452" s="41">
        <f>IF(L452&gt;0,(1-M452)/L452,1)</f>
        <v>0.999853419175</v>
      </c>
      <c r="O452" s="41">
        <f>IF(L452&gt;0,(L452-1+M452)/L452^2,1/2)</f>
        <v>0.499951139352</v>
      </c>
      <c r="P452" s="41">
        <f>(C_air_CO2/C_sat_CO2*F_vent_ex-CO2_fix_l)*(B452/3600)/(V_L_CO2+Vg_CO2)</f>
        <v>6.761462099097e-07</v>
      </c>
      <c r="Q452" s="41">
        <f>(P452*N452+pool_b*M452)/(1-pool_ret*M452)</f>
        <v>27.967087214288</v>
      </c>
      <c r="R452" s="41">
        <f>MIN(C_sat_CO2,MAX(C_air_CO2,(pool_ret*Q452+pool_b)*N452+P452*O452))</f>
        <v>27.971187116248</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0.0003340720071182</v>
      </c>
      <c r="M453" s="41">
        <f>EXP(-L453)</f>
        <v>0.999665983789</v>
      </c>
      <c r="N453" s="41">
        <f>IF(L453&gt;0,(1-M453)/L453,1)</f>
        <v>0.999832982596</v>
      </c>
      <c r="O453" s="41">
        <f>IF(L453&gt;0,(L453-1+M453)/L453^2,1/2)</f>
        <v>0.499944325832</v>
      </c>
      <c r="P453" s="41">
        <f>(C_air_CO2/C_sat_CO2*F_vent_ex-CO2_fix_l)*(B453/3600)/(V_L_CO2+Vg_CO2)</f>
        <v>7.704263086837e-07</v>
      </c>
      <c r="Q453" s="41">
        <f>(P453*N453+pool_b*M453)/(1-pool_ret*M453)</f>
        <v>27.954772373494</v>
      </c>
      <c r="R453" s="41">
        <f>MIN(C_sat_CO2,MAX(C_air_CO2,(pool_ret*Q453+pool_b)*N453+P453*O453))</f>
        <v>27.959441961717</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0.0003798621557799</v>
      </c>
      <c r="M454" s="41">
        <f>EXP(-L454)</f>
        <v>0.999620209983</v>
      </c>
      <c r="N454" s="41">
        <f>IF(L454&gt;0,(1-M454)/L454,1)</f>
        <v>0.999810092969</v>
      </c>
      <c r="O454" s="41">
        <f>IF(L454&gt;0,(L454-1+M454)/L454^2,1/2)</f>
        <v>0.499936695642</v>
      </c>
      <c r="P454" s="41">
        <f>(C_air_CO2/C_sat_CO2*F_vent_ex-CO2_fix_l)*(B454/3600)/(V_L_CO2+Vg_CO2)</f>
        <v>8.760261029071e-07</v>
      </c>
      <c r="Q454" s="41">
        <f>(P454*N454+pool_b*M454)/(1-pool_ret*M454)</f>
        <v>27.940991231607</v>
      </c>
      <c r="R454" s="41">
        <f>MIN(C_sat_CO2,MAX(C_air_CO2,(pool_ret*Q454+pool_b)*N454+P454*O454))</f>
        <v>27.946298328144</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0.0004311500769744</v>
      </c>
      <c r="M455" s="41">
        <f>EXP(-L455)</f>
        <v>0.999568942855</v>
      </c>
      <c r="N455" s="41">
        <f>IF(L455&gt;0,(1-M455)/L455,1)</f>
        <v>0.99978445594</v>
      </c>
      <c r="O455" s="41">
        <f>IF(L455&gt;0,(L455-1+M455)/L455^2,1/2)</f>
        <v>0.499928149466</v>
      </c>
      <c r="P455" s="41">
        <f>(C_air_CO2/C_sat_CO2*F_vent_ex-CO2_fix_l)*(B455/3600)/(V_L_CO2+Vg_CO2)</f>
        <v>9.943046864579e-07</v>
      </c>
      <c r="Q455" s="41">
        <f>(P455*N455+pool_b*M455)/(1-pool_ret*M455)</f>
        <v>27.925570840489</v>
      </c>
      <c r="R455" s="41">
        <f>MIN(C_sat_CO2,MAX(C_air_CO2,(pool_ret*Q455+pool_b)*N455+P455*O455))</f>
        <v>27.931591264548</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0.0004885958581595</v>
      </c>
      <c r="M456" s="41">
        <f>EXP(-L456)</f>
        <v>0.999511523485</v>
      </c>
      <c r="N456" s="41">
        <f>IF(L456&gt;0,(1-M456)/L456,1)</f>
        <v>0.999755741854</v>
      </c>
      <c r="O456" s="41">
        <f>IF(L456&gt;0,(L456-1+M456)/L456^2,1/2)</f>
        <v>0.49991857741</v>
      </c>
      <c r="P456" s="41">
        <f>(C_air_CO2/C_sat_CO2*F_vent_ex-CO2_fix_l)*(B456/3600)/(V_L_CO2+Vg_CO2)</f>
        <v>1.126784332178e-06</v>
      </c>
      <c r="Q456" s="41">
        <f>(P456*N456+pool_b*M456)/(1-pool_ret*M456)</f>
        <v>27.908318268052</v>
      </c>
      <c r="R456" s="41">
        <f>MIN(C_sat_CO2,MAX(C_air_CO2,(pool_ret*Q456+pool_b)*N456+P456*O456))</f>
        <v>27.915136759468</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0.0005529388398813</v>
      </c>
      <c r="M457" s="41">
        <f>EXP(-L457)</f>
        <v>0.999447214003</v>
      </c>
      <c r="N457" s="41">
        <f>IF(L457&gt;0,(1-M457)/L457,1)</f>
        <v>0.99972358153</v>
      </c>
      <c r="O457" s="41">
        <f>IF(L457&gt;0,(L457-1+M457)/L457^2,1/2)</f>
        <v>0.499907856005</v>
      </c>
      <c r="P457" s="41">
        <f>(C_air_CO2/C_sat_CO2*F_vent_ex-CO2_fix_l)*(B457/3600)/(V_L_CO2+Vg_CO2)</f>
        <v>1.275170083876e-06</v>
      </c>
      <c r="Q457" s="41">
        <f>(P457*N457+pool_b*M457)/(1-pool_ret*M457)</f>
        <v>27.889018394176</v>
      </c>
      <c r="R457" s="41">
        <f>MIN(C_sat_CO2,MAX(C_air_CO2,(pool_ret*Q457+pool_b)*N457+P457*O457))</f>
        <v>27.896729638547</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0.0006250071312588</v>
      </c>
      <c r="M458" s="41">
        <f>EXP(-L458)</f>
        <v>0.999375188145</v>
      </c>
      <c r="N458" s="41">
        <f>IF(L458&gt;0,(1-M458)/L458,1)</f>
        <v>0.99968756153</v>
      </c>
      <c r="O458" s="41">
        <f>IF(L458&gt;0,(L458-1+M458)/L458^2,1/2)</f>
        <v>0.499895848439</v>
      </c>
      <c r="P458" s="41">
        <f>(C_air_CO2/C_sat_CO2*F_vent_ex-CO2_fix_l)*(B458/3600)/(V_L_CO2+Vg_CO2)</f>
        <v>1.441371700642e-06</v>
      </c>
      <c r="Q458" s="41">
        <f>(P458*N458+pool_b*M458)/(1-pool_ret*M458)</f>
        <v>27.867431490296</v>
      </c>
      <c r="R458" s="41">
        <f>MIN(C_sat_CO2,MAX(C_air_CO2,(pool_ret*Q458+pool_b)*N458+P458*O458))</f>
        <v>27.876141255774</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0.0007057282679405</v>
      </c>
      <c r="M459" s="41">
        <f>EXP(-L459)</f>
        <v>0.9992945207</v>
      </c>
      <c r="N459" s="41">
        <f>IF(L459&gt;0,(1-M459)/L459,1)</f>
        <v>0.99964721886</v>
      </c>
      <c r="O459" s="41">
        <f>IF(L459&gt;0,(L459-1+M459)/L459^2,1/2)</f>
        <v>0.499882399229</v>
      </c>
      <c r="P459" s="41">
        <f>(C_air_CO2/C_sat_CO2*F_vent_ex-CO2_fix_l)*(B459/3600)/(V_L_CO2+Vg_CO2)</f>
        <v>1.627528235883e-06</v>
      </c>
      <c r="Q459" s="41">
        <f>(P459*N459+pool_b*M459)/(1-pool_ret*M459)</f>
        <v>27.843290568422</v>
      </c>
      <c r="R459" s="41">
        <f>MIN(C_sat_CO2,MAX(C_air_CO2,(pool_ret*Q459+pool_b)*N459+P459*O459))</f>
        <v>27.853116964726</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0.0007961411497035</v>
      </c>
      <c r="M460" s="41">
        <f>EXP(-L460)</f>
        <v>0.999204175687</v>
      </c>
      <c r="N460" s="41">
        <f>IF(L460&gt;0,(1-M460)/L460,1)</f>
        <v>0.999602035044</v>
      </c>
      <c r="O460" s="41">
        <f>IF(L460&gt;0,(L460-1+M460)/L460^2,1/2)</f>
        <v>0.499867336248</v>
      </c>
      <c r="P460" s="41">
        <f>(C_air_CO2/C_sat_CO2*F_vent_ex-CO2_fix_l)*(B460/3600)/(V_L_CO2+Vg_CO2)</f>
        <v>1.836035567446e-06</v>
      </c>
      <c r="Q460" s="41">
        <f>(P460*N460+pool_b*M460)/(1-pool_ret*M460)</f>
        <v>27.816298486416</v>
      </c>
      <c r="R460" s="41">
        <f>MIN(C_sat_CO2,MAX(C_air_CO2,(pool_ret*Q460+pool_b)*N460+P460*O460))</f>
        <v>27.827373357184</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0.0008974094113353</v>
      </c>
      <c r="M461" s="41">
        <f>EXP(-L461)</f>
        <v>0.99910299314</v>
      </c>
      <c r="N461" s="41">
        <f>IF(L461&gt;0,(1-M461)/L461,1)</f>
        <v>0.999551429488</v>
      </c>
      <c r="O461" s="41">
        <f>IF(L461&gt;0,(L461-1+M461)/L461^2,1/2)</f>
        <v>0.499850465346</v>
      </c>
      <c r="P461" s="41">
        <f>(C_air_CO2/C_sat_CO2*F_vent_ex-CO2_fix_l)*(B461/3600)/(V_L_CO2+Vg_CO2)</f>
        <v>2.069577233116e-06</v>
      </c>
      <c r="Q461" s="41">
        <f>(P461*N461+pool_b*M461)/(1-pool_ret*M461)</f>
        <v>27.786124798155</v>
      </c>
      <c r="R461" s="41">
        <f>MIN(C_sat_CO2,MAX(C_air_CO2,(pool_ret*Q461+pool_b)*N461+P461*O461))</f>
        <v>27.798595258404</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0.001010836399</v>
      </c>
      <c r="M462" s="41">
        <f>EXP(-L462)</f>
        <v>0.998989674324</v>
      </c>
      <c r="N462" s="41">
        <f>IF(L462&gt;0,(1-M462)/L462,1)</f>
        <v>0.999494752056</v>
      </c>
      <c r="O462" s="41">
        <f>IF(L462&gt;0,(L462-1+M462)/L462^2,1/2)</f>
        <v>0.499831569912</v>
      </c>
      <c r="P462" s="41">
        <f>(C_air_CO2/C_sat_CO2*F_vent_ex-CO2_fix_l)*(B462/3600)/(V_L_CO2+Vg_CO2)</f>
        <v>2.33115896837e-06</v>
      </c>
      <c r="Q462" s="41">
        <f>(P462*N462+pool_b*M462)/(1-pool_ret*M462)</f>
        <v>27.752402339962</v>
      </c>
      <c r="R462" s="41">
        <f>MIN(C_sat_CO2,MAX(C_air_CO2,(pool_ret*Q462+pool_b)*N462+P462*O462))</f>
        <v>27.766432470593</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0.001137881944</v>
      </c>
      <c r="M463" s="41">
        <f>EXP(-L463)</f>
        <v>0.998862765198</v>
      </c>
      <c r="N463" s="41">
        <f>IF(L463&gt;0,(1-M463)/L463,1)</f>
        <v>0.999431274762</v>
      </c>
      <c r="O463" s="41">
        <f>IF(L463&gt;0,(L463-1+M463)/L463^2,1/2)</f>
        <v>0.499810406935</v>
      </c>
      <c r="P463" s="41">
        <f>(C_air_CO2/C_sat_CO2*F_vent_ex-CO2_fix_l)*(B463/3600)/(V_L_CO2+Vg_CO2)</f>
        <v>2.624147390896e-06</v>
      </c>
      <c r="Q463" s="41">
        <f>(P463*N463+pool_b*M463)/(1-pool_ret*M463)</f>
        <v>27.714723548707</v>
      </c>
      <c r="R463" s="41">
        <f>MIN(C_sat_CO2,MAX(C_air_CO2,(pool_ret*Q463+pool_b)*N463+P463*O463))</f>
        <v>27.730496260315</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0.001280181152</v>
      </c>
      <c r="M464" s="41">
        <f>EXP(-L464)</f>
        <v>0.99872063793</v>
      </c>
      <c r="N464" s="41">
        <f>IF(L464&gt;0,(1-M464)/L464,1)</f>
        <v>0.99936018248</v>
      </c>
      <c r="O464" s="41">
        <f>IF(L464&gt;0,(L464-1+M464)/L464^2,1/2)</f>
        <v>0.499786704736</v>
      </c>
      <c r="P464" s="41">
        <f>(C_air_CO2/C_sat_CO2*F_vent_ex-CO2_fix_l)*(B464/3600)/(V_L_CO2+Vg_CO2)</f>
        <v>2.952313329742e-06</v>
      </c>
      <c r="Q464" s="41">
        <f>(P464*N464+pool_b*M464)/(1-pool_ret*M464)</f>
        <v>27.672636512444</v>
      </c>
      <c r="R464" s="41">
        <f>MIN(C_sat_CO2,MAX(C_air_CO2,(pool_ret*Q464+pool_b)*N464+P464*O464))</f>
        <v>27.690355590542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0.001439565448</v>
      </c>
      <c r="M465" s="41">
        <f>EXP(-L465)</f>
        <v>0.998561470229</v>
      </c>
      <c r="N465" s="41">
        <f>IF(L465&gt;0,(1-M465)/L465,1)</f>
        <v>0.999280562543</v>
      </c>
      <c r="O465" s="41">
        <f>IF(L465&gt;0,(L465-1+M465)/L465^2,1/2)</f>
        <v>0.499760158713</v>
      </c>
      <c r="P465" s="41">
        <f>(C_air_CO2/C_sat_CO2*F_vent_ex-CO2_fix_l)*(B465/3600)/(V_L_CO2+Vg_CO2)</f>
        <v>3.319880356759e-06</v>
      </c>
      <c r="Q465" s="41">
        <f>(P465*N465+pool_b*M465)/(1-pool_ret*M465)</f>
        <v>27.625640761928</v>
      </c>
      <c r="R465" s="41">
        <f>MIN(C_sat_CO2,MAX(C_air_CO2,(pool_ret*Q465+pool_b)*N465+P465*O465))</f>
        <v>27.645533105246</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0.001618086144</v>
      </c>
      <c r="M466" s="41">
        <f>EXP(-L466)</f>
        <v>0.998383222252</v>
      </c>
      <c r="N466" s="41">
        <f>IF(L466&gt;0,(1-M466)/L466,1)</f>
        <v>0.999191393119</v>
      </c>
      <c r="O466" s="41">
        <f>IF(L466&gt;0,(L466-1+M466)/L466^2,1/2)</f>
        <v>0.499730428046</v>
      </c>
      <c r="P466" s="41">
        <f>(C_air_CO2/C_sat_CO2*F_vent_ex-CO2_fix_l)*(B466/3600)/(V_L_CO2+Vg_CO2)</f>
        <v>3.731579144956e-06</v>
      </c>
      <c r="Q466" s="41">
        <f>(P466*N466+pool_b*M466)/(1-pool_ret*M466)</f>
        <v>27.573182821062</v>
      </c>
      <c r="R466" s="41">
        <f>MIN(C_sat_CO2,MAX(C_air_CO2,(pool_ret*Q466+pool_b)*N466+P466*O466))</f>
        <v>27.595500883692</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0.001818040842</v>
      </c>
      <c r="M467" s="41">
        <f>EXP(-L467)</f>
        <v>0.998183610793</v>
      </c>
      <c r="N467" s="41">
        <f>IF(L467&gt;0,(1-M467)/L467,1)</f>
        <v>0.999091530207</v>
      </c>
      <c r="O467" s="41">
        <f>IF(L467&gt;0,(L467-1+M467)/L467^2,1/2)</f>
        <v>0.499697130864</v>
      </c>
      <c r="P467" s="41">
        <f>(C_air_CO2/C_sat_CO2*F_vent_ex-CO2_fix_l)*(B467/3600)/(V_L_CO2+Vg_CO2)</f>
        <v>4.192708353356e-06</v>
      </c>
      <c r="Q467" s="41">
        <f>(P467*N467+pool_b*M467)/(1-pool_ret*M467)</f>
        <v>27.514651546922</v>
      </c>
      <c r="R467" s="41">
        <f>MIN(C_sat_CO2,MAX(C_air_CO2,(pool_ret*Q467+pool_b)*N467+P467*O467))</f>
        <v>27.539675993557</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0.002042003007</v>
      </c>
      <c r="M468" s="41">
        <f>EXP(-L468)</f>
        <v>0.997960080463</v>
      </c>
      <c r="N468" s="41">
        <f>IF(L468&gt;0,(1-M468)/L468,1)</f>
        <v>0.998979693105</v>
      </c>
      <c r="O468" s="41">
        <f>IF(L468&gt;0,(L468-1+M468)/L468^2,1/2)</f>
        <v>0.499659839837</v>
      </c>
      <c r="P468" s="41">
        <f>(C_air_CO2/C_sat_CO2*F_vent_ex-CO2_fix_l)*(B468/3600)/(V_L_CO2+Vg_CO2)</f>
        <v>4.709202821973e-06</v>
      </c>
      <c r="Q468" s="41">
        <f>(P468*N468+pool_b*M468)/(1-pool_ret*M468)</f>
        <v>27.44937330595</v>
      </c>
      <c r="R468" s="41">
        <f>MIN(C_sat_CO2,MAX(C_air_CO2,(pool_ret*Q468+pool_b)*N468+P468*O468))</f>
        <v>27.477415887188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0.002292855083</v>
      </c>
      <c r="M469" s="41">
        <f>EXP(-L469)</f>
        <v>0.997709771502</v>
      </c>
      <c r="N469" s="41">
        <f>IF(L469&gt;0,(1-M469)/L469,1)</f>
        <v>0.998854448154</v>
      </c>
      <c r="O469" s="41">
        <f>IF(L469&gt;0,(L469-1+M469)/L469^2,1/2)</f>
        <v>0.49961807643</v>
      </c>
      <c r="P469" s="41">
        <f>(C_air_CO2/C_sat_CO2*F_vent_ex-CO2_fix_l)*(B469/3600)/(V_L_CO2+Vg_CO2)</f>
        <v>5.287709954579e-06</v>
      </c>
      <c r="Q469" s="41">
        <f>(P469*N469+pool_b*M469)/(1-pool_ret*M469)</f>
        <v>27.376607052844</v>
      </c>
      <c r="R469" s="41">
        <f>MIN(C_sat_CO2,MAX(C_air_CO2,(pool_ret*Q469+pool_b)*N469+P469*O469))</f>
        <v>27.408013704348</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0.002573825594</v>
      </c>
      <c r="M470" s="41">
        <f>EXP(-L470)</f>
        <v>0.997429483855</v>
      </c>
      <c r="N470" s="41">
        <f>IF(L470&gt;0,(1-M470)/L470,1)</f>
        <v>0.998714190589</v>
      </c>
      <c r="O470" s="41">
        <f>IF(L470&gt;0,(L470-1+M470)/L470^2,1/2)</f>
        <v>0.499571304938</v>
      </c>
      <c r="P470" s="41">
        <f>(C_air_CO2/C_sat_CO2*F_vent_ex-CO2_fix_l)*(B470/3600)/(V_L_CO2+Vg_CO2)</f>
        <v>5.935675272332e-06</v>
      </c>
      <c r="Q470" s="41">
        <f>(P470*N470+pool_b*M470)/(1-pool_ret*M470)</f>
        <v>27.29553940323</v>
      </c>
      <c r="R470" s="41">
        <f>MIN(C_sat_CO2,MAX(C_air_CO2,(pool_ret*Q470+pool_b)*N470+P470*O470))</f>
        <v>27.330693568117</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0.002888530698</v>
      </c>
      <c r="M471" s="41">
        <f>EXP(-L471)</f>
        <v>0.997115637093</v>
      </c>
      <c r="N471" s="41">
        <f>IF(L471&gt;0,(1-M471)/L471,1)</f>
        <v>0.998557124249</v>
      </c>
      <c r="O471" s="41">
        <f>IF(L471&gt;0,(L471-1+M471)/L471^2,1/2)</f>
        <v>0.499518925659</v>
      </c>
      <c r="P471" s="41">
        <f>(C_air_CO2/C_sat_CO2*F_vent_ex-CO2_fix_l)*(B471/3600)/(V_L_CO2+Vg_CO2)</f>
        <v>6.661438239367e-06</v>
      </c>
      <c r="Q471" s="41">
        <f>(P471*N471+pool_b*M471)/(1-pool_ret*M471)</f>
        <v>27.205279821034</v>
      </c>
      <c r="R471" s="41">
        <f>MIN(C_sat_CO2,MAX(C_air_CO2,(pool_ret*Q471+pool_b)*N471+P471*O471))</f>
        <v>27.244605989097</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0.00324102072</v>
      </c>
      <c r="M472" s="41">
        <f>EXP(-L472)</f>
        <v>0.996764225718</v>
      </c>
      <c r="N472" s="41">
        <f>IF(L472&gt;0,(1-M472)/L472,1)</f>
        <v>0.998381238925</v>
      </c>
      <c r="O472" s="41">
        <f>IF(L472&gt;0,(L472-1+M472)/L472^2,1/2)</f>
        <v>0.499460267282</v>
      </c>
      <c r="P472" s="41">
        <f>(C_air_CO2/C_sat_CO2*F_vent_ex-CO2_fix_l)*(B472/3600)/(V_L_CO2+Vg_CO2)</f>
        <v>7.474339593635e-06</v>
      </c>
      <c r="Q472" s="41">
        <f>(P472*N472+pool_b*M472)/(1-pool_ret*M472)</f>
        <v>27.104856077123</v>
      </c>
      <c r="R472" s="41">
        <f>MIN(C_sat_CO2,MAX(C_air_CO2,(pool_ret*Q472+pool_b)*N472+P472*O472))</f>
        <v>27.14882352701</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0.003635832291</v>
      </c>
      <c r="M473" s="41">
        <f>EXP(-L473)</f>
        <v>0.996370769344</v>
      </c>
      <c r="N473" s="41">
        <f>IF(L473&gt;0,(1-M473)/L473,1)</f>
        <v>0.998184285066</v>
      </c>
      <c r="O473" s="41">
        <f>IF(L473&gt;0,(L473-1+M473)/L473^2,1/2)</f>
        <v>0.499394578354</v>
      </c>
      <c r="P473" s="41">
        <f>(C_air_CO2/C_sat_CO2*F_vent_ex-CO2_fix_l)*(B473/3600)/(V_L_CO2+Vg_CO2)</f>
        <v>8.384841564368e-06</v>
      </c>
      <c r="Q473" s="41">
        <f>(P473*N473+pool_b*M473)/(1-pool_ret*M473)</f>
        <v>26.993210177833</v>
      </c>
      <c r="R473" s="41">
        <f>MIN(C_sat_CO2,MAX(C_air_CO2,(pool_ret*Q473+pool_b)*N473+P473*O473))</f>
        <v>27.042336898806</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0.004078046726</v>
      </c>
      <c r="M474" s="41">
        <f>EXP(-L474)</f>
        <v>0.995930257215</v>
      </c>
      <c r="N474" s="41">
        <f>IF(L474&gt;0,(1-M474)/L474,1)</f>
        <v>0.997963745558</v>
      </c>
      <c r="O474" s="41">
        <f>IF(L474&gt;0,(L474-1+M474)/L474^2,1/2)</f>
        <v>0.499321017917</v>
      </c>
      <c r="P474" s="41">
        <f>(C_air_CO2/C_sat_CO2*F_vent_ex-CO2_fix_l)*(B474/3600)/(V_L_CO2+Vg_CO2)</f>
        <v>9.4046625234e-06</v>
      </c>
      <c r="Q474" s="41">
        <f>(P474*N474+pool_b*M474)/(1-pool_ret*M474)</f>
        <v>26.86919501051</v>
      </c>
      <c r="R474" s="41">
        <f>MIN(C_sat_CO2,MAX(C_air_CO2,(pool_ret*Q474+pool_b)*N474+P474*O474))</f>
        <v>26.924051768671</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0.004573355427</v>
      </c>
      <c r="M475" s="41">
        <f>EXP(-L475)</f>
        <v>0.995437086438</v>
      </c>
      <c r="N475" s="41">
        <f>IF(L475&gt;0,(1-M475)/L475,1)</f>
        <v>0.997716804234</v>
      </c>
      <c r="O475" s="41">
        <f>IF(L475&gt;0,(L475-1+M475)/L475^2,1/2)</f>
        <v>0.499238644784</v>
      </c>
      <c r="P475" s="41">
        <f>(C_air_CO2/C_sat_CO2*F_vent_ex-CO2_fix_l)*(B475/3600)/(V_L_CO2+Vg_CO2)</f>
        <v>1.054692780334e-05</v>
      </c>
      <c r="Q475" s="41">
        <f>(P475*N475+pool_b*M475)/(1-pool_ret*M475)</f>
        <v>26.731572008256</v>
      </c>
      <c r="R475" s="41">
        <f>MIN(C_sat_CO2,MAX(C_air_CO2,(pool_ret*Q475+pool_b)*N475+P475*O475))</f>
        <v>26.792786507734</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0.005128133134</v>
      </c>
      <c r="M476" s="41">
        <f>EXP(-L476)</f>
        <v>0.994884993293</v>
      </c>
      <c r="N476" s="41">
        <f>IF(L476&gt;0,(1-M476)/L476,1)</f>
        <v>0.997440310778</v>
      </c>
      <c r="O476" s="41">
        <f>IF(L476&gt;0,(L476-1+M476)/L476^2,1/2)</f>
        <v>0.49914640576</v>
      </c>
      <c r="P476" s="41">
        <f>(C_air_CO2/C_sat_CO2*F_vent_ex-CO2_fix_l)*(B476/3600)/(V_L_CO2+Vg_CO2)</f>
        <v>1.182633862363e-05</v>
      </c>
      <c r="Q476" s="41">
        <f>(P476*N476+pool_b*M476)/(1-pool_ret*M476)</f>
        <v>26.579010196783</v>
      </c>
      <c r="R476" s="41">
        <f>MIN(C_sat_CO2,MAX(C_air_CO2,(pool_ret*Q476+pool_b)*N476+P476*O476))</f>
        <v>26.647271269118</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0.005749519963</v>
      </c>
      <c r="M477" s="41">
        <f>EXP(-L477)</f>
        <v>0.994266976895</v>
      </c>
      <c r="N477" s="41">
        <f>IF(L477&gt;0,(1-M477)/L477,1)</f>
        <v>0.997130741605</v>
      </c>
      <c r="O477" s="41">
        <f>IF(L477&gt;0,(L477-1+M477)/L477^2,1/2)</f>
        <v>0.499043122467</v>
      </c>
      <c r="P477" s="41">
        <f>(C_air_CO2/C_sat_CO2*F_vent_ex-CO2_fix_l)*(B477/3600)/(V_L_CO2+Vg_CO2)</f>
        <v>1.325936129869e-05</v>
      </c>
      <c r="Q477" s="41">
        <f>(P477*N477+pool_b*M477)/(1-pool_ret*M477)</f>
        <v>26.410087051369</v>
      </c>
      <c r="R477" s="41">
        <f>MIN(C_sat_CO2,MAX(C_air_CO2,(pool_ret*Q477+pool_b)*N477+P477*O477))</f>
        <v>26.486148786007</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0.006445513309</v>
      </c>
      <c r="M478" s="41">
        <f>EXP(-L478)</f>
        <v>0.993575214455</v>
      </c>
      <c r="N478" s="41">
        <f>IF(L478&gt;0,(1-M478)/L478,1)</f>
        <v>0.99678415631</v>
      </c>
      <c r="O478" s="41">
        <f>IF(L478&gt;0,(L478-1+M478)/L478^2,1/2)</f>
        <v>0.498927476579</v>
      </c>
      <c r="P478" s="41">
        <f>(C_air_CO2/C_sat_CO2*F_vent_ex-CO2_fix_l)*(B478/3600)/(V_L_CO2+Vg_CO2)</f>
        <v>1.486443916318e-05</v>
      </c>
      <c r="Q478" s="41">
        <f>(P478*N478+pool_b*M478)/(1-pool_ret*M478)</f>
        <v>26.223291658673</v>
      </c>
      <c r="R478" s="41">
        <f>MIN(C_sat_CO2,MAX(C_air_CO2,(pool_ret*Q478+pool_b)*N478+P478*O478))</f>
        <v>26.307977363987</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0.007225070765</v>
      </c>
      <c r="M479" s="41">
        <f>EXP(-L479)</f>
        <v>0.992800967312</v>
      </c>
      <c r="N479" s="41">
        <f>IF(L479&gt;0,(1-M479)/L479,1)</f>
        <v>0.9963961492</v>
      </c>
      <c r="O479" s="41">
        <f>IF(L479&gt;0,(L479-1+M479)/L479^2,1/2)</f>
        <v>0.498797993467</v>
      </c>
      <c r="P479" s="41">
        <f>(C_air_CO2/C_sat_CO2*F_vent_ex-CO2_fix_l)*(B479/3600)/(V_L_CO2+Vg_CO2)</f>
        <v>1.6662229942e-05</v>
      </c>
      <c r="Q479" s="41">
        <f>(P479*N479+pool_b*M479)/(1-pool_ret*M479)</f>
        <v>26.01703074287</v>
      </c>
      <c r="R479" s="41">
        <f>MIN(C_sat_CO2,MAX(C_air_CO2,(pool_ret*Q479+pool_b)*N479+P479*O479))</f>
        <v>26.111236600528</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0.008098225419</v>
      </c>
      <c r="M480" s="41">
        <f>EXP(-L480)</f>
        <v>0.991934476872</v>
      </c>
      <c r="N480" s="41">
        <f>IF(L480&gt;0,(1-M480)/L480,1)</f>
        <v>0.995961795406</v>
      </c>
      <c r="O480" s="41">
        <f>IF(L480&gt;0,(L480-1+M480)/L480^2,1/2)</f>
        <v>0.498653023896</v>
      </c>
      <c r="P480" s="41">
        <f>(C_air_CO2/C_sat_CO2*F_vent_ex-CO2_fix_l)*(B480/3600)/(V_L_CO2+Vg_CO2)</f>
        <v>1.867587162004e-05</v>
      </c>
      <c r="Q480" s="41">
        <f>(P480*N480+pool_b*M480)/(1-pool_ret*M480)</f>
        <v>25.789638172436</v>
      </c>
      <c r="R480" s="41">
        <f>MIN(C_sat_CO2,MAX(C_air_CO2,(pool_ret*Q480+pool_b)*N480+P480*O480))</f>
        <v>25.894336418705</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0.009076214974</v>
      </c>
      <c r="M481" s="41">
        <f>EXP(-L481)</f>
        <v>0.990964849535</v>
      </c>
      <c r="N481" s="41">
        <f>IF(L481&gt;0,(1-M481)/L481,1)</f>
        <v>0.995475591029</v>
      </c>
      <c r="O481" s="41">
        <f>IF(L481&gt;0,(L481-1+M481)/L481^2,1/2)</f>
        <v>0.498490723686</v>
      </c>
      <c r="P481" s="41">
        <f>(C_air_CO2/C_sat_CO2*F_vent_ex-CO2_fix_l)*(B481/3600)/(V_L_CO2+Vg_CO2)</f>
        <v>2.093128023336e-05</v>
      </c>
      <c r="Q481" s="41">
        <f>(P481*N481+pool_b*M481)/(1-pool_ret*M481)</f>
        <v>25.539388605515</v>
      </c>
      <c r="R481" s="41">
        <f>MIN(C_sat_CO2,MAX(C_air_CO2,(pool_ret*Q481+pool_b)*N481+P481*O481))</f>
        <v>25.655630041786</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0.010171626381</v>
      </c>
      <c r="M482" s="41">
        <f>EXP(-L482)</f>
        <v>0.989879929659</v>
      </c>
      <c r="N482" s="41">
        <f>IF(L482&gt;0,(1-M482)/L482,1)</f>
        <v>0.994931386713</v>
      </c>
      <c r="O482" s="41">
        <f>IF(L482&gt;0,(L482-1+M482)/L482^2,1/2)</f>
        <v>0.498309031098</v>
      </c>
      <c r="P482" s="41">
        <f>(C_air_CO2/C_sat_CO2*F_vent_ex-CO2_fix_l)*(B482/3600)/(V_L_CO2+Vg_CO2)</f>
        <v>2.345748341466e-05</v>
      </c>
      <c r="Q482" s="41">
        <f>(P482*N482+pool_b*M482)/(1-pool_ret*M482)</f>
        <v>25.264515948267</v>
      </c>
      <c r="R482" s="41">
        <f>MIN(C_sat_CO2,MAX(C_air_CO2,(pool_ret*Q482+pool_b)*N482+P482*O482))</f>
        <v>25.393431551026</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0.011398557841</v>
      </c>
      <c r="M483" s="41">
        <f>EXP(-L483)</f>
        <v>0.988666159591</v>
      </c>
      <c r="N483" s="41">
        <f>IF(L483&gt;0,(1-M483)/L483,1)</f>
        <v>0.994322314032</v>
      </c>
      <c r="O483" s="41">
        <f>IF(L483&gt;0,(L483-1+M483)/L483^2,1/2)</f>
        <v>0.498105641672</v>
      </c>
      <c r="P483" s="41">
        <f>(C_air_CO2/C_sat_CO2*F_vent_ex-CO2_fix_l)*(B483/3600)/(V_L_CO2+Vg_CO2)</f>
        <v>2.628699398563e-05</v>
      </c>
      <c r="Q483" s="41">
        <f>(P483*N483+pool_b*M483)/(1-pool_ret*M483)</f>
        <v>24.963237279945</v>
      </c>
      <c r="R483" s="41">
        <f>MIN(C_sat_CO2,MAX(C_air_CO2,(pool_ret*Q483+pool_b)*N483+P483*O483))</f>
        <v>25.106038649249</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0.012772800246</v>
      </c>
      <c r="M484" s="41">
        <f>EXP(-L484)</f>
        <v>0.987308425771</v>
      </c>
      <c r="N484" s="41">
        <f>IF(L484&gt;0,(1-M484)/L484,1)</f>
        <v>0.99364070401</v>
      </c>
      <c r="O484" s="41">
        <f>IF(L484&gt;0,(L484-1+M484)/L484^2,1/2)</f>
        <v>0.497877980315</v>
      </c>
      <c r="P484" s="41">
        <f>(C_air_CO2/C_sat_CO2*F_vent_ex-CO2_fix_l)*(B484/3600)/(V_L_CO2+Vg_CO2)</f>
        <v>2.945622840447e-05</v>
      </c>
      <c r="Q484" s="41">
        <f>(P484*N484+pool_b*M484)/(1-pool_ret*M484)</f>
        <v>24.633782826816</v>
      </c>
      <c r="R484" s="41">
        <f>MIN(C_sat_CO2,MAX(C_air_CO2,(pool_ret*Q484+pool_b)*N484+P484*O484))</f>
        <v>24.791761184514</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0.014312040415</v>
      </c>
      <c r="M485" s="41">
        <f>EXP(-L485)</f>
        <v>0.985789889978</v>
      </c>
      <c r="N485" s="41">
        <f>IF(L485&gt;0,(1-M485)/L485,1)</f>
        <v>0.992877997075</v>
      </c>
      <c r="O485" s="41">
        <f>IF(L485&gt;0,(L485-1+M485)/L485^2,1/2)</f>
        <v>0.49762317033</v>
      </c>
      <c r="P485" s="41">
        <f>(C_air_CO2/C_sat_CO2*F_vent_ex-CO2_fix_l)*(B485/3600)/(V_L_CO2+Vg_CO2)</f>
        <v>3.300597545424e-05</v>
      </c>
      <c r="Q485" s="41">
        <f>(P485*N485+pool_b*M485)/(1-pool_ret*M485)</f>
        <v>24.274432429382</v>
      </c>
      <c r="R485" s="41">
        <f>MIN(C_sat_CO2,MAX(C_air_CO2,(pool_ret*Q485+pool_b)*N485+P485*O485))</f>
        <v>24.448955856879</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0.016036088727</v>
      </c>
      <c r="M486" s="41">
        <f>EXP(-L486)</f>
        <v>0.984091804794</v>
      </c>
      <c r="N486" s="41">
        <f>IF(L486&gt;0,(1-M486)/L486,1)</f>
        <v>0.992024643719</v>
      </c>
      <c r="O486" s="41">
        <f>IF(L486&gt;0,(L486-1+M486)/L486^2,1/2)</f>
        <v>0.497337999112</v>
      </c>
      <c r="P486" s="41">
        <f>(C_air_CO2/C_sat_CO2*F_vent_ex-CO2_fix_l)*(B486/3600)/(V_L_CO2+Vg_CO2)</f>
        <v>3.698192120394e-05</v>
      </c>
      <c r="Q486" s="41">
        <f>(P486*N486+pool_b*M486)/(1-pool_ret*M486)</f>
        <v>23.88355872872</v>
      </c>
      <c r="R486" s="41">
        <f>MIN(C_sat_CO2,MAX(C_air_CO2,(pool_ret*Q486+pool_b)*N486+P486*O486))</f>
        <v>24.076067322903</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0.017967134084</v>
      </c>
      <c r="M487" s="41">
        <f>EXP(-L487)</f>
        <v>0.982193312511</v>
      </c>
      <c r="N487" s="41">
        <f>IF(L487&gt;0,(1-M487)/L487,1)</f>
        <v>0.991069995137</v>
      </c>
      <c r="O487" s="41">
        <f>IF(L487&gt;0,(L487-1+M487)/L487^2,1/2)</f>
        <v>0.497018880209</v>
      </c>
      <c r="P487" s="41">
        <f>(C_air_CO2/C_sat_CO2*F_vent_ex-CO2_fix_l)*(B487/3600)/(V_L_CO2+Vg_CO2)</f>
        <v>4.143523699879e-05</v>
      </c>
      <c r="Q487" s="41">
        <f>(P487*N487+pool_b*M487)/(1-pool_ret*M487)</f>
        <v>23.459676985679</v>
      </c>
      <c r="R487" s="41">
        <f>MIN(C_sat_CO2,MAX(C_air_CO2,(pool_ret*Q487+pool_b)*N487+P487*O487))</f>
        <v>23.671675615005</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0.020130029487</v>
      </c>
      <c r="M488" s="41">
        <f>EXP(-L488)</f>
        <v>0.980071226862</v>
      </c>
      <c r="N488" s="41">
        <f>IF(L488&gt;0,(1-M488)/L488,1)</f>
        <v>0.990002183091</v>
      </c>
      <c r="O488" s="41">
        <f>IF(L488&gt;0,(L488-1+M488)/L488^2,1/2)</f>
        <v>0.496661811424</v>
      </c>
      <c r="P488" s="41">
        <f>(C_air_CO2/C_sat_CO2*F_vent_ex-CO2_fix_l)*(B488/3600)/(V_L_CO2+Vg_CO2)</f>
        <v>4.642323804741e-05</v>
      </c>
      <c r="Q488" s="41">
        <f>(P488*N488+pool_b*M488)/(1-pool_ret*M488)</f>
        <v>23.001501033564</v>
      </c>
      <c r="R488" s="41">
        <f>MIN(C_sat_CO2,MAX(C_air_CO2,(pool_ret*Q488+pool_b)*N488+P488*O488))</f>
        <v>23.234549399074</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0.022552611904</v>
      </c>
      <c r="M489" s="41">
        <f>EXP(-L489)</f>
        <v>0.977699797192</v>
      </c>
      <c r="N489" s="41">
        <f>IF(L489&gt;0,(1-M489)/L489,1)</f>
        <v>0.9888079883</v>
      </c>
      <c r="O489" s="41">
        <f>IF(L489&gt;0,(L489-1+M489)/L489^2,1/2)</f>
        <v>0.496262328631</v>
      </c>
      <c r="P489" s="41">
        <f>(C_air_CO2/C_sat_CO2*F_vent_ex-CO2_fix_l)*(B489/3600)/(V_L_CO2+Vg_CO2)</f>
        <v>5.201012108179e-05</v>
      </c>
      <c r="Q489" s="41">
        <f>(P489*N489+pool_b*M489)/(1-pool_ret*M489)</f>
        <v>22.508004352097</v>
      </c>
      <c r="R489" s="41">
        <f>MIN(C_sat_CO2,MAX(C_air_CO2,(pool_ret*Q489+pool_b)*N489+P489*O489))</f>
        <v>22.763704104872</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0.025266060532</v>
      </c>
      <c r="M490" s="41">
        <f>EXP(-L490)</f>
        <v>0.975050455071</v>
      </c>
      <c r="N490" s="41">
        <f>IF(L490&gt;0,(1-M490)/L490,1)</f>
        <v>0.987472696702</v>
      </c>
      <c r="O490" s="41">
        <f>IF(L490&gt;0,(L490-1+M490)/L490^2,1/2)</f>
        <v>0.495815454974</v>
      </c>
      <c r="P490" s="41">
        <f>(C_air_CO2/C_sat_CO2*F_vent_ex-CO2_fix_l)*(B490/3600)/(V_L_CO2+Vg_CO2)</f>
        <v>5.826779058419e-05</v>
      </c>
      <c r="Q490" s="41">
        <f>(P490*N490+pool_b*M490)/(1-pool_ret*M490)</f>
        <v>21.978484651667</v>
      </c>
      <c r="R490" s="41">
        <f>MIN(C_sat_CO2,MAX(C_air_CO2,(pool_ret*Q490+pool_b)*N490+P490*O490))</f>
        <v>22.258463393091</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0.028305298086</v>
      </c>
      <c r="M491" s="41">
        <f>EXP(-L491)</f>
        <v>0.972091543806</v>
      </c>
      <c r="N491" s="41">
        <f>IF(L491&gt;0,(1-M491)/L491,1)</f>
        <v>0.985979943018</v>
      </c>
      <c r="O491" s="41">
        <f>IF(L491&gt;0,(L491-1+M491)/L491^2,1/2)</f>
        <v>0.495315645137</v>
      </c>
      <c r="P491" s="41">
        <f>(C_air_CO2/C_sat_CO2*F_vent_ex-CO2_fix_l)*(B491/3600)/(V_L_CO2+Vg_CO2)</f>
        <v>6.527678421448e-05</v>
      </c>
      <c r="Q491" s="41">
        <f>(P491*N491+pool_b*M491)/(1-pool_ret*M491)</f>
        <v>21.412629702263</v>
      </c>
      <c r="R491" s="41">
        <f>MIN(C_sat_CO2,MAX(C_air_CO2,(pool_ret*Q491+pool_b)*N491+P491*O491))</f>
        <v>21.718521798935</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0.031709440259</v>
      </c>
      <c r="M492" s="41">
        <f>EXP(-L492)</f>
        <v>0.968788031988</v>
      </c>
      <c r="N492" s="41">
        <f>IF(L492&gt;0,(1-M492)/L492,1)</f>
        <v>0.984311541206</v>
      </c>
      <c r="O492" s="41">
        <f>IF(L492&gt;0,(L492-1+M492)/L492^2,1/2)</f>
        <v>0.494756724351</v>
      </c>
      <c r="P492" s="41">
        <f>(C_air_CO2/C_sat_CO2*F_vent_ex-CO2_fix_l)*(B492/3600)/(V_L_CO2+Vg_CO2)</f>
        <v>7.31273093486e-05</v>
      </c>
      <c r="Q492" s="41">
        <f>(P492*N492+pool_b*M492)/(1-pool_ret*M492)</f>
        <v>20.810581479984</v>
      </c>
      <c r="R492" s="41">
        <f>MIN(C_sat_CO2,MAX(C_air_CO2,(pool_ret*Q492+pool_b)*N492+P492*O492))</f>
        <v>21.14400576162</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0.035522299151</v>
      </c>
      <c r="M493" s="41">
        <f>EXP(-L493)</f>
        <v>0.965101213052</v>
      </c>
      <c r="N493" s="41">
        <f>IF(L493&gt;0,(1-M493)/L493,1)</f>
        <v>0.982447301603</v>
      </c>
      <c r="O493" s="41">
        <f>IF(L493&gt;0,(L493-1+M493)/L493^2,1/2)</f>
        <v>0.494131821887</v>
      </c>
      <c r="P493" s="41">
        <f>(C_air_CO2/C_sat_CO2*F_vent_ex-CO2_fix_l)*(B493/3600)/(V_L_CO2+Vg_CO2)</f>
        <v>8.192040406836e-05</v>
      </c>
      <c r="Q493" s="41">
        <f>(P493*N493+pool_b*M493)/(1-pool_ret*M493)</f>
        <v>20.172995103818</v>
      </c>
      <c r="R493" s="41">
        <f>MIN(C_sat_CO2,MAX(C_air_CO2,(pool_ret*Q493+pool_b)*N493+P493*O493))</f>
        <v>20.535529677052</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0.039792947142</v>
      </c>
      <c r="M494" s="41">
        <f>EXP(-L494)</f>
        <v>0.960988393948</v>
      </c>
      <c r="N494" s="41">
        <f>IF(L494&gt;0,(1-M494)/L494,1)</f>
        <v>0.980364834823</v>
      </c>
      <c r="O494" s="41">
        <f>IF(L494&gt;0,(L494-1+M494)/L494^2,1/2)</f>
        <v>0.493433298789</v>
      </c>
      <c r="P494" s="41">
        <f>(C_air_CO2/C_sat_CO2*F_vent_ex-CO2_fix_l)*(B494/3600)/(V_L_CO2+Vg_CO2)</f>
        <v>9.176923754507e-05</v>
      </c>
      <c r="Q494" s="41">
        <f>(P494*N494+pool_b*M494)/(1-pool_ret*M494)</f>
        <v>19.501088580583</v>
      </c>
      <c r="R494" s="41">
        <f>MIN(C_sat_CO2,MAX(C_air_CO2,(pool_ret*Q494+pool_b)*N494+P494*O494))</f>
        <v>19.89424317738</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0.044576348463</v>
      </c>
      <c r="M495" s="41">
        <f>EXP(-L495)</f>
        <v>0.956402577439</v>
      </c>
      <c r="N495" s="41">
        <f>IF(L495&gt;0,(1-M495)/L495,1)</f>
        <v>0.978039342924</v>
      </c>
      <c r="O495" s="41">
        <f>IF(L495&gt;0,(L495-1+M495)/L495^2,1/2)</f>
        <v>0.492652669695</v>
      </c>
      <c r="P495" s="41">
        <f>(C_air_CO2/C_sat_CO2*F_vent_ex-CO2_fix_l)*(B495/3600)/(V_L_CO2+Vg_CO2)</f>
        <v>0.0001028005665531</v>
      </c>
      <c r="Q495" s="41">
        <f>(P495*N495+pool_b*M495)/(1-pool_ret*M495)</f>
        <v>18.796679159107</v>
      </c>
      <c r="R495" s="41">
        <f>MIN(C_sat_CO2,MAX(C_air_CO2,(pool_ret*Q495+pool_b)*N495+P495*O495))</f>
        <v>19.221865634381</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0.049934066601</v>
      </c>
      <c r="M496" s="41">
        <f>EXP(-L496)</f>
        <v>0.951292144358</v>
      </c>
      <c r="N496" s="41">
        <f>IF(L496&gt;0,(1-M496)/L496,1)</f>
        <v>0.975443398825</v>
      </c>
      <c r="O496" s="41">
        <f>IF(L496&gt;0,(L496-1+M496)/L496^2,1/2)</f>
        <v>0.491780518714</v>
      </c>
      <c r="P496" s="41">
        <f>(C_air_CO2/C_sat_CO2*F_vent_ex-CO2_fix_l)*(B496/3600)/(V_L_CO2+Vg_CO2)</f>
        <v>0.0001151563668588</v>
      </c>
      <c r="Q496" s="41">
        <f>(P496*N496+pool_b*M496)/(1-pool_ret*M496)</f>
        <v>18.062202204727</v>
      </c>
      <c r="R496" s="41">
        <f>MIN(C_sat_CO2,MAX(C_air_CO2,(pool_ret*Q496+pool_b)*N496+P496*O496))</f>
        <v>18.520703988247</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0.055935056632</v>
      </c>
      <c r="M497" s="41">
        <f>EXP(-L497)</f>
        <v>0.945600544381</v>
      </c>
      <c r="N497" s="41">
        <f>IF(L497&gt;0,(1-M497)/L497,1)</f>
        <v>0.972546715693</v>
      </c>
      <c r="O497" s="41">
        <f>IF(L497&gt;0,(L497-1+M497)/L497^2,1/2)</f>
        <v>0.490806409442</v>
      </c>
      <c r="P497" s="41">
        <f>(C_air_CO2/C_sat_CO2*F_vent_ex-CO2_fix_l)*(B497/3600)/(V_L_CO2+Vg_CO2)</f>
        <v>0.0001289956604819</v>
      </c>
      <c r="Q497" s="41">
        <f>(P497*N497+pool_b*M497)/(1-pool_ret*M497)</f>
        <v>17.300709010795</v>
      </c>
      <c r="R497" s="41">
        <f>MIN(C_sat_CO2,MAX(C_air_CO2,(pool_ret*Q497+pool_b)*N497+P497*O497))</f>
        <v>17.79365048506</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0.062656552691</v>
      </c>
      <c r="M498" s="41">
        <f>EXP(-L498)</f>
        <v>0.939266006682</v>
      </c>
      <c r="N498" s="41">
        <f>IF(L498&gt;0,(1-M498)/L498,1)</f>
        <v>0.969315908867</v>
      </c>
      <c r="O498" s="41">
        <f>IF(L498&gt;0,(L498-1+M498)/L498^2,1/2)</f>
        <v>0.489718789419</v>
      </c>
      <c r="P498" s="41">
        <f>(C_air_CO2/C_sat_CO2*F_vent_ex-CO2_fix_l)*(B498/3600)/(V_L_CO2+Vg_CO2)</f>
        <v>0.0001444965623456</v>
      </c>
      <c r="Q498" s="41">
        <f>(P498*N498+pool_b*M498)/(1-pool_ret*M498)</f>
        <v>16.515840896598</v>
      </c>
      <c r="R498" s="41">
        <f>MIN(C_sat_CO2,MAX(C_air_CO2,(pool_ret*Q498+pool_b)*N498+P498*O498))</f>
        <v>17.044157794881</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0.070185061994</v>
      </c>
      <c r="M499" s="41">
        <f>EXP(-L499)</f>
        <v>0.932221285212</v>
      </c>
      <c r="N499" s="41">
        <f>IF(L499&gt;0,(1-M499)/L499,1)</f>
        <v>0.96571425404</v>
      </c>
      <c r="O499" s="41">
        <f>IF(L499&gt;0,(L499-1+M499)/L499^2,1/2)</f>
        <v>0.488504889593</v>
      </c>
      <c r="P499" s="41">
        <f>(C_air_CO2/C_sat_CO2*F_vent_ex-CO2_fix_l)*(B499/3600)/(V_L_CO2+Vg_CO2)</f>
        <v>0.0001618585726571</v>
      </c>
      <c r="Q499" s="41">
        <f>(P499*N499+pool_b*M499)/(1-pool_ret*M499)</f>
        <v>15.711778279102</v>
      </c>
      <c r="R499" s="41">
        <f>MIN(C_sat_CO2,MAX(C_air_CO2,(pool_ret*Q499+pool_b)*N499+P499*O499))</f>
        <v>16.276190257301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0.078617478205</v>
      </c>
      <c r="M500" s="41">
        <f>EXP(-L500)</f>
        <v>0.924393457469</v>
      </c>
      <c r="N500" s="41">
        <f>IF(L500&gt;0,(1-M500)/L500,1)</f>
        <v>0.961701446776</v>
      </c>
      <c r="O500" s="41">
        <f>IF(L500&gt;0,(L500-1+M500)/L500^2,1/2)</f>
        <v>0.487150619664</v>
      </c>
      <c r="P500" s="41">
        <f>(C_air_CO2/C_sat_CO2*F_vent_ex-CO2_fix_l)*(B500/3600)/(V_L_CO2+Vg_CO2)</f>
        <v>0.0001813051445215</v>
      </c>
      <c r="Q500" s="41">
        <f>(P500*N500+pool_b*M500)/(1-pool_ret*M500)</f>
        <v>14.8931650652</v>
      </c>
      <c r="R500" s="41">
        <f>MIN(C_sat_CO2,MAX(C_air_CO2,(pool_ret*Q500+pool_b)*N500+P500*O500))</f>
        <v>15.494151582372</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0.088062328477</v>
      </c>
      <c r="M501" s="41">
        <f>EXP(-L501)</f>
        <v>0.915703800521</v>
      </c>
      <c r="N501" s="41">
        <f>IF(L501&gt;0,(1-M501)/L501,1)</f>
        <v>0.957233370233</v>
      </c>
      <c r="O501" s="41">
        <f>IF(L501&gt;0,(L501-1+M501)/L501^2,1/2)</f>
        <v>0.485640460637</v>
      </c>
      <c r="P501" s="41">
        <f>(C_air_CO2/C_sat_CO2*F_vent_ex-CO2_fix_l)*(B501/3600)/(V_L_CO2+Vg_CO2)</f>
        <v>0.0002030865598355</v>
      </c>
      <c r="Q501" s="41">
        <f>(P501*N501+pool_b*M501)/(1-pool_ret*M501)</f>
        <v>14.065010546225</v>
      </c>
      <c r="R501" s="41">
        <f>MIN(C_sat_CO2,MAX(C_air_CO2,(pool_ret*Q501+pool_b)*N501+P501*O501))</f>
        <v>14.702791083418</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0.098641170229</v>
      </c>
      <c r="M502" s="41">
        <f>EXP(-L502)</f>
        <v>0.90606777379</v>
      </c>
      <c r="N502" s="41">
        <f>IF(L502&gt;0,(1-M502)/L502,1)</f>
        <v>0.952261880021</v>
      </c>
      <c r="O502" s="41">
        <f>IF(L502&gt;0,(L502-1+M502)/L502^2,1/2)</f>
        <v>0.483957356422</v>
      </c>
      <c r="P502" s="41">
        <f>(C_air_CO2/C_sat_CO2*F_vent_ex-CO2_fix_l)*(B502/3600)/(V_L_CO2+Vg_CO2)</f>
        <v>0.000227483150473</v>
      </c>
      <c r="Q502" s="41">
        <f>(P502*N502+pool_b*M502)/(1-pool_ret*M502)</f>
        <v>13.232572794503</v>
      </c>
      <c r="R502" s="41">
        <f>MIN(C_sat_CO2,MAX(C_air_CO2,(pool_ret*Q502+pool_b)*N502+P502*O502))</f>
        <v>13.907092250637</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0.110490155611</v>
      </c>
      <c r="M503" s="41">
        <f>EXP(-L503)</f>
        <v>0.895395144764</v>
      </c>
      <c r="N503" s="41">
        <f>IF(L503&gt;0,(1-M503)/L503,1)</f>
        <v>0.946734617734</v>
      </c>
      <c r="O503" s="41">
        <f>IF(L503&gt;0,(L503-1+M503)/L503^2,1/2)</f>
        <v>0.482082607008</v>
      </c>
      <c r="P503" s="41">
        <f>(C_air_CO2/C_sat_CO2*F_vent_ex-CO2_fix_l)*(B503/3600)/(V_L_CO2+Vg_CO2)</f>
        <v>0.0002548089062218</v>
      </c>
      <c r="Q503" s="41">
        <f>(P503*N503+pool_b*M503)/(1-pool_ret*M503)</f>
        <v>12.401229148279</v>
      </c>
      <c r="R503" s="41">
        <f>MIN(C_sat_CO2,MAX(C_air_CO2,(pool_ret*Q503+pool_b)*N503+P503*O503))</f>
        <v>13.11214898619</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0.123761783815</v>
      </c>
      <c r="M504" s="41">
        <f>EXP(-L504)</f>
        <v>0.883590301324</v>
      </c>
      <c r="N504" s="41">
        <f>IF(L504&gt;0,(1-M504)/L504,1)</f>
        <v>0.94059486771</v>
      </c>
      <c r="O504" s="41">
        <f>IF(L504&gt;0,(L504-1+M504)/L504^2,1/2)</f>
        <v>0.47999576653</v>
      </c>
      <c r="P504" s="41">
        <f>(C_air_CO2/C_sat_CO2*F_vent_ex-CO2_fix_l)*(B504/3600)/(V_L_CO2+Vg_CO2)</f>
        <v>0.000285415515905</v>
      </c>
      <c r="Q504" s="41">
        <f>(P504*N504+pool_b*M504)/(1-pool_ret*M504)</f>
        <v>11.576340524337</v>
      </c>
      <c r="R504" s="41">
        <f>MIN(C_sat_CO2,MAX(C_air_CO2,(pool_ret*Q504+pool_b)*N504+P504*O504))</f>
        <v>12.323035920163</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0.138626863781</v>
      </c>
      <c r="M505" s="41">
        <f>EXP(-L505)</f>
        <v>0.870552802643</v>
      </c>
      <c r="N505" s="41">
        <f>IF(L505&gt;0,(1-M505)/L505,1)</f>
        <v>0.93378147515</v>
      </c>
      <c r="O505" s="41">
        <f>IF(L505&gt;0,(L505-1+M505)/L505^2,1/2)</f>
        <v>0.477674550547</v>
      </c>
      <c r="P505" s="41">
        <f>(C_air_CO2/C_sat_CO2*F_vent_ex-CO2_fix_l)*(B505/3600)/(V_L_CO2+Vg_CO2)</f>
        <v>0.0003196968936979</v>
      </c>
      <c r="Q505" s="41">
        <f>(P505*N505+pool_b*M505)/(1-pool_ret*M505)</f>
        <v>10.763116863008</v>
      </c>
      <c r="R505" s="41">
        <f>MIN(C_sat_CO2,MAX(C_air_CO2,(pool_ret*Q505+pool_b)*N505+P505*O505))</f>
        <v>11.544679765623</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0.155276712539</v>
      </c>
      <c r="M506" s="41">
        <f>EXP(-L506)</f>
        <v>0.85617822945</v>
      </c>
      <c r="N506" s="41">
        <f>IF(L506&gt;0,(1-M506)/L506,1)</f>
        <v>0.92622884783</v>
      </c>
      <c r="O506" s="41">
        <f>IF(L506&gt;0,(L506-1+M506)/L506^2,1/2)</f>
        <v>0.475094758021</v>
      </c>
      <c r="P506" s="41">
        <f>(C_air_CO2/C_sat_CO2*F_vent_ex-CO2_fix_l)*(B506/3600)/(V_L_CO2+Vg_CO2)</f>
        <v>0.0003580942488947</v>
      </c>
      <c r="Q506" s="41">
        <f>(P506*N506+pool_b*M506)/(1-pool_ret*M506)</f>
        <v>9.966490910413</v>
      </c>
      <c r="R506" s="41">
        <f>MIN(C_sat_CO2,MAX(C_air_CO2,(pool_ret*Q506+pool_b)*N506+P506*O506))</f>
        <v>10.781738575932</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0.17392561751</v>
      </c>
      <c r="M507" s="41">
        <f>EXP(-L507)</f>
        <v>0.840359403359</v>
      </c>
      <c r="N507" s="41">
        <f>IF(L507&gt;0,(1-M507)/L507,1)</f>
        <v>0.917867068272</v>
      </c>
      <c r="O507" s="41">
        <f>IF(L507&gt;0,(L507-1+M507)/L507^2,1/2)</f>
        <v>0.472230214868</v>
      </c>
      <c r="P507" s="41">
        <f>(C_air_CO2/C_sat_CO2*F_vent_ex-CO2_fix_l)*(B507/3600)/(V_L_CO2+Vg_CO2)</f>
        <v>0.0004011017643751</v>
      </c>
      <c r="Q507" s="41">
        <f>(P507*N507+pool_b*M507)/(1-pool_ret*M507)</f>
        <v>9.191006791321</v>
      </c>
      <c r="R507" s="41">
        <f>MIN(C_sat_CO2,MAX(C_air_CO2,(pool_ret*Q507+pool_b)*N507+P507*O507))</f>
        <v>10.038495051729</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0.194813594432</v>
      </c>
      <c r="M508" s="41">
        <f>EXP(-L508)</f>
        <v>0.822988053314</v>
      </c>
      <c r="N508" s="41">
        <f>IF(L508&gt;0,(1-M508)/L508,1)</f>
        <v>0.908622148274</v>
      </c>
      <c r="O508" s="41">
        <f>IF(L508&gt;0,(L508-1+M508)/L508^2,1/2)</f>
        <v>0.469052747538</v>
      </c>
      <c r="P508" s="41">
        <f>(C_air_CO2/C_sat_CO2*F_vent_ex-CO2_fix_l)*(B508/3600)/(V_L_CO2+Vg_CO2)</f>
        <v>0.000449272956852</v>
      </c>
      <c r="Q508" s="41">
        <f>(P508*N508+pool_b*M508)/(1-pool_ret*M508)</f>
        <v>8.440728525394</v>
      </c>
      <c r="R508" s="41">
        <f>MIN(C_sat_CO2,MAX(C_air_CO2,(pool_ret*Q508+pool_b)*N508+P508*O508))</f>
        <v>9.318768806194</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0.21820947642</v>
      </c>
      <c r="M509" s="41">
        <f>EXP(-L509)</f>
        <v>0.803957013989</v>
      </c>
      <c r="N509" s="41">
        <f>IF(L509&gt;0,(1-M509)/L509,1)</f>
        <v>0.898416463057</v>
      </c>
      <c r="O509" s="41">
        <f>IF(L509&gt;0,(L509-1+M509)/L509^2,1/2)</f>
        <v>0.465532196904</v>
      </c>
      <c r="P509" s="41">
        <f>(C_air_CO2/C_sat_CO2*F_vent_ex-CO2_fix_l)*(B509/3600)/(V_L_CO2+Vg_CO2)</f>
        <v>0.0005032278007608</v>
      </c>
      <c r="Q509" s="41">
        <f>(P509*N509+pool_b*M509)/(1-pool_ret*M509)</f>
        <v>7.71917196138</v>
      </c>
      <c r="R509" s="41">
        <f>MIN(C_sat_CO2,MAX(C_air_CO2,(pool_ret*Q509+pool_b)*N509+P509*O509))</f>
        <v>8.625850898996</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0.244414373908</v>
      </c>
      <c r="M510" s="41">
        <f>EXP(-L510)</f>
        <v>0.783163044685</v>
      </c>
      <c r="N510" s="41">
        <f>IF(L510&gt;0,(1-M510)/L510,1)</f>
        <v>0.887169407623</v>
      </c>
      <c r="O510" s="41">
        <f>IF(L510&gt;0,(L510-1+M510)/L510^2,1/2)</f>
        <v>0.461636484681</v>
      </c>
      <c r="P510" s="41">
        <f>(C_air_CO2/C_sat_CO2*F_vent_ex-CO2_fix_l)*(B510/3600)/(V_L_CO2+Vg_CO2)</f>
        <v>0.000563660707474</v>
      </c>
      <c r="Q510" s="41">
        <f>(P510*N510+pool_b*M510)/(1-pool_ret*M510)</f>
        <v>7.029261757103</v>
      </c>
      <c r="R510" s="41">
        <f>MIN(C_sat_CO2,MAX(C_air_CO2,(pool_ret*Q510+pool_b)*N510+P510*O510))</f>
        <v>7.962462191252</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0.273765550015</v>
      </c>
      <c r="M511" s="41">
        <f>EXP(-L511)</f>
        <v>0.760510356003</v>
      </c>
      <c r="N511" s="41">
        <f>IF(L511&gt;0,(1-M511)/L511,1)</f>
        <v>0.874798322814</v>
      </c>
      <c r="O511" s="41">
        <f>IF(L511&gt;0,(L511-1+M511)/L511^2,1/2)</f>
        <v>0.457331746742</v>
      </c>
      <c r="P511" s="41">
        <f>(C_air_CO2/C_sat_CO2*F_vent_ex-CO2_fix_l)*(B511/3600)/(V_L_CO2+Vg_CO2)</f>
        <v>0.0006313494625371</v>
      </c>
      <c r="Q511" s="41">
        <f>(P511*N511+pool_b*M511)/(1-pool_ret*M511)</f>
        <v>6.373313229214</v>
      </c>
      <c r="R511" s="41">
        <f>MIN(C_sat_CO2,MAX(C_air_CO2,(pool_ret*Q511+pool_b)*N511+P511*O511))</f>
        <v>7.330735357357</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0.306640761193</v>
      </c>
      <c r="M512" s="41">
        <f>EXP(-L512)</f>
        <v>0.735914922626</v>
      </c>
      <c r="N512" s="41">
        <f>IF(L512&gt;0,(1-M512)/L512,1)</f>
        <v>0.861219742433</v>
      </c>
      <c r="O512" s="41">
        <f>IF(L512&gt;0,(L512-1+M512)/L512^2,1/2)</f>
        <v>0.45258254978</v>
      </c>
      <c r="P512" s="41">
        <f>(C_air_CO2/C_sat_CO2*F_vent_ex-CO2_fix_l)*(B512/3600)/(V_L_CO2+Vg_CO2)</f>
        <v>0.000707165235949</v>
      </c>
      <c r="Q512" s="41">
        <f>(P512*N512+pool_b*M512)/(1-pool_ret*M512)</f>
        <v>5.753037315975</v>
      </c>
      <c r="R512" s="41">
        <f>MIN(C_sat_CO2,MAX(C_air_CO2,(pool_ret*Q512+pool_b)*N512+P512*O512))</f>
        <v>6.732218887171</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0.343463119045</v>
      </c>
      <c r="M513" s="41">
        <f>EXP(-L513)</f>
        <v>0.709309640679</v>
      </c>
      <c r="N513" s="41">
        <f>IF(L513&gt;0,(1-M513)/L513,1)</f>
        <v>0.846351014715</v>
      </c>
      <c r="O513" s="41">
        <f>IF(L513&gt;0,(L513-1+M513)/L513^2,1/2)</f>
        <v>0.447352209786</v>
      </c>
      <c r="P513" s="41">
        <f>(C_air_CO2/C_sat_CO2*F_vent_ex-CO2_fix_l)*(B513/3600)/(V_L_CO2+Vg_CO2)</f>
        <v>0.0007920837943223</v>
      </c>
      <c r="Q513" s="41">
        <f>(P513*N513+pool_b*M513)/(1-pool_ret*M513)</f>
        <v>5.169565666682</v>
      </c>
      <c r="R513" s="41">
        <f>MIN(C_sat_CO2,MAX(C_air_CO2,(pool_ret*Q513+pool_b)*N513+P513*O513))</f>
        <v>6.167900245878</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0.38470653587</v>
      </c>
      <c r="M514" s="41">
        <f>EXP(-L514)</f>
        <v>0.680650353362</v>
      </c>
      <c r="N514" s="41">
        <f>IF(L514&gt;0,(1-M514)/L514,1)</f>
        <v>0.830112350225</v>
      </c>
      <c r="O514" s="41">
        <f>IF(L514&gt;0,(L514-1+M514)/L514^2,1/2)</f>
        <v>0.441603232424</v>
      </c>
      <c r="P514" s="41">
        <f>(C_air_CO2/C_sat_CO2*F_vent_ex-CO2_fix_l)*(B514/3600)/(V_L_CO2+Vg_CO2)</f>
        <v>0.0008871980592264</v>
      </c>
      <c r="Q514" s="41">
        <f>(P514*N514+pool_b*M514)/(1-pool_ret*M514)</f>
        <v>4.623492057054</v>
      </c>
      <c r="R514" s="41">
        <f>MIN(C_sat_CO2,MAX(C_air_CO2,(pool_ret*Q514+pool_b)*N514+P514*O514))</f>
        <v>5.638244590982</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0.430901824022</v>
      </c>
      <c r="M515" s="41">
        <f>EXP(-L515)</f>
        <v>0.649922714441</v>
      </c>
      <c r="N515" s="41">
        <f>IF(L515&gt;0,(1-M515)/L515,1)</f>
        <v>0.81242934247</v>
      </c>
      <c r="O515" s="41">
        <f>IF(L515&gt;0,(L515-1+M515)/L515^2,1/2)</f>
        <v>0.43529789635</v>
      </c>
      <c r="P515" s="41">
        <f>(C_air_CO2/C_sat_CO2*F_vent_ex-CO2_fix_l)*(B515/3600)/(V_L_CO2+Vg_CO2)</f>
        <v>0.0009937321733415</v>
      </c>
      <c r="Q515" s="41">
        <f>(P515*N515+pool_b*M515)/(1-pool_ret*M515)</f>
        <v>4.114925934965</v>
      </c>
      <c r="R515" s="41">
        <f>MIN(C_sat_CO2,MAX(C_air_CO2,(pool_ret*Q515+pool_b)*N515+P515*O515))</f>
        <v>5.143245080885</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0.482643527587</v>
      </c>
      <c r="M516" s="41">
        <f>EXP(-L516)</f>
        <v>0.617149781038</v>
      </c>
      <c r="N516" s="41">
        <f>IF(L516&gt;0,(1-M516)/L516,1)</f>
        <v>0.793235995261</v>
      </c>
      <c r="O516" s="41">
        <f>IF(L516&gt;0,(L516-1+M516)/L516^2,1/2)</f>
        <v>0.428399000341</v>
      </c>
      <c r="P516" s="41">
        <f>(C_air_CO2/C_sat_CO2*F_vent_ex-CO2_fix_l)*(B516/3600)/(V_L_CO2+Vg_CO2)</f>
        <v>0.001113057255</v>
      </c>
      <c r="Q516" s="41">
        <f>(P516*N516+pool_b*M516)/(1-pool_ret*M516)</f>
        <v>3.643553879668</v>
      </c>
      <c r="R516" s="41">
        <f>MIN(C_sat_CO2,MAX(C_air_CO2,(pool_ret*Q516+pool_b)*N516+P516*O516))</f>
        <v>4.68248080506</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0.540597574309</v>
      </c>
      <c r="M517" s="41">
        <f>EXP(-L517)</f>
        <v>0.582400121018</v>
      </c>
      <c r="N517" s="41">
        <f>IF(L517&gt;0,(1-M517)/L517,1)</f>
        <v>0.772478270027</v>
      </c>
      <c r="O517" s="41">
        <f>IF(L517&gt;0,(L517-1+M517)/L517^2,1/2)</f>
        <v>0.420870793333</v>
      </c>
      <c r="P517" s="41">
        <f>(C_air_CO2/C_sat_CO2*F_vent_ex-CO2_fix_l)*(B517/3600)/(V_L_CO2+Vg_CO2)</f>
        <v>0.001246709047</v>
      </c>
      <c r="Q517" s="41">
        <f>(P517*N517+pool_b*M517)/(1-pool_ret*M517)</f>
        <v>3.208705032252</v>
      </c>
      <c r="R517" s="41">
        <f>MIN(C_sat_CO2,MAX(C_air_CO2,(pool_ret*Q517+pool_b)*N517+P517*O517))</f>
        <v>4.25517864898</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0.605509846228</v>
      </c>
      <c r="M518" s="41">
        <f>EXP(-L518)</f>
        <v>0.545796083615</v>
      </c>
      <c r="N518" s="41">
        <f>IF(L518&gt;0,(1-M518)/L518,1)</f>
        <v>0.750118134683</v>
      </c>
      <c r="O518" s="41">
        <f>IF(L518&gt;0,(L518-1+M518)/L518^2,1/2)</f>
        <v>0.412680102353</v>
      </c>
      <c r="P518" s="41">
        <f>(C_air_CO2/C_sat_CO2*F_vent_ex-CO2_fix_l)*(B518/3600)/(V_L_CO2+Vg_CO2)</f>
        <v>0.001396407678</v>
      </c>
      <c r="Q518" s="41">
        <f>(P518*N518+pool_b*M518)/(1-pool_ret*M518)</f>
        <v>2.809417032271</v>
      </c>
      <c r="R518" s="41">
        <f>MIN(C_sat_CO2,MAX(C_air_CO2,(pool_ret*Q518+pool_b)*N518+P518*O518))</f>
        <v>3.860275890547</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0.678215779361</v>
      </c>
      <c r="M519" s="41">
        <f>EXP(-L519)</f>
        <v>0.507521715732</v>
      </c>
      <c r="N519" s="41">
        <f>IF(L519&gt;0,(1-M519)/L519,1)</f>
        <v>0.726138051125</v>
      </c>
      <c r="O519" s="41">
        <f>IF(L519&gt;0,(L519-1+M519)/L519^2,1/2)</f>
        <v>0.403797666184</v>
      </c>
      <c r="P519" s="41">
        <f>(C_air_CO2/C_sat_CO2*F_vent_ex-CO2_fix_l)*(B519/3600)/(V_L_CO2+Vg_CO2)</f>
        <v>0.001564079804</v>
      </c>
      <c r="Q519" s="41">
        <f>(P519*N519+pool_b*M519)/(1-pool_ret*M519)</f>
        <v>2.444499582179</v>
      </c>
      <c r="R519" s="41">
        <f>MIN(C_sat_CO2,MAX(C_air_CO2,(pool_ret*Q519+pool_b)*N519+P519*O519))</f>
        <v>3.49648092187</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0.759651115954</v>
      </c>
      <c r="M520" s="41">
        <f>EXP(-L520)</f>
        <v>0.46782961683</v>
      </c>
      <c r="N520" s="41">
        <f>IF(L520&gt;0,(1-M520)/L520,1)</f>
        <v>0.700545779494</v>
      </c>
      <c r="O520" s="41">
        <f>IF(L520&gt;0,(L520-1+M520)/L520^2,1/2)</f>
        <v>0.394199671688</v>
      </c>
      <c r="P520" s="41">
        <f>(C_air_CO2/C_sat_CO2*F_vent_ex-CO2_fix_l)*(B520/3600)/(V_L_CO2+Vg_CO2)</f>
        <v>0.001751883404</v>
      </c>
      <c r="Q520" s="41">
        <f>(P520*N520+pool_b*M520)/(1-pool_ret*M520)</f>
        <v>2.112593375686</v>
      </c>
      <c r="R520" s="41">
        <f>MIN(C_sat_CO2,MAX(C_air_CO2,(pool_ret*Q520+pool_b)*N520+P520*O520))</f>
        <v>3.162330124552</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0.850863947703</v>
      </c>
      <c r="M521" s="41">
        <f>EXP(-L521)</f>
        <v>0.427045827266</v>
      </c>
      <c r="N521" s="41">
        <f>IF(L521&gt;0,(1-M521)/L521,1)</f>
        <v>0.673379303801</v>
      </c>
      <c r="O521" s="41">
        <f>IF(L521&gt;0,(L521-1+M521)/L521^2,1/2)</f>
        <v>0.383869474175</v>
      </c>
      <c r="P521" s="41">
        <f>(C_air_CO2/C_sat_CO2*F_vent_ex-CO2_fix_l)*(B521/3600)/(V_L_CO2+Vg_CO2)</f>
        <v>0.001962235555</v>
      </c>
      <c r="Q521" s="41">
        <f>(P521*N521+pool_b*M521)/(1-pool_ret*M521)</f>
        <v>1.812222704435</v>
      </c>
      <c r="R521" s="41">
        <f>MIN(C_sat_CO2,MAX(C_air_CO2,(pool_ret*Q521+pool_b)*N521+P521*O521))</f>
        <v>2.856239538437</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0.953028204938</v>
      </c>
      <c r="M522" s="41">
        <f>EXP(-L522)</f>
        <v>0.385571663802</v>
      </c>
      <c r="N522" s="41">
        <f>IF(L522&gt;0,(1-M522)/L522,1)</f>
        <v>0.644711597217</v>
      </c>
      <c r="O522" s="41">
        <f>IF(L522&gt;0,(L522-1+M522)/L522^2,1/2)</f>
        <v>0.372799462746</v>
      </c>
      <c r="P522" s="41">
        <f>(C_air_CO2/C_sat_CO2*F_vent_ex-CO2_fix_l)*(B522/3600)/(V_L_CO2+Vg_CO2)</f>
        <v>0.002197843538</v>
      </c>
      <c r="Q522" s="41">
        <f>(P522*N522+pool_b*M522)/(1-pool_ret*M522)</f>
        <v>1.541840556721</v>
      </c>
      <c r="R522" s="41">
        <f>MIN(C_sat_CO2,MAX(C_air_CO2,(pool_ret*Q522+pool_b)*N522+P522*O522))</f>
        <v>2.576550511661</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1.067458765376</v>
      </c>
      <c r="M523" s="41">
        <f>EXP(-L523)</f>
        <v>0.343881291031</v>
      </c>
      <c r="N523" s="41">
        <f>IF(L523&gt;0,(1-M523)/L523,1)</f>
        <v>0.614654851551</v>
      </c>
      <c r="O523" s="41">
        <f>IF(L523&gt;0,(L523-1+M523)/L523^2,1/2)</f>
        <v>0.360993005958</v>
      </c>
      <c r="P523" s="41">
        <f>(C_air_CO2/C_sat_CO2*F_vent_ex-CO2_fix_l)*(B523/3600)/(V_L_CO2+Vg_CO2)</f>
        <v>0.002461739681</v>
      </c>
      <c r="Q523" s="41">
        <f>(P523*N523+pool_b*M523)/(1-pool_ret*M523)</f>
        <v>1.299865421143</v>
      </c>
      <c r="R523" s="41">
        <f>MIN(C_sat_CO2,MAX(C_air_CO2,(pool_ret*Q523+pool_b)*N523+P523*O523))</f>
        <v>2.321568979937</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1.19562837691</v>
      </c>
      <c r="M524" s="41">
        <f>EXP(-L524)</f>
        <v>0.302513801757</v>
      </c>
      <c r="N524" s="41">
        <f>IF(L524&gt;0,(1-M524)/L524,1)</f>
        <v>0.583363703734</v>
      </c>
      <c r="O524" s="41">
        <f>IF(L524&gt;0,(L524-1+M524)/L524^2,1/2)</f>
        <v>0.348466383295</v>
      </c>
      <c r="P524" s="41">
        <f>(C_air_CO2/C_sat_CO2*F_vent_ex-CO2_fix_l)*(B524/3600)/(V_L_CO2+Vg_CO2)</f>
        <v>0.00275732039</v>
      </c>
      <c r="Q524" s="41">
        <f>(P524*N524+pool_b*M524)/(1-pool_ret*M524)</f>
        <v>1.084709307322</v>
      </c>
      <c r="R524" s="41">
        <f>MIN(C_sat_CO2,MAX(C_air_CO2,(pool_ret*Q524+pool_b)*N524+P524*O524))</f>
        <v>2.089598385765</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1.339186612206</v>
      </c>
      <c r="M525" s="41">
        <f>EXP(-L525)</f>
        <v>0.262058737293</v>
      </c>
      <c r="N525" s="41">
        <f>IF(L525&gt;0,(1-M525)/L525,1)</f>
        <v>0.55103691747</v>
      </c>
      <c r="O525" s="41">
        <f>IF(L525&gt;0,(L525-1+M525)/L525^2,1/2)</f>
        <v>0.335250575564</v>
      </c>
      <c r="P525" s="41">
        <f>(C_air_CO2/C_sat_CO2*F_vent_ex-CO2_fix_l)*(B525/3600)/(V_L_CO2+Vg_CO2)</f>
        <v>0.003088389857</v>
      </c>
      <c r="Q525" s="41">
        <f>(P525*N525+pool_b*M525)/(1-pool_ret*M525)</f>
        <v>0.894796717084</v>
      </c>
      <c r="R525" s="41">
        <f>MIN(C_sat_CO2,MAX(C_air_CO2,(pool_ret*Q525+pool_b)*N525+P525*O525))</f>
        <v>1.878966515222</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1.499981099098</v>
      </c>
      <c r="M526" s="41">
        <f>EXP(-L526)</f>
        <v>0.22313437755</v>
      </c>
      <c r="N526" s="41">
        <f>IF(L526&gt;0,(1-M526)/L526,1)</f>
        <v>0.517916941032</v>
      </c>
      <c r="O526" s="41">
        <f>IF(L526&gt;0,(L526-1+M526)/L526^2,1/2)</f>
        <v>0.321392755721</v>
      </c>
      <c r="P526" s="41">
        <f>(C_air_CO2/C_sat_CO2*F_vent_ex-CO2_fix_l)*(B526/3600)/(V_L_CO2+Vg_CO2)</f>
        <v>0.003459209023</v>
      </c>
      <c r="Q526" s="41">
        <f>(P526*N526+pool_b*M526)/(1-pool_ret*M526)</f>
        <v>0.728574487869</v>
      </c>
      <c r="R526" s="41">
        <f>MIN(C_sat_CO2,MAX(C_air_CO2,(pool_ret*Q526+pool_b)*N526+P526*O526))</f>
        <v>1.688046709667</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1.680081299976</v>
      </c>
      <c r="M527" s="41">
        <f>EXP(-L527)</f>
        <v>0.186358824456</v>
      </c>
      <c r="N527" s="41">
        <f>IF(L527&gt;0,(1-M527)/L527,1)</f>
        <v>0.484286787524</v>
      </c>
      <c r="O527" s="41">
        <f>IF(L527&gt;0,(L527-1+M527)/L527^2,1/2)</f>
        <v>0.306957295747</v>
      </c>
      <c r="P527" s="41">
        <f>(C_air_CO2/C_sat_CO2*F_vent_ex-CO2_fix_l)*(B527/3600)/(V_L_CO2+Vg_CO2)</f>
        <v>0.003874550416</v>
      </c>
      <c r="Q527" s="41">
        <f>(P527*N527+pool_b*M527)/(1-pool_ret*M527)</f>
        <v>0.584512655602</v>
      </c>
      <c r="R527" s="41">
        <f>MIN(C_sat_CO2,MAX(C_air_CO2,(pool_ret*Q527+pool_b)*N527+P527*O527))</f>
        <v>1.515274015154</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1.881805146255</v>
      </c>
      <c r="M528" s="41">
        <f>EXP(-L528)</f>
        <v>0.152314906761</v>
      </c>
      <c r="N528" s="41">
        <f>IF(L528&gt;0,(1-M528)/L528,1)</f>
        <v>0.450463797979</v>
      </c>
      <c r="O528" s="41">
        <f>IF(L528&gt;0,(L528-1+M528)/L528^2,1/2)</f>
        <v>0.292026091604</v>
      </c>
      <c r="P528" s="41">
        <f>(C_air_CO2/C_sat_CO2*F_vent_ex-CO2_fix_l)*(B528/3600)/(V_L_CO2+Vg_CO2)</f>
        <v>0.004339759578</v>
      </c>
      <c r="Q528" s="41">
        <f>(P528*N528+pool_b*M528)/(1-pool_ret*M528)</f>
        <v>0.461096842072</v>
      </c>
      <c r="R528" s="41">
        <f>MIN(C_sat_CO2,MAX(C_air_CO2,(pool_ret*Q528+pool_b)*N528+P528*O528))</f>
        <v>1.359156878109</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2.107748870689</v>
      </c>
      <c r="M529" s="41">
        <f>EXP(-L529)</f>
        <v>0.121511196196</v>
      </c>
      <c r="N529" s="41">
        <f>IF(L529&gt;0,(1-M529)/L529,1)</f>
        <v>0.41679007211</v>
      </c>
      <c r="O529" s="41">
        <f>IF(L529&gt;0,(L529-1+M529)/L529^2,1/2)</f>
        <v>0.276698014645</v>
      </c>
      <c r="P529" s="41">
        <f>(C_air_CO2/C_sat_CO2*F_vent_ex-CO2_fix_l)*(B529/3600)/(V_L_CO2+Vg_CO2)</f>
        <v>0.004860823857</v>
      </c>
      <c r="Q529" s="41">
        <f>(P529*N529+pool_b*M529)/(1-pool_ret*M529)</f>
        <v>0.356813273892</v>
      </c>
      <c r="R529" s="41">
        <f>MIN(C_sat_CO2,MAX(C_air_CO2,(pool_ret*Q529+pool_b)*N529+P529*O529))</f>
        <v>1.218284997392</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2.360820421489</v>
      </c>
      <c r="M530" s="41">
        <f>EXP(-L530)</f>
        <v>0.094342790584</v>
      </c>
      <c r="N530" s="41">
        <f>IF(L530&gt;0,(1-M530)/L530,1)</f>
        <v>0.383619694735</v>
      </c>
      <c r="O530" s="41">
        <f>IF(L530&gt;0,(L530-1+M530)/L530^2,1/2)</f>
        <v>0.261087332037</v>
      </c>
      <c r="P530" s="41">
        <f>(C_air_CO2/C_sat_CO2*F_vent_ex-CO2_fix_l)*(B530/3600)/(V_L_CO2+Vg_CO2)</f>
        <v>0.005444449472</v>
      </c>
      <c r="Q530" s="41">
        <f>(P530*N530+pool_b*M530)/(1-pool_ret*M530)</f>
        <v>0.270128488436</v>
      </c>
      <c r="R530" s="41">
        <f>MIN(C_sat_CO2,MAX(C_air_CO2,(pool_ret*Q530+pool_b)*N530+P530*O530))</f>
        <v>1.091333915162</v>
      </c>
      <c r="S530" s="41">
        <f>IF(AND(R530&gt;=CO2_pH_hi_mt,R531&lt;CO2_pH_hi_mt),EXP(LN(A530)+(LN(A531)-LN(A530))*(R530-CO2_pH_hi_mt)/(R530-R531)),0)</f>
        <v>0.0</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2.644276888292</v>
      </c>
      <c r="M531" s="41">
        <f>EXP(-L531)</f>
        <v>0.071056717111</v>
      </c>
      <c r="N531" s="41">
        <f>IF(L531&gt;0,(1-M531)/L531,1)</f>
        <v>0.351303332492</v>
      </c>
      <c r="O531" s="41">
        <f>IF(L531&gt;0,(L531-1+M531)/L531^2,1/2)</f>
        <v>0.245321006427</v>
      </c>
      <c r="P531" s="41">
        <f>(C_air_CO2/C_sat_CO2*F_vent_ex-CO2_fix_l)*(B531/3600)/(V_L_CO2+Vg_CO2)</f>
        <v>0.006098147821</v>
      </c>
      <c r="Q531" s="41">
        <f>(P531*N531+pool_b*M531)/(1-pool_ret*M531)</f>
        <v>0.199467112259</v>
      </c>
      <c r="R531" s="41">
        <f>MIN(C_sat_CO2,MAX(C_air_CO2,(pool_ret*Q531+pool_b)*N531+P531*O531))</f>
        <v>0.977066886729</v>
      </c>
      <c r="S531" s="41">
        <f>IF(AND(R531&gt;=CO2_pH_hi_mt,R532&lt;CO2_pH_hi_mt),EXP(LN(A531)+(LN(A532)-LN(A531))*(R531-CO2_pH_hi_mt)/(R531-R532)),0)</f>
        <v>612.612318746651</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2.96176642166</v>
      </c>
      <c r="M532" s="41">
        <f>EXP(-L532)</f>
        <v>0.051727463911</v>
      </c>
      <c r="N532" s="41">
        <f>IF(L532&gt;0,(1-M532)/L532,1)</f>
        <v>0.320171276558</v>
      </c>
      <c r="O532" s="41">
        <f>IF(L532&gt;0,(L532-1+M532)/L532^2,1/2)</f>
        <v>0.229534887853</v>
      </c>
      <c r="P532" s="41">
        <f>(C_air_CO2/C_sat_CO2*F_vent_ex-CO2_fix_l)*(B532/3600)/(V_L_CO2+Vg_CO2)</f>
        <v>0.006830332152</v>
      </c>
      <c r="Q532" s="41">
        <f>(P532*N532+pool_b*M532)/(1-pool_ret*M532)</f>
        <v>0.143192683639</v>
      </c>
      <c r="R532" s="41">
        <f>MIN(C_sat_CO2,MAX(C_air_CO2,(pool_ret*Q532+pool_b)*N532+P532*O532))</f>
        <v>0.874334526665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3.317375185628</v>
      </c>
      <c r="M533" s="41">
        <f>EXP(-L533)</f>
        <v>0.036247850876</v>
      </c>
      <c r="N533" s="41">
        <f>IF(L533&gt;0,(1-M533)/L533,1)</f>
        <v>0.290516476189</v>
      </c>
      <c r="O533" s="41">
        <f>IF(L533&gt;0,(L533-1+M533)/L533^2,1/2)</f>
        <v>0.213868942797</v>
      </c>
      <c r="P533" s="41">
        <f>(C_air_CO2/C_sat_CO2*F_vent_ex-CO2_fix_l)*(B533/3600)/(V_L_CO2+Vg_CO2)</f>
        <v>0.007650425849</v>
      </c>
      <c r="Q533" s="41">
        <f>(P533*N533+pool_b*M533)/(1-pool_ret*M533)</f>
        <v>0.099597933753</v>
      </c>
      <c r="R533" s="41">
        <f>MIN(C_sat_CO2,MAX(C_air_CO2,(pool_ret*Q533+pool_b)*N533+P533*O533))</f>
        <v>0.782072696564</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3.71567994758</v>
      </c>
      <c r="M534" s="41">
        <f>EXP(-L534)</f>
        <v>0.024338886321</v>
      </c>
      <c r="N534" s="41">
        <f>IF(L534&gt;0,(1-M534)/L534,1)</f>
        <v>0.262579427573</v>
      </c>
      <c r="O534" s="41">
        <f>IF(L534&gt;0,(L534-1+M534)/L534^2,1/2)</f>
        <v>0.198461811251</v>
      </c>
      <c r="P534" s="41">
        <f>(C_air_CO2/C_sat_CO2*F_vent_ex-CO2_fix_l)*(B534/3600)/(V_L_CO2+Vg_CO2)</f>
        <v>0.008568983708</v>
      </c>
      <c r="Q534" s="41">
        <f>(P534*N534+pool_b*M534)/(1-pool_ret*M534)</f>
        <v>0.066911501477</v>
      </c>
      <c r="R534" s="41">
        <f>MIN(C_sat_CO2,MAX(C_air_CO2,(pool_ret*Q534+pool_b)*N534+P534*O534))</f>
        <v>0.699299085505</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4.161806982313</v>
      </c>
      <c r="M535" s="41">
        <f>EXP(-L535)</f>
        <v>0.015579380804</v>
      </c>
      <c r="N535" s="41">
        <f>IF(L535&gt;0,(1-M535)/L535,1)</f>
        <v>0.236536827243</v>
      </c>
      <c r="O535" s="41">
        <f>IF(L535&gt;0,(L535-1+M535)/L535^2,1/2)</f>
        <v>0.18344511795</v>
      </c>
      <c r="P535" s="41">
        <f>(C_air_CO2/C_sat_CO2*F_vent_ex-CO2_fix_l)*(B535/3600)/(V_L_CO2+Vg_CO2)</f>
        <v>0.009597827781</v>
      </c>
      <c r="Q535" s="41">
        <f>(P535*N535+pool_b*M535)/(1-pool_ret*M535)</f>
        <v>0.04332676369</v>
      </c>
      <c r="R535" s="41">
        <f>MIN(C_sat_CO2,MAX(C_air_CO2,(pool_ret*Q535+pool_b)*N535+P535*O535))</f>
        <v>0.625108934548</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4.661498048379</v>
      </c>
      <c r="M536" s="41">
        <f>EXP(-L536)</f>
        <v>0.0094522918</v>
      </c>
      <c r="N536" s="41">
        <f>IF(L536&gt;0,(1-M536)/L536,1)</f>
        <v>0.21249557501</v>
      </c>
      <c r="O536" s="41">
        <f>IF(L536&gt;0,(L536-1+M536)/L536^2,1/2)</f>
        <v>0.168938057426</v>
      </c>
      <c r="P536" s="41">
        <f>(C_air_CO2/C_sat_CO2*F_vent_ex-CO2_fix_l)*(B536/3600)/(V_L_CO2+Vg_CO2)</f>
        <v>0.010750199531</v>
      </c>
      <c r="Q536" s="41">
        <f>(P536*N536+pool_b*M536)/(1-pool_ret*M536)</f>
        <v>0.027054526763</v>
      </c>
      <c r="R536" s="41">
        <f>MIN(C_sat_CO2,MAX(C_air_CO2,(pool_ret*Q536+pool_b)*N536+P536*O536))</f>
        <v>0.558670355068</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5.221184285857</v>
      </c>
      <c r="M537" s="41">
        <f>EXP(-L537)</f>
        <v>0.005400929094</v>
      </c>
      <c r="N537" s="41">
        <f>IF(L537&gt;0,(1-M537)/L537,1)</f>
        <v>0.19049300244</v>
      </c>
      <c r="O537" s="41">
        <f>IF(L537&gt;0,(L537-1+M537)/L537^2,1/2)</f>
        <v>0.155042793596</v>
      </c>
      <c r="P537" s="41">
        <f>(C_air_CO2/C_sat_CO2*F_vent_ex-CO2_fix_l)*(B537/3600)/(V_L_CO2+Vg_CO2)</f>
        <v>0.01204093025</v>
      </c>
      <c r="Q537" s="41">
        <f>(P537*N537+pool_b*M537)/(1-pool_ret*M537)</f>
        <v>0.016394846184</v>
      </c>
      <c r="R537" s="41">
        <f>MIN(C_sat_CO2,MAX(C_air_CO2,(pool_ret*Q537+pool_b)*N537+P537*O537))</f>
        <v>0.499219659328</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5.848068986615</v>
      </c>
      <c r="M538" s="41">
        <f>EXP(-L538)</f>
        <v>0.002885465655</v>
      </c>
      <c r="N538" s="41">
        <f>IF(L538&gt;0,(1-M538)/L538,1)</f>
        <v>0.17050320997</v>
      </c>
      <c r="O538" s="41">
        <f>IF(L538&gt;0,(L538-1+M538)/L538^2,1/2)</f>
        <v>0.141841143107</v>
      </c>
      <c r="P538" s="41">
        <f>(C_air_CO2/C_sat_CO2*F_vent_ex-CO2_fix_l)*(B538/3600)/(V_L_CO2+Vg_CO2)</f>
        <v>0.013486631942</v>
      </c>
      <c r="Q538" s="41">
        <f>(P538*N538+pool_b*M538)/(1-pool_ret*M538)</f>
        <v>0.009815867939</v>
      </c>
      <c r="R538" s="41">
        <f>MIN(C_sat_CO2,MAX(C_air_CO2,(pool_ret*Q538+pool_b)*N538+P538*O538))</f>
        <v>0.446057031952</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6.550220302351</v>
      </c>
      <c r="M539" s="41">
        <f>EXP(-L539)</f>
        <v>0.001429800575</v>
      </c>
      <c r="N539" s="41">
        <f>IF(L539&gt;0,(1-M539)/L539,1)</f>
        <v>0.152448338122</v>
      </c>
      <c r="O539" s="41">
        <f>IF(L539&gt;0,(L539-1+M539)/L539^2,1/2)</f>
        <v>0.129392848295</v>
      </c>
      <c r="P539" s="41">
        <f>(C_air_CO2/C_sat_CO2*F_vent_ex-CO2_fix_l)*(B539/3600)/(V_L_CO2+Vg_CO2)</f>
        <v>0.015105911124</v>
      </c>
      <c r="Q539" s="41">
        <f>(P539*N539+pool_b*M539)/(1-pool_ret*M539)</f>
        <v>0.006022438775</v>
      </c>
      <c r="R539" s="41">
        <f>MIN(C_sat_CO2,MAX(C_air_CO2,(pool_ret*Q539+pool_b)*N539+P539*O539))</f>
        <v>0.398542714502</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IF(DO_target-DO_surf_excess_su&gt;0,(DO_target-DO_surf_excess_su)/(H_O2_T*P_dry),NA())</f>
        <v>#N/A</v>
      </c>
      <c r="E542" s="51" t="inlineStr">
        <is>
          <t xml:space="preserve">As D183 on the start-up source (D576). #N/A = the surface cannot carry the lag O₂ flux at the target DO at any interval.</t>
        </is>
      </c>
    </row>
    <row r="543">
      <c r="A543" s="18" t="inlineStr">
        <is>
          <t xml:space="preserve">Duty needed to hold it — lag</t>
        </is>
      </c>
      <c r="B543" s="19" t="inlineStr">
        <is>
          <t xml:space="preserve">duty_DO_l</t>
        </is>
      </c>
      <c r="C543" s="20" t="inlineStr">
        <is>
          <t xml:space="preserve">-</t>
        </is>
      </c>
      <c r="D543" s="41" t="e">
        <f>IF(ISNUMBER(y_O2_star_l),MAX(0,((O2_src_su+y_O2_air*F_vent_ex)*saw_factor/y_O2_star_l-F_dil-O2_src_su-H2_src_su+CO2_fix_l)/CO2_rate_full),NA())</f>
        <v>#N/A</v>
      </c>
      <c r="E543" s="51" t="inlineStr">
        <is>
          <t xml:space="preserve">As D184 on the start-up sources (D572, D573).</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IF(ph_unreach_l,NA(),MIN(spg_int_carbon,IF(ISNUMBER(spg_int_DO_l),spg_int_DO_l,spg_int_max_su),IF(ISNUMBER(spg_int_H2safe_su_opt),spg_int_H2safe_su_opt,spg_int_carbon),IF(ISNUMBER(spg_int_pH_l),spg_int_pH_l*spg_dur_eq_opt/spg_dur_eq,spg_int_carbon)))</f>
        <v>1.20664768662</v>
      </c>
      <c r="E546" s="51" t="inlineStr">
        <is>
          <t xml:space="preserve">The shortest of the carbon bound, the lag O₂ bound (or the start-up legacy guard D583 when the lag DO target is unreachable), the start-up hazard-screen interval (D582) and the lag pH ceiling (D561), on the basis of D91, all on the start-up sources (D572–D576). #N/A when no interval holds the lag pH under the ceiling. Equals D91 when Summary D12 is Lag. The lag pH grid (D561) keeps the headline lag gas flow; it binds only at intervals hundreds of times longer.</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1.16</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0.019152777778</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F_gap_su*t_gap_su_h/n_hs_gas</f>
        <v>0.037192064462</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0.981632381646</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0.49385853192</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S_O2_su*t_gap_su_h/n_hs_gas</f>
        <v>0.011544614242</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0.017443301407</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0.011927197861</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(DO_surf_excess_su+H_O2_T*P_dry*y_O2_avg_su)*M_O2</f>
        <v>4.499880552063</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(DO_surf_excess_su+H_O2_T*P_dry*z_peak_su)*M_O2</f>
        <v>4.515479521662</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H2_src_su*t_gap_su_h/n_hs_gas*phi_su/(1-flush_ret*EXP(-x_su))</f>
        <v>0.030527042916</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7.278075122043e-05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612.612318746651</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IF(F_gap_g&gt;0,S_O2_g/F_gap_g+(y_O2_post_g-S_O2_g/F_gap_g)*IF(ABS((1/tau_L_h)-(F_gap_g/n_hs_gas))&gt;rate_tol_rel*(1/tau_L_h),(1/tau_L_h)/((1/tau_L_h)-(F_gap_g/n_hs_gas))*(EXP(-(F_gap_g/n_hs_gas)*t_gap_h)-EXP(-(1/tau_L_h)*t_gap_h)),(1/tau_L_h)*t_gap_h*EXP(-(1/tau_L_h)*t_gap_h))/(1-EXP(-(1/tau_L_h)*t_gap_h)),y_O2_post_g-S_O2_g/n_hs_gas/(1/tau_L_h)+S_O2_g/n_hs_gas*t_gap_h/(1-EXP(-(1/tau_L_h)*t_gap_h)))</f>
        <v>0.035988377729</v>
      </c>
      <c r="E566" s="51" t="inlineStr">
        <is>
          <t xml:space="preserve">Exact periodic solution of the first-order liquid (rate 1/τ, D326) driven by the exponential headspace ramp of the gap (from y_O2_post to S/F at rate F/n), maximal just before a pulse. Replaces the quasi-steady lag correction, which over-trusted gaps comparable to τ.</t>
        </is>
      </c>
    </row>
    <row r="567">
      <c r="A567" s="18" t="inlineStr">
        <is>
          <t xml:space="preserve">Liquid-equilibrium O₂ fraction at its peak — lag</t>
        </is>
      </c>
      <c r="B567" s="19" t="inlineStr">
        <is>
          <t xml:space="preserve">z_peak_l</t>
        </is>
      </c>
      <c r="C567" s="20" t="inlineStr">
        <is>
          <t xml:space="preserve">-</t>
        </is>
      </c>
      <c r="D567" s="41">
        <f>IF(F_gap_l&gt;0,S_O2_l/F_gap_l+(y_O2_post_l-S_O2_l/F_gap_l)*IF(ABS((1/tau_L_h)-(F_gap_l/n_hs_gas))&gt;rate_tol_rel*(1/tau_L_h),(1/tau_L_h)/((1/tau_L_h)-(F_gap_l/n_hs_gas))*(EXP(-(F_gap_l/n_hs_gas)*t_gap_h)-EXP(-(1/tau_L_h)*t_gap_h)),(1/tau_L_h)*t_gap_h*EXP(-(1/tau_L_h)*t_gap_h))/(1-EXP(-(1/tau_L_h)*t_gap_h)),y_O2_post_l-S_O2_l/n_hs_gas/(1/tau_L_h)+S_O2_l/n_hs_gas*t_gap_h/(1-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IF(F_gap_su&gt;0,S_O2_su/F_gap_su+(y_O2_end_su*flush_ret-S_O2_su/F_gap_su)*IF(ABS((1/tau_L_h)-(F_gap_su/n_hs_gas))&gt;rate_tol_rel*(1/tau_L_h),(1/tau_L_h)/((1/tau_L_h)-(F_gap_su/n_hs_gas))*(EXP(-(F_gap_su/n_hs_gas)*t_gap_su_h)-EXP(-(1/tau_L_h)*t_gap_su_h)),(1/tau_L_h)*t_gap_su_h*EXP(-(1/tau_L_h)*t_gap_su_h))/(1-EXP(-(1/tau_L_h)*t_gap_su_h)),y_O2_end_su*flush_ret-S_O2_su/n_hs_gas/(1/tau_L_h)+S_O2_su/n_hs_gas*t_gap_su_h/(1-EXP(-(1/tau_L_h)*t_gap_su_h)))</f>
        <v>0.012412137716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row r="570">
      <c r="A570" s="18" t="inlineStr">
        <is>
          <t xml:space="preserve">(import) Upper bound on the lag O₂ source</t>
        </is>
      </c>
      <c r="B570" s="19" t="inlineStr">
        <is>
          <t xml:space="preserve">O2_net_su_mt</t>
        </is>
      </c>
      <c r="C570" s="20" t="inlineStr">
        <is>
          <t xml:space="preserve">mol/h</t>
        </is>
      </c>
      <c r="D570" s="41">
        <f>Electrochemistry!O2_net_su_max</f>
        <v>5.307542491154e-05</v>
      </c>
      <c r="E570" s="51" t="inlineStr">
        <is>
          <t xml:space="preserve">Import from Electrochemistry!D174.</t>
        </is>
      </c>
    </row>
    <row r="571">
      <c r="A571" s="18" t="inlineStr">
        <is>
          <t xml:space="preserve">(import) Upper bound on the lag H₂ evolution</t>
        </is>
      </c>
      <c r="B571" s="19" t="inlineStr">
        <is>
          <t xml:space="preserve">rH2_su_mt</t>
        </is>
      </c>
      <c r="C571" s="20" t="inlineStr">
        <is>
          <t xml:space="preserve">mol/h</t>
        </is>
      </c>
      <c r="D571" s="41">
        <f>Electrochemistry!rH2_su_max</f>
        <v>0.0001061508498231</v>
      </c>
      <c r="E571" s="51" t="inlineStr">
        <is>
          <t xml:space="preserve">Import from Electrochemistry!D175.</t>
        </is>
      </c>
    </row>
    <row r="572">
      <c r="A572" s="18" t="inlineStr">
        <is>
          <t xml:space="preserve">O₂ source — start-up</t>
        </is>
      </c>
      <c r="B572" s="19" t="inlineStr">
        <is>
          <t xml:space="preserve">O2_src_su</t>
        </is>
      </c>
      <c r="C572" s="20" t="inlineStr">
        <is>
          <t xml:space="preserve">mol/h</t>
        </is>
      </c>
      <c r="D572" s="41">
        <f>IF(O2_sizing_phase=phase_name_2,O2_src_l,O2_net_su_mt)</f>
        <v>5.307542491154e-05</v>
      </c>
      <c r="E572" s="51" t="inlineStr">
        <is>
          <t xml:space="preserve">Sized on Lag, the start-up schedule is the headline one and D129 is checked against it, so the lag source (D310) is consistent. Sized on Growth, the start-up runs at a different DO from DO_lag_ref, so the bound D570 (no cathodic loss) is used: conservative for the DO and the hazard screen.</t>
        </is>
      </c>
    </row>
    <row r="573">
      <c r="A573" s="18" t="inlineStr">
        <is>
          <t xml:space="preserve">H₂ to headspace — start-up</t>
        </is>
      </c>
      <c r="B573" s="19" t="inlineStr">
        <is>
          <t xml:space="preserve">H2_src_su</t>
        </is>
      </c>
      <c r="C573" s="20" t="inlineStr">
        <is>
          <t xml:space="preserve">mol/h</t>
        </is>
      </c>
      <c r="D573" s="41">
        <f>IF(O2_sizing_phase=phase_name_2,H2_src_l,MAX(0,rH2_su_mt-H2_HOR_mt))</f>
        <v>0.0001061508498231</v>
      </c>
      <c r="E573" s="51" t="inlineStr">
        <is>
          <t xml:space="preserve">As D572 for H₂ (D314, or the bound D571 net of anodic oxidation).</t>
        </is>
      </c>
    </row>
    <row r="574">
      <c r="A574" s="18" t="inlineStr">
        <is>
          <t xml:space="preserve">Headspace O₂ inflow — start-up</t>
        </is>
      </c>
      <c r="B574" s="19" t="inlineStr">
        <is>
          <t xml:space="preserve">S_O2_su</t>
        </is>
      </c>
      <c r="C574" s="20" t="inlineStr">
        <is>
          <t xml:space="preserve">mol/h</t>
        </is>
      </c>
      <c r="D574" s="41">
        <f>O2_src_su+y_O2_air*F_vent_ex</f>
        <v>6.065511399778e-05</v>
      </c>
      <c r="E574" s="51" t="inlineStr">
        <is>
          <t xml:space="preserve">As D349 on the start-up source.</t>
        </is>
      </c>
    </row>
    <row r="575">
      <c r="A575" s="18" t="inlineStr">
        <is>
          <t xml:space="preserve">Gas leaving between pulses — start-up</t>
        </is>
      </c>
      <c r="B575" s="19" t="inlineStr">
        <is>
          <t xml:space="preserve">F_gap_su</t>
        </is>
      </c>
      <c r="C575" s="20" t="inlineStr">
        <is>
          <t xml:space="preserve">mol/h</t>
        </is>
      </c>
      <c r="D575" s="41">
        <f>F_dil+MAX(0,O2_src_su+H2_src_su-CO2_fix_l)</f>
        <v>0.0001954061749076</v>
      </c>
      <c r="E575" s="51" t="inlineStr">
        <is>
          <t xml:space="preserve">As D353 on the start-up sources.</t>
        </is>
      </c>
    </row>
    <row r="576">
      <c r="A576" s="18" t="inlineStr">
        <is>
          <t xml:space="preserve">DO excess to drive the surface flux — start-up</t>
        </is>
      </c>
      <c r="B576" s="19" t="inlineStr">
        <is>
          <t xml:space="preserve">DO_surf_excess_su</t>
        </is>
      </c>
      <c r="C576" s="20" t="inlineStr">
        <is>
          <t xml:space="preserve">mol/m³</t>
        </is>
      </c>
      <c r="D576" s="41">
        <f>O2_src_su/(kLa_surf_used*3600*(V_charge/1000000))</f>
        <v>0.128639934046</v>
      </c>
      <c r="E576" s="51" t="inlineStr">
        <is>
          <t xml:space="preserve">As D181 on the start-up source.</t>
        </is>
      </c>
    </row>
    <row r="577">
      <c r="A577" s="18" t="inlineStr">
        <is>
          <t xml:space="preserve">(import) H₂ lower flammability limit</t>
        </is>
      </c>
      <c r="B577" s="19" t="inlineStr">
        <is>
          <t xml:space="preserve">H2_LFL_mt</t>
        </is>
      </c>
      <c r="C577" s="20" t="inlineStr">
        <is>
          <t xml:space="preserve">-</t>
        </is>
      </c>
      <c r="D577" s="41">
        <f>Biology!H2_LFL</f>
        <v>0.04</v>
      </c>
      <c r="E577" s="51" t="inlineStr">
        <is>
          <t xml:space="preserve">Import from Biology!D80.</t>
        </is>
      </c>
    </row>
    <row r="578">
      <c r="A578" s="18" t="inlineStr">
        <is>
          <t xml:space="preserve">(import) O₂ limit for the hazard screen (LOC × margin)</t>
        </is>
      </c>
      <c r="B578" s="19" t="inlineStr">
        <is>
          <t xml:space="preserve">O2_LOC_lim_mt</t>
        </is>
      </c>
      <c r="C578" s="20" t="inlineStr">
        <is>
          <t xml:space="preserve">-</t>
        </is>
      </c>
      <c r="D578" s="41">
        <f>Biology!O2_LOC_H2*Biology!LOC_margin</f>
        <v>0.0312</v>
      </c>
      <c r="E578" s="51" t="inlineStr">
        <is>
          <t xml:space="preserve">Import from Biology!D81 × D82.</t>
        </is>
      </c>
    </row>
    <row r="579">
      <c r="A579" s="18" t="inlineStr">
        <is>
          <t xml:space="preserve">Longest gap keeping start-up pre-pulse H₂ below the LFL</t>
        </is>
      </c>
      <c r="B579" s="19" t="inlineStr">
        <is>
          <t xml:space="preserve">t_gap_H2_su</t>
        </is>
      </c>
      <c r="C579" s="20" t="inlineStr">
        <is>
          <t xml:space="preserve">min</t>
        </is>
      </c>
      <c r="D579" s="41">
        <f>IF(H2_src_su&gt;H2_LFL_mt*F_gap_su,n_hs_gas/F_gap_su*LN((1-H2_LFL_mt*F_gap_su/H2_src_su*flush_ret)/(1-H2_LFL_mt*F_gap_su/H2_src_su))*60,"none needed")</f>
        <v>1.524751128368</v>
      </c>
      <c r="E579" s="51" t="inlineStr">
        <is>
          <t xml:space="preserve">As Biology D90 on the start-up sources.</t>
        </is>
      </c>
    </row>
    <row r="580">
      <c r="A580" s="18" t="inlineStr">
        <is>
          <t xml:space="preserve">Longest gap keeping start-up pre-pulse O₂ under the LOC margin</t>
        </is>
      </c>
      <c r="B580" s="19" t="inlineStr">
        <is>
          <t xml:space="preserve">t_gap_O2_su</t>
        </is>
      </c>
      <c r="C580" s="20" t="inlineStr">
        <is>
          <t xml:space="preserve">min</t>
        </is>
      </c>
      <c r="D580" s="41">
        <f>IF(S_O2_su&gt;O2_LOC_lim_mt*F_gap_su,n_hs_gas/F_gap_su*LN((1-O2_LOC_lim_mt*F_gap_su/S_O2_su*flush_ret)/(1-O2_LOC_lim_mt*F_gap_su/S_O2_su))*60,"none needed")</f>
        <v>2.122727097897</v>
      </c>
      <c r="E580" s="51" t="inlineStr">
        <is>
          <t xml:space="preserve">As Biology D91 on the start-up sources.</t>
        </is>
      </c>
    </row>
    <row r="581">
      <c r="A581" s="18" t="inlineStr">
        <is>
          <t xml:space="preserve">Interval clearing the start-up hazard screen</t>
        </is>
      </c>
      <c r="B581" s="19" t="inlineStr">
        <is>
          <t xml:space="preserve">spg_int_H2safe_su</t>
        </is>
      </c>
      <c r="C581" s="20" t="inlineStr">
        <is>
          <t xml:space="preserve">min</t>
        </is>
      </c>
      <c r="D581" s="41">
        <f>IF(OR(ISTEXT(t_gap_H2_su),ISTEXT(t_gap_O2_su)),"any interval",MAX(t_gap_H2_su,t_gap_O2_su)+spg_dur/60)</f>
        <v>2.13356043123</v>
      </c>
      <c r="E581" s="51" t="inlineStr">
        <is>
          <t xml:space="preserve">As Biology D92 (either route suffices) on the start-up sources, pulse in use.</t>
        </is>
      </c>
    </row>
    <row r="582">
      <c r="A582" s="18" t="inlineStr">
        <is>
          <t xml:space="preserve">Start-up hazard-screen interval on the optimal-pulse basis</t>
        </is>
      </c>
      <c r="B582" s="19" t="inlineStr">
        <is>
          <t xml:space="preserve">spg_int_H2safe_su_opt</t>
        </is>
      </c>
      <c r="C582" s="20" t="inlineStr">
        <is>
          <t xml:space="preserve">min</t>
        </is>
      </c>
      <c r="D582" s="41">
        <f>IF(ISNUMBER(spg_int_H2safe_su),spg_int_H2safe_su*spg_dur_eq_opt/spg_dur_eq,"any interval")</f>
        <v>2.200875733589</v>
      </c>
      <c r="E582" s="51" t="inlineStr">
        <is>
          <t xml:space="preserve">As D563 for D581.</t>
        </is>
      </c>
    </row>
    <row r="583">
      <c r="A583" s="18" t="inlineStr">
        <is>
          <t xml:space="preserve">Legacy O₂ flush guard — start-up</t>
        </is>
      </c>
      <c r="B583" s="19" t="inlineStr">
        <is>
          <t xml:space="preserve">spg_int_max_su</t>
        </is>
      </c>
      <c r="C583" s="20" t="inlineStr">
        <is>
          <t xml:space="preserve">min</t>
        </is>
      </c>
      <c r="D583" s="41">
        <f>IF(O2_sizing_phase=phase_name_2,spg_int_max,target_DO_frac*O2_ceil_org*(V_charge/1000000)/MAX(O2_src_guard,O2_src_su)*60)</f>
        <v>1.20664768662</v>
      </c>
      <c r="E583" s="51" t="inlineStr">
        <is>
          <t xml:space="preserve">As D89 on the larger of its guard source and the start-up source (D572).</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