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Calibrations!$D$160</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Calibrations!$D$140</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Calibrations!$D$155</definedName>
    <definedName name="ca_rho_k" localSheetId="7">Calibrations!$D$156</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Summary!$D$143</definedName>
    <definedName name="cf_Cl_onset" localSheetId="0">Summary!$D$142</definedName>
    <definedName name="cf_pH_hi" localSheetId="0">Summary!$D$140</definedName>
    <definedName name="cf_pH_lo" localSheetId="0">Summary!$D$139</definedName>
    <definedName name="cf_pH_red_hi" localSheetId="0">Summary!$D$141</definedName>
    <definedName name="cf_pH_red_lo" localSheetId="0">Summary!$D$138</definedName>
    <definedName name="chk_bubble" localSheetId="0">Summary!$D$25</definedName>
    <definedName name="chk_cal" localSheetId="0">Summary!$D$20</definedName>
    <definedName name="chk_carry_usg" localSheetId="0">Summary!$D$136</definedName>
    <definedName name="chk_carryover" localSheetId="0">Summary!$D$29</definedName>
    <definedName name="chk_CO2_supply" localSheetId="0">Summary!$D$26</definedName>
    <definedName name="chk_DO_data" localSheetId="0">Summary!$D$34</definedName>
    <definedName name="chk_DO_min" localSheetId="0">Summary!$D$22</definedName>
    <definedName name="chk_DO_opt" localSheetId="0">Summary!$D$21</definedName>
    <definedName name="chk_geom" localSheetId="0">Summary!$D$19</definedName>
    <definedName name="chk_H2" localSheetId="0">Summary!$D$24</definedName>
    <definedName name="chk_led_law" localSheetId="0">Summary!$D$33</definedName>
    <definedName name="chk_level" localSheetId="0">Summary!$D$32</definedName>
    <definedName name="chk_media_vol" localSheetId="0">Summary!$D$31</definedName>
    <definedName name="chk_od_window" localSheetId="0">Summary!$D$28</definedName>
    <definedName name="chk_pulse_floor" localSheetId="0">Summary!$D$27</definedName>
    <definedName name="chk_relax" localSheetId="0">Summary!$D$23</definedName>
    <definedName name="chk_tip" localSheetId="0">Summary!$D$30</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Calibrations!$D$162</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Calibrations!$D$158</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Summary!$G$13</definedName>
    <definedName name="override_spg_int_min" localSheetId="5">'Mass Transfer'!$D$393</definedName>
    <definedName name="override_spg_int_min" localSheetId="0">Summary!$G$15</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Calibrations!$D$141</definedName>
    <definedName name="por_break_2" localSheetId="7">Calibrations!$D$142</definedName>
    <definedName name="por_break_3" localSheetId="7">Calibrations!$D$143</definedName>
    <definedName name="por_break_4" localSheetId="7">Calibrations!$D$144</definedName>
    <definedName name="por_break_5" localSheetId="7">Calibrations!$D$145</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Calibrations!$D$149</definedName>
    <definedName name="pw_A" localSheetId="5">'Mass Transfer'!$D$203</definedName>
    <definedName name="pw_B" localSheetId="7">Calibrations!$D$150</definedName>
    <definedName name="pw_B" localSheetId="5">'Mass Transfer'!$D$204</definedName>
    <definedName name="pw_C" localSheetId="7">Calibrations!$D$151</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Calibrations!$D$161</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Calibrations!$D$157</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Summary!$D$86</definedName>
    <definedName name="res_carbon_margin" localSheetId="0">Summary!$D$41</definedName>
    <definedName name="res_Cl2" localSheetId="0">Summary!$D$36</definedName>
    <definedName name="res_CO2_uptake" localSheetId="0">Summary!$D$135</definedName>
    <definedName name="res_DO_ss" localSheetId="0">Summary!$D$38</definedName>
    <definedName name="res_E_Cl_margin" localSheetId="0">Summary!$D$87</definedName>
    <definedName name="res_E_Cu_margin" localSheetId="0">Summary!$D$88</definedName>
    <definedName name="res_etaF" localSheetId="0">Summary!$D$82</definedName>
    <definedName name="res_H2O2_flag" localSheetId="0">Summary!$D$85</definedName>
    <definedName name="res_I_mA" localSheetId="0">Summary!$D$43</definedName>
    <definedName name="res_I_max" localSheetId="0">Summary!$D$47</definedName>
    <definedName name="res_j_anode" localSheetId="0">Summary!$D$44</definedName>
    <definedName name="res_j_anode_max" localSheetId="0">Summary!$D$48</definedName>
    <definedName name="res_j_status" localSheetId="0">Summary!$D$45</definedName>
    <definedName name="res_j_status_max" localSheetId="0">Summary!$D$49</definedName>
    <definedName name="res_kLa_req" localSheetId="0">Summary!$D$90</definedName>
    <definedName name="res_pH" localSheetId="0">Summary!$D$35</definedName>
    <definedName name="res_pH_probe" localSheetId="0">Summary!$D$89</definedName>
    <definedName name="res_power_max" localSheetId="0">Summary!$D$46</definedName>
    <definedName name="res_spg_dur" localSheetId="0">Summary!$D$13</definedName>
    <definedName name="res_spg_dur_run" localSheetId="0">Summary!$D$14</definedName>
    <definedName name="res_spg_int" localSheetId="0">Summary!$D$15</definedName>
    <definedName name="res_spg_int_carbon" localSheetId="0">Summary!$D$39</definedName>
    <definedName name="res_spg_int_run" localSheetId="0">Summary!$D$16</definedName>
    <definedName name="res_tip_speed" localSheetId="0">Summary!$D$40</definedName>
    <definedName name="res_V_cell" localSheetId="0">Summary!$D$83</definedName>
    <definedName name="res_V_flag" localSheetId="0">Summary!$D$84</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Calibrations!$D$159</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Calibrations!$D$148</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Calibrations!$D$146</definedName>
    <definedName name="z_e_H2" localSheetId="2">Electrochemistry!$D$16</definedName>
    <definedName name="z_e_O2" localSheetId="7">Calibrations!$D$147</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<sst xmlns="http://schemas.openxmlformats.org/spreadsheetml/2006/main" count="3953" uniqueCount="2838">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</sst>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59"/>
  <sheetViews>
    <sheetView tabSelected="1" zoomScale="116" workbookViewId="0">
      <selection activeCell="E9" sqref="E9"/>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s">
        <v>1143</v>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7" x14ac:dyDescent="0.2">
      <c r="A11" s="21"/>
      <c r="B11" s="21"/>
      <c r="C11" s="21"/>
      <c r="D11" s="76"/>
      <c r="E11" s="21"/>
      <c r="F11" s="22"/>
    </row>
    <row r="12" spans="1:7" ht="16" customHeight="1" thickBot="1" x14ac:dyDescent="0.25">
      <c r="A12" s="17" t="s">
        <v>59</v>
      </c>
      <c r="B12" s="17" t="s">
        <v>21</v>
      </c>
      <c r="C12" s="17" t="s">
        <v>22</v>
      </c>
      <c r="D12" s="17" t="s">
        <v>23</v>
      </c>
      <c r="E12" s="17" t="s">
        <v>24</v>
      </c>
      <c r="F12" s="17" t="s">
        <v>25</v>
      </c>
      <c r="G12" s="17" t="s">
        <v>1034</v>
      </c>
    </row>
    <row r="13" spans="1:7" ht="16" customHeight="1" thickBot="1" x14ac:dyDescent="0.25">
      <c r="A13" s="25" t="s">
        <v>961</v>
      </c>
      <c r="B13" s="19" t="s">
        <v>1709</v>
      </c>
      <c r="C13" s="21" t="s">
        <v>12</v>
      </c>
      <c r="D13" s="65">
        <f>IF('Mass Transfer'!$D$119=0,"calibrate this reactor first (CO₂ flow section of the Calibrations tab, or a CO2 flows row)",'Mass Transfer'!$D$90)</f>
        <v>0.674076519917</v>
      </c>
      <c r="E13" s="24" t="str">
        <f>HYPERLINK("#'Mass Transfer'!D90","→ Mass")</f>
        <v>→ Mass</v>
      </c>
      <c r="F13" s="22" t="s">
        <v>60</v>
      </c>
      <c r="G13" s="136"/>
    </row>
    <row r="14" spans="1:7" s="4" customFormat="1" ht="16" customHeight="1" thickBot="1" x14ac:dyDescent="0.25">
      <c r="A14" s="25" t="s">
        <v>1710</v>
      </c>
      <c r="B14" s="19" t="s">
        <v>1711</v>
      </c>
      <c r="C14" s="21" t="s">
        <v>12</v>
      </c>
      <c r="D14" s="111">
        <f>IF(NOT(ISNUMBER(res_spg_dur)),res_spg_dur,'Mass Transfer'!spg_dur)</f>
        <v>0.65</v>
      </c>
      <c r="E14" s="21"/>
      <c r="F14" s="57" t="inlineStr">
        <is>
          <t xml:space="preserve">Pulse actually evaluated by every operating check below. Summary override wins, then Manual mode, otherwise the optimum rounded to the pulse resolution.</t>
        </is>
      </c>
    </row>
    <row r="15" spans="1:7" ht="16" customHeight="1" thickBot="1" x14ac:dyDescent="0.25">
      <c r="A15" s="64" t="str">
        <f>"CO₂ sparge interval ("&amp;vent_model_sel&amp;", sized on "&amp;O2_phase_sel&amp;")"</f>
        <v>CO₂ sparge interval (Open vent, sized on Growth)</v>
      </c>
      <c r="B15" s="19" t="s">
        <v>1713</v>
      </c>
      <c r="C15" s="21" t="s">
        <v>61</v>
      </c>
      <c r="D15" s="65">
        <f>IF('Mass Transfer'!$D$119=0,"calibrate this reactor first (CO₂ flow section of the Calibrations tab, or a CO2 flows row)",'Mass Transfer'!$D$91)</f>
        <v>7.398866407059</v>
      </c>
      <c r="E15" s="24" t="str">
        <f>HYPERLINK("#'Mass Transfer'!D91","→ Mass")</f>
        <v>→ Mass</v>
      </c>
      <c r="F15" s="22" t="s">
        <v>1714</v>
      </c>
      <c r="G15" s="136"/>
    </row>
    <row r="16" spans="1:7" x14ac:dyDescent="0.2">
      <c r="A16" s="25" t="s">
        <v>1715</v>
      </c>
      <c r="B16" s="19" t="s">
        <v>1716</v>
      </c>
      <c r="C16" s="21" t="s">
        <v>61</v>
      </c>
      <c r="D16" s="111">
        <f>IF(NOT(ISNUMBER(res_spg_int)),res_spg_int,'Mass Transfer'!spg_int)</f>
        <v>7.17</v>
      </c>
      <c r="E16" s="67"/>
      <c r="F16" s="22" t="inlineStr">
        <is>
          <t xml:space="preserve">Interval actually evaluated below, in decimal minutes. Default converts the commanded pulse to the ideal delivery duty and rounds down to 0.01 min; overrides and Manual mode are evaluated directly.</t>
        </is>
      </c>
    </row>
    <row r="17" spans="1:6" s="4" customFormat="1" x14ac:dyDescent="0.2">
      <c r="A17" s="64"/>
      <c r="B17" s="21"/>
      <c r="C17" s="21"/>
      <c r="D17" s="68"/>
      <c r="E17" s="67"/>
      <c r="F17" s="22"/>
    </row>
    <row r="18" spans="1:6" x14ac:dyDescent="0.2">
      <c r="A18" s="17" t="s">
        <v>62</v>
      </c>
      <c r="B18" s="17"/>
      <c r="C18" s="17"/>
      <c r="D18" s="17" t="s">
        <v>23</v>
      </c>
      <c r="E18" s="17" t="s">
        <v>24</v>
      </c>
      <c r="F18" s="17" t="s">
        <v>25</v>
      </c>
    </row>
    <row r="19" spans="1:6" x14ac:dyDescent="0.2">
      <c r="A19" s="64" t="s">
        <v>63</v>
      </c>
      <c r="B19" s="19" t="s">
        <v>1717</v>
      </c>
      <c r="C19" s="21"/>
      <c r="D19" s="69" t="str">
        <f>Geometry!$D$90</f>
        <v>VIAL GEOMETRY INCONSISTENT - measure true fill volume &amp; bore depth</v>
      </c>
      <c r="E19" s="24" t="str">
        <f>HYPERLINK("#Geometry!D90","→ Geometry")</f>
        <v>→ Geometry</v>
      </c>
      <c r="F19" s="22" t="s">
        <v>1718</v>
      </c>
    </row>
    <row r="20" spans="1:6" x14ac:dyDescent="0.2">
      <c r="A20" s="64" t="s">
        <v>64</v>
      </c>
      <c r="B20" s="19" t="s">
        <v>1719</v>
      </c>
      <c r="C20" s="21"/>
      <c r="D20" s="65" t="str">
        <f>'Mass Transfer'!$D$120</f>
        <v>calibrated: ed04 (flow from CO2 flows)</v>
      </c>
      <c r="E20" s="24" t="str">
        <f>HYPERLINK("#'Mass Transfer'!D120","→ Mass")</f>
        <v>→ Mass</v>
      </c>
      <c r="F20" s="22" t="s">
        <v>1720</v>
      </c>
    </row>
    <row r="21" spans="1:6" x14ac:dyDescent="0.2">
      <c r="A21" s="64" t="s">
        <v>1721</v>
      </c>
      <c r="B21" s="19" t="s">
        <v>1722</v>
      </c>
      <c r="C21" s="21"/>
      <c r="D21" s="65" t="str">
        <f>'Mass Transfer'!$D$374</f>
        <v>organism band unknown – peak 2.4 mg/L is under the inhibition ceiling</v>
      </c>
      <c r="E21" s="24" t="str">
        <f>HYPERLINK("#'Mass Transfer'!D374","→ Mass Transfer")</f>
        <v>→ Mass Transfer</v>
      </c>
      <c r="F21" s="22" t="s">
        <v>1723</v>
      </c>
    </row>
    <row r="22" spans="1:6" x14ac:dyDescent="0.2">
      <c r="A22" s="64" t="s">
        <v>65</v>
      </c>
      <c r="B22" s="19" t="s">
        <v>1724</v>
      </c>
      <c r="C22" s="21"/>
      <c r="D22" s="65" t="str">
        <f>'Mass Transfer'!$D$110</f>
        <v>minimum DO unknown - measure</v>
      </c>
      <c r="E22" s="24" t="str">
        <f>HYPERLINK("#'Mass Transfer'!D110","→ Mass")</f>
        <v>→ Mass</v>
      </c>
      <c r="F22" s="22" t="s">
        <v>66</v>
      </c>
    </row>
    <row r="23" spans="1:6" x14ac:dyDescent="0.2">
      <c r="A23" s="64" t="s">
        <v>1725</v>
      </c>
      <c r="B23" s="19" t="s">
        <v>1726</v>
      </c>
      <c r="C23" s="21"/>
      <c r="D23" s="65" t="str">
        <f>'Mass Transfer'!$D$113</f>
        <v>Do NOT relax: at the carbon-limited interval (185 min) the cycle-mean DO would be ≈14 mg/L, above the 10.1 mg/L inhibition ceiling (peaks higher)</v>
      </c>
      <c r="E23" s="24" t="str">
        <f>HYPERLINK("#'Mass Transfer'!D113","→ Mass")</f>
        <v>→ Mass</v>
      </c>
      <c r="F23" s="22" t="s">
        <v>1727</v>
      </c>
    </row>
    <row r="24" spans="1:6" x14ac:dyDescent="0.2">
      <c r="A24" s="64" t="s">
        <v>1728</v>
      </c>
      <c r="B24" s="19" t="s">
        <v>1729</v>
      </c>
      <c r="C24" s="21"/>
      <c r="D24" s="70" t="str">
        <f>Biology!$D$44</f>
        <v>POTENTIAL FLAMMABILITY (lag screen): H₂ 9% mean, 15% before each pulse; O₂ 5% mean, 8% before each pulse – until uptake starts, sparge every ≤2.3 min or sweep ≥1.0 mL/min N₂; vent to a hood; no ignition sources</v>
      </c>
      <c r="E24" s="24" t="str">
        <f>HYPERLINK("#Biology!D44","→ Biology")</f>
        <v>→ Biology</v>
      </c>
      <c r="F24" s="22" t="inlineStr">
        <is>
          <t xml:space="preserve">Nominal lag-phase hazard screen, not safety certification. Predictions depend on unmeasured vent/transfer behaviour; validate mixture-specific limits, sampling and gas clearance before operation.</t>
        </is>
      </c>
    </row>
    <row r="25" spans="1:6" x14ac:dyDescent="0.2">
      <c r="A25" s="64" t="s">
        <v>67</v>
      </c>
      <c r="B25" s="19" t="s">
        <v>1731</v>
      </c>
      <c r="C25" s="21"/>
      <c r="D25" s="65" t="str">
        <f>'Mass Transfer'!$D$64</f>
        <v>Dynamic</v>
      </c>
      <c r="E25" s="24" t="str">
        <f>HYPERLINK("#'Mass Transfer'!D64","→ Mass")</f>
        <v>→ Mass</v>
      </c>
      <c r="F25" s="22" t="s">
        <v>68</v>
      </c>
    </row>
    <row r="26" spans="1:6" x14ac:dyDescent="0.2">
      <c r="A26" s="64" t="s">
        <v>69</v>
      </c>
      <c r="B26" s="19" t="s">
        <v>1732</v>
      </c>
      <c r="C26" s="21"/>
      <c r="D26" s="65" t="str">
        <f>IFERROR("×"&amp;TEXT('Mass Transfer'!$D$126,"0.0")&amp;IF('Mass Transfer'!$D$126&gt;=1," OK"," SHORTFALL (CO2 &lt; demand)")&amp;" delivered; ×"&amp;TEXT('Mass Transfer'!$D$417,"0.0")&amp;" absorbed per pulse (row 135)","calibrate this reactor first")</f>
        <v>×50.0 OK delivered; ×2.5 absorbed per pulse (row 135)</v>
      </c>
      <c r="E26" s="24" t="str">
        <f>HYPERLINK("#'Mass Transfer'!D126","→ Mass")</f>
        <v>→ Mass</v>
      </c>
      <c r="F26" s="22" t="s">
        <v>1733</v>
      </c>
    </row>
    <row r="27" spans="1:6" x14ac:dyDescent="0.2">
      <c r="A27" s="64" t="s">
        <v>70</v>
      </c>
      <c r="B27" s="19" t="s">
        <v>1734</v>
      </c>
      <c r="C27" s="21"/>
      <c r="D27" s="65" t="str">
        <f>IFERROR('Mass Transfer'!$D$130,"calibrate this reactor first (CO₂ flow section of the Calibrations tab, or a CO2 flows row)")</f>
        <v>OK</v>
      </c>
      <c r="E27" s="24" t="str">
        <f>HYPERLINK("#'Mass Transfer'!D130","→ Mass")</f>
        <v>→ Mass</v>
      </c>
      <c r="F27" s="22" t="s">
        <v>1735</v>
      </c>
    </row>
    <row r="28" spans="1:6" x14ac:dyDescent="0.2">
      <c r="A28" s="64" t="s">
        <v>71</v>
      </c>
      <c r="B28" s="19" t="s">
        <v>1736</v>
      </c>
      <c r="C28" s="21"/>
      <c r="D28" s="65" t="str">
        <f>IFERROR('Mass Transfer'!$D$95,"calibrate this reactor first (CO₂ flow section of the Calibrations tab, or a CO2 flows row)")</f>
        <v>OK</v>
      </c>
      <c r="E28" s="24" t="str">
        <f>HYPERLINK("#'Mass Transfer'!D95","→ Mass")</f>
        <v>→ Mass</v>
      </c>
      <c r="F28" s="22" t="s">
        <v>72</v>
      </c>
    </row>
    <row r="29" spans="1:6" x14ac:dyDescent="0.2">
      <c r="A29" s="64" t="s">
        <v>73</v>
      </c>
      <c r="B29" s="19" t="s">
        <v>1737</v>
      </c>
      <c r="C29" s="21"/>
      <c r="D29" s="65" t="str">
        <f>'Mass Transfer'!$D$59</f>
        <v>not measured – record the max flow without carryover for ed04 in CO2 flows column M</v>
      </c>
      <c r="E29" s="24" t="str">
        <f>HYPERLINK("#'Mass Transfer'!D59","→ Mass")</f>
        <v>→ Mass</v>
      </c>
      <c r="F29" s="22" t="s">
        <v>1738</v>
      </c>
    </row>
    <row r="30" spans="1:6" x14ac:dyDescent="0.2">
      <c r="A30" s="64" t="s">
        <v>74</v>
      </c>
      <c r="B30" s="19" t="s">
        <v>1739</v>
      </c>
      <c r="C30" s="21"/>
      <c r="D30" s="65" t="str">
        <f>'Mass Transfer'!$D$111</f>
        <v>OK</v>
      </c>
      <c r="E30" s="24" t="str">
        <f>HYPERLINK("#'Mass Transfer'!D111","→ Mass")</f>
        <v>→ Mass</v>
      </c>
      <c r="F30" s="22" t="s">
        <v>75</v>
      </c>
    </row>
    <row r="31" spans="1:6" x14ac:dyDescent="0.2">
      <c r="A31" s="64" t="s">
        <v>76</v>
      </c>
      <c r="B31" s="19" t="s">
        <v>1740</v>
      </c>
      <c r="C31" s="21"/>
      <c r="D31" s="69" t="str">
        <f>Geometry!$D$54</f>
        <v>OK</v>
      </c>
      <c r="E31" s="24" t="str">
        <f>HYPERLINK("#Geometry!D54","→ Geometry")</f>
        <v>→ Geometry</v>
      </c>
      <c r="F31" s="22" t="s">
        <v>77</v>
      </c>
    </row>
    <row r="32" spans="1:6" x14ac:dyDescent="0.2">
      <c r="A32" s="64" t="s">
        <v>78</v>
      </c>
      <c r="B32" s="19" t="s">
        <v>1741</v>
      </c>
      <c r="C32" s="21"/>
      <c r="D32" s="69" t="str">
        <f>Geometry!$D$55</f>
        <v>OK</v>
      </c>
      <c r="E32" s="24" t="str">
        <f>HYPERLINK("#Geometry!D55","→ Geometry")</f>
        <v>→ Geometry</v>
      </c>
      <c r="F32" s="22" t="s">
        <v>79</v>
      </c>
    </row>
    <row r="33" spans="1:6" ht="16" thickBot="1" x14ac:dyDescent="0.25">
      <c r="A33" s="64" t="s">
        <v>80</v>
      </c>
      <c r="B33" s="19" t="s">
        <v>1742</v>
      </c>
      <c r="C33" s="21"/>
      <c r="D33" s="71" t="str">
        <f>Electrochemistry!$D$20</f>
        <v>OK</v>
      </c>
      <c r="E33" s="24" t="str">
        <f>HYPERLINK("#Electrochemistry!D20","→ Electrochemistry")</f>
        <v>→ Electrochemistry</v>
      </c>
      <c r="F33" s="22" t="s">
        <v>81</v>
      </c>
    </row>
    <row r="34" spans="1:6" ht="16" thickBot="1" x14ac:dyDescent="0.25">
      <c r="A34" s="64" t="s">
        <v>897</v>
      </c>
      <c r="B34" s="19" t="s">
        <v>1743</v>
      </c>
      <c r="C34" s="21"/>
      <c r="D34" s="69" t="str">
        <f>IF(AND(ISNUMBER(Biology!$D$45),ISNUMBER(Biology!$D$46),ISNUMBER(Biology!$D$47),ISNUMBER(Biology!$D$48)),"inputs present","DATA GAP - organism DO thresholds unmeasured; results unreliable")</f>
        <v>DATA GAP - organism DO thresholds unmeasured; results unreliable</v>
      </c>
      <c r="E34" s="24" t="str">
        <f>HYPERLINK("#Biology!D45","→ Biology")</f>
        <v>→ Biology</v>
      </c>
      <c r="F34" s="22" t="s">
        <v>898</v>
      </c>
    </row>
    <row r="35" spans="1:6" ht="16" thickBot="1" x14ac:dyDescent="0.25">
      <c r="A35" s="64" t="s">
        <v>1744</v>
      </c>
      <c r="B35" s="19" t="s">
        <v>1745</v>
      </c>
      <c r="C35" s="21"/>
      <c r="D35" s="92">
        <f>Chemistry!$D$220</f>
        <v>6.487611781829</v>
      </c>
      <c r="E35" s="24" t="str">
        <f>HYPERLINK("#Chemistry!D220","→ Chemistry")</f>
        <v>→ Chemistry</v>
      </c>
      <c r="F35" s="22" t="s">
        <v>1746</v>
      </c>
    </row>
    <row r="36" spans="1:6" ht="16" thickBot="1" x14ac:dyDescent="0.25">
      <c r="A36" s="64" t="s">
        <v>1029</v>
      </c>
      <c r="B36" s="19" t="s">
        <v>1747</v>
      </c>
      <c r="C36" s="21" t="s">
        <v>83</v>
      </c>
      <c r="D36" s="92">
        <f>Chemistry!$D$226</f>
        <v>0.0</v>
      </c>
      <c r="E36" s="24" t="str">
        <f>HYPERLINK("#Chemistry!D226","→ Chemistry")</f>
        <v>→ Chemistry</v>
      </c>
      <c r="F36"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37" spans="1:6" ht="16" thickBot="1" x14ac:dyDescent="0.25">
      <c r="A37" s="77" t="s">
        <v>82</v>
      </c>
      <c r="B37" s="21"/>
      <c r="C37" s="21"/>
      <c r="D37" s="21"/>
      <c r="E37" s="21"/>
      <c r="F37" s="22"/>
    </row>
    <row r="38" spans="1:6" x14ac:dyDescent="0.2">
      <c r="A38" s="64" t="s">
        <v>1749</v>
      </c>
      <c r="B38" s="19" t="s">
        <v>1750</v>
      </c>
      <c r="C38" s="21" t="s">
        <v>83</v>
      </c>
      <c r="D38" s="65">
        <f>'Mass Transfer'!$D$108</f>
        <v>2.270165488391</v>
      </c>
      <c r="E38" s="24" t="str">
        <f>HYPERLINK("#'Mass Transfer'!D108","→ Mass")</f>
        <v>→ Mass</v>
      </c>
      <c r="F38" s="22" t="s">
        <v>1751</v>
      </c>
    </row>
    <row r="39" spans="1:6" x14ac:dyDescent="0.2">
      <c r="A39" s="64" t="s">
        <v>1752</v>
      </c>
      <c r="B39" s="19" t="s">
        <v>1753</v>
      </c>
      <c r="C39" s="21" t="s">
        <v>61</v>
      </c>
      <c r="D39" s="65">
        <f>'Mass Transfer'!$D$112</f>
        <v>184.723136314261</v>
      </c>
      <c r="E39" s="24" t="str">
        <f>HYPERLINK("#'Mass Transfer'!D112","→ Mass")</f>
        <v>→ Mass</v>
      </c>
      <c r="F39" s="22" t="s">
        <v>1754</v>
      </c>
    </row>
    <row r="40" spans="1:6" x14ac:dyDescent="0.2">
      <c r="A40" s="64" t="s">
        <v>84</v>
      </c>
      <c r="B40" s="19" t="s">
        <v>1755</v>
      </c>
      <c r="C40" s="21" t="s">
        <v>85</v>
      </c>
      <c r="D40" s="65">
        <f>'Mass Transfer'!$D$68</f>
        <v>0.628318530718</v>
      </c>
      <c r="E40" s="24" t="str">
        <f>HYPERLINK("#'Mass Transfer'!D68","→ Mass")</f>
        <v>→ Mass</v>
      </c>
      <c r="F40" s="22" t="s">
        <v>86</v>
      </c>
    </row>
    <row r="41" spans="1:6" x14ac:dyDescent="0.2">
      <c r="A41" s="64" t="s">
        <v>1756</v>
      </c>
      <c r="B41" s="19" t="s">
        <v>1757</v>
      </c>
      <c r="C41" s="21" t="s">
        <v>87</v>
      </c>
      <c r="D41" s="70">
        <f>Biology!$D$98</f>
        <v>508.83519620388</v>
      </c>
      <c r="E41" s="24" t="str">
        <f>HYPERLINK("#Biology!D98","→ Biology")</f>
        <v>→ Biology</v>
      </c>
      <c r="F41" s="22" t="s">
        <v>1758</v>
      </c>
    </row>
    <row r="42" spans="1:6" x14ac:dyDescent="0.2">
      <c r="A42" s="77" t="s">
        <v>1144</v>
      </c>
    </row>
    <row r="43" spans="1:6" x14ac:dyDescent="0.2">
      <c r="A43" s="64" t="s">
        <v>1145</v>
      </c>
      <c r="B43" s="19" t="s">
        <v>1759</v>
      </c>
      <c r="C43" s="21" t="s">
        <v>278</v>
      </c>
      <c r="D43" s="65">
        <f>Electrochemistry!$D$19*1000</f>
        <v>5.69</v>
      </c>
      <c r="E43" s="24" t="str">
        <f>HYPERLINK("#Electrochemistry!D19","→ Electrochemistry")</f>
        <v>→ Electrochemistry</v>
      </c>
      <c r="F43" s="22" t="s">
        <v>1146</v>
      </c>
    </row>
    <row r="44" spans="1:6" x14ac:dyDescent="0.2">
      <c r="A44" s="64" t="s">
        <v>1147</v>
      </c>
      <c r="B44" s="19" t="s">
        <v>1760</v>
      </c>
      <c r="C44" s="21" t="s">
        <v>1148</v>
      </c>
      <c r="D44" s="65">
        <f>Electrochemistry!$D$48</f>
        <v>3.287810437489</v>
      </c>
      <c r="E44" s="24" t="str">
        <f>HYPERLINK("#Electrochemistry!D48","→ Electrochemistry")</f>
        <v>→ Electrochemistry</v>
      </c>
      <c r="F44" s="22" t="s">
        <v>1149</v>
      </c>
    </row>
    <row r="45" spans="1:6" x14ac:dyDescent="0.2">
      <c r="A45" s="64" t="s">
        <v>1150</v>
      </c>
      <c r="B45" s="19" t="s">
        <v>1761</v>
      </c>
      <c r="D45" s="65" t="str">
        <f>Electrochemistry!$D$62</f>
        <v>watch - above optimum current density</v>
      </c>
      <c r="E45" s="24" t="str">
        <f>HYPERLINK("#Electrochemistry!D62","→ Electrochemistry")</f>
        <v>→ Electrochemistry</v>
      </c>
      <c r="F45" s="22" t="s">
        <v>1151</v>
      </c>
    </row>
    <row r="46" spans="1:6" x14ac:dyDescent="0.2">
      <c r="A46" s="64" t="s">
        <v>1152</v>
      </c>
      <c r="B46" s="19" t="s">
        <v>1762</v>
      </c>
      <c r="C46" s="21" t="s">
        <v>40</v>
      </c>
      <c r="D46" s="65">
        <f>Electrochemistry!$D$73</f>
        <v>10.0</v>
      </c>
      <c r="E46" s="24" t="str">
        <f>HYPERLINK("#Electrochemistry!D73","→ Electrochemistry")</f>
        <v>→ Electrochemistry</v>
      </c>
      <c r="F46" s="22" t="s">
        <v>1153</v>
      </c>
    </row>
    <row r="47" spans="1:6" x14ac:dyDescent="0.2">
      <c r="A47" s="64" t="s">
        <v>1154</v>
      </c>
      <c r="B47" s="19" t="s">
        <v>1763</v>
      </c>
      <c r="C47" s="21" t="s">
        <v>278</v>
      </c>
      <c r="D47" s="65">
        <f>Electrochemistry!$D$74</f>
        <v>12.9</v>
      </c>
      <c r="E47" s="24" t="str">
        <f>HYPERLINK("#Electrochemistry!D74","→ Electrochemistry")</f>
        <v>→ Electrochemistry</v>
      </c>
      <c r="F47" s="22" t="s">
        <v>1155</v>
      </c>
    </row>
    <row r="48" spans="1:6" x14ac:dyDescent="0.2">
      <c r="A48" s="64" t="s">
        <v>1156</v>
      </c>
      <c r="B48" s="19" t="s">
        <v>1764</v>
      </c>
      <c r="C48" s="21" t="s">
        <v>1148</v>
      </c>
      <c r="D48" s="65">
        <f>Electrochemistry!$D$75</f>
        <v>7.453911185169</v>
      </c>
      <c r="E48" s="24" t="str">
        <f>HYPERLINK("#Electrochemistry!D75","→ Electrochemistry")</f>
        <v>→ Electrochemistry</v>
      </c>
      <c r="F48" s="22" t="s">
        <v>1157</v>
      </c>
    </row>
    <row r="49" spans="1:6" x14ac:dyDescent="0.2">
      <c r="A49" s="64" t="s">
        <v>1158</v>
      </c>
      <c r="B49" s="19" t="s">
        <v>1765</v>
      </c>
      <c r="D49" s="65" t="str">
        <f>Electrochemistry!$D$76</f>
        <v>EXCEED - max current over a limit</v>
      </c>
      <c r="E49" s="24" t="str">
        <f>HYPERLINK("#Electrochemistry!D76","→ Electrochemistry")</f>
        <v>→ Electrochemistry</v>
      </c>
      <c r="F49" s="22" t="s">
        <v>1159</v>
      </c>
    </row>
    <row r="50" spans="1:6" x14ac:dyDescent="0.2">
      <c r="A50" s="21"/>
      <c r="B50" s="21"/>
      <c r="C50" s="21"/>
      <c r="D50" s="21"/>
      <c r="E50" s="21"/>
      <c r="F50" s="21"/>
    </row>
    <row r="51" spans="1:6" x14ac:dyDescent="0.2">
      <c r="A51" s="17" t="s">
        <v>88</v>
      </c>
      <c r="B51" s="17"/>
      <c r="C51" s="17"/>
      <c r="D51" s="17"/>
      <c r="E51" s="17"/>
      <c r="F51" s="17"/>
    </row>
    <row r="52" spans="1:6" x14ac:dyDescent="0.2">
      <c r="A52" s="102" t="s">
        <v>89</v>
      </c>
      <c r="B52" s="21"/>
      <c r="C52" s="21"/>
      <c r="D52" s="25"/>
      <c r="E52" s="21"/>
      <c r="F52" s="21"/>
    </row>
    <row r="53" spans="1:6" x14ac:dyDescent="0.2">
      <c r="A53" s="26" t="s">
        <v>90</v>
      </c>
      <c r="B53" s="21"/>
      <c r="C53" s="21"/>
      <c r="D53" s="25"/>
      <c r="E53" s="21"/>
      <c r="F53" s="21"/>
    </row>
    <row r="54" spans="1:6" x14ac:dyDescent="0.2">
      <c r="A54" s="73" t="s">
        <v>91</v>
      </c>
      <c r="B54" s="21"/>
      <c r="C54" s="21"/>
      <c r="D54" s="25"/>
      <c r="E54" s="21"/>
      <c r="F54" s="21"/>
    </row>
    <row r="55" spans="1:6" x14ac:dyDescent="0.2">
      <c r="A55" s="27" t="s">
        <v>92</v>
      </c>
      <c r="B55" s="21"/>
      <c r="C55" s="21"/>
      <c r="D55" s="25"/>
      <c r="E55" s="21"/>
      <c r="F55" s="21"/>
    </row>
    <row r="56" spans="1:6" x14ac:dyDescent="0.2">
      <c r="A56" s="28" t="s">
        <v>93</v>
      </c>
      <c r="B56" s="21"/>
      <c r="C56" s="21"/>
      <c r="D56" s="25"/>
      <c r="E56" s="67"/>
      <c r="F56" s="21"/>
    </row>
    <row r="57" spans="1:6" x14ac:dyDescent="0.2">
      <c r="A57" s="29" t="s">
        <v>94</v>
      </c>
      <c r="B57" s="21"/>
      <c r="C57" s="21"/>
      <c r="D57" s="25"/>
      <c r="E57" s="67"/>
      <c r="F57" s="21"/>
    </row>
    <row r="58" spans="1:6" x14ac:dyDescent="0.2">
      <c r="A58" s="63" t="s">
        <v>95</v>
      </c>
      <c r="B58" s="21"/>
      <c r="C58" s="21"/>
      <c r="D58" s="25"/>
      <c r="E58" s="67"/>
      <c r="F58" s="21"/>
    </row>
    <row r="59" spans="1:6" x14ac:dyDescent="0.2">
      <c r="A59" s="30" t="s">
        <v>96</v>
      </c>
      <c r="B59" s="21"/>
      <c r="C59" s="21"/>
      <c r="D59" s="21"/>
      <c r="E59" s="21"/>
      <c r="F59" s="21"/>
    </row>
    <row r="60" spans="1:6" x14ac:dyDescent="0.2">
      <c r="A60" s="31" t="s">
        <v>97</v>
      </c>
      <c r="B60" s="21"/>
      <c r="C60" s="21"/>
      <c r="D60" s="21"/>
      <c r="E60" s="21"/>
      <c r="F60" s="21"/>
    </row>
    <row r="61" spans="1:6" s="21" customFormat="1" x14ac:dyDescent="0.2">
      <c r="A61" s="60" t="s">
        <v>98</v>
      </c>
    </row>
    <row r="62" spans="1:6" s="21" customFormat="1" x14ac:dyDescent="0.2">
      <c r="A62" s="61" t="s">
        <v>99</v>
      </c>
    </row>
    <row r="63" spans="1:6" x14ac:dyDescent="0.2">
      <c r="A63" s="103" t="s">
        <v>100</v>
      </c>
      <c r="B63" s="21"/>
      <c r="C63" s="21"/>
      <c r="D63" s="21"/>
      <c r="E63" s="21"/>
      <c r="F63" s="21"/>
    </row>
    <row r="64" spans="1:6" x14ac:dyDescent="0.2">
      <c r="A64" s="21"/>
      <c r="B64" s="21"/>
      <c r="C64" s="21"/>
      <c r="D64" s="25"/>
      <c r="E64" s="67"/>
      <c r="F64" s="21"/>
    </row>
    <row r="65" spans="1:6" x14ac:dyDescent="0.2">
      <c r="A65" s="32" t="s">
        <v>101</v>
      </c>
      <c r="B65" s="32" t="s">
        <v>102</v>
      </c>
      <c r="C65" s="32" t="s">
        <v>103</v>
      </c>
      <c r="D65" s="32" t="s">
        <v>104</v>
      </c>
      <c r="E65" s="32"/>
      <c r="F65" s="32" t="s">
        <v>105</v>
      </c>
    </row>
    <row r="66" spans="1:6" x14ac:dyDescent="0.2">
      <c r="A66" s="21" t="s">
        <v>921</v>
      </c>
      <c r="B66" s="21" t="s">
        <v>922</v>
      </c>
      <c r="C66" s="21" t="s">
        <v>923</v>
      </c>
      <c r="D66" s="33" t="str">
        <f>HYPERLINK("https://github.com/amy-bo/electroPioreactor/blob/AEP02/Media/protocols/surface-kla.md","surface-kla.md →")</f>
        <v>surface-kla.md →</v>
      </c>
      <c r="E66" s="77"/>
      <c r="F66" s="22" t="s">
        <v>1766</v>
      </c>
    </row>
    <row r="67" spans="1:6" x14ac:dyDescent="0.2">
      <c r="A67" s="21" t="s">
        <v>924</v>
      </c>
      <c r="B67" s="21" t="s">
        <v>925</v>
      </c>
      <c r="C67" s="21" t="s">
        <v>926</v>
      </c>
      <c r="D67" s="33" t="str">
        <f>HYPERLINK("https://github.com/amy-bo/electroPioreactor/blob/AEP02/Media/protocols/vial-geometry.md","vial-geometry.md →")</f>
        <v>vial-geometry.md →</v>
      </c>
      <c r="E67" s="77"/>
      <c r="F67" s="22" t="s">
        <v>1767</v>
      </c>
    </row>
    <row r="68" spans="1:6" x14ac:dyDescent="0.2">
      <c r="A68" s="21" t="s">
        <v>927</v>
      </c>
      <c r="B68" s="21" t="s">
        <v>928</v>
      </c>
      <c r="C68" s="21" t="s">
        <v>929</v>
      </c>
      <c r="D68" s="33" t="str">
        <f>HYPERLINK("https://github.com/amy-bo/electroPioreactor/blob/AEP02/Media/protocols/faradaic-efficiency.md","faradaic-efficiency.md →")</f>
        <v>faradaic-efficiency.md →</v>
      </c>
      <c r="E68" s="77"/>
      <c r="F68" s="22" t="s">
        <v>1768</v>
      </c>
    </row>
    <row r="69" spans="1:6" x14ac:dyDescent="0.2">
      <c r="A69" s="21" t="s">
        <v>930</v>
      </c>
      <c r="B69" s="21" t="s">
        <v>931</v>
      </c>
      <c r="C69" s="21" t="s">
        <v>932</v>
      </c>
      <c r="D69" s="33" t="str">
        <f>HYPERLINK("https://github.com/amy-bo/electroPioreactor/blob/AEP02/Media/protocols/knallgas-stoichiometry.md","knallgas-stoichiometry.md →")</f>
        <v>knallgas-stoichiometry.md →</v>
      </c>
      <c r="E69" s="77"/>
      <c r="F69" s="154" t="str">
        <f>IFERROR("Sets the O₂ surplus and the carbon demand: each 1 % on the O₂:H₂ uptake ratio moves the surplus "&amp;TEXT(Biology!$D$14/Biology!$D$16,"0.0")&amp;" % (Biology E16); needs a growing culture.","Sets the O₂ surplus and the carbon demand; needs a growing culture.")</f>
        <v>Sets the O₂ surplus and the carbon demand: each 1 % on the O₂:H₂ uptake ratio moves the surplus 2.0 % (Biology E16); needs a growing culture.</v>
      </c>
    </row>
    <row r="70" spans="1:6" x14ac:dyDescent="0.2">
      <c r="A70" s="21" t="s">
        <v>933</v>
      </c>
      <c r="B70" s="21" t="s">
        <v>934</v>
      </c>
      <c r="C70" s="21" t="s">
        <v>935</v>
      </c>
      <c r="D70" s="33" t="str">
        <f>HYPERLINK("https://github.com/amy-bo/electroPioreactor/blob/AEP02/Media/protocols/faradaic-efficiency.md","faradaic-efficiency.md →")</f>
        <v>faradaic-efficiency.md →</v>
      </c>
      <c r="E70" s="77"/>
      <c r="F70" s="22" t="s">
        <v>1689</v>
      </c>
    </row>
    <row r="71" spans="1:6" x14ac:dyDescent="0.2">
      <c r="A71" s="21" t="s">
        <v>936</v>
      </c>
      <c r="B71" s="21" t="s">
        <v>937</v>
      </c>
      <c r="C71" s="21" t="s">
        <v>938</v>
      </c>
      <c r="D71" s="33" t="str">
        <f>HYPERLINK("https://github.com/amy-bo/electroPioreactor/blob/AEP02/Media/protocols/vial-geometry.md","vial-geometry.md →")</f>
        <v>vial-geometry.md →</v>
      </c>
      <c r="E71" s="77"/>
      <c r="F71" s="22" t="s">
        <v>939</v>
      </c>
    </row>
    <row r="72" spans="1:6" x14ac:dyDescent="0.2">
      <c r="A72" s="21" t="s">
        <v>940</v>
      </c>
      <c r="B72" s="21" t="s">
        <v>941</v>
      </c>
      <c r="C72" s="21" t="s">
        <v>942</v>
      </c>
      <c r="D72" s="33" t="str">
        <f>HYPERLINK("https://github.com/amy-bo/electroPioreactor/blob/AEP02/Media/protocols/flow-calibration.md","flow-calibration.md →")</f>
        <v>flow-calibration.md →</v>
      </c>
      <c r="E72" s="77"/>
      <c r="F72" s="154" t="str">
        <f>"Sets the solenoid floor (pulse_floor, now "&amp;TEXT('Mass Transfer'!$D$99,"0.00")&amp;" s), which binds only when it exceeds the optimal pulse ("&amp;IF(ISNUMBER(D13),TEXT(D13,"0.00")&amp;" s","not yet computed")&amp;"): "&amp;IF(AND(ISNUMBER(D13),'Mass Transfer'!$D$99&gt;=D13),"it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73" spans="1:6" x14ac:dyDescent="0.2">
      <c r="A73" s="21" t="s">
        <v>943</v>
      </c>
      <c r="B73" s="21" t="s">
        <v>944</v>
      </c>
      <c r="C73" s="21" t="s">
        <v>945</v>
      </c>
      <c r="D73" s="33" t="str">
        <f>HYPERLINK("https://github.com/amy-bo/electroPioreactor/blob/AEP02/Media/protocols/dissolved-oxygen.md","dissolved-oxygen.md →")</f>
        <v>dissolved-oxygen.md →</v>
      </c>
      <c r="E73" s="77"/>
      <c r="F73" s="22" t="s">
        <v>946</v>
      </c>
    </row>
    <row r="74" spans="1:6" x14ac:dyDescent="0.2">
      <c r="A74" s="21" t="s">
        <v>947</v>
      </c>
      <c r="B74" s="21" t="s">
        <v>948</v>
      </c>
      <c r="C74" s="21" t="s">
        <v>949</v>
      </c>
      <c r="D74" s="33" t="str">
        <f>HYPERLINK("https://github.com/amy-bo/electroPioreactor/blob/AEP02/Media/protocols/flow-calibration.md","flow-calibration.md →")</f>
        <v>flow-calibration.md →</v>
      </c>
      <c r="E74" s="77"/>
      <c r="F74" s="22" t="s">
        <v>950</v>
      </c>
    </row>
    <row r="75" spans="1:6" x14ac:dyDescent="0.2">
      <c r="A75" s="21" t="s">
        <v>951</v>
      </c>
      <c r="B75" s="21" t="s">
        <v>952</v>
      </c>
      <c r="C75" s="21" t="s">
        <v>953</v>
      </c>
      <c r="D75" s="33" t="str">
        <f>HYPERLINK("https://github.com/amy-bo/electroPioreactor/blob/AEP02/Media/protocols/sinter-porosity.md","sinter-porosity.md →")</f>
        <v>sinter-porosity.md →</v>
      </c>
      <c r="E75" s="77"/>
      <c r="F75" s="22" t="s">
        <v>954</v>
      </c>
    </row>
    <row r="76" spans="1:6" x14ac:dyDescent="0.2">
      <c r="A76" s="21" t="s">
        <v>955</v>
      </c>
      <c r="B76" s="21" t="s">
        <v>956</v>
      </c>
      <c r="C76" s="21" t="s">
        <v>957</v>
      </c>
      <c r="D76" s="33" t="str">
        <f>HYPERLINK("https://github.com/amy-bo/electroPioreactor/blob/AEP02/Media/protocols/README.md","README.md →")</f>
        <v>README.md →</v>
      </c>
      <c r="E76" s="77"/>
      <c r="F76" s="22" t="s">
        <v>1769</v>
      </c>
    </row>
    <row r="77" spans="1:6" x14ac:dyDescent="0.2">
      <c r="A77" t="s">
        <v>1690</v>
      </c>
      <c r="B77" t="s">
        <v>928</v>
      </c>
      <c r="C77" t="s">
        <v>957</v>
      </c>
      <c r="D77" s="24" t="str">
        <f>HYPERLINK("https://github.com/amy-bo/electroPioreactor/blob/AEP02/Media/protocols/electrode-mass-transfer.md","electrode-mass-transfer.md →")</f>
        <v>electrode-mass-transfer.md →</v>
      </c>
      <c r="E77" s="21"/>
      <c r="F77" t="s">
        <v>1691</v>
      </c>
    </row>
    <row r="78" spans="1:6" x14ac:dyDescent="0.2">
      <c r="A78" t="s">
        <v>1692</v>
      </c>
      <c r="B78" t="s">
        <v>948</v>
      </c>
      <c r="C78" t="s">
        <v>957</v>
      </c>
      <c r="D78" s="24" t="str">
        <f>HYPERLINK("https://github.com/amy-bo/electroPioreactor/blob/AEP02/Media/protocols/vial-geometry.md","vial-geometry.md →")</f>
        <v>vial-geometry.md →</v>
      </c>
      <c r="E78" s="21"/>
      <c r="F78" t="s">
        <v>1693</v>
      </c>
    </row>
    <row r="79" spans="1:6" x14ac:dyDescent="0.2">
      <c r="A79" t="s">
        <v>1694</v>
      </c>
      <c r="B79" t="s">
        <v>928</v>
      </c>
      <c r="C79" t="s">
        <v>957</v>
      </c>
      <c r="D79" s="24" t="str">
        <f>HYPERLINK("https://github.com/amy-bo/electroPioreactor/blob/AEP02/Media/protocols/gerrit-current.md","gerrit-current.md →")</f>
        <v>gerrit-current.md →</v>
      </c>
      <c r="E79" s="21"/>
      <c r="F79" t="s">
        <v>1770</v>
      </c>
    </row>
    <row r="80" spans="1:6" x14ac:dyDescent="0.2">
      <c r="A80" t="s">
        <v>1695</v>
      </c>
      <c r="B80" t="s">
        <v>928</v>
      </c>
      <c r="C80" t="s">
        <v>935</v>
      </c>
      <c r="D80" s="24" t="str">
        <f>HYPERLINK("https://github.com/amy-bo/electroPioreactor/blob/AEP02/Media/protocols/README.md","README.md →")</f>
        <v>README.md →</v>
      </c>
      <c r="F80" t="s">
        <v>1771</v>
      </c>
    </row>
    <row r="81" spans="1:6" x14ac:dyDescent="0.2">
      <c r="A81" s="6" t="s">
        <v>1772</v>
      </c>
    </row>
    <row r="82" spans="1:6" x14ac:dyDescent="0.2">
      <c r="A82" t="s">
        <v>1490</v>
      </c>
      <c r="B82" s="19" t="s">
        <v>1773</v>
      </c>
      <c r="C82" s="20" t="s">
        <v>1140</v>
      </c>
      <c r="D82" s="23">
        <f>Electrochemistry!$D$88</f>
        <v>0.964044311944</v>
      </c>
      <c r="E82" s="24" t="str">
        <f>HYPERLINK("#Electrochemistry!D88","→ Electrochemistry")</f>
        <v>→ Electrochemistry</v>
      </c>
      <c r="F82" t="s">
        <v>1774</v>
      </c>
    </row>
    <row r="83" spans="1:6" x14ac:dyDescent="0.2">
      <c r="A83" t="s">
        <v>1572</v>
      </c>
      <c r="B83" s="19" t="s">
        <v>1775</v>
      </c>
      <c r="C83" s="20" t="s">
        <v>1445</v>
      </c>
      <c r="D83" s="23">
        <f>Electrochemistry!$D$119</f>
        <v>2.649439580207</v>
      </c>
      <c r="E83" s="24" t="str">
        <f>HYPERLINK("#Electrochemistry!D119","→ Electrochemistry")</f>
        <v>→ Electrochemistry</v>
      </c>
      <c r="F83" t="s">
        <v>1662</v>
      </c>
    </row>
    <row r="84" spans="1:6" x14ac:dyDescent="0.2">
      <c r="A84" t="s">
        <v>1581</v>
      </c>
      <c r="B84" s="19" t="s">
        <v>1776</v>
      </c>
      <c r="C84" s="20" t="s">
        <v>1140</v>
      </c>
      <c r="D84" s="23" t="str">
        <f>Electrochemistry!$D$122</f>
        <v>OK — 2.65 V estimated against a 5 V rail</v>
      </c>
      <c r="E84" s="24" t="str">
        <f>HYPERLINK("#Electrochemistry!D122","→ Electrochemistry")</f>
        <v>→ Electrochemistry</v>
      </c>
      <c r="F84" t="s">
        <v>1663</v>
      </c>
    </row>
    <row r="85" spans="1:6" x14ac:dyDescent="0.2">
      <c r="A85" t="s">
        <v>1517</v>
      </c>
      <c r="B85" s="19" t="s">
        <v>1777</v>
      </c>
      <c r="C85" s="20" t="s">
        <v>1140</v>
      </c>
      <c r="D85" s="23" t="str">
        <f>Electrochemistry!$D$99</f>
        <v>watch — steady growth is clear (0.048 mg/L) but LAG PHASE is not: peroxide passes the threshold in 6 min before biomass can scavenge it</v>
      </c>
      <c r="E85" s="24" t="str">
        <f>HYPERLINK("#Electrochemistry!D99","→ Electrochemistry")</f>
        <v>→ Electrochemistry</v>
      </c>
      <c r="F85" t="s">
        <v>1664</v>
      </c>
    </row>
    <row r="86" spans="1:6" x14ac:dyDescent="0.2">
      <c r="A86" t="s">
        <v>1665</v>
      </c>
      <c r="B86" s="19" t="s">
        <v>1778</v>
      </c>
      <c r="C86" s="20" t="s">
        <v>1140</v>
      </c>
      <c r="D86" s="23" t="str">
        <f>Chemistry!$D$219</f>
        <v>OK — buffer holds the electrode surfaces at the bulk pH</v>
      </c>
      <c r="E86" s="24" t="str">
        <f>HYPERLINK("#Chemistry!D219","→ Chemistry")</f>
        <v>→ Chemistry</v>
      </c>
      <c r="F86" t="s">
        <v>1666</v>
      </c>
    </row>
    <row r="87" spans="1:6" x14ac:dyDescent="0.2">
      <c r="A87" t="s">
        <v>1779</v>
      </c>
      <c r="B87" s="19" t="s">
        <v>1780</v>
      </c>
      <c r="C87" s="20" t="s">
        <v>1445</v>
      </c>
      <c r="D87" s="23" t="e">
        <f>Chemistry!$D$209</f>
        <v>#N/A</v>
      </c>
      <c r="E87" s="24" t="str">
        <f>HYPERLINK("#Chemistry!D209","→ Chemistry")</f>
        <v>→ Chemistry</v>
      </c>
      <c r="F87" t="s">
        <v>1781</v>
      </c>
    </row>
    <row r="88" spans="1:6" x14ac:dyDescent="0.2">
      <c r="A88" t="s">
        <v>1449</v>
      </c>
      <c r="B88" s="19" t="s">
        <v>1782</v>
      </c>
      <c r="C88" s="20" t="s">
        <v>1445</v>
      </c>
      <c r="D88" s="23">
        <f>Chemistry!$D$211</f>
        <v>1.248889512283</v>
      </c>
      <c r="E88" s="24" t="str">
        <f>HYPERLINK("#Chemistry!D211","→ Chemistry")</f>
        <v>→ Chemistry</v>
      </c>
      <c r="F88" t="s">
        <v>1783</v>
      </c>
    </row>
    <row r="89" spans="1:6" x14ac:dyDescent="0.2">
      <c r="A89" t="s">
        <v>1468</v>
      </c>
      <c r="B89" s="19" t="s">
        <v>1784</v>
      </c>
      <c r="C89" s="20" t="s">
        <v>1140</v>
      </c>
      <c r="D89" s="23">
        <f>Chemistry!$D$220</f>
        <v>6.487611781829</v>
      </c>
      <c r="E89" s="24" t="str">
        <f>HYPERLINK("#Chemistry!D220","→ Chemistry")</f>
        <v>→ Chemistry</v>
      </c>
      <c r="F89" t="s">
        <v>1667</v>
      </c>
    </row>
    <row r="90" spans="1:6" x14ac:dyDescent="0.2">
      <c r="A90" t="s">
        <v>1668</v>
      </c>
      <c r="B90" s="19" t="s">
        <v>1785</v>
      </c>
      <c r="C90" s="20" t="s">
        <v>449</v>
      </c>
      <c r="D90" s="23">
        <f>'Mass Transfer'!$D$186*3600</f>
        <v>15.833923097207</v>
      </c>
      <c r="E90" s="24" t="str">
        <f>HYPERLINK("#'Mass Transfer'!D186","→ Mass Transfer")</f>
        <v>→ Mass Transfer</v>
      </c>
      <c r="F90" t="s">
        <v>1786</v>
      </c>
    </row>
    <row r="92" spans="1:6" x14ac:dyDescent="0.2">
      <c r="A92" s="77" t="s">
        <v>1787</v>
      </c>
    </row>
    <row r="93" spans="1:6" x14ac:dyDescent="0.2">
      <c r="A93" s="21"/>
      <c r="B93" s="19"/>
      <c r="C93" s="21"/>
      <c r="D93" s="130"/>
      <c r="E93" s="62"/>
      <c r="F93"/>
    </row>
    <row r="95" spans="1:6" x14ac:dyDescent="0.2">
      <c r="A95" s="64" t="s">
        <v>1788</v>
      </c>
      <c r="C95" s="21" t="s">
        <v>87</v>
      </c>
      <c r="D95" s="70">
        <f>IF(AND(ISNUMBER(D14),ISNUMBER(D16),ISNUMBER('Mass Transfer'!$D$93)),('Mass Transfer'!$D$408+'Mass Transfer'!$D$407*D14)/('Mass Transfer'!$D$102/60)/(60*D16)/'Mass Transfer'!$D$93,"calibrate this reactor first (CO₂ flow section of the Calibrations tab, or a CO2 flows row)")</f>
        <v>1.000358015991</v>
      </c>
      <c r="E95" s="24" t="str">
        <f>HYPERLINK("#'Mass Transfer'!D93","→ Mass")</f>
        <v>→ Mass</v>
      </c>
      <c r="F95" s="22" t="s">
        <v>1789</v>
      </c>
    </row>
    <row r="110" spans="1:6" x14ac:dyDescent="0.2">
      <c r="A110" s="77" t="s">
        <v>1790</v>
      </c>
    </row>
    <row r="111" spans="1:6" x14ac:dyDescent="0.2">
      <c r="A111" s="18" t="s">
        <v>1791</v>
      </c>
      <c r="B111" s="19" t="s">
        <v>1792</v>
      </c>
      <c r="C111" s="20" t="s">
        <v>111</v>
      </c>
      <c r="D111" s="130" t="s">
        <v>1793</v>
      </c>
      <c r="E111" s="21" t="s">
        <v>27</v>
      </c>
      <c r="F111" s="22" t="s">
        <v>1794</v>
      </c>
    </row>
    <row r="112" spans="1:6" x14ac:dyDescent="0.2">
      <c r="A112" s="18" t="s">
        <v>1795</v>
      </c>
      <c r="B112" s="19" t="s">
        <v>1796</v>
      </c>
      <c r="C112" s="20" t="s">
        <v>111</v>
      </c>
      <c r="D112" s="130" t="s">
        <v>1797</v>
      </c>
      <c r="E112" s="21" t="s">
        <v>27</v>
      </c>
      <c r="F112" s="22" t="s">
        <v>1798</v>
      </c>
    </row>
    <row r="113" spans="1:6" x14ac:dyDescent="0.2">
      <c r="A113" s="64" t="s">
        <v>1799</v>
      </c>
      <c r="C113" s="21" t="s">
        <v>314</v>
      </c>
      <c r="D113" s="65">
        <f>'Mass Transfer'!$D$386</f>
        <v>0.015</v>
      </c>
      <c r="E113" s="24" t="str">
        <f>HYPERLINK("#'Mass Transfer'!D386","→ Mass Transfer")</f>
        <v>→ Mass Transfer</v>
      </c>
      <c r="F113" s="22" t="s">
        <v>1800</v>
      </c>
    </row>
    <row r="114" spans="1:6" x14ac:dyDescent="0.2">
      <c r="A114" s="64" t="s">
        <v>1801</v>
      </c>
      <c r="C114" s="21" t="s">
        <v>83</v>
      </c>
      <c r="D114" s="65">
        <f>'Mass Transfer'!$D$343</f>
        <v>2.270165488391</v>
      </c>
      <c r="E114" s="24" t="str">
        <f>HYPERLINK("#'Mass Transfer'!D343","→ Mass Transfer")</f>
        <v>→ Mass Transfer</v>
      </c>
      <c r="F114" s="22" t="s">
        <v>1802</v>
      </c>
    </row>
    <row r="115" spans="1:6" x14ac:dyDescent="0.2">
      <c r="A115" s="64" t="s">
        <v>1803</v>
      </c>
      <c r="C115" s="21" t="s">
        <v>83</v>
      </c>
      <c r="D115" s="65">
        <f>'Mass Transfer'!$D$344</f>
        <v>2.447092253397</v>
      </c>
      <c r="E115" s="24" t="str">
        <f>HYPERLINK("#'Mass Transfer'!D344","→ Mass Transfer")</f>
        <v>→ Mass Transfer</v>
      </c>
      <c r="F115" s="22" t="s">
        <v>1804</v>
      </c>
    </row>
    <row r="116" spans="1:6" x14ac:dyDescent="0.2">
      <c r="A116" s="64" t="s">
        <v>1805</v>
      </c>
      <c r="C116" s="21" t="s">
        <v>83</v>
      </c>
      <c r="D116" s="65">
        <f>'Mass Transfer'!$D$364</f>
        <v>5.594849867262</v>
      </c>
      <c r="E116" s="24" t="str">
        <f>HYPERLINK("#'Mass Transfer'!D364","→ Mass Transfer")</f>
        <v>→ Mass Transfer</v>
      </c>
      <c r="F116" s="22" t="s">
        <v>1806</v>
      </c>
    </row>
    <row r="117" spans="1:6" x14ac:dyDescent="0.2">
      <c r="A117" s="64" t="s">
        <v>1807</v>
      </c>
      <c r="C117" s="21" t="s">
        <v>83</v>
      </c>
      <c r="D117" s="65">
        <f>'Mass Transfer'!$D$365</f>
        <v>5.953949768528</v>
      </c>
      <c r="E117" s="24" t="str">
        <f>HYPERLINK("#'Mass Transfer'!D365","→ Mass Transfer")</f>
        <v>→ Mass Transfer</v>
      </c>
      <c r="F117" s="22" t="s">
        <v>1808</v>
      </c>
    </row>
    <row r="118" spans="1:6" x14ac:dyDescent="0.2">
      <c r="A118" s="64" t="s">
        <v>1809</v>
      </c>
      <c r="D118" s="65" t="str">
        <f>'Mass Transfer'!$D$348</f>
        <v>peak 2.4 mg/L under the 10.1 mg/L ceiling</v>
      </c>
      <c r="E118" s="24" t="str">
        <f>HYPERLINK("#'Mass Transfer'!D348","→ Mass Transfer")</f>
        <v>→ Mass Transfer</v>
      </c>
      <c r="F118" s="22" t="s">
        <v>1810</v>
      </c>
    </row>
    <row r="119" spans="1:6" x14ac:dyDescent="0.2">
      <c r="A119" s="64" t="s">
        <v>1811</v>
      </c>
      <c r="D119" s="65" t="str">
        <f>'Mass Transfer'!$D$369</f>
        <v>peak 6.0 mg/L under the 10.1 mg/L ceiling</v>
      </c>
      <c r="E119" s="24" t="str">
        <f>HYPERLINK("#'Mass Transfer'!D369","→ Mass Transfer")</f>
        <v>→ Mass Transfer</v>
      </c>
      <c r="F119" s="22" t="s">
        <v>1812</v>
      </c>
    </row>
    <row r="120" spans="1:6" x14ac:dyDescent="0.2">
      <c r="A120" s="64" t="s">
        <v>1813</v>
      </c>
      <c r="D120" s="65" t="str">
        <f>'Mass Transfer'!$D$347</f>
        <v>reachable – kLa margin 1.74×</v>
      </c>
      <c r="E120" s="24" t="str">
        <f>HYPERLINK("#'Mass Transfer'!D347","→ Mass Transfer")</f>
        <v>→ Mass Transfer</v>
      </c>
      <c r="F120" s="22" t="s">
        <v>1814</v>
      </c>
    </row>
    <row r="121" spans="1:6" x14ac:dyDescent="0.2">
      <c r="A121" s="64" t="s">
        <v>1815</v>
      </c>
      <c r="D121" s="65" t="str">
        <f>'Mass Transfer'!$D$368</f>
        <v>UNREACHABLE at this surface kLa – margin 0.61× (raise kL_surf, lower the current, or accept a higher DO)</v>
      </c>
      <c r="E121" s="24" t="str">
        <f>HYPERLINK("#'Mass Transfer'!D368","→ Mass Transfer")</f>
        <v>→ Mass Transfer</v>
      </c>
      <c r="F121" s="154" t="str">
        <f>"Same on the lag source. Currently "&amp;TEXT('Mass Transfer'!$D$367,"0.00")&amp;"×: "&amp;IF('Mass Transfer'!$D$367&lt;1,"the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122" spans="1:6" x14ac:dyDescent="0.2">
      <c r="A122" s="64" t="s">
        <v>1816</v>
      </c>
      <c r="C122" s="21" t="s">
        <v>449</v>
      </c>
      <c r="D122" s="65">
        <f>'Mass Transfer'!$D$345*3600</f>
        <v>15.833923097207</v>
      </c>
      <c r="E122" s="24" t="str">
        <f>HYPERLINK("#'Mass Transfer'!D345","→ Mass Transfer")</f>
        <v>→ Mass Transfer</v>
      </c>
      <c r="F122" s="22" t="s">
        <v>1817</v>
      </c>
    </row>
    <row r="123" spans="1:6" x14ac:dyDescent="0.2">
      <c r="A123" s="64" t="s">
        <v>1818</v>
      </c>
      <c r="C123" s="21" t="s">
        <v>449</v>
      </c>
      <c r="D123" s="65">
        <f>'Mass Transfer'!$D$366*3600</f>
        <v>44.975226114474</v>
      </c>
      <c r="E123" s="24" t="str">
        <f>HYPERLINK("#'Mass Transfer'!D366","→ Mass Transfer")</f>
        <v>→ Mass Transfer</v>
      </c>
      <c r="F123" s="22" t="s">
        <v>1817</v>
      </c>
    </row>
    <row r="124" spans="1:6" x14ac:dyDescent="0.2">
      <c r="A124" s="64" t="s">
        <v>1819</v>
      </c>
      <c r="C124" s="21" t="s">
        <v>111</v>
      </c>
      <c r="D124" s="65">
        <f>'Mass Transfer'!$D$329</f>
        <v>0.027569266375</v>
      </c>
      <c r="E124" s="24" t="str">
        <f>HYPERLINK("#'Mass Transfer'!D329","→ Mass Transfer")</f>
        <v>→ Mass Transfer</v>
      </c>
      <c r="F124" s="22" t="s">
        <v>1820</v>
      </c>
    </row>
    <row r="125" spans="1:6" x14ac:dyDescent="0.2">
      <c r="A125" s="64" t="s">
        <v>1821</v>
      </c>
      <c r="C125" s="21" t="s">
        <v>111</v>
      </c>
      <c r="D125" s="65">
        <f>'Mass Transfer'!$D$351</f>
        <v>0.053815126441</v>
      </c>
      <c r="E125" s="24" t="str">
        <f>HYPERLINK("#'Mass Transfer'!D351","→ Mass Transfer")</f>
        <v>→ Mass Transfer</v>
      </c>
      <c r="F125" s="22" t="s">
        <v>1822</v>
      </c>
    </row>
    <row r="126" spans="1:6" x14ac:dyDescent="0.2">
      <c r="A126" s="64" t="s">
        <v>1823</v>
      </c>
      <c r="C126" s="21" t="s">
        <v>111</v>
      </c>
      <c r="D126" s="65">
        <f>'Mass Transfer'!$D$352</f>
        <v>0.093689942909</v>
      </c>
      <c r="E126" s="24" t="str">
        <f>HYPERLINK("#'Mass Transfer'!D352","→ Mass Transfer")</f>
        <v>→ Mass Transfer</v>
      </c>
      <c r="F126" s="22" t="s">
        <v>1824</v>
      </c>
    </row>
    <row r="127" spans="1:6" x14ac:dyDescent="0.2">
      <c r="A127" s="64" t="s">
        <v>1825</v>
      </c>
      <c r="C127" s="21" t="s">
        <v>111</v>
      </c>
      <c r="D127" s="65">
        <f>'Mass Transfer'!$D$381</f>
        <v>0.940238937993</v>
      </c>
      <c r="E127" s="24" t="str">
        <f>HYPERLINK("#'Mass Transfer'!D381","→ Mass Transfer")</f>
        <v>→ Mass Transfer</v>
      </c>
      <c r="F127" s="22" t="s">
        <v>1826</v>
      </c>
    </row>
    <row r="128" spans="1:6" x14ac:dyDescent="0.2">
      <c r="A128" s="64" t="s">
        <v>1827</v>
      </c>
      <c r="D128" s="111" t="str">
        <f>IF(ISNA('Mass Transfer'!F_vent_ex+'Mass Transfer'!O2_src_sched),"#N/A – check the selectors in D111/D112",IF(NOT(ISNUMBER('Mass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128" s="24" t="str">
        <f>HYPERLINK("#Chemistry!D220","→ Chemistry")</f>
        <v>→ Chemistry</v>
      </c>
      <c r="F128" s="22" t="s">
        <v>1828</v>
      </c>
    </row>
    <row r="129" spans="1:6" x14ac:dyDescent="0.2">
      <c r="A129" s="64" t="s">
        <v>1829</v>
      </c>
      <c r="C129" s="21" t="s">
        <v>111</v>
      </c>
      <c r="D129" s="65">
        <f>'Mass Transfer'!$D$389</f>
        <v>0.050856361228</v>
      </c>
      <c r="E129" s="24" t="str">
        <f>HYPERLINK("#'Mass Transfer'!D389","→ Mass Transfer")</f>
        <v>→ Mass Transfer</v>
      </c>
      <c r="F129" s="22" t="s">
        <v>1830</v>
      </c>
    </row>
    <row r="130" spans="1:6" x14ac:dyDescent="0.2">
      <c r="A130" s="64" t="s">
        <v>1831</v>
      </c>
      <c r="D130" s="65" t="str">
        <f>'Mass Transfer'!$D$391</f>
        <v>UNVERIFIED pressure closure: air ingress is assumed; measure vent make-up flow</v>
      </c>
      <c r="E130" s="24" t="str">
        <f>HYPERLINK("#'Mass Transfer'!D391","→ Mass Transfer")</f>
        <v>→ Mass Transfer</v>
      </c>
      <c r="F130" s="22" t="s">
        <v>1832</v>
      </c>
    </row>
    <row r="131" spans="1:6" x14ac:dyDescent="0.2">
      <c r="A131" s="64" t="s">
        <v>2691</v>
      </c>
      <c r="C131" s="21" t="s">
        <v>2692</v>
      </c>
      <c r="D131" s="65">
        <f>Chemistry!$D$308</f>
        <v>0.124226377682</v>
      </c>
      <c r="E131" s="24" t="str">
        <f>HYPERLINK("#Chemistry!D306","→ Chemistry")</f>
        <v>→ Chemistry</v>
      </c>
      <c r="F131" s="22" t="s">
        <v>2693</v>
      </c>
    </row>
    <row r="132" spans="1:6" x14ac:dyDescent="0.2">
      <c r="A132" s="64" t="s">
        <v>2694</v>
      </c>
      <c r="C132" s="21" t="s">
        <v>2695</v>
      </c>
      <c r="D132" s="65">
        <f>Chemistry!$D$306*1000</f>
        <v>1.47876221841</v>
      </c>
      <c r="E132" s="24" t="str">
        <f>HYPERLINK("#Chemistry!D306","→ Chemistry")</f>
        <v>→ Chemistry</v>
      </c>
      <c r="F132" s="22" t="s">
        <v>2696</v>
      </c>
    </row>
    <row r="135" spans="1:6" x14ac:dyDescent="0.2">
      <c r="A135" s="64" t="s">
        <v>1833</v>
      </c>
      <c r="B135" s="19" t="s">
        <v>1834</v>
      </c>
      <c r="C135" s="21" t="s">
        <v>87</v>
      </c>
      <c r="D135" s="65">
        <f>'Mass Transfer'!$D$417</f>
        <v>2.501832900863</v>
      </c>
      <c r="E135" s="24" t="str">
        <f>HYPERLINK("#'Mass Transfer'!D417","→ Mass Transfer")</f>
        <v>→ Mass Transfer</v>
      </c>
      <c r="F135" s="22" t="s">
        <v>1835</v>
      </c>
    </row>
    <row r="136" spans="1:6" x14ac:dyDescent="0.2">
      <c r="A136" s="64" t="s">
        <v>1836</v>
      </c>
      <c r="B136" s="19" t="s">
        <v>1837</v>
      </c>
      <c r="D136" s="65" t="str">
        <f>'Mass Transfer'!$D$414</f>
        <v>OK – 6.6 mm/s against the 50 mm/s rule of thumb</v>
      </c>
      <c r="E136" s="24" t="str">
        <f>HYPERLINK("#'Mass Transfer'!D414","→ Mass Transfer")</f>
        <v>→ Mass Transfer</v>
      </c>
      <c r="F136" s="22" t="s">
        <v>1838</v>
      </c>
    </row>
    <row r="137" spans="1:6" x14ac:dyDescent="0.2">
      <c r="A137" s="77" t="s">
        <v>1839</v>
      </c>
    </row>
    <row r="138" spans="1:6" x14ac:dyDescent="0.2">
      <c r="A138" s="64" t="s">
        <v>1840</v>
      </c>
      <c r="B138" s="19" t="s">
        <v>1841</v>
      </c>
      <c r="C138" s="21" t="s">
        <v>1842</v>
      </c>
      <c r="D138" s="65">
        <f>Chemistry!$D$299</f>
        <v>6.0</v>
      </c>
      <c r="E138" s="24" t="str">
        <f>HYPERLINK("#Chemistry!D299","→ Chemistry")</f>
        <v>→ Chemistry</v>
      </c>
      <c r="F138" s="22" t="s">
        <v>1843</v>
      </c>
    </row>
    <row r="139" spans="1:6" x14ac:dyDescent="0.2">
      <c r="A139" s="64" t="s">
        <v>1844</v>
      </c>
      <c r="B139" s="19" t="s">
        <v>1845</v>
      </c>
      <c r="C139" s="21" t="s">
        <v>1842</v>
      </c>
      <c r="D139" s="65">
        <f>Chemistry!$D$236</f>
        <v>6.5</v>
      </c>
      <c r="E139" s="24" t="str">
        <f>HYPERLINK("#Chemistry!D236","→ Chemistry")</f>
        <v>→ Chemistry</v>
      </c>
      <c r="F139" s="22" t="s">
        <v>1843</v>
      </c>
    </row>
    <row r="140" spans="1:6" x14ac:dyDescent="0.2">
      <c r="A140" s="64" t="s">
        <v>1846</v>
      </c>
      <c r="B140" s="19" t="s">
        <v>1847</v>
      </c>
      <c r="C140" s="21" t="s">
        <v>1842</v>
      </c>
      <c r="D140" s="65">
        <f>Chemistry!$D$237</f>
        <v>7.5</v>
      </c>
      <c r="E140" s="24" t="str">
        <f>HYPERLINK("#Chemistry!D237","→ Chemistry")</f>
        <v>→ Chemistry</v>
      </c>
      <c r="F140" s="22" t="s">
        <v>1843</v>
      </c>
    </row>
    <row r="141" spans="1:6" x14ac:dyDescent="0.2">
      <c r="A141" s="64" t="s">
        <v>1848</v>
      </c>
      <c r="B141" s="19" t="s">
        <v>1849</v>
      </c>
      <c r="C141" s="21" t="s">
        <v>1842</v>
      </c>
      <c r="D141" s="65">
        <f>Chemistry!$D$300</f>
        <v>8.0</v>
      </c>
      <c r="E141" s="24" t="str">
        <f>HYPERLINK("#Chemistry!D300","→ Chemistry")</f>
        <v>→ Chemistry</v>
      </c>
      <c r="F141" s="22" t="s">
        <v>1843</v>
      </c>
    </row>
    <row r="142" spans="1:6" x14ac:dyDescent="0.2">
      <c r="A142" s="64" t="s">
        <v>1850</v>
      </c>
      <c r="B142" s="19" t="s">
        <v>1851</v>
      </c>
      <c r="C142" s="21" t="s">
        <v>83</v>
      </c>
      <c r="D142" s="65">
        <f>Chemistry!$D$146</f>
        <v>0.1</v>
      </c>
      <c r="E142" s="24" t="str">
        <f>HYPERLINK("#Chemistry!D146","→ Chemistry")</f>
        <v>→ Chemistry</v>
      </c>
      <c r="F142" s="22" t="s">
        <v>1843</v>
      </c>
    </row>
    <row r="143" spans="1:6" x14ac:dyDescent="0.2">
      <c r="A143" s="64" t="s">
        <v>1852</v>
      </c>
      <c r="B143" s="19" t="s">
        <v>1853</v>
      </c>
      <c r="C143" s="21" t="s">
        <v>83</v>
      </c>
      <c r="D143" s="65">
        <f>Chemistry!$D$147</f>
        <v>2.0</v>
      </c>
      <c r="E143" s="24" t="str">
        <f>HYPERLINK("#Chemistry!D147","→ Chemistry")</f>
        <v>→ Chemistry</v>
      </c>
      <c r="F143" s="22" t="s">
        <v>1843</v>
      </c>
    </row>
    <row r="145" spans="1:6" x14ac:dyDescent="0.2">
      <c r="A145" s="77" t="s">
        <v>2697</v>
      </c>
    </row>
    <row r="146" spans="1:6" x14ac:dyDescent="0.2">
      <c r="A146" s="32" t="s">
        <v>2698</v>
      </c>
      <c r="B146" s="32" t="s">
        <v>102</v>
      </c>
      <c r="C146" s="32" t="s">
        <v>103</v>
      </c>
      <c r="D146" s="32" t="s">
        <v>104</v>
      </c>
      <c r="F146" s="32" t="s">
        <v>105</v>
      </c>
    </row>
    <row r="147" spans="1:6" x14ac:dyDescent="0.2">
      <c r="A147" s="21" t="s">
        <v>2699</v>
      </c>
      <c r="B147" s="21" t="s">
        <v>922</v>
      </c>
      <c r="C147" s="21" t="s">
        <v>923</v>
      </c>
      <c r="D147" s="33" t="str">
        <f>HYPERLINK("https://github.com/amy-bo/electroPioreactor/blob/AEP02/Media/protocols/headspace-vent.md","headspace-vent.md →")</f>
        <v>headspace-vent.md →</v>
      </c>
      <c r="F147" s="22" t="s">
        <v>2700</v>
      </c>
    </row>
    <row r="148" spans="1:6" x14ac:dyDescent="0.2">
      <c r="A148" s="21" t="s">
        <v>2701</v>
      </c>
      <c r="B148" s="21" t="s">
        <v>922</v>
      </c>
      <c r="C148" s="21" t="s">
        <v>923</v>
      </c>
      <c r="D148" s="33" t="str">
        <f>HYPERLINK("https://github.com/amy-bo/electroPioreactor/blob/AEP02/Media/protocols/abiotic-do-trace.md","abiotic-do-trace.md →")</f>
        <v>abiotic-do-trace.md →</v>
      </c>
      <c r="F148" s="22" t="s">
        <v>2702</v>
      </c>
    </row>
    <row r="149" spans="1:6" x14ac:dyDescent="0.2">
      <c r="A149" s="21" t="s">
        <v>2703</v>
      </c>
      <c r="B149" s="21" t="s">
        <v>922</v>
      </c>
      <c r="C149" s="21" t="s">
        <v>923</v>
      </c>
      <c r="D149" s="33" t="str">
        <f>HYPERLINK("https://github.com/amy-bo/electroPioreactor/blob/AEP02/Media/protocols/headspace-gas-safety.md","headspace-gas-safety.md →")</f>
        <v>headspace-gas-safety.md →</v>
      </c>
      <c r="F149" s="22" t="inlineStr">
        <is>
          <t xml:space="preserve">Safety. The model puts the lag-phase headspace at about 9 % H₂ (D24), above the 4 % lower flammable limit, until the cells take up H₂.</t>
        </is>
      </c>
    </row>
    <row r="150" spans="1:6" x14ac:dyDescent="0.2">
      <c r="A150" s="21" t="s">
        <v>2705</v>
      </c>
      <c r="B150" s="21" t="s">
        <v>922</v>
      </c>
      <c r="C150" s="21" t="s">
        <v>932</v>
      </c>
      <c r="D150" s="33" t="str">
        <f>HYPERLINK("https://github.com/amy-bo/electroPioreactor/blob/AEP02/Media/protocols/knallgas-stoichiometry.md","knallgas-stoichiometry.md →")</f>
        <v>knallgas-stoichiometry.md →</v>
      </c>
      <c r="F150" s="22" t="s">
        <v>2706</v>
      </c>
    </row>
    <row r="151" spans="1:6" x14ac:dyDescent="0.2">
      <c r="A151" s="21" t="s">
        <v>2707</v>
      </c>
      <c r="B151" s="21" t="s">
        <v>931</v>
      </c>
      <c r="C151" s="21" t="s">
        <v>926</v>
      </c>
      <c r="D151" s="33" t="str">
        <f>HYPERLINK("https://github.com/amy-bo/electroPioreactor/blob/AEP02/Media/protocols/chlorine-species.md","chlorine-species.md →")</f>
        <v>chlorine-species.md →</v>
      </c>
      <c r="F151" s="22" t="s">
        <v>2708</v>
      </c>
    </row>
    <row r="152" spans="1:6" x14ac:dyDescent="0.2">
      <c r="A152" s="21" t="s">
        <v>2709</v>
      </c>
      <c r="B152" s="21" t="s">
        <v>941</v>
      </c>
      <c r="C152" s="21" t="s">
        <v>926</v>
      </c>
      <c r="D152" s="33" t="str">
        <f>HYPERLINK("https://github.com/amy-bo/electroPioreactor/blob/AEP02/Media/protocols/flow-calibration.md","flow-calibration.md →")</f>
        <v>flow-calibration.md →</v>
      </c>
      <c r="F152" s="22" t="s">
        <v>2710</v>
      </c>
    </row>
    <row r="153" spans="1:6" x14ac:dyDescent="0.2">
      <c r="A153" s="21" t="s">
        <v>2711</v>
      </c>
      <c r="B153" s="21" t="s">
        <v>922</v>
      </c>
      <c r="C153" s="21" t="s">
        <v>932</v>
      </c>
      <c r="F153" s="22" t="s">
        <v>2712</v>
      </c>
    </row>
    <row r="154" spans="1:6" x14ac:dyDescent="0.2">
      <c r="A154" s="21" t="s">
        <v>2713</v>
      </c>
      <c r="B154" s="21" t="s">
        <v>922</v>
      </c>
      <c r="C154" s="21" t="s">
        <v>923</v>
      </c>
      <c r="F154" s="22" t="inlineStr">
        <is>
          <t xml:space="preserve">Rows 131–132 give the NaHCO₃ for a target pH at first order (AMYBO03 already carries 40 mM; about 0.1 g/L more reaches the 6.5 floor). Still to do: an added-alkalinity input that feeds the charge balance, ionic strength and CO₂ storage.</t>
        </is>
      </c>
    </row>
    <row r="155" spans="1:6" x14ac:dyDescent="0.2">
      <c r="A155" s="21" t="s">
        <v>2715</v>
      </c>
      <c r="B155" s="21" t="s">
        <v>931</v>
      </c>
      <c r="C155" s="21" t="s">
        <v>926</v>
      </c>
      <c r="F155" s="22" t="inlineStr">
        <is>
          <t xml:space="preserve">Pulse length (D13) is a rule of thumb: about one headspace volume per pulse. A twin trial (UdG, 25 °C) at the 0.25 s default floor gave 0.25 s every 4.4 min: same pH and growth DO on about 7 % less CO₂, but higher lag-phase DO. Wait for the measured floor (flow-calibration step 9).</t>
        </is>
      </c>
    </row>
    <row r="156" spans="1:6" x14ac:dyDescent="0.2">
      <c r="A156" s="21" t="s">
        <v>2717</v>
      </c>
      <c r="B156" s="21" t="s">
        <v>931</v>
      </c>
      <c r="C156" s="21" t="s">
        <v>923</v>
      </c>
      <c r="F156" s="22" t="s">
        <v>2718</v>
      </c>
    </row>
    <row r="157" spans="1:6" x14ac:dyDescent="0.2">
      <c r="A157" s="21" t="s">
        <v>2719</v>
      </c>
      <c r="B157" s="21" t="s">
        <v>941</v>
      </c>
      <c r="C157" s="21" t="s">
        <v>926</v>
      </c>
      <c r="D157" s="33" t="str">
        <f>HYPERLINK("https://github.com/amy-bo/electroPioreactor/blob/AEP02/Media/protocols/electrode-mass-transfer.md","electrode-mass-transfer.md →")</f>
        <v>electrode-mass-transfer.md →</v>
      </c>
      <c r="F157" s="22" t="s">
        <v>2720</v>
      </c>
    </row>
    <row r="158" spans="1:6" x14ac:dyDescent="0.2">
      <c r="A158" s="21" t="inlineStr">
        <is>
          <t xml:space="preserve">Measure: CO₂ flow of the reactor in use</t>
        </is>
      </c>
      <c r="B158" s="21" t="inlineStr">
        <is>
          <t xml:space="preserve">HIGH</t>
        </is>
      </c>
      <c r="C158" s="21" t="s">
        <v>926</v>
      </c>
      <c r="D158" s="33" t="str">
        <f>HYPERLINK("https://github.com/amy-bo/electroPioreactor/blob/AEP02/Media/protocols/flow-calibration.md","flow-calibration.md →")</f>
        <v>flow-calibration.md →</v>
      </c>
      <c r="F158" s="22" t="inlineStr">
        <is>
          <t xml:space="preserve">D2 is ed04, the only reactor with a flow calibration, and its MEP0.3 geometry (20 mL vial, 16 mL max). For an AEP0.2 build (ed06–ed08), calibrate that reactor and select it in D2.</t>
        </is>
      </c>
    </row>
    <row r="159" spans="1:6" x14ac:dyDescent="0.2">
      <c r="A159" s="21" t="s">
        <v>2723</v>
      </c>
      <c r="B159" s="21" t="s">
        <v>941</v>
      </c>
      <c r="C159" s="21" t="s">
        <v>926</v>
      </c>
      <c r="F159" s="22" t="s">
        <v>2724</v>
      </c>
    </row>
  </sheetData>
  <conditionalFormatting sqref="B64:B80 B147:B159">
    <cfRule type="expression" dxfId="45" priority="16" stopIfTrue="1">
      <formula>EXACT(B64,"HIGH")</formula>
    </cfRule>
    <cfRule type="expression" dxfId="44" priority="17" stopIfTrue="1">
      <formula>EXACT(B64,"MED")</formula>
    </cfRule>
    <cfRule type="expression" dxfId="43" priority="18" stopIfTrue="1">
      <formula>EXACT(B64,"LOW")</formula>
    </cfRule>
  </conditionalFormatting>
  <conditionalFormatting sqref="C64:C80 C147:C159">
    <cfRule type="expression" dxfId="42" priority="19" stopIfTrue="1">
      <formula>EXACT(C64,"low")</formula>
    </cfRule>
    <cfRule type="expression" dxfId="41" priority="20" stopIfTrue="1">
      <formula>EXACT(C64,"med")</formula>
    </cfRule>
    <cfRule type="expression" dxfId="40" priority="21" stopIfTrue="1">
      <formula>EXACT(C64,"high")</formula>
    </cfRule>
  </conditionalFormatting>
  <conditionalFormatting sqref="D13:D16">
    <cfRule type="expression" dxfId="39" priority="15" stopIfTrue="1">
      <formula>ISNUMBER(SEARCH("calibrate this",D13))</formula>
    </cfRule>
  </conditionalFormatting>
  <conditionalFormatting sqref="D14">
    <cfRule type="expression" dxfId="38" priority="1" stopIfTrue="1">
      <formula>AND(ISNUMBER($G$13),$G$13&gt;0)</formula>
    </cfRule>
  </conditionalFormatting>
  <conditionalFormatting sqref="D16">
    <cfRule type="expression" dxfId="37" priority="3" stopIfTrue="1">
      <formula>AND(ISNUMBER($G$15),$G$15&gt;0)</formula>
    </cfRule>
  </conditionalFormatting>
  <conditionalFormatting sqref="D19:D36 D84:D86 D118:D121 D128:D130">
    <cfRule type="expression" dxfId="36" priority="12" stopIfTrue="1">
      <formula>OR(ISNUMBER(FIND("INCONSISTENT",D19)),ISNUMBER(FIND("OVER",D19)),ISNUMBER(FIND("BELOW",D19)),ISNUMBER(FIND("EXCEED",D19)),ISNUMBER(FIND("NO CALIB",D19)),ISNUMBER(SEARCH("calibrate this",D19)),ISNUMBER(FIND("RISK",D19)),ISNUMBER(FIND("EXPLOSIVE",D19)),ISNUMBER(FIND("FLAMMABLE",D19)),ISNUMBER(FIND("OOR",D19)),ISNUMBER(SEARCH("insufficient",D19)),ISNUMBER(FIND("TIP SPEED",D19)),ISNUMBER(FIND("SHORTFALL",D19)),ISNUMBER(SEARCH("unreachable",D19)),ISNUMBER(FIND("SAGS",D19)),EXACT(LEFT(D19,4),"NO –"),EXACT(D19,"OUT"),EXACT(D19,"LOW"),ISNUMBER(FIND("GAP",D19)))</formula>
    </cfRule>
    <cfRule type="expression" dxfId="35" priority="13" stopIfTrue="1">
      <formula>OR(ISNUMBER(SEARCH("above optimum",D19)),ISNUMBER(SEARCH("watch",D19)),ISNUMBER(SEARCH("NEAREST",D19)),ISNUMBER(SEARCH("unknown",D19)),ISNUMBER(SEARCH("TIGHT",D19)),ISNUMBER(SEARCH("not measured",D19)))</formula>
    </cfRule>
    <cfRule type="expression" dxfId="34" priority="14" stopIfTrue="1">
      <formula>OR(EXACT(D19,"OK"),EXACT(LEFT(D19,2),"OK"),ISNUMBER(SEARCH(" OK",D19)),ISNUMBER(SEARCH("calibrated:",D19)),ISNUMBER(SEARCH("optimum",D19)),ISNUMBER(SEARCH("above min",D19)),ISNUMBER(SEARCH("CARBON-limited",D19)),ISNUMBER(SEARCH("Static",D19)),ISNUMBER(SEARCH("Dynamic",D19)),ISNUMBER(SEARCH("present",D19)),ISNUMBER(SEARCH("under the",D19)),ISNUMBER(SEARCH("reachable",D19)),EXACT(LEFT(D19,3),"yes"),ISNUMBER(FIND("Below the H₂ LFL",D19)))</formula>
    </cfRule>
  </conditionalFormatting>
  <conditionalFormatting sqref="D35">
    <cfRule type="expression" dxfId="33" priority="22" stopIfTrue="1">
      <formula>OR(D35&lt;cf_pH_red_lo,D35&gt;cf_pH_red_hi)</formula>
    </cfRule>
    <cfRule type="expression" dxfId="32" priority="23" stopIfTrue="1">
      <formula>OR(D35&lt;cf_pH_lo,D35&gt;cf_pH_hi)</formula>
    </cfRule>
    <cfRule type="expression" dxfId="31" priority="24" stopIfTrue="1">
      <formula>ISNUMBER(D35)</formula>
    </cfRule>
  </conditionalFormatting>
  <conditionalFormatting sqref="D36">
    <cfRule type="expression" dxfId="30" priority="25" stopIfTrue="1">
      <formula>D36&gt;cf_Cl_kill</formula>
    </cfRule>
    <cfRule type="expression" dxfId="29" priority="26" stopIfTrue="1">
      <formula>D36&gt;cf_Cl_onset</formula>
    </cfRule>
    <cfRule type="expression" dxfId="28" priority="27" stopIfTrue="1">
      <formula>ISNUMBER(D36)</formula>
    </cfRule>
  </conditionalFormatting>
  <conditionalFormatting sqref="D45">
    <cfRule type="expression" dxfId="27" priority="40" stopIfTrue="1">
      <formula>ISNUMBER(SEARCH("EXCEED",D45))</formula>
    </cfRule>
    <cfRule type="expression" dxfId="26" priority="41" stopIfTrue="1">
      <formula>ISNUMBER(SEARCH("watch",D45))</formula>
    </cfRule>
    <cfRule type="expression" dxfId="25" priority="42" stopIfTrue="1">
      <formula>ISNUMBER(SEARCH("OK",D45))</formula>
    </cfRule>
  </conditionalFormatting>
  <conditionalFormatting sqref="D49">
    <cfRule type="expression" dxfId="24" priority="43" stopIfTrue="1">
      <formula>ISNUMBER(SEARCH("EXCEED",D49))</formula>
    </cfRule>
    <cfRule type="expression" dxfId="23" priority="44" stopIfTrue="1">
      <formula>ISNUMBER(SEARCH("watch",D49))</formula>
    </cfRule>
    <cfRule type="expression" dxfId="22" priority="45" stopIfTrue="1">
      <formula>ISNUMBER(SEARCH("OK",D49))</formula>
    </cfRule>
  </conditionalFormatting>
  <dataValidations count="11">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decimal" allowBlank="1" showErrorMessage="1" errorTitle="Invalid value" error="Electrolysis power is 0–25 % (Gerrit's Law is validated to 25 %; the plugin clamps at 10 %)." sqref="D6" xr:uid="{00000000-0002-0000-0000-000004000000}">
      <formula1>0</formula1>
      <formula2>25</formula2>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12" xr:uid="{00000000-0002-0000-0000-000009000000}">
      <formula1>"Growth,Lag"</formula1>
    </dataValidation>
    <dataValidation type="list" allowBlank="1" showErrorMessage="1" errorTitle="Invalid value" error="Choose Outflow only, Open vent or Air exchange." sqref="D111" xr:uid="{00000000-0002-0000-0000-00000A000000}">
      <formula1>"Outflow only,Open vent,Air exchange"</formula1>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VLOOKUP(rx_ver,$A$84:$I$87,MATCH("vial OD (mm)",$A$83:$I$83,0),FALSE)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IF(ISNUMBER(cal_Dint),cal_Dint,VLOOKUP(rx_ver,$A$84:$I$87,MATCH("usable depth (mm)",$A$83:$I$83,0),FALSE))</f>
        <v>55.0</v>
      </c>
      <c r="E22" s="74" t="s">
        <v>131</v>
      </c>
      <c r="F22" s="21"/>
      <c r="G22" s="21"/>
      <c r="H22" s="21"/>
      <c r="I22" s="21"/>
    </row>
    <row r="23" spans="1:9" x14ac:dyDescent="0.2">
      <c r="A23" s="18" t="s">
        <v>132</v>
      </c>
      <c r="B23" s="19" t="s">
        <v>133</v>
      </c>
      <c r="C23" s="20" t="s">
        <v>52</v>
      </c>
      <c r="D23" s="110">
        <f>VLOOKUP(rx_ver,$A$84:$I$87,MATCH("max working (mL)",$A$83:$I$83,0),FALSE)</f>
        <v>16.0</v>
      </c>
      <c r="E23" s="74" t="s">
        <v>131</v>
      </c>
      <c r="F23" s="21"/>
      <c r="G23" s="21"/>
      <c r="H23" s="21"/>
      <c r="I23" s="21"/>
    </row>
    <row r="24" spans="1:9" x14ac:dyDescent="0.2">
      <c r="A24" s="18" t="s">
        <v>134</v>
      </c>
      <c r="B24" s="19" t="s">
        <v>135</v>
      </c>
      <c r="C24" s="20" t="s">
        <v>52</v>
      </c>
      <c r="D24" s="110">
        <f>IF(ISNUMBER(cal_Vtot),cal_Vtot,VLOOKUP(rx_ver,$A$84:$I$87,MATCH("total vial (mL)",$A$83:$I$83,0),FALSE))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VLOOKUP(reactor_sel,$A$59:$B$80,MATCH("Type",$A$58:$B$58,0),FALSE)</f>
        <v>MEP0.3</v>
      </c>
      <c r="E51" s="21"/>
      <c r="F51" s="21"/>
      <c r="G51" s="21"/>
      <c r="H51" s="21"/>
      <c r="I51" s="21"/>
    </row>
    <row r="52" spans="1:9" x14ac:dyDescent="0.2">
      <c r="A52" s="21" t="s">
        <v>213</v>
      </c>
      <c r="B52" s="21" t="s">
        <v>214</v>
      </c>
      <c r="C52" s="21"/>
      <c r="D52" s="25">
        <f>VLOOKUP(rx_ver,$A$84:$I$87,MATCH("stir bar L (mm)",$A$83:$I$83,0),FALSE)</f>
        <v>12.0</v>
      </c>
      <c r="E52" s="21"/>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3"/>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VLOOKUP(electrode_sel,$A$35:$N$38,MATCH("z_e_ORR",$A$34:$N$34,0),FALSE)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VLOOKUP(electrode_sel,$A$35:$N$38,MATCH("sparger",$A$34:$N$34,0),FALSE)</f>
        <v>Sintered</v>
      </c>
      <c r="E31" s="21"/>
      <c r="F31" s="21"/>
      <c r="G31" s="21"/>
      <c r="H31" s="21"/>
      <c r="I31" s="21"/>
    </row>
    <row r="32" spans="1:9" x14ac:dyDescent="0.2">
      <c r="A32" s="21" t="s">
        <v>331</v>
      </c>
      <c r="B32" s="21" t="s">
        <v>332</v>
      </c>
      <c r="C32" s="21"/>
      <c r="D32" s="25">
        <f>IF(ISNUMBER(cal_sinter),cal_sinter,IF(ISNUMBER(VLOOKUP(electrode_sel,$A$35:$N$38,MATCH("sinter porosity",$A$34:$N$34,0),FALSE)),VLOOKUP(electrode_sel,$A$35:$N$38,MATCH("sinter porosity",$A$34:$N$34,0),FALSE),0))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VLOOKUP(electrode_sel,$A$35:$N$38,MATCH("anode shape",$A$34:$N$34,0),FALSE)</f>
        <v>tube</v>
      </c>
      <c r="E41" s="74" t="s">
        <v>1176</v>
      </c>
    </row>
    <row r="42" spans="1:14" x14ac:dyDescent="0.2">
      <c r="A42" s="18" t="s">
        <v>1177</v>
      </c>
      <c r="B42" s="19" t="s">
        <v>1178</v>
      </c>
      <c r="C42" s="20" t="s">
        <v>115</v>
      </c>
      <c r="D42" s="41">
        <f>VLOOKUP(electrode_sel,$A$35:$N$38,MATCH("anode dia (mm)",$A$34:$N$34,0),FALSE)</f>
        <v>6.0</v>
      </c>
      <c r="E42" s="74" t="s">
        <v>1179</v>
      </c>
    </row>
    <row r="43" spans="1:14" x14ac:dyDescent="0.2">
      <c r="A43" s="18" t="s">
        <v>1180</v>
      </c>
      <c r="B43" s="19" t="s">
        <v>1181</v>
      </c>
      <c r="C43" s="20" t="s">
        <v>111</v>
      </c>
      <c r="D43" s="41" t="str">
        <f>VLOOKUP(electrode_sel,$A$35:$N$38,MATCH("cathode shape",$A$34:$N$34,0),FALSE)</f>
        <v>rod</v>
      </c>
      <c r="E43" s="74" t="s">
        <v>1182</v>
      </c>
    </row>
    <row r="44" spans="1:14" x14ac:dyDescent="0.2">
      <c r="A44" s="18" t="s">
        <v>1183</v>
      </c>
      <c r="B44" s="19" t="s">
        <v>1184</v>
      </c>
      <c r="C44" s="20" t="s">
        <v>115</v>
      </c>
      <c r="D44" s="41">
        <f>VLOOKUP(electrode_sel,$A$35:$N$38,MATCH("cathode dia (mm)",$A$34:$N$34,0),FALSE)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VLOOKUP(electrode_sel,$A$35:$N$38,MATCH("anode j cont (mA/cm²)",$A$34:$N$34,0),FALSE)</f>
        <v>10.0</v>
      </c>
      <c r="E50" s="74" t="s">
        <v>1199</v>
      </c>
    </row>
    <row r="51" spans="1:5" x14ac:dyDescent="0.2">
      <c r="A51" s="18" t="s">
        <v>1200</v>
      </c>
      <c r="B51" s="19" t="s">
        <v>1201</v>
      </c>
      <c r="C51" s="20" t="s">
        <v>1148</v>
      </c>
      <c r="D51" s="41">
        <f>VLOOKUP(electrode_sel,$A$35:$N$38,MATCH("anode j max (mA/cm²)",$A$34:$N$34,0),FALSE)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IF(ISNUMBER(cal_j_opt),cal_j_opt,IFERROR(VLOOKUP(organism_sel,$A$66:$E$71,MATCH("j_opt",$A$65:$E$65,0),FALSE),j_opt_default))</f>
        <v>2.0</v>
      </c>
      <c r="E56" s="74" t="s">
        <v>1217</v>
      </c>
    </row>
    <row r="57" spans="1:5" x14ac:dyDescent="0.2">
      <c r="A57" s="18" t="s">
        <v>1218</v>
      </c>
      <c r="B57" s="19" t="s">
        <v>1219</v>
      </c>
      <c r="C57" s="20" t="s">
        <v>1148</v>
      </c>
      <c r="D57" s="41">
        <f>IF(ISNUMBER(cal_j_ceiling),cal_j_ceiling,IFERROR(VLOOKUP(organism_sel,$A$66:$E$71,MATCH("j_ceiling",$A$65:$E$65,0),FALSE),j_ceiling_default))</f>
        <v>4.0</v>
      </c>
      <c r="E57" s="74" t="s">
        <v>1220</v>
      </c>
    </row>
    <row r="58" spans="1:5" x14ac:dyDescent="0.2">
      <c r="A58" s="18" t="s">
        <v>1221</v>
      </c>
      <c r="B58" s="19" t="s">
        <v>1222</v>
      </c>
      <c r="C58" s="20" t="s">
        <v>111</v>
      </c>
      <c r="D58" s="41" t="str">
        <f>IFERROR(VLOOKUP(organism_sel,$A$66:$E$71,MATCH("confidence",$A$65:$E$65,0),FALSE),"unknown")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VLOOKUP(electrode_sel,$A$35:$N$38,MATCH("anode material",$A$34:$N$34,0),FALSE)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30">
        <v>4.0000000000000001E-3</v>
      </c>
      <c r="E83" s="57" t="s">
        <v>1480</v>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08"/>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s">
        <v>824</v>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s">
        <v>840</v>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f>
        <v>0.115446909129</v>
      </c>
      <c r="E44" s="138" t="s">
        <v>848</v>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6">
        <v>1</v>
      </c>
      <c r="E142" s="138" t="s">
        <v>1014</v>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IF(media_sel=INDEX(MediaList,1),kappa0_mc02,IF(media_sel=INDEX(MediaList,2),kappa0_udg,IF(media_sel=INDEX(MediaList,3),AMYBO03!kappa0_AMYBO03,NA())))*kappa_fI*(1+kappa_TC*(TKc-T_ref))</f>
        <v>1.401288519775</v>
      </c>
      <c r="E180" s="51" t="s">
        <v>1373</v>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f>
        <v>0.200184197377</v>
      </c>
      <c r="E185" s="51" t="s">
        <v>860</v>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s">
        <v>2096</v>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s">
        <v>2735</v>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s">
        <v>2743</v>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3"/>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s">
        <v>2105</v>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IF(ISNUMBER(cal_DO_min),cal_DO_min,IF(ISNUMBER(VLOOKUP(organism_sel,$A$52:$F$57,MATCH("minimum DO",$A$51:$F$51,0),FALSE)),VLOOKUP(organism_sel,$A$52:$F$57,MATCH("minimum DO",$A$51:$F$51,0),FALSE),NA()))</f>
        <v>#N/A</v>
      </c>
      <c r="E45" s="21"/>
      <c r="F45" s="21"/>
    </row>
    <row r="46" spans="1:6" x14ac:dyDescent="0.2">
      <c r="A46" s="21" t="s">
        <v>454</v>
      </c>
      <c r="B46" s="21" t="s">
        <v>455</v>
      </c>
      <c r="C46" s="21" t="s">
        <v>83</v>
      </c>
      <c r="D46" s="25" t="e">
        <f>IF(ISNUMBER(cal_DO_opt),cal_DO_opt,IF(ISNUMBER(VLOOKUP(organism_sel,$A$52:$F$57,MATCH("optimum DO",$A$51:$F$51,0),FALSE)),VLOOKUP(organism_sel,$A$52:$F$57,MATCH("optimum DO",$A$51:$F$51,0),FALSE),NA()))</f>
        <v>#N/A</v>
      </c>
      <c r="E46" s="21"/>
      <c r="F46" s="21"/>
    </row>
    <row r="47" spans="1:6" x14ac:dyDescent="0.2">
      <c r="A47" s="21" t="s">
        <v>456</v>
      </c>
      <c r="B47" s="21" t="s">
        <v>457</v>
      </c>
      <c r="C47" s="21" t="s">
        <v>83</v>
      </c>
      <c r="D47" s="25" t="e">
        <f>IF(ISNUMBER(cal_DO_impair),cal_DO_impair,IF(ISNUMBER(VLOOKUP(organism_sel,$A$52:$F$57,MATCH("impairment DO",$A$51:$F$51,0),FALSE)),VLOOKUP(organism_sel,$A$52:$F$57,MATCH("impairment DO",$A$51:$F$51,0),FALSE),NA()))</f>
        <v>#N/A</v>
      </c>
      <c r="E47" s="21"/>
      <c r="F47" s="21"/>
    </row>
    <row r="48" spans="1:6" x14ac:dyDescent="0.2">
      <c r="A48" s="21" t="s">
        <v>458</v>
      </c>
      <c r="B48" s="21" t="s">
        <v>459</v>
      </c>
      <c r="C48" s="21" t="s">
        <v>83</v>
      </c>
      <c r="D48" s="25" t="e">
        <f>IF(ISNUMBER(cal_DO_toxic),cal_DO_toxic,IF(ISNUMBER(VLOOKUP(organism_sel,$A$52:$F$57,MATCH("toxic DO",$A$51:$F$51,0),FALSE)),VLOOKUP(organism_sel,$A$52:$F$57,MATCH("toxic DO",$A$51:$F$51,0),FALSE),NA()))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H2_src_l_b/(n_flamm_src+CO2_supply_b+F_vent_ex_b)</f>
        <v>0.093689942909</v>
      </c>
      <c r="E84" s="53" t="s">
        <v>2154</v>
      </c>
    </row>
    <row r="85" spans="1:5" ht="24" x14ac:dyDescent="0.2">
      <c r="A85" s="18" t="s">
        <v>2155</v>
      </c>
      <c r="B85" s="19" t="s">
        <v>2156</v>
      </c>
      <c r="C85" s="20" t="s">
        <v>111</v>
      </c>
      <c r="D85" s="41">
        <f>(O2_src_l_b+y_O2_air_b*F_vent_ex_b)/(n_flamm_src+CO2_supply_b+F_vent_ex_b)</f>
        <v>0.053815126441</v>
      </c>
      <c r="E85" s="53" t="s">
        <v>2157</v>
      </c>
    </row>
    <row r="86" spans="1:5" ht="36" x14ac:dyDescent="0.2">
      <c r="A86" s="18" t="s">
        <v>2158</v>
      </c>
      <c r="B86" s="19" t="s">
        <v>2159</v>
      </c>
      <c r="C86" s="20" t="s">
        <v>111</v>
      </c>
      <c r="D86" s="41">
        <f>MAX(0,MIN(H2_src_l_b/H2_LFL-n_flamm_src-F_vent_ex_b,(O2_src_l_b+y_O2_air_b*F_vent_ex_b)/(O2_LOC_H2*LOC_margin)-n_flamm_src-F_vent_ex_b))/CO2_rate_full_b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F418"/>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s">
        <v>1030</v>
      </c>
      <c r="F81" s="21"/>
    </row>
    <row r="82" spans="1:6" ht="24" x14ac:dyDescent="0.2">
      <c r="A82" s="18" t="s">
        <v>649</v>
      </c>
      <c r="B82" s="19" t="s">
        <v>650</v>
      </c>
      <c r="C82" s="20" t="s">
        <v>12</v>
      </c>
      <c r="D82" s="106">
        <v>1</v>
      </c>
      <c r="E82" s="52" t="s">
        <v>1031</v>
      </c>
      <c r="F82" s="21"/>
    </row>
    <row r="83" spans="1:6" ht="24" x14ac:dyDescent="0.2">
      <c r="A83" s="18" t="s">
        <v>651</v>
      </c>
      <c r="B83" s="19" t="s">
        <v>652</v>
      </c>
      <c r="C83" s="20" t="s">
        <v>61</v>
      </c>
      <c r="D83" s="106">
        <v>1</v>
      </c>
      <c r="E83" s="52" t="s">
        <v>1032</v>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IF(ISNA(F_vent_ex+O2_src_sched),NA(),IF(ISNUMBER(spg_int_DO),MIN(spg_int_carbon,spg_int_DO),MIN(spg_int_carbon,spg_int_max)))</f>
        <v>7.398866407059</v>
      </c>
      <c r="E91" s="129" t="s">
        <v>2243</v>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(Summary D111/D112)",IF(NOT(ISNUMBER(spg_int_DO)),"O2-INFEASIBLE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s">
        <v>2248</v>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 flows'!$A$4:$A$201=Reactor)*('CO2 flows'!$J$4:$J$201&gt;0)*'CO2 flows'!$B$4:$B$201))</f>
        <v>46190.0</v>
      </c>
      <c r="E116" s="21"/>
      <c r="F116" s="21"/>
    </row>
    <row r="117" spans="1:6" x14ac:dyDescent="0.2">
      <c r="A117" s="21" t="s">
        <v>717</v>
      </c>
      <c r="B117" s="21" t="s">
        <v>718</v>
      </c>
      <c r="C117" s="21" t="s">
        <v>1286</v>
      </c>
      <c r="D117" s="131">
        <f>IF(ISNUMBER(cal_flow),cal_flow,SUMPRODUCT(('CO2 flows'!$A$4:$A$201=Reactor)*('CO2 flows'!$B$4:$B$201=latest_date)*'CO2 flows'!$J$4:$J$201)/MAX(1,SUMPRODUCT(('CO2 flows'!$A$4:$A$201=Reactor)*('CO2 flows'!$B$4:$B$201=latest_date)*('CO2 flows'!$J$4:$J$201&gt;0)*1)))</f>
        <v>3.33</v>
      </c>
      <c r="E117" s="102" t="s">
        <v>2251</v>
      </c>
      <c r="F117" s="21"/>
    </row>
    <row r="118" spans="1:6" x14ac:dyDescent="0.2">
      <c r="A118" s="21" t="s">
        <v>719</v>
      </c>
      <c r="B118" s="21" t="s">
        <v>720</v>
      </c>
      <c r="C118" s="21" t="s">
        <v>12</v>
      </c>
      <c r="D118" s="131">
        <f>IF(ISNUMBER(cal_pulse_floor),cal_pulse_floor,IF(SUMPRODUCT(('CO2 flows'!$A$4:$A$201=Reactor)*('CO2 flows'!$J$4:$J$201&gt;0)*1)&gt;0,SUMPRODUCT(('CO2 flows'!$A$4:$A$201=Reactor)*('CO2 flows'!$B$4:$B$201=latest_date)*'CO2 flows'!$I$4:$I$201)/MAX(1,SUMPRODUCT(('CO2 flows'!$A$4:$A$201=Reactor)*('CO2 flows'!$B$4:$B$201=latest_date)*('CO2 flows'!$J$4:$J$201&gt;0)*1)),pulse_floor_default))</f>
        <v>0.25</v>
      </c>
      <c r="E118" s="102" t="s">
        <v>2252</v>
      </c>
      <c r="F118" s="21"/>
    </row>
    <row r="119" spans="1:6" x14ac:dyDescent="0.2">
      <c r="A119" s="21" t="s">
        <v>721</v>
      </c>
      <c r="B119" s="21" t="s">
        <v>722</v>
      </c>
      <c r="C119" s="21" t="s">
        <v>723</v>
      </c>
      <c r="D119" s="131">
        <f>SUMPRODUCT(('CO2 flows'!$A$4:$A$201=Reactor)*('CO2 flows'!$J$4:$J$201&gt;0)*1)+IF(ISNUMBER(cal_flow),1,0)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(Summary D111/D112)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s">
        <v>2261</v>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IF(ISNUMBER(y_O2_star),MAX(0,((O2_src_sched+y_O2_air*F_vent_ex)*saw_factor/y_O2_star-F_vent_ex-O2_src_sched-H2_src_sched+CO2_fix_sched)/CO2_rate_full),NA())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s">
        <v>2275</v>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IF(F_vent_ex+CO2_rate_full*duty_carbon+O2_src_sched+H2_src_sched-CO2_fix_sched&gt;0,DO_surf_excess+H_O2_T*P_dry*MIN(1,saw_factor*(O2_src_sched+y_O2_air*F_vent_ex)/(F_vent_ex+CO2_rate_full*duty_carbon+O2_src_sched+H2_src_sched-CO2_fix_sched)),DO_surf_excess+H_O2_T*P_dry)</f>
        <v>0.423131676776</v>
      </c>
      <c r="E232" s="74" t="s">
        <v>2311</v>
      </c>
    </row>
    <row r="240" spans="1:5" x14ac:dyDescent="0.2">
      <c r="A240" s="6" t="s">
        <v>2312</v>
      </c>
    </row>
    <row r="241" spans="1:5" ht="24" x14ac:dyDescent="0.2">
      <c r="A241" t="s">
        <v>2313</v>
      </c>
      <c r="B241" s="19" t="s">
        <v>2314</v>
      </c>
      <c r="C241" s="20" t="s">
        <v>12</v>
      </c>
      <c r="D241" s="116">
        <v>0.05</v>
      </c>
      <c r="E241" s="52" t="s">
        <v>2315</v>
      </c>
    </row>
    <row r="242" spans="1:5" x14ac:dyDescent="0.2">
      <c r="A242" t="s">
        <v>2316</v>
      </c>
      <c r="B242" s="19" t="s">
        <v>2317</v>
      </c>
      <c r="C242" s="20" t="s">
        <v>12</v>
      </c>
      <c r="D242" s="111">
        <f>MAX(pulse_floor,MROUND(spg_dur_opt,pulse_res))</f>
        <v>0.65</v>
      </c>
      <c r="E242" s="51" t="s">
        <v>2318</v>
      </c>
    </row>
    <row r="300" spans="1:5" x14ac:dyDescent="0.2">
      <c r="A300" s="6" t="s">
        <v>2319</v>
      </c>
    </row>
    <row r="301" spans="1:5" x14ac:dyDescent="0.2">
      <c r="A301" s="21" t="s">
        <v>2320</v>
      </c>
      <c r="B301" s="21" t="s">
        <v>2321</v>
      </c>
      <c r="C301" s="21" t="s">
        <v>111</v>
      </c>
      <c r="D301" s="104" t="str">
        <f>Summary!$D$111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IF(F_vent_ex+F_hs_net_g&gt;0,S_O2_g/(F_vent_ex+F_hs_net_g),NA())</f>
        <v>0.027569266375</v>
      </c>
      <c r="E329" s="51" t="s">
        <v>2406</v>
      </c>
    </row>
    <row r="330" spans="1:5" x14ac:dyDescent="0.2">
      <c r="A330" s="18" t="s">
        <v>2407</v>
      </c>
      <c r="B330" s="19" t="s">
        <v>2408</v>
      </c>
      <c r="C330" s="20" t="s">
        <v>111</v>
      </c>
      <c r="D330" s="41">
        <f>IF(F_vent_ex+F_hs_net_g&gt;0,H2_src_g/(F_vent_ex+F_hs_net_g),NA())</f>
        <v>0.0</v>
      </c>
      <c r="E330" s="51" t="s">
        <v>2409</v>
      </c>
    </row>
    <row r="331" spans="1:5" ht="36" x14ac:dyDescent="0.2">
      <c r="A331" s="18" t="s">
        <v>2410</v>
      </c>
      <c r="B331" s="19" t="s">
        <v>2411</v>
      </c>
      <c r="C331" s="20" t="s">
        <v>307</v>
      </c>
      <c r="D331" s="41">
        <f>F_vent_ex+MAX(0,O2_src_g+H2_src_g-CO2_fix_g)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IF(F_vent_ex+F_hs_net_l&gt;0,S_O2_l/(F_vent_ex+F_hs_net_l),NA())</f>
        <v>0.053815126441</v>
      </c>
      <c r="E351" s="51" t="s">
        <v>2406</v>
      </c>
    </row>
    <row r="352" spans="1:5" x14ac:dyDescent="0.2">
      <c r="A352" s="18" t="s">
        <v>2468</v>
      </c>
      <c r="B352" s="19" t="s">
        <v>2469</v>
      </c>
      <c r="C352" s="20" t="s">
        <v>111</v>
      </c>
      <c r="D352" s="41">
        <f>IF(F_vent_ex+F_hs_net_l&gt;0,H2_src_l/(F_vent_ex+F_hs_net_l),NA())</f>
        <v>0.093689942909</v>
      </c>
      <c r="E352" s="51" t="s">
        <v>2409</v>
      </c>
    </row>
    <row r="353" spans="1:5" ht="36" x14ac:dyDescent="0.2">
      <c r="A353" s="18" t="s">
        <v>2470</v>
      </c>
      <c r="B353" s="19" t="s">
        <v>2471</v>
      </c>
      <c r="C353" s="20" t="s">
        <v>307</v>
      </c>
      <c r="D353" s="41">
        <f>F_vent_ex+MAX(0,O2_src_l+H2_src_l-CO2_fix_l)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s">
        <v>2511</v>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IF(F_vent_ex+CO2_supply+O2_src_sched+H2_src_sched-CO2_fix_sched&gt;0,(CO2_supply-CO2_fix_sched+pCO2_air/P_dry*F_vent_ex)/(F_vent_ex+CO2_supply+O2_src_sched+H2_src_sched-CO2_fix_sched),NA())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s">
        <v>2548</v>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s">
        <v>2553</v>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IF(F_vent_ex&gt;0,"UNVERIFIED pressure closure: air ingress is assumed; measure vent make-up flow",IF(hs_sag&gt;hs_sag_max,"HEADSPACE SAGS "&amp;TEXT(hs_sag,"0%")&amp;" below 1 atm each cycle – a real cap will draw air back: use Open vent or Air exchange","OK – sag "&amp;TEXT(hs_sag,"0%")&amp;"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Summary!$G$13</f>
        <v>0.0</v>
      </c>
      <c r="E392" s="140" t="s">
        <v>2564</v>
      </c>
    </row>
    <row r="393" spans="1:5" x14ac:dyDescent="0.2">
      <c r="A393" s="21" t="s">
        <v>2565</v>
      </c>
      <c r="B393" s="21" t="s">
        <v>2566</v>
      </c>
      <c r="C393" s="21" t="s">
        <v>61</v>
      </c>
      <c r="D393" s="112">
        <f>Summary!$G$15</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 flows'!$A$4:$A$201=Reactor)*('CO2 flows'!$F$4:$F$201&gt;0)*('CO2 flows'!$N$4:$N$201&lt;&gt;1)*1)</f>
        <v>34.0</v>
      </c>
      <c r="E401" s="102" t="s">
        <v>2580</v>
      </c>
    </row>
    <row r="402" spans="1:5" x14ac:dyDescent="0.2">
      <c r="A402" s="18" t="s">
        <v>2581</v>
      </c>
      <c r="B402" s="19" t="s">
        <v>2582</v>
      </c>
      <c r="C402" s="20" t="s">
        <v>12</v>
      </c>
      <c r="D402" s="25">
        <f>SUMPRODUCT(('CO2 flows'!$A$4:$A$201=Reactor)*('CO2 flows'!$F$4:$F$201&gt;0)*('CO2 flows'!$N$4:$N$201&lt;&gt;1)*'CO2 flows'!$F$4:$F$201)</f>
        <v>49.85</v>
      </c>
      <c r="E402" s="102" t="s">
        <v>2583</v>
      </c>
    </row>
    <row r="403" spans="1:5" x14ac:dyDescent="0.2">
      <c r="A403" s="18" t="s">
        <v>2584</v>
      </c>
      <c r="B403" s="19" t="s">
        <v>2585</v>
      </c>
      <c r="C403" s="20" t="s">
        <v>52</v>
      </c>
      <c r="D403" s="25">
        <f>SUMPRODUCT(('CO2 flows'!$A$4:$A$201=Reactor)*('CO2 flows'!$F$4:$F$201&gt;0)*('CO2 flows'!$N$4:$N$201&lt;&gt;1)*'CO2 flows'!$E$4:$E$201)</f>
        <v>178.2</v>
      </c>
      <c r="E403" s="102" t="s">
        <v>1589</v>
      </c>
    </row>
    <row r="404" spans="1:5" x14ac:dyDescent="0.2">
      <c r="A404" s="18" t="s">
        <v>2586</v>
      </c>
      <c r="B404" s="19" t="s">
        <v>2587</v>
      </c>
      <c r="C404" s="20" t="s">
        <v>2588</v>
      </c>
      <c r="D404" s="25">
        <f>SUMPRODUCT(('CO2 flows'!$A$4:$A$201=Reactor)*('CO2 flows'!$F$4:$F$201&gt;0)*('CO2 flows'!$N$4:$N$201&lt;&gt;1)*'CO2 flows'!$F$4:$F$201^2)</f>
        <v>304.7325</v>
      </c>
      <c r="E404" s="102" t="s">
        <v>1589</v>
      </c>
    </row>
    <row r="405" spans="1:5" x14ac:dyDescent="0.2">
      <c r="A405" s="18" t="s">
        <v>2589</v>
      </c>
      <c r="B405" s="19" t="s">
        <v>2590</v>
      </c>
      <c r="C405" s="20" t="s">
        <v>2591</v>
      </c>
      <c r="D405" s="25">
        <f>SUMPRODUCT(('CO2 flows'!$A$4:$A$201=Reactor)*('CO2 flows'!$F$4:$F$201&gt;0)*('CO2 flows'!$N$4:$N$201&lt;&gt;1)*'CO2 flows'!$F$4:$F$201*'CO2 flows'!$E$4:$E$201)</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 flows'!$A$4:$A$201=Reactor)*('CO2 flows'!$M$4:$M$201&gt;0)*1)</f>
        <v>0.0</v>
      </c>
      <c r="E412" s="102" t="s">
        <v>2612</v>
      </c>
    </row>
    <row r="413" spans="1:5" ht="36" x14ac:dyDescent="0.2">
      <c r="A413" s="18" t="s">
        <v>2613</v>
      </c>
      <c r="B413" s="19" t="s">
        <v>2614</v>
      </c>
      <c r="C413" s="20" t="s">
        <v>1286</v>
      </c>
      <c r="D413" s="25" t="str">
        <f>IF(carry_n&gt;0,SUMPRODUCT(MIN(('CO2 flows'!$A$4:$A$201=Reactor)*('CO2 flows'!$M$4:$M$201&gt;0)*'CO2 flows'!$M$4:$M$201+(1-('CO2 flows'!$A$4:$A$201=Reactor)*('CO2 flows'!$M$4:$M$201&gt;0))*MAX('CO2 flows'!$M$4:$M$201))),"not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63"/>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spans="1:13" ht="16" x14ac:dyDescent="0.2">
      <c r="A139" s="5" t="s">
        <v>2645</v>
      </c>
      <c r="B139" s="72"/>
      <c r="C139" s="72"/>
      <c r="D139" s="72"/>
      <c r="E139" s="72"/>
      <c r="F139" s="72"/>
      <c r="G139" s="72"/>
      <c r="H139" s="72"/>
      <c r="I139" s="72"/>
      <c r="J139" s="72"/>
      <c r="K139" s="72"/>
      <c r="L139" s="72"/>
      <c r="M139" s="72"/>
    </row>
    <row r="140" spans="1:13" x14ac:dyDescent="0.2">
      <c r="A140" s="18" t="s">
        <v>2646</v>
      </c>
      <c r="B140" s="72" t="s">
        <v>2647</v>
      </c>
      <c r="C140" s="20" t="s">
        <v>2648</v>
      </c>
      <c r="D140" s="132">
        <v>291.2</v>
      </c>
      <c r="E140" s="72" t="s">
        <v>2649</v>
      </c>
    </row>
    <row r="141" spans="1:13" x14ac:dyDescent="0.2">
      <c r="A141" s="18" t="s">
        <v>2650</v>
      </c>
      <c r="B141" s="72" t="s">
        <v>2651</v>
      </c>
      <c r="C141" s="20" t="s">
        <v>518</v>
      </c>
      <c r="D141" s="132">
        <v>160</v>
      </c>
      <c r="E141" s="72" t="s">
        <v>2652</v>
      </c>
    </row>
    <row r="142" spans="1:13" x14ac:dyDescent="0.2">
      <c r="A142" s="18" t="s">
        <v>2653</v>
      </c>
      <c r="B142" s="72" t="s">
        <v>2654</v>
      </c>
      <c r="C142" s="20" t="s">
        <v>518</v>
      </c>
      <c r="D142" s="132">
        <v>100</v>
      </c>
      <c r="E142" s="72" t="s">
        <v>2655</v>
      </c>
    </row>
    <row r="143" spans="1:13" x14ac:dyDescent="0.2">
      <c r="A143" s="18" t="s">
        <v>2656</v>
      </c>
      <c r="B143" s="72" t="s">
        <v>2657</v>
      </c>
      <c r="C143" s="20" t="s">
        <v>518</v>
      </c>
      <c r="D143" s="132">
        <v>40</v>
      </c>
      <c r="E143" s="72" t="s">
        <v>2658</v>
      </c>
    </row>
    <row r="144" spans="1:13" x14ac:dyDescent="0.2">
      <c r="A144" s="18" t="s">
        <v>2659</v>
      </c>
      <c r="B144" s="72" t="s">
        <v>2660</v>
      </c>
      <c r="C144" s="20" t="s">
        <v>518</v>
      </c>
      <c r="D144" s="132">
        <v>16</v>
      </c>
      <c r="E144" s="72" t="s">
        <v>2661</v>
      </c>
    </row>
    <row r="145" spans="1:5" x14ac:dyDescent="0.2">
      <c r="A145" s="18" t="s">
        <v>2662</v>
      </c>
      <c r="B145" s="72" t="s">
        <v>2663</v>
      </c>
      <c r="C145" s="20" t="s">
        <v>518</v>
      </c>
      <c r="D145" s="132">
        <v>10</v>
      </c>
      <c r="E145" s="72" t="s">
        <v>2664</v>
      </c>
    </row>
    <row r="146" spans="1:5" x14ac:dyDescent="0.2">
      <c r="A146" s="18" t="s">
        <v>2665</v>
      </c>
      <c r="B146" s="72" t="s">
        <v>291</v>
      </c>
      <c r="C146" s="20" t="s">
        <v>111</v>
      </c>
      <c r="D146" s="133">
        <f>Electrochemistry!$D$16</f>
        <v>2.0</v>
      </c>
      <c r="E146" s="134" t="s">
        <v>2666</v>
      </c>
    </row>
    <row r="147" spans="1:5" x14ac:dyDescent="0.2">
      <c r="A147" s="18" t="s">
        <v>2667</v>
      </c>
      <c r="B147" s="72" t="s">
        <v>294</v>
      </c>
      <c r="C147" s="20" t="s">
        <v>111</v>
      </c>
      <c r="D147" s="133">
        <f>Electrochemistry!$D$17</f>
        <v>4.0</v>
      </c>
      <c r="E147" s="134" t="s">
        <v>2668</v>
      </c>
    </row>
    <row r="148" spans="1:5" x14ac:dyDescent="0.2">
      <c r="A148" s="18" t="s">
        <v>2288</v>
      </c>
      <c r="B148" s="72" t="s">
        <v>2122</v>
      </c>
      <c r="C148" s="20" t="s">
        <v>262</v>
      </c>
      <c r="D148" s="133">
        <f>Biology!$D$66</f>
        <v>273.15</v>
      </c>
      <c r="E148" s="134" t="s">
        <v>2289</v>
      </c>
    </row>
    <row r="149" spans="1:5" x14ac:dyDescent="0.2">
      <c r="A149" s="18" t="s">
        <v>2669</v>
      </c>
      <c r="B149" s="72" t="s">
        <v>1698</v>
      </c>
      <c r="C149" s="20" t="s">
        <v>57</v>
      </c>
      <c r="D149" s="133">
        <f>'Mass Transfer'!$D$203</f>
        <v>610.94</v>
      </c>
      <c r="E149" s="134" t="s">
        <v>2670</v>
      </c>
    </row>
    <row r="150" spans="1:5" x14ac:dyDescent="0.2">
      <c r="A150" s="18" t="s">
        <v>2671</v>
      </c>
      <c r="B150" s="72" t="s">
        <v>1701</v>
      </c>
      <c r="C150" s="20" t="s">
        <v>111</v>
      </c>
      <c r="D150" s="133">
        <f>'Mass Transfer'!$D$204</f>
        <v>17.625</v>
      </c>
      <c r="E150" s="134" t="s">
        <v>2672</v>
      </c>
    </row>
    <row r="151" spans="1:5" x14ac:dyDescent="0.2">
      <c r="A151" s="18" t="s">
        <v>2673</v>
      </c>
      <c r="B151" s="72" t="s">
        <v>1703</v>
      </c>
      <c r="C151" s="20" t="s">
        <v>48</v>
      </c>
      <c r="D151" s="133">
        <f>'Mass Transfer'!$D$205</f>
        <v>243.04</v>
      </c>
      <c r="E151" s="134" t="s">
        <v>2674</v>
      </c>
    </row>
    <row r="155" spans="1:5" x14ac:dyDescent="0.2">
      <c r="A155" s="18" t="s">
        <v>2675</v>
      </c>
      <c r="B155" s="72" t="s">
        <v>2676</v>
      </c>
      <c r="C155" s="20" t="s">
        <v>508</v>
      </c>
      <c r="D155" s="133">
        <f>'Mass Transfer'!$D$169</f>
        <v>1003.33</v>
      </c>
      <c r="E155" s="134" t="s">
        <v>2677</v>
      </c>
    </row>
    <row r="156" spans="1:5" x14ac:dyDescent="0.2">
      <c r="A156" s="18" t="s">
        <v>2678</v>
      </c>
      <c r="B156" s="72" t="s">
        <v>2679</v>
      </c>
      <c r="C156" s="20" t="s">
        <v>1595</v>
      </c>
      <c r="D156" s="133">
        <f>'Mass Transfer'!$D$170</f>
        <v>-0.2556</v>
      </c>
      <c r="E156" s="134" t="s">
        <v>2680</v>
      </c>
    </row>
    <row r="157" spans="1:5" x14ac:dyDescent="0.2">
      <c r="A157" s="18" t="s">
        <v>2681</v>
      </c>
      <c r="B157" s="72" t="s">
        <v>26</v>
      </c>
      <c r="C157" s="20" t="s">
        <v>111</v>
      </c>
      <c r="D157" s="133" t="str">
        <f>Summary!$D$2</f>
        <v>ed04</v>
      </c>
      <c r="E157" s="134" t="s">
        <v>2682</v>
      </c>
    </row>
    <row r="158" spans="1:5" x14ac:dyDescent="0.2">
      <c r="A158" s="18" t="s">
        <v>2683</v>
      </c>
      <c r="B158" s="72" t="s">
        <v>33</v>
      </c>
      <c r="C158" s="20" t="s">
        <v>111</v>
      </c>
      <c r="D158" s="133" t="str">
        <f>Summary!$D$4</f>
        <v>Xanthobacter tagetidis</v>
      </c>
      <c r="E158" s="134" t="s">
        <v>2684</v>
      </c>
    </row>
    <row r="159" spans="1:5" x14ac:dyDescent="0.2">
      <c r="A159" s="18" t="s">
        <v>2685</v>
      </c>
      <c r="B159" s="72" t="s">
        <v>212</v>
      </c>
      <c r="C159" s="20" t="s">
        <v>111</v>
      </c>
      <c r="D159" s="133" t="str">
        <f>Geometry!$D$51</f>
        <v>MEP0.3</v>
      </c>
      <c r="E159" s="134" t="s">
        <v>2686</v>
      </c>
    </row>
    <row r="160" spans="1:5" x14ac:dyDescent="0.2">
      <c r="A160" s="18" t="s">
        <v>486</v>
      </c>
      <c r="B160" s="72" t="s">
        <v>126</v>
      </c>
      <c r="C160" s="20" t="s">
        <v>127</v>
      </c>
      <c r="D160" s="133">
        <f>Geometry!$D$21</f>
        <v>501.93100162698</v>
      </c>
      <c r="E160" s="134" t="s">
        <v>2687</v>
      </c>
    </row>
    <row r="161" spans="1:5" x14ac:dyDescent="0.2">
      <c r="A161" s="18" t="s">
        <v>2688</v>
      </c>
      <c r="B161" s="72" t="s">
        <v>266</v>
      </c>
      <c r="C161" s="20" t="s">
        <v>267</v>
      </c>
      <c r="D161" s="133">
        <f>'Mass Transfer'!$D$101</f>
        <v>8.314462618</v>
      </c>
      <c r="E161" s="134" t="s">
        <v>2689</v>
      </c>
    </row>
    <row r="162" spans="1:5" x14ac:dyDescent="0.2">
      <c r="A162" s="18" t="s">
        <v>767</v>
      </c>
      <c r="B162" s="72" t="s">
        <v>287</v>
      </c>
      <c r="C162" s="20" t="s">
        <v>288</v>
      </c>
      <c r="D162" s="133">
        <f>Electrochemistry!$D$15</f>
        <v>96485.33212</v>
      </c>
      <c r="E162" s="134" t="s">
        <v>2690</v>
      </c>
    </row>
    <row r="163" spans="1:5" x14ac:dyDescent="0.2">
      <c r="A163" s="18"/>
      <c r="B163" s="72"/>
      <c r="C163" s="20"/>
      <c r="D163" s="133"/>
      <c r="E163" s="134"/>
    </row>
  </sheetData>
  <dataValidations count="4">
    <dataValidation type="list" allowBlank="1" showInputMessage="1" showErrorMessage="1" sqref="C8:C15 C81:C88 C66:C73 C52:C59 C38:C45 C23:C30" xr:uid="{00000000-0002-0000-0700-000000000000}">
      <formula1>ReactorList</formula1>
    </dataValidation>
    <dataValidation type="list" allowBlank="1" showInputMessage="1" showErrorMessage="1" sqref="G8:G15 F128:F135 G112:G119 H95:H102 G81:G88 J66:J73 H52:H59 F38:F45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28:C135 C112:C119" xr:uid="{00000000-0002-0000-0700-00000D000000}">
      <formula1>OrganismList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I62"/>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