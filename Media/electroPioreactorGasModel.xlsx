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 name="grid_t_max" localSheetId="5">'Mass Transfer'!$D$436</definedName>
    <definedName name="y_H2_avg_l" localSheetId="5">'Mass Transfer'!$D$564</definedName>
    <definedName name="knall_H2_basis" localSheetId="7">Calibrations!$D$199</definedName>
    <definedName name="por_p0_hi" localSheetId="7">Calibrations!$D$200</definedName>
    <definedName name="por_p5_hi" localSheetId="7">Calibrations!$D$201</definedName>
    <definedName name="por_p5_lo" localSheetId="7">Calibrations!$D$202</definedName>
    <definedName name="gerrit_check_pct" localSheetId="2">Electrochemistry!$D$166</definedName>
    <definedName name="O2_ceil_org" localSheetId="5">'Mass Transfer'!$D$565</definedName>
    <definedName name="cal_bp" localSheetId="7">Calibrations!$D$90</definedName>
    <definedName name="r_H2O2_an_g" localSheetId="2">Electrochemistry!$D$168</definedName>
    <definedName name="r_H2O2_an_l" localSheetId="2">Electrochemistry!$D$169</definedName>
    <definedName name="f_H2O2_anode" localSheetId="2">Electrochemistry!$D$170</definedName>
    <definedName name="O2_H2O2_ret_g" localSheetId="2">Electrochemistry!$D$171</definedName>
    <definedName name="O2_H2O2_lag_adj" localSheetId="2">Electrochemistry!$D$172</definedName>
    <definedName name="O2_cat_ret_g" localSheetId="2">Electrochemistry!$D$173</definedName>
    <definedName name="z_peak_g" localSheetId="5">'Mass Transfer'!$D$566</definedName>
    <definedName name="z_peak_l" localSheetId="5">'Mass Transfer'!$D$567</definedName>
    <definedName name="z_peak_su" localSheetId="5">'Mass Transfer'!$D$568</definedName>
    <definedName name="rate_tol_rel" localSheetId="5">'Mass Transfer'!$D$569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<sst xmlns="http://schemas.openxmlformats.org/spreadsheetml/2006/main" count="3953" uniqueCount="2838">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</sst>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8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xf numFmtId="0" fontId="29" fillId="0" borderId="10" xfId="0" applyFont="1" applyBorder="1" applyAlignment="1">
      <alignment vertical="top" wrapText="1"/>
    </xf>
    <xf numFmtId="0" fontId="29" fillId="0" borderId="12" xfId="0" applyFont="1" applyBorder="1" applyAlignment="1">
      <alignment vertical="top" wrapText="1"/>
    </xf>
    <xf numFmtId="0" fontId="29" fillId="0" borderId="13" xfId="0" applyFont="1" applyBorder="1" applyAlignment="1">
      <alignment vertical="top" wrapText="1"/>
    </xf>
    <xf numFmtId="0" fontId="11" fillId="0" borderId="4" xfId="0" applyFont="1" applyBorder="1" applyAlignment="1">
      <alignment vertical="top" wrapText="1"/>
    </xf>
    <xf numFmtId="0" fontId="22" fillId="0" borderId="4" xfId="0" applyFont="1" applyBorder="1" applyAlignment="1">
      <alignment vertical="top" wrapText="1"/>
    </xf>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44"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7.293500622657</v>
      </c>
      <c r="E20" s="24" t="str">
        <f>HYPERLINK("#'Mass Transfer'!D91","→ Mass")</f>
        <v>→ Mass</v>
      </c>
      <c r="F20" s="22" t="inlineStr">
        <is>
          <t xml:space="preserve">Time between doses: the shortest of the carbon-limited, headspace-O₂-dilution and pH-ceiling intervals (rows 28–30), plus the H₂ flammability screen when the schedule is sized on Lag (row 12); row 22 says which binds. Sized for the vent model in row 11 and the pulse in row 19.</t>
        </is>
      </c>
      <c r="G20" s="136"/>
    </row>
    <row r="21" spans="1:7" x14ac:dyDescent="0.2">
      <c r="A21" s="25" t="s">
        <v>1715</v>
      </c>
      <c r="B21" s="19" t="s">
        <v>1716</v>
      </c>
      <c r="C21" s="21" t="s">
        <v>61</v>
      </c>
      <c r="D21" s="111">
        <f>IF(NOT(ISNUMBER(res_spg_int)),res_spg_int,'Mass Transfer'!spg_int)</f>
        <v>7.07</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the pH ceiling (rows 28–30) or, when sized on Lag, the H₂ flammability screen; an invalid selector or an unreachable target is named here instead.</t>
        </is>
      </c>
    </row>
    <row r="23" spans="1:6" ht="16" thickBot="1" x14ac:dyDescent="0.25">
      <c r="A23" s="64" t="s">
        <v>1744</v>
      </c>
      <c r="B23" s="19" t="s">
        <v>1745</v>
      </c>
      <c r="C23" s="21"/>
      <c r="D23" s="92">
        <f>Chemistry!pH_meas</f>
        <v>6.487161438894</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2.275287892306</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7.293500622657</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212.486056390007</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IF(AND(ISNUMBER(res_spg_dur_run),ISNUMBER(res_spg_int_run),ISNUMBER('Mass Transfer'!duty_actual)),('Mass Transfer'!pulse_V0+'Mass Transfer'!Q_CO2_fit*res_spg_dur_run)/('Mass Transfer'!Q_CO2/60)/(60*res_spg_int_run)/'Mass Transfer'!duty_actual,"calibrate this reactor first (CO₂ flow section of the Calibrations tab, or a CO2 flows row)")</f>
        <v>1.000059954094</v>
      </c>
      <c r="E32" s="24" t="str">
        <f>HYPERLINK("#'Mass Transfer'!D93","→ Mass")</f>
        <v>→ Mass</v>
      </c>
      <c r="F32" s="22" t="inlineStr">
        <is>
          <t xml:space="preserve">Delivered CO₂ duty of the schedule as run (rows 19 and 21) against the sized duty; 1 = rounding the interval has not moved the CO₂ dose. The sizing already uses the commanded pulse (Mass Transfer D320), so a ratio near 1 also means the DO target holds.</t>
        </is>
      </c>
    </row>
    <row r="33" ht="47" customHeight="1">
      <c r="A33" s="64" t="inlineStr">
        <is>
          <t xml:space="preserve">Start-up schedule: lag-phase DO and H₂</t>
        </is>
      </c>
      <c r="B33" s="19" t="inlineStr">
        <is>
          <t xml:space="preserve">res_su_state</t>
        </is>
      </c>
      <c r="D33" s="175"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ht="32" customHeight="1">
      <c r="A35" s="64" t="s">
        <v>63</v>
      </c>
      <c r="B35" s="19" t="s">
        <v>1717</v>
      </c>
      <c r="C35" s="21"/>
      <c r="D35" s="176" t="str">
        <f>Geometry!geom_check</f>
        <v>VIAL GEOMETRY INCONSISTENT - measure the true headspace (protocols/vial-geometry.md)</v>
      </c>
      <c r="E35" s="24" t="str">
        <f>HYPERLINK("#Geometry!D90","→ Geometry")</f>
        <v>→ Geometry</v>
      </c>
      <c r="F35" s="22" t="inlineStr">
        <is>
          <t xml:space="preserve">Red until the vial headspace is measured (vial-geometry.md); while red, the pulse above is provisional (~4x uncertain). Once a headspace and its working fill are included on the Calibrations tab it reads OK, because the measured headspace replaces the cylinder approximation.</t>
        </is>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ht="32" customHeight="1">
      <c r="A37" s="64" t="s">
        <v>1721</v>
      </c>
      <c r="B37" s="19" t="s">
        <v>1722</v>
      </c>
      <c r="C37" s="21"/>
      <c r="D37" s="175" t="str">
        <f>'Mass Transfer'!DO_peak_band</f>
        <v>organism band unknown – peak 2.5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ht="62" customHeight="1">
      <c r="A39" s="64" t="s">
        <v>1725</v>
      </c>
      <c r="B39" s="19" t="s">
        <v>1726</v>
      </c>
      <c r="C39" s="21"/>
      <c r="D39" s="175" t="str">
        <f>'Mass Transfer'!sched_regime</f>
        <v>Do NOT relax: at the carbon-limited interval (185 min) the cycle-mean DO would be ≈14 mg/L, above the 10.1 mg/L inhibition ceiling (peaks higher)</v>
      </c>
      <c r="E39" s="24" t="str">
        <f>HYPERLINK("#'Mass Transfer'!D113","→ Mass")</f>
        <v>→ Mass</v>
      </c>
      <c r="F39" s="22" t="s">
        <v>1727</v>
      </c>
    </row>
    <row r="40" spans="1:6" x14ac:dyDescent="0.2" ht="92" customHeight="1">
      <c r="A40" s="64" t="s">
        <v>1728</v>
      </c>
      <c r="B40" s="19" t="s">
        <v>1729</v>
      </c>
      <c r="C40" s="21"/>
      <c r="D40" s="177" t="str">
        <f>Biology!H2_safety</f>
        <v>POTENTIAL FLAMMABILITY (lag screen): H₂ 9% mean, 14%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ht="32" customHeight="1">
      <c r="A42" s="64" t="s">
        <v>69</v>
      </c>
      <c r="B42" s="19" t="s">
        <v>1732</v>
      </c>
      <c r="C42" s="21"/>
      <c r="D42" s="175" t="str">
        <f>IFERROR("×"&amp;TEXT('Mass Transfer'!CO2_sd_ratio,"0.0")&amp;IF('Mass Transfer'!CO2_sd_ratio&gt;=1," OK"," SHORTFALL (CO2 &lt; demand)")&amp;" delivered; ×"&amp;TEXT('Mass Transfer'!CO2_uptake_ratio,"0.0")&amp;" absorbed per pulse (row 77)","calibrate this reactor first")</f>
        <v>×50.7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ht="32" customHeight="1">
      <c r="A45" s="64" t="s">
        <v>73</v>
      </c>
      <c r="B45" s="19" t="s">
        <v>1737</v>
      </c>
      <c r="C45" s="21"/>
      <c r="D45" s="17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thickBot="1" x14ac:dyDescent="0.25" ht="32" customHeight="1">
      <c r="A50" s="64" t="s">
        <v>897</v>
      </c>
      <c r="B50" s="19" t="s">
        <v>1743</v>
      </c>
      <c r="C50" s="21"/>
      <c r="D50" s="176"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ht="32" customHeight="1">
      <c r="A51" s="64" t="s">
        <v>1836</v>
      </c>
      <c r="B51" s="19" t="s">
        <v>1837</v>
      </c>
      <c r="D51" s="17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ht="32" customHeight="1">
      <c r="A52" s="64" t="s">
        <v>1827</v>
      </c>
      <c r="D52" s="178"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(D2–D5, D11, D12) is not a listed value.</t>
        </is>
      </c>
    </row>
    <row r="53" spans="1:6" x14ac:dyDescent="0.2">
      <c r="A53" s="64" t="s">
        <v>1829</v>
      </c>
      <c r="C53" s="21" t="s">
        <v>111</v>
      </c>
      <c r="D53" s="65">
        <f>'Mass Transfer'!hs_sag</f>
        <v>0.05000728325</v>
      </c>
      <c r="E53" s="24" t="str">
        <f>HYPERLINK("#'Mass Transfer'!D389","→ Mass Transfer")</f>
        <v>→ Mass Transfer</v>
      </c>
      <c r="F53" s="22" t="s">
        <v>1830</v>
      </c>
    </row>
    <row r="54" spans="1:6" x14ac:dyDescent="0.2" ht="32" customHeight="1">
      <c r="A54" s="64" t="s">
        <v>1831</v>
      </c>
      <c r="D54" s="17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2.275287892306</v>
      </c>
      <c r="E59" s="24" t="str">
        <f>HYPERLINK("#'Mass Transfer'!D343","→ Mass Transfer")</f>
        <v>→ Mass Transfer</v>
      </c>
      <c r="F59" s="22" t="s">
        <v>1802</v>
      </c>
    </row>
    <row r="60" spans="1:6" x14ac:dyDescent="0.2">
      <c r="A60" s="64" t="s">
        <v>1803</v>
      </c>
      <c r="C60" s="21" t="s">
        <v>83</v>
      </c>
      <c r="D60" s="65">
        <f>'Mass Transfer'!DO_peak_g_mgL</f>
        <v>2.480371102791</v>
      </c>
      <c r="E60" s="24" t="str">
        <f>HYPERLINK("#'Mass Transfer'!D344","→ Mass Transfer")</f>
        <v>→ Mass Transfer</v>
      </c>
      <c r="F60" s="22" t="s">
        <v>1804</v>
      </c>
    </row>
    <row r="61" spans="1:6" x14ac:dyDescent="0.2">
      <c r="A61" s="64" t="s">
        <v>1805</v>
      </c>
      <c r="C61" s="21" t="s">
        <v>83</v>
      </c>
      <c r="D61" s="65">
        <f>'Mass Transfer'!DO_avg_l_mgL</f>
        <v>5.614717330178</v>
      </c>
      <c r="E61" s="24" t="str">
        <f>HYPERLINK("#'Mass Transfer'!D364","→ Mass Transfer")</f>
        <v>→ Mass Transfer</v>
      </c>
      <c r="F61" s="22" t="s">
        <v>1806</v>
      </c>
    </row>
    <row r="62" spans="1:6" x14ac:dyDescent="0.2">
      <c r="A62" s="64" t="s">
        <v>1807</v>
      </c>
      <c r="C62" s="21" t="s">
        <v>83</v>
      </c>
      <c r="D62" s="65">
        <f>'Mass Transfer'!DO_peak_l_mgL</f>
        <v>6.006789460768</v>
      </c>
      <c r="E62" s="24" t="str">
        <f>HYPERLINK("#'Mass Transfer'!D365","→ Mass Transfer")</f>
        <v>→ Mass Transfer</v>
      </c>
      <c r="F62" s="22" t="s">
        <v>1808</v>
      </c>
    </row>
    <row r="63" spans="1:6" x14ac:dyDescent="0.2">
      <c r="A63" s="64" t="s">
        <v>1809</v>
      </c>
      <c r="D63" s="65" t="str">
        <f>'Mass Transfer'!DO_peak_chk_g</f>
        <v>peak 2.5 mg/L under the 10.1 mg/L ceiling</v>
      </c>
      <c r="E63" s="24" t="str">
        <f>HYPERLINK("#'Mass Transfer'!D348","→ Mass Transfer")</f>
        <v>→ Mass Transfer</v>
      </c>
      <c r="F63" s="22" t="inlineStr">
        <is>
          <t xml:space="preserve">Red = the growth-phase sawtooth peaks above the organism’s inhibition limit: its toxic DO when known, otherwise the 0.30 atm ceiling (Mass Transfer D565).</t>
        </is>
      </c>
    </row>
    <row r="64" spans="1:6" x14ac:dyDescent="0.2">
      <c r="A64" s="64" t="s">
        <v>1811</v>
      </c>
      <c r="D64" s="65" t="str">
        <f>'Mass Transfer'!DO_peak_chk_l</f>
        <v>peak 6.0 mg/L under the 10.1 mg/L ceiling</v>
      </c>
      <c r="E64" s="24" t="str">
        <f>HYPERLINK("#'Mass Transfer'!D369","→ Mass Transfer")</f>
        <v>→ Mass Transfer</v>
      </c>
      <c r="F64" s="22" t="inlineStr">
        <is>
          <t xml:space="preserve">Red = the lag-phase peak breaches that limit at the schedule in use; the culture would then be inhibited before it can take up O₂ (Mass Transfer D565).</t>
        </is>
      </c>
    </row>
    <row r="65" spans="1:6" x14ac:dyDescent="0.2">
      <c r="A65" s="64" t="s">
        <v>1813</v>
      </c>
      <c r="D65" s="65" t="str">
        <f>'Mass Transfer'!DO_feas_g</f>
        <v>reachable – kLa margin 1.72×</v>
      </c>
      <c r="E65" s="24" t="str">
        <f>HYPERLINK("#'Mass Transfer'!D347","→ Mass Transfer")</f>
        <v>→ Mass Transfer</v>
      </c>
      <c r="F65" s="22" t="s">
        <v>1814</v>
      </c>
    </row>
    <row r="66" spans="1:6" x14ac:dyDescent="0.2" ht="47" customHeight="1">
      <c r="A66" s="64" t="s">
        <v>1815</v>
      </c>
      <c r="D66" s="17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15.978886341621</v>
      </c>
      <c r="E67" s="24" t="str">
        <f>HYPERLINK("#'Mass Transfer'!D345","→ Mass Transfer")</f>
        <v>→ Mass Transfer</v>
      </c>
      <c r="F67" s="22" t="s">
        <v>1817</v>
      </c>
    </row>
    <row r="68" spans="1:6" x14ac:dyDescent="0.2">
      <c r="A68" s="64" t="s">
        <v>1818</v>
      </c>
      <c r="C68" s="21" t="s">
        <v>449</v>
      </c>
      <c r="D68" s="65">
        <f>'Mass Transfer'!kLa_surf_req_l*3600</f>
        <v>45.331424583836</v>
      </c>
      <c r="E68" s="24" t="str">
        <f>HYPERLINK("#'Mass Transfer'!D366","→ Mass Transfer")</f>
        <v>→ Mass Transfer</v>
      </c>
      <c r="F68" s="22" t="s">
        <v>1817</v>
      </c>
    </row>
    <row r="69" spans="1:6" x14ac:dyDescent="0.2">
      <c r="A69" s="64" t="s">
        <v>1819</v>
      </c>
      <c r="C69" s="21" t="s">
        <v>111</v>
      </c>
      <c r="D69" s="65">
        <f>'Mass Transfer'!y_O2_mf_g</f>
        <v>0.027367364576</v>
      </c>
      <c r="E69" s="24" t="str">
        <f>HYPERLINK("#'Mass Transfer'!D329","→ Mass Transfer")</f>
        <v>→ Mass Transfer</v>
      </c>
      <c r="F69" s="22" t="s">
        <v>1820</v>
      </c>
    </row>
    <row r="70" spans="1:6" x14ac:dyDescent="0.2">
      <c r="A70" s="64" t="s">
        <v>1821</v>
      </c>
      <c r="C70" s="21" t="s">
        <v>111</v>
      </c>
      <c r="D70" s="65">
        <f>'Mass Transfer'!y_O2_mf_l</f>
        <v>0.053538910882</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0.09257585106</v>
      </c>
      <c r="E71" s="24" t="str">
        <f>HYPERLINK("#'Mass Transfer'!D352","→ Mass Transfer")</f>
        <v>→ Mass Transfer</v>
      </c>
      <c r="F71" s="22" t="s">
        <v>1824</v>
      </c>
    </row>
    <row r="72" spans="1:6" x14ac:dyDescent="0.2">
      <c r="A72" s="64" t="s">
        <v>1825</v>
      </c>
      <c r="C72" s="21" t="s">
        <v>111</v>
      </c>
      <c r="D72" s="65">
        <f>'Mass Transfer'!y_CO2_mf</f>
        <v>0.940877306879</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509.521897908088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2.503892293977</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0.129751405739</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1.544530881222</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0.344043413938</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0.927852667512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ht="62" customHeight="1">
      <c r="A98" t="s">
        <v>1517</v>
      </c>
      <c r="B98" s="19" t="s">
        <v>1777</v>
      </c>
      <c r="C98" s="20" t="s">
        <v>1140</v>
      </c>
      <c r="D98" s="179" t="str">
        <f>Electrochemistry!H2O2_flag</f>
        <v>watch — steady growth is clear (0.043 mg/L) but LAG PHASE is not: peroxide passes the threshold in 6 min (0.84 mg/L after 1 h) before biomass can scavenge it</v>
      </c>
      <c r="E98" s="24" t="str">
        <f>HYPERLINK("#Electrochemistry!D99","→ Electrochemistry")</f>
        <v>→ Electrochemistry</v>
      </c>
      <c r="F98" t="s">
        <v>1664</v>
      </c>
    </row>
    <row r="99" spans="1:6" x14ac:dyDescent="0.2" ht="32" customHeight="1">
      <c r="A99" t="s">
        <v>1665</v>
      </c>
      <c r="B99" s="19" t="s">
        <v>1778</v>
      </c>
      <c r="C99" s="20" t="s">
        <v>1140</v>
      </c>
      <c r="D99" s="179"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1.248916601067</v>
      </c>
      <c r="E101" s="24" t="str">
        <f>HYPERLINK("#Chemistry!D211","→ Chemistry")</f>
        <v>→ Chemistry</v>
      </c>
      <c r="F101" t="s">
        <v>1783</v>
      </c>
    </row>
    <row r="102" spans="1:6" x14ac:dyDescent="0.2">
      <c r="A102" t="s">
        <v>1468</v>
      </c>
      <c r="B102" s="19" t="s">
        <v>1784</v>
      </c>
      <c r="C102" s="20" t="s">
        <v>1140</v>
      </c>
      <c r="D102" s="23">
        <f>Chemistry!pH_meas</f>
        <v>6.487161438894</v>
      </c>
      <c r="E102" s="24" t="str">
        <f>HYPERLINK("#Chemistry!D220","→ Chemistry")</f>
        <v>→ Chemistry</v>
      </c>
      <c r="F102" t="s">
        <v>1667</v>
      </c>
    </row>
    <row r="103" spans="1:6" x14ac:dyDescent="0.2">
      <c r="A103" t="s">
        <v>1668</v>
      </c>
      <c r="B103" s="19" t="s">
        <v>1785</v>
      </c>
      <c r="C103" s="20" t="s">
        <v>449</v>
      </c>
      <c r="D103" s="23">
        <f>'Mass Transfer'!kLa_surf_req*3600</f>
        <v>15.978886341621</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inlineStr">
        <is>
          <t xml:space="preserve">Calculated today as 1 − the chlorine, peroxide-oxidation, anodic H₂-oxidation and metal-dissolution shares (Electrochemistry D104), with the last two unmeasured; any anodic metal dissolution comes straight off it, and the corrosion suspicion on Chemistry D163 needs exactly this number. Needs an accepted per-electrode measurement, not a mixed-gas screen.</t>
        </is>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("&amp;IF(ISNUMBER(res_spg_dur),TEXT(res_spg_dur,"0.00")&amp;" s","not yet computed")&amp;"): "&amp;IF(AND(ISNUMBER(res_spg_dur),'Mass Transfer'!pulse_floor&gt;=res_spg_dur),"it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inlineStr">
        <is>
          <t xml:space="preserve">Organism DO thresholds</t>
        </is>
      </c>
      <c r="B113" s="21" t="s">
        <v>944</v>
      </c>
      <c r="C113" s="21" t="s">
        <v>945</v>
      </c>
      <c r="D113" s="33" t="str">
        <f>HYPERLINK("https://github.com/amy-bo/electroPioreactor/blob/AEP02/Media/protocols/dissolved-oxygen.md","dissolved-oxygen.md →")</f>
        <v>dissolved-oxygen.md →</v>
      </c>
      <c r="E113" s="77"/>
      <c r="F113" s="22" t="inlineStr">
        <is>
          <t xml:space="preserve">Minimum, optimum and impairment DO for the organism in use: all four are data gaps for X. tagetidis, and the C. necator optimum and impairment that set the fallback target fraction (Biology D61) are provisional working values (row 38 is the minimum check).</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inlineStr">
        <is>
          <t xml:space="preserve">Enters every Henry solubility and gas-volume conversion through P_atm (blank = 101 325 Pa): small near sea level, larger at altitude. It does not move the O₂ inhibition criterion, a fixed 0.30 atm partial pressure (Biology D26).</t>
        </is>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That is exact for the mean-field fractions but not for the sawtooth: a separate N₂ flush lets H₂ and O₂ build for longer between flushes, so the pre-pulse peaks can be substantially higher than the continuous surrogate shows. Model the flush before relying on pulsed N₂.</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Summary!Reactor_sel</f>
        <v>ed04</v>
      </c>
      <c r="E5" s="105" t="str">
        <f>HYPERLINK("#Summary!D2","→ Summary")</f>
        <v>→ Summary</v>
      </c>
      <c r="F5" s="21"/>
      <c r="G5" s="21"/>
      <c r="H5" s="21"/>
      <c r="I5" s="21"/>
    </row>
    <row r="6" spans="1:9" x14ac:dyDescent="0.2">
      <c r="A6" s="21" t="s">
        <v>112</v>
      </c>
      <c r="B6" s="21" t="s">
        <v>51</v>
      </c>
      <c r="C6" s="21" t="s">
        <v>52</v>
      </c>
      <c r="D6" s="104">
        <f>Summary!media_volume</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VLOOKUP(rx_ver,tbl_rxtype,MATCH("usable depth (mm)",tbl_rxtype_hdr,0),FALSE)</f>
        <v>55.0</v>
      </c>
      <c r="E22" s="74" t="inlineStr">
        <is>
          <t xml:space="preserve">Physical cap-to-base depth from the reactor-type table, selected by rx_ver. The Calibrations volume-equivalent depth (D75) is not a physical length and does not replace it.</t>
        </is>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51" t="inlineStr">
        <is>
          <t xml:space="preserve">Charge against the reactor-type maximum working volume (Geometry D23).</t>
        </is>
      </c>
      <c r="F54" s="21"/>
      <c r="G54" s="21"/>
      <c r="H54" s="21"/>
      <c r="I54" s="21"/>
    </row>
    <row r="55" spans="1:9" x14ac:dyDescent="0.2">
      <c r="A55" s="21" t="s">
        <v>218</v>
      </c>
      <c r="B55" s="21" t="s">
        <v>219</v>
      </c>
      <c r="C55" s="21"/>
      <c r="D55" s="25" t="str">
        <f>IF(h_actual&gt;D_int,"LIQUID OVER USABLE DEPTH","OK")</f>
        <v>OK</v>
      </c>
      <c r="E55" s="51" t="inlineStr">
        <is>
          <t xml:space="preserve">Achieved liquid level against the usable depth (D22).</t>
        </is>
      </c>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IF(ABS(A_x*D_int/1000-V_vial_total)&lt;=geom_tol_mL,"OK",IF(AND(ISNUMBER(cal_hs),ISNUMBER(cal_hs_fill)),"OK – headspace measured (the tapered vial differs from the cylinder, which no longer sets the headspace)","VIAL GEOMETRY INCONSISTENT - measure the true headspace (protocols/vial-geometry.md)"))</f>
        <v>VIAL GEOMETRY INCONSISTENT - measure the true headspace (protocols/vial-geometry.md)</v>
      </c>
      <c r="E90" s="74" t="inlineStr">
        <is>
          <t xml:space="preserve">Compares the cylinder A_x × D_int with the total vial volume within geom_tol_mL; flags the vial-geometry experiment (Summary row 107) until the true headspace is measured.</t>
        </is>
      </c>
      <c r="F90" s="75" t="inlineStr">
        <is>
          <t xml:space="preserve">Fires INCONSISTENT while the headspace comes from the cylinder approximation: the bare cylinder (A_x × usable depth, ~28 mL) overstates the tapered 20 mL vial. Measuring the true headspace (Calibrations rows 63–77) makes it OK, because the measured headspace then replaces the approximation; the cylinder itself still differs from the vial.</t>
        </is>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7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Biology!T_K</f>
        <v>303.15</v>
      </c>
      <c r="E5" s="105" t="str">
        <f>HYPERLINK("#Biology!D18","→ Biology")</f>
        <v>→ Biology</v>
      </c>
      <c r="F5" s="21"/>
      <c r="G5" s="21"/>
      <c r="H5" s="21"/>
      <c r="I5" s="21"/>
    </row>
    <row r="6" spans="1:9" x14ac:dyDescent="0.2">
      <c r="A6" s="21" t="s">
        <v>263</v>
      </c>
      <c r="B6" s="21" t="s">
        <v>264</v>
      </c>
      <c r="C6" s="21" t="s">
        <v>57</v>
      </c>
      <c r="D6" s="112">
        <f>Biology!P_atm</f>
        <v>101325.0</v>
      </c>
      <c r="E6" s="105" t="str">
        <f>HYPERLINK("#Biology!D19","→ Biology")</f>
        <v>→ Biology</v>
      </c>
      <c r="F6" s="21"/>
      <c r="G6" s="21"/>
      <c r="H6" s="21"/>
      <c r="I6" s="21"/>
    </row>
    <row r="7" spans="1:9" x14ac:dyDescent="0.2">
      <c r="A7" s="21" t="s">
        <v>265</v>
      </c>
      <c r="B7" s="21" t="s">
        <v>266</v>
      </c>
      <c r="C7" s="21" t="s">
        <v>267</v>
      </c>
      <c r="D7" s="111">
        <f>'Mass Transfer'!R_gas</f>
        <v>8.314462618</v>
      </c>
      <c r="E7" s="105" t="str">
        <f>HYPERLINK("#'Mass Transfer'!D101","→ Mass Transfer")</f>
        <v>→ Mass Transfer</v>
      </c>
      <c r="F7" s="21"/>
      <c r="G7" s="21"/>
      <c r="H7" s="21"/>
      <c r="I7" s="21"/>
    </row>
    <row r="8" spans="1:9" x14ac:dyDescent="0.2">
      <c r="A8" s="21" t="s">
        <v>268</v>
      </c>
      <c r="B8" s="21" t="s">
        <v>30</v>
      </c>
      <c r="C8" s="21"/>
      <c r="D8" s="104" t="str">
        <f>Summary!electrode_sel</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Summary!led_intensity</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5.305977013371e-05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0.021998307021</v>
      </c>
      <c r="E24" s="74" t="s">
        <v>318</v>
      </c>
      <c r="F24" s="21"/>
      <c r="G24" s="21"/>
      <c r="H24" s="21"/>
      <c r="I24" s="21"/>
    </row>
    <row r="25" spans="1:9" ht="24" customHeight="1" x14ac:dyDescent="0.2">
      <c r="A25" s="18" t="s">
        <v>319</v>
      </c>
      <c r="B25" s="19" t="s">
        <v>320</v>
      </c>
      <c r="C25" s="20" t="s">
        <v>314</v>
      </c>
      <c r="D25" s="41">
        <f>V_H2_gen+V_O2_gen</f>
        <v>0.064425506581</v>
      </c>
      <c r="E25" s="74" t="s">
        <v>321</v>
      </c>
      <c r="F25" s="21"/>
      <c r="G25" s="21"/>
      <c r="H25" s="21"/>
      <c r="I25" s="21"/>
    </row>
    <row r="26" spans="1:9" ht="48" x14ac:dyDescent="0.2">
      <c r="A26" s="18" t="s">
        <v>322</v>
      </c>
      <c r="B26" s="19" t="s">
        <v>323</v>
      </c>
      <c r="C26" s="20" t="s">
        <v>111</v>
      </c>
      <c r="D26" s="37">
        <f>IF(ISNUMBER(cal_etaF_OER),cal_etaF_OER,etaF_OER_calc)</f>
        <v>0.999705046585</v>
      </c>
      <c r="E26" s="51" t="inlineStr">
        <is>
          <t xml:space="preserve">Anodic O₂ faradaic efficiency: an accepted per-electrode measurement from the Calibrations tab if there is one, otherwise CALCULATED (D104) as 1 − the chlorine, metal-dissolution, anodic H₂-oxidation and peroxide-oxidation shares. A mixed-gas screen of the undivided cell cannot separate those contributions (protocols/faradaic-efficiency.md).</t>
        </is>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rO2_gen-O2_cathode_ORR+O2_H2O2_ret_g+O2_cat_ret_g</f>
        <v>5.116706148996e-05</v>
      </c>
      <c r="E29" s="74" t="inlineStr">
        <is>
          <t xml:space="preserve">Anodic O₂ minus cathodic consumption at the design DO (D85), plus the O₂ that peroxide oxidation at the anode (D171) and catalase (D173) give back — the O₂ the dissolved pool receives in growth. The lag phase uses O2_net_lag (D132).</t>
        </is>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51" t="inlineStr">
        <is>
          <t xml:space="preserve">Sparger type of the selected electrode assembly, looked up in the electrode table (tbl_electrode).</t>
        </is>
      </c>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Geometry!elec_sub_L_act</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Biology!O2_ceil_C</f>
        <v>0.314742903798</v>
      </c>
      <c r="E80" s="51" t="s">
        <v>1473</v>
      </c>
    </row>
    <row r="81" spans="1:5" x14ac:dyDescent="0.2">
      <c r="A81" t="s">
        <v>1474</v>
      </c>
      <c r="B81" s="19" t="s">
        <v>1475</v>
      </c>
      <c r="C81" s="20" t="s">
        <v>515</v>
      </c>
      <c r="D81" s="111">
        <f>'Mass Transfer'!D_O2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Transfer'!DO_target</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r_H2O2/((k_cat_cells+k_H2O2_anode)*3600)</f>
        <v>0.042734198267</v>
      </c>
      <c r="E95" s="51" t="inlineStr">
        <is>
          <t xml:space="preserve">Production ÷ (catalase clearance + anodic oxidation, D94 + D151): both sinks act on the bulk peroxide. The bulk Fenton route is not modelled: the medium’s Fe(II) is a one-shot capacity oxidised away in minutes.</t>
        </is>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mg/L)",IF(ISNUMBER(t_H2O2_thresh),"watch — steady growth is clear ("&amp;TEXT(H2O2_ss,"0.000")&amp;" mg/L) but LAG PHASE is not: peroxide passes the threshold in "&amp;TEXT(t_H2O2_thresh,"0")&amp;" min ("&amp;TEXT(H2O2_lag_1h,"0.00")&amp;" mg/L after 1 h) before biomass can scavenge it","OK — peroxide stays below the growth-inhibition threshold in both phases, including the lag plateau"))</f>
        <v>watch — steady growth is clear (0.043 mg/L) but LAG PHASE is not: peroxide passes the threshold in 6 min (0.84 mg/L after 1 h) before biomass can scavenge it</v>
      </c>
      <c r="E99" s="51" t="inlineStr">
        <is>
          <t xml:space="preserve">Steady growth against the threshold first; then lag, judged on whether the lag plateau ever reaches the threshold (D98 is finite), not on the 1-hour level alone, which is quoted beside the crossing time.</t>
        </is>
      </c>
    </row>
    <row r="100" spans="1:5" x14ac:dyDescent="0.2">
      <c r="A100" s="6" t="s">
        <v>1520</v>
      </c>
    </row>
    <row r="101" spans="1:5" x14ac:dyDescent="0.2">
      <c r="A101" t="s">
        <v>1521</v>
      </c>
      <c r="B101" s="19" t="s">
        <v>1522</v>
      </c>
      <c r="C101" s="20" t="s">
        <v>978</v>
      </c>
      <c r="D101" s="111">
        <f>Chemistry!I_Cl</f>
        <v>0.0</v>
      </c>
      <c r="E101" s="51" t="s">
        <v>1523</v>
      </c>
    </row>
    <row r="102" spans="1:5" x14ac:dyDescent="0.2">
      <c r="A102" t="s">
        <v>1524</v>
      </c>
      <c r="B102" s="19" t="s">
        <v>1525</v>
      </c>
      <c r="C102" s="20" t="s">
        <v>1140</v>
      </c>
      <c r="D102" s="111">
        <f>Chemistry!corr_I_frac</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MAX(0,1-f_Cl_anode-IF(ISNUMBER(ec_corr_I),ec_corr_I,0)-IF(ISNUMBER(f_HOR_anode),f_HOR_anode,0)-f_H2O2_anode)</f>
        <v>0.999705046585</v>
      </c>
      <c r="E104" s="51" t="inlineStr">
        <is>
          <t xml:space="preserve">1 − chlorine share − metal-dissolution share − anodic H₂-oxidation share (f_HOR_anode, D145) − peroxide-oxidation share (D170). It remains an UPPER BOUND while the metal and H₂ charges are unmeasured: a corroding anode, or one oxidising crossed-over H₂ (ceiling D148), takes current that this cell still credits to oxygen.</t>
        </is>
      </c>
    </row>
    <row r="105" spans="1:5" x14ac:dyDescent="0.2">
      <c r="A105" s="6" t="s">
        <v>1531</v>
      </c>
    </row>
    <row r="106" spans="1:5" ht="24" x14ac:dyDescent="0.2">
      <c r="A106" t="s">
        <v>1532</v>
      </c>
      <c r="B106" s="19" t="s">
        <v>1533</v>
      </c>
      <c r="C106" s="20" t="s">
        <v>1445</v>
      </c>
      <c r="D106" s="111">
        <f>Chemistry!E0_OER</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Chemistry!kappa_med</f>
        <v>1.401288519775</v>
      </c>
      <c r="E114" s="51" t="s">
        <v>1559</v>
      </c>
    </row>
    <row r="115" spans="1:5" x14ac:dyDescent="0.2">
      <c r="A115" t="s">
        <v>1560</v>
      </c>
      <c r="B115" s="19" t="s">
        <v>1561</v>
      </c>
      <c r="C115" s="20" t="s">
        <v>115</v>
      </c>
      <c r="D115" s="111">
        <f>Geometry!elec_gap</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the current law holding linear to "&amp;TEXT(gerrit_check_pct,"0")&amp;" % on a "&amp;TEXT(V_rail,"0")&amp;" V rail (D143–D144); that leaves "&amp;TEXT(V_rail-V_at_gerrit_max,"0.00")&amp;" V of headroom there, against the ±0.12 V j₀ uncertainty (E108)."</f>
        <v>Parallel-cylinder (2D) formula taken at face value. Lateral confinement by the 25 mm wall raises the resistance and current spreading through the ~22 mm of liquid below the rod tips lowers it; for rods with L/d ≈ 1.5 the two roughly cancel. Bounded above at ~2.27 by the current law holding linear to 25 % on a 5 V rail (D143–D144); that leaves 1.33 V of headroom there, against the ±0.12 V j₀ uncertainty (E108).</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the current law: it is validated linear to "&amp;TEXT(gerrit_check_pct,"0")&amp;" % (D166), so the budget evaluated there (V_at_gerrit_max, D143) must stay at or below V_rail; D144 tests it live (currently "&amp;TEXT(V_at_gerrit_max,"0.00")&amp;" V with k_geom = "&amp;TEXT(k_geom,"0.0#")&amp;")."</f>
        <v>Cross-check on the current law: it is validated linear to 25 % (D166), so the budget evaluated there (V_at_gerrit_max, D143) must stay at or below V_rail; D144 tests it live (currently 3.67 V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inlineStr">
        <is>
          <t xml:space="preserve">Input, not a link: set to the last lag-phase cycle-mean DO (D150 = Mass Transfer D135) and re-enter it when D134 says so. Linking it would close a loop (lag DO → lag O₂ source → lag DO, and through the schedule when it is sized on Lag). Same pattern as Chemistry pH_ref_DIC.</t>
        </is>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rO2_gen-O2_ORR_lag+O2_H2O2_lag_adj</f>
        <v>4.838626296225e-05</v>
      </c>
      <c r="E132" s="57" t="inlineStr">
        <is>
          <t xml:space="preserve">Anodic O₂ less the cathodic loss at the lag DO, with the lag peroxide-oxidation correction (D172): the lag-phase O₂ source (Mass Transfer O2_src_l, D310; Biology flammability).</t>
        </is>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inlineStr">
        <is>
          <t xml:space="preserve">Current at the top of the validated band (D166)</t>
        </is>
      </c>
      <c r="B142" s="19" t="s">
        <v>1916</v>
      </c>
      <c r="C142" s="20" t="s">
        <v>300</v>
      </c>
      <c r="D142" s="111">
        <f>(gerrit_slope*gerrit_check_pct+gerrit_int)/1000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"&amp;TEXT(gerrit_check_pct,"0")&amp;" %, above the "&amp;TEXT(V_rail,"0")&amp;" V rail, where the current law in use is validated linear: R_cell (k_geom) or j₀ is too high","OK — "&amp;TEXT(V_at_gerrit_max,"0.00")&amp;" V at "&amp;TEXT(gerrit_check_pct,"0")&amp;"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Biology!C_H2_sat</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Transfer'!DO_ss_sawtooth_lag</f>
        <v>0.175470883498</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Biology!V_charge</f>
        <v>15.0</v>
      </c>
      <c r="E153" s="51" t="s">
        <v>1949</v>
      </c>
    </row>
    <row r="154" spans="1:5" x14ac:dyDescent="0.2">
      <c r="A154" t="s">
        <v>1950</v>
      </c>
      <c r="B154" s="19" t="s">
        <v>33</v>
      </c>
      <c r="C154" s="20" t="s">
        <v>111</v>
      </c>
      <c r="D154" s="111" t="str">
        <f>Summary!organism_sel</f>
        <v>Xanthobacter tagetidis</v>
      </c>
      <c r="E154" s="51" t="s">
        <v>1951</v>
      </c>
    </row>
    <row r="160" spans="1:5" ht="16" x14ac:dyDescent="0.2">
      <c r="A160" s="78" t="s">
        <v>1952</v>
      </c>
    </row>
    <row r="161" spans="1:5" x14ac:dyDescent="0.2">
      <c r="A161" t="s">
        <v>1953</v>
      </c>
      <c r="B161" s="19" t="s">
        <v>1954</v>
      </c>
      <c r="C161" s="20" t="s">
        <v>111</v>
      </c>
      <c r="D161" s="111">
        <f>Chemistry!j_buffer_ratio</f>
        <v>0.19970604856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inlineStr">
        <is>
          <t xml:space="preserve">Buffer ratio scaled to I_at_gerrit_max (j ∝ I at the bulk pH); the credit is withdrawn only above a scaled ratio of 1, so this cell shows whether it still applies at the top of the validated band for the D143 cross-check.</t>
        </is>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row r="166">
      <c r="A166" t="inlineStr">
        <is>
          <t xml:space="preserve">Power at which the voltage cross-check is made</t>
        </is>
      </c>
      <c r="B166" s="19" t="inlineStr">
        <is>
          <t xml:space="preserve">gerrit_check_pct</t>
        </is>
      </c>
      <c r="C166" s="20" t="inlineStr">
        <is>
          <t xml:space="preserve">%</t>
        </is>
      </c>
      <c r="D166" s="111">
        <f>IF(ISNUMBER(cal_gerrit_slope),power_max,gerrit_max)</f>
        <v>25.0</v>
      </c>
      <c r="E166" s="51" t="inlineStr">
        <is>
          <t xml:space="preserve">The top of the band the current law in use is validated on: 25 % (gerrit_max) for Gerrit’s default fit, the 10 % plugin clamp (power_max) for a Calibrations fit, whose accepted points span 3–10 % only.</t>
        </is>
      </c>
    </row>
    <row r="167">
      <c r="A167" t="inlineStr">
        <is>
          <t xml:space="preserve">PEROXIDE OXIDATION AT THE ANODE (charge and oxygen balance)</t>
        </is>
      </c>
    </row>
    <row r="168">
      <c r="A168" t="inlineStr">
        <is>
          <t xml:space="preserve">Peroxide oxidised at the anode — growth</t>
        </is>
      </c>
      <c r="B168" s="19" t="inlineStr">
        <is>
          <t xml:space="preserve">r_H2O2_an_g</t>
        </is>
      </c>
      <c r="C168" s="20" t="inlineStr">
        <is>
          <t xml:space="preserve">mol/h</t>
        </is>
      </c>
      <c r="D168" s="111">
        <f>f_HOOH*O2_cathode_ORR*k_H2O2_anode/(k_H2O2_anode+k_cat_cells)</f>
        <v>3.130955566497e-08</v>
      </c>
      <c r="E168" s="51" t="inlineStr">
        <is>
          <t xml:space="preserve">The anodic share of the peroxide made at the cathode (D93) in a growing culture: the anodic sink (D151) competes with catalase (D94). H₂O₂ → O₂ + 2H⁺ + 2e⁻ draws anodic current and returns one O₂ per H₂O₂.</t>
        </is>
      </c>
    </row>
    <row r="169">
      <c r="A169" t="inlineStr">
        <is>
          <t xml:space="preserve">Peroxide oxidised at the anode — lag (plateau)</t>
        </is>
      </c>
      <c r="B169" s="19" t="inlineStr">
        <is>
          <t xml:space="preserve">r_H2O2_an_l</t>
        </is>
      </c>
      <c r="C169" s="20" t="inlineStr">
        <is>
          <t xml:space="preserve">mol/h</t>
        </is>
      </c>
      <c r="D169" s="111">
        <f>f_HOOH*O2_ORR_lag</f>
        <v>7.60404640425e-07</v>
      </c>
      <c r="E169" s="51" t="inlineStr">
        <is>
          <t xml:space="preserve">At the lag plateau (D96, no catalase) every peroxide made is oxidised at the anode, so the anodic turnover equals the lag production (D152).</t>
        </is>
      </c>
    </row>
    <row r="170">
      <c r="A170" t="inlineStr">
        <is>
          <t xml:space="preserve">Peroxide-oxidation share of the anodic current — growth</t>
        </is>
      </c>
      <c r="B170" s="19" t="inlineStr">
        <is>
          <t xml:space="preserve">f_H2O2_anode</t>
        </is>
      </c>
      <c r="C170" s="20" t="inlineStr">
        <is>
          <t xml:space="preserve">-</t>
        </is>
      </c>
      <c r="D170" s="111">
        <f>IF(ISNUMBER(cal_etaF_OER),0,2*F_const*r_H2O2_an_g/3600/I_app)</f>
        <v>0.0002949534150424</v>
      </c>
      <c r="E170" s="51" t="inlineStr">
        <is>
          <t xml:space="preserve">Two electrons per H₂O₂, as a fraction of the applied current; taken out of the calculated anodic O₂ efficiency (D104). 0 when etaF_OER is measured, since a measurement already includes it.</t>
        </is>
      </c>
    </row>
    <row r="171">
      <c r="A171" t="inlineStr">
        <is>
          <t xml:space="preserve">O₂ returned by peroxide oxidation — growth</t>
        </is>
      </c>
      <c r="B171" s="19" t="inlineStr">
        <is>
          <t xml:space="preserve">O2_H2O2_ret_g</t>
        </is>
      </c>
      <c r="C171" s="20" t="inlineStr">
        <is>
          <t xml:space="preserve">mol/h</t>
        </is>
      </c>
      <c r="D171" s="111">
        <f>IF(ISNUMBER(cal_etaF_OER),0,r_H2O2_an_g)</f>
        <v>3.130955566497e-08</v>
      </c>
      <c r="E171" s="51" t="inlineStr">
        <is>
          <t xml:space="preserve">One O₂ per H₂O₂ oxidised, added back to the growth O₂ source (D29).</t>
        </is>
      </c>
    </row>
    <row r="172">
      <c r="A172" t="inlineStr">
        <is>
          <t xml:space="preserve">Lag correction to the anodic O₂ for peroxide oxidation</t>
        </is>
      </c>
      <c r="B172" s="19" t="inlineStr">
        <is>
          <t xml:space="preserve">O2_H2O2_lag_adj</t>
        </is>
      </c>
      <c r="C172" s="20" t="inlineStr">
        <is>
          <t xml:space="preserve">mol/h</t>
        </is>
      </c>
      <c r="D172" s="111">
        <f>IF(ISNUMBER(cal_etaF_OER),0,r_H2O2_an_l/2+r_H2O2_an_g/2)</f>
        <v>3.95857098045e-07</v>
      </c>
      <c r="E172" s="51" t="inlineStr">
        <is>
          <t xml:space="preserve">Added to the lag O₂ source (D132): the lag peroxide turnover returns one O₂ and diverts half an O₂ of OER per H₂O₂, while D22 already carries the growth diversion; net (r_l + r_g)/2.</t>
        </is>
      </c>
    </row>
    <row r="173">
      <c r="A173" t="inlineStr">
        <is>
          <t xml:space="preserve">O₂ returned by catalase — growth</t>
        </is>
      </c>
      <c r="B173" s="19" t="inlineStr">
        <is>
          <t xml:space="preserve">O2_cat_ret_g</t>
        </is>
      </c>
      <c r="C173" s="20" t="inlineStr">
        <is>
          <t xml:space="preserve">mol/h</t>
        </is>
      </c>
      <c r="D173" s="111">
        <f>f_HOOH*O2_cathode_ORR*k_cat_cells/(k_H2O2_anode+k_cat_cells)/2</f>
        <v>1.390773914844e-07</v>
      </c>
      <c r="E173" s="51" t="inlineStr">
        <is>
          <t xml:space="preserve">Catalase disproportionates the rest of the growth peroxide, 2 H₂O₂ → O₂ + 2 H₂O: half an O₂ back per H₂O₂. A biological return, so it applies whether or not etaF_OER is measured.</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Biology!T_K</f>
        <v>303.15</v>
      </c>
      <c r="E4" s="138" t="s">
        <v>760</v>
      </c>
    </row>
    <row r="5" spans="1:6" ht="36" x14ac:dyDescent="0.2">
      <c r="A5" s="18" t="s">
        <v>1962</v>
      </c>
      <c r="B5" s="19" t="s">
        <v>761</v>
      </c>
      <c r="C5" s="20" t="s">
        <v>762</v>
      </c>
      <c r="D5" s="49">
        <f>'Mass Transfer'!CO2aqc_ss</f>
        <v>0.025595318383</v>
      </c>
      <c r="E5" s="138" t="s">
        <v>1963</v>
      </c>
    </row>
    <row r="6" spans="1:6" x14ac:dyDescent="0.2">
      <c r="A6" s="18" t="s">
        <v>763</v>
      </c>
      <c r="B6" s="19" t="s">
        <v>764</v>
      </c>
      <c r="C6" s="20" t="s">
        <v>765</v>
      </c>
      <c r="D6" s="49">
        <f>Electrochemistry!I_app</f>
        <v>0.00569</v>
      </c>
      <c r="E6" s="138" t="s">
        <v>766</v>
      </c>
    </row>
    <row r="7" spans="1:6" x14ac:dyDescent="0.2">
      <c r="A7" s="18" t="s">
        <v>767</v>
      </c>
      <c r="B7" s="19" t="s">
        <v>768</v>
      </c>
      <c r="C7" s="20" t="s">
        <v>769</v>
      </c>
      <c r="D7" s="49">
        <f>Electrochemistry!F_const</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Transfer'!R_gas</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0.069960755105</v>
      </c>
      <c r="C50" s="49">
        <f t="shared" ref="C50:C81" si="2">IF(AND(B50&gt;=0,B51&lt;0),A50+pH_step*B50/(B50-B51),0)</f>
        <v>0.0</v>
      </c>
    </row>
    <row r="51" spans="1:3" x14ac:dyDescent="0.2">
      <c r="A51" s="155">
        <v>4.0999999999999996</v>
      </c>
      <c r="B51" s="49">
        <f t="shared" si="1"/>
        <v>0.069750996782</v>
      </c>
      <c r="C51" s="49">
        <f t="shared" si="2"/>
        <v>0.0</v>
      </c>
    </row>
    <row r="52" spans="1:3" x14ac:dyDescent="0.2">
      <c r="A52" s="155">
        <v>4.2</v>
      </c>
      <c r="B52" s="49">
        <f t="shared" si="1"/>
        <v>0.06954291094</v>
      </c>
      <c r="C52" s="49">
        <f t="shared" si="2"/>
        <v>0.0</v>
      </c>
    </row>
    <row r="53" spans="1:3" x14ac:dyDescent="0.2">
      <c r="A53" s="155">
        <v>4.3</v>
      </c>
      <c r="B53" s="49">
        <f t="shared" si="1"/>
        <v>0.069325606345</v>
      </c>
      <c r="C53" s="49">
        <f t="shared" si="2"/>
        <v>0.0</v>
      </c>
    </row>
    <row r="54" spans="1:3" x14ac:dyDescent="0.2">
      <c r="A54" s="155">
        <v>4.4000000000000004</v>
      </c>
      <c r="B54" s="49">
        <f t="shared" si="1"/>
        <v>0.069087668243</v>
      </c>
      <c r="C54" s="49">
        <f t="shared" si="2"/>
        <v>0.0</v>
      </c>
    </row>
    <row r="55" spans="1:3" x14ac:dyDescent="0.2">
      <c r="A55" s="155">
        <v>4.5</v>
      </c>
      <c r="B55" s="49">
        <f t="shared" si="1"/>
        <v>0.068816583704</v>
      </c>
      <c r="C55" s="49">
        <f t="shared" si="2"/>
        <v>0.0</v>
      </c>
    </row>
    <row r="56" spans="1:3" x14ac:dyDescent="0.2">
      <c r="A56" s="155">
        <v>4.5999999999999996</v>
      </c>
      <c r="B56" s="49">
        <f t="shared" si="1"/>
        <v>0.068498108613</v>
      </c>
      <c r="C56" s="49">
        <f t="shared" si="2"/>
        <v>0.0</v>
      </c>
    </row>
    <row r="57" spans="1:3" x14ac:dyDescent="0.2">
      <c r="A57" s="155">
        <v>4.7</v>
      </c>
      <c r="B57" s="49">
        <f t="shared" si="1"/>
        <v>0.068115549423</v>
      </c>
      <c r="C57" s="49">
        <f t="shared" si="2"/>
        <v>0.0</v>
      </c>
    </row>
    <row r="58" spans="1:3" x14ac:dyDescent="0.2">
      <c r="A58" s="155">
        <v>4.8</v>
      </c>
      <c r="B58" s="49">
        <f t="shared" si="1"/>
        <v>0.067648929538</v>
      </c>
      <c r="C58" s="49">
        <f t="shared" si="2"/>
        <v>0.0</v>
      </c>
    </row>
    <row r="59" spans="1:3" x14ac:dyDescent="0.2">
      <c r="A59" s="155">
        <v>4.9000000000000004</v>
      </c>
      <c r="B59" s="49">
        <f t="shared" si="1"/>
        <v>0.067074006902</v>
      </c>
      <c r="C59" s="49">
        <f t="shared" si="2"/>
        <v>0.0</v>
      </c>
    </row>
    <row r="60" spans="1:3" x14ac:dyDescent="0.2">
      <c r="A60" s="155">
        <v>5</v>
      </c>
      <c r="B60" s="49">
        <f t="shared" si="1"/>
        <v>0.066361106084</v>
      </c>
      <c r="C60" s="49">
        <f t="shared" si="2"/>
        <v>0.0</v>
      </c>
    </row>
    <row r="61" spans="1:3" x14ac:dyDescent="0.2">
      <c r="A61" s="155">
        <v>5.0999999999999996</v>
      </c>
      <c r="B61" s="49">
        <f t="shared" si="1"/>
        <v>0.065473725543</v>
      </c>
      <c r="C61" s="49">
        <f t="shared" si="2"/>
        <v>0.0</v>
      </c>
    </row>
    <row r="62" spans="1:3" x14ac:dyDescent="0.2">
      <c r="A62" s="155">
        <v>5.2</v>
      </c>
      <c r="B62" s="49">
        <f t="shared" si="1"/>
        <v>0.064366879223</v>
      </c>
      <c r="C62" s="49">
        <f t="shared" si="2"/>
        <v>0.0</v>
      </c>
    </row>
    <row r="63" spans="1:3" x14ac:dyDescent="0.2">
      <c r="A63" s="155">
        <v>5.3</v>
      </c>
      <c r="B63" s="49">
        <f t="shared" si="1"/>
        <v>0.062985132154</v>
      </c>
      <c r="C63" s="49">
        <f t="shared" si="2"/>
        <v>0.0</v>
      </c>
    </row>
    <row r="64" spans="1:3" x14ac:dyDescent="0.2">
      <c r="A64" s="155">
        <v>5.4</v>
      </c>
      <c r="B64" s="49">
        <f t="shared" si="1"/>
        <v>0.061260292859</v>
      </c>
      <c r="C64" s="49">
        <f t="shared" si="2"/>
        <v>0.0</v>
      </c>
    </row>
    <row r="65" spans="1:3" x14ac:dyDescent="0.2">
      <c r="A65" s="155">
        <v>5.5</v>
      </c>
      <c r="B65" s="49">
        <f t="shared" si="1"/>
        <v>0.059108731043</v>
      </c>
      <c r="C65" s="49">
        <f t="shared" si="2"/>
        <v>0.0</v>
      </c>
    </row>
    <row r="66" spans="1:3" x14ac:dyDescent="0.2">
      <c r="A66" s="155">
        <v>5.6</v>
      </c>
      <c r="B66" s="49">
        <f t="shared" si="1"/>
        <v>0.056428295479</v>
      </c>
      <c r="C66" s="49">
        <f t="shared" si="2"/>
        <v>0.0</v>
      </c>
    </row>
    <row r="67" spans="1:3" x14ac:dyDescent="0.2">
      <c r="A67" s="155">
        <v>5.7</v>
      </c>
      <c r="B67" s="49">
        <f t="shared" si="1"/>
        <v>0.053094808554</v>
      </c>
      <c r="C67" s="49">
        <f t="shared" si="2"/>
        <v>0.0</v>
      </c>
    </row>
    <row r="68" spans="1:3" x14ac:dyDescent="0.2">
      <c r="A68" s="155">
        <v>5.8</v>
      </c>
      <c r="B68" s="49">
        <f t="shared" si="1"/>
        <v>0.048958098758</v>
      </c>
      <c r="C68" s="49">
        <f t="shared" si="2"/>
        <v>0.0</v>
      </c>
    </row>
    <row r="69" spans="1:3" x14ac:dyDescent="0.2">
      <c r="A69" s="155">
        <v>5.9</v>
      </c>
      <c r="B69" s="49">
        <f t="shared" si="1"/>
        <v>0.043837479598</v>
      </c>
      <c r="C69" s="49">
        <f t="shared" si="2"/>
        <v>0.0</v>
      </c>
    </row>
    <row r="70" spans="1:3" x14ac:dyDescent="0.2">
      <c r="A70" s="155">
        <v>6</v>
      </c>
      <c r="B70" s="49">
        <f t="shared" si="1"/>
        <v>0.037516462061</v>
      </c>
      <c r="C70" s="49">
        <f t="shared" si="2"/>
        <v>0.0</v>
      </c>
    </row>
    <row r="71" spans="1:3" x14ac:dyDescent="0.2">
      <c r="A71" s="155">
        <v>6.1</v>
      </c>
      <c r="B71" s="49">
        <f t="shared" si="1"/>
        <v>0.029736261536</v>
      </c>
      <c r="C71" s="49">
        <f t="shared" si="2"/>
        <v>0.0</v>
      </c>
    </row>
    <row r="72" spans="1:3" x14ac:dyDescent="0.2">
      <c r="A72" s="155">
        <v>6.2</v>
      </c>
      <c r="B72" s="49">
        <f t="shared" si="1"/>
        <v>0.020187301369</v>
      </c>
      <c r="C72" s="49">
        <f t="shared" si="2"/>
        <v>0.0</v>
      </c>
    </row>
    <row r="73" spans="1:3" x14ac:dyDescent="0.2">
      <c r="A73" s="155">
        <v>6.3</v>
      </c>
      <c r="B73" s="49">
        <f t="shared" si="1"/>
        <v>0.008497431283</v>
      </c>
      <c r="C73" s="49">
        <f t="shared" si="2"/>
        <v>6.359495861596</v>
      </c>
    </row>
    <row r="74" spans="1:3" x14ac:dyDescent="0.2">
      <c r="A74" s="155">
        <v>6.4</v>
      </c>
      <c r="B74" s="49">
        <f t="shared" si="1"/>
        <v>-0.005784959215</v>
      </c>
      <c r="C74" s="49">
        <f t="shared" si="2"/>
        <v>0.0</v>
      </c>
    </row>
    <row r="75" spans="1:3" x14ac:dyDescent="0.2">
      <c r="A75" s="155">
        <v>6.5</v>
      </c>
      <c r="B75" s="49">
        <f t="shared" si="1"/>
        <v>-0.023215201089</v>
      </c>
      <c r="C75" s="49">
        <f t="shared" si="2"/>
        <v>0.0</v>
      </c>
    </row>
    <row r="76" spans="1:3" x14ac:dyDescent="0.2">
      <c r="A76" s="155">
        <v>6.6</v>
      </c>
      <c r="B76" s="49">
        <f t="shared" si="1"/>
        <v>-0.044486437963</v>
      </c>
      <c r="C76" s="49">
        <f t="shared" si="2"/>
        <v>0.0</v>
      </c>
    </row>
    <row r="77" spans="1:3" x14ac:dyDescent="0.2">
      <c r="A77" s="155">
        <v>6.7</v>
      </c>
      <c r="B77" s="49">
        <f t="shared" si="1"/>
        <v>-0.070475853889</v>
      </c>
      <c r="C77" s="49">
        <f t="shared" si="2"/>
        <v>0.0</v>
      </c>
    </row>
    <row r="78" spans="1:3" x14ac:dyDescent="0.2">
      <c r="A78" s="155">
        <v>6.8</v>
      </c>
      <c r="B78" s="49">
        <f t="shared" si="1"/>
        <v>-0.102304968626</v>
      </c>
      <c r="C78" s="49">
        <f t="shared" si="2"/>
        <v>0.0</v>
      </c>
    </row>
    <row r="79" spans="1:3" x14ac:dyDescent="0.2">
      <c r="A79" s="155">
        <v>6.9</v>
      </c>
      <c r="B79" s="49">
        <f t="shared" si="1"/>
        <v>-0.141415717577</v>
      </c>
      <c r="C79" s="49">
        <f t="shared" si="2"/>
        <v>0.0</v>
      </c>
    </row>
    <row r="80" spans="1:3" x14ac:dyDescent="0.2">
      <c r="A80" s="155">
        <v>7</v>
      </c>
      <c r="B80" s="49">
        <f t="shared" si="1"/>
        <v>-0.189664461753</v>
      </c>
      <c r="C80" s="49">
        <f t="shared" si="2"/>
        <v>0.0</v>
      </c>
    </row>
    <row r="81" spans="1:3" x14ac:dyDescent="0.2">
      <c r="A81" s="155">
        <v>7.1</v>
      </c>
      <c r="B81" s="49">
        <f t="shared" si="1"/>
        <v>-0.249437497331</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-0.323794112198</v>
      </c>
      <c r="C82" s="49">
        <f t="shared" ref="C82:C99" si="4">IF(AND(B82&gt;=0,B83&lt;0),A82+pH_step*B82/(B82-B83),0)</f>
        <v>0.0</v>
      </c>
    </row>
    <row r="83" spans="1:3" x14ac:dyDescent="0.2">
      <c r="A83" s="155">
        <v>7.3</v>
      </c>
      <c r="B83" s="49">
        <f t="shared" si="3"/>
        <v>-0.416646603229</v>
      </c>
      <c r="C83" s="49">
        <f t="shared" si="4"/>
        <v>0.0</v>
      </c>
    </row>
    <row r="84" spans="1:3" x14ac:dyDescent="0.2">
      <c r="A84" s="155">
        <v>7.4</v>
      </c>
      <c r="B84" s="49">
        <f t="shared" si="3"/>
        <v>-0.532990802641</v>
      </c>
      <c r="C84" s="49">
        <f t="shared" si="4"/>
        <v>0.0</v>
      </c>
    </row>
    <row r="85" spans="1:3" x14ac:dyDescent="0.2">
      <c r="A85" s="155">
        <v>7.5</v>
      </c>
      <c r="B85" s="49">
        <f t="shared" si="3"/>
        <v>-0.679205763268</v>
      </c>
      <c r="C85" s="49">
        <f t="shared" si="4"/>
        <v>0.0</v>
      </c>
    </row>
    <row r="86" spans="1:3" x14ac:dyDescent="0.2">
      <c r="A86" s="155">
        <v>7.6</v>
      </c>
      <c r="B86" s="49">
        <f t="shared" si="3"/>
        <v>-0.86344798467</v>
      </c>
      <c r="C86" s="49">
        <f t="shared" si="4"/>
        <v>0.0</v>
      </c>
    </row>
    <row r="87" spans="1:3" x14ac:dyDescent="0.2">
      <c r="A87" s="155">
        <v>7.7</v>
      </c>
      <c r="B87" s="49">
        <f t="shared" si="3"/>
        <v>-1.096175090827</v>
      </c>
      <c r="C87" s="49">
        <f t="shared" si="4"/>
        <v>0.0</v>
      </c>
    </row>
    <row r="88" spans="1:3" x14ac:dyDescent="0.2">
      <c r="A88" s="155">
        <v>7.8</v>
      </c>
      <c r="B88" s="49">
        <f t="shared" si="3"/>
        <v>-1.390847930362</v>
      </c>
      <c r="C88" s="49">
        <f t="shared" si="4"/>
        <v>0.0</v>
      </c>
    </row>
    <row r="89" spans="1:3" x14ac:dyDescent="0.2">
      <c r="A89" s="155">
        <v>7.9</v>
      </c>
      <c r="B89" s="49">
        <f t="shared" si="3"/>
        <v>-1.764881184359</v>
      </c>
      <c r="C89" s="49">
        <f t="shared" si="4"/>
        <v>0.0</v>
      </c>
    </row>
    <row r="90" spans="1:3" x14ac:dyDescent="0.2">
      <c r="A90" s="155">
        <v>8</v>
      </c>
      <c r="B90" s="49">
        <f t="shared" si="3"/>
        <v>-2.240944507399</v>
      </c>
      <c r="C90" s="49">
        <f t="shared" si="4"/>
        <v>0.0</v>
      </c>
    </row>
    <row r="91" spans="1:3" x14ac:dyDescent="0.2">
      <c r="A91" s="155">
        <v>8.1</v>
      </c>
      <c r="B91" s="49">
        <f t="shared" si="3"/>
        <v>-2.848764794096</v>
      </c>
      <c r="C91" s="49">
        <f t="shared" si="4"/>
        <v>0.0</v>
      </c>
    </row>
    <row r="92" spans="1:3" x14ac:dyDescent="0.2">
      <c r="A92" s="155">
        <v>8.1999999999999993</v>
      </c>
      <c r="B92" s="49">
        <f t="shared" si="3"/>
        <v>-3.62765440665</v>
      </c>
      <c r="C92" s="49">
        <f t="shared" si="4"/>
        <v>0.0</v>
      </c>
    </row>
    <row r="93" spans="1:3" x14ac:dyDescent="0.2">
      <c r="A93" s="155">
        <v>8.3000000000000007</v>
      </c>
      <c r="B93" s="49">
        <f t="shared" si="3"/>
        <v>-4.630104325121</v>
      </c>
      <c r="C93" s="49">
        <f t="shared" si="4"/>
        <v>0.0</v>
      </c>
    </row>
    <row r="94" spans="1:3" x14ac:dyDescent="0.2">
      <c r="A94" s="155">
        <v>8.4</v>
      </c>
      <c r="B94" s="49">
        <f t="shared" si="3"/>
        <v>-5.926957541051</v>
      </c>
      <c r="C94" s="49">
        <f t="shared" si="4"/>
        <v>0.0</v>
      </c>
    </row>
    <row r="95" spans="1:3" x14ac:dyDescent="0.2">
      <c r="A95" s="155">
        <v>8.5</v>
      </c>
      <c r="B95" s="49">
        <f t="shared" si="3"/>
        <v>-7.614951807867</v>
      </c>
      <c r="C95" s="49">
        <f t="shared" si="4"/>
        <v>0.0</v>
      </c>
    </row>
    <row r="96" spans="1:3" x14ac:dyDescent="0.2">
      <c r="A96" s="155">
        <v>8.6</v>
      </c>
      <c r="B96" s="49">
        <f t="shared" si="3"/>
        <v>-9.827847584477</v>
      </c>
      <c r="C96" s="49">
        <f t="shared" si="4"/>
        <v>0.0</v>
      </c>
    </row>
    <row r="97" spans="1:7" x14ac:dyDescent="0.2">
      <c r="A97" s="155">
        <v>8.6999999999999993</v>
      </c>
      <c r="B97" s="49">
        <f t="shared" si="3"/>
        <v>-12.753024232131</v>
      </c>
      <c r="C97" s="49">
        <f t="shared" si="4"/>
        <v>0.0</v>
      </c>
    </row>
    <row r="98" spans="1:7" x14ac:dyDescent="0.2">
      <c r="A98" s="155">
        <v>8.8000000000000007</v>
      </c>
      <c r="B98" s="49">
        <f t="shared" si="3"/>
        <v>-16.656473546967</v>
      </c>
      <c r="C98" s="49">
        <f t="shared" si="4"/>
        <v>0.0</v>
      </c>
    </row>
    <row r="99" spans="1:7" x14ac:dyDescent="0.2">
      <c r="A99" s="155">
        <v>8.9</v>
      </c>
      <c r="B99" s="49">
        <f t="shared" si="3"/>
        <v>-21.920763103551</v>
      </c>
      <c r="C99" s="49">
        <f t="shared" si="4"/>
        <v>0.0</v>
      </c>
    </row>
    <row r="100" spans="1:7" x14ac:dyDescent="0.2">
      <c r="A100" s="155">
        <v>9</v>
      </c>
      <c r="B100" s="49">
        <f t="shared" si="3"/>
        <v>-29.103128305187</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6.359495861596</v>
      </c>
      <c r="E103" s="138" t="s">
        <v>1670</v>
      </c>
      <c r="F103" s="75" t="s">
        <v>1967</v>
      </c>
    </row>
    <row r="104" spans="1:7" ht="36" x14ac:dyDescent="0.2">
      <c r="A104" s="18" t="s">
        <v>865</v>
      </c>
      <c r="B104" s="19" t="s">
        <v>866</v>
      </c>
      <c r="C104" s="20" t="s">
        <v>867</v>
      </c>
      <c r="D104" s="119">
        <f>1/(1+KaHOCl_c/10^-pH_op)</f>
        <v>0.884777651302</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Electrochemistry!A_anode_wet</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2.583675976917e-05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0.838787788686</v>
      </c>
      <c r="E206" s="74" t="s">
        <v>1438</v>
      </c>
    </row>
    <row r="207" spans="1:5" x14ac:dyDescent="0.2">
      <c r="A207" t="s">
        <v>1439</v>
      </c>
      <c r="B207" s="19" t="s">
        <v>1440</v>
      </c>
      <c r="C207" s="20" t="s">
        <v>1423</v>
      </c>
      <c r="D207" s="111">
        <f>E0_HER-nernst_slope*pH_meas</f>
        <v>-0.390212211314</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0.304787788686</v>
      </c>
      <c r="E210" s="51" t="s">
        <v>1448</v>
      </c>
    </row>
    <row r="211" spans="1:5" ht="48" x14ac:dyDescent="0.2">
      <c r="A211" t="s">
        <v>1981</v>
      </c>
      <c r="B211" s="19" t="s">
        <v>1450</v>
      </c>
      <c r="C211" s="20" t="s">
        <v>1445</v>
      </c>
      <c r="D211" s="111">
        <f>E_anode_op-E0_Cu</f>
        <v>1.248916601067</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16.463249166465</v>
      </c>
      <c r="E216" s="51" t="s">
        <v>1984</v>
      </c>
    </row>
    <row r="217" spans="1:5" x14ac:dyDescent="0.2">
      <c r="A217" t="s">
        <v>1459</v>
      </c>
      <c r="B217" s="19" t="s">
        <v>1460</v>
      </c>
      <c r="C217" s="20" t="s">
        <v>1148</v>
      </c>
      <c r="D217" s="111">
        <f>Electrochemistry!j_anode</f>
        <v>3.287810437489</v>
      </c>
      <c r="E217" s="51" t="s">
        <v>1461</v>
      </c>
    </row>
    <row r="218" spans="1:5" ht="48" x14ac:dyDescent="0.2">
      <c r="A218" t="s">
        <v>1462</v>
      </c>
      <c r="B218" s="19" t="s">
        <v>1463</v>
      </c>
      <c r="C218" s="20" t="s">
        <v>1140</v>
      </c>
      <c r="D218" s="111">
        <f>j_anode_c/j_buffer_lim</f>
        <v>0.19970604856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6.487161438894</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Biology!T_ref</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0.049863963444</v>
      </c>
      <c r="E252" s="51" t="s">
        <v>2022</v>
      </c>
    </row>
    <row r="253" spans="1:5" ht="24" x14ac:dyDescent="0.2">
      <c r="A253" t="s">
        <v>2023</v>
      </c>
      <c r="B253" s="19" t="s">
        <v>2024</v>
      </c>
      <c r="C253" s="20" t="s">
        <v>429</v>
      </c>
      <c r="D253" s="111">
        <f>pH_PT/(1+10^(-LOG10(Ka2p_c)-pH_op))</f>
        <v>0.01944185964</v>
      </c>
      <c r="E253" s="51" t="s">
        <v>2025</v>
      </c>
    </row>
    <row r="254" spans="1:5" ht="24" x14ac:dyDescent="0.2">
      <c r="A254" t="s">
        <v>2026</v>
      </c>
      <c r="B254" s="19" t="s">
        <v>2027</v>
      </c>
      <c r="C254" s="20" t="s">
        <v>1445</v>
      </c>
      <c r="D254" s="111">
        <f>Electrochemistry!eta_anode</f>
        <v>0.902028812381</v>
      </c>
      <c r="E254" s="51" t="s">
        <v>2028</v>
      </c>
    </row>
    <row r="255" spans="1:5" ht="24" x14ac:dyDescent="0.2">
      <c r="A255" t="s">
        <v>2029</v>
      </c>
      <c r="B255" s="19" t="s">
        <v>2030</v>
      </c>
      <c r="C255" s="20" t="s">
        <v>1445</v>
      </c>
      <c r="D255" s="111">
        <f>Electrochemistry!pcet_credit_op</f>
        <v>-0.15</v>
      </c>
      <c r="E255" s="51" t="s">
        <v>2031</v>
      </c>
    </row>
    <row r="256" spans="1:5" ht="36" x14ac:dyDescent="0.2">
      <c r="A256" t="s">
        <v>2032</v>
      </c>
      <c r="B256" s="19" t="s">
        <v>2033</v>
      </c>
      <c r="C256" s="20" t="s">
        <v>1423</v>
      </c>
      <c r="D256" s="111">
        <f>E_OER+eta_anode_c+pcet_credit_c</f>
        <v>1.590816601067</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Electrochemistry!km_O2</f>
        <v>0.004</v>
      </c>
      <c r="E272" s="51" t="s">
        <v>2053</v>
      </c>
    </row>
    <row r="273" spans="1:5" x14ac:dyDescent="0.2">
      <c r="A273" t="s">
        <v>2054</v>
      </c>
      <c r="B273" s="19" t="s">
        <v>2055</v>
      </c>
      <c r="C273" s="20" t="s">
        <v>111</v>
      </c>
      <c r="D273" s="111">
        <f>Electrochemistry!km_exp</f>
        <v>0.644</v>
      </c>
      <c r="E273" s="51" t="s">
        <v>2056</v>
      </c>
    </row>
    <row r="274" spans="1:5" x14ac:dyDescent="0.2">
      <c r="A274" t="s">
        <v>1474</v>
      </c>
      <c r="B274" s="19" t="s">
        <v>2057</v>
      </c>
      <c r="C274" s="20" t="s">
        <v>515</v>
      </c>
      <c r="D274" s="111">
        <f>Electrochemistry!ec_D_O2</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Biology!V_charge</f>
        <v>15.0</v>
      </c>
      <c r="E279" s="51" t="s">
        <v>1949</v>
      </c>
    </row>
    <row r="280" spans="1:5" x14ac:dyDescent="0.2">
      <c r="A280" t="s">
        <v>2071</v>
      </c>
      <c r="B280" s="19" t="s">
        <v>37</v>
      </c>
      <c r="C280" s="20" t="s">
        <v>111</v>
      </c>
      <c r="D280" s="111" t="str">
        <f>Summary!media_sel</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-0.001544530881</v>
      </c>
      <c r="E305" s="60" t="s">
        <v>2734</v>
      </c>
    </row>
    <row r="306" spans="1:5" x14ac:dyDescent="0.2">
      <c r="A306" t="inlineStr">
        <is>
          <t xml:space="preserve">Extra alkalinity still needed for the target pH</t>
        </is>
      </c>
      <c r="B306" s="19" t="s">
        <v>2736</v>
      </c>
      <c r="C306" s="20" t="s">
        <v>429</v>
      </c>
      <c r="D306" s="111">
        <f>MAX(0,-alk_resid_t)</f>
        <v>0.001544530881</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0.129751405739</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Summary!NaHCO3_add_gL</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Electrochemistry!rH2_gen</f>
        <v>0.0001023341229799</v>
      </c>
      <c r="E4" s="105" t="str">
        <f>HYPERLINK("#Electrochemistry!D21","→ Electrochemistry")</f>
        <v>→ Electrochemistry</v>
      </c>
      <c r="F4" s="21"/>
    </row>
    <row r="5" spans="1:6" x14ac:dyDescent="0.2">
      <c r="A5" s="21" t="s">
        <v>352</v>
      </c>
      <c r="B5" s="19" t="s">
        <v>328</v>
      </c>
      <c r="C5" s="21" t="s">
        <v>307</v>
      </c>
      <c r="D5" s="120">
        <f>Electrochemistry!O2_net_gen</f>
        <v>5.116706148996e-05</v>
      </c>
      <c r="E5" s="105" t="str">
        <f>HYPERLINK("#Electrochemistry!D29","→ Electrochemistry")</f>
        <v>→ Electrochemistry</v>
      </c>
      <c r="F5" s="21"/>
    </row>
    <row r="6" spans="1:6" x14ac:dyDescent="0.2">
      <c r="A6" s="21" t="s">
        <v>353</v>
      </c>
      <c r="B6" s="19" t="s">
        <v>183</v>
      </c>
      <c r="C6" s="21" t="s">
        <v>52</v>
      </c>
      <c r="D6" s="121">
        <f>Geometry!V_charge</f>
        <v>15.0</v>
      </c>
      <c r="E6" s="105" t="str">
        <f>HYPERLINK("#Geometry!D41","→ Geometry")</f>
        <v>→ Geometry</v>
      </c>
      <c r="F6" s="21"/>
    </row>
    <row r="7" spans="1:6" x14ac:dyDescent="0.2">
      <c r="A7" s="21" t="s">
        <v>354</v>
      </c>
      <c r="B7" s="19" t="s">
        <v>33</v>
      </c>
      <c r="C7" s="21"/>
      <c r="D7" s="104" t="str">
        <f>Summary!organism_sel</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1.705568716332e-05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Summary!temp_C</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Transfer'!P_dry</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14%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57" t="inlineStr">
        <is>
          <t xml:space="preserve">The Calibrations DO section if a value is included for this organism, otherwise the HOB lookup (row 52 on, column "minimum DO"); #N/A = a data gap, to be measured (Summary row 113).</t>
        </is>
      </c>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57" t="inlineStr">
        <is>
          <t xml:space="preserve">The Calibrations DO section if a value is included for this organism, otherwise the HOB lookup (row 52 on, column "optimum DO"); #N/A = a data gap, to be measured (Summary row 113).</t>
        </is>
      </c>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57" t="inlineStr">
        <is>
          <t xml:space="preserve">The Calibrations DO section if a value is included for this organism, otherwise the HOB lookup (row 52 on, column "impairment DO"); #N/A = a data gap, to be measured (Summary row 113).</t>
        </is>
      </c>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57" t="inlineStr">
        <is>
          <t xml:space="preserve">The Calibrations DO section if a value is included for this organism, otherwise the HOB lookup (row 52 on, column "toxic DO"); #N/A = a data gap, to be measured (Summary row 113).</t>
        </is>
      </c>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inlineStr">
        <is>
          <t xml:space="preserve">11.5 = Wilde &amp; Schlegel 1982 inhibition datum (the model computes its ceiling via Henry, ~10.7 mg/L at 30 °C). Optimum 2.6 and impairment 3.0 are provisional working values, not sourced measurements (protocols/dissolved-oxygen.md: optimum low, impairment not established).</t>
        </is>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7" t="inlineStr">
        <is>
          <t xml:space="preserve">Provisional: C. necator optimum 2.6 ÷ inhibition 11.5 mg/L (row 52); the optimum is a working value, not a sourced measurement, so this stand-in for every unmeasured organism is a weak estimate until the DO-band experiment (Summary row 113).</t>
        </is>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Summary!P_atm_set</f>
        <v>0.0</v>
      </c>
      <c r="E67" s="140" t="s">
        <v>2125</v>
      </c>
    </row>
    <row r="75" spans="1:5" x14ac:dyDescent="0.2">
      <c r="A75" s="6" t="s">
        <v>2126</v>
      </c>
    </row>
    <row r="76" spans="1:5" x14ac:dyDescent="0.2">
      <c r="A76" s="21" t="s">
        <v>2127</v>
      </c>
      <c r="B76" s="19" t="s">
        <v>2128</v>
      </c>
      <c r="C76" s="21" t="s">
        <v>307</v>
      </c>
      <c r="D76" s="120">
        <f>'Mass Transfer'!CO2_supply</f>
        <v>0.0008639935959385</v>
      </c>
      <c r="E76" s="140" t="s">
        <v>2129</v>
      </c>
    </row>
    <row r="77" spans="1:5" x14ac:dyDescent="0.2">
      <c r="A77" s="21" t="s">
        <v>2130</v>
      </c>
      <c r="B77" s="19" t="s">
        <v>2131</v>
      </c>
      <c r="C77" s="21" t="s">
        <v>307</v>
      </c>
      <c r="D77" s="120">
        <f>'Mass Transfer'!CO2_rate_full</f>
        <v>0.481916270304</v>
      </c>
      <c r="E77" s="140" t="s">
        <v>2132</v>
      </c>
    </row>
    <row r="78" spans="1:5" x14ac:dyDescent="0.2">
      <c r="A78" s="21" t="s">
        <v>2133</v>
      </c>
      <c r="B78" s="19" t="s">
        <v>2134</v>
      </c>
      <c r="C78" s="21" t="s">
        <v>12</v>
      </c>
      <c r="D78" s="120">
        <f>'Mass Transfer'!spg_dur_eq_opt</f>
        <v>0.784513049825</v>
      </c>
      <c r="E78" s="140" t="s">
        <v>2135</v>
      </c>
    </row>
    <row r="79" spans="1:5" x14ac:dyDescent="0.2">
      <c r="A79" s="21" t="s">
        <v>2136</v>
      </c>
      <c r="B79" s="19" t="s">
        <v>2137</v>
      </c>
      <c r="C79" s="21" t="s">
        <v>2138</v>
      </c>
      <c r="D79" s="120">
        <f>'Mass Transfer'!R_gas</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0.0001451587888868</v>
      </c>
      <c r="E83" s="53" t="s">
        <v>2151</v>
      </c>
    </row>
    <row r="84" spans="1:5" ht="48" x14ac:dyDescent="0.2">
      <c r="A84" s="18" t="s">
        <v>2152</v>
      </c>
      <c r="B84" s="19" t="s">
        <v>2153</v>
      </c>
      <c r="C84" s="20" t="s">
        <v>111</v>
      </c>
      <c r="D84" s="41">
        <f>H2_src_l_b/(n_flamm_src+CO2_supply_b+F_dil_b)</f>
        <v>0.09257585106</v>
      </c>
      <c r="E84" s="53" t="s">
        <v>2154</v>
      </c>
    </row>
    <row r="85" spans="1:5" ht="24" x14ac:dyDescent="0.2">
      <c r="A85" s="18" t="s">
        <v>2155</v>
      </c>
      <c r="B85" s="19" t="s">
        <v>2156</v>
      </c>
      <c r="C85" s="20" t="s">
        <v>111</v>
      </c>
      <c r="D85" s="41">
        <f>(O2_src_l_b+y_O2_air_b*F_vent_ex_b)/(n_flamm_src+CO2_supply_b+F_dil_b)</f>
        <v>0.053538910882</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0.003345896216</v>
      </c>
      <c r="E86" s="53" t="s">
        <v>2160</v>
      </c>
    </row>
    <row r="87" spans="1:5" ht="24" x14ac:dyDescent="0.2">
      <c r="A87" s="18" t="s">
        <v>2161</v>
      </c>
      <c r="B87" s="19" t="s">
        <v>2162</v>
      </c>
      <c r="C87" s="20" t="s">
        <v>61</v>
      </c>
      <c r="D87" s="41">
        <f>IF(duty_H2safe&gt;0,spg_dur_b/(60*duty_H2safe),NA())</f>
        <v>3.907837139102</v>
      </c>
      <c r="E87" s="53" t="s">
        <v>2163</v>
      </c>
    </row>
    <row r="88" spans="1:5" ht="24" x14ac:dyDescent="0.2">
      <c r="A88" s="18" t="s">
        <v>2164</v>
      </c>
      <c r="B88" s="19" t="s">
        <v>2165</v>
      </c>
      <c r="C88" s="20" t="s">
        <v>314</v>
      </c>
      <c r="D88" s="41">
        <f>MAX(0,H2_src_l_b/H2_LFL-n_flamm_src-F_vent_ex_b)/3600*R_gas_b*T_K/P_atm*1000000*60</f>
        <v>0.927852667512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1.67411703878</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2.301568976741</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2.312402310074</v>
      </c>
      <c r="E92" s="53" t="s">
        <v>2178</v>
      </c>
    </row>
    <row r="95" spans="1:5" x14ac:dyDescent="0.2">
      <c r="A95" s="6" t="s">
        <v>2179</v>
      </c>
    </row>
    <row r="96" spans="1:5" x14ac:dyDescent="0.2">
      <c r="A96" s="18" t="s">
        <v>2180</v>
      </c>
      <c r="B96" s="19" t="s">
        <v>2181</v>
      </c>
      <c r="C96" s="20" t="s">
        <v>307</v>
      </c>
      <c r="D96" s="41">
        <f>Electrochemistry!r_H2_HOR</f>
        <v>0.0</v>
      </c>
      <c r="E96" s="51" t="s">
        <v>2182</v>
      </c>
    </row>
    <row r="97" spans="1:5" x14ac:dyDescent="0.2">
      <c r="A97" s="18" t="s">
        <v>2183</v>
      </c>
      <c r="B97" s="19" t="s">
        <v>2184</v>
      </c>
      <c r="C97" s="20" t="s">
        <v>406</v>
      </c>
      <c r="D97" s="41">
        <f>'Mass Transfer'!C_cycle_start</f>
        <v>25.476094895404</v>
      </c>
      <c r="E97" s="51" t="s">
        <v>2185</v>
      </c>
    </row>
    <row r="98" spans="1:5" ht="36" x14ac:dyDescent="0.2">
      <c r="A98" s="18" t="s">
        <v>2186</v>
      </c>
      <c r="B98" s="19" t="s">
        <v>2187</v>
      </c>
      <c r="C98" s="20" t="s">
        <v>87</v>
      </c>
      <c r="D98" s="41">
        <f>C_cycle_start_b*1000/Km_CO2</f>
        <v>509.521897908088</v>
      </c>
      <c r="E98" s="53" t="s">
        <v>2188</v>
      </c>
    </row>
    <row r="110" spans="1:5" x14ac:dyDescent="0.2">
      <c r="A110" s="6" t="s">
        <v>2189</v>
      </c>
    </row>
    <row r="111" spans="1:5" x14ac:dyDescent="0.2">
      <c r="A111" s="21" t="s">
        <v>2190</v>
      </c>
      <c r="B111" s="19" t="s">
        <v>2191</v>
      </c>
      <c r="C111" s="21" t="s">
        <v>307</v>
      </c>
      <c r="D111" s="120">
        <f>'Mass Transfer'!F_vent_ex</f>
        <v>3.617990017297e-05</v>
      </c>
      <c r="E111" s="140" t="s">
        <v>2192</v>
      </c>
    </row>
    <row r="112" spans="1:5" x14ac:dyDescent="0.2">
      <c r="A112" s="21" t="s">
        <v>2193</v>
      </c>
      <c r="B112" s="19" t="s">
        <v>2194</v>
      </c>
      <c r="C112" s="21" t="s">
        <v>111</v>
      </c>
      <c r="D112" s="120">
        <f>'Mass Transfer'!y_O2_air</f>
        <v>0.2095</v>
      </c>
      <c r="E112" s="140" t="s">
        <v>2195</v>
      </c>
    </row>
    <row r="113" spans="1:5" x14ac:dyDescent="0.2">
      <c r="A113" s="21" t="s">
        <v>2196</v>
      </c>
      <c r="B113" s="19" t="s">
        <v>2197</v>
      </c>
      <c r="C113" s="21" t="s">
        <v>307</v>
      </c>
      <c r="D113" s="120">
        <f>'Mass Transfer'!H2_src_l</f>
        <v>9.67725259245e-05</v>
      </c>
      <c r="E113" s="140" t="s">
        <v>2198</v>
      </c>
    </row>
    <row r="114" spans="1:5" x14ac:dyDescent="0.2">
      <c r="A114" s="21" t="s">
        <v>2199</v>
      </c>
      <c r="B114" s="19" t="s">
        <v>2200</v>
      </c>
      <c r="C114" s="21" t="s">
        <v>111</v>
      </c>
      <c r="D114" s="120">
        <f>'Mass Transfer'!y_H2_end_l</f>
        <v>0.14443867964</v>
      </c>
      <c r="E114" s="140" t="s">
        <v>2201</v>
      </c>
    </row>
    <row r="115" spans="1:5" x14ac:dyDescent="0.2">
      <c r="A115" s="21" t="s">
        <v>2202</v>
      </c>
      <c r="B115" s="19" t="s">
        <v>2203</v>
      </c>
      <c r="C115" s="21" t="s">
        <v>307</v>
      </c>
      <c r="D115" s="120">
        <f>'Mass Transfer'!O2_src_l</f>
        <v>4.838626296225e-05</v>
      </c>
      <c r="E115" s="140" t="s">
        <v>2204</v>
      </c>
    </row>
    <row r="116" spans="1:5" x14ac:dyDescent="0.2">
      <c r="A116" s="21" t="s">
        <v>2205</v>
      </c>
      <c r="B116" s="19" t="s">
        <v>2206</v>
      </c>
      <c r="C116" s="21" t="s">
        <v>307</v>
      </c>
      <c r="D116" s="120">
        <f>'Mass Transfer'!F_gap_l</f>
        <v>0.0001813386890597</v>
      </c>
      <c r="E116" s="140" t="s">
        <v>2207</v>
      </c>
    </row>
    <row r="117" spans="1:5" x14ac:dyDescent="0.2">
      <c r="A117" s="21" t="s">
        <v>2208</v>
      </c>
      <c r="B117" s="19" t="s">
        <v>2209</v>
      </c>
      <c r="C117" s="21" t="s">
        <v>732</v>
      </c>
      <c r="D117" s="120">
        <f>'Mass Transfer'!n_hs_gas</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Transfer'!y_O2_end_l</f>
        <v>0.083532471034</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Chemistry!I_ionic</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Transfer'!F_dil</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9"/>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Geometry!stir_bar_L</f>
        <v>12.0</v>
      </c>
      <c r="E5" s="55" t="str">
        <f>HYPERLINK("#Geometry!D52","→ Geometry")</f>
        <v>→ Geometry</v>
      </c>
      <c r="F5" s="75" t="s">
        <v>2228</v>
      </c>
    </row>
    <row r="6" spans="1:6" x14ac:dyDescent="0.2">
      <c r="A6" s="21" t="s">
        <v>479</v>
      </c>
      <c r="B6" s="21" t="s">
        <v>405</v>
      </c>
      <c r="C6" s="21" t="s">
        <v>406</v>
      </c>
      <c r="D6" s="112">
        <f>Biology!O2_ceil_C</f>
        <v>0.314742903798</v>
      </c>
      <c r="E6" s="105" t="str">
        <f>HYPERLINK("#Biology!D27","→ Biology")</f>
        <v>→ Biology</v>
      </c>
      <c r="F6" s="21"/>
    </row>
    <row r="7" spans="1:6" x14ac:dyDescent="0.2">
      <c r="A7" s="21" t="s">
        <v>480</v>
      </c>
      <c r="B7" s="21" t="s">
        <v>402</v>
      </c>
      <c r="C7" s="21" t="s">
        <v>57</v>
      </c>
      <c r="D7" s="112">
        <f>Biology!O2_ceil_Pa</f>
        <v>30397.5</v>
      </c>
      <c r="E7" s="105" t="str">
        <f>HYPERLINK("#Biology!D26","→ Biology")</f>
        <v>→ Biology</v>
      </c>
      <c r="F7" s="21"/>
    </row>
    <row r="8" spans="1:6" ht="24" customHeight="1" x14ac:dyDescent="0.2">
      <c r="A8" s="21" t="s">
        <v>260</v>
      </c>
      <c r="B8" s="21" t="s">
        <v>261</v>
      </c>
      <c r="C8" s="21" t="s">
        <v>262</v>
      </c>
      <c r="D8" s="112">
        <f>Biology!T_K</f>
        <v>303.15</v>
      </c>
      <c r="E8" s="105" t="str">
        <f>HYPERLINK("#Biology!D18","→ Biology")</f>
        <v>→ Biology</v>
      </c>
      <c r="F8" s="21"/>
    </row>
    <row r="9" spans="1:6" x14ac:dyDescent="0.2">
      <c r="A9" s="21" t="s">
        <v>263</v>
      </c>
      <c r="B9" s="21" t="s">
        <v>264</v>
      </c>
      <c r="C9" s="21" t="s">
        <v>57</v>
      </c>
      <c r="D9" s="112">
        <f>Biology!P_atm</f>
        <v>101325.0</v>
      </c>
      <c r="E9" s="105" t="str">
        <f>HYPERLINK("#Biology!D19","→ Biology")</f>
        <v>→ Biology</v>
      </c>
      <c r="F9" s="21"/>
    </row>
    <row r="10" spans="1:6" x14ac:dyDescent="0.2">
      <c r="A10" s="21" t="s">
        <v>481</v>
      </c>
      <c r="B10" s="21" t="s">
        <v>370</v>
      </c>
      <c r="C10" s="21" t="s">
        <v>307</v>
      </c>
      <c r="D10" s="112">
        <f>Biology!CO2_cons</f>
        <v>1.705568716332e-05</v>
      </c>
      <c r="E10" s="105" t="str">
        <f>HYPERLINK("#Biology!D15","→ Biology")</f>
        <v>→ Biology</v>
      </c>
      <c r="F10" s="21"/>
    </row>
    <row r="11" spans="1:6" x14ac:dyDescent="0.2">
      <c r="A11" s="21" t="s">
        <v>482</v>
      </c>
      <c r="B11" s="21" t="s">
        <v>373</v>
      </c>
      <c r="C11" s="21" t="s">
        <v>307</v>
      </c>
      <c r="D11" s="112">
        <f>Biology!O2_excess</f>
        <v>1.705568716332e-05</v>
      </c>
      <c r="E11" s="105" t="str">
        <f>HYPERLINK("#Biology!D16","→ Biology")</f>
        <v>→ Biology</v>
      </c>
      <c r="F11" s="21"/>
    </row>
    <row r="12" spans="1:6" x14ac:dyDescent="0.2">
      <c r="A12" s="21" t="s">
        <v>483</v>
      </c>
      <c r="B12" s="21" t="s">
        <v>396</v>
      </c>
      <c r="C12" s="21" t="s">
        <v>387</v>
      </c>
      <c r="D12" s="112">
        <f>Biology!H_O2_T</f>
        <v>1.035423649307e-05</v>
      </c>
      <c r="E12" s="105" t="str">
        <f>HYPERLINK("#Biology!D24","→ Biology")</f>
        <v>→ Biology</v>
      </c>
      <c r="F12" s="21"/>
    </row>
    <row r="13" spans="1:6" x14ac:dyDescent="0.2">
      <c r="A13" s="21" t="s">
        <v>352</v>
      </c>
      <c r="B13" s="21" t="s">
        <v>328</v>
      </c>
      <c r="C13" s="21" t="s">
        <v>307</v>
      </c>
      <c r="D13" s="120">
        <f>Electrochemistry!O2_net_gen</f>
        <v>5.116706148996e-05</v>
      </c>
      <c r="E13" s="105" t="str">
        <f>HYPERLINK("#Electrochemistry!D29","→ Electrochemistry")</f>
        <v>→ Electrochemistry</v>
      </c>
      <c r="F13" s="21"/>
    </row>
    <row r="14" spans="1:6" x14ac:dyDescent="0.2">
      <c r="A14" s="21" t="s">
        <v>484</v>
      </c>
      <c r="B14" s="21" t="s">
        <v>192</v>
      </c>
      <c r="C14" s="21" t="s">
        <v>127</v>
      </c>
      <c r="D14" s="121">
        <f>Geometry!interface_A</f>
        <v>429.547725140567</v>
      </c>
      <c r="E14" s="105" t="str">
        <f>HYPERLINK("#Geometry!D44","→ Geometry")</f>
        <v>→ Geometry</v>
      </c>
      <c r="F14" s="21"/>
    </row>
    <row r="15" spans="1:6" x14ac:dyDescent="0.2">
      <c r="A15" s="21" t="s">
        <v>485</v>
      </c>
      <c r="B15" s="21" t="s">
        <v>123</v>
      </c>
      <c r="C15" s="21" t="s">
        <v>115</v>
      </c>
      <c r="D15" s="121">
        <f>Geometry!vial_ID</f>
        <v>25.28</v>
      </c>
      <c r="E15" s="105" t="str">
        <f>HYPERLINK("#Geometry!D20","→ Geometry")</f>
        <v>→ Geometry</v>
      </c>
      <c r="F15" s="21"/>
    </row>
    <row r="16" spans="1:6" x14ac:dyDescent="0.2">
      <c r="A16" s="21" t="s">
        <v>353</v>
      </c>
      <c r="B16" s="21" t="s">
        <v>183</v>
      </c>
      <c r="C16" s="21" t="s">
        <v>52</v>
      </c>
      <c r="D16" s="121">
        <f>Geometry!V_charge</f>
        <v>15.0</v>
      </c>
      <c r="E16" s="105" t="str">
        <f>HYPERLINK("#Geometry!D41","→ Geometry")</f>
        <v>→ Geometry</v>
      </c>
      <c r="F16" s="21"/>
    </row>
    <row r="17" spans="1:6" x14ac:dyDescent="0.2">
      <c r="A17" s="21" t="s">
        <v>486</v>
      </c>
      <c r="B17" s="21" t="s">
        <v>126</v>
      </c>
      <c r="C17" s="21" t="s">
        <v>127</v>
      </c>
      <c r="D17" s="121">
        <f>Geometry!A_x</f>
        <v>501.93100162698</v>
      </c>
      <c r="E17" s="105" t="str">
        <f>HYPERLINK("#Geometry!D21","→ Geometry")</f>
        <v>→ Geometry</v>
      </c>
      <c r="F17" s="21"/>
    </row>
    <row r="18" spans="1:6" ht="24" customHeight="1" x14ac:dyDescent="0.2">
      <c r="A18" s="21" t="s">
        <v>487</v>
      </c>
      <c r="B18" s="21" t="s">
        <v>155</v>
      </c>
      <c r="C18" s="21" t="s">
        <v>115</v>
      </c>
      <c r="D18" s="121">
        <f>Geometry!spg_ID</f>
        <v>1.5875</v>
      </c>
      <c r="E18" s="105" t="str">
        <f>HYPERLINK("#Geometry!D31","→ Geometry")</f>
        <v>→ Geometry</v>
      </c>
      <c r="F18" s="21"/>
    </row>
    <row r="19" spans="1:6" x14ac:dyDescent="0.2">
      <c r="A19" s="21" t="s">
        <v>488</v>
      </c>
      <c r="B19" s="21" t="s">
        <v>207</v>
      </c>
      <c r="C19" s="21" t="s">
        <v>52</v>
      </c>
      <c r="D19" s="121">
        <f>Geometry!headspace_V</f>
        <v>2.612428455917</v>
      </c>
      <c r="E19" s="105" t="str">
        <f>HYPERLINK("#Geometry!D49","→ Geometry")</f>
        <v>→ Geometry</v>
      </c>
      <c r="F19" s="21"/>
    </row>
    <row r="20" spans="1:6" x14ac:dyDescent="0.2">
      <c r="A20" s="21" t="s">
        <v>489</v>
      </c>
      <c r="B20" s="21" t="s">
        <v>490</v>
      </c>
      <c r="C20" s="21" t="s">
        <v>491</v>
      </c>
      <c r="D20" s="120">
        <f>Electrochemistry!por_grade_e</f>
        <v>0.0</v>
      </c>
      <c r="E20" s="105" t="str">
        <f>HYPERLINK("#Electrochemistry!D32","→ Electrochemistry")</f>
        <v>→ Electrochemistry</v>
      </c>
      <c r="F20" s="21"/>
    </row>
    <row r="21" spans="1:6" x14ac:dyDescent="0.2">
      <c r="A21" s="21" t="s">
        <v>492</v>
      </c>
      <c r="B21" s="21" t="s">
        <v>337</v>
      </c>
      <c r="C21" s="21" t="s">
        <v>111</v>
      </c>
      <c r="D21" s="120" t="str">
        <f>Electrochemistry!sparger_e</f>
        <v>Sintered</v>
      </c>
      <c r="E21" s="105" t="str">
        <f>HYPERLINK("#Electrochemistry!D31","→ Electrochemistry")</f>
        <v>→ Electrochemistry</v>
      </c>
      <c r="F21" s="21"/>
    </row>
    <row r="22" spans="1:6" ht="36" customHeight="1" x14ac:dyDescent="0.2">
      <c r="A22" s="21" t="s">
        <v>493</v>
      </c>
      <c r="B22" s="21" t="s">
        <v>455</v>
      </c>
      <c r="C22" s="21"/>
      <c r="D22" s="112" t="e">
        <f>Biology!DO_opt</f>
        <v>#N/A</v>
      </c>
      <c r="E22" s="105" t="str">
        <f>HYPERLINK("#Biology!D46","→ Biology")</f>
        <v>→ Biology</v>
      </c>
      <c r="F22" s="21"/>
    </row>
    <row r="23" spans="1:6" x14ac:dyDescent="0.2">
      <c r="A23" s="21" t="s">
        <v>494</v>
      </c>
      <c r="B23" s="21" t="s">
        <v>457</v>
      </c>
      <c r="C23" s="21"/>
      <c r="D23" s="112" t="e">
        <f>Biology!DO_impair</f>
        <v>#N/A</v>
      </c>
      <c r="E23" s="105" t="str">
        <f>HYPERLINK("#Biology!D47","→ Biology")</f>
        <v>→ Biology</v>
      </c>
      <c r="F23" s="21"/>
    </row>
    <row r="24" spans="1:6" x14ac:dyDescent="0.2">
      <c r="A24" s="21" t="s">
        <v>495</v>
      </c>
      <c r="B24" s="21" t="s">
        <v>459</v>
      </c>
      <c r="C24" s="21"/>
      <c r="D24" s="112" t="e">
        <f>Biology!DO_toxic</f>
        <v>#N/A</v>
      </c>
      <c r="E24" s="105" t="str">
        <f>HYPERLINK("#Biology!D48","→ Biology")</f>
        <v>→ Biology</v>
      </c>
      <c r="F24" s="21"/>
    </row>
    <row r="25" spans="1:6" x14ac:dyDescent="0.2">
      <c r="A25" s="21" t="s">
        <v>496</v>
      </c>
      <c r="B25" s="21" t="s">
        <v>453</v>
      </c>
      <c r="C25" s="21"/>
      <c r="D25" s="112" t="e">
        <f>Biology!DO_min</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1" t="inlineStr">
        <is>
          <t xml:space="preserve">Display of the Tate’s-law bubble diameter in mm for the sparger in use.</t>
        </is>
      </c>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6.404765424633e-05</v>
      </c>
      <c r="E53" s="89" t="s">
        <v>581</v>
      </c>
      <c r="F53" s="21"/>
    </row>
    <row r="54" spans="1:6" ht="24" customHeight="1" x14ac:dyDescent="0.2">
      <c r="A54" s="18" t="s">
        <v>582</v>
      </c>
      <c r="B54" s="19" t="s">
        <v>583</v>
      </c>
      <c r="C54" s="20" t="s">
        <v>307</v>
      </c>
      <c r="D54" s="41">
        <f>IF(d_bubble&lt;d_bubble_min_m,0,kLa_sparge*(V_charge/1000000)*O2_ceil_C*3600)</f>
        <v>0.0007104119250025</v>
      </c>
      <c r="E54" s="57" t="inlineStr">
        <is>
          <t xml:space="preserve">Bubble O₂ strip at the ceiling driving force (best case). 0 for sub-mm bubbles (fine sinter, bubble model out of range — see bubble_regime). Evaluated at the generic 0.30 atm ceiling (D6), as a transfer capacity, not at the organism limit.</t>
        </is>
      </c>
      <c r="F54" s="21"/>
    </row>
    <row r="55" spans="1:6" ht="24" customHeight="1" x14ac:dyDescent="0.2">
      <c r="A55" s="86" t="s">
        <v>585</v>
      </c>
      <c r="B55" s="19" t="s">
        <v>586</v>
      </c>
      <c r="C55" s="20" t="s">
        <v>307</v>
      </c>
      <c r="D55" s="41">
        <f>strip_sparge*duty</f>
        <v>1.088561412663e-06</v>
      </c>
      <c r="E55" s="57" t="s">
        <v>587</v>
      </c>
      <c r="F55" s="21"/>
    </row>
    <row r="56" spans="1:6" x14ac:dyDescent="0.2">
      <c r="A56" s="86" t="s">
        <v>588</v>
      </c>
      <c r="B56" s="19" t="s">
        <v>589</v>
      </c>
      <c r="C56" s="20" t="s">
        <v>87</v>
      </c>
      <c r="D56" s="39">
        <f>IF(O2_excess&gt;0,strip_avg/O2_excess,NA())</f>
        <v>0.063823955156</v>
      </c>
      <c r="E56" s="57" t="s">
        <v>590</v>
      </c>
      <c r="F56" s="21"/>
    </row>
    <row r="57" spans="1:6" ht="36" customHeight="1" x14ac:dyDescent="0.2">
      <c r="A57" s="18" t="s">
        <v>591</v>
      </c>
      <c r="B57" s="19" t="s">
        <v>592</v>
      </c>
      <c r="C57" s="20" t="s">
        <v>577</v>
      </c>
      <c r="D57" s="41">
        <f>IF(O2_excess&gt;0,O2_excess/3600/((V_charge/1000000)*O2_ceil_C),NA())</f>
        <v>0.001003504939</v>
      </c>
      <c r="E57" s="57" t="inlineStr">
        <is>
          <t xml:space="preserve">kLa that would exactly strip the excess at the ceiling. Evaluated at the generic 0.30 atm ceiling (D6), as a transfer capacity, not at the organism limit.</t>
        </is>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IF(O2_excess&gt;0,O2_ceil_org*(V_charge/1000000)/O2_excess*60,"never (source &lt;= 0)")</f>
        <v>16.608455039407</v>
      </c>
      <c r="E65" s="74" t="s">
        <v>2232</v>
      </c>
      <c r="F65" s="21"/>
    </row>
    <row r="66" spans="1:6" ht="24" customHeight="1" x14ac:dyDescent="0.2">
      <c r="A66" s="18" t="s">
        <v>614</v>
      </c>
      <c r="B66" s="19" t="s">
        <v>615</v>
      </c>
      <c r="C66" s="20" t="s">
        <v>61</v>
      </c>
      <c r="D66" s="41">
        <f>IF(O2_excess-strip_avg*O2_ceil_org/O2_ceil_C&gt;0,IF(strip_avg&gt;0,-LN(1-strip_avg*O2_ceil_org/O2_ceil_C/O2_excess)*60*(V_charge/1000000)*O2_ceil_C/strip_avg,t_O2_ceiling),"never (strip ≥ source)")</f>
        <v>17.162152896755</v>
      </c>
      <c r="E66" s="74" t="inlineStr">
        <is>
          <t xml:space="preserve">As D65, with the bubble strip growing in proportion to DO as it rises (first order: rate D55 × DO/D6, so t = −ln(1 − strip at the organism ceiling ÷ source)/k). "never" = the strip at the organism ceiling (D565) matches the source. Bubbles meet fresh CO₂, so no back-pressure term is needed.</t>
        </is>
      </c>
      <c r="F66" s="21"/>
    </row>
    <row r="67" spans="1:6" x14ac:dyDescent="0.2">
      <c r="A67" s="18" t="s">
        <v>2234</v>
      </c>
      <c r="B67" s="19" t="s">
        <v>616</v>
      </c>
      <c r="C67" s="20" t="s">
        <v>617</v>
      </c>
      <c r="D67" s="127">
        <f>Summary!stir_rpm_set</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inlineStr">
        <is>
          <t xml:space="preserve">O₂ removable across the stirred surface at ceiling driving force — a FEASIBILITY CEILING for surf_ratio / O2_removal_ratio only. NEVER subtracted inside a safety guard (kL_surf is a ~375%-uncertain best-case proxy); the guards size on O2_src_guard (D132) with this credit withheld. Evaluated at the generic 0.30 atm ceiling (D6), as a transfer capacity, not at the organism limit.</t>
        </is>
      </c>
      <c r="F73" s="21"/>
    </row>
    <row r="74" spans="1:6" ht="24" customHeight="1" x14ac:dyDescent="0.2">
      <c r="A74" s="18" t="s">
        <v>633</v>
      </c>
      <c r="B74" s="19" t="s">
        <v>634</v>
      </c>
      <c r="C74" s="20" t="s">
        <v>87</v>
      </c>
      <c r="D74" s="41">
        <f>IF(O2_excess&gt;0,surf_strip/O2_excess,NA())</f>
        <v>7.613851405219</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7.29306337365</v>
      </c>
      <c r="E77" s="74" t="s">
        <v>2236</v>
      </c>
      <c r="F77" s="21"/>
    </row>
    <row r="78" spans="1:6" ht="26" customHeight="1" x14ac:dyDescent="0.2">
      <c r="A78" s="18" t="s">
        <v>638</v>
      </c>
      <c r="B78" s="19" t="s">
        <v>639</v>
      </c>
      <c r="C78" s="20" t="s">
        <v>87</v>
      </c>
      <c r="D78" s="41">
        <f>IF(O2_excess&gt;0,(strip_avg+surf_strip)/O2_excess,NA())</f>
        <v>7.677675360374</v>
      </c>
      <c r="E78" s="90" t="s">
        <v>640</v>
      </c>
      <c r="F78" s="21"/>
    </row>
    <row r="79" spans="1:6" x14ac:dyDescent="0.2">
      <c r="A79" s="18" t="s">
        <v>641</v>
      </c>
      <c r="B79" s="19" t="s">
        <v>642</v>
      </c>
      <c r="C79" s="20" t="s">
        <v>61</v>
      </c>
      <c r="D79" s="41">
        <f>O2_ceil_org*(V_charge/1000000)/O2_net_lag_mt*60</f>
        <v>5.854318892931</v>
      </c>
      <c r="E79" s="74" t="inlineStr">
        <is>
          <t xml:space="preserve">Lag/establishment: no biological O₂ uptake yet, so the whole lag O₂ source (D394) accumulates up to the organism ceiling (D565). Worst case.</t>
        </is>
      </c>
      <c r="F79" s="21"/>
    </row>
    <row r="80" spans="1:6" ht="36" customHeight="1" x14ac:dyDescent="0.2">
      <c r="A80" s="18" t="inlineStr">
        <is>
          <t xml:space="preserve">O₂ time-to-ceiling, zero headspace O₂ (hypothetical)</t>
        </is>
      </c>
      <c r="B80" s="19" t="s">
        <v>645</v>
      </c>
      <c r="C80" s="20" t="s">
        <v>61</v>
      </c>
      <c r="D80" s="41" t="str">
        <f>IF(O2_net_lag_mt-(strip_avg+surf_strip)*O2_ceil_org/O2_ceil_C&gt;0,IF(strip_avg+surf_strip&gt;0,-LN(1-(strip_avg+surf_strip)*O2_ceil_org/O2_ceil_C/O2_net_lag_mt)*60*(V_charge/1000000)*O2_ceil_C/(strip_avg+surf_strip),t_O2_ceiling_lag),"not reached if the headspace held no O₂ — not a pass; see D363")</f>
        <v>not reached if the headspace held no O₂ — not a pass; see D363</v>
      </c>
      <c r="E80" s="53" t="inlineStr">
        <is>
          <t xml:space="preserve">CAPACITY DIAGNOSTIC ONLY: the lag rise (D79) with both removal paths acting first order against an O₂-free headspace (zero back-pressure). The real headspace holds O₂ and pushes back, so the lag ceiling verdict is the lag peak (D363, Summary row 62); a non-crossing here is never a pass.</t>
        </is>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Biology!DO_frac_target</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0.001565388449</v>
      </c>
      <c r="E87" s="74" t="s">
        <v>965</v>
      </c>
      <c r="F87" s="21"/>
    </row>
    <row r="88" spans="1:6" ht="24" customHeight="1" x14ac:dyDescent="0.2">
      <c r="A88" s="18" t="s">
        <v>663</v>
      </c>
      <c r="B88" s="19" t="s">
        <v>664</v>
      </c>
      <c r="C88" s="20" t="s">
        <v>111</v>
      </c>
      <c r="D88" s="41">
        <f>MAX(duty_carbon,duty_O2vent)</f>
        <v>0.001565388449</v>
      </c>
      <c r="E88" s="53" t="s">
        <v>2239</v>
      </c>
      <c r="F88" s="21"/>
    </row>
    <row r="89" spans="1:6" ht="60" x14ac:dyDescent="0.2">
      <c r="A89" s="18" t="s">
        <v>2240</v>
      </c>
      <c r="B89" s="19" t="s">
        <v>665</v>
      </c>
      <c r="C89" s="20" t="s">
        <v>61</v>
      </c>
      <c r="D89" s="41">
        <f>target_DO_frac*O2_ceil_org*(V_charge/1000000)/O2_src_guard*60</f>
        <v>1.251651684129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7.293500622657</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437.610037359391</v>
      </c>
      <c r="E92" s="129" t="s">
        <v>672</v>
      </c>
      <c r="F92" s="21"/>
    </row>
    <row r="93" spans="1:6" ht="24" x14ac:dyDescent="0.2">
      <c r="A93" s="18" t="s">
        <v>2244</v>
      </c>
      <c r="B93" s="19" t="s">
        <v>673</v>
      </c>
      <c r="C93" s="20" t="s">
        <v>111</v>
      </c>
      <c r="D93" s="41">
        <f>spg_dur_eq_opt/(spg_int_opt*60)</f>
        <v>0.001792721791</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0.0008639935959385</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0.001532296087</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2.275287892306</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51" t="inlineStr">
        <is>
          <t xml:space="preserve">Cycle-mean DO against the organism minimum (Biology D45); "unknown" while the minimum is a data gap.</t>
        </is>
      </c>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51" t="inlineStr">
        <is>
          <t xml:space="preserve">The interval at which the CO₂ supply is carbon_margin_min × the fixation demand (duty_carbon, D86), on the optimal-pulse basis; an upper bound only, since the pool can still run dry within a long cycle (D435).</t>
        </is>
      </c>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"&amp;IF(DO_at_carbon&gt;O2_ceil_org,"above the "&amp;TEXT(O2_ceil_org*M_O2,"0.0")&amp;"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Summary!Reactor_sel</f>
        <v>ed04</v>
      </c>
      <c r="E115" s="51" t="inlineStr">
        <is>
          <t xml:space="preserve">The Summary reactor, imported as the key for the CO2 flows rows.</t>
        </is>
      </c>
      <c r="F115" s="21"/>
    </row>
    <row r="116" spans="1:6" x14ac:dyDescent="0.2">
      <c r="A116" s="21" t="s">
        <v>715</v>
      </c>
      <c r="B116" s="21" t="s">
        <v>716</v>
      </c>
      <c r="C116" s="21"/>
      <c r="D116" s="131">
        <f>SUMPRODUCT(MAX((co2f_reactor=Reactor)*(co2f_nominal&gt;0)*co2f_date))</f>
        <v>46190.0</v>
      </c>
      <c r="E116" s="51" t="inlineStr">
        <is>
          <t xml:space="preserve">Most recent date in CO2 flows for the selected reactor; only rows of that date set the flow (D117).</t>
        </is>
      </c>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51" t="inlineStr">
        <is>
          <t xml:space="preserve">Text verdict from has_cal (D119) and the flow source in use.</t>
        </is>
      </c>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51" t="inlineStr">
        <is>
          <t xml:space="preserve">Pulse in use: Summary override (G18) &gt; Manual cell (D82) &gt; the rounded optimum (D242); #N/A for an unlisted schedule mode.</t>
        </is>
      </c>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7.07</v>
      </c>
      <c r="E122" s="51" t="inlineStr">
        <is>
          <t xml:space="preserve">Interval in use: Summary override (G20) &gt; Manual cell (D83) &gt; the rounded executable interval (D420); #N/A when no gap is left or the mode is unlisted.</t>
        </is>
      </c>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8.486562942008</v>
      </c>
      <c r="E124" s="51" t="inlineStr">
        <is>
          <t xml:space="preserve">60 ÷ the interval in use.</t>
        </is>
      </c>
      <c r="F124" s="21"/>
    </row>
    <row r="125" spans="1:6" x14ac:dyDescent="0.2">
      <c r="A125" s="21" t="s">
        <v>736</v>
      </c>
      <c r="B125" s="21" t="s">
        <v>737</v>
      </c>
      <c r="C125" s="21" t="s">
        <v>738</v>
      </c>
      <c r="D125" s="25">
        <f>pulses_h*24</f>
        <v>203.677510608204</v>
      </c>
      <c r="E125" s="51" t="inlineStr">
        <is>
          <t xml:space="preserve">Pulses per hour × 24.</t>
        </is>
      </c>
      <c r="F125" s="21"/>
    </row>
    <row r="126" spans="1:6" x14ac:dyDescent="0.2">
      <c r="A126" s="21" t="s">
        <v>739</v>
      </c>
      <c r="B126" s="21" t="s">
        <v>740</v>
      </c>
      <c r="C126" s="21" t="s">
        <v>87</v>
      </c>
      <c r="D126" s="25">
        <f>IF(CO2_cons&gt;0,CO2_supply/CO2_cons,NA())</f>
        <v>50.657214081442</v>
      </c>
      <c r="E126" s="51" t="inlineStr">
        <is>
          <t xml:space="preserve">CO₂ delivered ÷ carbon fixed (D100 ÷ Biology D15); ≥ 1 means supply covers demand on average.</t>
        </is>
      </c>
      <c r="F126" s="21"/>
    </row>
    <row r="127" spans="1:6" x14ac:dyDescent="0.2">
      <c r="A127" s="21" t="s">
        <v>741</v>
      </c>
      <c r="B127" s="21" t="s">
        <v>742</v>
      </c>
      <c r="C127" s="21" t="s">
        <v>732</v>
      </c>
      <c r="D127" s="25">
        <f>O2_excess/60*spg_int</f>
        <v>2.009728470745e-06</v>
      </c>
      <c r="E127" s="51" t="inlineStr">
        <is>
          <t xml:space="preserve">Growth O₂ surplus (Biology D16) accumulated over one interval in use.</t>
        </is>
      </c>
      <c r="F127" s="21"/>
    </row>
    <row r="128" spans="1:6" x14ac:dyDescent="0.2">
      <c r="A128" s="21" t="s">
        <v>743</v>
      </c>
      <c r="B128" s="21" t="s">
        <v>744</v>
      </c>
      <c r="C128" s="21" t="s">
        <v>732</v>
      </c>
      <c r="D128" s="25">
        <f>strip_sparge/3600*spg_dur</f>
        <v>1.282688197921e-07</v>
      </c>
      <c r="E128" s="51" t="inlineStr">
        <is>
          <t xml:space="preserve">Bubble-strip removal per pulse: strip_sparge (mol/h at full sparge) × the pulse length; informative only.</t>
        </is>
      </c>
      <c r="F128" s="21"/>
    </row>
    <row r="129" spans="1:6" x14ac:dyDescent="0.2">
      <c r="A129" s="21" t="s">
        <v>745</v>
      </c>
      <c r="B129" s="21" t="s">
        <v>746</v>
      </c>
      <c r="C129" s="21" t="s">
        <v>87</v>
      </c>
      <c r="D129" s="25">
        <f>IF(O2_accum&gt;0,O2_strip_pulse/O2_accum,NA())</f>
        <v>0.063823955156</v>
      </c>
      <c r="E129" s="51" t="inlineStr">
        <is>
          <t xml:space="preserve">Bubble-strip removal ÷ O₂ accumulated per interval; the headspace balance (§300), not this ratio, sizes the schedule.</t>
        </is>
      </c>
      <c r="F129" s="21"/>
    </row>
    <row r="130" spans="1:6" x14ac:dyDescent="0.2">
      <c r="A130" s="21" t="s">
        <v>747</v>
      </c>
      <c r="B130" s="21" t="s">
        <v>748</v>
      </c>
      <c r="C130" s="21"/>
      <c r="D130" s="25" t="str">
        <f>IF(spg_dur&gt;=pulse_floor,"OK","LOW")</f>
        <v>OK</v>
      </c>
      <c r="E130" s="51" t="inlineStr">
        <is>
          <t xml:space="preserve">Pulse in use against the solenoid floor (D99); LOW = below the shortest reliable pulse.</t>
        </is>
      </c>
      <c r="F130" s="21"/>
    </row>
    <row r="131" spans="1:6" x14ac:dyDescent="0.2">
      <c r="A131" s="21" t="s">
        <v>2255</v>
      </c>
      <c r="B131" s="21" t="s">
        <v>749</v>
      </c>
      <c r="C131" s="21" t="s">
        <v>85</v>
      </c>
      <c r="D131" s="25">
        <f>kLa_surf_req/a_surf</f>
        <v>0.0001549971963378</v>
      </c>
      <c r="E131" s="117" t="s">
        <v>1637</v>
      </c>
      <c r="F131" s="21"/>
    </row>
    <row r="132" spans="1:6" ht="24" x14ac:dyDescent="0.2">
      <c r="A132" s="18" t="s">
        <v>899</v>
      </c>
      <c r="B132" s="19" t="s">
        <v>900</v>
      </c>
      <c r="C132" s="20" t="s">
        <v>901</v>
      </c>
      <c r="D132" s="25">
        <f>O2_net_gen</f>
        <v>5.116706148996e-05</v>
      </c>
      <c r="E132" s="53" t="s">
        <v>902</v>
      </c>
      <c r="F132" s="21"/>
    </row>
    <row r="133" spans="1:6" ht="36" x14ac:dyDescent="0.2">
      <c r="A133" s="18" t="s">
        <v>1749</v>
      </c>
      <c r="B133" s="19" t="s">
        <v>903</v>
      </c>
      <c r="C133" s="20" t="s">
        <v>904</v>
      </c>
      <c r="D133" s="25">
        <f>DO_avg_sched</f>
        <v>0.071107190834</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7.3 min; confirm by measuring kL_surf</v>
      </c>
      <c r="E134" s="53" t="s">
        <v>2257</v>
      </c>
      <c r="F134" s="21"/>
    </row>
    <row r="135" spans="1:6" ht="48" x14ac:dyDescent="0.2">
      <c r="A135" s="21" t="s">
        <v>2258</v>
      </c>
      <c r="B135" s="21" t="s">
        <v>908</v>
      </c>
      <c r="C135" s="21" t="s">
        <v>909</v>
      </c>
      <c r="D135" s="25">
        <f>DO_avg_l</f>
        <v>0.175470883498</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423.55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0.025595318383</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IF(ISNUMBER(DO_opt),MIN(DO_opt/M_O2,O2_ceil_org),target_DO_frac*O2_ceil_org)</f>
        <v>0.071159265207</v>
      </c>
      <c r="E179" s="74" t="s">
        <v>2271</v>
      </c>
    </row>
    <row r="180" spans="1:5" ht="48" x14ac:dyDescent="0.2">
      <c r="A180" t="s">
        <v>1616</v>
      </c>
      <c r="B180" s="19" t="s">
        <v>1617</v>
      </c>
      <c r="C180" s="20" t="s">
        <v>909</v>
      </c>
      <c r="D180" s="111">
        <f>O2_src_sched/(kLa_surf_used*3600*(V_charge/1000000))</f>
        <v>0.041338198902</v>
      </c>
      <c r="E180" s="51" t="s">
        <v>2272</v>
      </c>
    </row>
    <row r="181" spans="1:5" ht="24" x14ac:dyDescent="0.2">
      <c r="A181" t="s">
        <v>1618</v>
      </c>
      <c r="B181" s="19" t="s">
        <v>1619</v>
      </c>
      <c r="C181" s="20" t="s">
        <v>909</v>
      </c>
      <c r="D181" s="111">
        <f>O2_src_l/(kLa_surf_used*3600*(V_charge/1000000))</f>
        <v>0.117274721522</v>
      </c>
      <c r="E181" s="51" t="s">
        <v>2273</v>
      </c>
    </row>
    <row r="182" spans="1:5" ht="36" x14ac:dyDescent="0.2">
      <c r="A182" t="s">
        <v>1620</v>
      </c>
      <c r="B182" s="19" t="s">
        <v>1621</v>
      </c>
      <c r="C182" s="20" t="s">
        <v>909</v>
      </c>
      <c r="D182" s="111">
        <f>DO_target-DO_surf_excess</f>
        <v>0.029821066305</v>
      </c>
      <c r="E182" s="51" t="s">
        <v>1622</v>
      </c>
    </row>
    <row r="183" spans="1:5" ht="24" x14ac:dyDescent="0.2">
      <c r="A183" t="s">
        <v>1623</v>
      </c>
      <c r="B183" s="19" t="s">
        <v>1624</v>
      </c>
      <c r="C183" s="20" t="s">
        <v>1140</v>
      </c>
      <c r="D183" s="111">
        <f>IF(hs_O2_allow&gt;0,hs_O2_allow/(H_O2_T*P_dry),NA())</f>
        <v>0.029664563955</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0.001792721791</v>
      </c>
      <c r="E184" s="51" t="s">
        <v>2274</v>
      </c>
    </row>
    <row r="185" spans="1:5" ht="24" x14ac:dyDescent="0.2">
      <c r="A185" t="s">
        <v>1628</v>
      </c>
      <c r="B185" s="19" t="s">
        <v>1629</v>
      </c>
      <c r="C185" s="20" t="s">
        <v>873</v>
      </c>
      <c r="D185" s="111">
        <f>IF(ISNUMBER(duty_DO),IF(duty_DO&gt;0,spg_dur_eq_opt/(60*duty_DO),spg_int_carbon),NA())</f>
        <v>7.293500622657</v>
      </c>
      <c r="E185" s="51" t="s">
        <v>1630</v>
      </c>
    </row>
    <row r="186" spans="1:5" ht="48" x14ac:dyDescent="0.2">
      <c r="A186" t="s">
        <v>1631</v>
      </c>
      <c r="B186" s="19" t="s">
        <v>1632</v>
      </c>
      <c r="C186" s="20" t="s">
        <v>577</v>
      </c>
      <c r="D186" s="111">
        <f>O2_src_sched/(DO_target*3600*(V_charge/1000000))</f>
        <v>0.004438579539</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0.027367364576</v>
      </c>
      <c r="E187" s="51" t="s">
        <v>2276</v>
      </c>
    </row>
    <row r="188" spans="1:5" ht="36" x14ac:dyDescent="0.2">
      <c r="A188" t="s">
        <v>1635</v>
      </c>
      <c r="B188" s="19" t="s">
        <v>1636</v>
      </c>
      <c r="C188" s="20" t="s">
        <v>909</v>
      </c>
      <c r="D188" s="111">
        <f>IF(ISNUMBER(y_O2_actual),H_O2_T*y_O2_actual*P_dry,NA())</f>
        <v>0.027511747512</v>
      </c>
      <c r="E188" s="51" t="s">
        <v>2277</v>
      </c>
    </row>
    <row r="190" spans="1:5" x14ac:dyDescent="0.2">
      <c r="A190" s="6" t="s">
        <v>2278</v>
      </c>
    </row>
    <row r="191" spans="1:5" x14ac:dyDescent="0.2">
      <c r="A191" t="s">
        <v>1639</v>
      </c>
      <c r="B191" s="19" t="s">
        <v>1640</v>
      </c>
      <c r="C191" s="20" t="s">
        <v>387</v>
      </c>
      <c r="D191" s="111">
        <f>Biology!H_CO2_T</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0.993868548876</v>
      </c>
      <c r="E197" s="74" t="s">
        <v>1654</v>
      </c>
    </row>
    <row r="198" spans="1:5" ht="36" x14ac:dyDescent="0.2">
      <c r="A198" t="s">
        <v>1655</v>
      </c>
      <c r="B198" s="19" t="s">
        <v>1656</v>
      </c>
      <c r="C198" s="20" t="s">
        <v>909</v>
      </c>
      <c r="D198" s="111">
        <f>(pool_D_gap+pool_b*pool_e)/(1-pool_ret*pool_e)</f>
        <v>25.476094895404</v>
      </c>
      <c r="E198" s="74" t="s">
        <v>2284</v>
      </c>
    </row>
    <row r="199" spans="1:5" ht="24" x14ac:dyDescent="0.2">
      <c r="A199" t="s">
        <v>1657</v>
      </c>
      <c r="B199" s="19" t="s">
        <v>1658</v>
      </c>
      <c r="C199" s="20" t="s">
        <v>909</v>
      </c>
      <c r="D199" s="111">
        <f>pool_ret*C_cycle_start+pool_b</f>
        <v>25.714786542723</v>
      </c>
      <c r="E199" s="74" t="s">
        <v>2285</v>
      </c>
    </row>
    <row r="200" spans="1:5" ht="36" x14ac:dyDescent="0.2">
      <c r="A200" t="s">
        <v>1659</v>
      </c>
      <c r="B200" s="19" t="s">
        <v>1660</v>
      </c>
      <c r="C200" s="20" t="s">
        <v>909</v>
      </c>
      <c r="D200" s="111">
        <f>C_cycle_peak*pool_phi+pool_D_raw*pool_psi</f>
        <v>25.595318383194</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Biology!T_ref</f>
        <v>298.15</v>
      </c>
      <c r="E209" s="140" t="s">
        <v>1988</v>
      </c>
    </row>
    <row r="210" spans="1:5" x14ac:dyDescent="0.2">
      <c r="A210" s="21" t="s">
        <v>2288</v>
      </c>
      <c r="B210" s="21" t="s">
        <v>2122</v>
      </c>
      <c r="C210" s="21" t="s">
        <v>262</v>
      </c>
      <c r="D210" s="112">
        <f>Biology!T_zero_C</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0.423214741433</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Summary!pulse_res_set</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Summary!vent_model_sel</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Summary!O2_phase_sel</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1.705568716332e-05</v>
      </c>
      <c r="E309" s="51" t="s">
        <v>2349</v>
      </c>
    </row>
    <row r="310" spans="1:5" ht="36" x14ac:dyDescent="0.2">
      <c r="A310" s="18" t="s">
        <v>2350</v>
      </c>
      <c r="B310" s="19" t="s">
        <v>2351</v>
      </c>
      <c r="C310" s="20" t="s">
        <v>307</v>
      </c>
      <c r="D310" s="41">
        <f>O2_net_lag_mt</f>
        <v>4.838626296225e-05</v>
      </c>
      <c r="E310" s="51" t="s">
        <v>2352</v>
      </c>
    </row>
    <row r="311" spans="1:5" x14ac:dyDescent="0.2">
      <c r="A311" s="21" t="s">
        <v>351</v>
      </c>
      <c r="B311" s="21" t="s">
        <v>306</v>
      </c>
      <c r="C311" s="21" t="s">
        <v>307</v>
      </c>
      <c r="D311" s="112">
        <f>Electrochemistry!rH2_gen</f>
        <v>0.0001023341229799</v>
      </c>
      <c r="E311" s="140" t="s">
        <v>2353</v>
      </c>
    </row>
    <row r="312" spans="1:5" x14ac:dyDescent="0.2">
      <c r="A312" s="21" t="s">
        <v>2354</v>
      </c>
      <c r="B312" s="21" t="s">
        <v>365</v>
      </c>
      <c r="C312" s="21" t="s">
        <v>307</v>
      </c>
      <c r="D312" s="112">
        <f>Biology!H2_cons</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1.705568716332e-05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inlineStr">
        <is>
          <t xml:space="preserve">Headspace volumes per pulse (pulse in use, for sizing)</t>
        </is>
      </c>
      <c r="B320" s="19" t="s">
        <v>2378</v>
      </c>
      <c r="C320" s="20" t="s">
        <v>111</v>
      </c>
      <c r="D320" s="41">
        <f>nCO2_rate*spg_dur_eq/n_hs_gas</f>
        <v>1.011716701753</v>
      </c>
      <c r="E320" s="51" t="inlineStr">
        <is>
          <t xml:space="preserve">CO₂ delivered by the pulse actually commanded (D121, full-flow equivalent D410) in headspace volumes. The sawtooth factor must describe that pulse, so the interval sized here holds the DO target at the commanded pulse; it depends on the pulse only, never on the interval, so there is no loop.</t>
        </is>
      </c>
    </row>
    <row r="321" spans="1:5" ht="36" x14ac:dyDescent="0.2">
      <c r="A321" s="18" t="inlineStr">
        <is>
          <t xml:space="preserve">Headspace retained through the pulse in use (for sizing)</t>
        </is>
      </c>
      <c r="B321" s="19" t="s">
        <v>2381</v>
      </c>
      <c r="C321" s="20" t="s">
        <v>111</v>
      </c>
      <c r="D321" s="41">
        <f>EXP(-flush_vol_opt)</f>
        <v>0.363594260592</v>
      </c>
      <c r="E321" s="52" t="s">
        <v>2382</v>
      </c>
    </row>
    <row r="322" spans="1:5" ht="60" x14ac:dyDescent="0.2">
      <c r="A322" s="18" t="s">
        <v>2383</v>
      </c>
      <c r="B322" s="19" t="s">
        <v>2384</v>
      </c>
      <c r="C322" s="20" t="s">
        <v>111</v>
      </c>
      <c r="D322" s="41">
        <f>flush_vol_opt*(1+flush_ret_opt)/(2*(1-flush_ret_opt))</f>
        <v>1.083877000496</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0.117652777778</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2.463537624956e-05</v>
      </c>
      <c r="E327" s="51" t="s">
        <v>2400</v>
      </c>
    </row>
    <row r="328" spans="1:5" ht="24" x14ac:dyDescent="0.2">
      <c r="A328" s="18" t="s">
        <v>2401</v>
      </c>
      <c r="B328" s="19" t="s">
        <v>2402</v>
      </c>
      <c r="C328" s="20" t="s">
        <v>307</v>
      </c>
      <c r="D328" s="41">
        <f>CO2_supply+O2_src_g+H2_src_g-CO2_fix_g</f>
        <v>0.0008639935959385</v>
      </c>
      <c r="E328" s="51" t="s">
        <v>2403</v>
      </c>
    </row>
    <row r="329" spans="1:5" ht="36" x14ac:dyDescent="0.2">
      <c r="A329" s="18" t="s">
        <v>2404</v>
      </c>
      <c r="B329" s="19" t="s">
        <v>2405</v>
      </c>
      <c r="C329" s="20" t="s">
        <v>111</v>
      </c>
      <c r="D329" s="41">
        <f>IF(F_dil+F_hs_net_g&gt;0,S_O2_g/(F_dil+F_hs_net_g),NA())</f>
        <v>0.027367364576</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0.04230091701</v>
      </c>
      <c r="E332" s="51" t="s">
        <v>2415</v>
      </c>
    </row>
    <row r="333" spans="1:5" x14ac:dyDescent="0.2">
      <c r="A333" s="18" t="s">
        <v>2416</v>
      </c>
      <c r="B333" s="19" t="s">
        <v>2417</v>
      </c>
      <c r="C333" s="20" t="s">
        <v>111</v>
      </c>
      <c r="D333" s="41">
        <f>IF(x_hs_g&gt;0,(1-EXP(-x_hs_g))/x_hs_g,1)</f>
        <v>0.979144642091</v>
      </c>
      <c r="E333" s="51" t="s">
        <v>2418</v>
      </c>
    </row>
    <row r="334" spans="1:5" x14ac:dyDescent="0.2">
      <c r="A334" s="18" t="s">
        <v>2419</v>
      </c>
      <c r="B334" s="19" t="s">
        <v>2420</v>
      </c>
      <c r="C334" s="20" t="s">
        <v>111</v>
      </c>
      <c r="D334" s="41">
        <f>IF(x_hs_g&gt;0,(x_hs_g-1+EXP(-x_hs_g))/x_hs_g^2,1/2)</f>
        <v>0.493023777802</v>
      </c>
      <c r="E334" s="51" t="s">
        <v>2421</v>
      </c>
    </row>
    <row r="335" spans="1:5" x14ac:dyDescent="0.2">
      <c r="A335" s="18" t="s">
        <v>2422</v>
      </c>
      <c r="B335" s="19" t="s">
        <v>2423</v>
      </c>
      <c r="C335" s="20" t="s">
        <v>111</v>
      </c>
      <c r="D335" s="41">
        <f>S_O2_g*t_gap_h/n_hs_gas</f>
        <v>0.028803258198</v>
      </c>
      <c r="E335" s="51" t="s">
        <v>2424</v>
      </c>
    </row>
    <row r="336" spans="1:5" ht="24" x14ac:dyDescent="0.2">
      <c r="A336" s="18" t="s">
        <v>2425</v>
      </c>
      <c r="B336" s="19" t="s">
        <v>2426</v>
      </c>
      <c r="C336" s="20" t="s">
        <v>111</v>
      </c>
      <c r="D336" s="41">
        <f>dy_O2_g*phi_hs_g/(1-flush_ret*EXP(-x_hs_g))</f>
        <v>0.043290953345</v>
      </c>
      <c r="E336" s="52" t="s">
        <v>2427</v>
      </c>
    </row>
    <row r="337" spans="1:5" x14ac:dyDescent="0.2">
      <c r="A337" s="18" t="s">
        <v>2428</v>
      </c>
      <c r="B337" s="19" t="s">
        <v>2429</v>
      </c>
      <c r="C337" s="20" t="s">
        <v>111</v>
      </c>
      <c r="D337" s="41">
        <f>y_O2_end_g*flush_ret</f>
        <v>0.015740342172</v>
      </c>
      <c r="E337" s="52" t="s">
        <v>2430</v>
      </c>
    </row>
    <row r="338" spans="1:5" x14ac:dyDescent="0.2">
      <c r="A338" s="18" t="s">
        <v>2431</v>
      </c>
      <c r="B338" s="19" t="s">
        <v>2432</v>
      </c>
      <c r="C338" s="20" t="s">
        <v>111</v>
      </c>
      <c r="D338" s="41">
        <f>y_O2_post_g*phi_hs_g+dy_O2_g*psi_hs_g</f>
        <v>0.029612762872</v>
      </c>
      <c r="E338" s="52" t="s">
        <v>2433</v>
      </c>
    </row>
    <row r="339" spans="1:5" x14ac:dyDescent="0.2">
      <c r="A339" s="18" t="s">
        <v>2434</v>
      </c>
      <c r="B339" s="19" t="s">
        <v>2435</v>
      </c>
      <c r="C339" s="20" t="s">
        <v>406</v>
      </c>
      <c r="D339" s="41">
        <f>O2_src_g/(kLa_surf_used*3600*V_L_m3)</f>
        <v>0.041338198902</v>
      </c>
      <c r="E339" s="51" t="s">
        <v>2436</v>
      </c>
    </row>
    <row r="340" spans="1:5" ht="24" x14ac:dyDescent="0.2">
      <c r="A340" s="18" t="s">
        <v>2437</v>
      </c>
      <c r="B340" s="19" t="s">
        <v>2438</v>
      </c>
      <c r="C340" s="20" t="s">
        <v>406</v>
      </c>
      <c r="D340" s="41">
        <f>DO_surf_excess_g+H_O2_T*P_dry*y_O2_mf_g</f>
        <v>0.068849946414</v>
      </c>
      <c r="E340" s="51" t="s">
        <v>2439</v>
      </c>
    </row>
    <row r="341" spans="1:5" ht="24" x14ac:dyDescent="0.2">
      <c r="A341" s="18" t="s">
        <v>2440</v>
      </c>
      <c r="B341" s="19" t="s">
        <v>2441</v>
      </c>
      <c r="C341" s="20" t="s">
        <v>406</v>
      </c>
      <c r="D341" s="41">
        <f>DO_surf_excess_g+H_O2_T*P_dry*y_O2_avg_g</f>
        <v>0.071107190834</v>
      </c>
      <c r="E341" s="52" t="s">
        <v>2442</v>
      </c>
    </row>
    <row r="342" spans="1:5" ht="36" x14ac:dyDescent="0.2">
      <c r="A342" s="18" t="s">
        <v>2443</v>
      </c>
      <c r="B342" s="19" t="s">
        <v>2444</v>
      </c>
      <c r="C342" s="20" t="s">
        <v>406</v>
      </c>
      <c r="D342" s="41">
        <f>DO_surf_excess_g+H_O2_T*P_dry*z_peak_g</f>
        <v>0.07751644174</v>
      </c>
      <c r="E342" s="52" t="inlineStr">
        <is>
          <t xml:space="preserve">Liquid DO just before a pulse: the surface excess plus equilibrium with the liquid’s own peak (D566, exact for a first-order liquid following the headspace sawtooth).</t>
        </is>
      </c>
    </row>
    <row r="343" spans="1:5" x14ac:dyDescent="0.2">
      <c r="A343" s="18" t="s">
        <v>2446</v>
      </c>
      <c r="B343" s="19" t="s">
        <v>2447</v>
      </c>
      <c r="C343" s="20" t="s">
        <v>83</v>
      </c>
      <c r="D343" s="41">
        <f>DO_avg_g*M_O2</f>
        <v>2.275287892306</v>
      </c>
      <c r="E343" s="52" t="s">
        <v>2448</v>
      </c>
    </row>
    <row r="344" spans="1:5" x14ac:dyDescent="0.2">
      <c r="A344" s="18" t="s">
        <v>2449</v>
      </c>
      <c r="B344" s="19" t="s">
        <v>2450</v>
      </c>
      <c r="C344" s="20" t="s">
        <v>83</v>
      </c>
      <c r="D344" s="41">
        <f>DO_peak_g*M_O2</f>
        <v>2.480371102791</v>
      </c>
      <c r="E344" s="52" t="s">
        <v>2448</v>
      </c>
    </row>
    <row r="345" spans="1:5" x14ac:dyDescent="0.2">
      <c r="A345" s="18" t="s">
        <v>2451</v>
      </c>
      <c r="B345" s="19" t="s">
        <v>2452</v>
      </c>
      <c r="C345" s="20" t="s">
        <v>577</v>
      </c>
      <c r="D345" s="41">
        <f>O2_src_g/(DO_target*3600*V_L_m3)</f>
        <v>0.004438579539</v>
      </c>
      <c r="E345" s="51" t="s">
        <v>2453</v>
      </c>
    </row>
    <row r="346" spans="1:5" x14ac:dyDescent="0.2">
      <c r="A346" s="18" t="s">
        <v>2454</v>
      </c>
      <c r="B346" s="19" t="s">
        <v>2455</v>
      </c>
      <c r="C346" s="20" t="s">
        <v>87</v>
      </c>
      <c r="D346" s="111">
        <f>IF(kLa_surf_req_g&gt;0,kLa_surf_used/kLa_surf_req_g,"no positive source")</f>
        <v>1.721392491615</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1.72×</v>
      </c>
      <c r="E347" s="51" t="s">
        <v>2458</v>
      </c>
    </row>
    <row r="348" spans="1:5" ht="24" x14ac:dyDescent="0.2">
      <c r="A348" s="21" t="s">
        <v>2459</v>
      </c>
      <c r="B348" s="19" t="s">
        <v>2460</v>
      </c>
      <c r="C348" s="20" t="s">
        <v>111</v>
      </c>
      <c r="D348" s="25" t="str">
        <f>IF(DO_peak_g&lt;=O2_ceil_org,"peak "&amp;TEXT(DO_peak_g_mgL,"0.0")&amp;" mg/L under the "&amp;TEXT(O2_ceil_org*M_O2,"0.0")&amp;" mg/L ceiling","PEAK "&amp;TEXT(DO_peak_g_mgL,"0.0")&amp;" mg/L OVER THE "&amp;TEXT(O2_ceil_org*M_O2,"0.0")&amp;" mg/L INHIBITION CEILING")</f>
        <v>peak 2.5 mg/L under the 10.1 mg/L ceiling</v>
      </c>
      <c r="E348" s="51" t="inlineStr">
        <is>
          <t xml:space="preserve">The sawtooth peak against the growth-inhibition ceiling (D565: the organism’s toxic DO when known, else the generic Biology D27 ceiling). Not a tautology: the peak is not what the schedule is sized on.</t>
        </is>
      </c>
    </row>
    <row r="349" spans="1:5" ht="24" x14ac:dyDescent="0.2">
      <c r="A349" s="18" t="s">
        <v>2462</v>
      </c>
      <c r="B349" s="19" t="s">
        <v>2463</v>
      </c>
      <c r="C349" s="20" t="s">
        <v>307</v>
      </c>
      <c r="D349" s="41">
        <f>O2_src_l+y_O2_air*F_vent_ex</f>
        <v>5.596595204849e-05</v>
      </c>
      <c r="E349" s="51" t="s">
        <v>2400</v>
      </c>
    </row>
    <row r="350" spans="1:5" ht="24" x14ac:dyDescent="0.2">
      <c r="A350" s="18" t="s">
        <v>2464</v>
      </c>
      <c r="B350" s="19" t="s">
        <v>2465</v>
      </c>
      <c r="C350" s="20" t="s">
        <v>307</v>
      </c>
      <c r="D350" s="41">
        <f>CO2_supply+O2_src_l+H2_src_l-CO2_fix_l</f>
        <v>0.001009152385</v>
      </c>
      <c r="E350" s="51" t="s">
        <v>2403</v>
      </c>
    </row>
    <row r="351" spans="1:5" ht="36" x14ac:dyDescent="0.2">
      <c r="A351" s="18" t="s">
        <v>2466</v>
      </c>
      <c r="B351" s="19" t="s">
        <v>2467</v>
      </c>
      <c r="C351" s="20" t="s">
        <v>111</v>
      </c>
      <c r="D351" s="41">
        <f>IF(F_dil+F_hs_net_l&gt;0,S_O2_l/(F_dil+F_hs_net_l),NA())</f>
        <v>0.053538910882</v>
      </c>
      <c r="E351" s="51" t="s">
        <v>2406</v>
      </c>
    </row>
    <row r="352" spans="1:5" x14ac:dyDescent="0.2">
      <c r="A352" s="18" t="s">
        <v>2468</v>
      </c>
      <c r="B352" s="19" t="s">
        <v>2469</v>
      </c>
      <c r="C352" s="20" t="s">
        <v>111</v>
      </c>
      <c r="D352" s="41">
        <f>IF(F_dil+F_hs_net_l&gt;0,H2_src_l/(F_dil+F_hs_net_l),NA())</f>
        <v>0.09257585106</v>
      </c>
      <c r="E352" s="51" t="s">
        <v>2409</v>
      </c>
    </row>
    <row r="353" spans="1:5" ht="36" x14ac:dyDescent="0.2">
      <c r="A353" s="18" t="s">
        <v>2470</v>
      </c>
      <c r="B353" s="19" t="s">
        <v>2471</v>
      </c>
      <c r="C353" s="20" t="s">
        <v>307</v>
      </c>
      <c r="D353" s="41">
        <f>F_dil+MAX(0,O2_src_l+H2_src_l-CO2_fix_l)</f>
        <v>0.0001813386890597</v>
      </c>
      <c r="E353" s="51" t="s">
        <v>2412</v>
      </c>
    </row>
    <row r="354" spans="1:5" x14ac:dyDescent="0.2">
      <c r="A354" s="18" t="s">
        <v>2472</v>
      </c>
      <c r="B354" s="19" t="s">
        <v>2473</v>
      </c>
      <c r="C354" s="20" t="s">
        <v>111</v>
      </c>
      <c r="D354" s="41">
        <f>F_gap_l*t_gap_h/n_hs_gas</f>
        <v>0.212018076334</v>
      </c>
      <c r="E354" s="51" t="s">
        <v>2415</v>
      </c>
    </row>
    <row r="355" spans="1:5" x14ac:dyDescent="0.2">
      <c r="A355" s="18" t="s">
        <v>2474</v>
      </c>
      <c r="B355" s="19" t="s">
        <v>2475</v>
      </c>
      <c r="C355" s="20" t="s">
        <v>111</v>
      </c>
      <c r="D355" s="41">
        <f>IF(x_hs_l&gt;0,(1-EXP(-x_hs_l))/x_hs_l,1)</f>
        <v>0.901102060357</v>
      </c>
      <c r="E355" s="51" t="s">
        <v>2418</v>
      </c>
    </row>
    <row r="356" spans="1:5" x14ac:dyDescent="0.2">
      <c r="A356" s="18" t="s">
        <v>2476</v>
      </c>
      <c r="B356" s="19" t="s">
        <v>2477</v>
      </c>
      <c r="C356" s="20" t="s">
        <v>111</v>
      </c>
      <c r="D356" s="41">
        <f>IF(x_hs_l&gt;0,(x_hs_l-1+EXP(-x_hs_l))/x_hs_l^2,1/2)</f>
        <v>0.466459942253</v>
      </c>
      <c r="E356" s="51" t="s">
        <v>2421</v>
      </c>
    </row>
    <row r="357" spans="1:5" x14ac:dyDescent="0.2">
      <c r="A357" s="18" t="s">
        <v>2478</v>
      </c>
      <c r="B357" s="19" t="s">
        <v>2479</v>
      </c>
      <c r="C357" s="20" t="s">
        <v>111</v>
      </c>
      <c r="D357" s="41">
        <f>S_O2_l*t_gap_h/n_hs_gas</f>
        <v>0.065434428555</v>
      </c>
      <c r="E357" s="51" t="s">
        <v>2424</v>
      </c>
    </row>
    <row r="358" spans="1:5" ht="24" x14ac:dyDescent="0.2">
      <c r="A358" s="18" t="s">
        <v>2480</v>
      </c>
      <c r="B358" s="19" t="s">
        <v>2481</v>
      </c>
      <c r="C358" s="20" t="s">
        <v>111</v>
      </c>
      <c r="D358" s="41">
        <f>dy_O2_l*phi_hs_l/(1-flush_ret*EXP(-x_hs_l))</f>
        <v>0.083532471034</v>
      </c>
      <c r="E358" s="52" t="s">
        <v>2427</v>
      </c>
    </row>
    <row r="359" spans="1:5" x14ac:dyDescent="0.2">
      <c r="A359" s="18" t="s">
        <v>2482</v>
      </c>
      <c r="B359" s="19" t="s">
        <v>2483</v>
      </c>
      <c r="C359" s="20" t="s">
        <v>111</v>
      </c>
      <c r="D359" s="41">
        <f>y_O2_end_l*flush_ret</f>
        <v>0.030371927041</v>
      </c>
      <c r="E359" s="52" t="s">
        <v>2430</v>
      </c>
    </row>
    <row r="360" spans="1:5" x14ac:dyDescent="0.2">
      <c r="A360" s="18" t="s">
        <v>2484</v>
      </c>
      <c r="B360" s="19" t="s">
        <v>2485</v>
      </c>
      <c r="C360" s="20" t="s">
        <v>111</v>
      </c>
      <c r="D360" s="41">
        <f>y_O2_post_l*phi_hs_l+dy_O2_l*psi_hs_l</f>
        <v>0.057890745799</v>
      </c>
      <c r="E360" s="52" t="s">
        <v>2433</v>
      </c>
    </row>
    <row r="361" spans="1:5" ht="24" x14ac:dyDescent="0.2">
      <c r="A361" s="18" t="s">
        <v>2486</v>
      </c>
      <c r="B361" s="19" t="s">
        <v>2487</v>
      </c>
      <c r="C361" s="20" t="s">
        <v>406</v>
      </c>
      <c r="D361" s="41">
        <f>DO_surf_excess_lag+H_O2_T*P_dry*y_O2_mf_l</f>
        <v>0.171096089458</v>
      </c>
      <c r="E361" s="51" t="s">
        <v>2439</v>
      </c>
    </row>
    <row r="362" spans="1:5" ht="24" x14ac:dyDescent="0.2">
      <c r="A362" s="18" t="s">
        <v>2488</v>
      </c>
      <c r="B362" s="19" t="s">
        <v>2489</v>
      </c>
      <c r="C362" s="20" t="s">
        <v>406</v>
      </c>
      <c r="D362" s="41">
        <f>DO_surf_excess_lag+H_O2_T*P_dry*y_O2_avg_l</f>
        <v>0.175470883498</v>
      </c>
      <c r="E362" s="52" t="s">
        <v>2442</v>
      </c>
    </row>
    <row r="363" spans="1:5" ht="36" x14ac:dyDescent="0.2">
      <c r="A363" s="18" t="s">
        <v>2490</v>
      </c>
      <c r="B363" s="19" t="s">
        <v>2491</v>
      </c>
      <c r="C363" s="20" t="s">
        <v>406</v>
      </c>
      <c r="D363" s="41">
        <f>DO_surf_excess_lag+H_O2_T*P_dry*z_peak_l</f>
        <v>0.187723903393</v>
      </c>
      <c r="E363" s="52" t="inlineStr">
        <is>
          <t xml:space="preserve">As D342 on the lag phase (D567).</t>
        </is>
      </c>
    </row>
    <row r="364" spans="1:5" x14ac:dyDescent="0.2">
      <c r="A364" s="18" t="s">
        <v>2492</v>
      </c>
      <c r="B364" s="19" t="s">
        <v>2493</v>
      </c>
      <c r="C364" s="20" t="s">
        <v>83</v>
      </c>
      <c r="D364" s="41">
        <f>DO_avg_l*M_O2</f>
        <v>5.614717330178</v>
      </c>
      <c r="E364" s="52" t="s">
        <v>2448</v>
      </c>
    </row>
    <row r="365" spans="1:5" x14ac:dyDescent="0.2">
      <c r="A365" s="18" t="s">
        <v>2494</v>
      </c>
      <c r="B365" s="19" t="s">
        <v>2495</v>
      </c>
      <c r="C365" s="20" t="s">
        <v>83</v>
      </c>
      <c r="D365" s="41">
        <f>DO_peak_l*M_O2</f>
        <v>6.006789460768</v>
      </c>
      <c r="E365" s="52" t="s">
        <v>2448</v>
      </c>
    </row>
    <row r="366" spans="1:5" x14ac:dyDescent="0.2">
      <c r="A366" s="18" t="s">
        <v>2496</v>
      </c>
      <c r="B366" s="19" t="s">
        <v>2497</v>
      </c>
      <c r="C366" s="20" t="s">
        <v>577</v>
      </c>
      <c r="D366" s="41">
        <f>O2_src_l/(DO_target*3600*V_L_m3)</f>
        <v>0.012592062384</v>
      </c>
      <c r="E366" s="51" t="s">
        <v>2453</v>
      </c>
    </row>
    <row r="367" spans="1:5" x14ac:dyDescent="0.2">
      <c r="A367" s="18" t="s">
        <v>2498</v>
      </c>
      <c r="B367" s="19" t="s">
        <v>2499</v>
      </c>
      <c r="C367" s="20" t="s">
        <v>87</v>
      </c>
      <c r="D367" s="41">
        <f>kLa_surf_used/kLa_surf_req_l</f>
        <v>0.606774113661</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IF(DO_peak_l&lt;=O2_ceil_org,"peak "&amp;TEXT(DO_peak_l_mgL,"0.0")&amp;" mg/L under the "&amp;TEXT(O2_ceil_org*M_O2,"0.0")&amp;" mg/L ceiling","PEAK "&amp;TEXT(DO_peak_l_mgL,"0.0")&amp;" mg/L OVER THE "&amp;TEXT(O2_ceil_org*M_O2,"0.0")&amp;" mg/L INHIBITION CEILING")</f>
        <v>peak 6.0 mg/L under the 10.1 mg/L ceiling</v>
      </c>
      <c r="E369" s="51" t="inlineStr">
        <is>
          <t xml:space="preserve">The sawtooth peak against the growth-inhibition ceiling (D565: the organism’s toxic DO when known, else the generic Biology D27 ceiling). Not a tautology: the peak is not what the schedule is sized on.</t>
        </is>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0.071107190834</v>
      </c>
      <c r="E372" s="52" t="s">
        <v>2508</v>
      </c>
    </row>
    <row r="373" spans="1:5" x14ac:dyDescent="0.2">
      <c r="A373" s="18" t="s">
        <v>2509</v>
      </c>
      <c r="B373" s="19" t="s">
        <v>2510</v>
      </c>
      <c r="C373" s="20" t="s">
        <v>406</v>
      </c>
      <c r="D373" s="41">
        <f>IF(O2_sizing_phase=phase_name_1,DO_peak_g,IF(O2_sizing_phase=phase_name_2,DO_peak_l,NA()))</f>
        <v>0.07751644174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OPTIMUM"),IF(DO_peak_sched&lt;=O2_ceil_org,"organism band unknown – peak "&amp;TEXT(DO_peak_sched*M_O2,"0.0")&amp;" mg/L is under the inhibition ceiling","organism band unknown – PEAK "&amp;TEXT(DO_peak_sched*M_O2,"0.0")&amp;" mg/L OVER THE INHIBITION CEILING"))</f>
        <v>organism band unknown – peak 2.5 mg/L is under the inhibition ceiling</v>
      </c>
      <c r="E374" s="51" t="s">
        <v>2514</v>
      </c>
    </row>
    <row r="375" spans="1:5" ht="36" x14ac:dyDescent="0.2">
      <c r="A375" s="18" t="s">
        <v>2515</v>
      </c>
      <c r="B375" s="19" t="s">
        <v>2516</v>
      </c>
      <c r="C375" s="20" t="s">
        <v>406</v>
      </c>
      <c r="D375" s="41">
        <f>(C_air_CO2/C_sat_CO2*F_vent_ex-CO2_fix_sched)*t_gap_h/(V_L_CO2+Vg_CO2)</f>
        <v>-0.081272103837</v>
      </c>
      <c r="E375" s="51" t="s">
        <v>2517</v>
      </c>
    </row>
    <row r="376" spans="1:5" x14ac:dyDescent="0.2">
      <c r="A376" s="18" t="s">
        <v>2518</v>
      </c>
      <c r="B376" s="19" t="s">
        <v>2519</v>
      </c>
      <c r="C376" s="20" t="s">
        <v>111</v>
      </c>
      <c r="D376" s="41">
        <f>k_eff_CO2*t_off_CO2</f>
        <v>0.006150325662</v>
      </c>
      <c r="E376" s="51" t="s">
        <v>2520</v>
      </c>
    </row>
    <row r="377" spans="1:5" ht="24" x14ac:dyDescent="0.2">
      <c r="A377" s="18" t="s">
        <v>2521</v>
      </c>
      <c r="B377" s="19" t="s">
        <v>2522</v>
      </c>
      <c r="C377" s="20" t="s">
        <v>111</v>
      </c>
      <c r="D377" s="41">
        <f>IF(pool_x&gt;0,(1-EXP(-pool_x))/pool_x,1)</f>
        <v>0.996931131905</v>
      </c>
      <c r="E377" s="51" t="s">
        <v>2523</v>
      </c>
    </row>
    <row r="378" spans="1:5" x14ac:dyDescent="0.2">
      <c r="A378" s="18" t="s">
        <v>2524</v>
      </c>
      <c r="B378" s="19" t="s">
        <v>2525</v>
      </c>
      <c r="C378" s="20" t="s">
        <v>111</v>
      </c>
      <c r="D378" s="41">
        <f>IF(pool_x&gt;0,(pool_x-1+EXP(-pool_x))/pool_x^2,1/2)</f>
        <v>0.498976519889</v>
      </c>
      <c r="E378" s="51" t="s">
        <v>2526</v>
      </c>
    </row>
    <row r="379" spans="1:5" x14ac:dyDescent="0.2">
      <c r="A379" s="18" t="s">
        <v>2527</v>
      </c>
      <c r="B379" s="19" t="s">
        <v>2528</v>
      </c>
      <c r="C379" s="20" t="s">
        <v>406</v>
      </c>
      <c r="D379" s="41">
        <f>pool_D_raw*pool_phi</f>
        <v>-0.081022690471</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0.940877306879</v>
      </c>
      <c r="E381" s="51" t="s">
        <v>2535</v>
      </c>
    </row>
    <row r="382" spans="1:5" x14ac:dyDescent="0.2">
      <c r="A382" s="18" t="s">
        <v>2536</v>
      </c>
      <c r="B382" s="19" t="s">
        <v>2537</v>
      </c>
      <c r="C382" s="20" t="s">
        <v>406</v>
      </c>
      <c r="D382" s="41">
        <f>y_CO2_mf*C_sat_CO2</f>
        <v>26.396980267336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Electrochemistry!r_H2_HOR</f>
        <v>0.0</v>
      </c>
      <c r="E387" s="140" t="s">
        <v>2550</v>
      </c>
    </row>
    <row r="388" spans="1:5" ht="36" x14ac:dyDescent="0.2">
      <c r="A388" s="18" t="s">
        <v>2551</v>
      </c>
      <c r="B388" s="19" t="s">
        <v>2552</v>
      </c>
      <c r="C388" s="20" t="s">
        <v>111</v>
      </c>
      <c r="D388" s="41">
        <f>H2_src_l*t_gap_h/n_hs_gas*phi_hs_l/(1-flush_ret*EXP(-x_hs_l))</f>
        <v>0.14443867964</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0.05000728325</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Summary!override_spg_dur_s</f>
        <v>0.0</v>
      </c>
      <c r="E392" s="140" t="s">
        <v>2564</v>
      </c>
    </row>
    <row r="393" spans="1:5" x14ac:dyDescent="0.2">
      <c r="A393" s="21" t="s">
        <v>2565</v>
      </c>
      <c r="B393" s="21" t="s">
        <v>2566</v>
      </c>
      <c r="C393" s="21" t="s">
        <v>61</v>
      </c>
      <c r="D393" s="112">
        <f>Summary!override_spg_int_min</f>
        <v>0.0</v>
      </c>
      <c r="E393" s="140" t="s">
        <v>2567</v>
      </c>
    </row>
    <row r="394" spans="1:5" x14ac:dyDescent="0.2">
      <c r="A394" s="21" t="s">
        <v>2568</v>
      </c>
      <c r="B394" s="21" t="s">
        <v>2569</v>
      </c>
      <c r="C394" s="21" t="s">
        <v>307</v>
      </c>
      <c r="D394" s="112">
        <f>Electrochemistry!O2_net_lag</f>
        <v>4.838626296225e-05</v>
      </c>
      <c r="E394" s="140" t="s">
        <v>2570</v>
      </c>
    </row>
    <row r="395" spans="1:5" x14ac:dyDescent="0.2">
      <c r="A395" s="21" t="s">
        <v>2571</v>
      </c>
      <c r="B395" s="21" t="s">
        <v>2572</v>
      </c>
      <c r="C395" s="21" t="s">
        <v>307</v>
      </c>
      <c r="D395" s="112">
        <f>Electrochemistry!rH2_lag</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Chemistry!DIC_cap</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2.503892293977</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7.07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Summary!N2_sweep_set</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0.344043413938</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Chemistry!CO2_pH_hi*1000</f>
        <v>0.966554763206</v>
      </c>
      <c r="E429" s="140" t="inlineStr">
        <is>
          <t xml:space="preserve">Import from Chemistry!D324 (CO2_pH_hi, mol/L → mol/m³).</t>
        </is>
      </c>
    </row>
    <row r="430">
      <c r="A430" s="18" t="inlineStr">
        <is>
          <t xml:space="preserve">Shortest trial interval in the grid (shortest executable)</t>
        </is>
      </c>
      <c r="B430" s="19" t="inlineStr">
        <is>
          <t xml:space="preserve">grid_t_min</t>
        </is>
      </c>
      <c r="C430" s="20" t="inlineStr">
        <is>
          <t xml:space="preserve">min</t>
        </is>
      </c>
      <c r="D430" s="41">
        <f>FLOOR(spg_dur/60,interval_res)+interval_res</f>
        <v>0.02</v>
      </c>
      <c r="E430" s="51" t="inlineStr">
        <is>
          <t xml:space="preserve">The first whole command step above the pulse: the shortest executable interval for the pulse in use, so a ceiling that cannot be held even here is genuinely unreachable.</t>
        </is>
      </c>
    </row>
    <row r="431">
      <c r="A431" s="18" t="inlineStr">
        <is>
          <t xml:space="preserve">Grid step ratio</t>
        </is>
      </c>
      <c r="B431" s="19" t="inlineStr">
        <is>
          <t xml:space="preserve">grid_ratio</t>
        </is>
      </c>
      <c r="C431" s="20" t="inlineStr">
        <is>
          <t xml:space="preserve">-</t>
        </is>
      </c>
      <c r="D431" s="41">
        <f>(grid_t_max/grid_t_min)^(1/99)</f>
        <v>1.120064526836</v>
      </c>
      <c r="E431" s="51" t="inlineStr">
        <is>
          <t xml:space="preserve">Geometric step that spans grid_t_min to grid_t_max (D436) in the 100 grid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212.486056390007</v>
      </c>
      <c r="E432" s="51" t="inlineStr">
        <is>
          <t xml:space="preserve">Longest interval, for the pulse in use, keeping the cycle-mean dissolved CO₂ (the limit cycle of D198–D200 with the bounds of D162) at or above D429, so pH stays at or under the band ceiling. Searched from the shortest executable interval (D430) to D436; "no pH bound" = not reached by D436.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219.190137944744</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6">
      <c r="A436" s="18" t="inlineStr">
        <is>
          <t xml:space="preserve">Longest trial interval in the grid</t>
        </is>
      </c>
      <c r="B436" s="19" t="inlineStr">
        <is>
          <t xml:space="preserve">grid_t_max</t>
        </is>
      </c>
      <c r="C436" s="20" t="inlineStr">
        <is>
          <t xml:space="preserve">min</t>
        </is>
      </c>
      <c r="D436" s="106">
        <v>1500</v>
      </c>
      <c r="E436" s="102" t="inlineStr">
        <is>
          <t xml:space="preserve">Defined: 25 h, far beyond any carbon-limited interval; a ceiling not reached by here is reported as "no pH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0.02</v>
      </c>
      <c r="B440" s="41">
        <f>MAX(0,A440*60-spg_dur)</f>
        <v>0.55</v>
      </c>
      <c r="C440" s="41">
        <f>k_eff_CO2*B440</f>
        <v>7.986493009448e-06</v>
      </c>
      <c r="D440" s="41">
        <f>EXP(-C440)</f>
        <v>0.999992013539</v>
      </c>
      <c r="E440" s="41">
        <f>IF(C440&gt;0,(1-D440)/C440,1)</f>
        <v>0.99999600677</v>
      </c>
      <c r="F440" s="41">
        <f>IF(C440&gt;0,(C440-1+D440)/C440^2,1/2)</f>
        <v>0.499998404672</v>
      </c>
      <c r="G440" s="41">
        <f>(C_air_CO2/C_sat_CO2*F_vent_ex-CO2_fix_sched)*(B440/3600)/(V_L_CO2+Vg_CO2)</f>
        <v>-0.0001055357268577</v>
      </c>
      <c r="H440" s="41">
        <f>(G440*E440+pool_b*D440)/(1-pool_ret*D440)</f>
        <v>28.052147539797</v>
      </c>
      <c r="I440" s="41">
        <f>MIN(C_sat_CO2,MAX(C_air_CO2,(pool_ret*H440+pool_b)*E440+G440*F440))</f>
        <v>28.052312327445</v>
      </c>
      <c r="J440" s="41">
        <f>IF(AND(I440&gt;=CO2_pH_hi_mt,I441&lt;CO2_pH_hi_mt),EXP(LN(A440)+(LN(A441)-LN(A440))*(I440-CO2_pH_hi_mt)/(I440-I441)),0)</f>
        <v>0.0</v>
      </c>
      <c r="L440" s="41">
        <f>k_eff_CO2_l*B440</f>
        <v>4.002941317124e-05</v>
      </c>
      <c r="M440" s="41">
        <f>EXP(-L440)</f>
        <v>0.999959971388</v>
      </c>
      <c r="N440" s="41">
        <f>IF(L440&gt;0,(1-M440)/L440,1)</f>
        <v>0.999979985559</v>
      </c>
      <c r="O440" s="41">
        <f>IF(L440&gt;0,(L440-1+M440)/L440^2,1/2)</f>
        <v>0.499993382275</v>
      </c>
      <c r="P440" s="41">
        <f>(C_air_CO2/C_sat_CO2*F_vent_ex-CO2_fix_l)*(B440/3600)/(V_L_CO2+Vg_CO2)</f>
        <v>9.231456803077e-08</v>
      </c>
      <c r="Q440" s="41">
        <f>(P440*N440+pool_b*M440)/(1-pool_ret*M440)</f>
        <v>28.043578177755</v>
      </c>
      <c r="R440" s="41">
        <f>MIN(C_sat_CO2,MAX(C_air_CO2,(pool_ret*Q440+pool_b)*N440+P440*O440))</f>
        <v>28.044139423039</v>
      </c>
      <c r="S440" s="41">
        <f>IF(AND(R440&gt;=CO2_pH_hi_mt,R441&lt;CO2_pH_hi_mt),EXP(LN(A440)+(LN(A441)-LN(A440))*(R440-CO2_pH_hi_mt)/(R440-R441)),0)</f>
        <v>0.0</v>
      </c>
    </row>
    <row r="441">
      <c r="A441" s="41">
        <f>A440*grid_ratio</f>
        <v>0.022401290537</v>
      </c>
      <c r="B441" s="41">
        <f>MAX(0,A441*60-spg_dur)</f>
        <v>0.694077432204</v>
      </c>
      <c r="C441" s="41">
        <f>k_eff_CO2*B441</f>
        <v>1.007862647329e-05</v>
      </c>
      <c r="D441" s="41">
        <f>EXP(-C441)</f>
        <v>0.999989921424</v>
      </c>
      <c r="E441" s="41">
        <f>IF(C441&gt;0,(1-D441)/C441,1)</f>
        <v>0.999994960707</v>
      </c>
      <c r="F441" s="41">
        <f>IF(C441&gt;0,(C441-1+D441)/C441^2,1/2)</f>
        <v>0.49999798057</v>
      </c>
      <c r="G441" s="41">
        <f>(C_air_CO2/C_sat_CO2*F_vent_ex-CO2_fix_sched)*(B441/3600)/(V_L_CO2+Vg_CO2)</f>
        <v>-0.0001331817569148</v>
      </c>
      <c r="H441" s="41">
        <f>(G441*E441+pool_b*D441)/(1-pool_ret*D441)</f>
        <v>28.051214585379</v>
      </c>
      <c r="I441" s="41">
        <f>MIN(C_sat_CO2,MAX(C_air_CO2,(pool_ret*H441+pool_b)*E441+G441*F441))</f>
        <v>28.051422535946</v>
      </c>
      <c r="J441" s="41">
        <f>IF(AND(I441&gt;=CO2_pH_hi_mt,I442&lt;CO2_pH_hi_mt),EXP(LN(A441)+(LN(A442)-LN(A441))*(I441-CO2_pH_hi_mt)/(I441-I442)),0)</f>
        <v>0.0</v>
      </c>
      <c r="L441" s="41">
        <f>k_eff_CO2_l*B441</f>
        <v>5.051547692092e-05</v>
      </c>
      <c r="M441" s="41">
        <f>EXP(-L441)</f>
        <v>0.999949485799</v>
      </c>
      <c r="N441" s="41">
        <f>IF(L441&gt;0,(1-M441)/L441,1)</f>
        <v>0.999974742688</v>
      </c>
      <c r="O441" s="41">
        <f>IF(L441&gt;0,(L441-1+M441)/L441^2,1/2)</f>
        <v>0.49999156326</v>
      </c>
      <c r="P441" s="41">
        <f>(C_air_CO2/C_sat_CO2*F_vent_ex-CO2_fix_l)*(B441/3600)/(V_L_CO2+Vg_CO2)</f>
        <v>1.164971969705e-07</v>
      </c>
      <c r="Q441" s="41">
        <f>(P441*N441+pool_b*M441)/(1-pool_ret*M441)</f>
        <v>28.040401958976</v>
      </c>
      <c r="R441" s="41">
        <f>MIN(C_sat_CO2,MAX(C_air_CO2,(pool_ret*Q441+pool_b)*N441+P441*O441))</f>
        <v>28.041110149814</v>
      </c>
      <c r="S441" s="41">
        <f>IF(AND(R441&gt;=CO2_pH_hi_mt,R442&lt;CO2_pH_hi_mt),EXP(LN(A441)+(LN(A442)-LN(A441))*(R441-CO2_pH_hi_mt)/(R441-R442)),0)</f>
        <v>0.0</v>
      </c>
    </row>
    <row r="442">
      <c r="A442" s="41">
        <f>A441*grid_ratio</f>
        <v>0.025090890886</v>
      </c>
      <c r="B442" s="41">
        <f>MAX(0,A442*60-spg_dur)</f>
        <v>0.855453453132</v>
      </c>
      <c r="C442" s="41">
        <f>k_eff_CO2*B442</f>
        <v>1.242195095155e-05</v>
      </c>
      <c r="D442" s="41">
        <f>EXP(-C442)</f>
        <v>0.999987578126</v>
      </c>
      <c r="E442" s="41">
        <f>IF(C442&gt;0,(1-D442)/C442,1)</f>
        <v>0.999993789053</v>
      </c>
      <c r="F442" s="41">
        <f>IF(C442&gt;0,(C442-1+D442)/C442^2,1/2)</f>
        <v>0.499997600822</v>
      </c>
      <c r="G442" s="41">
        <f>(C_air_CO2/C_sat_CO2*F_vent_ex-CO2_fix_sched)*(B442/3600)/(V_L_CO2+Vg_CO2)</f>
        <v>-0.0001641470944896</v>
      </c>
      <c r="H442" s="41">
        <f>(G442*E442+pool_b*D442)/(1-pool_ret*D442)</f>
        <v>28.050169663999</v>
      </c>
      <c r="I442" s="41">
        <f>MIN(C_sat_CO2,MAX(C_air_CO2,(pool_ret*H442+pool_b)*E442+G442*F442))</f>
        <v>28.050425957643</v>
      </c>
      <c r="J442" s="41">
        <f>IF(AND(I442&gt;=CO2_pH_hi_mt,I443&lt;CO2_pH_hi_mt),EXP(LN(A442)+(LN(A443)-LN(A442))*(I442-CO2_pH_hi_mt)/(I442-I443)),0)</f>
        <v>0.0</v>
      </c>
      <c r="L442" s="41">
        <f>k_eff_CO2_l*B442</f>
        <v>6.226054495309e-05</v>
      </c>
      <c r="M442" s="41">
        <f>EXP(-L442)</f>
        <v>0.999937741393</v>
      </c>
      <c r="N442" s="41">
        <f>IF(L442&gt;0,(1-M442)/L442,1)</f>
        <v>0.999968870373</v>
      </c>
      <c r="O442" s="41">
        <f>IF(L442&gt;0,(L442-1+M442)/L442^2,1/2)</f>
        <v>0.499989630114</v>
      </c>
      <c r="P442" s="41">
        <f>(C_air_CO2/C_sat_CO2*F_vent_ex-CO2_fix_l)*(B442/3600)/(V_L_CO2+Vg_CO2)</f>
        <v>1.435833018116e-07</v>
      </c>
      <c r="Q442" s="41">
        <f>(P442*N442+pool_b*M442)/(1-pool_ret*M442)</f>
        <v>28.036845203663</v>
      </c>
      <c r="R442" s="41">
        <f>MIN(C_sat_CO2,MAX(C_air_CO2,(pool_ret*Q442+pool_b)*N442+P442*O442))</f>
        <v>28.03771794459</v>
      </c>
      <c r="S442" s="41">
        <f>IF(AND(R442&gt;=CO2_pH_hi_mt,R443&lt;CO2_pH_hi_mt),EXP(LN(A442)+(LN(A443)-LN(A442))*(R442-CO2_pH_hi_mt)/(R442-R443)),0)</f>
        <v>0.0</v>
      </c>
    </row>
    <row r="443">
      <c r="A443" s="41">
        <f>A442*grid_ratio</f>
        <v>0.028103416828</v>
      </c>
      <c r="B443" s="41">
        <f>MAX(0,A443*60-spg_dur)</f>
        <v>1.036205009657</v>
      </c>
      <c r="C443" s="41">
        <f>k_eff_CO2*B443</f>
        <v>1.504662557451e-05</v>
      </c>
      <c r="D443" s="41">
        <f>EXP(-C443)</f>
        <v>0.999984953488</v>
      </c>
      <c r="E443" s="41">
        <f>IF(C443&gt;0,(1-D443)/C443,1)</f>
        <v>0.999992476725</v>
      </c>
      <c r="F443" s="41">
        <f>IF(C443&gt;0,(C443-1+D443)/C443^2,1/2)</f>
        <v>0.499997452808</v>
      </c>
      <c r="G443" s="41">
        <f>(C_air_CO2/C_sat_CO2*F_vent_ex-CO2_fix_sched)*(B443/3600)/(V_L_CO2+Vg_CO2)</f>
        <v>-0.0001988302706686</v>
      </c>
      <c r="H443" s="41">
        <f>(G443*E443+pool_b*D443)/(1-pool_ret*D443)</f>
        <v>28.04899934455</v>
      </c>
      <c r="I443" s="41">
        <f>MIN(C_sat_CO2,MAX(C_air_CO2,(pool_ret*H443+pool_b)*E443+G443*F443))</f>
        <v>28.049309782645</v>
      </c>
      <c r="J443" s="41">
        <f>IF(AND(I443&gt;=CO2_pH_hi_mt,I444&lt;CO2_pH_hi_mt),EXP(LN(A443)+(LN(A444)-LN(A443))*(I443-CO2_pH_hi_mt)/(I443-I444)),0)</f>
        <v>0.0</v>
      </c>
      <c r="L443" s="41">
        <f>k_eff_CO2_l*B443</f>
        <v>7.54157790212e-05</v>
      </c>
      <c r="M443" s="41">
        <f>EXP(-L443)</f>
        <v>0.999924587065</v>
      </c>
      <c r="N443" s="41">
        <f>IF(L443&gt;0,(1-M443)/L443,1)</f>
        <v>0.999962293059</v>
      </c>
      <c r="O443" s="41">
        <f>IF(L443&gt;0,(L443-1+M443)/L443^2,1/2)</f>
        <v>0.499987413568</v>
      </c>
      <c r="P443" s="41">
        <f>(C_air_CO2/C_sat_CO2*F_vent_ex-CO2_fix_l)*(B443/3600)/(V_L_CO2+Vg_CO2)</f>
        <v>1.739214870142e-07</v>
      </c>
      <c r="Q443" s="41">
        <f>(P443*N443+pool_b*M443)/(1-pool_ret*M443)</f>
        <v>28.032862429876</v>
      </c>
      <c r="R443" s="41">
        <f>MIN(C_sat_CO2,MAX(C_air_CO2,(pool_ret*Q443+pool_b)*N443+P443*O443))</f>
        <v>28.033919429582</v>
      </c>
      <c r="S443" s="41">
        <f>IF(AND(R443&gt;=CO2_pH_hi_mt,R444&lt;CO2_pH_hi_mt),EXP(LN(A443)+(LN(A444)-LN(A443))*(R443-CO2_pH_hi_mt)/(R443-R444)),0)</f>
        <v>0.0</v>
      </c>
    </row>
    <row r="444">
      <c r="A444" s="41">
        <f>A443*grid_ratio</f>
        <v>0.031477640272</v>
      </c>
      <c r="B444" s="41">
        <f>MAX(0,A444*60-spg_dur)</f>
        <v>1.23865841629</v>
      </c>
      <c r="C444" s="41">
        <f>k_eff_CO2*B444</f>
        <v>1.798643051418e-05</v>
      </c>
      <c r="D444" s="41">
        <f>EXP(-C444)</f>
        <v>0.999982013731</v>
      </c>
      <c r="E444" s="41">
        <f>IF(C444&gt;0,(1-D444)/C444,1)</f>
        <v>0.999991006836</v>
      </c>
      <c r="F444" s="41">
        <f>IF(C444&gt;0,(C444-1+D444)/C444^2,1/2)</f>
        <v>0.49999722252</v>
      </c>
      <c r="G444" s="41">
        <f>(C_air_CO2/C_sat_CO2*F_vent_ex-CO2_fix_sched)*(B444/3600)/(V_L_CO2+Vg_CO2)</f>
        <v>-0.0002376776659848</v>
      </c>
      <c r="H444" s="41">
        <f>(G444*E444+pool_b*D444)/(1-pool_ret*D444)</f>
        <v>28.047688586418</v>
      </c>
      <c r="I444" s="41">
        <f>MIN(C_sat_CO2,MAX(C_air_CO2,(pool_ret*H444+pool_b)*E444+G444*F444))</f>
        <v>28.048059666259</v>
      </c>
      <c r="J444" s="41">
        <f>IF(AND(I444&gt;=CO2_pH_hi_mt,I445&lt;CO2_pH_hi_mt),EXP(LN(A444)+(LN(A445)-LN(A444))*(I444-CO2_pH_hi_mt)/(I444-I445)),0)</f>
        <v>0.0</v>
      </c>
      <c r="L444" s="41">
        <f>k_eff_CO2_l*B444</f>
        <v>9.015049004312e-05</v>
      </c>
      <c r="M444" s="41">
        <f>EXP(-L444)</f>
        <v>0.999909853573</v>
      </c>
      <c r="N444" s="41">
        <f>IF(L444&gt;0,(1-M444)/L444,1)</f>
        <v>0.999954926109</v>
      </c>
      <c r="O444" s="41">
        <f>IF(L444&gt;0,(L444-1+M444)/L444^2,1/2)</f>
        <v>0.499984981139</v>
      </c>
      <c r="P444" s="41">
        <f>(C_air_CO2/C_sat_CO2*F_vent_ex-CO2_fix_l)*(B444/3600)/(V_L_CO2+Vg_CO2)</f>
        <v>2.079022120682e-07</v>
      </c>
      <c r="Q444" s="41">
        <f>(P444*N444+pool_b*M444)/(1-pool_ret*M444)</f>
        <v>28.028402747444</v>
      </c>
      <c r="R444" s="41">
        <f>MIN(C_sat_CO2,MAX(C_air_CO2,(pool_ret*Q444+pool_b)*N444+P444*O444))</f>
        <v>28.029666068564</v>
      </c>
      <c r="S444" s="41">
        <f>IF(AND(R444&gt;=CO2_pH_hi_mt,R445&lt;CO2_pH_hi_mt),EXP(LN(A444)+(LN(A445)-LN(A444))*(R444-CO2_pH_hi_mt)/(R444-R445)),0)</f>
        <v>0.0</v>
      </c>
    </row>
    <row r="445">
      <c r="A445" s="41">
        <f>A444*grid_ratio</f>
        <v>0.035256988257</v>
      </c>
      <c r="B445" s="41">
        <f>MAX(0,A445*60-spg_dur)</f>
        <v>1.465419295398</v>
      </c>
      <c r="C445" s="41">
        <f>k_eff_CO2*B445</f>
        <v>2.127920174292e-05</v>
      </c>
      <c r="D445" s="41">
        <f>EXP(-C445)</f>
        <v>0.999978721025</v>
      </c>
      <c r="E445" s="41">
        <f>IF(C445&gt;0,(1-D445)/C445,1)</f>
        <v>0.999989360475</v>
      </c>
      <c r="F445" s="41">
        <f>IF(C445&gt;0,(C445-1+D445)/C445^2,1/2)</f>
        <v>0.499996359475</v>
      </c>
      <c r="G445" s="41">
        <f>(C_air_CO2/C_sat_CO2*F_vent_ex-CO2_fix_sched)*(B445/3600)/(V_L_CO2+Vg_CO2)</f>
        <v>-0.0002811892554384</v>
      </c>
      <c r="H445" s="41">
        <f>(G445*E445+pool_b*D445)/(1-pool_ret*D445)</f>
        <v>28.046220547025</v>
      </c>
      <c r="I445" s="41">
        <f>MIN(C_sat_CO2,MAX(C_air_CO2,(pool_ret*H445+pool_b)*E445+G445*F445))</f>
        <v>28.046659545402</v>
      </c>
      <c r="J445" s="41">
        <f>IF(AND(I445&gt;=CO2_pH_hi_mt,I446&lt;CO2_pH_hi_mt),EXP(LN(A445)+(LN(A446)-LN(A445))*(I445-CO2_pH_hi_mt)/(I445-I446)),0)</f>
        <v>0.0</v>
      </c>
      <c r="L445" s="41">
        <f>k_eff_CO2_l*B445</f>
        <v>0.000106654317172</v>
      </c>
      <c r="M445" s="41">
        <f>EXP(-L445)</f>
        <v>0.99989335137</v>
      </c>
      <c r="N445" s="41">
        <f>IF(L445&gt;0,(1-M445)/L445,1)</f>
        <v>0.999946674737</v>
      </c>
      <c r="O445" s="41">
        <f>IF(L445&gt;0,(L445-1+M445)/L445^2,1/2)</f>
        <v>0.499982222515</v>
      </c>
      <c r="P445" s="41">
        <f>(C_air_CO2/C_sat_CO2*F_vent_ex-CO2_fix_l)*(B445/3600)/(V_L_CO2+Vg_CO2)</f>
        <v>2.459628167974e-07</v>
      </c>
      <c r="Q445" s="41">
        <f>(P445*N445+pool_b*M445)/(1-pool_ret*M445)</f>
        <v>28.023409221948</v>
      </c>
      <c r="R445" s="41">
        <f>MIN(C_sat_CO2,MAX(C_air_CO2,(pool_ret*Q445+pool_b)*N445+P445*O445))</f>
        <v>28.024903560881</v>
      </c>
      <c r="S445" s="41">
        <f>IF(AND(R445&gt;=CO2_pH_hi_mt,R446&lt;CO2_pH_hi_mt),EXP(LN(A445)+(LN(A446)-LN(A445))*(R445-CO2_pH_hi_mt)/(R445-R446)),0)</f>
        <v>0.0</v>
      </c>
    </row>
    <row r="446">
      <c r="A446" s="41">
        <f>A445*grid_ratio</f>
        <v>0.039490101869</v>
      </c>
      <c r="B446" s="41">
        <f>MAX(0,A446*60-spg_dur)</f>
        <v>1.71940611216</v>
      </c>
      <c r="C446" s="41">
        <f>k_eff_CO2*B446</f>
        <v>2.496731799121e-05</v>
      </c>
      <c r="D446" s="41">
        <f>EXP(-C446)</f>
        <v>0.999975032994</v>
      </c>
      <c r="E446" s="41">
        <f>IF(C446&gt;0,(1-D446)/C446,1)</f>
        <v>0.999987516443</v>
      </c>
      <c r="F446" s="41">
        <f>IF(C446&gt;0,(C446-1+D446)/C446^2,1/2)</f>
        <v>0.499995860338</v>
      </c>
      <c r="G446" s="41">
        <f>(C_air_CO2/C_sat_CO2*F_vent_ex-CO2_fix_sched)*(B446/3600)/(V_L_CO2+Vg_CO2)</f>
        <v>-0.0003299250432917</v>
      </c>
      <c r="H446" s="41">
        <f>(G446*E446+pool_b*D446)/(1-pool_ret*D446)</f>
        <v>28.044576366461</v>
      </c>
      <c r="I446" s="41">
        <f>MIN(C_sat_CO2,MAX(C_air_CO2,(pool_ret*H446+pool_b)*E446+G446*F446))</f>
        <v>28.045091432132</v>
      </c>
      <c r="J446" s="41">
        <f>IF(AND(I446&gt;=CO2_pH_hi_mt,I447&lt;CO2_pH_hi_mt),EXP(LN(A446)+(LN(A447)-LN(A446))*(I446-CO2_pH_hi_mt)/(I446-I447)),0)</f>
        <v>0.0</v>
      </c>
      <c r="L446" s="41">
        <f>k_eff_CO2_l*B446</f>
        <v>0.000125139668496</v>
      </c>
      <c r="M446" s="41">
        <f>EXP(-L446)</f>
        <v>0.999874868161</v>
      </c>
      <c r="N446" s="41">
        <f>IF(L446&gt;0,(1-M446)/L446,1)</f>
        <v>0.999937432776</v>
      </c>
      <c r="O446" s="41">
        <f>IF(L446&gt;0,(L446-1+M446)/L446^2,1/2)</f>
        <v>0.499979144048</v>
      </c>
      <c r="P446" s="41">
        <f>(C_air_CO2/C_sat_CO2*F_vent_ex-CO2_fix_l)*(B446/3600)/(V_L_CO2+Vg_CO2)</f>
        <v>2.885931500246e-07</v>
      </c>
      <c r="Q446" s="41">
        <f>(P446*N446+pool_b*M446)/(1-pool_ret*M446)</f>
        <v>28.017818165691</v>
      </c>
      <c r="R446" s="41">
        <f>MIN(C_sat_CO2,MAX(C_air_CO2,(pool_ret*Q446+pool_b)*N446+P446*O446))</f>
        <v>28.019571164762</v>
      </c>
      <c r="S446" s="41">
        <f>IF(AND(R446&gt;=CO2_pH_hi_mt,R447&lt;CO2_pH_hi_mt),EXP(LN(A446)+(LN(A447)-LN(A446))*(R446-CO2_pH_hi_mt)/(R446-R447)),0)</f>
        <v>0.0</v>
      </c>
    </row>
    <row r="447">
      <c r="A447" s="41">
        <f>A446*grid_ratio</f>
        <v>0.044231462265</v>
      </c>
      <c r="B447" s="41">
        <f>MAX(0,A447*60-spg_dur)</f>
        <v>2.003887735899</v>
      </c>
      <c r="C447" s="41">
        <f>k_eff_CO2*B447</f>
        <v>2.909824617178e-05</v>
      </c>
      <c r="D447" s="41">
        <f>EXP(-C447)</f>
        <v>0.999970902177</v>
      </c>
      <c r="E447" s="41">
        <f>IF(C447&gt;0,(1-D447)/C447,1)</f>
        <v>0.999985451017</v>
      </c>
      <c r="F447" s="41">
        <f>IF(C447&gt;0,(C447-1+D447)/C447^2,1/2)</f>
        <v>0.499995211509</v>
      </c>
      <c r="G447" s="41">
        <f>(C_air_CO2/C_sat_CO2*F_vent_ex-CO2_fix_sched)*(B447/3600)/(V_L_CO2+Vg_CO2)</f>
        <v>-0.0003845122704535</v>
      </c>
      <c r="H447" s="41">
        <f>(G447*E447+pool_b*D447)/(1-pool_ret*D447)</f>
        <v>28.042734926511</v>
      </c>
      <c r="I447" s="41">
        <f>MIN(C_sat_CO2,MAX(C_air_CO2,(pool_ret*H447+pool_b)*E447+G447*F447))</f>
        <v>28.043335185624</v>
      </c>
      <c r="J447" s="41">
        <f>IF(AND(I447&gt;=CO2_pH_hi_mt,I448&lt;CO2_pH_hi_mt),EXP(LN(A447)+(LN(A448)-LN(A447))*(I447-CO2_pH_hi_mt)/(I447-I448)),0)</f>
        <v>0.0</v>
      </c>
      <c r="L447" s="41">
        <f>k_eff_CO2_l*B447</f>
        <v>0.0001458444547802</v>
      </c>
      <c r="M447" s="41">
        <f>EXP(-L447)</f>
        <v>0.99985416618</v>
      </c>
      <c r="N447" s="41">
        <f>IF(L447&gt;0,(1-M447)/L447,1)</f>
        <v>0.999927081317</v>
      </c>
      <c r="O447" s="41">
        <f>IF(L447&gt;0,(L447-1+M447)/L447^2,1/2)</f>
        <v>0.499975694232</v>
      </c>
      <c r="P447" s="41">
        <f>(C_air_CO2/C_sat_CO2*F_vent_ex-CO2_fix_l)*(B447/3600)/(V_L_CO2+Vg_CO2)</f>
        <v>3.363418740395e-07</v>
      </c>
      <c r="Q447" s="41">
        <f>(P447*N447+pool_b*M447)/(1-pool_ret*M447)</f>
        <v>28.011558347763</v>
      </c>
      <c r="R447" s="41">
        <f>MIN(C_sat_CO2,MAX(C_air_CO2,(pool_ret*Q447+pool_b)*N447+P447*O447))</f>
        <v>28.013600944114</v>
      </c>
      <c r="S447" s="41">
        <f>IF(AND(R447&gt;=CO2_pH_hi_mt,R448&lt;CO2_pH_hi_mt),EXP(LN(A447)+(LN(A448)-LN(A447))*(R447-CO2_pH_hi_mt)/(R447-R448)),0)</f>
        <v>0.0</v>
      </c>
    </row>
    <row r="448">
      <c r="A448" s="41">
        <f>A447*grid_ratio</f>
        <v>0.049542091853</v>
      </c>
      <c r="B448" s="41">
        <f>MAX(0,A448*60-spg_dur)</f>
        <v>2.322525511187</v>
      </c>
      <c r="C448" s="41">
        <f>k_eff_CO2*B448</f>
        <v>3.372515228974e-05</v>
      </c>
      <c r="D448" s="41">
        <f>EXP(-C448)</f>
        <v>0.999966275416</v>
      </c>
      <c r="E448" s="41">
        <f>IF(C448&gt;0,(1-D448)/C448,1)</f>
        <v>0.999983137613</v>
      </c>
      <c r="F448" s="41">
        <f>IF(C448&gt;0,(C448-1+D448)/C448^2,1/2)</f>
        <v>0.499994367627</v>
      </c>
      <c r="G448" s="41">
        <f>(C_air_CO2/C_sat_CO2*F_vent_ex-CO2_fix_sched)*(B448/3600)/(V_L_CO2+Vg_CO2)</f>
        <v>-0.0004456534872159</v>
      </c>
      <c r="H448" s="41">
        <f>(G448*E448+pool_b*D448)/(1-pool_ret*D448)</f>
        <v>28.040672581064</v>
      </c>
      <c r="I448" s="41">
        <f>MIN(C_sat_CO2,MAX(C_air_CO2,(pool_ret*H448+pool_b)*E448+G448*F448))</f>
        <v>28.041368253601</v>
      </c>
      <c r="J448" s="41">
        <f>IF(AND(I448&gt;=CO2_pH_hi_mt,I449&lt;CO2_pH_hi_mt),EXP(LN(A448)+(LN(A449)-LN(A448))*(I448-CO2_pH_hi_mt)/(I448-I449)),0)</f>
        <v>0.0</v>
      </c>
      <c r="L448" s="41">
        <f>k_eff_CO2_l*B448</f>
        <v>0.0001690351514328</v>
      </c>
      <c r="M448" s="41">
        <f>EXP(-L448)</f>
        <v>0.999830979134</v>
      </c>
      <c r="N448" s="41">
        <f>IF(L448&gt;0,(1-M448)/L448,1)</f>
        <v>0.999915487186</v>
      </c>
      <c r="O448" s="41">
        <f>IF(L448&gt;0,(L448-1+M448)/L448^2,1/2)</f>
        <v>0.499971831004</v>
      </c>
      <c r="P448" s="41">
        <f>(C_air_CO2/C_sat_CO2*F_vent_ex-CO2_fix_l)*(B448/3600)/(V_L_CO2+Vg_CO2)</f>
        <v>3.898235260103e-07</v>
      </c>
      <c r="Q448" s="41">
        <f>(P448*N448+pool_b*M448)/(1-pool_ret*M448)</f>
        <v>28.00455011452</v>
      </c>
      <c r="R448" s="41">
        <f>MIN(C_sat_CO2,MAX(C_air_CO2,(pool_ret*Q448+pool_b)*N448+P448*O448))</f>
        <v>28.006916929646</v>
      </c>
      <c r="S448" s="41">
        <f>IF(AND(R448&gt;=CO2_pH_hi_mt,R449&lt;CO2_pH_hi_mt),EXP(LN(A448)+(LN(A449)-LN(A448))*(R448-CO2_pH_hi_mt)/(R448-R449)),0)</f>
        <v>0.0</v>
      </c>
    </row>
    <row r="449">
      <c r="A449" s="41">
        <f>A448*grid_ratio</f>
        <v>0.05549033967</v>
      </c>
      <c r="B449" s="41">
        <f>MAX(0,A449*60-spg_dur)</f>
        <v>2.679420380196</v>
      </c>
      <c r="C449" s="41">
        <f>k_eff_CO2*B449</f>
        <v>3.890758570148e-05</v>
      </c>
      <c r="D449" s="41">
        <f>EXP(-C449)</f>
        <v>0.999961093171</v>
      </c>
      <c r="E449" s="41">
        <f>IF(C449&gt;0,(1-D449)/C449,1)</f>
        <v>0.999980546458</v>
      </c>
      <c r="F449" s="41">
        <f>IF(C449&gt;0,(C449-1+D449)/C449^2,1/2)</f>
        <v>0.499993536553</v>
      </c>
      <c r="G449" s="41">
        <f>(C_air_CO2/C_sat_CO2*F_vent_ex-CO2_fix_sched)*(B449/3600)/(V_L_CO2+Vg_CO2)</f>
        <v>-0.000514135595239</v>
      </c>
      <c r="H449" s="41">
        <f>(G449*E449+pool_b*D449)/(1-pool_ret*D449)</f>
        <v>28.038362854548</v>
      </c>
      <c r="I449" s="41">
        <f>MIN(C_sat_CO2,MAX(C_air_CO2,(pool_ret*H449+pool_b)*E449+G449*F449))</f>
        <v>28.039165385215</v>
      </c>
      <c r="J449" s="41">
        <f>IF(AND(I449&gt;=CO2_pH_hi_mt,I450&lt;CO2_pH_hi_mt),EXP(LN(A449)+(LN(A450)-LN(A449))*(I449-CO2_pH_hi_mt)/(I449-I450)),0)</f>
        <v>0.0</v>
      </c>
      <c r="L449" s="41">
        <f>k_eff_CO2_l*B449</f>
        <v>0.000195010228106</v>
      </c>
      <c r="M449" s="41">
        <f>EXP(-L449)</f>
        <v>0.999805008785</v>
      </c>
      <c r="N449" s="41">
        <f>IF(L449&gt;0,(1-M449)/L449,1)</f>
        <v>0.999902501224</v>
      </c>
      <c r="O449" s="41">
        <f>IF(L449&gt;0,(L449-1+M449)/L449^2,1/2)</f>
        <v>0.49996750114</v>
      </c>
      <c r="P449" s="41">
        <f>(C_air_CO2/C_sat_CO2*F_vent_ex-CO2_fix_l)*(B449/3600)/(V_L_CO2+Vg_CO2)</f>
        <v>4.497264272194e-07</v>
      </c>
      <c r="Q449" s="41">
        <f>(P449*N449+pool_b*M449)/(1-pool_ret*M449)</f>
        <v>27.996704411059</v>
      </c>
      <c r="R449" s="41">
        <f>MIN(C_sat_CO2,MAX(C_air_CO2,(pool_ret*Q449+pool_b)*N449+P449*O449))</f>
        <v>27.999434185494</v>
      </c>
      <c r="S449" s="41">
        <f>IF(AND(R449&gt;=CO2_pH_hi_mt,R450&lt;CO2_pH_hi_mt),EXP(LN(A449)+(LN(A450)-LN(A449))*(R449-CO2_pH_hi_mt)/(R449-R450)),0)</f>
        <v>0.0</v>
      </c>
    </row>
    <row r="450">
      <c r="A450" s="41">
        <f>A449*grid_ratio</f>
        <v>0.062152761046</v>
      </c>
      <c r="B450" s="41">
        <f>MAX(0,A450*60-spg_dur)</f>
        <v>3.079165662784</v>
      </c>
      <c r="C450" s="41">
        <f>k_eff_CO2*B450</f>
        <v>4.471224552865e-05</v>
      </c>
      <c r="D450" s="41">
        <f>EXP(-C450)</f>
        <v>0.999955288754</v>
      </c>
      <c r="E450" s="41">
        <f>IF(C450&gt;0,(1-D450)/C450,1)</f>
        <v>0.99997764421</v>
      </c>
      <c r="F450" s="41">
        <f>IF(C450&gt;0,(C450-1+D450)/C450^2,1/2)</f>
        <v>0.499992537834</v>
      </c>
      <c r="G450" s="41">
        <f>(C_air_CO2/C_sat_CO2*F_vent_ex-CO2_fix_sched)*(B450/3600)/(V_L_CO2+Vg_CO2)</f>
        <v>-0.0005908399751586</v>
      </c>
      <c r="H450" s="41">
        <f>(G450*E450+pool_b*D450)/(1-pool_ret*D450)</f>
        <v>28.035776104652</v>
      </c>
      <c r="I450" s="41">
        <f>MIN(C_sat_CO2,MAX(C_air_CO2,(pool_ret*H450+pool_b)*E450+G450*F450))</f>
        <v>28.036698309626</v>
      </c>
      <c r="J450" s="41">
        <f>IF(AND(I450&gt;=CO2_pH_hi_mt,I451&lt;CO2_pH_hi_mt),EXP(LN(A450)+(LN(A451)-LN(A450))*(I450-CO2_pH_hi_mt)/(I450-I451)),0)</f>
        <v>0.0</v>
      </c>
      <c r="L450" s="41">
        <f>k_eff_CO2_l*B450</f>
        <v>0.0002241039900696</v>
      </c>
      <c r="M450" s="41">
        <f>EXP(-L450)</f>
        <v>0.999775921119</v>
      </c>
      <c r="N450" s="41">
        <f>IF(L450&gt;0,(1-M450)/L450,1)</f>
        <v>0.999887956375</v>
      </c>
      <c r="O450" s="41">
        <f>IF(L450&gt;0,(L450-1+M450)/L450^2,1/2)</f>
        <v>0.499962651212</v>
      </c>
      <c r="P450" s="41">
        <f>(C_air_CO2/C_sat_CO2*F_vent_ex-CO2_fix_l)*(B450/3600)/(V_L_CO2+Vg_CO2)</f>
        <v>5.168215419183e-07</v>
      </c>
      <c r="Q450" s="41">
        <f>(P450*N450+pool_b*M450)/(1-pool_ret*M450)</f>
        <v>27.987921693449</v>
      </c>
      <c r="R450" s="41">
        <f>MIN(C_sat_CO2,MAX(C_air_CO2,(pool_ret*Q450+pool_b)*N450+P450*O450))</f>
        <v>27.991057771765</v>
      </c>
      <c r="S450" s="41">
        <f>IF(AND(R450&gt;=CO2_pH_hi_mt,R451&lt;CO2_pH_hi_mt),EXP(LN(A450)+(LN(A451)-LN(A450))*(R450-CO2_pH_hi_mt)/(R450-R451)),0)</f>
        <v>0.0</v>
      </c>
    </row>
    <row r="451">
      <c r="A451" s="41">
        <f>A450*grid_ratio</f>
        <v>0.069615102893</v>
      </c>
      <c r="B451" s="41">
        <f>MAX(0,A451*60-spg_dur)</f>
        <v>3.52690617358</v>
      </c>
      <c r="C451" s="41">
        <f>k_eff_CO2*B451</f>
        <v>5.121383909141e-05</v>
      </c>
      <c r="D451" s="41">
        <f>EXP(-C451)</f>
        <v>0.999948787472</v>
      </c>
      <c r="E451" s="41">
        <f>IF(C451&gt;0,(1-D451)/C451,1)</f>
        <v>0.999974393518</v>
      </c>
      <c r="F451" s="41">
        <f>IF(C451&gt;0,(C451-1+D451)/C451^2,1/2)</f>
        <v>0.499991482431</v>
      </c>
      <c r="G451" s="41">
        <f>(C_air_CO2/C_sat_CO2*F_vent_ex-CO2_fix_sched)*(B451/3600)/(V_L_CO2+Vg_CO2)</f>
        <v>-0.0006767538301596</v>
      </c>
      <c r="H451" s="41">
        <f>(G451*E451+pool_b*D451)/(1-pool_ret*D451)</f>
        <v>28.03287914517</v>
      </c>
      <c r="I451" s="41">
        <f>MIN(C_sat_CO2,MAX(C_air_CO2,(pool_ret*H451+pool_b)*E451+G451*F451))</f>
        <v>28.033935375784</v>
      </c>
      <c r="J451" s="41">
        <f>IF(AND(I451&gt;=CO2_pH_hi_mt,I452&lt;CO2_pH_hi_mt),EXP(LN(A451)+(LN(A452)-LN(A451))*(I451-CO2_pH_hi_mt)/(I451-I452)),0)</f>
        <v>0.0</v>
      </c>
      <c r="L451" s="41">
        <f>k_eff_CO2_l*B451</f>
        <v>0.0002566908807971</v>
      </c>
      <c r="M451" s="41">
        <f>EXP(-L451)</f>
        <v>0.999743342061</v>
      </c>
      <c r="N451" s="41">
        <f>IF(L451&gt;0,(1-M451)/L451,1)</f>
        <v>0.999871665541</v>
      </c>
      <c r="O451" s="41">
        <f>IF(L451&gt;0,(L451-1+M451)/L451^2,1/2)</f>
        <v>0.499957221456</v>
      </c>
      <c r="P451" s="41">
        <f>(C_air_CO2/C_sat_CO2*F_vent_ex-CO2_fix_l)*(B451/3600)/(V_L_CO2+Vg_CO2)</f>
        <v>5.919723998166e-07</v>
      </c>
      <c r="Q451" s="41">
        <f>(P451*N451+pool_b*M451)/(1-pool_ret*M451)</f>
        <v>27.978090720656</v>
      </c>
      <c r="R451" s="41">
        <f>MIN(C_sat_CO2,MAX(C_air_CO2,(pool_ret*Q451+pool_b)*N451+P451*O451))</f>
        <v>27.981681592283</v>
      </c>
      <c r="S451" s="41">
        <f>IF(AND(R451&gt;=CO2_pH_hi_mt,R452&lt;CO2_pH_hi_mt),EXP(LN(A451)+(LN(A452)-LN(A451))*(R451-CO2_pH_hi_mt)/(R451-R452)),0)</f>
        <v>0.0</v>
      </c>
    </row>
    <row r="452">
      <c r="A452" s="41">
        <f>A451*grid_ratio</f>
        <v>0.077973407283</v>
      </c>
      <c r="B452" s="41">
        <f>MAX(0,A452*60-spg_dur)</f>
        <v>4.028404436951</v>
      </c>
      <c r="C452" s="41">
        <f>k_eff_CO2*B452</f>
        <v>5.849604340898e-05</v>
      </c>
      <c r="D452" s="41">
        <f>EXP(-C452)</f>
        <v>0.999941505667</v>
      </c>
      <c r="E452" s="41">
        <f>IF(C452&gt;0,(1-D452)/C452,1)</f>
        <v>0.999970752549</v>
      </c>
      <c r="F452" s="41">
        <f>IF(C452&gt;0,(C452-1+D452)/C452^2,1/2)</f>
        <v>0.49999026357</v>
      </c>
      <c r="G452" s="41">
        <f>(C_air_CO2/C_sat_CO2*F_vent_ex-CO2_fix_sched)*(B452/3600)/(V_L_CO2+Vg_CO2)</f>
        <v>-0.00077298289151</v>
      </c>
      <c r="H452" s="41">
        <f>(G452*E452+pool_b*D452)/(1-pool_ret*D452)</f>
        <v>28.029634824341</v>
      </c>
      <c r="I452" s="41">
        <f>MIN(C_sat_CO2,MAX(C_air_CO2,(pool_ret*H452+pool_b)*E452+G452*F452))</f>
        <v>28.030841150665</v>
      </c>
      <c r="J452" s="41">
        <f>IF(AND(I452&gt;=CO2_pH_hi_mt,I453&lt;CO2_pH_hi_mt),EXP(LN(A452)+(LN(A453)-LN(A452))*(I452-CO2_pH_hi_mt)/(I452-I453)),0)</f>
        <v>0.0</v>
      </c>
      <c r="L452" s="41">
        <f>k_eff_CO2_l*B452</f>
        <v>0.000293190301141</v>
      </c>
      <c r="M452" s="41">
        <f>EXP(-L452)</f>
        <v>0.999706852675</v>
      </c>
      <c r="N452" s="41">
        <f>IF(L452&gt;0,(1-M452)/L452,1)</f>
        <v>0.999853419175</v>
      </c>
      <c r="O452" s="41">
        <f>IF(L452&gt;0,(L452-1+M452)/L452^2,1/2)</f>
        <v>0.499951139352</v>
      </c>
      <c r="P452" s="41">
        <f>(C_air_CO2/C_sat_CO2*F_vent_ex-CO2_fix_l)*(B452/3600)/(V_L_CO2+Vg_CO2)</f>
        <v>6.761462099097e-07</v>
      </c>
      <c r="Q452" s="41">
        <f>(P452*N452+pool_b*M452)/(1-pool_ret*M452)</f>
        <v>27.967087214288</v>
      </c>
      <c r="R452" s="41">
        <f>MIN(C_sat_CO2,MAX(C_air_CO2,(pool_ret*Q452+pool_b)*N452+P452*O452))</f>
        <v>27.971187116248</v>
      </c>
      <c r="S452" s="41">
        <f>IF(AND(R452&gt;=CO2_pH_hi_mt,R453&lt;CO2_pH_hi_mt),EXP(LN(A452)+(LN(A453)-LN(A452))*(R452-CO2_pH_hi_mt)/(R452-R453)),0)</f>
        <v>0.0</v>
      </c>
    </row>
    <row r="453">
      <c r="A453" s="41">
        <f>A452*grid_ratio</f>
        <v>0.087335247534</v>
      </c>
      <c r="B453" s="41">
        <f>MAX(0,A453*60-spg_dur)</f>
        <v>4.590114852022</v>
      </c>
      <c r="C453" s="41">
        <f>k_eff_CO2*B453</f>
        <v>6.665258214225e-05</v>
      </c>
      <c r="D453" s="41">
        <f>EXP(-C453)</f>
        <v>0.999933349639</v>
      </c>
      <c r="E453" s="41">
        <f>IF(C453&gt;0,(1-D453)/C453,1)</f>
        <v>0.999966674449</v>
      </c>
      <c r="F453" s="41">
        <f>IF(C453&gt;0,(C453-1+D453)/C453^2,1/2)</f>
        <v>0.499988885123</v>
      </c>
      <c r="G453" s="41">
        <f>(C_air_CO2/C_sat_CO2*F_vent_ex-CO2_fix_sched)*(B453/3600)/(V_L_CO2+Vg_CO2)</f>
        <v>-0.0008807656495793</v>
      </c>
      <c r="H453" s="41">
        <f>(G453*E453+pool_b*D453)/(1-pool_ret*D453)</f>
        <v>28.02600155353</v>
      </c>
      <c r="I453" s="41">
        <f>MIN(C_sat_CO2,MAX(C_air_CO2,(pool_ret*H453+pool_b)*E453+G453*F453))</f>
        <v>28.027375969582</v>
      </c>
      <c r="J453" s="41">
        <f>IF(AND(I453&gt;=CO2_pH_hi_mt,I454&lt;CO2_pH_hi_mt),EXP(LN(A453)+(LN(A454)-LN(A453))*(I453-CO2_pH_hi_mt)/(I453-I454)),0)</f>
        <v>0.0</v>
      </c>
      <c r="L453" s="41">
        <f>k_eff_CO2_l*B453</f>
        <v>0.0003340720071182</v>
      </c>
      <c r="M453" s="41">
        <f>EXP(-L453)</f>
        <v>0.999665983789</v>
      </c>
      <c r="N453" s="41">
        <f>IF(L453&gt;0,(1-M453)/L453,1)</f>
        <v>0.999832982596</v>
      </c>
      <c r="O453" s="41">
        <f>IF(L453&gt;0,(L453-1+M453)/L453^2,1/2)</f>
        <v>0.499944325832</v>
      </c>
      <c r="P453" s="41">
        <f>(C_air_CO2/C_sat_CO2*F_vent_ex-CO2_fix_l)*(B453/3600)/(V_L_CO2+Vg_CO2)</f>
        <v>7.704263086837e-07</v>
      </c>
      <c r="Q453" s="41">
        <f>(P453*N453+pool_b*M453)/(1-pool_ret*M453)</f>
        <v>27.954772373494</v>
      </c>
      <c r="R453" s="41">
        <f>MIN(C_sat_CO2,MAX(C_air_CO2,(pool_ret*Q453+pool_b)*N453+P453*O453))</f>
        <v>27.959441961717</v>
      </c>
      <c r="S453" s="41">
        <f>IF(AND(R453&gt;=CO2_pH_hi_mt,R454&lt;CO2_pH_hi_mt),EXP(LN(A453)+(LN(A454)-LN(A453))*(R453-CO2_pH_hi_mt)/(R453-R454)),0)</f>
        <v>0.0</v>
      </c>
    </row>
    <row r="454">
      <c r="A454" s="41">
        <f>A453*grid_ratio</f>
        <v>0.097821112705</v>
      </c>
      <c r="B454" s="41">
        <f>MAX(0,A454*60-spg_dur)</f>
        <v>5.219266762298</v>
      </c>
      <c r="C454" s="41">
        <f>k_eff_CO2*B454</f>
        <v>7.578843183916e-05</v>
      </c>
      <c r="D454" s="41">
        <f>EXP(-C454)</f>
        <v>0.99992421444</v>
      </c>
      <c r="E454" s="41">
        <f>IF(C454&gt;0,(1-D454)/C454,1)</f>
        <v>0.999962106742</v>
      </c>
      <c r="F454" s="41">
        <f>IF(C454&gt;0,(C454-1+D454)/C454^2,1/2)</f>
        <v>0.499987365675</v>
      </c>
      <c r="G454" s="41">
        <f>(C_air_CO2/C_sat_CO2*F_vent_ex-CO2_fix_sched)*(B454/3600)/(V_L_CO2+Vg_CO2)</f>
        <v>-0.001001489293</v>
      </c>
      <c r="H454" s="41">
        <f>(G454*E454+pool_b*D454)/(1-pool_ret*D454)</f>
        <v>28.021932780554</v>
      </c>
      <c r="I454" s="41">
        <f>MIN(C_sat_CO2,MAX(C_air_CO2,(pool_ret*H454+pool_b)*E454+G454*F454))</f>
        <v>28.023495433872</v>
      </c>
      <c r="J454" s="41">
        <f>IF(AND(I454&gt;=CO2_pH_hi_mt,I455&lt;CO2_pH_hi_mt),EXP(LN(A454)+(LN(A455)-LN(A454))*(I454-CO2_pH_hi_mt)/(I454-I455)),0)</f>
        <v>0.0</v>
      </c>
      <c r="L454" s="41">
        <f>k_eff_CO2_l*B454</f>
        <v>0.0003798621557799</v>
      </c>
      <c r="M454" s="41">
        <f>EXP(-L454)</f>
        <v>0.999620209983</v>
      </c>
      <c r="N454" s="41">
        <f>IF(L454&gt;0,(1-M454)/L454,1)</f>
        <v>0.999810092969</v>
      </c>
      <c r="O454" s="41">
        <f>IF(L454&gt;0,(L454-1+M454)/L454^2,1/2)</f>
        <v>0.499936695642</v>
      </c>
      <c r="P454" s="41">
        <f>(C_air_CO2/C_sat_CO2*F_vent_ex-CO2_fix_l)*(B454/3600)/(V_L_CO2+Vg_CO2)</f>
        <v>8.760261029071e-07</v>
      </c>
      <c r="Q454" s="41">
        <f>(P454*N454+pool_b*M454)/(1-pool_ret*M454)</f>
        <v>27.940991231607</v>
      </c>
      <c r="R454" s="41">
        <f>MIN(C_sat_CO2,MAX(C_air_CO2,(pool_ret*Q454+pool_b)*N454+P454*O454))</f>
        <v>27.946298328144</v>
      </c>
      <c r="S454" s="41">
        <f>IF(AND(R454&gt;=CO2_pH_hi_mt,R455&lt;CO2_pH_hi_mt),EXP(LN(A454)+(LN(A455)-LN(A454))*(R454-CO2_pH_hi_mt)/(R454-R455)),0)</f>
        <v>0.0</v>
      </c>
    </row>
    <row r="455">
      <c r="A455" s="41">
        <f>A454*grid_ratio</f>
        <v>0.109565958316</v>
      </c>
      <c r="B455" s="41">
        <f>MAX(0,A455*60-spg_dur)</f>
        <v>5.923957498989</v>
      </c>
      <c r="C455" s="41">
        <f>k_eff_CO2*B455</f>
        <v>8.602117300718e-05</v>
      </c>
      <c r="D455" s="41">
        <f>EXP(-C455)</f>
        <v>0.999913982527</v>
      </c>
      <c r="E455" s="41">
        <f>IF(C455&gt;0,(1-D455)/C455,1)</f>
        <v>0.999956990647</v>
      </c>
      <c r="F455" s="41">
        <f>IF(C455&gt;0,(C455-1+D455)/C455^2,1/2)</f>
        <v>0.499985658233</v>
      </c>
      <c r="G455" s="41">
        <f>(C_air_CO2/C_sat_CO2*F_vent_ex-CO2_fix_sched)*(B455/3600)/(V_L_CO2+Vg_CO2)</f>
        <v>-0.001136707565</v>
      </c>
      <c r="H455" s="41">
        <f>(G455*E455+pool_b*D455)/(1-pool_ret*D455)</f>
        <v>28.017376401279</v>
      </c>
      <c r="I455" s="41">
        <f>MIN(C_sat_CO2,MAX(C_air_CO2,(pool_ret*H455+pool_b)*E455+G455*F455))</f>
        <v>28.019149849715</v>
      </c>
      <c r="J455" s="41">
        <f>IF(AND(I455&gt;=CO2_pH_hi_mt,I456&lt;CO2_pH_hi_mt),EXP(LN(A455)+(LN(A456)-LN(A455))*(I455-CO2_pH_hi_mt)/(I455-I456)),0)</f>
        <v>0.0</v>
      </c>
      <c r="L455" s="41">
        <f>k_eff_CO2_l*B455</f>
        <v>0.0004311500769744</v>
      </c>
      <c r="M455" s="41">
        <f>EXP(-L455)</f>
        <v>0.999568942855</v>
      </c>
      <c r="N455" s="41">
        <f>IF(L455&gt;0,(1-M455)/L455,1)</f>
        <v>0.99978445594</v>
      </c>
      <c r="O455" s="41">
        <f>IF(L455&gt;0,(L455-1+M455)/L455^2,1/2)</f>
        <v>0.499928149466</v>
      </c>
      <c r="P455" s="41">
        <f>(C_air_CO2/C_sat_CO2*F_vent_ex-CO2_fix_l)*(B455/3600)/(V_L_CO2+Vg_CO2)</f>
        <v>9.943046864579e-07</v>
      </c>
      <c r="Q455" s="41">
        <f>(P455*N455+pool_b*M455)/(1-pool_ret*M455)</f>
        <v>27.925570840489</v>
      </c>
      <c r="R455" s="41">
        <f>MIN(C_sat_CO2,MAX(C_air_CO2,(pool_ret*Q455+pool_b)*N455+P455*O455))</f>
        <v>27.931591264548</v>
      </c>
      <c r="S455" s="41">
        <f>IF(AND(R455&gt;=CO2_pH_hi_mt,R456&lt;CO2_pH_hi_mt),EXP(LN(A455)+(LN(A456)-LN(A455))*(R455-CO2_pH_hi_mt)/(R455-R456)),0)</f>
        <v>0.0</v>
      </c>
    </row>
    <row r="456">
      <c r="A456" s="41">
        <f>A455*grid_ratio</f>
        <v>0.122720943259</v>
      </c>
      <c r="B456" s="41">
        <f>MAX(0,A456*60-spg_dur)</f>
        <v>6.713256595548</v>
      </c>
      <c r="C456" s="41">
        <f>k_eff_CO2*B456</f>
        <v>9.748250340177e-05</v>
      </c>
      <c r="D456" s="41">
        <f>EXP(-C456)</f>
        <v>0.999902522248</v>
      </c>
      <c r="E456" s="41">
        <f>IF(C456&gt;0,(1-D456)/C456,1)</f>
        <v>0.999951260333</v>
      </c>
      <c r="F456" s="41">
        <f>IF(C456&gt;0,(C456-1+D456)/C456^2,1/2)</f>
        <v>0.499983751306</v>
      </c>
      <c r="G456" s="41">
        <f>(C_air_CO2/C_sat_CO2*F_vent_ex-CO2_fix_sched)*(B456/3600)/(V_L_CO2+Vg_CO2)</f>
        <v>-0.001288160753</v>
      </c>
      <c r="H456" s="41">
        <f>(G456*E456+pool_b*D456)/(1-pool_ret*D456)</f>
        <v>28.012274102506</v>
      </c>
      <c r="I456" s="41">
        <f>MIN(C_sat_CO2,MAX(C_air_CO2,(pool_ret*H456+pool_b)*E456+G456*F456))</f>
        <v>28.0142836015</v>
      </c>
      <c r="J456" s="41">
        <f>IF(AND(I456&gt;=CO2_pH_hi_mt,I457&lt;CO2_pH_hi_mt),EXP(LN(A456)+(LN(A457)-LN(A456))*(I456-CO2_pH_hi_mt)/(I456-I457)),0)</f>
        <v>0.0</v>
      </c>
      <c r="L456" s="41">
        <f>k_eff_CO2_l*B456</f>
        <v>0.0004885958581595</v>
      </c>
      <c r="M456" s="41">
        <f>EXP(-L456)</f>
        <v>0.999511523485</v>
      </c>
      <c r="N456" s="41">
        <f>IF(L456&gt;0,(1-M456)/L456,1)</f>
        <v>0.999755741854</v>
      </c>
      <c r="O456" s="41">
        <f>IF(L456&gt;0,(L456-1+M456)/L456^2,1/2)</f>
        <v>0.49991857741</v>
      </c>
      <c r="P456" s="41">
        <f>(C_air_CO2/C_sat_CO2*F_vent_ex-CO2_fix_l)*(B456/3600)/(V_L_CO2+Vg_CO2)</f>
        <v>1.126784332178e-06</v>
      </c>
      <c r="Q456" s="41">
        <f>(P456*N456+pool_b*M456)/(1-pool_ret*M456)</f>
        <v>27.908318268052</v>
      </c>
      <c r="R456" s="41">
        <f>MIN(C_sat_CO2,MAX(C_air_CO2,(pool_ret*Q456+pool_b)*N456+P456*O456))</f>
        <v>27.915136759468</v>
      </c>
      <c r="S456" s="41">
        <f>IF(AND(R456&gt;=CO2_pH_hi_mt,R457&lt;CO2_pH_hi_mt),EXP(LN(A456)+(LN(A457)-LN(A456))*(R456-CO2_pH_hi_mt)/(R456-R457)),0)</f>
        <v>0.0</v>
      </c>
    </row>
    <row r="457">
      <c r="A457" s="41">
        <f>A456*grid_ratio</f>
        <v>0.137455375244</v>
      </c>
      <c r="B457" s="41">
        <f>MAX(0,A457*60-spg_dur)</f>
        <v>7.597322514666</v>
      </c>
      <c r="C457" s="41">
        <f>k_eff_CO2*B457</f>
        <v>0.0001103199330071</v>
      </c>
      <c r="D457" s="41">
        <f>EXP(-C457)</f>
        <v>0.999889686152</v>
      </c>
      <c r="E457" s="41">
        <f>IF(C457&gt;0,(1-D457)/C457,1)</f>
        <v>0.999944842062</v>
      </c>
      <c r="F457" s="41">
        <f>IF(C457&gt;0,(C457-1+D457)/C457^2,1/2)</f>
        <v>0.499981614053</v>
      </c>
      <c r="G457" s="41">
        <f>(C_air_CO2/C_sat_CO2*F_vent_ex-CO2_fix_sched)*(B457/3600)/(V_L_CO2+Vg_CO2)</f>
        <v>-0.001457798098</v>
      </c>
      <c r="H457" s="41">
        <f>(G457*E457+pool_b*D457)/(1-pool_ret*D457)</f>
        <v>28.006560628348</v>
      </c>
      <c r="I457" s="41">
        <f>MIN(C_sat_CO2,MAX(C_air_CO2,(pool_ret*H457+pool_b)*E457+G457*F457))</f>
        <v>28.008834451968</v>
      </c>
      <c r="J457" s="41">
        <f>IF(AND(I457&gt;=CO2_pH_hi_mt,I458&lt;CO2_pH_hi_mt),EXP(LN(A457)+(LN(A458)-LN(A457))*(I457-CO2_pH_hi_mt)/(I457-I458)),0)</f>
        <v>0.0</v>
      </c>
      <c r="L457" s="41">
        <f>k_eff_CO2_l*B457</f>
        <v>0.0005529388398813</v>
      </c>
      <c r="M457" s="41">
        <f>EXP(-L457)</f>
        <v>0.999447214003</v>
      </c>
      <c r="N457" s="41">
        <f>IF(L457&gt;0,(1-M457)/L457,1)</f>
        <v>0.99972358153</v>
      </c>
      <c r="O457" s="41">
        <f>IF(L457&gt;0,(L457-1+M457)/L457^2,1/2)</f>
        <v>0.499907856005</v>
      </c>
      <c r="P457" s="41">
        <f>(C_air_CO2/C_sat_CO2*F_vent_ex-CO2_fix_l)*(B457/3600)/(V_L_CO2+Vg_CO2)</f>
        <v>1.275170083876e-06</v>
      </c>
      <c r="Q457" s="41">
        <f>(P457*N457+pool_b*M457)/(1-pool_ret*M457)</f>
        <v>27.889018394176</v>
      </c>
      <c r="R457" s="41">
        <f>MIN(C_sat_CO2,MAX(C_air_CO2,(pool_ret*Q457+pool_b)*N457+P457*O457))</f>
        <v>27.896729638547</v>
      </c>
      <c r="S457" s="41">
        <f>IF(AND(R457&gt;=CO2_pH_hi_mt,R458&lt;CO2_pH_hi_mt),EXP(LN(A457)+(LN(A458)-LN(A457))*(R457-CO2_pH_hi_mt)/(R457-R458)),0)</f>
        <v>0.0</v>
      </c>
    </row>
    <row r="458">
      <c r="A458" s="41">
        <f>A457*grid_ratio</f>
        <v>0.153958889834</v>
      </c>
      <c r="B458" s="41">
        <f>MAX(0,A458*60-spg_dur)</f>
        <v>8.587533390056</v>
      </c>
      <c r="C458" s="41">
        <f>k_eff_CO2*B458</f>
        <v>0.0001246986825238</v>
      </c>
      <c r="D458" s="41">
        <f>EXP(-C458)</f>
        <v>0.999875309092</v>
      </c>
      <c r="E458" s="41">
        <f>IF(C458&gt;0,(1-D458)/C458,1)</f>
        <v>0.999937653251</v>
      </c>
      <c r="F458" s="41">
        <f>IF(C458&gt;0,(C458-1+D458)/C458^2,1/2)</f>
        <v>0.499979210658</v>
      </c>
      <c r="G458" s="41">
        <f>(C_air_CO2/C_sat_CO2*F_vent_ex-CO2_fix_sched)*(B458/3600)/(V_L_CO2+Vg_CO2)</f>
        <v>-0.00164780287</v>
      </c>
      <c r="H458" s="41">
        <f>(G458*E458+pool_b*D458)/(1-pool_ret*D458)</f>
        <v>28.000162961532</v>
      </c>
      <c r="I458" s="41">
        <f>MIN(C_sat_CO2,MAX(C_air_CO2,(pool_ret*H458+pool_b)*E458+G458*F458))</f>
        <v>28.002732761522</v>
      </c>
      <c r="J458" s="41">
        <f>IF(AND(I458&gt;=CO2_pH_hi_mt,I459&lt;CO2_pH_hi_mt),EXP(LN(A458)+(LN(A459)-LN(A458))*(I458-CO2_pH_hi_mt)/(I458-I459)),0)</f>
        <v>0.0</v>
      </c>
      <c r="L458" s="41">
        <f>k_eff_CO2_l*B458</f>
        <v>0.0006250071312588</v>
      </c>
      <c r="M458" s="41">
        <f>EXP(-L458)</f>
        <v>0.999375188145</v>
      </c>
      <c r="N458" s="41">
        <f>IF(L458&gt;0,(1-M458)/L458,1)</f>
        <v>0.99968756153</v>
      </c>
      <c r="O458" s="41">
        <f>IF(L458&gt;0,(L458-1+M458)/L458^2,1/2)</f>
        <v>0.499895848439</v>
      </c>
      <c r="P458" s="41">
        <f>(C_air_CO2/C_sat_CO2*F_vent_ex-CO2_fix_l)*(B458/3600)/(V_L_CO2+Vg_CO2)</f>
        <v>1.441371700642e-06</v>
      </c>
      <c r="Q458" s="41">
        <f>(P458*N458+pool_b*M458)/(1-pool_ret*M458)</f>
        <v>27.867431490296</v>
      </c>
      <c r="R458" s="41">
        <f>MIN(C_sat_CO2,MAX(C_air_CO2,(pool_ret*Q458+pool_b)*N458+P458*O458))</f>
        <v>27.876141255774</v>
      </c>
      <c r="S458" s="41">
        <f>IF(AND(R458&gt;=CO2_pH_hi_mt,R459&lt;CO2_pH_hi_mt),EXP(LN(A458)+(LN(A459)-LN(A458))*(R458-CO2_pH_hi_mt)/(R458-R459)),0)</f>
        <v>0.0</v>
      </c>
    </row>
    <row r="459">
      <c r="A459" s="41">
        <f>A458*grid_ratio</f>
        <v>0.172443891094</v>
      </c>
      <c r="B459" s="41">
        <f>MAX(0,A459*60-spg_dur)</f>
        <v>9.696633465668</v>
      </c>
      <c r="C459" s="41">
        <f>k_eff_CO2*B459</f>
        <v>0.0001408038097977</v>
      </c>
      <c r="D459" s="41">
        <f>EXP(-C459)</f>
        <v>0.999859206103</v>
      </c>
      <c r="E459" s="41">
        <f>IF(C459&gt;0,(1-D459)/C459,1)</f>
        <v>0.999929601399</v>
      </c>
      <c r="F459" s="41">
        <f>IF(C459&gt;0,(C459-1+D459)/C459^2,1/2)</f>
        <v>0.499976536247</v>
      </c>
      <c r="G459" s="41">
        <f>(C_air_CO2/C_sat_CO2*F_vent_ex-CO2_fix_sched)*(B459/3600)/(V_L_CO2+Vg_CO2)</f>
        <v>-0.001860620474</v>
      </c>
      <c r="H459" s="41">
        <f>(G459*E459+pool_b*D459)/(1-pool_ret*D459)</f>
        <v>27.992999410163</v>
      </c>
      <c r="I459" s="41">
        <f>MIN(C_sat_CO2,MAX(C_air_CO2,(pool_ret*H459+pool_b)*E459+G459*F459))</f>
        <v>27.995900617042</v>
      </c>
      <c r="J459" s="41">
        <f>IF(AND(I459&gt;=CO2_pH_hi_mt,I460&lt;CO2_pH_hi_mt),EXP(LN(A459)+(LN(A460)-LN(A459))*(I459-CO2_pH_hi_mt)/(I459-I460)),0)</f>
        <v>0.0</v>
      </c>
      <c r="L459" s="41">
        <f>k_eff_CO2_l*B459</f>
        <v>0.0007057282679405</v>
      </c>
      <c r="M459" s="41">
        <f>EXP(-L459)</f>
        <v>0.9992945207</v>
      </c>
      <c r="N459" s="41">
        <f>IF(L459&gt;0,(1-M459)/L459,1)</f>
        <v>0.99964721886</v>
      </c>
      <c r="O459" s="41">
        <f>IF(L459&gt;0,(L459-1+M459)/L459^2,1/2)</f>
        <v>0.499882399229</v>
      </c>
      <c r="P459" s="41">
        <f>(C_air_CO2/C_sat_CO2*F_vent_ex-CO2_fix_l)*(B459/3600)/(V_L_CO2+Vg_CO2)</f>
        <v>1.627528235883e-06</v>
      </c>
      <c r="Q459" s="41">
        <f>(P459*N459+pool_b*M459)/(1-pool_ret*M459)</f>
        <v>27.843290568422</v>
      </c>
      <c r="R459" s="41">
        <f>MIN(C_sat_CO2,MAX(C_air_CO2,(pool_ret*Q459+pool_b)*N459+P459*O459))</f>
        <v>27.853116964726</v>
      </c>
      <c r="S459" s="41">
        <f>IF(AND(R459&gt;=CO2_pH_hi_mt,R460&lt;CO2_pH_hi_mt),EXP(LN(A459)+(LN(A460)-LN(A459))*(R459-CO2_pH_hi_mt)/(R459-R460)),0)</f>
        <v>0.0</v>
      </c>
    </row>
    <row r="460">
      <c r="A460" s="41">
        <f>A459*grid_ratio</f>
        <v>0.193148285285</v>
      </c>
      <c r="B460" s="41">
        <f>MAX(0,A460*60-spg_dur)</f>
        <v>10.938897117072</v>
      </c>
      <c r="C460" s="41">
        <f>k_eff_CO2*B460</f>
        <v>0.0001588425915574</v>
      </c>
      <c r="D460" s="41">
        <f>EXP(-C460)</f>
        <v>0.999841170023</v>
      </c>
      <c r="E460" s="41">
        <f>IF(C460&gt;0,(1-D460)/C460,1)</f>
        <v>0.999920582909</v>
      </c>
      <c r="F460" s="41">
        <f>IF(C460&gt;0,(C460-1+D460)/C460^2,1/2)</f>
        <v>0.499973527706</v>
      </c>
      <c r="G460" s="41">
        <f>(C_air_CO2/C_sat_CO2*F_vent_ex-CO2_fix_sched)*(B460/3600)/(V_L_CO2+Vg_CO2)</f>
        <v>-0.002098989924</v>
      </c>
      <c r="H460" s="41">
        <f>(G460*E460+pool_b*D460)/(1-pool_ret*D460)</f>
        <v>27.984978589556</v>
      </c>
      <c r="I460" s="41">
        <f>MIN(C_sat_CO2,MAX(C_air_CO2,(pool_ret*H460+pool_b)*E460+G460*F460))</f>
        <v>27.988250861036</v>
      </c>
      <c r="J460" s="41">
        <f>IF(AND(I460&gt;=CO2_pH_hi_mt,I461&lt;CO2_pH_hi_mt),EXP(LN(A460)+(LN(A461)-LN(A460))*(I460-CO2_pH_hi_mt)/(I460-I461)),0)</f>
        <v>0.0</v>
      </c>
      <c r="L460" s="41">
        <f>k_eff_CO2_l*B460</f>
        <v>0.0007961411497035</v>
      </c>
      <c r="M460" s="41">
        <f>EXP(-L460)</f>
        <v>0.999204175687</v>
      </c>
      <c r="N460" s="41">
        <f>IF(L460&gt;0,(1-M460)/L460,1)</f>
        <v>0.999602035044</v>
      </c>
      <c r="O460" s="41">
        <f>IF(L460&gt;0,(L460-1+M460)/L460^2,1/2)</f>
        <v>0.499867336248</v>
      </c>
      <c r="P460" s="41">
        <f>(C_air_CO2/C_sat_CO2*F_vent_ex-CO2_fix_l)*(B460/3600)/(V_L_CO2+Vg_CO2)</f>
        <v>1.836035567446e-06</v>
      </c>
      <c r="Q460" s="41">
        <f>(P460*N460+pool_b*M460)/(1-pool_ret*M460)</f>
        <v>27.816298486416</v>
      </c>
      <c r="R460" s="41">
        <f>MIN(C_sat_CO2,MAX(C_air_CO2,(pool_ret*Q460+pool_b)*N460+P460*O460))</f>
        <v>27.827373357184</v>
      </c>
      <c r="S460" s="41">
        <f>IF(AND(R460&gt;=CO2_pH_hi_mt,R461&lt;CO2_pH_hi_mt),EXP(LN(A460)+(LN(A461)-LN(A460))*(R460-CO2_pH_hi_mt)/(R460-R461)),0)</f>
        <v>0.0</v>
      </c>
    </row>
    <row r="461">
      <c r="A461" s="41">
        <f>A460*grid_ratio</f>
        <v>0.216338542766</v>
      </c>
      <c r="B461" s="41">
        <f>MAX(0,A461*60-spg_dur)</f>
        <v>12.330312565988</v>
      </c>
      <c r="C461" s="41">
        <f>k_eff_CO2*B461</f>
        <v>0.0001790471911138</v>
      </c>
      <c r="D461" s="41">
        <f>EXP(-C461)</f>
        <v>0.999820968837</v>
      </c>
      <c r="E461" s="41">
        <f>IF(C461&gt;0,(1-D461)/C461,1)</f>
        <v>0.999910481747</v>
      </c>
      <c r="F461" s="41">
        <f>IF(C461&gt;0,(C461-1+D461)/C461^2,1/2)</f>
        <v>0.499970159888</v>
      </c>
      <c r="G461" s="41">
        <f>(C_air_CO2/C_sat_CO2*F_vent_ex-CO2_fix_sched)*(B461/3600)/(V_L_CO2+Vg_CO2)</f>
        <v>-0.002365979089</v>
      </c>
      <c r="H461" s="41">
        <f>(G461*E461+pool_b*D461)/(1-pool_ret*D461)</f>
        <v>27.975998287715</v>
      </c>
      <c r="I461" s="41">
        <f>MIN(C_sat_CO2,MAX(C_air_CO2,(pool_ret*H461+pool_b)*E461+G461*F461))</f>
        <v>27.9796860093</v>
      </c>
      <c r="J461" s="41">
        <f>IF(AND(I461&gt;=CO2_pH_hi_mt,I462&lt;CO2_pH_hi_mt),EXP(LN(A461)+(LN(A462)-LN(A461))*(I461-CO2_pH_hi_mt)/(I461-I462)),0)</f>
        <v>0.0</v>
      </c>
      <c r="L461" s="41">
        <f>k_eff_CO2_l*B461</f>
        <v>0.0008974094113353</v>
      </c>
      <c r="M461" s="41">
        <f>EXP(-L461)</f>
        <v>0.99910299314</v>
      </c>
      <c r="N461" s="41">
        <f>IF(L461&gt;0,(1-M461)/L461,1)</f>
        <v>0.999551429488</v>
      </c>
      <c r="O461" s="41">
        <f>IF(L461&gt;0,(L461-1+M461)/L461^2,1/2)</f>
        <v>0.499850465346</v>
      </c>
      <c r="P461" s="41">
        <f>(C_air_CO2/C_sat_CO2*F_vent_ex-CO2_fix_l)*(B461/3600)/(V_L_CO2+Vg_CO2)</f>
        <v>2.069577233116e-06</v>
      </c>
      <c r="Q461" s="41">
        <f>(P461*N461+pool_b*M461)/(1-pool_ret*M461)</f>
        <v>27.786124798155</v>
      </c>
      <c r="R461" s="41">
        <f>MIN(C_sat_CO2,MAX(C_air_CO2,(pool_ret*Q461+pool_b)*N461+P461*O461))</f>
        <v>27.798595258404</v>
      </c>
      <c r="S461" s="41">
        <f>IF(AND(R461&gt;=CO2_pH_hi_mt,R462&lt;CO2_pH_hi_mt),EXP(LN(A461)+(LN(A462)-LN(A461))*(R461-CO2_pH_hi_mt)/(R461-R462)),0)</f>
        <v>0.0</v>
      </c>
    </row>
    <row r="462">
      <c r="A462" s="41">
        <f>A461*grid_ratio</f>
        <v>0.24231312754</v>
      </c>
      <c r="B462" s="41">
        <f>MAX(0,A462*60-spg_dur)</f>
        <v>13.888787652411</v>
      </c>
      <c r="C462" s="41">
        <f>k_eff_CO2*B462</f>
        <v>0.0002016776463558</v>
      </c>
      <c r="D462" s="41">
        <f>EXP(-C462)</f>
        <v>0.999798342689</v>
      </c>
      <c r="E462" s="41">
        <f>IF(C462&gt;0,(1-D462)/C462,1)</f>
        <v>0.999899167955</v>
      </c>
      <c r="F462" s="41">
        <f>IF(C462&gt;0,(C462-1+D462)/C462^2,1/2)</f>
        <v>0.4999663895</v>
      </c>
      <c r="G462" s="41">
        <f>(C_air_CO2/C_sat_CO2*F_vent_ex-CO2_fix_sched)*(B462/3600)/(V_L_CO2+Vg_CO2)</f>
        <v>-0.002665024182</v>
      </c>
      <c r="H462" s="41">
        <f>(G462*E462+pool_b*D462)/(1-pool_ret*D462)</f>
        <v>27.965944201967</v>
      </c>
      <c r="I462" s="41">
        <f>MIN(C_sat_CO2,MAX(C_air_CO2,(pool_ret*H462+pool_b)*E462+G462*F462))</f>
        <v>27.970097046132</v>
      </c>
      <c r="J462" s="41">
        <f>IF(AND(I462&gt;=CO2_pH_hi_mt,I463&lt;CO2_pH_hi_mt),EXP(LN(A462)+(LN(A463)-LN(A462))*(I462-CO2_pH_hi_mt)/(I462-I463)),0)</f>
        <v>0.0</v>
      </c>
      <c r="L462" s="41">
        <f>k_eff_CO2_l*B462</f>
        <v>0.001010836399</v>
      </c>
      <c r="M462" s="41">
        <f>EXP(-L462)</f>
        <v>0.998989674324</v>
      </c>
      <c r="N462" s="41">
        <f>IF(L462&gt;0,(1-M462)/L462,1)</f>
        <v>0.999494752056</v>
      </c>
      <c r="O462" s="41">
        <f>IF(L462&gt;0,(L462-1+M462)/L462^2,1/2)</f>
        <v>0.499831569912</v>
      </c>
      <c r="P462" s="41">
        <f>(C_air_CO2/C_sat_CO2*F_vent_ex-CO2_fix_l)*(B462/3600)/(V_L_CO2+Vg_CO2)</f>
        <v>2.33115896837e-06</v>
      </c>
      <c r="Q462" s="41">
        <f>(P462*N462+pool_b*M462)/(1-pool_ret*M462)</f>
        <v>27.752402339962</v>
      </c>
      <c r="R462" s="41">
        <f>MIN(C_sat_CO2,MAX(C_air_CO2,(pool_ret*Q462+pool_b)*N462+P462*O462))</f>
        <v>27.766432470593</v>
      </c>
      <c r="S462" s="41">
        <f>IF(AND(R462&gt;=CO2_pH_hi_mt,R463&lt;CO2_pH_hi_mt),EXP(LN(A462)+(LN(A463)-LN(A462))*(R462-CO2_pH_hi_mt)/(R462-R463)),0)</f>
        <v>0.0</v>
      </c>
    </row>
    <row r="463">
      <c r="A463" s="41">
        <f>A462*grid_ratio</f>
        <v>0.271406338545</v>
      </c>
      <c r="B463" s="41">
        <f>MAX(0,A463*60-spg_dur)</f>
        <v>15.634380312671</v>
      </c>
      <c r="C463" s="41">
        <f>k_eff_CO2*B463</f>
        <v>0.0002270252164985</v>
      </c>
      <c r="D463" s="41">
        <f>EXP(-C463)</f>
        <v>0.999773000552</v>
      </c>
      <c r="E463" s="41">
        <f>IF(C463&gt;0,(1-D463)/C463,1)</f>
        <v>0.999886495981</v>
      </c>
      <c r="F463" s="41">
        <f>IF(C463&gt;0,(C463-1+D463)/C463^2,1/2)</f>
        <v>0.499962164475</v>
      </c>
      <c r="G463" s="41">
        <f>(C_air_CO2/C_sat_CO2*F_vent_ex-CO2_fix_sched)*(B463/3600)/(V_L_CO2+Vg_CO2)</f>
        <v>-0.002999973982</v>
      </c>
      <c r="H463" s="41">
        <f>(G463*E463+pool_b*D463)/(1-pool_ret*D463)</f>
        <v>27.954688533147</v>
      </c>
      <c r="I463" s="41">
        <f>MIN(C_sat_CO2,MAX(C_air_CO2,(pool_ret*H463+pool_b)*E463+G463*F463))</f>
        <v>27.959362083412</v>
      </c>
      <c r="J463" s="41">
        <f>IF(AND(I463&gt;=CO2_pH_hi_mt,I464&lt;CO2_pH_hi_mt),EXP(LN(A463)+(LN(A464)-LN(A463))*(I463-CO2_pH_hi_mt)/(I463-I464)),0)</f>
        <v>0.0</v>
      </c>
      <c r="L463" s="41">
        <f>k_eff_CO2_l*B463</f>
        <v>0.001137881944</v>
      </c>
      <c r="M463" s="41">
        <f>EXP(-L463)</f>
        <v>0.998862765198</v>
      </c>
      <c r="N463" s="41">
        <f>IF(L463&gt;0,(1-M463)/L463,1)</f>
        <v>0.999431274762</v>
      </c>
      <c r="O463" s="41">
        <f>IF(L463&gt;0,(L463-1+M463)/L463^2,1/2)</f>
        <v>0.499810406935</v>
      </c>
      <c r="P463" s="41">
        <f>(C_air_CO2/C_sat_CO2*F_vent_ex-CO2_fix_l)*(B463/3600)/(V_L_CO2+Vg_CO2)</f>
        <v>2.624147390896e-06</v>
      </c>
      <c r="Q463" s="41">
        <f>(P463*N463+pool_b*M463)/(1-pool_ret*M463)</f>
        <v>27.714723548707</v>
      </c>
      <c r="R463" s="41">
        <f>MIN(C_sat_CO2,MAX(C_air_CO2,(pool_ret*Q463+pool_b)*N463+P463*O463))</f>
        <v>27.730496260315</v>
      </c>
      <c r="S463" s="41">
        <f>IF(AND(R463&gt;=CO2_pH_hi_mt,R464&lt;CO2_pH_hi_mt),EXP(LN(A463)+(LN(A464)-LN(A463))*(R463-CO2_pH_hi_mt)/(R463-R464)),0)</f>
        <v>0.0</v>
      </c>
    </row>
    <row r="464">
      <c r="A464" s="41">
        <f>A463*grid_ratio</f>
        <v>0.303992612162</v>
      </c>
      <c r="B464" s="41">
        <f>MAX(0,A464*60-spg_dur)</f>
        <v>17.589556729734</v>
      </c>
      <c r="C464" s="41">
        <f>k_eff_CO2*B464</f>
        <v>0.0002554161306569</v>
      </c>
      <c r="D464" s="41">
        <f>EXP(-C464)</f>
        <v>0.999744616485</v>
      </c>
      <c r="E464" s="41">
        <f>IF(C464&gt;0,(1-D464)/C464,1)</f>
        <v>0.999872302807</v>
      </c>
      <c r="F464" s="41">
        <f>IF(C464&gt;0,(C464-1+D464)/C464^2,1/2)</f>
        <v>0.499957433352</v>
      </c>
      <c r="G464" s="41">
        <f>(C_air_CO2/C_sat_CO2*F_vent_ex-CO2_fix_sched)*(B464/3600)/(V_L_CO2+Vg_CO2)</f>
        <v>-0.003375139372</v>
      </c>
      <c r="H464" s="41">
        <f>(G464*E464+pool_b*D464)/(1-pool_ret*D464)</f>
        <v>27.942088422528</v>
      </c>
      <c r="I464" s="41">
        <f>MIN(C_sat_CO2,MAX(C_air_CO2,(pool_ret*H464+pool_b)*E464+G464*F464))</f>
        <v>27.947344869786</v>
      </c>
      <c r="J464" s="41">
        <f>IF(AND(I464&gt;=CO2_pH_hi_mt,I465&lt;CO2_pH_hi_mt),EXP(LN(A464)+(LN(A465)-LN(A464))*(I464-CO2_pH_hi_mt)/(I464-I465)),0)</f>
        <v>0.0</v>
      </c>
      <c r="L464" s="41">
        <f>k_eff_CO2_l*B464</f>
        <v>0.001280181152</v>
      </c>
      <c r="M464" s="41">
        <f>EXP(-L464)</f>
        <v>0.99872063793</v>
      </c>
      <c r="N464" s="41">
        <f>IF(L464&gt;0,(1-M464)/L464,1)</f>
        <v>0.99936018248</v>
      </c>
      <c r="O464" s="41">
        <f>IF(L464&gt;0,(L464-1+M464)/L464^2,1/2)</f>
        <v>0.499786704736</v>
      </c>
      <c r="P464" s="41">
        <f>(C_air_CO2/C_sat_CO2*F_vent_ex-CO2_fix_l)*(B464/3600)/(V_L_CO2+Vg_CO2)</f>
        <v>2.952313329742e-06</v>
      </c>
      <c r="Q464" s="41">
        <f>(P464*N464+pool_b*M464)/(1-pool_ret*M464)</f>
        <v>27.672636512444</v>
      </c>
      <c r="R464" s="41">
        <f>MIN(C_sat_CO2,MAX(C_air_CO2,(pool_ret*Q464+pool_b)*N464+P464*O464))</f>
        <v>27.690355590542</v>
      </c>
      <c r="S464" s="41">
        <f>IF(AND(R464&gt;=CO2_pH_hi_mt,R465&lt;CO2_pH_hi_mt),EXP(LN(A464)+(LN(A465)-LN(A464))*(R464-CO2_pH_hi_mt)/(R464-R465)),0)</f>
        <v>0.0</v>
      </c>
    </row>
    <row r="465">
      <c r="A465" s="41">
        <f>A464*grid_ratio</f>
        <v>0.340491341303</v>
      </c>
      <c r="B465" s="41">
        <f>MAX(0,A465*60-spg_dur)</f>
        <v>19.779480478194</v>
      </c>
      <c r="C465" s="41">
        <f>k_eff_CO2*B465</f>
        <v>0.0002872157864902</v>
      </c>
      <c r="D465" s="41">
        <f>EXP(-C465)</f>
        <v>0.999712825456</v>
      </c>
      <c r="E465" s="41">
        <f>IF(C465&gt;0,(1-D465)/C465,1)</f>
        <v>0.999856405854</v>
      </c>
      <c r="F465" s="41">
        <f>IF(C465&gt;0,(C465-1+D465)/C465^2,1/2)</f>
        <v>0.499952134143</v>
      </c>
      <c r="G465" s="41">
        <f>(C_air_CO2/C_sat_CO2*F_vent_ex-CO2_fix_sched)*(B465/3600)/(V_L_CO2+Vg_CO2)</f>
        <v>-0.003795348817</v>
      </c>
      <c r="H465" s="41">
        <f>(G465*E465+pool_b*D465)/(1-pool_ret*D465)</f>
        <v>27.927984215505</v>
      </c>
      <c r="I465" s="41">
        <f>MIN(C_sat_CO2,MAX(C_air_CO2,(pool_ret*H465+pool_b)*E465+G465*F465))</f>
        <v>27.933893134584</v>
      </c>
      <c r="J465" s="41">
        <f>IF(AND(I465&gt;=CO2_pH_hi_mt,I466&lt;CO2_pH_hi_mt),EXP(LN(A465)+(LN(A466)-LN(A465))*(I465-CO2_pH_hi_mt)/(I465-I466)),0)</f>
        <v>0.0</v>
      </c>
      <c r="L465" s="41">
        <f>k_eff_CO2_l*B465</f>
        <v>0.001439565448</v>
      </c>
      <c r="M465" s="41">
        <f>EXP(-L465)</f>
        <v>0.998561470229</v>
      </c>
      <c r="N465" s="41">
        <f>IF(L465&gt;0,(1-M465)/L465,1)</f>
        <v>0.999280562543</v>
      </c>
      <c r="O465" s="41">
        <f>IF(L465&gt;0,(L465-1+M465)/L465^2,1/2)</f>
        <v>0.499760158713</v>
      </c>
      <c r="P465" s="41">
        <f>(C_air_CO2/C_sat_CO2*F_vent_ex-CO2_fix_l)*(B465/3600)/(V_L_CO2+Vg_CO2)</f>
        <v>3.319880356759e-06</v>
      </c>
      <c r="Q465" s="41">
        <f>(P465*N465+pool_b*M465)/(1-pool_ret*M465)</f>
        <v>27.625640761928</v>
      </c>
      <c r="R465" s="41">
        <f>MIN(C_sat_CO2,MAX(C_air_CO2,(pool_ret*Q465+pool_b)*N465+P465*O465))</f>
        <v>27.645533105246</v>
      </c>
      <c r="S465" s="41">
        <f>IF(AND(R465&gt;=CO2_pH_hi_mt,R466&lt;CO2_pH_hi_mt),EXP(LN(A465)+(LN(A466)-LN(A465))*(R465-CO2_pH_hi_mt)/(R465-R466)),0)</f>
        <v>0.0</v>
      </c>
    </row>
    <row r="466">
      <c r="A466" s="41">
        <f>A465*grid_ratio</f>
        <v>0.381372273089</v>
      </c>
      <c r="B466" s="41">
        <f>MAX(0,A466*60-spg_dur)</f>
        <v>22.232336385319</v>
      </c>
      <c r="C466" s="41">
        <f>k_eff_CO2*B466</f>
        <v>0.0003228334529546</v>
      </c>
      <c r="D466" s="41">
        <f>EXP(-C466)</f>
        <v>0.999677218652</v>
      </c>
      <c r="E466" s="41">
        <f>IF(C466&gt;0,(1-D466)/C466,1)</f>
        <v>0.999838600642</v>
      </c>
      <c r="F466" s="41">
        <f>IF(C466&gt;0,(C466-1+D466)/C466^2,1/2)</f>
        <v>0.499946198387</v>
      </c>
      <c r="G466" s="41">
        <f>(C_air_CO2/C_sat_CO2*F_vent_ex-CO2_fix_sched)*(B466/3600)/(V_L_CO2+Vg_CO2)</f>
        <v>-0.004266010509</v>
      </c>
      <c r="H466" s="41">
        <f>(G466*E466+pool_b*D466)/(1-pool_ret*D466)</f>
        <v>27.912197534837</v>
      </c>
      <c r="I466" s="41">
        <f>MIN(C_sat_CO2,MAX(C_air_CO2,(pool_ret*H466+pool_b)*E466+G466*F466))</f>
        <v>27.918836750082</v>
      </c>
      <c r="J466" s="41">
        <f>IF(AND(I466&gt;=CO2_pH_hi_mt,I467&lt;CO2_pH_hi_mt),EXP(LN(A466)+(LN(A467)-LN(A466))*(I466-CO2_pH_hi_mt)/(I466-I467)),0)</f>
        <v>0.0</v>
      </c>
      <c r="L466" s="41">
        <f>k_eff_CO2_l*B466</f>
        <v>0.001618086144</v>
      </c>
      <c r="M466" s="41">
        <f>EXP(-L466)</f>
        <v>0.998383222252</v>
      </c>
      <c r="N466" s="41">
        <f>IF(L466&gt;0,(1-M466)/L466,1)</f>
        <v>0.999191393119</v>
      </c>
      <c r="O466" s="41">
        <f>IF(L466&gt;0,(L466-1+M466)/L466^2,1/2)</f>
        <v>0.499730428046</v>
      </c>
      <c r="P466" s="41">
        <f>(C_air_CO2/C_sat_CO2*F_vent_ex-CO2_fix_l)*(B466/3600)/(V_L_CO2+Vg_CO2)</f>
        <v>3.731579144956e-06</v>
      </c>
      <c r="Q466" s="41">
        <f>(P466*N466+pool_b*M466)/(1-pool_ret*M466)</f>
        <v>27.573182821062</v>
      </c>
      <c r="R466" s="41">
        <f>MIN(C_sat_CO2,MAX(C_air_CO2,(pool_ret*Q466+pool_b)*N466+P466*O466))</f>
        <v>27.595500883692</v>
      </c>
      <c r="S466" s="41">
        <f>IF(AND(R466&gt;=CO2_pH_hi_mt,R467&lt;CO2_pH_hi_mt),EXP(LN(A466)+(LN(A467)-LN(A466))*(R466-CO2_pH_hi_mt)/(R466-R467)),0)</f>
        <v>0.0</v>
      </c>
    </row>
    <row r="467">
      <c r="A467" s="41">
        <f>A466*grid_ratio</f>
        <v>0.427161554606</v>
      </c>
      <c r="B467" s="41">
        <f>MAX(0,A467*60-spg_dur)</f>
        <v>24.979693276332</v>
      </c>
      <c r="C467" s="41">
        <f>k_eff_CO2*B467</f>
        <v>0.0003627275376901</v>
      </c>
      <c r="D467" s="41">
        <f>EXP(-C467)</f>
        <v>0.99963733824</v>
      </c>
      <c r="E467" s="41">
        <f>IF(C467&gt;0,(1-D467)/C467,1)</f>
        <v>0.999818658158</v>
      </c>
      <c r="F467" s="41">
        <f>IF(C467&gt;0,(C467-1+D467)/C467^2,1/2)</f>
        <v>0.499939551164</v>
      </c>
      <c r="G467" s="41">
        <f>(C_air_CO2/C_sat_CO2*F_vent_ex-CO2_fix_sched)*(B467/3600)/(V_L_CO2+Vg_CO2)</f>
        <v>-0.004793181976</v>
      </c>
      <c r="H467" s="41">
        <f>(G467*E467+pool_b*D467)/(1-pool_ret*D467)</f>
        <v>27.894529145055</v>
      </c>
      <c r="I467" s="41">
        <f>MIN(C_sat_CO2,MAX(C_air_CO2,(pool_ret*H467+pool_b)*E467+G467*F467))</f>
        <v>27.901985694515</v>
      </c>
      <c r="J467" s="41">
        <f>IF(AND(I467&gt;=CO2_pH_hi_mt,I468&lt;CO2_pH_hi_mt),EXP(LN(A467)+(LN(A468)-LN(A467))*(I467-CO2_pH_hi_mt)/(I467-I468)),0)</f>
        <v>0.0</v>
      </c>
      <c r="L467" s="41">
        <f>k_eff_CO2_l*B467</f>
        <v>0.001818040842</v>
      </c>
      <c r="M467" s="41">
        <f>EXP(-L467)</f>
        <v>0.998183610793</v>
      </c>
      <c r="N467" s="41">
        <f>IF(L467&gt;0,(1-M467)/L467,1)</f>
        <v>0.999091530207</v>
      </c>
      <c r="O467" s="41">
        <f>IF(L467&gt;0,(L467-1+M467)/L467^2,1/2)</f>
        <v>0.499697130864</v>
      </c>
      <c r="P467" s="41">
        <f>(C_air_CO2/C_sat_CO2*F_vent_ex-CO2_fix_l)*(B467/3600)/(V_L_CO2+Vg_CO2)</f>
        <v>4.192708353356e-06</v>
      </c>
      <c r="Q467" s="41">
        <f>(P467*N467+pool_b*M467)/(1-pool_ret*M467)</f>
        <v>27.514651546922</v>
      </c>
      <c r="R467" s="41">
        <f>MIN(C_sat_CO2,MAX(C_air_CO2,(pool_ret*Q467+pool_b)*N467+P467*O467))</f>
        <v>27.539675993557</v>
      </c>
      <c r="S467" s="41">
        <f>IF(AND(R467&gt;=CO2_pH_hi_mt,R468&lt;CO2_pH_hi_mt),EXP(LN(A467)+(LN(A468)-LN(A467))*(R467-CO2_pH_hi_mt)/(R467-R468)),0)</f>
        <v>0.0</v>
      </c>
    </row>
    <row r="468">
      <c r="A468" s="41">
        <f>A467*grid_ratio</f>
        <v>0.478448504542</v>
      </c>
      <c r="B468" s="41">
        <f>MAX(0,A468*60-spg_dur)</f>
        <v>28.056910272514</v>
      </c>
      <c r="C468" s="41">
        <f>k_eff_CO2*B468</f>
        <v>0.000407411486833</v>
      </c>
      <c r="D468" s="41">
        <f>EXP(-C468)</f>
        <v>0.999592671494</v>
      </c>
      <c r="E468" s="41">
        <f>IF(C468&gt;0,(1-D468)/C468,1)</f>
        <v>0.999796321918</v>
      </c>
      <c r="F468" s="41">
        <f>IF(C468&gt;0,(C468-1+D468)/C468^2,1/2)</f>
        <v>0.499932105242</v>
      </c>
      <c r="G468" s="41">
        <f>(C_air_CO2/C_sat_CO2*F_vent_ex-CO2_fix_sched)*(B468/3600)/(V_L_CO2+Vg_CO2)</f>
        <v>-0.005383648035</v>
      </c>
      <c r="H468" s="41">
        <f>(G468*E468+pool_b*D468)/(1-pool_ret*D468)</f>
        <v>27.874756588559</v>
      </c>
      <c r="I468" s="41">
        <f>MIN(C_sat_CO2,MAX(C_air_CO2,(pool_ret*H468+pool_b)*E468+G468*F468))</f>
        <v>27.883127797389</v>
      </c>
      <c r="J468" s="41">
        <f>IF(AND(I468&gt;=CO2_pH_hi_mt,I469&lt;CO2_pH_hi_mt),EXP(LN(A468)+(LN(A469)-LN(A468))*(I468-CO2_pH_hi_mt)/(I468-I469)),0)</f>
        <v>0.0</v>
      </c>
      <c r="L468" s="41">
        <f>k_eff_CO2_l*B468</f>
        <v>0.002042003007</v>
      </c>
      <c r="M468" s="41">
        <f>EXP(-L468)</f>
        <v>0.997960080463</v>
      </c>
      <c r="N468" s="41">
        <f>IF(L468&gt;0,(1-M468)/L468,1)</f>
        <v>0.998979693105</v>
      </c>
      <c r="O468" s="41">
        <f>IF(L468&gt;0,(L468-1+M468)/L468^2,1/2)</f>
        <v>0.499659839837</v>
      </c>
      <c r="P468" s="41">
        <f>(C_air_CO2/C_sat_CO2*F_vent_ex-CO2_fix_l)*(B468/3600)/(V_L_CO2+Vg_CO2)</f>
        <v>4.709202821973e-06</v>
      </c>
      <c r="Q468" s="41">
        <f>(P468*N468+pool_b*M468)/(1-pool_ret*M468)</f>
        <v>27.44937330595</v>
      </c>
      <c r="R468" s="41">
        <f>MIN(C_sat_CO2,MAX(C_air_CO2,(pool_ret*Q468+pool_b)*N468+P468*O468))</f>
        <v>27.477415887188</v>
      </c>
      <c r="S468" s="41">
        <f>IF(AND(R468&gt;=CO2_pH_hi_mt,R469&lt;CO2_pH_hi_mt),EXP(LN(A468)+(LN(A469)-LN(A468))*(R468-CO2_pH_hi_mt)/(R468-R469)),0)</f>
        <v>0.0</v>
      </c>
    </row>
    <row r="469">
      <c r="A469" s="41">
        <f>A468*grid_ratio</f>
        <v>0.535893197855</v>
      </c>
      <c r="B469" s="41">
        <f>MAX(0,A469*60-spg_dur)</f>
        <v>31.503591871316</v>
      </c>
      <c r="C469" s="41">
        <f>k_eff_CO2*B469</f>
        <v>0.0004574603931869</v>
      </c>
      <c r="D469" s="41">
        <f>EXP(-C469)</f>
        <v>0.999542644226</v>
      </c>
      <c r="E469" s="41">
        <f>IF(C469&gt;0,(1-D469)/C469,1)</f>
        <v>0.999771304678</v>
      </c>
      <c r="F469" s="41">
        <f>IF(C469&gt;0,(C469-1+D469)/C469^2,1/2)</f>
        <v>0.499923765043</v>
      </c>
      <c r="G469" s="41">
        <f>(C_air_CO2/C_sat_CO2*F_vent_ex-CO2_fix_sched)*(B469/3600)/(V_L_CO2+Vg_CO2)</f>
        <v>-0.006045008121</v>
      </c>
      <c r="H469" s="41">
        <f>(G469*E469+pool_b*D469)/(1-pool_ret*D469)</f>
        <v>27.852631572936</v>
      </c>
      <c r="I469" s="41">
        <f>MIN(C_sat_CO2,MAX(C_air_CO2,(pool_ret*H469+pool_b)*E469+G469*F469))</f>
        <v>27.862026247405</v>
      </c>
      <c r="J469" s="41">
        <f>IF(AND(I469&gt;=CO2_pH_hi_mt,I470&lt;CO2_pH_hi_mt),EXP(LN(A469)+(LN(A470)-LN(A469))*(I469-CO2_pH_hi_mt)/(I469-I470)),0)</f>
        <v>0.0</v>
      </c>
      <c r="L469" s="41">
        <f>k_eff_CO2_l*B469</f>
        <v>0.002292855083</v>
      </c>
      <c r="M469" s="41">
        <f>EXP(-L469)</f>
        <v>0.997709771502</v>
      </c>
      <c r="N469" s="41">
        <f>IF(L469&gt;0,(1-M469)/L469,1)</f>
        <v>0.998854448154</v>
      </c>
      <c r="O469" s="41">
        <f>IF(L469&gt;0,(L469-1+M469)/L469^2,1/2)</f>
        <v>0.49961807643</v>
      </c>
      <c r="P469" s="41">
        <f>(C_air_CO2/C_sat_CO2*F_vent_ex-CO2_fix_l)*(B469/3600)/(V_L_CO2+Vg_CO2)</f>
        <v>5.287709954579e-06</v>
      </c>
      <c r="Q469" s="41">
        <f>(P469*N469+pool_b*M469)/(1-pool_ret*M469)</f>
        <v>27.376607052844</v>
      </c>
      <c r="R469" s="41">
        <f>MIN(C_sat_CO2,MAX(C_air_CO2,(pool_ret*Q469+pool_b)*N469+P469*O469))</f>
        <v>27.408013704348</v>
      </c>
      <c r="S469" s="41">
        <f>IF(AND(R469&gt;=CO2_pH_hi_mt,R470&lt;CO2_pH_hi_mt),EXP(LN(A469)+(LN(A470)-LN(A469))*(R469-CO2_pH_hi_mt)/(R469-R470)),0)</f>
        <v>0.0</v>
      </c>
    </row>
    <row r="470">
      <c r="A470" s="41">
        <f>A469*grid_ratio</f>
        <v>0.600234961091</v>
      </c>
      <c r="B470" s="41">
        <f>MAX(0,A470*60-spg_dur)</f>
        <v>35.364097665433</v>
      </c>
      <c r="C470" s="41">
        <f>k_eff_CO2*B470</f>
        <v>0.0005135183978008</v>
      </c>
      <c r="D470" s="41">
        <f>EXP(-C470)</f>
        <v>0.99948661343</v>
      </c>
      <c r="E470" s="41">
        <f>IF(C470&gt;0,(1-D470)/C470,1)</f>
        <v>0.999743284746</v>
      </c>
      <c r="F470" s="41">
        <f>IF(C470&gt;0,(C470-1+D470)/C470^2,1/2)</f>
        <v>0.499914424862</v>
      </c>
      <c r="G470" s="41">
        <f>(C_air_CO2/C_sat_CO2*F_vent_ex-CO2_fix_sched)*(B470/3600)/(V_L_CO2+Vg_CO2)</f>
        <v>-0.006785774094</v>
      </c>
      <c r="H470" s="41">
        <f>(G470*E470+pool_b*D470)/(1-pool_ret*D470)</f>
        <v>27.827877088271</v>
      </c>
      <c r="I470" s="41">
        <f>MIN(C_sat_CO2,MAX(C_air_CO2,(pool_ret*H470+pool_b)*E470+G470*F470))</f>
        <v>27.838416842784</v>
      </c>
      <c r="J470" s="41">
        <f>IF(AND(I470&gt;=CO2_pH_hi_mt,I471&lt;CO2_pH_hi_mt),EXP(LN(A470)+(LN(A471)-LN(A470))*(I470-CO2_pH_hi_mt)/(I470-I471)),0)</f>
        <v>0.0</v>
      </c>
      <c r="L470" s="41">
        <f>k_eff_CO2_l*B470</f>
        <v>0.002573825594</v>
      </c>
      <c r="M470" s="41">
        <f>EXP(-L470)</f>
        <v>0.997429483855</v>
      </c>
      <c r="N470" s="41">
        <f>IF(L470&gt;0,(1-M470)/L470,1)</f>
        <v>0.998714190589</v>
      </c>
      <c r="O470" s="41">
        <f>IF(L470&gt;0,(L470-1+M470)/L470^2,1/2)</f>
        <v>0.499571304938</v>
      </c>
      <c r="P470" s="41">
        <f>(C_air_CO2/C_sat_CO2*F_vent_ex-CO2_fix_l)*(B470/3600)/(V_L_CO2+Vg_CO2)</f>
        <v>5.935675272332e-06</v>
      </c>
      <c r="Q470" s="41">
        <f>(P470*N470+pool_b*M470)/(1-pool_ret*M470)</f>
        <v>27.29553940323</v>
      </c>
      <c r="R470" s="41">
        <f>MIN(C_sat_CO2,MAX(C_air_CO2,(pool_ret*Q470+pool_b)*N470+P470*O470))</f>
        <v>27.330693568117</v>
      </c>
      <c r="S470" s="41">
        <f>IF(AND(R470&gt;=CO2_pH_hi_mt,R471&lt;CO2_pH_hi_mt),EXP(LN(A470)+(LN(A471)-LN(A470))*(R470-CO2_pH_hi_mt)/(R470-R471)),0)</f>
        <v>0.0</v>
      </c>
    </row>
    <row r="471">
      <c r="A471" s="41">
        <f>A470*grid_ratio</f>
        <v>0.672301887685</v>
      </c>
      <c r="B471" s="41">
        <f>MAX(0,A471*60-spg_dur)</f>
        <v>39.68811326107</v>
      </c>
      <c r="C471" s="41">
        <f>k_eff_CO2*B471</f>
        <v>0.000576306980214</v>
      </c>
      <c r="D471" s="41">
        <f>EXP(-C471)</f>
        <v>0.999423859053</v>
      </c>
      <c r="E471" s="41">
        <f>IF(C471&gt;0,(1-D471)/C471,1)</f>
        <v>0.999711901857</v>
      </c>
      <c r="F471" s="41">
        <f>IF(C471&gt;0,(C471-1+D471)/C471^2,1/2)</f>
        <v>0.499903962847</v>
      </c>
      <c r="G471" s="41">
        <f>(C_air_CO2/C_sat_CO2*F_vent_ex-CO2_fix_sched)*(B471/3600)/(V_L_CO2+Vg_CO2)</f>
        <v>-0.007615479783</v>
      </c>
      <c r="H471" s="41">
        <f>(G471*E471+pool_b*D471)/(1-pool_ret*D471)</f>
        <v>27.800184232766</v>
      </c>
      <c r="I471" s="41">
        <f>MIN(C_sat_CO2,MAX(C_air_CO2,(pool_ret*H471+pool_b)*E471+G471*F471))</f>
        <v>27.812004963448</v>
      </c>
      <c r="J471" s="41">
        <f>IF(AND(I471&gt;=CO2_pH_hi_mt,I472&lt;CO2_pH_hi_mt),EXP(LN(A471)+(LN(A472)-LN(A471))*(I471-CO2_pH_hi_mt)/(I471-I472)),0)</f>
        <v>0.0</v>
      </c>
      <c r="L471" s="41">
        <f>k_eff_CO2_l*B471</f>
        <v>0.002888530698</v>
      </c>
      <c r="M471" s="41">
        <f>EXP(-L471)</f>
        <v>0.997115637093</v>
      </c>
      <c r="N471" s="41">
        <f>IF(L471&gt;0,(1-M471)/L471,1)</f>
        <v>0.998557124249</v>
      </c>
      <c r="O471" s="41">
        <f>IF(L471&gt;0,(L471-1+M471)/L471^2,1/2)</f>
        <v>0.499518925659</v>
      </c>
      <c r="P471" s="41">
        <f>(C_air_CO2/C_sat_CO2*F_vent_ex-CO2_fix_l)*(B471/3600)/(V_L_CO2+Vg_CO2)</f>
        <v>6.661438239367e-06</v>
      </c>
      <c r="Q471" s="41">
        <f>(P471*N471+pool_b*M471)/(1-pool_ret*M471)</f>
        <v>27.205279821034</v>
      </c>
      <c r="R471" s="41">
        <f>MIN(C_sat_CO2,MAX(C_air_CO2,(pool_ret*Q471+pool_b)*N471+P471*O471))</f>
        <v>27.244605989097</v>
      </c>
      <c r="S471" s="41">
        <f>IF(AND(R471&gt;=CO2_pH_hi_mt,R472&lt;CO2_pH_hi_mt),EXP(LN(A471)+(LN(A472)-LN(A471))*(R471-CO2_pH_hi_mt)/(R471-R472)),0)</f>
        <v>0.0</v>
      </c>
    </row>
    <row r="472">
      <c r="A472" s="41">
        <f>A471*grid_ratio</f>
        <v>0.75302149572</v>
      </c>
      <c r="B472" s="41">
        <f>MAX(0,A472*60-spg_dur)</f>
        <v>44.53128974323</v>
      </c>
      <c r="C472" s="41">
        <f>k_eff_CO2*B472</f>
        <v>0.0006466342440655</v>
      </c>
      <c r="D472" s="41">
        <f>EXP(-C472)</f>
        <v>0.999353574779</v>
      </c>
      <c r="E472" s="41">
        <f>IF(C472&gt;0,(1-D472)/C472,1)</f>
        <v>0.999676752556</v>
      </c>
      <c r="F472" s="41">
        <f>IF(C472&gt;0,(C472-1+D472)/C472^2,1/2)</f>
        <v>0.499892245265</v>
      </c>
      <c r="G472" s="41">
        <f>(C_air_CO2/C_sat_CO2*F_vent_ex-CO2_fix_sched)*(B472/3600)/(V_L_CO2+Vg_CO2)</f>
        <v>-0.008544803693</v>
      </c>
      <c r="H472" s="41">
        <f>(G472*E472+pool_b*D472)/(1-pool_ret*D472)</f>
        <v>27.76920872494</v>
      </c>
      <c r="I472" s="41">
        <f>MIN(C_sat_CO2,MAX(C_air_CO2,(pool_ret*H472+pool_b)*E472+G472*F472))</f>
        <v>27.782462244001</v>
      </c>
      <c r="J472" s="41">
        <f>IF(AND(I472&gt;=CO2_pH_hi_mt,I473&lt;CO2_pH_hi_mt),EXP(LN(A472)+(LN(A473)-LN(A472))*(I472-CO2_pH_hi_mt)/(I472-I473)),0)</f>
        <v>0.0</v>
      </c>
      <c r="L472" s="41">
        <f>k_eff_CO2_l*B472</f>
        <v>0.00324102072</v>
      </c>
      <c r="M472" s="41">
        <f>EXP(-L472)</f>
        <v>0.996764225718</v>
      </c>
      <c r="N472" s="41">
        <f>IF(L472&gt;0,(1-M472)/L472,1)</f>
        <v>0.998381238925</v>
      </c>
      <c r="O472" s="41">
        <f>IF(L472&gt;0,(L472-1+M472)/L472^2,1/2)</f>
        <v>0.499460267282</v>
      </c>
      <c r="P472" s="41">
        <f>(C_air_CO2/C_sat_CO2*F_vent_ex-CO2_fix_l)*(B472/3600)/(V_L_CO2+Vg_CO2)</f>
        <v>7.474339593635e-06</v>
      </c>
      <c r="Q472" s="41">
        <f>(P472*N472+pool_b*M472)/(1-pool_ret*M472)</f>
        <v>27.104856077123</v>
      </c>
      <c r="R472" s="41">
        <f>MIN(C_sat_CO2,MAX(C_air_CO2,(pool_ret*Q472+pool_b)*N472+P472*O472))</f>
        <v>27.14882352701</v>
      </c>
      <c r="S472" s="41">
        <f>IF(AND(R472&gt;=CO2_pH_hi_mt,R473&lt;CO2_pH_hi_mt),EXP(LN(A472)+(LN(A473)-LN(A472))*(R472-CO2_pH_hi_mt)/(R472-R473)),0)</f>
        <v>0.0</v>
      </c>
    </row>
    <row r="473">
      <c r="A473" s="41">
        <f>A472*grid_ratio</f>
        <v>0.843432665302</v>
      </c>
      <c r="B473" s="41">
        <f>MAX(0,A473*60-spg_dur)</f>
        <v>49.955959918105</v>
      </c>
      <c r="C473" s="41">
        <f>k_eff_CO2*B473</f>
        <v>0.0007254053175749</v>
      </c>
      <c r="D473" s="41">
        <f>EXP(-C473)</f>
        <v>0.999274857725</v>
      </c>
      <c r="E473" s="41">
        <f>IF(C473&gt;0,(1-D473)/C473,1)</f>
        <v>0.999637385027</v>
      </c>
      <c r="F473" s="41">
        <f>IF(C473&gt;0,(C473-1+D473)/C473^2,1/2)</f>
        <v>0.499879120998</v>
      </c>
      <c r="G473" s="41">
        <f>(C_air_CO2/C_sat_CO2*F_vent_ex-CO2_fix_sched)*(B473/3600)/(V_L_CO2+Vg_CO2)</f>
        <v>-0.009585706438</v>
      </c>
      <c r="H473" s="41">
        <f>(G473*E473+pool_b*D473)/(1-pool_ret*D473)</f>
        <v>27.734567081256</v>
      </c>
      <c r="I473" s="41">
        <f>MIN(C_sat_CO2,MAX(C_air_CO2,(pool_ret*H473+pool_b)*E473+G473*F473))</f>
        <v>27.74942292765</v>
      </c>
      <c r="J473" s="41">
        <f>IF(AND(I473&gt;=CO2_pH_hi_mt,I474&lt;CO2_pH_hi_mt),EXP(LN(A473)+(LN(A474)-LN(A473))*(I473-CO2_pH_hi_mt)/(I473-I474)),0)</f>
        <v>0.0</v>
      </c>
      <c r="L473" s="41">
        <f>k_eff_CO2_l*B473</f>
        <v>0.003635832291</v>
      </c>
      <c r="M473" s="41">
        <f>EXP(-L473)</f>
        <v>0.996370769344</v>
      </c>
      <c r="N473" s="41">
        <f>IF(L473&gt;0,(1-M473)/L473,1)</f>
        <v>0.998184285066</v>
      </c>
      <c r="O473" s="41">
        <f>IF(L473&gt;0,(L473-1+M473)/L473^2,1/2)</f>
        <v>0.499394578354</v>
      </c>
      <c r="P473" s="41">
        <f>(C_air_CO2/C_sat_CO2*F_vent_ex-CO2_fix_l)*(B473/3600)/(V_L_CO2+Vg_CO2)</f>
        <v>8.384841564368e-06</v>
      </c>
      <c r="Q473" s="41">
        <f>(P473*N473+pool_b*M473)/(1-pool_ret*M473)</f>
        <v>26.993210177833</v>
      </c>
      <c r="R473" s="41">
        <f>MIN(C_sat_CO2,MAX(C_air_CO2,(pool_ret*Q473+pool_b)*N473+P473*O473))</f>
        <v>27.042336898806</v>
      </c>
      <c r="S473" s="41">
        <f>IF(AND(R473&gt;=CO2_pH_hi_mt,R474&lt;CO2_pH_hi_mt),EXP(LN(A473)+(LN(A474)-LN(A473))*(R473-CO2_pH_hi_mt)/(R473-R474)),0)</f>
        <v>0.0</v>
      </c>
    </row>
    <row r="474">
      <c r="A474" s="41">
        <f>A473*grid_ratio</f>
        <v>0.944699009179</v>
      </c>
      <c r="B474" s="41">
        <f>MAX(0,A474*60-spg_dur)</f>
        <v>56.031940550769</v>
      </c>
      <c r="C474" s="41">
        <f>k_eff_CO2*B474</f>
        <v>0.0008136340027537</v>
      </c>
      <c r="D474" s="41">
        <f>EXP(-C474)</f>
        <v>0.999186696908</v>
      </c>
      <c r="E474" s="41">
        <f>IF(C474&gt;0,(1-D474)/C474,1)</f>
        <v>0.99959329331</v>
      </c>
      <c r="F474" s="41">
        <f>IF(C474&gt;0,(C474-1+D474)/C474^2,1/2)</f>
        <v>0.499864421983</v>
      </c>
      <c r="G474" s="41">
        <f>(C_air_CO2/C_sat_CO2*F_vent_ex-CO2_fix_sched)*(B474/3600)/(V_L_CO2+Vg_CO2)</f>
        <v>-0.010751584679</v>
      </c>
      <c r="H474" s="41">
        <f>(G474*E474+pool_b*D474)/(1-pool_ret*D474)</f>
        <v>27.695832439381</v>
      </c>
      <c r="I474" s="41">
        <f>MIN(C_sat_CO2,MAX(C_air_CO2,(pool_ret*H474+pool_b)*E474+G474*F474))</f>
        <v>27.712479881891</v>
      </c>
      <c r="J474" s="41">
        <f>IF(AND(I474&gt;=CO2_pH_hi_mt,I475&lt;CO2_pH_hi_mt),EXP(LN(A474)+(LN(A475)-LN(A474))*(I474-CO2_pH_hi_mt)/(I474-I475)),0)</f>
        <v>0.0</v>
      </c>
      <c r="L474" s="41">
        <f>k_eff_CO2_l*B474</f>
        <v>0.004078046726</v>
      </c>
      <c r="M474" s="41">
        <f>EXP(-L474)</f>
        <v>0.995930257215</v>
      </c>
      <c r="N474" s="41">
        <f>IF(L474&gt;0,(1-M474)/L474,1)</f>
        <v>0.997963745558</v>
      </c>
      <c r="O474" s="41">
        <f>IF(L474&gt;0,(L474-1+M474)/L474^2,1/2)</f>
        <v>0.499321017917</v>
      </c>
      <c r="P474" s="41">
        <f>(C_air_CO2/C_sat_CO2*F_vent_ex-CO2_fix_l)*(B474/3600)/(V_L_CO2+Vg_CO2)</f>
        <v>9.4046625234e-06</v>
      </c>
      <c r="Q474" s="41">
        <f>(P474*N474+pool_b*M474)/(1-pool_ret*M474)</f>
        <v>26.86919501051</v>
      </c>
      <c r="R474" s="41">
        <f>MIN(C_sat_CO2,MAX(C_air_CO2,(pool_ret*Q474+pool_b)*N474+P474*O474))</f>
        <v>26.924051768671</v>
      </c>
      <c r="S474" s="41">
        <f>IF(AND(R474&gt;=CO2_pH_hi_mt,R475&lt;CO2_pH_hi_mt),EXP(LN(A474)+(LN(A475)-LN(A474))*(R474-CO2_pH_hi_mt)/(R474-R475)),0)</f>
        <v>0.0</v>
      </c>
    </row>
    <row r="475">
      <c r="A475" s="41">
        <f>A474*grid_ratio</f>
        <v>1.058123848719</v>
      </c>
      <c r="B475" s="41">
        <f>MAX(0,A475*60-spg_dur)</f>
        <v>62.837430923161</v>
      </c>
      <c r="C475" s="41">
        <f>k_eff_CO2*B475</f>
        <v>0.0009124558232718</v>
      </c>
      <c r="D475" s="41">
        <f>EXP(-C475)</f>
        <v>0.999087960338</v>
      </c>
      <c r="E475" s="41">
        <f>IF(C475&gt;0,(1-D475)/C475,1)</f>
        <v>0.999543910819</v>
      </c>
      <c r="F475" s="41">
        <f>IF(C475&gt;0,(C475-1+D475)/C475^2,1/2)</f>
        <v>0.499847958677</v>
      </c>
      <c r="G475" s="41">
        <f>(C_air_CO2/C_sat_CO2*F_vent_ex-CO2_fix_sched)*(B475/3600)/(V_L_CO2+Vg_CO2)</f>
        <v>-0.012057443539</v>
      </c>
      <c r="H475" s="41">
        <f>(G475*E475+pool_b*D475)/(1-pool_ret*D475)</f>
        <v>27.652530009647</v>
      </c>
      <c r="I475" s="41">
        <f>MIN(C_sat_CO2,MAX(C_air_CO2,(pool_ret*H475+pool_b)*E475+G475*F475))</f>
        <v>27.671180259514</v>
      </c>
      <c r="J475" s="41">
        <f>IF(AND(I475&gt;=CO2_pH_hi_mt,I476&lt;CO2_pH_hi_mt),EXP(LN(A475)+(LN(A476)-LN(A475))*(I475-CO2_pH_hi_mt)/(I475-I476)),0)</f>
        <v>0.0</v>
      </c>
      <c r="L475" s="41">
        <f>k_eff_CO2_l*B475</f>
        <v>0.004573355427</v>
      </c>
      <c r="M475" s="41">
        <f>EXP(-L475)</f>
        <v>0.995437086438</v>
      </c>
      <c r="N475" s="41">
        <f>IF(L475&gt;0,(1-M475)/L475,1)</f>
        <v>0.997716804234</v>
      </c>
      <c r="O475" s="41">
        <f>IF(L475&gt;0,(L475-1+M475)/L475^2,1/2)</f>
        <v>0.499238644784</v>
      </c>
      <c r="P475" s="41">
        <f>(C_air_CO2/C_sat_CO2*F_vent_ex-CO2_fix_l)*(B475/3600)/(V_L_CO2+Vg_CO2)</f>
        <v>1.054692780334e-05</v>
      </c>
      <c r="Q475" s="41">
        <f>(P475*N475+pool_b*M475)/(1-pool_ret*M475)</f>
        <v>26.731572008256</v>
      </c>
      <c r="R475" s="41">
        <f>MIN(C_sat_CO2,MAX(C_air_CO2,(pool_ret*Q475+pool_b)*N475+P475*O475))</f>
        <v>26.792786507734</v>
      </c>
      <c r="S475" s="41">
        <f>IF(AND(R475&gt;=CO2_pH_hi_mt,R476&lt;CO2_pH_hi_mt),EXP(LN(A475)+(LN(A476)-LN(A475))*(R475-CO2_pH_hi_mt)/(R475-R476)),0)</f>
        <v>0.0</v>
      </c>
    </row>
    <row r="476">
      <c r="A476" s="41">
        <f>A475*grid_ratio</f>
        <v>1.18516698795</v>
      </c>
      <c r="B476" s="41">
        <f>MAX(0,A476*60-spg_dur)</f>
        <v>70.460019277003</v>
      </c>
      <c r="C476" s="41">
        <f>k_eff_CO2*B476</f>
        <v>0.001023142639</v>
      </c>
      <c r="D476" s="41">
        <f>EXP(-C476)</f>
        <v>0.998977380593</v>
      </c>
      <c r="E476" s="41">
        <f>IF(C476&gt;0,(1-D476)/C476,1)</f>
        <v>0.999488603106</v>
      </c>
      <c r="F476" s="41">
        <f>IF(C476&gt;0,(C476-1+D476)/C476^2,1/2)</f>
        <v>0.499829519888</v>
      </c>
      <c r="G476" s="41">
        <f>(C_air_CO2/C_sat_CO2*F_vent_ex-CO2_fix_sched)*(B476/3600)/(V_L_CO2+Vg_CO2)</f>
        <v>-0.013520089725</v>
      </c>
      <c r="H476" s="41">
        <f>(G476*E476+pool_b*D476)/(1-pool_ret*D476)</f>
        <v>27.60413214104</v>
      </c>
      <c r="I476" s="41">
        <f>MIN(C_sat_CO2,MAX(C_air_CO2,(pool_ret*H476+pool_b)*E476+G476*F476))</f>
        <v>27.625020791618</v>
      </c>
      <c r="J476" s="41">
        <f>IF(AND(I476&gt;=CO2_pH_hi_mt,I477&lt;CO2_pH_hi_mt),EXP(LN(A476)+(LN(A477)-LN(A476))*(I476-CO2_pH_hi_mt)/(I476-I477)),0)</f>
        <v>0.0</v>
      </c>
      <c r="L476" s="41">
        <f>k_eff_CO2_l*B476</f>
        <v>0.005128133134</v>
      </c>
      <c r="M476" s="41">
        <f>EXP(-L476)</f>
        <v>0.994884993293</v>
      </c>
      <c r="N476" s="41">
        <f>IF(L476&gt;0,(1-M476)/L476,1)</f>
        <v>0.997440310778</v>
      </c>
      <c r="O476" s="41">
        <f>IF(L476&gt;0,(L476-1+M476)/L476^2,1/2)</f>
        <v>0.49914640576</v>
      </c>
      <c r="P476" s="41">
        <f>(C_air_CO2/C_sat_CO2*F_vent_ex-CO2_fix_l)*(B476/3600)/(V_L_CO2+Vg_CO2)</f>
        <v>1.182633862363e-05</v>
      </c>
      <c r="Q476" s="41">
        <f>(P476*N476+pool_b*M476)/(1-pool_ret*M476)</f>
        <v>26.579010196783</v>
      </c>
      <c r="R476" s="41">
        <f>MIN(C_sat_CO2,MAX(C_air_CO2,(pool_ret*Q476+pool_b)*N476+P476*O476))</f>
        <v>26.647271269118</v>
      </c>
      <c r="S476" s="41">
        <f>IF(AND(R476&gt;=CO2_pH_hi_mt,R477&lt;CO2_pH_hi_mt),EXP(LN(A476)+(LN(A477)-LN(A476))*(R476-CO2_pH_hi_mt)/(R476-R477)),0)</f>
        <v>0.0</v>
      </c>
    </row>
    <row r="477">
      <c r="A477" s="41">
        <f>A476*grid_ratio</f>
        <v>1.32746350158</v>
      </c>
      <c r="B477" s="41">
        <f>MAX(0,A477*60-spg_dur)</f>
        <v>78.997810094817</v>
      </c>
      <c r="C477" s="41">
        <f>k_eff_CO2*B477</f>
        <v>0.001147119015</v>
      </c>
      <c r="D477" s="41">
        <f>EXP(-C477)</f>
        <v>0.998853538675</v>
      </c>
      <c r="E477" s="41">
        <f>IF(C477&gt;0,(1-D477)/C477,1)</f>
        <v>0.999426659743</v>
      </c>
      <c r="F477" s="41">
        <f>IF(C477&gt;0,(C477-1+D477)/C477^2,1/2)</f>
        <v>0.499808868312</v>
      </c>
      <c r="G477" s="41">
        <f>(C_air_CO2/C_sat_CO2*F_vent_ex-CO2_fix_sched)*(B477/3600)/(V_L_CO2+Vg_CO2)</f>
        <v>-0.015158347834</v>
      </c>
      <c r="H477" s="41">
        <f>(G477*E477+pool_b*D477)/(1-pool_ret*D477)</f>
        <v>27.550052993457</v>
      </c>
      <c r="I477" s="41">
        <f>MIN(C_sat_CO2,MAX(C_air_CO2,(pool_ret*H477+pool_b)*E477+G477*F477))</f>
        <v>27.573442704936</v>
      </c>
      <c r="J477" s="41">
        <f>IF(AND(I477&gt;=CO2_pH_hi_mt,I478&lt;CO2_pH_hi_mt),EXP(LN(A477)+(LN(A478)-LN(A477))*(I477-CO2_pH_hi_mt)/(I477-I478)),0)</f>
        <v>0.0</v>
      </c>
      <c r="L477" s="41">
        <f>k_eff_CO2_l*B477</f>
        <v>0.005749519963</v>
      </c>
      <c r="M477" s="41">
        <f>EXP(-L477)</f>
        <v>0.994266976895</v>
      </c>
      <c r="N477" s="41">
        <f>IF(L477&gt;0,(1-M477)/L477,1)</f>
        <v>0.997130741605</v>
      </c>
      <c r="O477" s="41">
        <f>IF(L477&gt;0,(L477-1+M477)/L477^2,1/2)</f>
        <v>0.499043122467</v>
      </c>
      <c r="P477" s="41">
        <f>(C_air_CO2/C_sat_CO2*F_vent_ex-CO2_fix_l)*(B477/3600)/(V_L_CO2+Vg_CO2)</f>
        <v>1.325936129869e-05</v>
      </c>
      <c r="Q477" s="41">
        <f>(P477*N477+pool_b*M477)/(1-pool_ret*M477)</f>
        <v>26.410087051369</v>
      </c>
      <c r="R477" s="41">
        <f>MIN(C_sat_CO2,MAX(C_air_CO2,(pool_ret*Q477+pool_b)*N477+P477*O477))</f>
        <v>26.486148786007</v>
      </c>
      <c r="S477" s="41">
        <f>IF(AND(R477&gt;=CO2_pH_hi_mt,R478&lt;CO2_pH_hi_mt),EXP(LN(A477)+(LN(A478)-LN(A477))*(R477-CO2_pH_hi_mt)/(R477-R478)),0)</f>
        <v>0.0</v>
      </c>
    </row>
    <row r="478">
      <c r="A478" s="41">
        <f>A477*grid_ratio</f>
        <v>1.48684477879</v>
      </c>
      <c r="B478" s="41">
        <f>MAX(0,A478*60-spg_dur)</f>
        <v>88.560686727399</v>
      </c>
      <c r="C478" s="41">
        <f>k_eff_CO2*B478</f>
        <v>0.001285980555</v>
      </c>
      <c r="D478" s="41">
        <f>EXP(-C478)</f>
        <v>0.998714845963</v>
      </c>
      <c r="E478" s="41">
        <f>IF(C478&gt;0,(1-D478)/C478,1)</f>
        <v>0.999357285258</v>
      </c>
      <c r="F478" s="41">
        <f>IF(C478&gt;0,(C478-1+D478)/C478^2,1/2)</f>
        <v>0.499785738754</v>
      </c>
      <c r="G478" s="41">
        <f>(C_air_CO2/C_sat_CO2*F_vent_ex-CO2_fix_sched)*(B478/3600)/(V_L_CO2+Vg_CO2)</f>
        <v>-0.016993302627</v>
      </c>
      <c r="H478" s="41">
        <f>(G478*E478+pool_b*D478)/(1-pool_ret*D478)</f>
        <v>27.489642815551</v>
      </c>
      <c r="I478" s="41">
        <f>MIN(C_sat_CO2,MAX(C_air_CO2,(pool_ret*H478+pool_b)*E478+G478*F478))</f>
        <v>27.515826262532</v>
      </c>
      <c r="J478" s="41">
        <f>IF(AND(I478&gt;=CO2_pH_hi_mt,I479&lt;CO2_pH_hi_mt),EXP(LN(A478)+(LN(A479)-LN(A478))*(I478-CO2_pH_hi_mt)/(I478-I479)),0)</f>
        <v>0.0</v>
      </c>
      <c r="L478" s="41">
        <f>k_eff_CO2_l*B478</f>
        <v>0.006445513309</v>
      </c>
      <c r="M478" s="41">
        <f>EXP(-L478)</f>
        <v>0.993575214455</v>
      </c>
      <c r="N478" s="41">
        <f>IF(L478&gt;0,(1-M478)/L478,1)</f>
        <v>0.99678415631</v>
      </c>
      <c r="O478" s="41">
        <f>IF(L478&gt;0,(L478-1+M478)/L478^2,1/2)</f>
        <v>0.498927476579</v>
      </c>
      <c r="P478" s="41">
        <f>(C_air_CO2/C_sat_CO2*F_vent_ex-CO2_fix_l)*(B478/3600)/(V_L_CO2+Vg_CO2)</f>
        <v>1.486443916318e-05</v>
      </c>
      <c r="Q478" s="41">
        <f>(P478*N478+pool_b*M478)/(1-pool_ret*M478)</f>
        <v>26.223291658673</v>
      </c>
      <c r="R478" s="41">
        <f>MIN(C_sat_CO2,MAX(C_air_CO2,(pool_ret*Q478+pool_b)*N478+P478*O478))</f>
        <v>26.307977363987</v>
      </c>
      <c r="S478" s="41">
        <f>IF(AND(R478&gt;=CO2_pH_hi_mt,R479&lt;CO2_pH_hi_mt),EXP(LN(A478)+(LN(A479)-LN(A478))*(R478-CO2_pH_hi_mt)/(R478-R479)),0)</f>
        <v>0.0</v>
      </c>
    </row>
    <row r="479">
      <c r="A479" s="41">
        <f>A478*grid_ratio</f>
        <v>1.665362093634</v>
      </c>
      <c r="B479" s="41">
        <f>MAX(0,A479*60-spg_dur)</f>
        <v>99.271725618066</v>
      </c>
      <c r="C479" s="41">
        <f>k_eff_CO2*B479</f>
        <v>0.001441514441</v>
      </c>
      <c r="D479" s="41">
        <f>EXP(-C479)</f>
        <v>0.998559524042</v>
      </c>
      <c r="E479" s="41">
        <f>IF(C479&gt;0,(1-D479)/C479,1)</f>
        <v>0.999279588982</v>
      </c>
      <c r="F479" s="41">
        <f>IF(C479&gt;0,(C479-1+D479)/C479^2,1/2)</f>
        <v>0.499759834171</v>
      </c>
      <c r="G479" s="41">
        <f>(C_air_CO2/C_sat_CO2*F_vent_ex-CO2_fix_sched)*(B479/3600)/(V_L_CO2+Vg_CO2)</f>
        <v>-0.019048570399</v>
      </c>
      <c r="H479" s="41">
        <f>(G479*E479+pool_b*D479)/(1-pool_ret*D479)</f>
        <v>27.422181837733</v>
      </c>
      <c r="I479" s="41">
        <f>MIN(C_sat_CO2,MAX(C_air_CO2,(pool_ret*H479+pool_b)*E479+G479*F479))</f>
        <v>27.451484937085</v>
      </c>
      <c r="J479" s="41">
        <f>IF(AND(I479&gt;=CO2_pH_hi_mt,I480&lt;CO2_pH_hi_mt),EXP(LN(A479)+(LN(A480)-LN(A479))*(I479-CO2_pH_hi_mt)/(I479-I480)),0)</f>
        <v>0.0</v>
      </c>
      <c r="L479" s="41">
        <f>k_eff_CO2_l*B479</f>
        <v>0.007225070765</v>
      </c>
      <c r="M479" s="41">
        <f>EXP(-L479)</f>
        <v>0.992800967312</v>
      </c>
      <c r="N479" s="41">
        <f>IF(L479&gt;0,(1-M479)/L479,1)</f>
        <v>0.9963961492</v>
      </c>
      <c r="O479" s="41">
        <f>IF(L479&gt;0,(L479-1+M479)/L479^2,1/2)</f>
        <v>0.498797993467</v>
      </c>
      <c r="P479" s="41">
        <f>(C_air_CO2/C_sat_CO2*F_vent_ex-CO2_fix_l)*(B479/3600)/(V_L_CO2+Vg_CO2)</f>
        <v>1.6662229942e-05</v>
      </c>
      <c r="Q479" s="41">
        <f>(P479*N479+pool_b*M479)/(1-pool_ret*M479)</f>
        <v>26.01703074287</v>
      </c>
      <c r="R479" s="41">
        <f>MIN(C_sat_CO2,MAX(C_air_CO2,(pool_ret*Q479+pool_b)*N479+P479*O479))</f>
        <v>26.111236600528</v>
      </c>
      <c r="S479" s="41">
        <f>IF(AND(R479&gt;=CO2_pH_hi_mt,R480&lt;CO2_pH_hi_mt),EXP(LN(A479)+(LN(A480)-LN(A479))*(R479-CO2_pH_hi_mt)/(R479-R480)),0)</f>
        <v>0.0</v>
      </c>
    </row>
    <row r="480">
      <c r="A480" s="41">
        <f>A479*grid_ratio</f>
        <v>1.865313005418</v>
      </c>
      <c r="B480" s="41">
        <f>MAX(0,A480*60-spg_dur)</f>
        <v>111.268780325066</v>
      </c>
      <c r="C480" s="41">
        <f>k_eff_CO2*B480</f>
        <v>0.00161572243</v>
      </c>
      <c r="D480" s="41">
        <f>EXP(-C480)</f>
        <v>0.998385582147</v>
      </c>
      <c r="E480" s="41">
        <f>IF(C480&gt;0,(1-D480)/C480,1)</f>
        <v>0.999192573703</v>
      </c>
      <c r="F480" s="41">
        <f>IF(C480&gt;0,(C480-1+D480)/C480^2,1/2)</f>
        <v>0.499730821667</v>
      </c>
      <c r="G480" s="41">
        <f>(C_air_CO2/C_sat_CO2*F_vent_ex-CO2_fix_sched)*(B480/3600)/(V_L_CO2+Vg_CO2)</f>
        <v>-0.021350602924</v>
      </c>
      <c r="H480" s="41">
        <f>(G480*E480+pool_b*D480)/(1-pool_ret*D480)</f>
        <v>27.346873803432</v>
      </c>
      <c r="I480" s="41">
        <f>MIN(C_sat_CO2,MAX(C_air_CO2,(pool_ret*H480+pool_b)*E480+G480*F480))</f>
        <v>27.379659238594</v>
      </c>
      <c r="J480" s="41">
        <f>IF(AND(I480&gt;=CO2_pH_hi_mt,I481&lt;CO2_pH_hi_mt),EXP(LN(A480)+(LN(A481)-LN(A480))*(I480-CO2_pH_hi_mt)/(I480-I481)),0)</f>
        <v>0.0</v>
      </c>
      <c r="L480" s="41">
        <f>k_eff_CO2_l*B480</f>
        <v>0.008098225419</v>
      </c>
      <c r="M480" s="41">
        <f>EXP(-L480)</f>
        <v>0.991934476872</v>
      </c>
      <c r="N480" s="41">
        <f>IF(L480&gt;0,(1-M480)/L480,1)</f>
        <v>0.995961795406</v>
      </c>
      <c r="O480" s="41">
        <f>IF(L480&gt;0,(L480-1+M480)/L480^2,1/2)</f>
        <v>0.498653023896</v>
      </c>
      <c r="P480" s="41">
        <f>(C_air_CO2/C_sat_CO2*F_vent_ex-CO2_fix_l)*(B480/3600)/(V_L_CO2+Vg_CO2)</f>
        <v>1.867587162004e-05</v>
      </c>
      <c r="Q480" s="41">
        <f>(P480*N480+pool_b*M480)/(1-pool_ret*M480)</f>
        <v>25.789638172436</v>
      </c>
      <c r="R480" s="41">
        <f>MIN(C_sat_CO2,MAX(C_air_CO2,(pool_ret*Q480+pool_b)*N480+P480*O480))</f>
        <v>25.894336418705</v>
      </c>
      <c r="S480" s="41">
        <f>IF(AND(R480&gt;=CO2_pH_hi_mt,R481&lt;CO2_pH_hi_mt),EXP(LN(A480)+(LN(A481)-LN(A480))*(R480-CO2_pH_hi_mt)/(R480-R481)),0)</f>
        <v>0.0</v>
      </c>
    </row>
    <row r="481">
      <c r="A481" s="41">
        <f>A480*grid_ratio</f>
        <v>2.089270928815</v>
      </c>
      <c r="B481" s="41">
        <f>MAX(0,A481*60-spg_dur)</f>
        <v>124.706255728892</v>
      </c>
      <c r="C481" s="41">
        <f>k_eff_CO2*B481</f>
        <v>0.001810846617</v>
      </c>
      <c r="D481" s="41">
        <f>EXP(-C481)</f>
        <v>0.998190791976</v>
      </c>
      <c r="E481" s="41">
        <f>IF(C481&gt;0,(1-D481)/C481,1)</f>
        <v>0.999095122972</v>
      </c>
      <c r="F481" s="41">
        <f>IF(C481&gt;0,(C481-1+D481)/C481^2,1/2)</f>
        <v>0.499698328794</v>
      </c>
      <c r="G481" s="41">
        <f>(C_air_CO2/C_sat_CO2*F_vent_ex-CO2_fix_sched)*(B481/3600)/(V_L_CO2+Vg_CO2)</f>
        <v>-0.023929027895</v>
      </c>
      <c r="H481" s="41">
        <f>(G481*E481+pool_b*D481)/(1-pool_ret*D481)</f>
        <v>27.262839179227</v>
      </c>
      <c r="I481" s="41">
        <f>MIN(C_sat_CO2,MAX(C_air_CO2,(pool_ret*H481+pool_b)*E481+G481*F481))</f>
        <v>27.299510235109</v>
      </c>
      <c r="J481" s="41">
        <f>IF(AND(I481&gt;=CO2_pH_hi_mt,I482&lt;CO2_pH_hi_mt),EXP(LN(A481)+(LN(A482)-LN(A481))*(I481-CO2_pH_hi_mt)/(I481-I482)),0)</f>
        <v>0.0</v>
      </c>
      <c r="L481" s="41">
        <f>k_eff_CO2_l*B481</f>
        <v>0.009076214974</v>
      </c>
      <c r="M481" s="41">
        <f>EXP(-L481)</f>
        <v>0.990964849535</v>
      </c>
      <c r="N481" s="41">
        <f>IF(L481&gt;0,(1-M481)/L481,1)</f>
        <v>0.995475591029</v>
      </c>
      <c r="O481" s="41">
        <f>IF(L481&gt;0,(L481-1+M481)/L481^2,1/2)</f>
        <v>0.498490723686</v>
      </c>
      <c r="P481" s="41">
        <f>(C_air_CO2/C_sat_CO2*F_vent_ex-CO2_fix_l)*(B481/3600)/(V_L_CO2+Vg_CO2)</f>
        <v>2.093128023336e-05</v>
      </c>
      <c r="Q481" s="41">
        <f>(P481*N481+pool_b*M481)/(1-pool_ret*M481)</f>
        <v>25.539388605515</v>
      </c>
      <c r="R481" s="41">
        <f>MIN(C_sat_CO2,MAX(C_air_CO2,(pool_ret*Q481+pool_b)*N481+P481*O481))</f>
        <v>25.655630041786</v>
      </c>
      <c r="S481" s="41">
        <f>IF(AND(R481&gt;=CO2_pH_hi_mt,R482&lt;CO2_pH_hi_mt),EXP(LN(A481)+(LN(A482)-LN(A481))*(R481-CO2_pH_hi_mt)/(R481-R482)),0)</f>
        <v>0.0</v>
      </c>
    </row>
    <row r="482">
      <c r="A482" s="41">
        <f>A481*grid_ratio</f>
        <v>2.340118254316</v>
      </c>
      <c r="B482" s="41">
        <f>MAX(0,A482*60-spg_dur)</f>
        <v>139.757095258952</v>
      </c>
      <c r="C482" s="41">
        <f>k_eff_CO2*B482</f>
        <v>0.002029398299</v>
      </c>
      <c r="D482" s="41">
        <f>EXP(-C482)</f>
        <v>0.997972659538</v>
      </c>
      <c r="E482" s="41">
        <f>IF(C482&gt;0,(1-D482)/C482,1)</f>
        <v>0.998985986912</v>
      </c>
      <c r="F482" s="41">
        <f>IF(C482&gt;0,(C482-1+D482)/C482^2,1/2)</f>
        <v>0.49966193848</v>
      </c>
      <c r="G482" s="41">
        <f>(C_air_CO2/C_sat_CO2*F_vent_ex-CO2_fix_sched)*(B482/3600)/(V_L_CO2+Vg_CO2)</f>
        <v>-0.026817030239</v>
      </c>
      <c r="H482" s="41">
        <f>(G482*E482+pool_b*D482)/(1-pool_ret*D482)</f>
        <v>27.16910810675</v>
      </c>
      <c r="I482" s="41">
        <f>MIN(C_sat_CO2,MAX(C_air_CO2,(pool_ret*H482+pool_b)*E482+G482*F482))</f>
        <v>27.210112826365</v>
      </c>
      <c r="J482" s="41">
        <f>IF(AND(I482&gt;=CO2_pH_hi_mt,I483&lt;CO2_pH_hi_mt),EXP(LN(A482)+(LN(A483)-LN(A482))*(I482-CO2_pH_hi_mt)/(I482-I483)),0)</f>
        <v>0.0</v>
      </c>
      <c r="L482" s="41">
        <f>k_eff_CO2_l*B482</f>
        <v>0.010171626381</v>
      </c>
      <c r="M482" s="41">
        <f>EXP(-L482)</f>
        <v>0.989879929659</v>
      </c>
      <c r="N482" s="41">
        <f>IF(L482&gt;0,(1-M482)/L482,1)</f>
        <v>0.994931386713</v>
      </c>
      <c r="O482" s="41">
        <f>IF(L482&gt;0,(L482-1+M482)/L482^2,1/2)</f>
        <v>0.498309031098</v>
      </c>
      <c r="P482" s="41">
        <f>(C_air_CO2/C_sat_CO2*F_vent_ex-CO2_fix_l)*(B482/3600)/(V_L_CO2+Vg_CO2)</f>
        <v>2.345748341466e-05</v>
      </c>
      <c r="Q482" s="41">
        <f>(P482*N482+pool_b*M482)/(1-pool_ret*M482)</f>
        <v>25.264515948267</v>
      </c>
      <c r="R482" s="41">
        <f>MIN(C_sat_CO2,MAX(C_air_CO2,(pool_ret*Q482+pool_b)*N482+P482*O482))</f>
        <v>25.393431551026</v>
      </c>
      <c r="S482" s="41">
        <f>IF(AND(R482&gt;=CO2_pH_hi_mt,R483&lt;CO2_pH_hi_mt),EXP(LN(A482)+(LN(A483)-LN(A482))*(R482-CO2_pH_hi_mt)/(R482-R483)),0)</f>
        <v>0.0</v>
      </c>
    </row>
    <row r="483">
      <c r="A483" s="41">
        <f>A482*grid_ratio</f>
        <v>2.621083445261</v>
      </c>
      <c r="B483" s="41">
        <f>MAX(0,A483*60-spg_dur)</f>
        <v>156.615006715679</v>
      </c>
      <c r="C483" s="41">
        <f>k_eff_CO2*B483</f>
        <v>0.002274190284</v>
      </c>
      <c r="D483" s="41">
        <f>EXP(-C483)</f>
        <v>0.997728393727</v>
      </c>
      <c r="E483" s="41">
        <f>IF(C483&gt;0,(1-D483)/C483,1)</f>
        <v>0.998863766358</v>
      </c>
      <c r="F483" s="41">
        <f>IF(C483&gt;0,(C483-1+D483)/C483^2,1/2)</f>
        <v>0.49962118368</v>
      </c>
      <c r="G483" s="41">
        <f>(C_air_CO2/C_sat_CO2*F_vent_ex-CO2_fix_sched)*(B483/3600)/(V_L_CO2+Vg_CO2)</f>
        <v>-0.030051779219</v>
      </c>
      <c r="H483" s="41">
        <f>(G483*E483+pool_b*D483)/(1-pool_ret*D483)</f>
        <v>27.06461318722</v>
      </c>
      <c r="I483" s="41">
        <f>MIN(C_sat_CO2,MAX(C_air_CO2,(pool_ret*H483+pool_b)*E483+G483*F483))</f>
        <v>27.110448856767</v>
      </c>
      <c r="J483" s="41">
        <f>IF(AND(I483&gt;=CO2_pH_hi_mt,I484&lt;CO2_pH_hi_mt),EXP(LN(A483)+(LN(A484)-LN(A483))*(I483-CO2_pH_hi_mt)/(I483-I484)),0)</f>
        <v>0.0</v>
      </c>
      <c r="L483" s="41">
        <f>k_eff_CO2_l*B483</f>
        <v>0.011398557841</v>
      </c>
      <c r="M483" s="41">
        <f>EXP(-L483)</f>
        <v>0.988666159591</v>
      </c>
      <c r="N483" s="41">
        <f>IF(L483&gt;0,(1-M483)/L483,1)</f>
        <v>0.994322314032</v>
      </c>
      <c r="O483" s="41">
        <f>IF(L483&gt;0,(L483-1+M483)/L483^2,1/2)</f>
        <v>0.498105641672</v>
      </c>
      <c r="P483" s="41">
        <f>(C_air_CO2/C_sat_CO2*F_vent_ex-CO2_fix_l)*(B483/3600)/(V_L_CO2+Vg_CO2)</f>
        <v>2.628699398563e-05</v>
      </c>
      <c r="Q483" s="41">
        <f>(P483*N483+pool_b*M483)/(1-pool_ret*M483)</f>
        <v>24.963237279945</v>
      </c>
      <c r="R483" s="41">
        <f>MIN(C_sat_CO2,MAX(C_air_CO2,(pool_ret*Q483+pool_b)*N483+P483*O483))</f>
        <v>25.106038649249</v>
      </c>
      <c r="S483" s="41">
        <f>IF(AND(R483&gt;=CO2_pH_hi_mt,R484&lt;CO2_pH_hi_mt),EXP(LN(A483)+(LN(A484)-LN(A483))*(R483-CO2_pH_hi_mt)/(R483-R484)),0)</f>
        <v>0.0</v>
      </c>
    </row>
    <row r="484">
      <c r="A484" s="41">
        <f>A483*grid_ratio</f>
        <v>2.935782588915</v>
      </c>
      <c r="B484" s="41">
        <f>MAX(0,A484*60-spg_dur)</f>
        <v>175.496955334905</v>
      </c>
      <c r="C484" s="41">
        <f>k_eff_CO2*B484</f>
        <v>0.002548373104</v>
      </c>
      <c r="D484" s="41">
        <f>EXP(-C484)</f>
        <v>0.997454871243</v>
      </c>
      <c r="E484" s="41">
        <f>IF(C484&gt;0,(1-D484)/C484,1)</f>
        <v>0.998726895127</v>
      </c>
      <c r="F484" s="41">
        <f>IF(C484&gt;0,(C484-1+D484)/C484^2,1/2)</f>
        <v>0.499575541605</v>
      </c>
      <c r="G484" s="41">
        <f>(C_air_CO2/C_sat_CO2*F_vent_ex-CO2_fix_sched)*(B484/3600)/(V_L_CO2+Vg_CO2)</f>
        <v>-0.033674906805</v>
      </c>
      <c r="H484" s="41">
        <f>(G484*E484+pool_b*D484)/(1-pool_ret*D484)</f>
        <v>26.948182224035</v>
      </c>
      <c r="I484" s="41">
        <f>MIN(C_sat_CO2,MAX(C_air_CO2,(pool_ret*H484+pool_b)*E484+G484*F484))</f>
        <v>26.999400187074</v>
      </c>
      <c r="J484" s="41">
        <f>IF(AND(I484&gt;=CO2_pH_hi_mt,I485&lt;CO2_pH_hi_mt),EXP(LN(A484)+(LN(A485)-LN(A484))*(I484-CO2_pH_hi_mt)/(I484-I485)),0)</f>
        <v>0.0</v>
      </c>
      <c r="L484" s="41">
        <f>k_eff_CO2_l*B484</f>
        <v>0.012772800246</v>
      </c>
      <c r="M484" s="41">
        <f>EXP(-L484)</f>
        <v>0.987308425771</v>
      </c>
      <c r="N484" s="41">
        <f>IF(L484&gt;0,(1-M484)/L484,1)</f>
        <v>0.99364070401</v>
      </c>
      <c r="O484" s="41">
        <f>IF(L484&gt;0,(L484-1+M484)/L484^2,1/2)</f>
        <v>0.497877980315</v>
      </c>
      <c r="P484" s="41">
        <f>(C_air_CO2/C_sat_CO2*F_vent_ex-CO2_fix_l)*(B484/3600)/(V_L_CO2+Vg_CO2)</f>
        <v>2.945622840447e-05</v>
      </c>
      <c r="Q484" s="41">
        <f>(P484*N484+pool_b*M484)/(1-pool_ret*M484)</f>
        <v>24.633782826816</v>
      </c>
      <c r="R484" s="41">
        <f>MIN(C_sat_CO2,MAX(C_air_CO2,(pool_ret*Q484+pool_b)*N484+P484*O484))</f>
        <v>24.791761184514</v>
      </c>
      <c r="S484" s="41">
        <f>IF(AND(R484&gt;=CO2_pH_hi_mt,R485&lt;CO2_pH_hi_mt),EXP(LN(A484)+(LN(A485)-LN(A484))*(R484-CO2_pH_hi_mt)/(R484-R485)),0)</f>
        <v>0.0</v>
      </c>
    </row>
    <row r="485">
      <c r="A485" s="41">
        <f>A484*grid_ratio</f>
        <v>3.288265936347</v>
      </c>
      <c r="B485" s="41">
        <f>MAX(0,A485*60-spg_dur)</f>
        <v>196.645956180846</v>
      </c>
      <c r="C485" s="41">
        <f>k_eff_CO2*B485</f>
        <v>0.002855475553</v>
      </c>
      <c r="D485" s="41">
        <f>EXP(-C485)</f>
        <v>0.997148597439</v>
      </c>
      <c r="E485" s="41">
        <f>IF(C485&gt;0,(1-D485)/C485,1)</f>
        <v>0.998573620211</v>
      </c>
      <c r="F485" s="41">
        <f>IF(C485&gt;0,(C485-1+D485)/C485^2,1/2)</f>
        <v>0.499524426947</v>
      </c>
      <c r="G485" s="41">
        <f>(C_air_CO2/C_sat_CO2*F_vent_ex-CO2_fix_sched)*(B485/3600)/(V_L_CO2+Vg_CO2)</f>
        <v>-0.037733043489</v>
      </c>
      <c r="H485" s="41">
        <f>(G485*E485+pool_b*D485)/(1-pool_ret*D485)</f>
        <v>26.818531090874</v>
      </c>
      <c r="I485" s="41">
        <f>MIN(C_sat_CO2,MAX(C_air_CO2,(pool_ret*H485+pool_b)*E485+G485*F485))</f>
        <v>26.875741884287</v>
      </c>
      <c r="J485" s="41">
        <f>IF(AND(I485&gt;=CO2_pH_hi_mt,I486&lt;CO2_pH_hi_mt),EXP(LN(A485)+(LN(A486)-LN(A485))*(I485-CO2_pH_hi_mt)/(I485-I486)),0)</f>
        <v>0.0</v>
      </c>
      <c r="L485" s="41">
        <f>k_eff_CO2_l*B485</f>
        <v>0.014312040415</v>
      </c>
      <c r="M485" s="41">
        <f>EXP(-L485)</f>
        <v>0.985789889978</v>
      </c>
      <c r="N485" s="41">
        <f>IF(L485&gt;0,(1-M485)/L485,1)</f>
        <v>0.992877997075</v>
      </c>
      <c r="O485" s="41">
        <f>IF(L485&gt;0,(L485-1+M485)/L485^2,1/2)</f>
        <v>0.49762317033</v>
      </c>
      <c r="P485" s="41">
        <f>(C_air_CO2/C_sat_CO2*F_vent_ex-CO2_fix_l)*(B485/3600)/(V_L_CO2+Vg_CO2)</f>
        <v>3.300597545424e-05</v>
      </c>
      <c r="Q485" s="41">
        <f>(P485*N485+pool_b*M485)/(1-pool_ret*M485)</f>
        <v>24.274432429382</v>
      </c>
      <c r="R485" s="41">
        <f>MIN(C_sat_CO2,MAX(C_air_CO2,(pool_ret*Q485+pool_b)*N485+P485*O485))</f>
        <v>24.448955856879</v>
      </c>
      <c r="S485" s="41">
        <f>IF(AND(R485&gt;=CO2_pH_hi_mt,R486&lt;CO2_pH_hi_mt),EXP(LN(A485)+(LN(A486)-LN(A485))*(R485-CO2_pH_hi_mt)/(R485-R486)),0)</f>
        <v>0.0</v>
      </c>
    </row>
    <row r="486">
      <c r="A486" s="41">
        <f>A485*grid_ratio</f>
        <v>3.683070030107</v>
      </c>
      <c r="B486" s="41">
        <f>MAX(0,A486*60-spg_dur)</f>
        <v>220.334201806416</v>
      </c>
      <c r="C486" s="41">
        <f>k_eff_CO2*B486</f>
        <v>0.003199450114</v>
      </c>
      <c r="D486" s="41">
        <f>EXP(-C486)</f>
        <v>0.996805662673</v>
      </c>
      <c r="E486" s="41">
        <f>IF(C486&gt;0,(1-D486)/C486,1)</f>
        <v>0.99840197966</v>
      </c>
      <c r="F486" s="41">
        <f>IF(C486&gt;0,(C486-1+D486)/C486^2,1/2)</f>
        <v>0.499467184561</v>
      </c>
      <c r="G486" s="41">
        <f>(C_air_CO2/C_sat_CO2*F_vent_ex-CO2_fix_sched)*(B486/3600)/(V_L_CO2+Vg_CO2)</f>
        <v>-0.042278418435</v>
      </c>
      <c r="H486" s="41">
        <f>(G486*E486+pool_b*D486)/(1-pool_ret*D486)</f>
        <v>26.674256943334</v>
      </c>
      <c r="I486" s="41">
        <f>MIN(C_sat_CO2,MAX(C_air_CO2,(pool_ret*H486+pool_b)*E486+G486*F486))</f>
        <v>26.738135737259</v>
      </c>
      <c r="J486" s="41">
        <f>IF(AND(I486&gt;=CO2_pH_hi_mt,I487&lt;CO2_pH_hi_mt),EXP(LN(A486)+(LN(A487)-LN(A486))*(I486-CO2_pH_hi_mt)/(I486-I487)),0)</f>
        <v>0.0</v>
      </c>
      <c r="L486" s="41">
        <f>k_eff_CO2_l*B486</f>
        <v>0.016036088727</v>
      </c>
      <c r="M486" s="41">
        <f>EXP(-L486)</f>
        <v>0.984091804794</v>
      </c>
      <c r="N486" s="41">
        <f>IF(L486&gt;0,(1-M486)/L486,1)</f>
        <v>0.992024643719</v>
      </c>
      <c r="O486" s="41">
        <f>IF(L486&gt;0,(L486-1+M486)/L486^2,1/2)</f>
        <v>0.497337999112</v>
      </c>
      <c r="P486" s="41">
        <f>(C_air_CO2/C_sat_CO2*F_vent_ex-CO2_fix_l)*(B486/3600)/(V_L_CO2+Vg_CO2)</f>
        <v>3.698192120394e-05</v>
      </c>
      <c r="Q486" s="41">
        <f>(P486*N486+pool_b*M486)/(1-pool_ret*M486)</f>
        <v>23.88355872872</v>
      </c>
      <c r="R486" s="41">
        <f>MIN(C_sat_CO2,MAX(C_air_CO2,(pool_ret*Q486+pool_b)*N486+P486*O486))</f>
        <v>24.076067322903</v>
      </c>
      <c r="S486" s="41">
        <f>IF(AND(R486&gt;=CO2_pH_hi_mt,R487&lt;CO2_pH_hi_mt),EXP(LN(A486)+(LN(A487)-LN(A486))*(R486-CO2_pH_hi_mt)/(R486-R487)),0)</f>
        <v>0.0</v>
      </c>
    </row>
    <row r="487">
      <c r="A487" s="41">
        <f>A486*grid_ratio</f>
        <v>4.125276090577</v>
      </c>
      <c r="B487" s="41">
        <f>MAX(0,A487*60-spg_dur)</f>
        <v>246.866565434603</v>
      </c>
      <c r="C487" s="41">
        <f>k_eff_CO2*B487</f>
        <v>0.003584723817</v>
      </c>
      <c r="D487" s="41">
        <f>EXP(-C487)</f>
        <v>0.996421693635</v>
      </c>
      <c r="E487" s="41">
        <f>IF(C487&gt;0,(1-D487)/C487,1)</f>
        <v>0.998209777881</v>
      </c>
      <c r="F487" s="41">
        <f>IF(C487&gt;0,(C487-1+D487)/C487^2,1/2)</f>
        <v>0.499403081071</v>
      </c>
      <c r="G487" s="41">
        <f>(C_air_CO2/C_sat_CO2*F_vent_ex-CO2_fix_sched)*(B487/3600)/(V_L_CO2+Vg_CO2)</f>
        <v>-0.047369531673</v>
      </c>
      <c r="H487" s="41">
        <f>(G487*E487+pool_b*D487)/(1-pool_ret*D487)</f>
        <v>26.51383205177</v>
      </c>
      <c r="I487" s="41">
        <f>MIN(C_sat_CO2,MAX(C_air_CO2,(pool_ret*H487+pool_b)*E487+G487*F487))</f>
        <v>26.585124362513</v>
      </c>
      <c r="J487" s="41">
        <f>IF(AND(I487&gt;=CO2_pH_hi_mt,I488&lt;CO2_pH_hi_mt),EXP(LN(A487)+(LN(A488)-LN(A487))*(I487-CO2_pH_hi_mt)/(I487-I488)),0)</f>
        <v>0.0</v>
      </c>
      <c r="L487" s="41">
        <f>k_eff_CO2_l*B487</f>
        <v>0.017967134084</v>
      </c>
      <c r="M487" s="41">
        <f>EXP(-L487)</f>
        <v>0.982193312511</v>
      </c>
      <c r="N487" s="41">
        <f>IF(L487&gt;0,(1-M487)/L487,1)</f>
        <v>0.991069995137</v>
      </c>
      <c r="O487" s="41">
        <f>IF(L487&gt;0,(L487-1+M487)/L487^2,1/2)</f>
        <v>0.497018880209</v>
      </c>
      <c r="P487" s="41">
        <f>(C_air_CO2/C_sat_CO2*F_vent_ex-CO2_fix_l)*(B487/3600)/(V_L_CO2+Vg_CO2)</f>
        <v>4.143523699879e-05</v>
      </c>
      <c r="Q487" s="41">
        <f>(P487*N487+pool_b*M487)/(1-pool_ret*M487)</f>
        <v>23.459676985679</v>
      </c>
      <c r="R487" s="41">
        <f>MIN(C_sat_CO2,MAX(C_air_CO2,(pool_ret*Q487+pool_b)*N487+P487*O487))</f>
        <v>23.671675615005</v>
      </c>
      <c r="S487" s="41">
        <f>IF(AND(R487&gt;=CO2_pH_hi_mt,R488&lt;CO2_pH_hi_mt),EXP(LN(A487)+(LN(A488)-LN(A487))*(R487-CO2_pH_hi_mt)/(R487-R488)),0)</f>
        <v>0.0</v>
      </c>
    </row>
    <row r="488">
      <c r="A488" s="41">
        <f>A487*grid_ratio</f>
        <v>4.620575412461</v>
      </c>
      <c r="B488" s="41">
        <f>MAX(0,A488*60-spg_dur)</f>
        <v>276.584524747656</v>
      </c>
      <c r="C488" s="41">
        <f>k_eff_CO2*B488</f>
        <v>0.004016255224</v>
      </c>
      <c r="D488" s="41">
        <f>EXP(-C488)</f>
        <v>0.995991799142</v>
      </c>
      <c r="E488" s="41">
        <f>IF(C488&gt;0,(1-D488)/C488,1)</f>
        <v>0.997994558075</v>
      </c>
      <c r="F488" s="41">
        <f>IF(C488&gt;0,(C488-1+D488)/C488^2,1/2)</f>
        <v>0.499331295688</v>
      </c>
      <c r="G488" s="41">
        <f>(C_air_CO2/C_sat_CO2*F_vent_ex-CO2_fix_sched)*(B488/3600)/(V_L_CO2+Vg_CO2)</f>
        <v>-0.053071907012</v>
      </c>
      <c r="H488" s="41">
        <f>(G488*E488+pool_b*D488)/(1-pool_ret*D488)</f>
        <v>26.335598602324</v>
      </c>
      <c r="I488" s="41">
        <f>MIN(C_sat_CO2,MAX(C_air_CO2,(pool_ret*H488+pool_b)*E488+G488*F488))</f>
        <v>26.415126230675</v>
      </c>
      <c r="J488" s="41">
        <f>IF(AND(I488&gt;=CO2_pH_hi_mt,I489&lt;CO2_pH_hi_mt),EXP(LN(A488)+(LN(A489)-LN(A488))*(I488-CO2_pH_hi_mt)/(I488-I489)),0)</f>
        <v>0.0</v>
      </c>
      <c r="L488" s="41">
        <f>k_eff_CO2_l*B488</f>
        <v>0.020130029487</v>
      </c>
      <c r="M488" s="41">
        <f>EXP(-L488)</f>
        <v>0.980071226862</v>
      </c>
      <c r="N488" s="41">
        <f>IF(L488&gt;0,(1-M488)/L488,1)</f>
        <v>0.990002183091</v>
      </c>
      <c r="O488" s="41">
        <f>IF(L488&gt;0,(L488-1+M488)/L488^2,1/2)</f>
        <v>0.496661811424</v>
      </c>
      <c r="P488" s="41">
        <f>(C_air_CO2/C_sat_CO2*F_vent_ex-CO2_fix_l)*(B488/3600)/(V_L_CO2+Vg_CO2)</f>
        <v>4.642323804741e-05</v>
      </c>
      <c r="Q488" s="41">
        <f>(P488*N488+pool_b*M488)/(1-pool_ret*M488)</f>
        <v>23.001501033564</v>
      </c>
      <c r="R488" s="41">
        <f>MIN(C_sat_CO2,MAX(C_air_CO2,(pool_ret*Q488+pool_b)*N488+P488*O488))</f>
        <v>23.234549399074</v>
      </c>
      <c r="S488" s="41">
        <f>IF(AND(R488&gt;=CO2_pH_hi_mt,R489&lt;CO2_pH_hi_mt),EXP(LN(A488)+(LN(A489)-LN(A488))*(R488-CO2_pH_hi_mt)/(R488-R489)),0)</f>
        <v>0.0</v>
      </c>
    </row>
    <row r="489">
      <c r="A489" s="41">
        <f>A488*grid_ratio</f>
        <v>5.17534261307</v>
      </c>
      <c r="B489" s="41">
        <f>MAX(0,A489*60-spg_dur)</f>
        <v>309.870556784171</v>
      </c>
      <c r="C489" s="41">
        <f>k_eff_CO2*B489</f>
        <v>0.004499598247</v>
      </c>
      <c r="D489" s="41">
        <f>EXP(-C489)</f>
        <v>0.995510509779</v>
      </c>
      <c r="E489" s="41">
        <f>IF(C489&gt;0,(1-D489)/C489,1)</f>
        <v>0.997753571482</v>
      </c>
      <c r="F489" s="41">
        <f>IF(C489&gt;0,(C489-1+D489)/C489^2,1/2)</f>
        <v>0.499250909798</v>
      </c>
      <c r="G489" s="41">
        <f>(C_air_CO2/C_sat_CO2*F_vent_ex-CO2_fix_sched)*(B489/3600)/(V_L_CO2+Vg_CO2)</f>
        <v>-0.059458935349</v>
      </c>
      <c r="H489" s="41">
        <f>(G489*E489+pool_b*D489)/(1-pool_ret*D489)</f>
        <v>26.137764891991</v>
      </c>
      <c r="I489" s="41">
        <f>MIN(C_sat_CO2,MAX(C_air_CO2,(pool_ret*H489+pool_b)*E489+G489*F489))</f>
        <v>26.226432019139</v>
      </c>
      <c r="J489" s="41">
        <f>IF(AND(I489&gt;=CO2_pH_hi_mt,I490&lt;CO2_pH_hi_mt),EXP(LN(A489)+(LN(A490)-LN(A489))*(I489-CO2_pH_hi_mt)/(I489-I490)),0)</f>
        <v>0.0</v>
      </c>
      <c r="L489" s="41">
        <f>k_eff_CO2_l*B489</f>
        <v>0.022552611904</v>
      </c>
      <c r="M489" s="41">
        <f>EXP(-L489)</f>
        <v>0.977699797192</v>
      </c>
      <c r="N489" s="41">
        <f>IF(L489&gt;0,(1-M489)/L489,1)</f>
        <v>0.9888079883</v>
      </c>
      <c r="O489" s="41">
        <f>IF(L489&gt;0,(L489-1+M489)/L489^2,1/2)</f>
        <v>0.496262328631</v>
      </c>
      <c r="P489" s="41">
        <f>(C_air_CO2/C_sat_CO2*F_vent_ex-CO2_fix_l)*(B489/3600)/(V_L_CO2+Vg_CO2)</f>
        <v>5.201012108179e-05</v>
      </c>
      <c r="Q489" s="41">
        <f>(P489*N489+pool_b*M489)/(1-pool_ret*M489)</f>
        <v>22.508004352097</v>
      </c>
      <c r="R489" s="41">
        <f>MIN(C_sat_CO2,MAX(C_air_CO2,(pool_ret*Q489+pool_b)*N489+P489*O489))</f>
        <v>22.763704104872</v>
      </c>
      <c r="S489" s="41">
        <f>IF(AND(R489&gt;=CO2_pH_hi_mt,R490&lt;CO2_pH_hi_mt),EXP(LN(A489)+(LN(A490)-LN(A489))*(R489-CO2_pH_hi_mt)/(R489-R490)),0)</f>
        <v>0.0</v>
      </c>
    </row>
    <row r="490">
      <c r="A490" s="41">
        <f>A489*grid_ratio</f>
        <v>5.796717675123</v>
      </c>
      <c r="B490" s="41">
        <f>MAX(0,A490*60-spg_dur)</f>
        <v>347.153060507409</v>
      </c>
      <c r="C490" s="41">
        <f>k_eff_CO2*B490</f>
        <v>0.00504097362</v>
      </c>
      <c r="D490" s="41">
        <f>EXP(-C490)</f>
        <v>0.994971710765</v>
      </c>
      <c r="E490" s="41">
        <f>IF(C490&gt;0,(1-D490)/C490,1)</f>
        <v>0.997483743094</v>
      </c>
      <c r="F490" s="41">
        <f>IF(C490&gt;0,(C490-1+D490)/C490^2,1/2)</f>
        <v>0.499160895473</v>
      </c>
      <c r="G490" s="41">
        <f>(C_air_CO2/C_sat_CO2*F_vent_ex-CO2_fix_sched)*(B490/3600)/(V_L_CO2+Vg_CO2)</f>
        <v>-0.066612819221</v>
      </c>
      <c r="H490" s="41">
        <f>(G490*E490+pool_b*D490)/(1-pool_ret*D490)</f>
        <v>25.9184034312</v>
      </c>
      <c r="I490" s="41">
        <f>MIN(C_sat_CO2,MAX(C_air_CO2,(pool_ret*H490+pool_b)*E490+G490*F490))</f>
        <v>26.01720278</v>
      </c>
      <c r="J490" s="41">
        <f>IF(AND(I490&gt;=CO2_pH_hi_mt,I491&lt;CO2_pH_hi_mt),EXP(LN(A490)+(LN(A491)-LN(A490))*(I490-CO2_pH_hi_mt)/(I490-I491)),0)</f>
        <v>0.0</v>
      </c>
      <c r="L490" s="41">
        <f>k_eff_CO2_l*B490</f>
        <v>0.025266060532</v>
      </c>
      <c r="M490" s="41">
        <f>EXP(-L490)</f>
        <v>0.975050455071</v>
      </c>
      <c r="N490" s="41">
        <f>IF(L490&gt;0,(1-M490)/L490,1)</f>
        <v>0.987472696702</v>
      </c>
      <c r="O490" s="41">
        <f>IF(L490&gt;0,(L490-1+M490)/L490^2,1/2)</f>
        <v>0.495815454974</v>
      </c>
      <c r="P490" s="41">
        <f>(C_air_CO2/C_sat_CO2*F_vent_ex-CO2_fix_l)*(B490/3600)/(V_L_CO2+Vg_CO2)</f>
        <v>5.826779058419e-05</v>
      </c>
      <c r="Q490" s="41">
        <f>(P490*N490+pool_b*M490)/(1-pool_ret*M490)</f>
        <v>21.978484651667</v>
      </c>
      <c r="R490" s="41">
        <f>MIN(C_sat_CO2,MAX(C_air_CO2,(pool_ret*Q490+pool_b)*N490+P490*O490))</f>
        <v>22.258463393091</v>
      </c>
      <c r="S490" s="41">
        <f>IF(AND(R490&gt;=CO2_pH_hi_mt,R491&lt;CO2_pH_hi_mt),EXP(LN(A490)+(LN(A491)-LN(A490))*(R490-CO2_pH_hi_mt)/(R490-R491)),0)</f>
        <v>0.0</v>
      </c>
    </row>
    <row r="491">
      <c r="A491" s="41">
        <f>A490*grid_ratio</f>
        <v>6.492697839991</v>
      </c>
      <c r="B491" s="41">
        <f>MAX(0,A491*60-spg_dur)</f>
        <v>388.91187039945</v>
      </c>
      <c r="C491" s="41">
        <f>k_eff_CO2*B491</f>
        <v>0.005647348971</v>
      </c>
      <c r="D491" s="41">
        <f>EXP(-C491)</f>
        <v>0.994368567328</v>
      </c>
      <c r="E491" s="41">
        <f>IF(C491&gt;0,(1-D491)/C491,1)</f>
        <v>0.997181633443</v>
      </c>
      <c r="F491" s="41">
        <f>IF(C491&gt;0,(C491-1+D491)/C491^2,1/2)</f>
        <v>0.49906010253</v>
      </c>
      <c r="G491" s="41">
        <f>(C_air_CO2/C_sat_CO2*F_vent_ex-CO2_fix_sched)*(B491/3600)/(V_L_CO2+Vg_CO2)</f>
        <v>-0.074625630775</v>
      </c>
      <c r="H491" s="41">
        <f>(G491*E491+pool_b*D491)/(1-pool_ret*D491)</f>
        <v>25.675451561946</v>
      </c>
      <c r="I491" s="41">
        <f>MIN(C_sat_CO2,MAX(C_air_CO2,(pool_ret*H491+pool_b)*E491+G491*F491))</f>
        <v>25.785470502431</v>
      </c>
      <c r="J491" s="41">
        <f>IF(AND(I491&gt;=CO2_pH_hi_mt,I492&lt;CO2_pH_hi_mt),EXP(LN(A491)+(LN(A492)-LN(A491))*(I491-CO2_pH_hi_mt)/(I491-I492)),0)</f>
        <v>0.0</v>
      </c>
      <c r="L491" s="41">
        <f>k_eff_CO2_l*B491</f>
        <v>0.028305298086</v>
      </c>
      <c r="M491" s="41">
        <f>EXP(-L491)</f>
        <v>0.972091543806</v>
      </c>
      <c r="N491" s="41">
        <f>IF(L491&gt;0,(1-M491)/L491,1)</f>
        <v>0.985979943018</v>
      </c>
      <c r="O491" s="41">
        <f>IF(L491&gt;0,(L491-1+M491)/L491^2,1/2)</f>
        <v>0.495315645137</v>
      </c>
      <c r="P491" s="41">
        <f>(C_air_CO2/C_sat_CO2*F_vent_ex-CO2_fix_l)*(B491/3600)/(V_L_CO2+Vg_CO2)</f>
        <v>6.527678421448e-05</v>
      </c>
      <c r="Q491" s="41">
        <f>(P491*N491+pool_b*M491)/(1-pool_ret*M491)</f>
        <v>21.412629702263</v>
      </c>
      <c r="R491" s="41">
        <f>MIN(C_sat_CO2,MAX(C_air_CO2,(pool_ret*Q491+pool_b)*N491+P491*O491))</f>
        <v>21.718521798935</v>
      </c>
      <c r="S491" s="41">
        <f>IF(AND(R491&gt;=CO2_pH_hi_mt,R492&lt;CO2_pH_hi_mt),EXP(LN(A491)+(LN(A492)-LN(A491))*(R491-CO2_pH_hi_mt)/(R491-R492)),0)</f>
        <v>0.0</v>
      </c>
    </row>
    <row r="492">
      <c r="A492" s="41">
        <f>A491*grid_ratio</f>
        <v>7.27224053404</v>
      </c>
      <c r="B492" s="41">
        <f>MAX(0,A492*60-spg_dur)</f>
        <v>435.684432042427</v>
      </c>
      <c r="C492" s="41">
        <f>k_eff_CO2*B492</f>
        <v>0.006326528492</v>
      </c>
      <c r="D492" s="41">
        <f>EXP(-C492)</f>
        <v>0.993693441852</v>
      </c>
      <c r="E492" s="41">
        <f>IF(C492&gt;0,(1-D492)/C492,1)</f>
        <v>0.996843396043</v>
      </c>
      <c r="F492" s="41">
        <f>IF(C492&gt;0,(C492-1+D492)/C492^2,1/2)</f>
        <v>0.498947244183</v>
      </c>
      <c r="G492" s="41">
        <f>(C_air_CO2/C_sat_CO2*F_vent_ex-CO2_fix_sched)*(B492/3600)/(V_L_CO2+Vg_CO2)</f>
        <v>-0.083600496757</v>
      </c>
      <c r="H492" s="41">
        <f>(G492*E492+pool_b*D492)/(1-pool_ret*D492)</f>
        <v>25.406715297562</v>
      </c>
      <c r="I492" s="41">
        <f>MIN(C_sat_CO2,MAX(C_air_CO2,(pool_ret*H492+pool_b)*E492+G492*F492))</f>
        <v>25.529141742013</v>
      </c>
      <c r="J492" s="41">
        <f>IF(AND(I492&gt;=CO2_pH_hi_mt,I493&lt;CO2_pH_hi_mt),EXP(LN(A492)+(LN(A493)-LN(A492))*(I492-CO2_pH_hi_mt)/(I492-I493)),0)</f>
        <v>0.0</v>
      </c>
      <c r="L492" s="41">
        <f>k_eff_CO2_l*B492</f>
        <v>0.031709440259</v>
      </c>
      <c r="M492" s="41">
        <f>EXP(-L492)</f>
        <v>0.968788031988</v>
      </c>
      <c r="N492" s="41">
        <f>IF(L492&gt;0,(1-M492)/L492,1)</f>
        <v>0.984311541206</v>
      </c>
      <c r="O492" s="41">
        <f>IF(L492&gt;0,(L492-1+M492)/L492^2,1/2)</f>
        <v>0.494756724351</v>
      </c>
      <c r="P492" s="41">
        <f>(C_air_CO2/C_sat_CO2*F_vent_ex-CO2_fix_l)*(B492/3600)/(V_L_CO2+Vg_CO2)</f>
        <v>7.31273093486e-05</v>
      </c>
      <c r="Q492" s="41">
        <f>(P492*N492+pool_b*M492)/(1-pool_ret*M492)</f>
        <v>20.810581479984</v>
      </c>
      <c r="R492" s="41">
        <f>MIN(C_sat_CO2,MAX(C_air_CO2,(pool_ret*Q492+pool_b)*N492+P492*O492))</f>
        <v>21.14400576162</v>
      </c>
      <c r="S492" s="41">
        <f>IF(AND(R492&gt;=CO2_pH_hi_mt,R493&lt;CO2_pH_hi_mt),EXP(LN(A492)+(LN(A493)-LN(A492))*(R492-CO2_pH_hi_mt)/(R492-R493)),0)</f>
        <v>0.0</v>
      </c>
    </row>
    <row r="493">
      <c r="A493" s="41">
        <f>A492*grid_ratio</f>
        <v>8.1453786528</v>
      </c>
      <c r="B493" s="41">
        <f>MAX(0,A493*60-spg_dur)</f>
        <v>488.072719167989</v>
      </c>
      <c r="C493" s="41">
        <f>k_eff_CO2*B493</f>
        <v>0.007087253381</v>
      </c>
      <c r="D493" s="41">
        <f>EXP(-C493)</f>
        <v>0.992937801973</v>
      </c>
      <c r="E493" s="41">
        <f>IF(C493&gt;0,(1-D493)/C493,1)</f>
        <v>0.996464730024</v>
      </c>
      <c r="F493" s="41">
        <f>IF(C493&gt;0,(C493-1+D493)/C493^2,1/2)</f>
        <v>0.498820881022</v>
      </c>
      <c r="G493" s="41">
        <f>(C_air_CO2/C_sat_CO2*F_vent_ex-CO2_fix_sched)*(B493/3600)/(V_L_CO2+Vg_CO2)</f>
        <v>-0.093652925776</v>
      </c>
      <c r="H493" s="41">
        <f>(G493*E493+pool_b*D493)/(1-pool_ret*D493)</f>
        <v>25.109877186622</v>
      </c>
      <c r="I493" s="41">
        <f>MIN(C_sat_CO2,MAX(C_air_CO2,(pool_ret*H493+pool_b)*E493+G493*F493))</f>
        <v>25.246005081447</v>
      </c>
      <c r="J493" s="41">
        <f>IF(AND(I493&gt;=CO2_pH_hi_mt,I494&lt;CO2_pH_hi_mt),EXP(LN(A493)+(LN(A494)-LN(A493))*(I493-CO2_pH_hi_mt)/(I493-I494)),0)</f>
        <v>0.0</v>
      </c>
      <c r="L493" s="41">
        <f>k_eff_CO2_l*B493</f>
        <v>0.035522299151</v>
      </c>
      <c r="M493" s="41">
        <f>EXP(-L493)</f>
        <v>0.965101213052</v>
      </c>
      <c r="N493" s="41">
        <f>IF(L493&gt;0,(1-M493)/L493,1)</f>
        <v>0.982447301603</v>
      </c>
      <c r="O493" s="41">
        <f>IF(L493&gt;0,(L493-1+M493)/L493^2,1/2)</f>
        <v>0.494131821887</v>
      </c>
      <c r="P493" s="41">
        <f>(C_air_CO2/C_sat_CO2*F_vent_ex-CO2_fix_l)*(B493/3600)/(V_L_CO2+Vg_CO2)</f>
        <v>8.192040406836e-05</v>
      </c>
      <c r="Q493" s="41">
        <f>(P493*N493+pool_b*M493)/(1-pool_ret*M493)</f>
        <v>20.172995103818</v>
      </c>
      <c r="R493" s="41">
        <f>MIN(C_sat_CO2,MAX(C_air_CO2,(pool_ret*Q493+pool_b)*N493+P493*O493))</f>
        <v>20.535529677052</v>
      </c>
      <c r="S493" s="41">
        <f>IF(AND(R493&gt;=CO2_pH_hi_mt,R494&lt;CO2_pH_hi_mt),EXP(LN(A493)+(LN(A494)-LN(A493))*(R493-CO2_pH_hi_mt)/(R493-R494)),0)</f>
        <v>0.0</v>
      </c>
    </row>
    <row r="494">
      <c r="A494" s="41">
        <f>A493*grid_ratio</f>
        <v>9.123349686651</v>
      </c>
      <c r="B494" s="41">
        <f>MAX(0,A494*60-spg_dur)</f>
        <v>546.750981199046</v>
      </c>
      <c r="C494" s="41">
        <f>k_eff_CO2*B494</f>
        <v>0.007939314344</v>
      </c>
      <c r="D494" s="41">
        <f>EXP(-C494)</f>
        <v>0.992092118771</v>
      </c>
      <c r="E494" s="41">
        <f>IF(C494&gt;0,(1-D494)/C494,1)</f>
        <v>0.996040827462</v>
      </c>
      <c r="F494" s="41">
        <f>IF(C494&gt;0,(C494-1+D494)/C494^2,1/2)</f>
        <v>0.498679403141</v>
      </c>
      <c r="G494" s="41">
        <f>(C_air_CO2/C_sat_CO2*F_vent_ex-CO2_fix_sched)*(B494/3600)/(V_L_CO2+Vg_CO2)</f>
        <v>-0.104912294929</v>
      </c>
      <c r="H494" s="41">
        <f>(G494*E494+pool_b*D494)/(1-pool_ret*D494)</f>
        <v>24.782509090518</v>
      </c>
      <c r="I494" s="41">
        <f>MIN(C_sat_CO2,MAX(C_air_CO2,(pool_ret*H494+pool_b)*E494+G494*F494))</f>
        <v>24.933743269894</v>
      </c>
      <c r="J494" s="41">
        <f>IF(AND(I494&gt;=CO2_pH_hi_mt,I495&lt;CO2_pH_hi_mt),EXP(LN(A494)+(LN(A495)-LN(A494))*(I494-CO2_pH_hi_mt)/(I494-I495)),0)</f>
        <v>0.0</v>
      </c>
      <c r="L494" s="41">
        <f>k_eff_CO2_l*B494</f>
        <v>0.039792947142</v>
      </c>
      <c r="M494" s="41">
        <f>EXP(-L494)</f>
        <v>0.960988393948</v>
      </c>
      <c r="N494" s="41">
        <f>IF(L494&gt;0,(1-M494)/L494,1)</f>
        <v>0.980364834823</v>
      </c>
      <c r="O494" s="41">
        <f>IF(L494&gt;0,(L494-1+M494)/L494^2,1/2)</f>
        <v>0.493433298789</v>
      </c>
      <c r="P494" s="41">
        <f>(C_air_CO2/C_sat_CO2*F_vent_ex-CO2_fix_l)*(B494/3600)/(V_L_CO2+Vg_CO2)</f>
        <v>9.176923754507e-05</v>
      </c>
      <c r="Q494" s="41">
        <f>(P494*N494+pool_b*M494)/(1-pool_ret*M494)</f>
        <v>19.501088580583</v>
      </c>
      <c r="R494" s="41">
        <f>MIN(C_sat_CO2,MAX(C_air_CO2,(pool_ret*Q494+pool_b)*N494+P494*O494))</f>
        <v>19.89424317738</v>
      </c>
      <c r="S494" s="41">
        <f>IF(AND(R494&gt;=CO2_pH_hi_mt,R495&lt;CO2_pH_hi_mt),EXP(LN(A494)+(LN(A495)-LN(A494))*(R494-CO2_pH_hi_mt)/(R494-R495)),0)</f>
        <v>0.0</v>
      </c>
    </row>
    <row r="495">
      <c r="A495" s="41">
        <f>A494*grid_ratio</f>
        <v>10.218740349941</v>
      </c>
      <c r="B495" s="41">
        <f>MAX(0,A495*60-spg_dur)</f>
        <v>612.47442099644</v>
      </c>
      <c r="C495" s="41">
        <f>k_eff_CO2*B495</f>
        <v>0.008893677603</v>
      </c>
      <c r="D495" s="41">
        <f>EXP(-C495)</f>
        <v>0.991145754163</v>
      </c>
      <c r="E495" s="41">
        <f>IF(C495&gt;0,(1-D495)/C495,1)</f>
        <v>0.995566314856</v>
      </c>
      <c r="F495" s="41">
        <f>IF(C495&gt;0,(C495-1+D495)/C495^2,1/2)</f>
        <v>0.498521010276</v>
      </c>
      <c r="G495" s="41">
        <f>(C_air_CO2/C_sat_CO2*F_vent_ex-CO2_fix_sched)*(B495/3600)/(V_L_CO2+Vg_CO2)</f>
        <v>-0.117523514912</v>
      </c>
      <c r="H495" s="41">
        <f>(G495*E495+pool_b*D495)/(1-pool_ret*D495)</f>
        <v>24.422090831413</v>
      </c>
      <c r="I495" s="41">
        <f>MIN(C_sat_CO2,MAX(C_air_CO2,(pool_ret*H495+pool_b)*E495+G495*F495))</f>
        <v>24.589950952227</v>
      </c>
      <c r="J495" s="41">
        <f>IF(AND(I495&gt;=CO2_pH_hi_mt,I496&lt;CO2_pH_hi_mt),EXP(LN(A495)+(LN(A496)-LN(A495))*(I495-CO2_pH_hi_mt)/(I495-I496)),0)</f>
        <v>0.0</v>
      </c>
      <c r="L495" s="41">
        <f>k_eff_CO2_l*B495</f>
        <v>0.044576348463</v>
      </c>
      <c r="M495" s="41">
        <f>EXP(-L495)</f>
        <v>0.956402577439</v>
      </c>
      <c r="N495" s="41">
        <f>IF(L495&gt;0,(1-M495)/L495,1)</f>
        <v>0.978039342924</v>
      </c>
      <c r="O495" s="41">
        <f>IF(L495&gt;0,(L495-1+M495)/L495^2,1/2)</f>
        <v>0.492652669695</v>
      </c>
      <c r="P495" s="41">
        <f>(C_air_CO2/C_sat_CO2*F_vent_ex-CO2_fix_l)*(B495/3600)/(V_L_CO2+Vg_CO2)</f>
        <v>0.0001028005665531</v>
      </c>
      <c r="Q495" s="41">
        <f>(P495*N495+pool_b*M495)/(1-pool_ret*M495)</f>
        <v>18.796679159107</v>
      </c>
      <c r="R495" s="41">
        <f>MIN(C_sat_CO2,MAX(C_air_CO2,(pool_ret*Q495+pool_b)*N495+P495*O495))</f>
        <v>19.221865634381</v>
      </c>
      <c r="S495" s="41">
        <f>IF(AND(R495&gt;=CO2_pH_hi_mt,R496&lt;CO2_pH_hi_mt),EXP(LN(A495)+(LN(A496)-LN(A495))*(R495-CO2_pH_hi_mt)/(R495-R496)),0)</f>
        <v>0.0</v>
      </c>
    </row>
    <row r="496">
      <c r="A496" s="41">
        <f>A495*grid_ratio</f>
        <v>11.445648574919</v>
      </c>
      <c r="B496" s="41">
        <f>MAX(0,A496*60-spg_dur)</f>
        <v>686.088914495161</v>
      </c>
      <c r="C496" s="41">
        <f>k_eff_CO2*B496</f>
        <v>0.009962626035</v>
      </c>
      <c r="D496" s="41">
        <f>EXP(-C496)</f>
        <v>0.990086836528</v>
      </c>
      <c r="E496" s="41">
        <f>IF(C496&gt;0,(1-D496)/C496,1)</f>
        <v>0.995035188183</v>
      </c>
      <c r="F496" s="41">
        <f>IF(C496&gt;0,(C496-1+D496)/C496^2,1/2)</f>
        <v>0.498343689681</v>
      </c>
      <c r="G496" s="41">
        <f>(C_air_CO2/C_sat_CO2*F_vent_ex-CO2_fix_sched)*(B496/3600)/(V_L_CO2+Vg_CO2)</f>
        <v>-0.131648895055</v>
      </c>
      <c r="H496" s="41">
        <f>(G496*E496+pool_b*D496)/(1-pool_ret*D496)</f>
        <v>24.026035701021</v>
      </c>
      <c r="I496" s="41">
        <f>MIN(C_sat_CO2,MAX(C_air_CO2,(pool_ret*H496+pool_b)*E496+G496*F496))</f>
        <v>24.212158931504</v>
      </c>
      <c r="J496" s="41">
        <f>IF(AND(I496&gt;=CO2_pH_hi_mt,I497&lt;CO2_pH_hi_mt),EXP(LN(A496)+(LN(A497)-LN(A496))*(I496-CO2_pH_hi_mt)/(I496-I497)),0)</f>
        <v>0.0</v>
      </c>
      <c r="L496" s="41">
        <f>k_eff_CO2_l*B496</f>
        <v>0.049934066601</v>
      </c>
      <c r="M496" s="41">
        <f>EXP(-L496)</f>
        <v>0.951292144358</v>
      </c>
      <c r="N496" s="41">
        <f>IF(L496&gt;0,(1-M496)/L496,1)</f>
        <v>0.975443398825</v>
      </c>
      <c r="O496" s="41">
        <f>IF(L496&gt;0,(L496-1+M496)/L496^2,1/2)</f>
        <v>0.491780518714</v>
      </c>
      <c r="P496" s="41">
        <f>(C_air_CO2/C_sat_CO2*F_vent_ex-CO2_fix_l)*(B496/3600)/(V_L_CO2+Vg_CO2)</f>
        <v>0.0001151563668588</v>
      </c>
      <c r="Q496" s="41">
        <f>(P496*N496+pool_b*M496)/(1-pool_ret*M496)</f>
        <v>18.062202204727</v>
      </c>
      <c r="R496" s="41">
        <f>MIN(C_sat_CO2,MAX(C_air_CO2,(pool_ret*Q496+pool_b)*N496+P496*O496))</f>
        <v>18.520703988247</v>
      </c>
      <c r="S496" s="41">
        <f>IF(AND(R496&gt;=CO2_pH_hi_mt,R497&lt;CO2_pH_hi_mt),EXP(LN(A496)+(LN(A497)-LN(A496))*(R496-CO2_pH_hi_mt)/(R496-R497)),0)</f>
        <v>0.0</v>
      </c>
    </row>
    <row r="497">
      <c r="A497" s="41">
        <f>A496*grid_ratio</f>
        <v>12.819864955402</v>
      </c>
      <c r="B497" s="41">
        <f>MAX(0,A497*60-spg_dur)</f>
        <v>768.541897324101</v>
      </c>
      <c r="C497" s="41">
        <f>k_eff_CO2*B497</f>
        <v>0.011159917255</v>
      </c>
      <c r="D497" s="41">
        <f>EXP(-C497)</f>
        <v>0.988902123616</v>
      </c>
      <c r="E497" s="41">
        <f>IF(C497&gt;0,(1-D497)/C497,1)</f>
        <v>0.994440740881</v>
      </c>
      <c r="F497" s="41">
        <f>IF(C497&gt;0,(C497-1+D497)/C497^2,1/2)</f>
        <v>0.498145191553</v>
      </c>
      <c r="G497" s="41">
        <f>(C_air_CO2/C_sat_CO2*F_vent_ex-CO2_fix_sched)*(B497/3600)/(V_L_CO2+Vg_CO2)</f>
        <v>-0.147470232281</v>
      </c>
      <c r="H497" s="41">
        <f>(G497*E497+pool_b*D497)/(1-pool_ret*D497)</f>
        <v>23.591723803888</v>
      </c>
      <c r="I497" s="41">
        <f>MIN(C_sat_CO2,MAX(C_air_CO2,(pool_ret*H497+pool_b)*E497+G497*F497))</f>
        <v>23.797865892003</v>
      </c>
      <c r="J497" s="41">
        <f>IF(AND(I497&gt;=CO2_pH_hi_mt,I498&lt;CO2_pH_hi_mt),EXP(LN(A497)+(LN(A498)-LN(A497))*(I497-CO2_pH_hi_mt)/(I497-I498)),0)</f>
        <v>0.0</v>
      </c>
      <c r="L497" s="41">
        <f>k_eff_CO2_l*B497</f>
        <v>0.055935056632</v>
      </c>
      <c r="M497" s="41">
        <f>EXP(-L497)</f>
        <v>0.945600544381</v>
      </c>
      <c r="N497" s="41">
        <f>IF(L497&gt;0,(1-M497)/L497,1)</f>
        <v>0.972546715693</v>
      </c>
      <c r="O497" s="41">
        <f>IF(L497&gt;0,(L497-1+M497)/L497^2,1/2)</f>
        <v>0.490806409442</v>
      </c>
      <c r="P497" s="41">
        <f>(C_air_CO2/C_sat_CO2*F_vent_ex-CO2_fix_l)*(B497/3600)/(V_L_CO2+Vg_CO2)</f>
        <v>0.0001289956604819</v>
      </c>
      <c r="Q497" s="41">
        <f>(P497*N497+pool_b*M497)/(1-pool_ret*M497)</f>
        <v>17.300709010795</v>
      </c>
      <c r="R497" s="41">
        <f>MIN(C_sat_CO2,MAX(C_air_CO2,(pool_ret*Q497+pool_b)*N497+P497*O497))</f>
        <v>17.79365048506</v>
      </c>
      <c r="S497" s="41">
        <f>IF(AND(R497&gt;=CO2_pH_hi_mt,R498&lt;CO2_pH_hi_mt),EXP(LN(A497)+(LN(A498)-LN(A497))*(R497-CO2_pH_hi_mt)/(R497-R498)),0)</f>
        <v>0.0</v>
      </c>
    </row>
    <row r="498">
      <c r="A498" s="41">
        <f>A497*grid_ratio</f>
        <v>14.359075975377</v>
      </c>
      <c r="B498" s="41">
        <f>MAX(0,A498*60-spg_dur)</f>
        <v>860.89455852264</v>
      </c>
      <c r="C498" s="41">
        <f>k_eff_CO2*B498</f>
        <v>0.012500960679</v>
      </c>
      <c r="D498" s="41">
        <f>EXP(-C498)</f>
        <v>0.987576851749</v>
      </c>
      <c r="E498" s="41">
        <f>IF(C498&gt;0,(1-D498)/C498,1)</f>
        <v>0.993775484134</v>
      </c>
      <c r="F498" s="41">
        <f>IF(C498&gt;0,(C498-1+D498)/C498^2,1/2)</f>
        <v>0.497923001725</v>
      </c>
      <c r="G498" s="41">
        <f>(C_air_CO2/C_sat_CO2*F_vent_ex-CO2_fix_sched)*(B498/3600)/(V_L_CO2+Vg_CO2)</f>
        <v>-0.165191150876</v>
      </c>
      <c r="H498" s="41">
        <f>(G498*E498+pool_b*D498)/(1-pool_ret*D498)</f>
        <v>23.116544121837</v>
      </c>
      <c r="I498" s="41">
        <f>MIN(C_sat_CO2,MAX(C_air_CO2,(pool_ret*H498+pool_b)*E498+G498*F498))</f>
        <v>23.344578427079</v>
      </c>
      <c r="J498" s="41">
        <f>IF(AND(I498&gt;=CO2_pH_hi_mt,I499&lt;CO2_pH_hi_mt),EXP(LN(A498)+(LN(A499)-LN(A498))*(I498-CO2_pH_hi_mt)/(I498-I499)),0)</f>
        <v>0.0</v>
      </c>
      <c r="L498" s="41">
        <f>k_eff_CO2_l*B498</f>
        <v>0.062656552691</v>
      </c>
      <c r="M498" s="41">
        <f>EXP(-L498)</f>
        <v>0.939266006682</v>
      </c>
      <c r="N498" s="41">
        <f>IF(L498&gt;0,(1-M498)/L498,1)</f>
        <v>0.969315908867</v>
      </c>
      <c r="O498" s="41">
        <f>IF(L498&gt;0,(L498-1+M498)/L498^2,1/2)</f>
        <v>0.489718789419</v>
      </c>
      <c r="P498" s="41">
        <f>(C_air_CO2/C_sat_CO2*F_vent_ex-CO2_fix_l)*(B498/3600)/(V_L_CO2+Vg_CO2)</f>
        <v>0.0001444965623456</v>
      </c>
      <c r="Q498" s="41">
        <f>(P498*N498+pool_b*M498)/(1-pool_ret*M498)</f>
        <v>16.515840896598</v>
      </c>
      <c r="R498" s="41">
        <f>MIN(C_sat_CO2,MAX(C_air_CO2,(pool_ret*Q498+pool_b)*N498+P498*O498))</f>
        <v>17.044157794881</v>
      </c>
      <c r="S498" s="41">
        <f>IF(AND(R498&gt;=CO2_pH_hi_mt,R499&lt;CO2_pH_hi_mt),EXP(LN(A498)+(LN(A499)-LN(A498))*(R498-CO2_pH_hi_mt)/(R498-R499)),0)</f>
        <v>0.0</v>
      </c>
    </row>
    <row r="499">
      <c r="A499" s="41">
        <f>A498*grid_ratio</f>
        <v>16.083091638168</v>
      </c>
      <c r="B499" s="41">
        <f>MAX(0,A499*60-spg_dur)</f>
        <v>964.335498290055</v>
      </c>
      <c r="C499" s="41">
        <f>k_eff_CO2*B499</f>
        <v>0.014003015847</v>
      </c>
      <c r="D499" s="41">
        <f>EXP(-C499)</f>
        <v>0.986094570348</v>
      </c>
      <c r="E499" s="41">
        <f>IF(C499&gt;0,(1-D499)/C499,1)</f>
        <v>0.993031058731</v>
      </c>
      <c r="F499" s="41">
        <f>IF(C499&gt;0,(C499-1+D499)/C499^2,1/2)</f>
        <v>0.497674311383</v>
      </c>
      <c r="G499" s="41">
        <f>(C_air_CO2/C_sat_CO2*F_vent_ex-CO2_fix_sched)*(B499/3600)/(V_L_CO2+Vg_CO2)</f>
        <v>-0.185039723176</v>
      </c>
      <c r="H499" s="41">
        <f>(G499*E499+pool_b*D499)/(1-pool_ret*D499)</f>
        <v>22.597946006949</v>
      </c>
      <c r="I499" s="41">
        <f>MIN(C_sat_CO2,MAX(C_air_CO2,(pool_ret*H499+pool_b)*E499+G499*F499))</f>
        <v>22.849860045247</v>
      </c>
      <c r="J499" s="41">
        <f>IF(AND(I499&gt;=CO2_pH_hi_mt,I500&lt;CO2_pH_hi_mt),EXP(LN(A499)+(LN(A500)-LN(A499))*(I499-CO2_pH_hi_mt)/(I499-I500)),0)</f>
        <v>0.0</v>
      </c>
      <c r="L499" s="41">
        <f>k_eff_CO2_l*B499</f>
        <v>0.070185061994</v>
      </c>
      <c r="M499" s="41">
        <f>EXP(-L499)</f>
        <v>0.932221285212</v>
      </c>
      <c r="N499" s="41">
        <f>IF(L499&gt;0,(1-M499)/L499,1)</f>
        <v>0.96571425404</v>
      </c>
      <c r="O499" s="41">
        <f>IF(L499&gt;0,(L499-1+M499)/L499^2,1/2)</f>
        <v>0.488504889593</v>
      </c>
      <c r="P499" s="41">
        <f>(C_air_CO2/C_sat_CO2*F_vent_ex-CO2_fix_l)*(B499/3600)/(V_L_CO2+Vg_CO2)</f>
        <v>0.0001618585726571</v>
      </c>
      <c r="Q499" s="41">
        <f>(P499*N499+pool_b*M499)/(1-pool_ret*M499)</f>
        <v>15.711778279102</v>
      </c>
      <c r="R499" s="41">
        <f>MIN(C_sat_CO2,MAX(C_air_CO2,(pool_ret*Q499+pool_b)*N499+P499*O499))</f>
        <v>16.276190257301</v>
      </c>
      <c r="S499" s="41">
        <f>IF(AND(R499&gt;=CO2_pH_hi_mt,R500&lt;CO2_pH_hi_mt),EXP(LN(A499)+(LN(A500)-LN(A499))*(R499-CO2_pH_hi_mt)/(R499-R500)),0)</f>
        <v>0.0</v>
      </c>
    </row>
    <row r="500">
      <c r="A500" s="41">
        <f>A499*grid_ratio</f>
        <v>18.014100425769</v>
      </c>
      <c r="B500" s="41">
        <f>MAX(0,A500*60-spg_dur)</f>
        <v>1080.196025546147</v>
      </c>
      <c r="C500" s="41">
        <f>k_eff_CO2*B500</f>
        <v>0.015685414558</v>
      </c>
      <c r="D500" s="41">
        <f>EXP(-C500)</f>
        <v>0.984436960885</v>
      </c>
      <c r="E500" s="41">
        <f>IF(C500&gt;0,(1-D500)/C500,1)</f>
        <v>0.992198137799</v>
      </c>
      <c r="F500" s="41">
        <f>IF(C500&gt;0,(C500-1+D500)/C500^2,1/2)</f>
        <v>0.497395983508</v>
      </c>
      <c r="G500" s="41">
        <f>(C_air_CO2/C_sat_CO2*F_vent_ex-CO2_fix_sched)*(B500/3600)/(V_L_CO2+Vg_CO2)</f>
        <v>-0.207271404918</v>
      </c>
      <c r="H500" s="41">
        <f>(G500*E500+pool_b*D500)/(1-pool_ret*D500)</f>
        <v>22.033500516834</v>
      </c>
      <c r="I500" s="41">
        <f>MIN(C_sat_CO2,MAX(C_air_CO2,(pool_ret*H500+pool_b)*E500+G500*F500))</f>
        <v>22.311389547921</v>
      </c>
      <c r="J500" s="41">
        <f>IF(AND(I500&gt;=CO2_pH_hi_mt,I501&lt;CO2_pH_hi_mt),EXP(LN(A500)+(LN(A501)-LN(A500))*(I500-CO2_pH_hi_mt)/(I500-I501)),0)</f>
        <v>0.0</v>
      </c>
      <c r="L500" s="41">
        <f>k_eff_CO2_l*B500</f>
        <v>0.078617478205</v>
      </c>
      <c r="M500" s="41">
        <f>EXP(-L500)</f>
        <v>0.924393457469</v>
      </c>
      <c r="N500" s="41">
        <f>IF(L500&gt;0,(1-M500)/L500,1)</f>
        <v>0.961701446776</v>
      </c>
      <c r="O500" s="41">
        <f>IF(L500&gt;0,(L500-1+M500)/L500^2,1/2)</f>
        <v>0.487150619664</v>
      </c>
      <c r="P500" s="41">
        <f>(C_air_CO2/C_sat_CO2*F_vent_ex-CO2_fix_l)*(B500/3600)/(V_L_CO2+Vg_CO2)</f>
        <v>0.0001813051445215</v>
      </c>
      <c r="Q500" s="41">
        <f>(P500*N500+pool_b*M500)/(1-pool_ret*M500)</f>
        <v>14.8931650652</v>
      </c>
      <c r="R500" s="41">
        <f>MIN(C_sat_CO2,MAX(C_air_CO2,(pool_ret*Q500+pool_b)*N500+P500*O500))</f>
        <v>15.494151582372</v>
      </c>
      <c r="S500" s="41">
        <f>IF(AND(R500&gt;=CO2_pH_hi_mt,R501&lt;CO2_pH_hi_mt),EXP(LN(A500)+(LN(A501)-LN(A500))*(R500-CO2_pH_hi_mt)/(R500-R501)),0)</f>
        <v>0.0</v>
      </c>
    </row>
    <row r="501">
      <c r="A501" s="41">
        <f>A500*grid_ratio</f>
        <v>20.176954869771</v>
      </c>
      <c r="B501" s="41">
        <f>MAX(0,A501*60-spg_dur)</f>
        <v>1209.967292186248</v>
      </c>
      <c r="C501" s="41">
        <f>k_eff_CO2*B501</f>
        <v>0.017569809674</v>
      </c>
      <c r="D501" s="41">
        <f>EXP(-C501)</f>
        <v>0.982583639427</v>
      </c>
      <c r="E501" s="41">
        <f>IF(C501&gt;0,(1-D501)/C501,1)</f>
        <v>0.991266319666</v>
      </c>
      <c r="F501" s="41">
        <f>IF(C501&gt;0,(C501-1+D501)/C501^2,1/2)</f>
        <v>0.497084515747</v>
      </c>
      <c r="G501" s="41">
        <f>(C_air_CO2/C_sat_CO2*F_vent_ex-CO2_fix_sched)*(B501/3600)/(V_L_CO2+Vg_CO2)</f>
        <v>-0.232172323009</v>
      </c>
      <c r="H501" s="41">
        <f>(G501*E501+pool_b*D501)/(1-pool_ret*D501)</f>
        <v>21.42097157837</v>
      </c>
      <c r="I501" s="41">
        <f>MIN(C_sat_CO2,MAX(C_air_CO2,(pool_ret*H501+pool_b)*E501+G501*F501))</f>
        <v>21.727028764717</v>
      </c>
      <c r="J501" s="41">
        <f>IF(AND(I501&gt;=CO2_pH_hi_mt,I502&lt;CO2_pH_hi_mt),EXP(LN(A501)+(LN(A502)-LN(A501))*(I501-CO2_pH_hi_mt)/(I501-I502)),0)</f>
        <v>0.0</v>
      </c>
      <c r="L501" s="41">
        <f>k_eff_CO2_l*B501</f>
        <v>0.088062328477</v>
      </c>
      <c r="M501" s="41">
        <f>EXP(-L501)</f>
        <v>0.915703800521</v>
      </c>
      <c r="N501" s="41">
        <f>IF(L501&gt;0,(1-M501)/L501,1)</f>
        <v>0.957233370233</v>
      </c>
      <c r="O501" s="41">
        <f>IF(L501&gt;0,(L501-1+M501)/L501^2,1/2)</f>
        <v>0.485640460637</v>
      </c>
      <c r="P501" s="41">
        <f>(C_air_CO2/C_sat_CO2*F_vent_ex-CO2_fix_l)*(B501/3600)/(V_L_CO2+Vg_CO2)</f>
        <v>0.0002030865598355</v>
      </c>
      <c r="Q501" s="41">
        <f>(P501*N501+pool_b*M501)/(1-pool_ret*M501)</f>
        <v>14.065010546225</v>
      </c>
      <c r="R501" s="41">
        <f>MIN(C_sat_CO2,MAX(C_air_CO2,(pool_ret*Q501+pool_b)*N501+P501*O501))</f>
        <v>14.702791083418</v>
      </c>
      <c r="S501" s="41">
        <f>IF(AND(R501&gt;=CO2_pH_hi_mt,R502&lt;CO2_pH_hi_mt),EXP(LN(A501)+(LN(A502)-LN(A501))*(R501-CO2_pH_hi_mt)/(R501-R502)),0)</f>
        <v>0.0</v>
      </c>
    </row>
    <row r="502">
      <c r="A502" s="41">
        <f>A501*grid_ratio</f>
        <v>22.599491409207</v>
      </c>
      <c r="B502" s="41">
        <f>MAX(0,A502*60-spg_dur)</f>
        <v>1355.31948455244</v>
      </c>
      <c r="C502" s="41">
        <f>k_eff_CO2*B502</f>
        <v>0.019680453798</v>
      </c>
      <c r="D502" s="41">
        <f>EXP(-C502)</f>
        <v>0.980511942119</v>
      </c>
      <c r="E502" s="41">
        <f>IF(C502&gt;0,(1-D502)/C502,1)</f>
        <v>0.990224010114</v>
      </c>
      <c r="F502" s="41">
        <f>IF(C502&gt;0,(C502-1+D502)/C502^2,1/2)</f>
        <v>0.496735999397</v>
      </c>
      <c r="G502" s="41">
        <f>(C_air_CO2/C_sat_CO2*F_vent_ex-CO2_fix_sched)*(B502/3600)/(V_L_CO2+Vg_CO2)</f>
        <v>-0.260062958049</v>
      </c>
      <c r="H502" s="41">
        <f>(G502*E502+pool_b*D502)/(1-pool_ret*D502)</f>
        <v>20.758396391531</v>
      </c>
      <c r="I502" s="41">
        <f>MIN(C_sat_CO2,MAX(C_air_CO2,(pool_ret*H502+pool_b)*E502+G502*F502))</f>
        <v>21.094899084536</v>
      </c>
      <c r="J502" s="41">
        <f>IF(AND(I502&gt;=CO2_pH_hi_mt,I503&lt;CO2_pH_hi_mt),EXP(LN(A502)+(LN(A503)-LN(A502))*(I502-CO2_pH_hi_mt)/(I502-I503)),0)</f>
        <v>0.0</v>
      </c>
      <c r="L502" s="41">
        <f>k_eff_CO2_l*B502</f>
        <v>0.098641170229</v>
      </c>
      <c r="M502" s="41">
        <f>EXP(-L502)</f>
        <v>0.90606777379</v>
      </c>
      <c r="N502" s="41">
        <f>IF(L502&gt;0,(1-M502)/L502,1)</f>
        <v>0.952261880021</v>
      </c>
      <c r="O502" s="41">
        <f>IF(L502&gt;0,(L502-1+M502)/L502^2,1/2)</f>
        <v>0.483957356422</v>
      </c>
      <c r="P502" s="41">
        <f>(C_air_CO2/C_sat_CO2*F_vent_ex-CO2_fix_l)*(B502/3600)/(V_L_CO2+Vg_CO2)</f>
        <v>0.000227483150473</v>
      </c>
      <c r="Q502" s="41">
        <f>(P502*N502+pool_b*M502)/(1-pool_ret*M502)</f>
        <v>13.232572794503</v>
      </c>
      <c r="R502" s="41">
        <f>MIN(C_sat_CO2,MAX(C_air_CO2,(pool_ret*Q502+pool_b)*N502+P502*O502))</f>
        <v>13.907092250637</v>
      </c>
      <c r="S502" s="41">
        <f>IF(AND(R502&gt;=CO2_pH_hi_mt,R503&lt;CO2_pH_hi_mt),EXP(LN(A502)+(LN(A503)-LN(A502))*(R502-CO2_pH_hi_mt)/(R502-R503)),0)</f>
        <v>0.0</v>
      </c>
    </row>
    <row r="503">
      <c r="A503" s="41">
        <f>A502*grid_ratio</f>
        <v>25.312888651995</v>
      </c>
      <c r="B503" s="41">
        <f>MAX(0,A503*60-spg_dur)</f>
        <v>1518.123319119698</v>
      </c>
      <c r="C503" s="41">
        <f>k_eff_CO2*B503</f>
        <v>0.02204451141</v>
      </c>
      <c r="D503" s="41">
        <f>EXP(-C503)</f>
        <v>0.978196693168</v>
      </c>
      <c r="E503" s="41">
        <f>IF(C503&gt;0,(1-D503)/C503,1)</f>
        <v>0.989058293304</v>
      </c>
      <c r="F503" s="41">
        <f>IF(C503&gt;0,(C503-1+D503)/C503^2,1/2)</f>
        <v>0.496346074172</v>
      </c>
      <c r="G503" s="41">
        <f>(C_air_CO2/C_sat_CO2*F_vent_ex-CO2_fix_sched)*(B503/3600)/(V_L_CO2+Vg_CO2)</f>
        <v>-0.291302268987</v>
      </c>
      <c r="H503" s="41">
        <f>(G503*E503+pool_b*D503)/(1-pool_ret*D503)</f>
        <v>20.044173761915</v>
      </c>
      <c r="I503" s="41">
        <f>MIN(C_sat_CO2,MAX(C_air_CO2,(pool_ret*H503+pool_b)*E503+G503*F503))</f>
        <v>20.41346553154</v>
      </c>
      <c r="J503" s="41">
        <f>IF(AND(I503&gt;=CO2_pH_hi_mt,I504&lt;CO2_pH_hi_mt),EXP(LN(A503)+(LN(A504)-LN(A503))*(I503-CO2_pH_hi_mt)/(I503-I504)),0)</f>
        <v>0.0</v>
      </c>
      <c r="L503" s="41">
        <f>k_eff_CO2_l*B503</f>
        <v>0.110490155611</v>
      </c>
      <c r="M503" s="41">
        <f>EXP(-L503)</f>
        <v>0.895395144764</v>
      </c>
      <c r="N503" s="41">
        <f>IF(L503&gt;0,(1-M503)/L503,1)</f>
        <v>0.946734617734</v>
      </c>
      <c r="O503" s="41">
        <f>IF(L503&gt;0,(L503-1+M503)/L503^2,1/2)</f>
        <v>0.482082607008</v>
      </c>
      <c r="P503" s="41">
        <f>(C_air_CO2/C_sat_CO2*F_vent_ex-CO2_fix_l)*(B503/3600)/(V_L_CO2+Vg_CO2)</f>
        <v>0.0002548089062218</v>
      </c>
      <c r="Q503" s="41">
        <f>(P503*N503+pool_b*M503)/(1-pool_ret*M503)</f>
        <v>12.401229148279</v>
      </c>
      <c r="R503" s="41">
        <f>MIN(C_sat_CO2,MAX(C_air_CO2,(pool_ret*Q503+pool_b)*N503+P503*O503))</f>
        <v>13.11214898619</v>
      </c>
      <c r="S503" s="41">
        <f>IF(AND(R503&gt;=CO2_pH_hi_mt,R504&lt;CO2_pH_hi_mt),EXP(LN(A503)+(LN(A504)-LN(A503))*(R503-CO2_pH_hi_mt)/(R503-R504)),0)</f>
        <v>0.0</v>
      </c>
    </row>
    <row r="504">
      <c r="A504" s="41">
        <f>A503*grid_ratio</f>
        <v>28.352068650857</v>
      </c>
      <c r="B504" s="41">
        <f>MAX(0,A504*60-spg_dur)</f>
        <v>1700.474119051411</v>
      </c>
      <c r="C504" s="41">
        <f>k_eff_CO2*B504</f>
        <v>0.024692408481</v>
      </c>
      <c r="D504" s="41">
        <f>EXP(-C504)</f>
        <v>0.975609955229</v>
      </c>
      <c r="E504" s="41">
        <f>IF(C504&gt;0,(1-D504)/C504,1)</f>
        <v>0.987754790712</v>
      </c>
      <c r="F504" s="41">
        <f>IF(C504&gt;0,(C504-1+D504)/C504^2,1/2)</f>
        <v>0.495909878433</v>
      </c>
      <c r="G504" s="41">
        <f>(C_air_CO2/C_sat_CO2*F_vent_ex-CO2_fix_sched)*(B504/3600)/(V_L_CO2+Vg_CO2)</f>
        <v>-0.326292313012</v>
      </c>
      <c r="H504" s="41">
        <f>(G504*E504+pool_b*D504)/(1-pool_ret*D504)</f>
        <v>19.27715819484</v>
      </c>
      <c r="I504" s="41">
        <f>MIN(C_sat_CO2,MAX(C_air_CO2,(pool_ret*H504+pool_b)*E504+G504*F504))</f>
        <v>19.68162631944</v>
      </c>
      <c r="J504" s="41">
        <f>IF(AND(I504&gt;=CO2_pH_hi_mt,I505&lt;CO2_pH_hi_mt),EXP(LN(A504)+(LN(A505)-LN(A504))*(I504-CO2_pH_hi_mt)/(I504-I505)),0)</f>
        <v>0.0</v>
      </c>
      <c r="L504" s="41">
        <f>k_eff_CO2_l*B504</f>
        <v>0.123761783815</v>
      </c>
      <c r="M504" s="41">
        <f>EXP(-L504)</f>
        <v>0.883590301324</v>
      </c>
      <c r="N504" s="41">
        <f>IF(L504&gt;0,(1-M504)/L504,1)</f>
        <v>0.94059486771</v>
      </c>
      <c r="O504" s="41">
        <f>IF(L504&gt;0,(L504-1+M504)/L504^2,1/2)</f>
        <v>0.47999576653</v>
      </c>
      <c r="P504" s="41">
        <f>(C_air_CO2/C_sat_CO2*F_vent_ex-CO2_fix_l)*(B504/3600)/(V_L_CO2+Vg_CO2)</f>
        <v>0.000285415515905</v>
      </c>
      <c r="Q504" s="41">
        <f>(P504*N504+pool_b*M504)/(1-pool_ret*M504)</f>
        <v>11.576340524337</v>
      </c>
      <c r="R504" s="41">
        <f>MIN(C_sat_CO2,MAX(C_air_CO2,(pool_ret*Q504+pool_b)*N504+P504*O504))</f>
        <v>12.323035920163</v>
      </c>
      <c r="S504" s="41">
        <f>IF(AND(R504&gt;=CO2_pH_hi_mt,R505&lt;CO2_pH_hi_mt),EXP(LN(A504)+(LN(A505)-LN(A504))*(R504-CO2_pH_hi_mt)/(R504-R505)),0)</f>
        <v>0.0</v>
      </c>
    </row>
    <row r="505">
      <c r="A505" s="41">
        <f>A504*grid_ratio</f>
        <v>31.756146358252</v>
      </c>
      <c r="B505" s="41">
        <f>MAX(0,A505*60-spg_dur)</f>
        <v>1904.718781495146</v>
      </c>
      <c r="C505" s="41">
        <f>k_eff_CO2*B505</f>
        <v>0.027658224061</v>
      </c>
      <c r="D505" s="41">
        <f>EXP(-C505)</f>
        <v>0.972720762548</v>
      </c>
      <c r="E505" s="41">
        <f>IF(C505&gt;0,(1-D505)/C505,1)</f>
        <v>0.98629750747</v>
      </c>
      <c r="F505" s="41">
        <f>IF(C505&gt;0,(C505-1+D505)/C505^2,1/2)</f>
        <v>0.49542199454</v>
      </c>
      <c r="G505" s="41">
        <f>(C_air_CO2/C_sat_CO2*F_vent_ex-CO2_fix_sched)*(B505/3600)/(V_L_CO2+Vg_CO2)</f>
        <v>-0.365483420118</v>
      </c>
      <c r="H505" s="41">
        <f>(G505*E505+pool_b*D505)/(1-pool_ret*D505)</f>
        <v>18.456756634079</v>
      </c>
      <c r="I505" s="41">
        <f>MIN(C_sat_CO2,MAX(C_air_CO2,(pool_ret*H505+pool_b)*E505+G505*F505))</f>
        <v>18.898804912261</v>
      </c>
      <c r="J505" s="41">
        <f>IF(AND(I505&gt;=CO2_pH_hi_mt,I506&lt;CO2_pH_hi_mt),EXP(LN(A505)+(LN(A506)-LN(A505))*(I505-CO2_pH_hi_mt)/(I505-I506)),0)</f>
        <v>0.0</v>
      </c>
      <c r="L505" s="41">
        <f>k_eff_CO2_l*B505</f>
        <v>0.138626863781</v>
      </c>
      <c r="M505" s="41">
        <f>EXP(-L505)</f>
        <v>0.870552802643</v>
      </c>
      <c r="N505" s="41">
        <f>IF(L505&gt;0,(1-M505)/L505,1)</f>
        <v>0.93378147515</v>
      </c>
      <c r="O505" s="41">
        <f>IF(L505&gt;0,(L505-1+M505)/L505^2,1/2)</f>
        <v>0.477674550547</v>
      </c>
      <c r="P505" s="41">
        <f>(C_air_CO2/C_sat_CO2*F_vent_ex-CO2_fix_l)*(B505/3600)/(V_L_CO2+Vg_CO2)</f>
        <v>0.0003196968936979</v>
      </c>
      <c r="Q505" s="41">
        <f>(P505*N505+pool_b*M505)/(1-pool_ret*M505)</f>
        <v>10.763116863008</v>
      </c>
      <c r="R505" s="41">
        <f>MIN(C_sat_CO2,MAX(C_air_CO2,(pool_ret*Q505+pool_b)*N505+P505*O505))</f>
        <v>11.544679765623</v>
      </c>
      <c r="S505" s="41">
        <f>IF(AND(R505&gt;=CO2_pH_hi_mt,R506&lt;CO2_pH_hi_mt),EXP(LN(A505)+(LN(A506)-LN(A505))*(R505-CO2_pH_hi_mt)/(R505-R506)),0)</f>
        <v>0.0</v>
      </c>
    </row>
    <row r="506">
      <c r="A506" s="41">
        <f>A505*grid_ratio</f>
        <v>35.568933044901</v>
      </c>
      <c r="B506" s="41">
        <f>MAX(0,A506*60-spg_dur)</f>
        <v>2133.48598269403</v>
      </c>
      <c r="C506" s="41">
        <f>k_eff_CO2*B506</f>
        <v>0.030980128885</v>
      </c>
      <c r="D506" s="41">
        <f>EXP(-C506)</f>
        <v>0.969494837828</v>
      </c>
      <c r="E506" s="41">
        <f>IF(C506&gt;0,(1-D506)/C506,1)</f>
        <v>0.984668665686</v>
      </c>
      <c r="F506" s="41">
        <f>IF(C506&gt;0,(C506-1+D506)/C506^2,1/2)</f>
        <v>0.494876389028</v>
      </c>
      <c r="G506" s="41">
        <f>(C_air_CO2/C_sat_CO2*F_vent_ex-CO2_fix_sched)*(B506/3600)/(V_L_CO2+Vg_CO2)</f>
        <v>-0.409379988953</v>
      </c>
      <c r="H506" s="41">
        <f>(G506*E506+pool_b*D506)/(1-pool_ret*D506)</f>
        <v>17.583023750116</v>
      </c>
      <c r="I506" s="41">
        <f>MIN(C_sat_CO2,MAX(C_air_CO2,(pool_ret*H506+pool_b)*E506+G506*F506))</f>
        <v>18.065040687364</v>
      </c>
      <c r="J506" s="41">
        <f>IF(AND(I506&gt;=CO2_pH_hi_mt,I507&lt;CO2_pH_hi_mt),EXP(LN(A506)+(LN(A507)-LN(A506))*(I506-CO2_pH_hi_mt)/(I506-I507)),0)</f>
        <v>0.0</v>
      </c>
      <c r="L506" s="41">
        <f>k_eff_CO2_l*B506</f>
        <v>0.155276712539</v>
      </c>
      <c r="M506" s="41">
        <f>EXP(-L506)</f>
        <v>0.85617822945</v>
      </c>
      <c r="N506" s="41">
        <f>IF(L506&gt;0,(1-M506)/L506,1)</f>
        <v>0.92622884783</v>
      </c>
      <c r="O506" s="41">
        <f>IF(L506&gt;0,(L506-1+M506)/L506^2,1/2)</f>
        <v>0.475094758021</v>
      </c>
      <c r="P506" s="41">
        <f>(C_air_CO2/C_sat_CO2*F_vent_ex-CO2_fix_l)*(B506/3600)/(V_L_CO2+Vg_CO2)</f>
        <v>0.0003580942488947</v>
      </c>
      <c r="Q506" s="41">
        <f>(P506*N506+pool_b*M506)/(1-pool_ret*M506)</f>
        <v>9.966490910413</v>
      </c>
      <c r="R506" s="41">
        <f>MIN(C_sat_CO2,MAX(C_air_CO2,(pool_ret*Q506+pool_b)*N506+P506*O506))</f>
        <v>10.781738575932</v>
      </c>
      <c r="S506" s="41">
        <f>IF(AND(R506&gt;=CO2_pH_hi_mt,R507&lt;CO2_pH_hi_mt),EXP(LN(A506)+(LN(A507)-LN(A506))*(R506-CO2_pH_hi_mt)/(R506-R507)),0)</f>
        <v>0.0</v>
      </c>
    </row>
    <row r="507">
      <c r="A507" s="41">
        <f>A506*grid_ratio</f>
        <v>39.839500161009</v>
      </c>
      <c r="B507" s="41">
        <f>MAX(0,A507*60-spg_dur)</f>
        <v>2389.720009660524</v>
      </c>
      <c r="C507" s="41">
        <f>k_eff_CO2*B507</f>
        <v>0.034700876639</v>
      </c>
      <c r="D507" s="41">
        <f>EXP(-C507)</f>
        <v>0.965894294598</v>
      </c>
      <c r="E507" s="41">
        <f>IF(C507&gt;0,(1-D507)/C507,1)</f>
        <v>0.982848524455</v>
      </c>
      <c r="F507" s="41">
        <f>IF(C507&gt;0,(C507-1+D507)/C507^2,1/2)</f>
        <v>0.494266347307</v>
      </c>
      <c r="G507" s="41">
        <f>(C_air_CO2/C_sat_CO2*F_vent_ex-CO2_fix_sched)*(B507/3600)/(V_L_CO2+Vg_CO2)</f>
        <v>-0.458546978556</v>
      </c>
      <c r="H507" s="41">
        <f>(G507*E507+pool_b*D507)/(1-pool_ret*D507)</f>
        <v>16.656750770555</v>
      </c>
      <c r="I507" s="41">
        <f>MIN(C_sat_CO2,MAX(C_air_CO2,(pool_ret*H507+pool_b)*E507+G507*F507))</f>
        <v>17.18107342696</v>
      </c>
      <c r="J507" s="41">
        <f>IF(AND(I507&gt;=CO2_pH_hi_mt,I508&lt;CO2_pH_hi_mt),EXP(LN(A507)+(LN(A508)-LN(A507))*(I507-CO2_pH_hi_mt)/(I507-I508)),0)</f>
        <v>0.0</v>
      </c>
      <c r="L507" s="41">
        <f>k_eff_CO2_l*B507</f>
        <v>0.17392561751</v>
      </c>
      <c r="M507" s="41">
        <f>EXP(-L507)</f>
        <v>0.840359403359</v>
      </c>
      <c r="N507" s="41">
        <f>IF(L507&gt;0,(1-M507)/L507,1)</f>
        <v>0.917867068272</v>
      </c>
      <c r="O507" s="41">
        <f>IF(L507&gt;0,(L507-1+M507)/L507^2,1/2)</f>
        <v>0.472230214868</v>
      </c>
      <c r="P507" s="41">
        <f>(C_air_CO2/C_sat_CO2*F_vent_ex-CO2_fix_l)*(B507/3600)/(V_L_CO2+Vg_CO2)</f>
        <v>0.0004011017643751</v>
      </c>
      <c r="Q507" s="41">
        <f>(P507*N507+pool_b*M507)/(1-pool_ret*M507)</f>
        <v>9.191006791321</v>
      </c>
      <c r="R507" s="41">
        <f>MIN(C_sat_CO2,MAX(C_air_CO2,(pool_ret*Q507+pool_b)*N507+P507*O507))</f>
        <v>10.038495051729</v>
      </c>
      <c r="S507" s="41">
        <f>IF(AND(R507&gt;=CO2_pH_hi_mt,R508&lt;CO2_pH_hi_mt),EXP(LN(A507)+(LN(A508)-LN(A507))*(R507-CO2_pH_hi_mt)/(R507-R508)),0)</f>
        <v>0.0</v>
      </c>
    </row>
    <row r="508">
      <c r="A508" s="41">
        <f>A507*grid_ratio</f>
        <v>44.622810897235</v>
      </c>
      <c r="B508" s="41">
        <f>MAX(0,A508*60-spg_dur)</f>
        <v>2676.718653834111</v>
      </c>
      <c r="C508" s="41">
        <f>k_eff_CO2*B508</f>
        <v>0.038868354213</v>
      </c>
      <c r="D508" s="41">
        <f>EXP(-C508)</f>
        <v>0.96187732791</v>
      </c>
      <c r="E508" s="41">
        <f>IF(C508&gt;0,(1-D508)/C508,1)</f>
        <v>0.980815186604</v>
      </c>
      <c r="F508" s="41">
        <f>IF(C508&gt;0,(C508-1+D508)/C508^2,1/2)</f>
        <v>0.493584402654</v>
      </c>
      <c r="G508" s="41">
        <f>(C_air_CO2/C_sat_CO2*F_vent_ex-CO2_fix_sched)*(B508/3600)/(V_L_CO2+Vg_CO2)</f>
        <v>-0.513617179502</v>
      </c>
      <c r="H508" s="41">
        <f>(G508*E508+pool_b*D508)/(1-pool_ret*D508)</f>
        <v>15.679542118176</v>
      </c>
      <c r="I508" s="41">
        <f>MIN(C_sat_CO2,MAX(C_air_CO2,(pool_ret*H508+pool_b)*E508+G508*F508))</f>
        <v>16.248416171199</v>
      </c>
      <c r="J508" s="41">
        <f>IF(AND(I508&gt;=CO2_pH_hi_mt,I509&lt;CO2_pH_hi_mt),EXP(LN(A508)+(LN(A509)-LN(A508))*(I508-CO2_pH_hi_mt)/(I508-I509)),0)</f>
        <v>0.0</v>
      </c>
      <c r="L508" s="41">
        <f>k_eff_CO2_l*B508</f>
        <v>0.194813594432</v>
      </c>
      <c r="M508" s="41">
        <f>EXP(-L508)</f>
        <v>0.822988053314</v>
      </c>
      <c r="N508" s="41">
        <f>IF(L508&gt;0,(1-M508)/L508,1)</f>
        <v>0.908622148274</v>
      </c>
      <c r="O508" s="41">
        <f>IF(L508&gt;0,(L508-1+M508)/L508^2,1/2)</f>
        <v>0.469052747538</v>
      </c>
      <c r="P508" s="41">
        <f>(C_air_CO2/C_sat_CO2*F_vent_ex-CO2_fix_l)*(B508/3600)/(V_L_CO2+Vg_CO2)</f>
        <v>0.000449272956852</v>
      </c>
      <c r="Q508" s="41">
        <f>(P508*N508+pool_b*M508)/(1-pool_ret*M508)</f>
        <v>8.440728525394</v>
      </c>
      <c r="R508" s="41">
        <f>MIN(C_sat_CO2,MAX(C_air_CO2,(pool_ret*Q508+pool_b)*N508+P508*O508))</f>
        <v>9.318768806194</v>
      </c>
      <c r="S508" s="41">
        <f>IF(AND(R508&gt;=CO2_pH_hi_mt,R509&lt;CO2_pH_hi_mt),EXP(LN(A508)+(LN(A509)-LN(A508))*(R508-CO2_pH_hi_mt)/(R508-R509)),0)</f>
        <v>0.0</v>
      </c>
    </row>
    <row r="509">
      <c r="A509" s="41">
        <f>A508*grid_ratio</f>
        <v>49.980427573718</v>
      </c>
      <c r="B509" s="41">
        <f>MAX(0,A509*60-spg_dur)</f>
        <v>2998.175654423062</v>
      </c>
      <c r="C509" s="41">
        <f>k_eff_CO2*B509</f>
        <v>0.043536198009</v>
      </c>
      <c r="D509" s="41">
        <f>EXP(-C509)</f>
        <v>0.957397897566</v>
      </c>
      <c r="E509" s="41">
        <f>IF(C509&gt;0,(1-D509)/C509,1)</f>
        <v>0.978544392535</v>
      </c>
      <c r="F509" s="41">
        <f>IF(C509&gt;0,(C509-1+D509)/C509^2,1/2)</f>
        <v>0.492822259325</v>
      </c>
      <c r="G509" s="41">
        <f>(C_air_CO2/C_sat_CO2*F_vent_ex-CO2_fix_sched)*(B509/3600)/(V_L_CO2+Vg_CO2)</f>
        <v>-0.575299358067</v>
      </c>
      <c r="H509" s="41">
        <f>(G509*E509+pool_b*D509)/(1-pool_ret*D509)</f>
        <v>14.653873714966</v>
      </c>
      <c r="I509" s="41">
        <f>MIN(C_sat_CO2,MAX(C_air_CO2,(pool_ret*H509+pool_b)*E509+G509*F509))</f>
        <v>15.269410577666</v>
      </c>
      <c r="J509" s="41">
        <f>IF(AND(I509&gt;=CO2_pH_hi_mt,I510&lt;CO2_pH_hi_mt),EXP(LN(A509)+(LN(A510)-LN(A509))*(I509-CO2_pH_hi_mt)/(I509-I510)),0)</f>
        <v>0.0</v>
      </c>
      <c r="L509" s="41">
        <f>k_eff_CO2_l*B509</f>
        <v>0.21820947642</v>
      </c>
      <c r="M509" s="41">
        <f>EXP(-L509)</f>
        <v>0.803957013989</v>
      </c>
      <c r="N509" s="41">
        <f>IF(L509&gt;0,(1-M509)/L509,1)</f>
        <v>0.898416463057</v>
      </c>
      <c r="O509" s="41">
        <f>IF(L509&gt;0,(L509-1+M509)/L509^2,1/2)</f>
        <v>0.465532196904</v>
      </c>
      <c r="P509" s="41">
        <f>(C_air_CO2/C_sat_CO2*F_vent_ex-CO2_fix_l)*(B509/3600)/(V_L_CO2+Vg_CO2)</f>
        <v>0.0005032278007608</v>
      </c>
      <c r="Q509" s="41">
        <f>(P509*N509+pool_b*M509)/(1-pool_ret*M509)</f>
        <v>7.71917196138</v>
      </c>
      <c r="R509" s="41">
        <f>MIN(C_sat_CO2,MAX(C_air_CO2,(pool_ret*Q509+pool_b)*N509+P509*O509))</f>
        <v>8.625850898996</v>
      </c>
      <c r="S509" s="41">
        <f>IF(AND(R509&gt;=CO2_pH_hi_mt,R510&lt;CO2_pH_hi_mt),EXP(LN(A509)+(LN(A510)-LN(A509))*(R509-CO2_pH_hi_mt)/(R509-R510)),0)</f>
        <v>0.0</v>
      </c>
    </row>
    <row r="510">
      <c r="A510" s="41">
        <f>A509*grid_ratio</f>
        <v>55.981303961432</v>
      </c>
      <c r="B510" s="41">
        <f>MAX(0,A510*60-spg_dur)</f>
        <v>3358.228237685943</v>
      </c>
      <c r="C510" s="41">
        <f>k_eff_CO2*B510</f>
        <v>0.048764484263</v>
      </c>
      <c r="D510" s="41">
        <f>EXP(-C510)</f>
        <v>0.952405409749</v>
      </c>
      <c r="E510" s="41">
        <f>IF(C510&gt;0,(1-D510)/C510,1)</f>
        <v>0.976009302069</v>
      </c>
      <c r="F510" s="41">
        <f>IF(C510&gt;0,(C510-1+D510)/C510^2,1/2)</f>
        <v>0.491970709705</v>
      </c>
      <c r="G510" s="41">
        <f>(C_air_CO2/C_sat_CO2*F_vent_ex-CO2_fix_sched)*(B510/3600)/(V_L_CO2+Vg_CO2)</f>
        <v>-0.644387378215</v>
      </c>
      <c r="H510" s="41">
        <f>(G510*E510+pool_b*D510)/(1-pool_ret*D510)</f>
        <v>13.58312685676</v>
      </c>
      <c r="I510" s="41">
        <f>MIN(C_sat_CO2,MAX(C_air_CO2,(pool_ret*H510+pool_b)*E510+G510*F510))</f>
        <v>14.247258976031</v>
      </c>
      <c r="J510" s="41">
        <f>IF(AND(I510&gt;=CO2_pH_hi_mt,I511&lt;CO2_pH_hi_mt),EXP(LN(A510)+(LN(A511)-LN(A510))*(I510-CO2_pH_hi_mt)/(I510-I511)),0)</f>
        <v>0.0</v>
      </c>
      <c r="L510" s="41">
        <f>k_eff_CO2_l*B510</f>
        <v>0.244414373908</v>
      </c>
      <c r="M510" s="41">
        <f>EXP(-L510)</f>
        <v>0.783163044685</v>
      </c>
      <c r="N510" s="41">
        <f>IF(L510&gt;0,(1-M510)/L510,1)</f>
        <v>0.887169407623</v>
      </c>
      <c r="O510" s="41">
        <f>IF(L510&gt;0,(L510-1+M510)/L510^2,1/2)</f>
        <v>0.461636484681</v>
      </c>
      <c r="P510" s="41">
        <f>(C_air_CO2/C_sat_CO2*F_vent_ex-CO2_fix_l)*(B510/3600)/(V_L_CO2+Vg_CO2)</f>
        <v>0.000563660707474</v>
      </c>
      <c r="Q510" s="41">
        <f>(P510*N510+pool_b*M510)/(1-pool_ret*M510)</f>
        <v>7.029261757103</v>
      </c>
      <c r="R510" s="41">
        <f>MIN(C_sat_CO2,MAX(C_air_CO2,(pool_ret*Q510+pool_b)*N510+P510*O510))</f>
        <v>7.962462191252</v>
      </c>
      <c r="S510" s="41">
        <f>IF(AND(R510&gt;=CO2_pH_hi_mt,R511&lt;CO2_pH_hi_mt),EXP(LN(A510)+(LN(A511)-LN(A510))*(R510-CO2_pH_hi_mt)/(R510-R511)),0)</f>
        <v>0.0</v>
      </c>
    </row>
    <row r="511">
      <c r="A511" s="41">
        <f>A510*grid_ratio</f>
        <v>62.702672733241</v>
      </c>
      <c r="B511" s="41">
        <f>MAX(0,A511*60-spg_dur)</f>
        <v>3761.510363994471</v>
      </c>
      <c r="C511" s="41">
        <f>k_eff_CO2*B511</f>
        <v>0.054620502231</v>
      </c>
      <c r="D511" s="41">
        <f>EXP(-C511)</f>
        <v>0.94684440512</v>
      </c>
      <c r="E511" s="41">
        <f>IF(C511&gt;0,(1-D511)/C511,1)</f>
        <v>0.973180265816</v>
      </c>
      <c r="F511" s="41">
        <f>IF(C511&gt;0,(C511-1+D511)/C511^2,1/2)</f>
        <v>0.491019545574</v>
      </c>
      <c r="G511" s="41">
        <f>(C_air_CO2/C_sat_CO2*F_vent_ex-CO2_fix_sched)*(B511/3600)/(V_L_CO2+Vg_CO2)</f>
        <v>-0.721770418813</v>
      </c>
      <c r="H511" s="41">
        <f>(G511*E511+pool_b*D511)/(1-pool_ret*D511)</f>
        <v>12.471592172971</v>
      </c>
      <c r="I511" s="41">
        <f>MIN(C_sat_CO2,MAX(C_air_CO2,(pool_ret*H511+pool_b)*E511+G511*F511))</f>
        <v>13.186027887483</v>
      </c>
      <c r="J511" s="41">
        <f>IF(AND(I511&gt;=CO2_pH_hi_mt,I512&lt;CO2_pH_hi_mt),EXP(LN(A511)+(LN(A512)-LN(A511))*(I511-CO2_pH_hi_mt)/(I511-I512)),0)</f>
        <v>0.0</v>
      </c>
      <c r="L511" s="41">
        <f>k_eff_CO2_l*B511</f>
        <v>0.273765550015</v>
      </c>
      <c r="M511" s="41">
        <f>EXP(-L511)</f>
        <v>0.760510356003</v>
      </c>
      <c r="N511" s="41">
        <f>IF(L511&gt;0,(1-M511)/L511,1)</f>
        <v>0.874798322814</v>
      </c>
      <c r="O511" s="41">
        <f>IF(L511&gt;0,(L511-1+M511)/L511^2,1/2)</f>
        <v>0.457331746742</v>
      </c>
      <c r="P511" s="41">
        <f>(C_air_CO2/C_sat_CO2*F_vent_ex-CO2_fix_l)*(B511/3600)/(V_L_CO2+Vg_CO2)</f>
        <v>0.0006313494625371</v>
      </c>
      <c r="Q511" s="41">
        <f>(P511*N511+pool_b*M511)/(1-pool_ret*M511)</f>
        <v>6.373313229214</v>
      </c>
      <c r="R511" s="41">
        <f>MIN(C_sat_CO2,MAX(C_air_CO2,(pool_ret*Q511+pool_b)*N511+P511*O511))</f>
        <v>7.330735357357</v>
      </c>
      <c r="S511" s="41">
        <f>IF(AND(R511&gt;=CO2_pH_hi_mt,R512&lt;CO2_pH_hi_mt),EXP(LN(A511)+(LN(A512)-LN(A511))*(R511-CO2_pH_hi_mt)/(R511-R512)),0)</f>
        <v>0.0</v>
      </c>
    </row>
    <row r="512">
      <c r="A512" s="41">
        <f>A511*grid_ratio</f>
        <v>70.23103946633</v>
      </c>
      <c r="B512" s="41">
        <f>MAX(0,A512*60-spg_dur)</f>
        <v>4213.212367979772</v>
      </c>
      <c r="C512" s="41">
        <f>k_eff_CO2*B512</f>
        <v>0.061179620226</v>
      </c>
      <c r="D512" s="41">
        <f>EXP(-C512)</f>
        <v>0.940654264069</v>
      </c>
      <c r="E512" s="41">
        <f>IF(C512&gt;0,(1-D512)/C512,1)</f>
        <v>0.970024588442</v>
      </c>
      <c r="F512" s="41">
        <f>IF(C512&gt;0,(C512-1+D512)/C512^2,1/2)</f>
        <v>0.489957463732</v>
      </c>
      <c r="G512" s="41">
        <f>(C_air_CO2/C_sat_CO2*F_vent_ex-CO2_fix_sched)*(B512/3600)/(V_L_CO2+Vg_CO2)</f>
        <v>-0.808444417565</v>
      </c>
      <c r="H512" s="41">
        <f>(G512*E512+pool_b*D512)/(1-pool_ret*D512)</f>
        <v>11.324439419566</v>
      </c>
      <c r="I512" s="41">
        <f>MIN(C_sat_CO2,MAX(C_air_CO2,(pool_ret*H512+pool_b)*E512+G512*F512))</f>
        <v>12.090618954013</v>
      </c>
      <c r="J512" s="41">
        <f>IF(AND(I512&gt;=CO2_pH_hi_mt,I513&lt;CO2_pH_hi_mt),EXP(LN(A512)+(LN(A513)-LN(A512))*(I512-CO2_pH_hi_mt)/(I512-I513)),0)</f>
        <v>0.0</v>
      </c>
      <c r="L512" s="41">
        <f>k_eff_CO2_l*B512</f>
        <v>0.306640761193</v>
      </c>
      <c r="M512" s="41">
        <f>EXP(-L512)</f>
        <v>0.735914922626</v>
      </c>
      <c r="N512" s="41">
        <f>IF(L512&gt;0,(1-M512)/L512,1)</f>
        <v>0.861219742433</v>
      </c>
      <c r="O512" s="41">
        <f>IF(L512&gt;0,(L512-1+M512)/L512^2,1/2)</f>
        <v>0.45258254978</v>
      </c>
      <c r="P512" s="41">
        <f>(C_air_CO2/C_sat_CO2*F_vent_ex-CO2_fix_l)*(B512/3600)/(V_L_CO2+Vg_CO2)</f>
        <v>0.000707165235949</v>
      </c>
      <c r="Q512" s="41">
        <f>(P512*N512+pool_b*M512)/(1-pool_ret*M512)</f>
        <v>5.753037315975</v>
      </c>
      <c r="R512" s="41">
        <f>MIN(C_sat_CO2,MAX(C_air_CO2,(pool_ret*Q512+pool_b)*N512+P512*O512))</f>
        <v>6.732218887171</v>
      </c>
      <c r="S512" s="41">
        <f>IF(AND(R512&gt;=CO2_pH_hi_mt,R513&lt;CO2_pH_hi_mt),EXP(LN(A512)+(LN(A513)-LN(A512))*(R512-CO2_pH_hi_mt)/(R512-R513)),0)</f>
        <v>0.0</v>
      </c>
    </row>
    <row r="513">
      <c r="A513" s="41">
        <f>A512*grid_ratio</f>
        <v>78.663295989076</v>
      </c>
      <c r="B513" s="41">
        <f>MAX(0,A513*60-spg_dur)</f>
        <v>4719.147759344581</v>
      </c>
      <c r="C513" s="41">
        <f>k_eff_CO2*B513</f>
        <v>0.068526255619</v>
      </c>
      <c r="D513" s="41">
        <f>EXP(-C513)</f>
        <v>0.9337689431</v>
      </c>
      <c r="E513" s="41">
        <f>IF(C513&gt;0,(1-D513)/C513,1)</f>
        <v>0.966506287286</v>
      </c>
      <c r="F513" s="41">
        <f>IF(C513&gt;0,(C513-1+D513)/C513^2,1/2)</f>
        <v>0.488771966473</v>
      </c>
      <c r="G513" s="41">
        <f>(C_air_CO2/C_sat_CO2*F_vent_ex-CO2_fix_sched)*(B513/3600)/(V_L_CO2+Vg_CO2)</f>
        <v>-0.905524888966</v>
      </c>
      <c r="H513" s="41">
        <f>(G513*E513+pool_b*D513)/(1-pool_ret*D513)</f>
        <v>10.14765069776</v>
      </c>
      <c r="I513" s="41">
        <f>MIN(C_sat_CO2,MAX(C_air_CO2,(pool_ret*H513+pool_b)*E513+G513*F513))</f>
        <v>10.966704979907</v>
      </c>
      <c r="J513" s="41">
        <f>IF(AND(I513&gt;=CO2_pH_hi_mt,I514&lt;CO2_pH_hi_mt),EXP(LN(A513)+(LN(A514)-LN(A513))*(I513-CO2_pH_hi_mt)/(I513-I514)),0)</f>
        <v>0.0</v>
      </c>
      <c r="L513" s="41">
        <f>k_eff_CO2_l*B513</f>
        <v>0.343463119045</v>
      </c>
      <c r="M513" s="41">
        <f>EXP(-L513)</f>
        <v>0.709309640679</v>
      </c>
      <c r="N513" s="41">
        <f>IF(L513&gt;0,(1-M513)/L513,1)</f>
        <v>0.846351014715</v>
      </c>
      <c r="O513" s="41">
        <f>IF(L513&gt;0,(L513-1+M513)/L513^2,1/2)</f>
        <v>0.447352209786</v>
      </c>
      <c r="P513" s="41">
        <f>(C_air_CO2/C_sat_CO2*F_vent_ex-CO2_fix_l)*(B513/3600)/(V_L_CO2+Vg_CO2)</f>
        <v>0.0007920837943223</v>
      </c>
      <c r="Q513" s="41">
        <f>(P513*N513+pool_b*M513)/(1-pool_ret*M513)</f>
        <v>5.169565666682</v>
      </c>
      <c r="R513" s="41">
        <f>MIN(C_sat_CO2,MAX(C_air_CO2,(pool_ret*Q513+pool_b)*N513+P513*O513))</f>
        <v>6.167900245878</v>
      </c>
      <c r="S513" s="41">
        <f>IF(AND(R513&gt;=CO2_pH_hi_mt,R514&lt;CO2_pH_hi_mt),EXP(LN(A513)+(LN(A514)-LN(A513))*(R513-CO2_pH_hi_mt)/(R513-R514)),0)</f>
        <v>0.0</v>
      </c>
    </row>
    <row r="514">
      <c r="A514" s="41">
        <f>A513*grid_ratio</f>
        <v>88.107967401389</v>
      </c>
      <c r="B514" s="41">
        <f>MAX(0,A514*60-spg_dur)</f>
        <v>5285.828044083345</v>
      </c>
      <c r="C514" s="41">
        <f>k_eff_CO2*B514</f>
        <v>0.076754961315</v>
      </c>
      <c r="D514" s="41">
        <f>EXP(-C514)</f>
        <v>0.926116760238</v>
      </c>
      <c r="E514" s="41">
        <f>IF(C514&gt;0,(1-D514)/C514,1)</f>
        <v>0.96258585108</v>
      </c>
      <c r="F514" s="41">
        <f>IF(C514&gt;0,(C514-1+D514)/C514^2,1/2)</f>
        <v>0.48744925773</v>
      </c>
      <c r="G514" s="41">
        <f>(C_air_CO2/C_sat_CO2*F_vent_ex-CO2_fix_sched)*(B514/3600)/(V_L_CO2+Vg_CO2)</f>
        <v>-1.014261281231</v>
      </c>
      <c r="H514" s="41">
        <f>(G514*E514+pool_b*D514)/(1-pool_ret*D514)</f>
        <v>8.947917042744</v>
      </c>
      <c r="I514" s="41">
        <f>MIN(C_sat_CO2,MAX(C_air_CO2,(pool_ret*H514+pool_b)*E514+G514*F514))</f>
        <v>9.820631028831</v>
      </c>
      <c r="J514" s="41">
        <f>IF(AND(I514&gt;=CO2_pH_hi_mt,I515&lt;CO2_pH_hi_mt),EXP(LN(A514)+(LN(A515)-LN(A514))*(I514-CO2_pH_hi_mt)/(I514-I515)),0)</f>
        <v>0.0</v>
      </c>
      <c r="L514" s="41">
        <f>k_eff_CO2_l*B514</f>
        <v>0.38470653587</v>
      </c>
      <c r="M514" s="41">
        <f>EXP(-L514)</f>
        <v>0.680650353362</v>
      </c>
      <c r="N514" s="41">
        <f>IF(L514&gt;0,(1-M514)/L514,1)</f>
        <v>0.830112350225</v>
      </c>
      <c r="O514" s="41">
        <f>IF(L514&gt;0,(L514-1+M514)/L514^2,1/2)</f>
        <v>0.441603232424</v>
      </c>
      <c r="P514" s="41">
        <f>(C_air_CO2/C_sat_CO2*F_vent_ex-CO2_fix_l)*(B514/3600)/(V_L_CO2+Vg_CO2)</f>
        <v>0.0008871980592264</v>
      </c>
      <c r="Q514" s="41">
        <f>(P514*N514+pool_b*M514)/(1-pool_ret*M514)</f>
        <v>4.623492057054</v>
      </c>
      <c r="R514" s="41">
        <f>MIN(C_sat_CO2,MAX(C_air_CO2,(pool_ret*Q514+pool_b)*N514+P514*O514))</f>
        <v>5.638244590982</v>
      </c>
      <c r="S514" s="41">
        <f>IF(AND(R514&gt;=CO2_pH_hi_mt,R515&lt;CO2_pH_hi_mt),EXP(LN(A514)+(LN(A515)-LN(A514))*(R514-CO2_pH_hi_mt)/(R514-R515)),0)</f>
        <v>0.0</v>
      </c>
    </row>
    <row r="515">
      <c r="A515" s="41">
        <f>A514*grid_ratio</f>
        <v>98.686608817946</v>
      </c>
      <c r="B515" s="41">
        <f>MAX(0,A515*60-spg_dur)</f>
        <v>5920.546529076732</v>
      </c>
      <c r="C515" s="41">
        <f>k_eff_CO2*B515</f>
        <v>0.085971642667</v>
      </c>
      <c r="D515" s="41">
        <f>EXP(-C515)</f>
        <v>0.917620252115</v>
      </c>
      <c r="E515" s="41">
        <f>IF(C515&gt;0,(1-D515)/C515,1)</f>
        <v>0.958220005227</v>
      </c>
      <c r="F515" s="41">
        <f>IF(C515&gt;0,(C515-1+D515)/C515^2,1/2)</f>
        <v>0.485974136088</v>
      </c>
      <c r="G515" s="41">
        <f>(C_air_CO2/C_sat_CO2*F_vent_ex-CO2_fix_sched)*(B515/3600)/(V_L_CO2+Vg_CO2)</f>
        <v>-1.136053056984</v>
      </c>
      <c r="H515" s="41">
        <f>(G515*E515+pool_b*D515)/(1-pool_ret*D515)</f>
        <v>7.732500991017</v>
      </c>
      <c r="I515" s="41">
        <f>MIN(C_sat_CO2,MAX(C_air_CO2,(pool_ret*H515+pool_b)*E515+G515*F515))</f>
        <v>8.659283058545</v>
      </c>
      <c r="J515" s="41">
        <f>IF(AND(I515&gt;=CO2_pH_hi_mt,I516&lt;CO2_pH_hi_mt),EXP(LN(A515)+(LN(A516)-LN(A515))*(I515-CO2_pH_hi_mt)/(I515-I516)),0)</f>
        <v>0.0</v>
      </c>
      <c r="L515" s="41">
        <f>k_eff_CO2_l*B515</f>
        <v>0.430901824022</v>
      </c>
      <c r="M515" s="41">
        <f>EXP(-L515)</f>
        <v>0.649922714441</v>
      </c>
      <c r="N515" s="41">
        <f>IF(L515&gt;0,(1-M515)/L515,1)</f>
        <v>0.81242934247</v>
      </c>
      <c r="O515" s="41">
        <f>IF(L515&gt;0,(L515-1+M515)/L515^2,1/2)</f>
        <v>0.43529789635</v>
      </c>
      <c r="P515" s="41">
        <f>(C_air_CO2/C_sat_CO2*F_vent_ex-CO2_fix_l)*(B515/3600)/(V_L_CO2+Vg_CO2)</f>
        <v>0.0009937321733415</v>
      </c>
      <c r="Q515" s="41">
        <f>(P515*N515+pool_b*M515)/(1-pool_ret*M515)</f>
        <v>4.114925934965</v>
      </c>
      <c r="R515" s="41">
        <f>MIN(C_sat_CO2,MAX(C_air_CO2,(pool_ret*Q515+pool_b)*N515+P515*O515))</f>
        <v>5.143245080885</v>
      </c>
      <c r="S515" s="41">
        <f>IF(AND(R515&gt;=CO2_pH_hi_mt,R516&lt;CO2_pH_hi_mt),EXP(LN(A515)+(LN(A516)-LN(A515))*(R515-CO2_pH_hi_mt)/(R515-R516)),0)</f>
        <v>0.0</v>
      </c>
    </row>
    <row r="516">
      <c r="A516" s="41">
        <f>A515*grid_ratio</f>
        <v>110.535369810752</v>
      </c>
      <c r="B516" s="41">
        <f>MAX(0,A516*60-spg_dur)</f>
        <v>6631.472188645109</v>
      </c>
      <c r="C516" s="41">
        <f>k_eff_CO2*B516</f>
        <v>0.096294920504</v>
      </c>
      <c r="D516" s="41">
        <f>EXP(-C516)</f>
        <v>0.908196130908</v>
      </c>
      <c r="E516" s="41">
        <f>IF(C516&gt;0,(1-D516)/C516,1)</f>
        <v>0.953361492091</v>
      </c>
      <c r="F516" s="41">
        <f>IF(C516&gt;0,(C516-1+D516)/C516^2,1/2)</f>
        <v>0.48432988641</v>
      </c>
      <c r="G516" s="41">
        <f>(C_air_CO2/C_sat_CO2*F_vent_ex-CO2_fix_sched)*(B516/3600)/(V_L_CO2+Vg_CO2)</f>
        <v>-1.272467704664</v>
      </c>
      <c r="H516" s="41">
        <f>(G516*E516+pool_b*D516)/(1-pool_ret*D516)</f>
        <v>6.509070440471</v>
      </c>
      <c r="I516" s="41">
        <f>MIN(C_sat_CO2,MAX(C_air_CO2,(pool_ret*H516+pool_b)*E516+G516*F516))</f>
        <v>7.489929153458</v>
      </c>
      <c r="J516" s="41">
        <f>IF(AND(I516&gt;=CO2_pH_hi_mt,I517&lt;CO2_pH_hi_mt),EXP(LN(A516)+(LN(A517)-LN(A516))*(I516-CO2_pH_hi_mt)/(I516-I517)),0)</f>
        <v>0.0</v>
      </c>
      <c r="L516" s="41">
        <f>k_eff_CO2_l*B516</f>
        <v>0.482643527587</v>
      </c>
      <c r="M516" s="41">
        <f>EXP(-L516)</f>
        <v>0.617149781038</v>
      </c>
      <c r="N516" s="41">
        <f>IF(L516&gt;0,(1-M516)/L516,1)</f>
        <v>0.793235995261</v>
      </c>
      <c r="O516" s="41">
        <f>IF(L516&gt;0,(L516-1+M516)/L516^2,1/2)</f>
        <v>0.428399000341</v>
      </c>
      <c r="P516" s="41">
        <f>(C_air_CO2/C_sat_CO2*F_vent_ex-CO2_fix_l)*(B516/3600)/(V_L_CO2+Vg_CO2)</f>
        <v>0.001113057255</v>
      </c>
      <c r="Q516" s="41">
        <f>(P516*N516+pool_b*M516)/(1-pool_ret*M516)</f>
        <v>3.643553879668</v>
      </c>
      <c r="R516" s="41">
        <f>MIN(C_sat_CO2,MAX(C_air_CO2,(pool_ret*Q516+pool_b)*N516+P516*O516))</f>
        <v>4.68248080506</v>
      </c>
      <c r="S516" s="41">
        <f>IF(AND(R516&gt;=CO2_pH_hi_mt,R517&lt;CO2_pH_hi_mt),EXP(LN(A516)+(LN(A517)-LN(A516))*(R516-CO2_pH_hi_mt)/(R516-R517)),0)</f>
        <v>0.0</v>
      </c>
    </row>
    <row r="517">
      <c r="A517" s="41">
        <f>A516*grid_ratio</f>
        <v>123.806746685756</v>
      </c>
      <c r="B517" s="41">
        <f>MAX(0,A517*60-spg_dur)</f>
        <v>7427.75480114535</v>
      </c>
      <c r="C517" s="41">
        <f>k_eff_CO2*B517</f>
        <v>0.10785765781</v>
      </c>
      <c r="D517" s="41">
        <f>EXP(-C517)</f>
        <v>0.897755375803</v>
      </c>
      <c r="E517" s="41">
        <f>IF(C517&gt;0,(1-D517)/C517,1)</f>
        <v>0.947958877225</v>
      </c>
      <c r="F517" s="41">
        <f>IF(C517&gt;0,(C517-1+D517)/C517^2,1/2)</f>
        <v>0.48249817242</v>
      </c>
      <c r="G517" s="41">
        <f>(C_air_CO2/C_sat_CO2*F_vent_ex-CO2_fix_sched)*(B517/3600)/(V_L_CO2+Vg_CO2)</f>
        <v>-1.425260912472</v>
      </c>
      <c r="H517" s="41">
        <f>(G517*E517+pool_b*D517)/(1-pool_ret*D517)</f>
        <v>5.285511551942</v>
      </c>
      <c r="I517" s="41">
        <f>MIN(C_sat_CO2,MAX(C_air_CO2,(pool_ret*H517+pool_b)*E517+G517*F517))</f>
        <v>6.320040735058</v>
      </c>
      <c r="J517" s="41">
        <f>IF(AND(I517&gt;=CO2_pH_hi_mt,I518&lt;CO2_pH_hi_mt),EXP(LN(A517)+(LN(A518)-LN(A517))*(I517-CO2_pH_hi_mt)/(I517-I518)),0)</f>
        <v>0.0</v>
      </c>
      <c r="L517" s="41">
        <f>k_eff_CO2_l*B517</f>
        <v>0.540597574309</v>
      </c>
      <c r="M517" s="41">
        <f>EXP(-L517)</f>
        <v>0.582400121018</v>
      </c>
      <c r="N517" s="41">
        <f>IF(L517&gt;0,(1-M517)/L517,1)</f>
        <v>0.772478270027</v>
      </c>
      <c r="O517" s="41">
        <f>IF(L517&gt;0,(L517-1+M517)/L517^2,1/2)</f>
        <v>0.420870793333</v>
      </c>
      <c r="P517" s="41">
        <f>(C_air_CO2/C_sat_CO2*F_vent_ex-CO2_fix_l)*(B517/3600)/(V_L_CO2+Vg_CO2)</f>
        <v>0.001246709047</v>
      </c>
      <c r="Q517" s="41">
        <f>(P517*N517+pool_b*M517)/(1-pool_ret*M517)</f>
        <v>3.208705032252</v>
      </c>
      <c r="R517" s="41">
        <f>MIN(C_sat_CO2,MAX(C_air_CO2,(pool_ret*Q517+pool_b)*N517+P517*O517))</f>
        <v>4.25517864898</v>
      </c>
      <c r="S517" s="41">
        <f>IF(AND(R517&gt;=CO2_pH_hi_mt,R518&lt;CO2_pH_hi_mt),EXP(LN(A517)+(LN(A518)-LN(A517))*(R517-CO2_pH_hi_mt)/(R517-R518)),0)</f>
        <v>0.0</v>
      </c>
    </row>
    <row r="518">
      <c r="A518" s="41">
        <f>A517*grid_ratio</f>
        <v>138.671545145724</v>
      </c>
      <c r="B518" s="41">
        <f>MAX(0,A518*60-spg_dur)</f>
        <v>8319.642708743411</v>
      </c>
      <c r="C518" s="41">
        <f>k_eff_CO2*B518</f>
        <v>0.120808669699</v>
      </c>
      <c r="D518" s="41">
        <f>EXP(-C518)</f>
        <v>0.886203500956</v>
      </c>
      <c r="E518" s="41">
        <f>IF(C518&gt;0,(1-D518)/C518,1)</f>
        <v>0.941956395413</v>
      </c>
      <c r="F518" s="41">
        <f>IF(C518&gt;0,(C518-1+D518)/C518^2,1/2)</f>
        <v>0.480458933387</v>
      </c>
      <c r="G518" s="41">
        <f>(C_air_CO2/C_sat_CO2*F_vent_ex-CO2_fix_sched)*(B518/3600)/(V_L_CO2+Vg_CO2)</f>
        <v>-1.59639916448</v>
      </c>
      <c r="H518" s="41">
        <f>(G518*E518+pool_b*D518)/(1-pool_ret*D518)</f>
        <v>4.069730298742</v>
      </c>
      <c r="I518" s="41">
        <f>MIN(C_sat_CO2,MAX(C_air_CO2,(pool_ret*H518+pool_b)*E518+G518*F518))</f>
        <v>5.157102900591</v>
      </c>
      <c r="J518" s="41">
        <f>IF(AND(I518&gt;=CO2_pH_hi_mt,I519&lt;CO2_pH_hi_mt),EXP(LN(A518)+(LN(A519)-LN(A518))*(I518-CO2_pH_hi_mt)/(I518-I519)),0)</f>
        <v>0.0</v>
      </c>
      <c r="L518" s="41">
        <f>k_eff_CO2_l*B518</f>
        <v>0.605509846228</v>
      </c>
      <c r="M518" s="41">
        <f>EXP(-L518)</f>
        <v>0.545796083615</v>
      </c>
      <c r="N518" s="41">
        <f>IF(L518&gt;0,(1-M518)/L518,1)</f>
        <v>0.750118134683</v>
      </c>
      <c r="O518" s="41">
        <f>IF(L518&gt;0,(L518-1+M518)/L518^2,1/2)</f>
        <v>0.412680102353</v>
      </c>
      <c r="P518" s="41">
        <f>(C_air_CO2/C_sat_CO2*F_vent_ex-CO2_fix_l)*(B518/3600)/(V_L_CO2+Vg_CO2)</f>
        <v>0.001396407678</v>
      </c>
      <c r="Q518" s="41">
        <f>(P518*N518+pool_b*M518)/(1-pool_ret*M518)</f>
        <v>2.809417032271</v>
      </c>
      <c r="R518" s="41">
        <f>MIN(C_sat_CO2,MAX(C_air_CO2,(pool_ret*Q518+pool_b)*N518+P518*O518))</f>
        <v>3.860275890547</v>
      </c>
      <c r="S518" s="41">
        <f>IF(AND(R518&gt;=CO2_pH_hi_mt,R519&lt;CO2_pH_hi_mt),EXP(LN(A518)+(LN(A519)-LN(A518))*(R518-CO2_pH_hi_mt)/(R518-R519)),0)</f>
        <v>0.0</v>
      </c>
    </row>
    <row r="519">
      <c r="A519" s="41">
        <f>A518*grid_ratio</f>
        <v>155.321078599304</v>
      </c>
      <c r="B519" s="41">
        <f>MAX(0,A519*60-spg_dur)</f>
        <v>9318.614715958256</v>
      </c>
      <c r="C519" s="41">
        <f>k_eff_CO2*B519</f>
        <v>0.135314638703</v>
      </c>
      <c r="D519" s="41">
        <f>EXP(-C519)</f>
        <v>0.87344105009</v>
      </c>
      <c r="E519" s="41">
        <f>IF(C519&gt;0,(1-D519)/C519,1)</f>
        <v>0.935293853813</v>
      </c>
      <c r="F519" s="41">
        <f>IF(C519&gt;0,(C519-1+D519)/C519^2,1/2)</f>
        <v>0.478190288995</v>
      </c>
      <c r="G519" s="41">
        <f>(C_air_CO2/C_sat_CO2*F_vent_ex-CO2_fix_sched)*(B519/3600)/(V_L_CO2+Vg_CO2)</f>
        <v>-1.788085049738</v>
      </c>
      <c r="H519" s="41">
        <f>(G519*E519+pool_b*D519)/(1-pool_ret*D519)</f>
        <v>2.869453305677</v>
      </c>
      <c r="I519" s="41">
        <f>MIN(C_sat_CO2,MAX(C_air_CO2,(pool_ret*H519+pool_b)*E519+G519*F519))</f>
        <v>4.008424026644</v>
      </c>
      <c r="J519" s="41">
        <f>IF(AND(I519&gt;=CO2_pH_hi_mt,I520&lt;CO2_pH_hi_mt),EXP(LN(A519)+(LN(A520)-LN(A519))*(I519-CO2_pH_hi_mt)/(I519-I520)),0)</f>
        <v>0.0</v>
      </c>
      <c r="L519" s="41">
        <f>k_eff_CO2_l*B519</f>
        <v>0.678215779361</v>
      </c>
      <c r="M519" s="41">
        <f>EXP(-L519)</f>
        <v>0.507521715732</v>
      </c>
      <c r="N519" s="41">
        <f>IF(L519&gt;0,(1-M519)/L519,1)</f>
        <v>0.726138051125</v>
      </c>
      <c r="O519" s="41">
        <f>IF(L519&gt;0,(L519-1+M519)/L519^2,1/2)</f>
        <v>0.403797666184</v>
      </c>
      <c r="P519" s="41">
        <f>(C_air_CO2/C_sat_CO2*F_vent_ex-CO2_fix_l)*(B519/3600)/(V_L_CO2+Vg_CO2)</f>
        <v>0.001564079804</v>
      </c>
      <c r="Q519" s="41">
        <f>(P519*N519+pool_b*M519)/(1-pool_ret*M519)</f>
        <v>2.444499582179</v>
      </c>
      <c r="R519" s="41">
        <f>MIN(C_sat_CO2,MAX(C_air_CO2,(pool_ret*Q519+pool_b)*N519+P519*O519))</f>
        <v>3.49648092187</v>
      </c>
      <c r="S519" s="41">
        <f>IF(AND(R519&gt;=CO2_pH_hi_mt,R520&lt;CO2_pH_hi_mt),EXP(LN(A519)+(LN(A520)-LN(A519))*(R519-CO2_pH_hi_mt)/(R519-R520)),0)</f>
        <v>0.0</v>
      </c>
    </row>
    <row r="520">
      <c r="A520" s="41">
        <f>A519*grid_ratio</f>
        <v>173.969630409034</v>
      </c>
      <c r="B520" s="41">
        <f>MAX(0,A520*60-spg_dur)</f>
        <v>10437.52782454</v>
      </c>
      <c r="C520" s="41">
        <f>k_eff_CO2*B520</f>
        <v>0.151562260012</v>
      </c>
      <c r="D520" s="41">
        <f>EXP(-C520)</f>
        <v>0.859364376571</v>
      </c>
      <c r="E520" s="41">
        <f>IF(C520&gt;0,(1-D520)/C520,1)</f>
        <v>0.927906613546</v>
      </c>
      <c r="F520" s="41">
        <f>IF(C520&gt;0,(C520-1+D520)/C520^2,1/2)</f>
        <v>0.475668457626</v>
      </c>
      <c r="G520" s="41">
        <f>(C_air_CO2/C_sat_CO2*F_vent_ex-CO2_fix_sched)*(B520/3600)/(V_L_CO2+Vg_CO2)</f>
        <v>-2.00278561011</v>
      </c>
      <c r="H520" s="41">
        <f>(G520*E520+pool_b*D520)/(1-pool_ret*D520)</f>
        <v>1.692038689563</v>
      </c>
      <c r="I520" s="41">
        <f>MIN(C_sat_CO2,MAX(C_air_CO2,(pool_ret*H520+pool_b)*E520+G520*F520))</f>
        <v>2.88095484167</v>
      </c>
      <c r="J520" s="41">
        <f>IF(AND(I520&gt;=CO2_pH_hi_mt,I521&lt;CO2_pH_hi_mt),EXP(LN(A520)+(LN(A521)-LN(A520))*(I520-CO2_pH_hi_mt)/(I520-I521)),0)</f>
        <v>0.0</v>
      </c>
      <c r="L520" s="41">
        <f>k_eff_CO2_l*B520</f>
        <v>0.759651115954</v>
      </c>
      <c r="M520" s="41">
        <f>EXP(-L520)</f>
        <v>0.46782961683</v>
      </c>
      <c r="N520" s="41">
        <f>IF(L520&gt;0,(1-M520)/L520,1)</f>
        <v>0.700545779494</v>
      </c>
      <c r="O520" s="41">
        <f>IF(L520&gt;0,(L520-1+M520)/L520^2,1/2)</f>
        <v>0.394199671688</v>
      </c>
      <c r="P520" s="41">
        <f>(C_air_CO2/C_sat_CO2*F_vent_ex-CO2_fix_l)*(B520/3600)/(V_L_CO2+Vg_CO2)</f>
        <v>0.001751883404</v>
      </c>
      <c r="Q520" s="41">
        <f>(P520*N520+pool_b*M520)/(1-pool_ret*M520)</f>
        <v>2.112593375686</v>
      </c>
      <c r="R520" s="41">
        <f>MIN(C_sat_CO2,MAX(C_air_CO2,(pool_ret*Q520+pool_b)*N520+P520*O520))</f>
        <v>3.162330124552</v>
      </c>
      <c r="S520" s="41">
        <f>IF(AND(R520&gt;=CO2_pH_hi_mt,R521&lt;CO2_pH_hi_mt),EXP(LN(A520)+(LN(A521)-LN(A520))*(R520-CO2_pH_hi_mt)/(R520-R521)),0)</f>
        <v>0.0</v>
      </c>
    </row>
    <row r="521">
      <c r="A521" s="41">
        <f>A520*grid_ratio</f>
        <v>194.857211767982</v>
      </c>
      <c r="B521" s="41">
        <f>MAX(0,A521*60-spg_dur)</f>
        <v>11690.78270608</v>
      </c>
      <c r="C521" s="41">
        <f>k_eff_CO2*B521</f>
        <v>0.169760644286</v>
      </c>
      <c r="D521" s="41">
        <f>EXP(-C521)</f>
        <v>0.84386677676</v>
      </c>
      <c r="E521" s="41">
        <f>IF(C521&gt;0,(1-D521)/C521,1)</f>
        <v>0.919725675504</v>
      </c>
      <c r="F521" s="41">
        <f>IF(C521&gt;0,(C521-1+D521)/C521^2,1/2)</f>
        <v>0.472867694595</v>
      </c>
      <c r="G521" s="41">
        <f>(C_air_CO2/C_sat_CO2*F_vent_ex-CO2_fix_sched)*(B521/3600)/(V_L_CO2+Vg_CO2)</f>
        <v>-2.243264091676</v>
      </c>
      <c r="H521" s="41">
        <f>(G521*E521+pool_b*D521)/(1-pool_ret*D521)</f>
        <v>0.544306709581</v>
      </c>
      <c r="I521" s="41">
        <f>MIN(C_sat_CO2,MAX(C_air_CO2,(pool_ret*H521+pool_b)*E521+G521*F521))</f>
        <v>1.781126310687</v>
      </c>
      <c r="J521" s="41">
        <f>IF(AND(I521&gt;=CO2_pH_hi_mt,I522&lt;CO2_pH_hi_mt),EXP(LN(A521)+(LN(A522)-LN(A521))*(I521-CO2_pH_hi_mt)/(I521-I522)),0)</f>
        <v>212.486056390007</v>
      </c>
      <c r="L521" s="41">
        <f>k_eff_CO2_l*B521</f>
        <v>0.850863947703</v>
      </c>
      <c r="M521" s="41">
        <f>EXP(-L521)</f>
        <v>0.427045827266</v>
      </c>
      <c r="N521" s="41">
        <f>IF(L521&gt;0,(1-M521)/L521,1)</f>
        <v>0.673379303801</v>
      </c>
      <c r="O521" s="41">
        <f>IF(L521&gt;0,(L521-1+M521)/L521^2,1/2)</f>
        <v>0.383869474175</v>
      </c>
      <c r="P521" s="41">
        <f>(C_air_CO2/C_sat_CO2*F_vent_ex-CO2_fix_l)*(B521/3600)/(V_L_CO2+Vg_CO2)</f>
        <v>0.001962235555</v>
      </c>
      <c r="Q521" s="41">
        <f>(P521*N521+pool_b*M521)/(1-pool_ret*M521)</f>
        <v>1.812222704435</v>
      </c>
      <c r="R521" s="41">
        <f>MIN(C_sat_CO2,MAX(C_air_CO2,(pool_ret*Q521+pool_b)*N521+P521*O521))</f>
        <v>2.856239538437</v>
      </c>
      <c r="S521" s="41">
        <f>IF(AND(R521&gt;=CO2_pH_hi_mt,R522&lt;CO2_pH_hi_mt),EXP(LN(A521)+(LN(A522)-LN(A521))*(R521-CO2_pH_hi_mt)/(R521-R522)),0)</f>
        <v>0.0</v>
      </c>
    </row>
    <row r="522">
      <c r="A522" s="41">
        <f>A521*grid_ratio</f>
        <v>218.252650699547</v>
      </c>
      <c r="B522" s="41">
        <f>MAX(0,A522*60-spg_dur)</f>
        <v>13094.50904197</v>
      </c>
      <c r="C522" s="41">
        <f>k_eff_CO2*B522</f>
        <v>0.190144008956</v>
      </c>
      <c r="D522" s="41">
        <f>EXP(-C522)</f>
        <v>0.826840052996</v>
      </c>
      <c r="E522" s="41">
        <f>IF(C522&gt;0,(1-D522)/C522,1)</f>
        <v>0.910677901209</v>
      </c>
      <c r="F522" s="41">
        <f>IF(C522&gt;0,(C522-1+D522)/C522^2,1/2)</f>
        <v>0.469760258453</v>
      </c>
      <c r="G522" s="41">
        <f>(C_air_CO2/C_sat_CO2*F_vent_ex-CO2_fix_sched)*(B522/3600)/(V_L_CO2+Vg_CO2)</f>
        <v>-2.512615508345</v>
      </c>
      <c r="H522" s="41">
        <f>(G522*E522+pool_b*D522)/(1-pool_ret*D522)</f>
        <v>-0.567601718558</v>
      </c>
      <c r="I522" s="41">
        <f>MIN(C_sat_CO2,MAX(C_air_CO2,(pool_ret*H522+pool_b)*E522+G522*F522))</f>
        <v>0.714714004445</v>
      </c>
      <c r="J522" s="41">
        <f>IF(AND(I522&gt;=CO2_pH_hi_mt,I523&lt;CO2_pH_hi_mt),EXP(LN(A522)+(LN(A523)-LN(A522))*(I522-CO2_pH_hi_mt)/(I522-I523)),0)</f>
        <v>0.0</v>
      </c>
      <c r="L522" s="41">
        <f>k_eff_CO2_l*B522</f>
        <v>0.953028204938</v>
      </c>
      <c r="M522" s="41">
        <f>EXP(-L522)</f>
        <v>0.385571663802</v>
      </c>
      <c r="N522" s="41">
        <f>IF(L522&gt;0,(1-M522)/L522,1)</f>
        <v>0.644711597217</v>
      </c>
      <c r="O522" s="41">
        <f>IF(L522&gt;0,(L522-1+M522)/L522^2,1/2)</f>
        <v>0.372799462746</v>
      </c>
      <c r="P522" s="41">
        <f>(C_air_CO2/C_sat_CO2*F_vent_ex-CO2_fix_l)*(B522/3600)/(V_L_CO2+Vg_CO2)</f>
        <v>0.002197843538</v>
      </c>
      <c r="Q522" s="41">
        <f>(P522*N522+pool_b*M522)/(1-pool_ret*M522)</f>
        <v>1.541840556721</v>
      </c>
      <c r="R522" s="41">
        <f>MIN(C_sat_CO2,MAX(C_air_CO2,(pool_ret*Q522+pool_b)*N522+P522*O522))</f>
        <v>2.576550511661</v>
      </c>
      <c r="S522" s="41">
        <f>IF(AND(R522&gt;=CO2_pH_hi_mt,R523&lt;CO2_pH_hi_mt),EXP(LN(A522)+(LN(A523)-LN(A522))*(R522-CO2_pH_hi_mt)/(R522-R523)),0)</f>
        <v>0.0</v>
      </c>
    </row>
    <row r="523">
      <c r="A523" s="41">
        <f>A522*grid_ratio</f>
        <v>244.457051936558</v>
      </c>
      <c r="B523" s="41">
        <f>MAX(0,A523*60-spg_dur)</f>
        <v>14666.77311619</v>
      </c>
      <c r="C523" s="41">
        <f>k_eff_CO2*B523</f>
        <v>0.212974692661</v>
      </c>
      <c r="D523" s="41">
        <f>EXP(-C523)</f>
        <v>0.808176589756</v>
      </c>
      <c r="E523" s="41">
        <f>IF(C523&gt;0,(1-D523)/C523,1)</f>
        <v>0.900686404787</v>
      </c>
      <c r="F523" s="41">
        <f>IF(C523&gt;0,(C523-1+D523)/C523^2,1/2)</f>
        <v>0.466316415216</v>
      </c>
      <c r="G523" s="41">
        <f>(C_air_CO2/C_sat_CO2*F_vent_ex-CO2_fix_sched)*(B523/3600)/(V_L_CO2+Vg_CO2)</f>
        <v>-2.814306475409</v>
      </c>
      <c r="H523" s="41">
        <f>(G523*E523+pool_b*D523)/(1-pool_ret*D523)</f>
        <v>-1.638332962118</v>
      </c>
      <c r="I523" s="41">
        <f>MIN(C_sat_CO2,MAX(C_air_CO2,(pool_ret*H523+pool_b)*E523+G523*F523))</f>
        <v>0.011558836641</v>
      </c>
      <c r="J523" s="41">
        <f>IF(AND(I523&gt;=CO2_pH_hi_mt,I524&lt;CO2_pH_hi_mt),EXP(LN(A523)+(LN(A524)-LN(A523))*(I523-CO2_pH_hi_mt)/(I523-I524)),0)</f>
        <v>0.0</v>
      </c>
      <c r="L523" s="41">
        <f>k_eff_CO2_l*B523</f>
        <v>1.067458765376</v>
      </c>
      <c r="M523" s="41">
        <f>EXP(-L523)</f>
        <v>0.343881291031</v>
      </c>
      <c r="N523" s="41">
        <f>IF(L523&gt;0,(1-M523)/L523,1)</f>
        <v>0.614654851551</v>
      </c>
      <c r="O523" s="41">
        <f>IF(L523&gt;0,(L523-1+M523)/L523^2,1/2)</f>
        <v>0.360993005958</v>
      </c>
      <c r="P523" s="41">
        <f>(C_air_CO2/C_sat_CO2*F_vent_ex-CO2_fix_l)*(B523/3600)/(V_L_CO2+Vg_CO2)</f>
        <v>0.002461739681</v>
      </c>
      <c r="Q523" s="41">
        <f>(P523*N523+pool_b*M523)/(1-pool_ret*M523)</f>
        <v>1.299865421143</v>
      </c>
      <c r="R523" s="41">
        <f>MIN(C_sat_CO2,MAX(C_air_CO2,(pool_ret*Q523+pool_b)*N523+P523*O523))</f>
        <v>2.321568979937</v>
      </c>
      <c r="S523" s="41">
        <f>IF(AND(R523&gt;=CO2_pH_hi_mt,R524&lt;CO2_pH_hi_mt),EXP(LN(A523)+(LN(A524)-LN(A523))*(R523-CO2_pH_hi_mt)/(R523-R524)),0)</f>
        <v>0.0</v>
      </c>
    </row>
    <row r="524">
      <c r="A524" s="41">
        <f>A523*grid_ratio</f>
        <v>273.807672209119</v>
      </c>
      <c r="B524" s="41">
        <f>MAX(0,A524*60-spg_dur)</f>
        <v>16427.81033255</v>
      </c>
      <c r="C524" s="41">
        <f>k_eff_CO2*B524</f>
        <v>0.238546531603</v>
      </c>
      <c r="D524" s="41">
        <f>EXP(-C524)</f>
        <v>0.787772031109</v>
      </c>
      <c r="E524" s="41">
        <f>IF(C524&gt;0,(1-D524)/C524,1)</f>
        <v>0.88967115751</v>
      </c>
      <c r="F524" s="41">
        <f>IF(C524&gt;0,(C524-1+D524)/C524^2,1/2)</f>
        <v>0.462504492306</v>
      </c>
      <c r="G524" s="41">
        <f>(C_air_CO2/C_sat_CO2*F_vent_ex-CO2_fix_sched)*(B524/3600)/(V_L_CO2+Vg_CO2)</f>
        <v>-3.152219825684</v>
      </c>
      <c r="H524" s="41">
        <f>(G524*E524+pool_b*D524)/(1-pool_ret*D524)</f>
        <v>-2.663392070583</v>
      </c>
      <c r="I524" s="41">
        <f>MIN(C_sat_CO2,MAX(C_air_CO2,(pool_ret*H524+pool_b)*E524+G524*F524))</f>
        <v>0.011558836641</v>
      </c>
      <c r="J524" s="41">
        <f>IF(AND(I524&gt;=CO2_pH_hi_mt,I525&lt;CO2_pH_hi_mt),EXP(LN(A524)+(LN(A525)-LN(A524))*(I524-CO2_pH_hi_mt)/(I524-I525)),0)</f>
        <v>0.0</v>
      </c>
      <c r="L524" s="41">
        <f>k_eff_CO2_l*B524</f>
        <v>1.19562837691</v>
      </c>
      <c r="M524" s="41">
        <f>EXP(-L524)</f>
        <v>0.302513801757</v>
      </c>
      <c r="N524" s="41">
        <f>IF(L524&gt;0,(1-M524)/L524,1)</f>
        <v>0.583363703734</v>
      </c>
      <c r="O524" s="41">
        <f>IF(L524&gt;0,(L524-1+M524)/L524^2,1/2)</f>
        <v>0.348466383295</v>
      </c>
      <c r="P524" s="41">
        <f>(C_air_CO2/C_sat_CO2*F_vent_ex-CO2_fix_l)*(B524/3600)/(V_L_CO2+Vg_CO2)</f>
        <v>0.00275732039</v>
      </c>
      <c r="Q524" s="41">
        <f>(P524*N524+pool_b*M524)/(1-pool_ret*M524)</f>
        <v>1.084709307322</v>
      </c>
      <c r="R524" s="41">
        <f>MIN(C_sat_CO2,MAX(C_air_CO2,(pool_ret*Q524+pool_b)*N524+P524*O524))</f>
        <v>2.089598385765</v>
      </c>
      <c r="S524" s="41">
        <f>IF(AND(R524&gt;=CO2_pH_hi_mt,R525&lt;CO2_pH_hi_mt),EXP(LN(A524)+(LN(A525)-LN(A524))*(R524-CO2_pH_hi_mt)/(R524-R525)),0)</f>
        <v>0.0</v>
      </c>
    </row>
    <row r="525">
      <c r="A525" s="41">
        <f>A524*grid_ratio</f>
        <v>306.682260817057</v>
      </c>
      <c r="B525" s="41">
        <f>MAX(0,A525*60-spg_dur)</f>
        <v>18400.28564902</v>
      </c>
      <c r="C525" s="41">
        <f>k_eff_CO2*B525</f>
        <v>0.267188641287</v>
      </c>
      <c r="D525" s="41">
        <f>EXP(-C525)</f>
        <v>0.765528647534</v>
      </c>
      <c r="E525" s="41">
        <f>IF(C525&gt;0,(1-D525)/C525,1)</f>
        <v>0.877549851432</v>
      </c>
      <c r="F525" s="41">
        <f>IF(C525&gt;0,(C525-1+D525)/C525^2,1/2)</f>
        <v>0.458290996123</v>
      </c>
      <c r="G525" s="41">
        <f>(C_air_CO2/C_sat_CO2*F_vent_ex-CO2_fix_sched)*(B525/3600)/(V_L_CO2+Vg_CO2)</f>
        <v>-3.530704582472</v>
      </c>
      <c r="H525" s="41">
        <f>(G525*E525+pool_b*D525)/(1-pool_ret*D525)</f>
        <v>-3.639177332218</v>
      </c>
      <c r="I525" s="41">
        <f>MIN(C_sat_CO2,MAX(C_air_CO2,(pool_ret*H525+pool_b)*E525+G525*F525))</f>
        <v>0.011558836641</v>
      </c>
      <c r="J525" s="41">
        <f>IF(AND(I525&gt;=CO2_pH_hi_mt,I526&lt;CO2_pH_hi_mt),EXP(LN(A525)+(LN(A526)-LN(A525))*(I525-CO2_pH_hi_mt)/(I525-I526)),0)</f>
        <v>0.0</v>
      </c>
      <c r="L525" s="41">
        <f>k_eff_CO2_l*B525</f>
        <v>1.339186612206</v>
      </c>
      <c r="M525" s="41">
        <f>EXP(-L525)</f>
        <v>0.262058737293</v>
      </c>
      <c r="N525" s="41">
        <f>IF(L525&gt;0,(1-M525)/L525,1)</f>
        <v>0.55103691747</v>
      </c>
      <c r="O525" s="41">
        <f>IF(L525&gt;0,(L525-1+M525)/L525^2,1/2)</f>
        <v>0.335250575564</v>
      </c>
      <c r="P525" s="41">
        <f>(C_air_CO2/C_sat_CO2*F_vent_ex-CO2_fix_l)*(B525/3600)/(V_L_CO2+Vg_CO2)</f>
        <v>0.003088389857</v>
      </c>
      <c r="Q525" s="41">
        <f>(P525*N525+pool_b*M525)/(1-pool_ret*M525)</f>
        <v>0.894796717084</v>
      </c>
      <c r="R525" s="41">
        <f>MIN(C_sat_CO2,MAX(C_air_CO2,(pool_ret*Q525+pool_b)*N525+P525*O525))</f>
        <v>1.878966515222</v>
      </c>
      <c r="S525" s="41">
        <f>IF(AND(R525&gt;=CO2_pH_hi_mt,R526&lt;CO2_pH_hi_mt),EXP(LN(A525)+(LN(A526)-LN(A525))*(R525-CO2_pH_hi_mt)/(R525-R526)),0)</f>
        <v>0.0</v>
      </c>
    </row>
    <row r="526">
      <c r="A526" s="41">
        <f>A525*grid_ratio</f>
        <v>343.503921351145</v>
      </c>
      <c r="B526" s="41">
        <f>MAX(0,A526*60-spg_dur)</f>
        <v>20609.58528107</v>
      </c>
      <c r="C526" s="41">
        <f>k_eff_CO2*B526</f>
        <v>0.299269652318</v>
      </c>
      <c r="D526" s="41">
        <f>EXP(-C526)</f>
        <v>0.741359473179</v>
      </c>
      <c r="E526" s="41">
        <f>IF(C526&gt;0,(1-D526)/C526,1)</f>
        <v>0.864239072748</v>
      </c>
      <c r="F526" s="41">
        <f>IF(C526&gt;0,(C526-1+D526)/C526^2,1/2)</f>
        <v>0.453640809219</v>
      </c>
      <c r="G526" s="41">
        <f>(C_air_CO2/C_sat_CO2*F_vent_ex-CO2_fix_sched)*(B526/3600)/(V_L_CO2+Vg_CO2)</f>
        <v>-3.954631932498</v>
      </c>
      <c r="H526" s="41">
        <f>(G526*E526+pool_b*D526)/(1-pool_ret*D526)</f>
        <v>-4.56298010098</v>
      </c>
      <c r="I526" s="41">
        <f>MIN(C_sat_CO2,MAX(C_air_CO2,(pool_ret*H526+pool_b)*E526+G526*F526))</f>
        <v>0.011558836641</v>
      </c>
      <c r="J526" s="41">
        <f>IF(AND(I526&gt;=CO2_pH_hi_mt,I527&lt;CO2_pH_hi_mt),EXP(LN(A526)+(LN(A527)-LN(A526))*(I526-CO2_pH_hi_mt)/(I526-I527)),0)</f>
        <v>0.0</v>
      </c>
      <c r="L526" s="41">
        <f>k_eff_CO2_l*B526</f>
        <v>1.499981099098</v>
      </c>
      <c r="M526" s="41">
        <f>EXP(-L526)</f>
        <v>0.22313437755</v>
      </c>
      <c r="N526" s="41">
        <f>IF(L526&gt;0,(1-M526)/L526,1)</f>
        <v>0.517916941032</v>
      </c>
      <c r="O526" s="41">
        <f>IF(L526&gt;0,(L526-1+M526)/L526^2,1/2)</f>
        <v>0.321392755721</v>
      </c>
      <c r="P526" s="41">
        <f>(C_air_CO2/C_sat_CO2*F_vent_ex-CO2_fix_l)*(B526/3600)/(V_L_CO2+Vg_CO2)</f>
        <v>0.003459209023</v>
      </c>
      <c r="Q526" s="41">
        <f>(P526*N526+pool_b*M526)/(1-pool_ret*M526)</f>
        <v>0.728574487869</v>
      </c>
      <c r="R526" s="41">
        <f>MIN(C_sat_CO2,MAX(C_air_CO2,(pool_ret*Q526+pool_b)*N526+P526*O526))</f>
        <v>1.688046709667</v>
      </c>
      <c r="S526" s="41">
        <f>IF(AND(R526&gt;=CO2_pH_hi_mt,R527&lt;CO2_pH_hi_mt),EXP(LN(A526)+(LN(A527)-LN(A526))*(R526-CO2_pH_hi_mt)/(R526-R527)),0)</f>
        <v>0.0</v>
      </c>
    </row>
    <row r="527">
      <c r="A527" s="41">
        <f>A526*grid_ratio</f>
        <v>384.746557134586</v>
      </c>
      <c r="B527" s="41">
        <f>MAX(0,A527*60-spg_dur)</f>
        <v>23084.14342808</v>
      </c>
      <c r="C527" s="41">
        <f>k_eff_CO2*B527</f>
        <v>0.335202454759</v>
      </c>
      <c r="D527" s="41">
        <f>EXP(-C527)</f>
        <v>0.715193277412</v>
      </c>
      <c r="E527" s="41">
        <f>IF(C527&gt;0,(1-D527)/C527,1)</f>
        <v>0.849655837971</v>
      </c>
      <c r="F527" s="41">
        <f>IF(C527&gt;0,(C527-1+D527)/C527^2,1/2)</f>
        <v>0.448517485163</v>
      </c>
      <c r="G527" s="41">
        <f>(C_air_CO2/C_sat_CO2*F_vent_ex-CO2_fix_sched)*(B527/3600)/(V_L_CO2+Vg_CO2)</f>
        <v>-4.429457919218</v>
      </c>
      <c r="H527" s="41">
        <f>(G527*E527+pool_b*D527)/(1-pool_ret*D527)</f>
        <v>-5.432953939697</v>
      </c>
      <c r="I527" s="41">
        <f>MIN(C_sat_CO2,MAX(C_air_CO2,(pool_ret*H527+pool_b)*E527+G527*F527))</f>
        <v>0.011558836641</v>
      </c>
      <c r="J527" s="41">
        <f>IF(AND(I527&gt;=CO2_pH_hi_mt,I528&lt;CO2_pH_hi_mt),EXP(LN(A527)+(LN(A528)-LN(A527))*(I527-CO2_pH_hi_mt)/(I527-I528)),0)</f>
        <v>0.0</v>
      </c>
      <c r="L527" s="41">
        <f>k_eff_CO2_l*B527</f>
        <v>1.680081299976</v>
      </c>
      <c r="M527" s="41">
        <f>EXP(-L527)</f>
        <v>0.186358824456</v>
      </c>
      <c r="N527" s="41">
        <f>IF(L527&gt;0,(1-M527)/L527,1)</f>
        <v>0.484286787524</v>
      </c>
      <c r="O527" s="41">
        <f>IF(L527&gt;0,(L527-1+M527)/L527^2,1/2)</f>
        <v>0.306957295747</v>
      </c>
      <c r="P527" s="41">
        <f>(C_air_CO2/C_sat_CO2*F_vent_ex-CO2_fix_l)*(B527/3600)/(V_L_CO2+Vg_CO2)</f>
        <v>0.003874550416</v>
      </c>
      <c r="Q527" s="41">
        <f>(P527*N527+pool_b*M527)/(1-pool_ret*M527)</f>
        <v>0.584512655602</v>
      </c>
      <c r="R527" s="41">
        <f>MIN(C_sat_CO2,MAX(C_air_CO2,(pool_ret*Q527+pool_b)*N527+P527*O527))</f>
        <v>1.515274015154</v>
      </c>
      <c r="S527" s="41">
        <f>IF(AND(R527&gt;=CO2_pH_hi_mt,R528&lt;CO2_pH_hi_mt),EXP(LN(A527)+(LN(A528)-LN(A527))*(R527-CO2_pH_hi_mt)/(R527-R528)),0)</f>
        <v>0.0</v>
      </c>
    </row>
    <row r="528">
      <c r="A528" s="41">
        <f>A527*grid_ratio</f>
        <v>430.940970468848</v>
      </c>
      <c r="B528" s="41">
        <f>MAX(0,A528*60-spg_dur)</f>
        <v>25855.80822813</v>
      </c>
      <c r="C528" s="41">
        <f>k_eff_CO2*B528</f>
        <v>0.375449512123</v>
      </c>
      <c r="D528" s="41">
        <f>EXP(-C528)</f>
        <v>0.686980403355</v>
      </c>
      <c r="E528" s="41">
        <f>IF(C528&gt;0,(1-D528)/C528,1)</f>
        <v>0.833719545606</v>
      </c>
      <c r="F528" s="41">
        <f>IF(C528&gt;0,(C528-1+D528)/C528^2,1/2)</f>
        <v>0.442883660853</v>
      </c>
      <c r="G528" s="41">
        <f>(C_air_CO2/C_sat_CO2*F_vent_ex-CO2_fix_sched)*(B528/3600)/(V_L_CO2+Vg_CO2)</f>
        <v>-4.961293663363</v>
      </c>
      <c r="H528" s="41">
        <f>(G528*E528+pool_b*D528)/(1-pool_ret*D528)</f>
        <v>-6.248058460054</v>
      </c>
      <c r="I528" s="41">
        <f>MIN(C_sat_CO2,MAX(C_air_CO2,(pool_ret*H528+pool_b)*E528+G528*F528))</f>
        <v>0.011558836641</v>
      </c>
      <c r="J528" s="41">
        <f>IF(AND(I528&gt;=CO2_pH_hi_mt,I529&lt;CO2_pH_hi_mt),EXP(LN(A528)+(LN(A529)-LN(A528))*(I528-CO2_pH_hi_mt)/(I528-I529)),0)</f>
        <v>0.0</v>
      </c>
      <c r="L528" s="41">
        <f>k_eff_CO2_l*B528</f>
        <v>1.881805146255</v>
      </c>
      <c r="M528" s="41">
        <f>EXP(-L528)</f>
        <v>0.152314906761</v>
      </c>
      <c r="N528" s="41">
        <f>IF(L528&gt;0,(1-M528)/L528,1)</f>
        <v>0.450463797979</v>
      </c>
      <c r="O528" s="41">
        <f>IF(L528&gt;0,(L528-1+M528)/L528^2,1/2)</f>
        <v>0.292026091604</v>
      </c>
      <c r="P528" s="41">
        <f>(C_air_CO2/C_sat_CO2*F_vent_ex-CO2_fix_l)*(B528/3600)/(V_L_CO2+Vg_CO2)</f>
        <v>0.004339759578</v>
      </c>
      <c r="Q528" s="41">
        <f>(P528*N528+pool_b*M528)/(1-pool_ret*M528)</f>
        <v>0.461096842072</v>
      </c>
      <c r="R528" s="41">
        <f>MIN(C_sat_CO2,MAX(C_air_CO2,(pool_ret*Q528+pool_b)*N528+P528*O528))</f>
        <v>1.359156878109</v>
      </c>
      <c r="S528" s="41">
        <f>IF(AND(R528&gt;=CO2_pH_hi_mt,R529&lt;CO2_pH_hi_mt),EXP(LN(A528)+(LN(A529)-LN(A528))*(R528-CO2_pH_hi_mt)/(R528-R529)),0)</f>
        <v>0.0</v>
      </c>
    </row>
    <row r="529">
      <c r="A529" s="41">
        <f>A528*grid_ratio</f>
        <v>482.681694182569</v>
      </c>
      <c r="B529" s="41">
        <f>MAX(0,A529*60-spg_dur)</f>
        <v>28960.25165095</v>
      </c>
      <c r="C529" s="41">
        <f>k_eff_CO2*B529</f>
        <v>0.420528813386</v>
      </c>
      <c r="D529" s="41">
        <f>EXP(-C529)</f>
        <v>0.656699456515</v>
      </c>
      <c r="E529" s="41">
        <f>IF(C529&gt;0,(1-D529)/C529,1)</f>
        <v>0.816354391322</v>
      </c>
      <c r="F529" s="41">
        <f>IF(C529&gt;0,(C529-1+D529)/C529^2,1/2)</f>
        <v>0.436701607196</v>
      </c>
      <c r="G529" s="41">
        <f>(C_air_CO2/C_sat_CO2*F_vent_ex-CO2_fix_sched)*(B529/3600)/(V_L_CO2+Vg_CO2)</f>
        <v>-5.556984014484</v>
      </c>
      <c r="H529" s="41">
        <f>(G529*E529+pool_b*D529)/(1-pool_ret*D529)</f>
        <v>-7.007983952381</v>
      </c>
      <c r="I529" s="41">
        <f>MIN(C_sat_CO2,MAX(C_air_CO2,(pool_ret*H529+pool_b)*E529+G529*F529))</f>
        <v>0.011558836641</v>
      </c>
      <c r="J529" s="41">
        <f>IF(AND(I529&gt;=CO2_pH_hi_mt,I530&lt;CO2_pH_hi_mt),EXP(LN(A529)+(LN(A530)-LN(A529))*(I529-CO2_pH_hi_mt)/(I529-I530)),0)</f>
        <v>0.0</v>
      </c>
      <c r="L529" s="41">
        <f>k_eff_CO2_l*B529</f>
        <v>2.107748870689</v>
      </c>
      <c r="M529" s="41">
        <f>EXP(-L529)</f>
        <v>0.121511196196</v>
      </c>
      <c r="N529" s="41">
        <f>IF(L529&gt;0,(1-M529)/L529,1)</f>
        <v>0.41679007211</v>
      </c>
      <c r="O529" s="41">
        <f>IF(L529&gt;0,(L529-1+M529)/L529^2,1/2)</f>
        <v>0.276698014645</v>
      </c>
      <c r="P529" s="41">
        <f>(C_air_CO2/C_sat_CO2*F_vent_ex-CO2_fix_l)*(B529/3600)/(V_L_CO2+Vg_CO2)</f>
        <v>0.004860823857</v>
      </c>
      <c r="Q529" s="41">
        <f>(P529*N529+pool_b*M529)/(1-pool_ret*M529)</f>
        <v>0.356813273892</v>
      </c>
      <c r="R529" s="41">
        <f>MIN(C_sat_CO2,MAX(C_air_CO2,(pool_ret*Q529+pool_b)*N529+P529*O529))</f>
        <v>1.218284997392</v>
      </c>
      <c r="S529" s="41">
        <f>IF(AND(R529&gt;=CO2_pH_hi_mt,R530&lt;CO2_pH_hi_mt),EXP(LN(A529)+(LN(A530)-LN(A529))*(R529-CO2_pH_hi_mt)/(R529-R530)),0)</f>
        <v>0.0</v>
      </c>
    </row>
    <row r="530">
      <c r="A530" s="41">
        <f>A529*grid_ratio</f>
        <v>540.634643407146</v>
      </c>
      <c r="B530" s="41">
        <f>MAX(0,A530*60-spg_dur)</f>
        <v>32437.42860443</v>
      </c>
      <c r="C530" s="41">
        <f>k_eff_CO2*B530</f>
        <v>0.471020539625</v>
      </c>
      <c r="D530" s="41">
        <f>EXP(-C530)</f>
        <v>0.624364754062</v>
      </c>
      <c r="E530" s="41">
        <f>IF(C530&gt;0,(1-D530)/C530,1)</f>
        <v>0.797492283961</v>
      </c>
      <c r="F530" s="41">
        <f>IF(C530&gt;0,(C530-1+D530)/C530^2,1/2)</f>
        <v>0.429933939187</v>
      </c>
      <c r="G530" s="41">
        <f>(C_air_CO2/C_sat_CO2*F_vent_ex-CO2_fix_sched)*(B530/3600)/(V_L_CO2+Vg_CO2)</f>
        <v>-6.224195645753</v>
      </c>
      <c r="H530" s="41">
        <f>(G530*E530+pool_b*D530)/(1-pool_ret*D530)</f>
        <v>-7.713063041303</v>
      </c>
      <c r="I530" s="41">
        <f>MIN(C_sat_CO2,MAX(C_air_CO2,(pool_ret*H530+pool_b)*E530+G530*F530))</f>
        <v>0.011558836641</v>
      </c>
      <c r="J530" s="41">
        <f>IF(AND(I530&gt;=CO2_pH_hi_mt,I531&lt;CO2_pH_hi_mt),EXP(LN(A530)+(LN(A531)-LN(A530))*(I530-CO2_pH_hi_mt)/(I530-I531)),0)</f>
        <v>0.0</v>
      </c>
      <c r="L530" s="41">
        <f>k_eff_CO2_l*B530</f>
        <v>2.360820421489</v>
      </c>
      <c r="M530" s="41">
        <f>EXP(-L530)</f>
        <v>0.094342790584</v>
      </c>
      <c r="N530" s="41">
        <f>IF(L530&gt;0,(1-M530)/L530,1)</f>
        <v>0.383619694735</v>
      </c>
      <c r="O530" s="41">
        <f>IF(L530&gt;0,(L530-1+M530)/L530^2,1/2)</f>
        <v>0.261087332037</v>
      </c>
      <c r="P530" s="41">
        <f>(C_air_CO2/C_sat_CO2*F_vent_ex-CO2_fix_l)*(B530/3600)/(V_L_CO2+Vg_CO2)</f>
        <v>0.005444449472</v>
      </c>
      <c r="Q530" s="41">
        <f>(P530*N530+pool_b*M530)/(1-pool_ret*M530)</f>
        <v>0.270128488436</v>
      </c>
      <c r="R530" s="41">
        <f>MIN(C_sat_CO2,MAX(C_air_CO2,(pool_ret*Q530+pool_b)*N530+P530*O530))</f>
        <v>1.091333915162</v>
      </c>
      <c r="S530" s="41">
        <f>IF(AND(R530&gt;=CO2_pH_hi_mt,R531&lt;CO2_pH_hi_mt),EXP(LN(A530)+(LN(A531)-LN(A530))*(R530-CO2_pH_hi_mt)/(R530-R531)),0)</f>
        <v>0.0</v>
      </c>
    </row>
    <row r="531">
      <c r="A531" s="41">
        <f>A530*grid_ratio</f>
        <v>605.54568605914</v>
      </c>
      <c r="B531" s="41">
        <f>MAX(0,A531*60-spg_dur)</f>
        <v>36332.09116355</v>
      </c>
      <c r="C531" s="41">
        <f>k_eff_CO2*B531</f>
        <v>0.527574531084</v>
      </c>
      <c r="D531" s="41">
        <f>EXP(-C531)</f>
        <v>0.590034345489</v>
      </c>
      <c r="E531" s="41">
        <f>IF(C531&gt;0,(1-D531)/C531,1)</f>
        <v>0.777076280898</v>
      </c>
      <c r="F531" s="41">
        <f>IF(C531&gt;0,(C531-1+D531)/C531^2,1/2)</f>
        <v>0.422544505027</v>
      </c>
      <c r="G531" s="41">
        <f>(C_air_CO2/C_sat_CO2*F_vent_ex-CO2_fix_sched)*(B531/3600)/(V_L_CO2+Vg_CO2)</f>
        <v>-6.971515725829</v>
      </c>
      <c r="H531" s="41">
        <f>(G531*E531+pool_b*D531)/(1-pool_ret*D531)</f>
        <v>-8.364175283562</v>
      </c>
      <c r="I531" s="41">
        <f>MIN(C_sat_CO2,MAX(C_air_CO2,(pool_ret*H531+pool_b)*E531+G531*F531))</f>
        <v>0.011558836641</v>
      </c>
      <c r="J531" s="41">
        <f>IF(AND(I531&gt;=CO2_pH_hi_mt,I532&lt;CO2_pH_hi_mt),EXP(LN(A531)+(LN(A532)-LN(A531))*(I531-CO2_pH_hi_mt)/(I531-I532)),0)</f>
        <v>0.0</v>
      </c>
      <c r="L531" s="41">
        <f>k_eff_CO2_l*B531</f>
        <v>2.644276888292</v>
      </c>
      <c r="M531" s="41">
        <f>EXP(-L531)</f>
        <v>0.071056717111</v>
      </c>
      <c r="N531" s="41">
        <f>IF(L531&gt;0,(1-M531)/L531,1)</f>
        <v>0.351303332492</v>
      </c>
      <c r="O531" s="41">
        <f>IF(L531&gt;0,(L531-1+M531)/L531^2,1/2)</f>
        <v>0.245321006427</v>
      </c>
      <c r="P531" s="41">
        <f>(C_air_CO2/C_sat_CO2*F_vent_ex-CO2_fix_l)*(B531/3600)/(V_L_CO2+Vg_CO2)</f>
        <v>0.006098147821</v>
      </c>
      <c r="Q531" s="41">
        <f>(P531*N531+pool_b*M531)/(1-pool_ret*M531)</f>
        <v>0.199467112259</v>
      </c>
      <c r="R531" s="41">
        <f>MIN(C_sat_CO2,MAX(C_air_CO2,(pool_ret*Q531+pool_b)*N531+P531*O531))</f>
        <v>0.977066886729</v>
      </c>
      <c r="S531" s="41">
        <f>IF(AND(R531&gt;=CO2_pH_hi_mt,R532&lt;CO2_pH_hi_mt),EXP(LN(A531)+(LN(A532)-LN(A531))*(R531-CO2_pH_hi_mt)/(R531-R532)),0)</f>
        <v>612.612318746651</v>
      </c>
    </row>
    <row r="532">
      <c r="A532" s="41">
        <f>A531*grid_ratio</f>
        <v>678.250242333597</v>
      </c>
      <c r="B532" s="41">
        <f>MAX(0,A532*60-spg_dur)</f>
        <v>40694.36454002</v>
      </c>
      <c r="C532" s="41">
        <f>k_eff_CO2*B532</f>
        <v>0.590918650769</v>
      </c>
      <c r="D532" s="41">
        <f>EXP(-C532)</f>
        <v>0.55381828538</v>
      </c>
      <c r="E532" s="41">
        <f>IF(C532&gt;0,(1-D532)/C532,1)</f>
        <v>0.755064532215</v>
      </c>
      <c r="F532" s="41">
        <f>IF(C532&gt;0,(C532-1+D532)/C532^2,1/2)</f>
        <v>0.414499470387</v>
      </c>
      <c r="G532" s="41">
        <f>(C_air_CO2/C_sat_CO2*F_vent_ex-CO2_fix_sched)*(B532/3600)/(V_L_CO2+Vg_CO2)</f>
        <v>-7.808562437716</v>
      </c>
      <c r="H532" s="41">
        <f>(G532*E532+pool_b*D532)/(1-pool_ret*D532)</f>
        <v>-8.962649975935</v>
      </c>
      <c r="I532" s="41">
        <f>MIN(C_sat_CO2,MAX(C_air_CO2,(pool_ret*H532+pool_b)*E532+G532*F532))</f>
        <v>0.011558836641</v>
      </c>
      <c r="J532" s="41">
        <f>IF(AND(I532&gt;=CO2_pH_hi_mt,I533&lt;CO2_pH_hi_mt),EXP(LN(A532)+(LN(A533)-LN(A532))*(I532-CO2_pH_hi_mt)/(I532-I533)),0)</f>
        <v>0.0</v>
      </c>
      <c r="L532" s="41">
        <f>k_eff_CO2_l*B532</f>
        <v>2.96176642166</v>
      </c>
      <c r="M532" s="41">
        <f>EXP(-L532)</f>
        <v>0.051727463911</v>
      </c>
      <c r="N532" s="41">
        <f>IF(L532&gt;0,(1-M532)/L532,1)</f>
        <v>0.320171276558</v>
      </c>
      <c r="O532" s="41">
        <f>IF(L532&gt;0,(L532-1+M532)/L532^2,1/2)</f>
        <v>0.229534887853</v>
      </c>
      <c r="P532" s="41">
        <f>(C_air_CO2/C_sat_CO2*F_vent_ex-CO2_fix_l)*(B532/3600)/(V_L_CO2+Vg_CO2)</f>
        <v>0.006830332152</v>
      </c>
      <c r="Q532" s="41">
        <f>(P532*N532+pool_b*M532)/(1-pool_ret*M532)</f>
        <v>0.143192683639</v>
      </c>
      <c r="R532" s="41">
        <f>MIN(C_sat_CO2,MAX(C_air_CO2,(pool_ret*Q532+pool_b)*N532+P532*O532))</f>
        <v>0.874334526665</v>
      </c>
      <c r="S532" s="41">
        <f>IF(AND(R532&gt;=CO2_pH_hi_mt,R533&lt;CO2_pH_hi_mt),EXP(LN(A532)+(LN(A533)-LN(A532))*(R532-CO2_pH_hi_mt)/(R532-R533)),0)</f>
        <v>0.0</v>
      </c>
    </row>
    <row r="533">
      <c r="A533" s="41">
        <f>A532*grid_ratio</f>
        <v>759.68403675599</v>
      </c>
      <c r="B533" s="41">
        <f>MAX(0,A533*60-spg_dur)</f>
        <v>45580.39220536</v>
      </c>
      <c r="C533" s="41">
        <f>k_eff_CO2*B533</f>
        <v>0.661868152211</v>
      </c>
      <c r="D533" s="41">
        <f>EXP(-C533)</f>
        <v>0.515886678871</v>
      </c>
      <c r="E533" s="41">
        <f>IF(C533&gt;0,(1-D533)/C533,1)</f>
        <v>0.731434681533</v>
      </c>
      <c r="F533" s="41">
        <f>IF(C533&gt;0,(C533-1+D533)/C533^2,1/2)</f>
        <v>0.405768607494</v>
      </c>
      <c r="G533" s="41">
        <f>(C_air_CO2/C_sat_CO2*F_vent_ex-CO2_fix_sched)*(B533/3600)/(V_L_CO2+Vg_CO2)</f>
        <v>-8.746108767005</v>
      </c>
      <c r="H533" s="41">
        <f>(G533*E533+pool_b*D533)/(1-pool_ret*D533)</f>
        <v>-9.510171602629</v>
      </c>
      <c r="I533" s="41">
        <f>MIN(C_sat_CO2,MAX(C_air_CO2,(pool_ret*H533+pool_b)*E533+G533*F533))</f>
        <v>0.011558836641</v>
      </c>
      <c r="J533" s="41">
        <f>IF(AND(I533&gt;=CO2_pH_hi_mt,I534&lt;CO2_pH_hi_mt),EXP(LN(A533)+(LN(A534)-LN(A533))*(I533-CO2_pH_hi_mt)/(I533-I534)),0)</f>
        <v>0.0</v>
      </c>
      <c r="L533" s="41">
        <f>k_eff_CO2_l*B533</f>
        <v>3.317375185628</v>
      </c>
      <c r="M533" s="41">
        <f>EXP(-L533)</f>
        <v>0.036247850876</v>
      </c>
      <c r="N533" s="41">
        <f>IF(L533&gt;0,(1-M533)/L533,1)</f>
        <v>0.290516476189</v>
      </c>
      <c r="O533" s="41">
        <f>IF(L533&gt;0,(L533-1+M533)/L533^2,1/2)</f>
        <v>0.213868942797</v>
      </c>
      <c r="P533" s="41">
        <f>(C_air_CO2/C_sat_CO2*F_vent_ex-CO2_fix_l)*(B533/3600)/(V_L_CO2+Vg_CO2)</f>
        <v>0.007650425849</v>
      </c>
      <c r="Q533" s="41">
        <f>(P533*N533+pool_b*M533)/(1-pool_ret*M533)</f>
        <v>0.099597933753</v>
      </c>
      <c r="R533" s="41">
        <f>MIN(C_sat_CO2,MAX(C_air_CO2,(pool_ret*Q533+pool_b)*N533+P533*O533))</f>
        <v>0.782072696564</v>
      </c>
      <c r="S533" s="41">
        <f>IF(AND(R533&gt;=CO2_pH_hi_mt,R534&lt;CO2_pH_hi_mt),EXP(LN(A533)+(LN(A534)-LN(A533))*(R533-CO2_pH_hi_mt)/(R533-R534)),0)</f>
        <v>0.0</v>
      </c>
    </row>
    <row r="534">
      <c r="A534" s="41">
        <f>A533*grid_ratio</f>
        <v>850.895141174193</v>
      </c>
      <c r="B534" s="41">
        <f>MAX(0,A534*60-spg_dur)</f>
        <v>51053.05847045</v>
      </c>
      <c r="C534" s="41">
        <f>k_eff_CO2*B534</f>
        <v>0.741336171973</v>
      </c>
      <c r="D534" s="41">
        <f>EXP(-C534)</f>
        <v>0.476476834998</v>
      </c>
      <c r="E534" s="41">
        <f>IF(C534&gt;0,(1-D534)/C534,1)</f>
        <v>0.706188615629</v>
      </c>
      <c r="F534" s="41">
        <f>IF(C534&gt;0,(C534-1+D534)/C534^2,1/2)</f>
        <v>0.396326788681</v>
      </c>
      <c r="G534" s="41">
        <f>(C_air_CO2/C_sat_CO2*F_vent_ex-CO2_fix_sched)*(B534/3600)/(V_L_CO2+Vg_CO2)</f>
        <v>-9.796221152707</v>
      </c>
      <c r="H534" s="41">
        <f>(G534*E534+pool_b*D534)/(1-pool_ret*D534)</f>
        <v>-10.008691447985</v>
      </c>
      <c r="I534" s="41">
        <f>MIN(C_sat_CO2,MAX(C_air_CO2,(pool_ret*H534+pool_b)*E534+G534*F534))</f>
        <v>0.011558836641</v>
      </c>
      <c r="J534" s="41">
        <f>IF(AND(I534&gt;=CO2_pH_hi_mt,I535&lt;CO2_pH_hi_mt),EXP(LN(A534)+(LN(A535)-LN(A534))*(I534-CO2_pH_hi_mt)/(I534-I535)),0)</f>
        <v>0.0</v>
      </c>
      <c r="L534" s="41">
        <f>k_eff_CO2_l*B534</f>
        <v>3.71567994758</v>
      </c>
      <c r="M534" s="41">
        <f>EXP(-L534)</f>
        <v>0.024338886321</v>
      </c>
      <c r="N534" s="41">
        <f>IF(L534&gt;0,(1-M534)/L534,1)</f>
        <v>0.262579427573</v>
      </c>
      <c r="O534" s="41">
        <f>IF(L534&gt;0,(L534-1+M534)/L534^2,1/2)</f>
        <v>0.198461811251</v>
      </c>
      <c r="P534" s="41">
        <f>(C_air_CO2/C_sat_CO2*F_vent_ex-CO2_fix_l)*(B534/3600)/(V_L_CO2+Vg_CO2)</f>
        <v>0.008568983708</v>
      </c>
      <c r="Q534" s="41">
        <f>(P534*N534+pool_b*M534)/(1-pool_ret*M534)</f>
        <v>0.066911501477</v>
      </c>
      <c r="R534" s="41">
        <f>MIN(C_sat_CO2,MAX(C_air_CO2,(pool_ret*Q534+pool_b)*N534+P534*O534))</f>
        <v>0.699299085505</v>
      </c>
      <c r="S534" s="41">
        <f>IF(AND(R534&gt;=CO2_pH_hi_mt,R535&lt;CO2_pH_hi_mt),EXP(LN(A534)+(LN(A535)-LN(A534))*(R534-CO2_pH_hi_mt)/(R534-R535)),0)</f>
        <v>0.0</v>
      </c>
    </row>
    <row r="535">
      <c r="A535" s="41">
        <f>A534*grid_ratio</f>
        <v>953.057463686584</v>
      </c>
      <c r="B535" s="41">
        <f>MAX(0,A535*60-spg_dur)</f>
        <v>57182.7978212</v>
      </c>
      <c r="C535" s="41">
        <f>k_eff_CO2*B535</f>
        <v>0.830345481927</v>
      </c>
      <c r="D535" s="41">
        <f>EXP(-C535)</f>
        <v>0.435898665194</v>
      </c>
      <c r="E535" s="41">
        <f>IF(C535&gt;0,(1-D535)/C535,1)</f>
        <v>0.679357384467</v>
      </c>
      <c r="F535" s="41">
        <f>IF(C535&gt;0,(C535-1+D535)/C535^2,1/2)</f>
        <v>0.386155669552</v>
      </c>
      <c r="G535" s="41">
        <f>(C_air_CO2/C_sat_CO2*F_vent_ex-CO2_fix_sched)*(B535/3600)/(V_L_CO2+Vg_CO2)</f>
        <v>-10.972414785124</v>
      </c>
      <c r="H535" s="41">
        <f>(G535*E535+pool_b*D535)/(1-pool_ret*D535)</f>
        <v>-10.460348031796</v>
      </c>
      <c r="I535" s="41">
        <f>MIN(C_sat_CO2,MAX(C_air_CO2,(pool_ret*H535+pool_b)*E535+G535*F535))</f>
        <v>0.011558836641</v>
      </c>
      <c r="J535" s="41">
        <f>IF(AND(I535&gt;=CO2_pH_hi_mt,I536&lt;CO2_pH_hi_mt),EXP(LN(A535)+(LN(A536)-LN(A535))*(I535-CO2_pH_hi_mt)/(I535-I536)),0)</f>
        <v>0.0</v>
      </c>
      <c r="L535" s="41">
        <f>k_eff_CO2_l*B535</f>
        <v>4.161806982313</v>
      </c>
      <c r="M535" s="41">
        <f>EXP(-L535)</f>
        <v>0.015579380804</v>
      </c>
      <c r="N535" s="41">
        <f>IF(L535&gt;0,(1-M535)/L535,1)</f>
        <v>0.236536827243</v>
      </c>
      <c r="O535" s="41">
        <f>IF(L535&gt;0,(L535-1+M535)/L535^2,1/2)</f>
        <v>0.18344511795</v>
      </c>
      <c r="P535" s="41">
        <f>(C_air_CO2/C_sat_CO2*F_vent_ex-CO2_fix_l)*(B535/3600)/(V_L_CO2+Vg_CO2)</f>
        <v>0.009597827781</v>
      </c>
      <c r="Q535" s="41">
        <f>(P535*N535+pool_b*M535)/(1-pool_ret*M535)</f>
        <v>0.04332676369</v>
      </c>
      <c r="R535" s="41">
        <f>MIN(C_sat_CO2,MAX(C_air_CO2,(pool_ret*Q535+pool_b)*N535+P535*O535))</f>
        <v>0.625108934548</v>
      </c>
      <c r="S535" s="41">
        <f>IF(AND(R535&gt;=CO2_pH_hi_mt,R536&lt;CO2_pH_hi_mt),EXP(LN(A535)+(LN(A536)-LN(A535))*(R535-CO2_pH_hi_mt)/(R535-R536)),0)</f>
        <v>0.0</v>
      </c>
    </row>
    <row r="536">
      <c r="A536" s="41">
        <f>A535*grid_ratio</f>
        <v>1067.485857111924</v>
      </c>
      <c r="B536" s="41">
        <f>MAX(0,A536*60-spg_dur)</f>
        <v>64048.50142672</v>
      </c>
      <c r="C536" s="41">
        <f>k_eff_CO2*B536</f>
        <v>0.930041652564</v>
      </c>
      <c r="D536" s="41">
        <f>EXP(-C536)</f>
        <v>0.39453727654</v>
      </c>
      <c r="E536" s="41">
        <f>IF(C536&gt;0,(1-D536)/C536,1)</f>
        <v>0.651006029451</v>
      </c>
      <c r="F536" s="41">
        <f>IF(C536&gt;0,(C536-1+D536)/C536^2,1/2)</f>
        <v>0.375245527538</v>
      </c>
      <c r="G536" s="41">
        <f>(C_air_CO2/C_sat_CO2*F_vent_ex-CO2_fix_sched)*(B536/3600)/(V_L_CO2+Vg_CO2)</f>
        <v>-12.289827549484</v>
      </c>
      <c r="H536" s="41">
        <f>(G536*E536+pool_b*D536)/(1-pool_ret*D536)</f>
        <v>-10.867398261194</v>
      </c>
      <c r="I536" s="41">
        <f>MIN(C_sat_CO2,MAX(C_air_CO2,(pool_ret*H536+pool_b)*E536+G536*F536))</f>
        <v>0.011558836641</v>
      </c>
      <c r="J536" s="41">
        <f>IF(AND(I536&gt;=CO2_pH_hi_mt,I537&lt;CO2_pH_hi_mt),EXP(LN(A536)+(LN(A537)-LN(A536))*(I536-CO2_pH_hi_mt)/(I536-I537)),0)</f>
        <v>0.0</v>
      </c>
      <c r="L536" s="41">
        <f>k_eff_CO2_l*B536</f>
        <v>4.661498048379</v>
      </c>
      <c r="M536" s="41">
        <f>EXP(-L536)</f>
        <v>0.0094522918</v>
      </c>
      <c r="N536" s="41">
        <f>IF(L536&gt;0,(1-M536)/L536,1)</f>
        <v>0.21249557501</v>
      </c>
      <c r="O536" s="41">
        <f>IF(L536&gt;0,(L536-1+M536)/L536^2,1/2)</f>
        <v>0.168938057426</v>
      </c>
      <c r="P536" s="41">
        <f>(C_air_CO2/C_sat_CO2*F_vent_ex-CO2_fix_l)*(B536/3600)/(V_L_CO2+Vg_CO2)</f>
        <v>0.010750199531</v>
      </c>
      <c r="Q536" s="41">
        <f>(P536*N536+pool_b*M536)/(1-pool_ret*M536)</f>
        <v>0.027054526763</v>
      </c>
      <c r="R536" s="41">
        <f>MIN(C_sat_CO2,MAX(C_air_CO2,(pool_ret*Q536+pool_b)*N536+P536*O536))</f>
        <v>0.558670355068</v>
      </c>
      <c r="S536" s="41">
        <f>IF(AND(R536&gt;=CO2_pH_hi_mt,R537&lt;CO2_pH_hi_mt),EXP(LN(A536)+(LN(A537)-LN(A536))*(R536-CO2_pH_hi_mt)/(R536-R537)),0)</f>
        <v>0.0</v>
      </c>
    </row>
    <row r="537">
      <c r="A537" s="41">
        <f>A536*grid_ratio</f>
        <v>1195.653041450516</v>
      </c>
      <c r="B537" s="41">
        <f>MAX(0,A537*60-spg_dur)</f>
        <v>71738.53248703</v>
      </c>
      <c r="C537" s="41">
        <f>k_eff_CO2*B537</f>
        <v>1.041707796756</v>
      </c>
      <c r="D537" s="41">
        <f>EXP(-C537)</f>
        <v>0.352851568344</v>
      </c>
      <c r="E537" s="41">
        <f>IF(C537&gt;0,(1-D537)/C537,1)</f>
        <v>0.62123796488</v>
      </c>
      <c r="F537" s="41">
        <f>IF(C537&gt;0,(C537-1+D537)/C537^2,1/2)</f>
        <v>0.363597197122</v>
      </c>
      <c r="G537" s="41">
        <f>(C_air_CO2/C_sat_CO2*F_vent_ex-CO2_fix_sched)*(B537/3600)/(V_L_CO2+Vg_CO2)</f>
        <v>-13.765414854046</v>
      </c>
      <c r="H537" s="41">
        <f>(G537*E537+pool_b*D537)/(1-pool_ret*D537)</f>
        <v>-11.232160572788</v>
      </c>
      <c r="I537" s="41">
        <f>MIN(C_sat_CO2,MAX(C_air_CO2,(pool_ret*H537+pool_b)*E537+G537*F537))</f>
        <v>0.011558836641</v>
      </c>
      <c r="J537" s="41">
        <f>IF(AND(I537&gt;=CO2_pH_hi_mt,I538&lt;CO2_pH_hi_mt),EXP(LN(A537)+(LN(A538)-LN(A537))*(I537-CO2_pH_hi_mt)/(I537-I538)),0)</f>
        <v>0.0</v>
      </c>
      <c r="L537" s="41">
        <f>k_eff_CO2_l*B537</f>
        <v>5.221184285857</v>
      </c>
      <c r="M537" s="41">
        <f>EXP(-L537)</f>
        <v>0.005400929094</v>
      </c>
      <c r="N537" s="41">
        <f>IF(L537&gt;0,(1-M537)/L537,1)</f>
        <v>0.19049300244</v>
      </c>
      <c r="O537" s="41">
        <f>IF(L537&gt;0,(L537-1+M537)/L537^2,1/2)</f>
        <v>0.155042793596</v>
      </c>
      <c r="P537" s="41">
        <f>(C_air_CO2/C_sat_CO2*F_vent_ex-CO2_fix_l)*(B537/3600)/(V_L_CO2+Vg_CO2)</f>
        <v>0.01204093025</v>
      </c>
      <c r="Q537" s="41">
        <f>(P537*N537+pool_b*M537)/(1-pool_ret*M537)</f>
        <v>0.016394846184</v>
      </c>
      <c r="R537" s="41">
        <f>MIN(C_sat_CO2,MAX(C_air_CO2,(pool_ret*Q537+pool_b)*N537+P537*O537))</f>
        <v>0.499219659328</v>
      </c>
      <c r="S537" s="41">
        <f>IF(AND(R537&gt;=CO2_pH_hi_mt,R538&lt;CO2_pH_hi_mt),EXP(LN(A537)+(LN(A538)-LN(A537))*(R537-CO2_pH_hi_mt)/(R537-R538)),0)</f>
        <v>0.0</v>
      </c>
    </row>
    <row r="538">
      <c r="A538" s="41">
        <f>A537*grid_ratio</f>
        <v>1339.208558132662</v>
      </c>
      <c r="B538" s="41">
        <f>MAX(0,A538*60-spg_dur)</f>
        <v>80351.86348796</v>
      </c>
      <c r="C538" s="41">
        <f>k_eff_CO2*B538</f>
        <v>1.166781083714</v>
      </c>
      <c r="D538" s="41">
        <f>EXP(-C538)</f>
        <v>0.311367596115</v>
      </c>
      <c r="E538" s="41">
        <f>IF(C538&gt;0,(1-D538)/C538,1)</f>
        <v>0.590198464388</v>
      </c>
      <c r="F538" s="41">
        <f>IF(C538&gt;0,(C538-1+D538)/C538^2,1/2)</f>
        <v>0.351224013941</v>
      </c>
      <c r="G538" s="41">
        <f>(C_air_CO2/C_sat_CO2*F_vent_ex-CO2_fix_sched)*(B538/3600)/(V_L_CO2+Vg_CO2)</f>
        <v>-15.418167850135</v>
      </c>
      <c r="H538" s="41">
        <f>(G538*E538+pool_b*D538)/(1-pool_ret*D538)</f>
        <v>-11.556970868165</v>
      </c>
      <c r="I538" s="41">
        <f>MIN(C_sat_CO2,MAX(C_air_CO2,(pool_ret*H538+pool_b)*E538+G538*F538))</f>
        <v>0.011558836641</v>
      </c>
      <c r="J538" s="41">
        <f>IF(AND(I538&gt;=CO2_pH_hi_mt,I539&lt;CO2_pH_hi_mt),EXP(LN(A538)+(LN(A539)-LN(A538))*(I538-CO2_pH_hi_mt)/(I538-I539)),0)</f>
        <v>0.0</v>
      </c>
      <c r="L538" s="41">
        <f>k_eff_CO2_l*B538</f>
        <v>5.848068986615</v>
      </c>
      <c r="M538" s="41">
        <f>EXP(-L538)</f>
        <v>0.002885465655</v>
      </c>
      <c r="N538" s="41">
        <f>IF(L538&gt;0,(1-M538)/L538,1)</f>
        <v>0.17050320997</v>
      </c>
      <c r="O538" s="41">
        <f>IF(L538&gt;0,(L538-1+M538)/L538^2,1/2)</f>
        <v>0.141841143107</v>
      </c>
      <c r="P538" s="41">
        <f>(C_air_CO2/C_sat_CO2*F_vent_ex-CO2_fix_l)*(B538/3600)/(V_L_CO2+Vg_CO2)</f>
        <v>0.013486631942</v>
      </c>
      <c r="Q538" s="41">
        <f>(P538*N538+pool_b*M538)/(1-pool_ret*M538)</f>
        <v>0.009815867939</v>
      </c>
      <c r="R538" s="41">
        <f>MIN(C_sat_CO2,MAX(C_air_CO2,(pool_ret*Q538+pool_b)*N538+P538*O538))</f>
        <v>0.446057031952</v>
      </c>
      <c r="S538" s="41">
        <f>IF(AND(R538&gt;=CO2_pH_hi_mt,R539&lt;CO2_pH_hi_mt),EXP(LN(A538)+(LN(A539)-LN(A538))*(R538-CO2_pH_hi_mt)/(R538-R539)),0)</f>
        <v>0.0</v>
      </c>
    </row>
    <row r="539">
      <c r="A539" s="41">
        <f>A538*grid_ratio</f>
        <v>1499.999999999992</v>
      </c>
      <c r="B539" s="41">
        <f>MAX(0,A539*60-spg_dur)</f>
        <v>89999.35</v>
      </c>
      <c r="C539" s="41">
        <f>k_eff_CO2*B539</f>
        <v>1.306871235691</v>
      </c>
      <c r="D539" s="41">
        <f>EXP(-C539)</f>
        <v>0.270665581782</v>
      </c>
      <c r="E539" s="41">
        <f>IF(C539&gt;0,(1-D539)/C539,1)</f>
        <v>0.55807672424</v>
      </c>
      <c r="F539" s="41">
        <f>IF(C539&gt;0,(C539-1+D539)/C539^2,1/2)</f>
        <v>0.338153647958</v>
      </c>
      <c r="G539" s="41">
        <f>(C_air_CO2/C_sat_CO2*F_vent_ex-CO2_fix_sched)*(B539/3600)/(V_L_CO2+Vg_CO2)</f>
        <v>-17.269357852677</v>
      </c>
      <c r="H539" s="41">
        <f>(G539*E539+pool_b*D539)/(1-pool_ret*D539)</f>
        <v>-11.844151699632</v>
      </c>
      <c r="I539" s="41">
        <f>MIN(C_sat_CO2,MAX(C_air_CO2,(pool_ret*H539+pool_b)*E539+G539*F539))</f>
        <v>0.011558836641</v>
      </c>
      <c r="J539" s="41">
        <f>0</f>
        <v>0.0</v>
      </c>
      <c r="L539" s="41">
        <f>k_eff_CO2_l*B539</f>
        <v>6.550220302351</v>
      </c>
      <c r="M539" s="41">
        <f>EXP(-L539)</f>
        <v>0.001429800575</v>
      </c>
      <c r="N539" s="41">
        <f>IF(L539&gt;0,(1-M539)/L539,1)</f>
        <v>0.152448338122</v>
      </c>
      <c r="O539" s="41">
        <f>IF(L539&gt;0,(L539-1+M539)/L539^2,1/2)</f>
        <v>0.129392848295</v>
      </c>
      <c r="P539" s="41">
        <f>(C_air_CO2/C_sat_CO2*F_vent_ex-CO2_fix_l)*(B539/3600)/(V_L_CO2+Vg_CO2)</f>
        <v>0.015105911124</v>
      </c>
      <c r="Q539" s="41">
        <f>(P539*N539+pool_b*M539)/(1-pool_ret*M539)</f>
        <v>0.006022438775</v>
      </c>
      <c r="R539" s="41">
        <f>MIN(C_sat_CO2,MAX(C_air_CO2,(pool_ret*Q539+pool_b)*N539+P539*O539))</f>
        <v>0.398542714502</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Biology!spg_int_H2safe_saw</f>
        <v>2.312402310074</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1.251651684129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lag",IF(spg_int_su_opt=IF(ISNUMBER(spg_int_H2safe_opt),spg_int_H2safe_opt,spg_int_carbon),"the H₂ flammability screen (Biology D92)",IF(spg_int_su_opt=IF(ISNUMBER(spg_int_pH_l),spg_int_pH_l*spg_dur_eq_opt/spg_dur_eq,spg_int_carbon),"the pH ceiling (lag)",IF(spg_int_su_opt=spg_int_carbon,"carbon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0.036016292273</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0.982206116713</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0.494050946506</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0.011115587615</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0.016815548393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0.011496911008</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4.122375525019</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(DO_surf_excess_lag+H_O2_T*P_dry*z_peak_su)*M_O2</f>
        <v>4.13806097293</v>
      </c>
      <c r="E557" s="51" t="inlineStr">
        <is>
          <t xml:space="preserve">As D365 at the start-up interval (D568).</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0.029076305025</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7.278075122043e-05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612.612318746651</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2.385360196994</v>
      </c>
      <c r="E563" s="51" t="inlineStr">
        <is>
          <t xml:space="preserve">D545 restated on the basis of D91, so D420 and D547 come back to it for the pulse in use.</t>
        </is>
      </c>
    </row>
    <row r="564">
      <c r="A564" s="18" t="inlineStr">
        <is>
          <t xml:space="preserve">Time-mean headspace H₂ — lag</t>
        </is>
      </c>
      <c r="B564" s="19" t="inlineStr">
        <is>
          <t xml:space="preserve">y_H2_avg_l</t>
        </is>
      </c>
      <c r="C564" s="20" t="inlineStr">
        <is>
          <t xml:space="preserve">-</t>
        </is>
      </c>
      <c r="D564" s="41">
        <f>y_H2_end_l*flush_ret*phi_hs_l+H2_src_l*t_gap_h/n_hs_gas*psi_hs_l</f>
        <v>0.100100748644</v>
      </c>
      <c r="E564" s="51" t="inlineStr">
        <is>
          <t xml:space="preserve">Exact time average of the lag H₂ sawtooth at the schedule in use (as D360 for O₂): the figure a time-weighted headspace measurement compares with. The mean-field fraction (D352) is the flux-weighted one.</t>
        </is>
      </c>
    </row>
    <row r="565">
      <c r="A565" s="18" t="inlineStr">
        <is>
          <t xml:space="preserve">Inhibition ceiling for this organism</t>
        </is>
      </c>
      <c r="B565" s="19" t="inlineStr">
        <is>
          <t xml:space="preserve">O2_ceil_org</t>
        </is>
      </c>
      <c r="C565" s="20" t="inlineStr">
        <is>
          <t xml:space="preserve">mol/m³</t>
        </is>
      </c>
      <c r="D565" s="41">
        <f>IF(ISNUMBER(DO_toxic),MIN(O2_ceil_C,DO_toxic/M_O2),O2_ceil_C)</f>
        <v>0.314742903798</v>
      </c>
      <c r="E565" s="51" t="inlineStr">
        <is>
          <t xml:space="preserve">The organism’s own toxic DO (Biology D48, measured or tabled) when it has one, never above the generic 0.30 atm Henry ceiling (D6); otherwise that generic ceiling. Used by the DO target, the legacy guard and the peak checks.</t>
        </is>
      </c>
    </row>
    <row r="566">
      <c r="A566" s="18" t="inlineStr">
        <is>
          <t xml:space="preserve">Liquid-equilibrium O₂ fraction at its peak — growth</t>
        </is>
      </c>
      <c r="B566" s="19" t="inlineStr">
        <is>
          <t xml:space="preserve">z_peak_g</t>
        </is>
      </c>
      <c r="C566" s="20" t="inlineStr">
        <is>
          <t xml:space="preserve">-</t>
        </is>
      </c>
      <c r="D566" s="41">
        <f>IF(F_gap_g&gt;0,S_O2_g/F_gap_g+(y_O2_post_g-S_O2_g/F_gap_g)*IF(ABS((1/tau_L_h)-(F_gap_g/n_hs_gas))&gt;rate_tol_rel*(1/tau_L_h),(1/tau_L_h)/((1/tau_L_h)-(F_gap_g/n_hs_gas))*(EXP(-(F_gap_g/n_hs_gas)*t_gap_h)-EXP(-(1/tau_L_h)*t_gap_h)),(1/tau_L_h)*t_gap_h*EXP(-(1/tau_L_h)*t_gap_h))/(1-EXP(-(1/tau_L_h)*t_gap_h)),y_O2_post_g-S_O2_g/n_hs_gas/(1/tau_L_h)+S_O2_g/n_hs_gas*t_gap_h/(1-EXP(-(1/tau_L_h)*t_gap_h)))</f>
        <v>0.035988377729</v>
      </c>
      <c r="E566" s="51" t="inlineStr">
        <is>
          <t xml:space="preserve">Exact periodic solution of the first-order liquid (rate 1/τ, D326) driven by the exponential headspace ramp of the gap (from y_O2_post to S/F at rate F/n), maximal just before a pulse. Replaces the quasi-steady lag correction, which over-trusted gaps comparable to τ.</t>
        </is>
      </c>
    </row>
    <row r="567">
      <c r="A567" s="18" t="inlineStr">
        <is>
          <t xml:space="preserve">Liquid-equilibrium O₂ fraction at its peak — lag</t>
        </is>
      </c>
      <c r="B567" s="19" t="inlineStr">
        <is>
          <t xml:space="preserve">z_peak_l</t>
        </is>
      </c>
      <c r="C567" s="20" t="inlineStr">
        <is>
          <t xml:space="preserve">-</t>
        </is>
      </c>
      <c r="D567" s="41">
        <f>IF(F_gap_l&gt;0,S_O2_l/F_gap_l+(y_O2_post_l-S_O2_l/F_gap_l)*IF(ABS((1/tau_L_h)-(F_gap_l/n_hs_gas))&gt;rate_tol_rel*(1/tau_L_h),(1/tau_L_h)/((1/tau_L_h)-(F_gap_l/n_hs_gas))*(EXP(-(F_gap_l/n_hs_gas)*t_gap_h)-EXP(-(1/tau_L_h)*t_gap_h)),(1/tau_L_h)*t_gap_h*EXP(-(1/tau_L_h)*t_gap_h))/(1-EXP(-(1/tau_L_h)*t_gap_h)),y_O2_post_l-S_O2_l/n_hs_gas/(1/tau_L_h)+S_O2_l/n_hs_gas*t_gap_h/(1-EXP(-(1/tau_L_h)*t_gap_h)))</f>
        <v>0.070079461273</v>
      </c>
      <c r="E567" s="51" t="inlineStr">
        <is>
          <t xml:space="preserve">As D566 on the lag phase.</t>
        </is>
      </c>
    </row>
    <row r="568">
      <c r="A568" s="18" t="inlineStr">
        <is>
          <t xml:space="preserve">Liquid-equilibrium O₂ fraction at its peak — start-up</t>
        </is>
      </c>
      <c r="B568" s="19" t="inlineStr">
        <is>
          <t xml:space="preserve">z_peak_su</t>
        </is>
      </c>
      <c r="C568" s="20" t="inlineStr">
        <is>
          <t xml:space="preserve">-</t>
        </is>
      </c>
      <c r="D568" s="41">
        <f>IF(F_gap_l&gt;0,S_O2_l/F_gap_l+(y_O2_end_su*flush_ret-S_O2_l/F_gap_l)*IF(ABS((1/tau_L_h)-(F_gap_l/n_hs_gas))&gt;rate_tol_rel*(1/tau_L_h),(1/tau_L_h)/((1/tau_L_h)-(F_gap_l/n_hs_gas))*(EXP(-(F_gap_l/n_hs_gas)*t_gap_su_h)-EXP(-(1/tau_L_h)*t_gap_su_h)),(1/tau_L_h)*t_gap_su_h*EXP(-(1/tau_L_h)*t_gap_su_h))/(1-EXP(-(1/tau_L_h)*t_gap_su_h)),y_O2_end_su*flush_ret-S_O2_l/n_hs_gas/(1/tau_L_h)+S_O2_l/n_hs_gas*t_gap_su_h/(1-EXP(-(1/tau_L_h)*t_gap_su_h)))</f>
        <v>0.011984539296</v>
      </c>
      <c r="E568" s="51" t="inlineStr">
        <is>
          <t xml:space="preserve">As D567 at the start-up interval.</t>
        </is>
      </c>
    </row>
    <row r="569">
      <c r="A569" s="18" t="inlineStr">
        <is>
          <t xml:space="preserve">Rate-coincidence tolerance (numerical)</t>
        </is>
      </c>
      <c r="B569" s="19" t="inlineStr">
        <is>
          <t xml:space="preserve">rate_tol_rel</t>
        </is>
      </c>
      <c r="C569" s="20" t="inlineStr">
        <is>
          <t xml:space="preserve">-</t>
        </is>
      </c>
      <c r="D569" s="106">
        <v>1e-09</v>
      </c>
      <c r="E569" s="51" t="inlineStr">
        <is>
          <t xml:space="preserve">Numerical, not a datum: relative gap below which the liquid (1/τ) and headspace (F/n) rates are treated as equal in D566–D568, where the general formula has a removable 0/0 and the coincident-rate limit is used instead.</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202"/>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inlineStr">
        <is>
          <t xml:space="preserve">Value in use: one least-squares fit of current against intensity over every included point for the active reactor (pooled, so a run with more points weighs more).</t>
        </is>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inlineStr">
        <is>
          <t xml:space="preserve">Value in use: average across included vials of the active reactor type (all vials of a type are nominally identical). Headspace and total volume feed the model; the volume-equivalent depth (D75) is reported for the geometry check only, because a tapered vial’s equivalent depth is not its physical depth.</t>
        </is>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inlineStr">
        <is>
          <t xml:space="preserve">Volume-equivalent depth (computed)</t>
        </is>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inlineStr">
        <is>
          <t xml:space="preserve">Value in use - volume-equivalent depth (body volume ÷ A_x; not the physical depth)</t>
        </is>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inlineStr">
        <is>
          <t xml:space="preserve">Value in use: the bubble points of the most recent included runs for the active reactor are averaged first (D90) and then graded once (D89), so conflicting runs never average into a fractional grade; a pore size outside the listed DURAN classes is reported and the model keeps its default.</t>
        </is>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IF(D81="","",IFERROR(IF((bp_const/D81)&gt;por_p0_hi,"above P0 – not a listed grade",IF((bp_const/D81)&gt;por_break_1,0,IF((bp_const/D81)&gt;por_break_2,1,IF((bp_const/D81)&gt;por_break_3,2,IF((bp_const/D81)&gt;por_break_4,3,IF((bp_const/D81)&gt;=por_break_5,4,IF(AND((bp_const/D81)&gt;=por_p5_lo,(bp_const/D81)&lt;=por_p5_hi),5,"between or below the listed grades – not used"))))))),""))</f>
        <v/>
      </c>
      <c r="F81" s="100" t="str">
        <f t="shared" ref="F81:F88" si="12">IFERROR(INDEX(ReactorTypeList,MATCH(C81,ReactorList,0)),"")</f>
        <v/>
      </c>
      <c r="G81" s="93"/>
      <c r="H81" s="93"/>
      <c r="I81" s="72"/>
      <c r="J81" s="72"/>
      <c r="K81" s="72"/>
      <c r="L81" s="72"/>
      <c r="M81" s="72"/>
    </row>
    <row r="82" spans="1:13" x14ac:dyDescent="0.2">
      <c r="A82" s="93"/>
      <c r="B82" s="94"/>
      <c r="C82" s="93"/>
      <c r="D82" s="94"/>
      <c r="E82" s="100" t="str">
        <f>IF(D82="","",IFERROR(IF((bp_const/D82)&gt;por_p0_hi,"above P0 – not a listed grade",IF((bp_const/D82)&gt;por_break_1,0,IF((bp_const/D82)&gt;por_break_2,1,IF((bp_const/D82)&gt;por_break_3,2,IF((bp_const/D82)&gt;por_break_4,3,IF((bp_const/D82)&gt;=por_break_5,4,IF(AND((bp_const/D82)&gt;=por_p5_lo,(bp_const/D82)&lt;=por_p5_hi),5,"between or below the listed grades – not used"))))))),""))</f>
        <v/>
      </c>
      <c r="F82" s="169" t="str">
        <f t="shared" si="12"/>
        <v/>
      </c>
      <c r="G82" s="93"/>
      <c r="H82" s="93"/>
      <c r="I82" s="72"/>
      <c r="J82" s="72"/>
      <c r="K82" s="72"/>
      <c r="L82" s="72"/>
      <c r="M82" s="72"/>
    </row>
    <row r="83" spans="1:13" x14ac:dyDescent="0.2">
      <c r="A83" s="93"/>
      <c r="B83" s="94"/>
      <c r="C83" s="93"/>
      <c r="D83" s="94"/>
      <c r="E83" s="100" t="str">
        <f>IF(D83="","",IFERROR(IF((bp_const/D83)&gt;por_p0_hi,"above P0 – not a listed grade",IF((bp_const/D83)&gt;por_break_1,0,IF((bp_const/D83)&gt;por_break_2,1,IF((bp_const/D83)&gt;por_break_3,2,IF((bp_const/D83)&gt;por_break_4,3,IF((bp_const/D83)&gt;=por_break_5,4,IF(AND((bp_const/D83)&gt;=por_p5_lo,(bp_const/D83)&lt;=por_p5_hi),5,"between or below the listed grades – not used"))))))),""))</f>
        <v/>
      </c>
      <c r="F83" s="169" t="str">
        <f t="shared" si="12"/>
        <v/>
      </c>
      <c r="G83" s="93"/>
      <c r="H83" s="93"/>
      <c r="I83" s="72"/>
      <c r="J83" s="72"/>
      <c r="K83" s="72"/>
      <c r="L83" s="72"/>
      <c r="M83" s="72"/>
    </row>
    <row r="84" spans="1:13" x14ac:dyDescent="0.2">
      <c r="A84" s="93"/>
      <c r="B84" s="94"/>
      <c r="C84" s="93"/>
      <c r="D84" s="94"/>
      <c r="E84" s="100" t="str">
        <f>IF(D84="","",IFERROR(IF((bp_const/D84)&gt;por_p0_hi,"above P0 – not a listed grade",IF((bp_const/D84)&gt;por_break_1,0,IF((bp_const/D84)&gt;por_break_2,1,IF((bp_const/D84)&gt;por_break_3,2,IF((bp_const/D84)&gt;por_break_4,3,IF((bp_const/D84)&gt;=por_break_5,4,IF(AND((bp_const/D84)&gt;=por_p5_lo,(bp_const/D84)&lt;=por_p5_hi),5,"between or below the listed grades – not used"))))))),""))</f>
        <v/>
      </c>
      <c r="F84" s="169" t="str">
        <f t="shared" si="12"/>
        <v/>
      </c>
      <c r="G84" s="93"/>
      <c r="H84" s="93"/>
      <c r="I84" s="72"/>
      <c r="J84" s="72"/>
      <c r="K84" s="72"/>
      <c r="L84" s="72"/>
      <c r="M84" s="72"/>
    </row>
    <row r="85" spans="1:13" x14ac:dyDescent="0.2">
      <c r="A85" s="93"/>
      <c r="B85" s="94"/>
      <c r="C85" s="93"/>
      <c r="D85" s="94"/>
      <c r="E85" s="100" t="str">
        <f>IF(D85="","",IFERROR(IF((bp_const/D85)&gt;por_p0_hi,"above P0 – not a listed grade",IF((bp_const/D85)&gt;por_break_1,0,IF((bp_const/D85)&gt;por_break_2,1,IF((bp_const/D85)&gt;por_break_3,2,IF((bp_const/D85)&gt;por_break_4,3,IF((bp_const/D85)&gt;=por_break_5,4,IF(AND((bp_const/D85)&gt;=por_p5_lo,(bp_const/D85)&lt;=por_p5_hi),5,"between or below the listed grades – not used"))))))),""))</f>
        <v/>
      </c>
      <c r="F85" s="169" t="str">
        <f t="shared" si="12"/>
        <v/>
      </c>
      <c r="G85" s="93"/>
      <c r="H85" s="93"/>
      <c r="I85" s="72"/>
      <c r="J85" s="72"/>
      <c r="K85" s="72"/>
      <c r="L85" s="72"/>
      <c r="M85" s="72"/>
    </row>
    <row r="86" spans="1:13" x14ac:dyDescent="0.2">
      <c r="A86" s="93"/>
      <c r="B86" s="94"/>
      <c r="C86" s="93"/>
      <c r="D86" s="94"/>
      <c r="E86" s="100" t="str">
        <f>IF(D86="","",IFERROR(IF((bp_const/D86)&gt;por_p0_hi,"above P0 – not a listed grade",IF((bp_const/D86)&gt;por_break_1,0,IF((bp_const/D86)&gt;por_break_2,1,IF((bp_const/D86)&gt;por_break_3,2,IF((bp_const/D86)&gt;por_break_4,3,IF((bp_const/D86)&gt;=por_break_5,4,IF(AND((bp_const/D86)&gt;=por_p5_lo,(bp_const/D86)&lt;=por_p5_hi),5,"between or below the listed grades – not used"))))))),""))</f>
        <v/>
      </c>
      <c r="F86" s="100" t="str">
        <f t="shared" si="12"/>
        <v/>
      </c>
      <c r="G86" s="93"/>
      <c r="H86" s="93"/>
      <c r="I86" s="72"/>
      <c r="J86" s="72"/>
      <c r="K86" s="72"/>
      <c r="L86" s="72"/>
      <c r="M86" s="72"/>
    </row>
    <row r="87" spans="1:13" x14ac:dyDescent="0.2">
      <c r="A87" s="93"/>
      <c r="B87" s="94"/>
      <c r="C87" s="93"/>
      <c r="D87" s="94"/>
      <c r="E87" s="100" t="str">
        <f>IF(D87="","",IFERROR(IF((bp_const/D87)&gt;por_p0_hi,"above P0 – not a listed grade",IF((bp_const/D87)&gt;por_break_1,0,IF((bp_const/D87)&gt;por_break_2,1,IF((bp_const/D87)&gt;por_break_3,2,IF((bp_const/D87)&gt;por_break_4,3,IF((bp_const/D87)&gt;=por_break_5,4,IF(AND((bp_const/D87)&gt;=por_p5_lo,(bp_const/D87)&lt;=por_p5_hi),5,"between or below the listed grades – not used"))))))),""))</f>
        <v/>
      </c>
      <c r="F87" s="100" t="str">
        <f t="shared" si="12"/>
        <v/>
      </c>
      <c r="G87" s="93"/>
      <c r="H87" s="93"/>
      <c r="I87" s="72"/>
      <c r="J87" s="72"/>
      <c r="K87" s="72"/>
      <c r="L87" s="72"/>
      <c r="M87" s="72"/>
    </row>
    <row r="88" spans="1:13" x14ac:dyDescent="0.2">
      <c r="A88" s="93"/>
      <c r="B88" s="94"/>
      <c r="C88" s="93"/>
      <c r="D88" s="94"/>
      <c r="E88" s="100" t="str">
        <f>IF(D88="","",IFERROR(IF((bp_const/D88)&gt;por_p0_hi,"above P0 – not a listed grade",IF((bp_const/D88)&gt;por_break_1,0,IF((bp_const/D88)&gt;por_break_2,1,IF((bp_const/D88)&gt;por_break_3,2,IF((bp_const/D88)&gt;por_break_4,3,IF((bp_const/D88)&gt;=por_break_5,4,IF(AND((bp_const/D88)&gt;=por_p5_lo,(bp_const/D88)&lt;=por_p5_hi),5,"between or below the listed grades – not used"))))))),""))</f>
        <v/>
      </c>
      <c r="F88" s="100" t="str">
        <f t="shared" si="12"/>
        <v/>
      </c>
      <c r="G88" s="93"/>
      <c r="H88" s="93"/>
      <c r="I88" s="72"/>
      <c r="J88" s="72"/>
      <c r="K88" s="72"/>
      <c r="L88" s="72"/>
      <c r="M88" s="72"/>
    </row>
    <row r="89" spans="1:13" x14ac:dyDescent="0.2">
      <c r="A89" s="96" t="s">
        <v>1297</v>
      </c>
      <c r="B89" s="72"/>
      <c r="C89" s="97" t="s">
        <v>491</v>
      </c>
      <c r="D89" s="95" t="str">
        <f>IF(NOT(ISNUMBER(cal_bp)),"no included runs — model uses its default",IF((bp_const/cal_bp)&gt;por_p0_hi,"above P0 – not a listed grade; model uses its default",IF((bp_const/cal_bp)&gt;por_break_1,0,IF((bp_const/cal_bp)&gt;por_break_2,1,IF((bp_const/cal_bp)&gt;por_break_3,2,IF((bp_const/cal_bp)&gt;por_break_4,3,IF((bp_const/cal_bp)&gt;=por_break_5,4,IF(AND((bp_const/cal_bp)&gt;=por_p5_lo,(bp_const/cal_bp)&lt;=por_p5_hi),5,"between or below the listed grades; model uses its default"))))))))</f>
        <v>no included runs — model uses its default</v>
      </c>
      <c r="E89" s="72"/>
      <c r="F89" s="72"/>
      <c r="G89" s="72"/>
      <c r="H89" s="72"/>
      <c r="I89" s="72"/>
      <c r="J89" s="72"/>
      <c r="K89" s="72"/>
      <c r="L89" s="72"/>
      <c r="M89" s="72"/>
    </row>
    <row r="90" spans="1:13" x14ac:dyDescent="0.2">
      <c r="A90" s="96" t="inlineStr">
        <is>
          <t xml:space="preserve">Value in use - bubble point (mean of the latest included runs)</t>
        </is>
      </c>
      <c r="B90" s="72"/>
      <c r="C90" s="97" t="inlineStr">
        <is>
          <t xml:space="preserve">kPa</t>
        </is>
      </c>
      <c r="D90" s="95" t="str">
        <f>IFERROR(AVERAGEIFS(D81:D88,C81:C88,Reactor_sel,G81:G88,"y",B81:B88,SUMPRODUCT(MAX((C81:C88=Reactor_sel)*(G81:G88="y")*B81:B88))),"no included runs — model uses its default")</f>
        <v>no included runs — model uses its default</v>
      </c>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inlineStr">
        <is>
          <t xml:space="preserve">Value in use: each included run is reduced to O₂ per H₂ and CO₂ per H₂ (columns I–J), the ratios are averaged over the included runs for the active organism, and the model takes them on an H₂ basis of knall_H2_basis (D199), so a run’s size does not weight the result.</t>
        </is>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99" t="inlineStr">
        <is>
          <t xml:space="preserve">O₂ per H₂ (computed)</t>
        </is>
      </c>
      <c r="J111" s="99" t="inlineStr">
        <is>
          <t xml:space="preserve">CO₂ per H₂ (computed)</t>
        </is>
      </c>
      <c r="K111" s="72"/>
      <c r="L111" s="72"/>
      <c r="M111" s="72"/>
    </row>
    <row r="112" spans="1:13" x14ac:dyDescent="0.2">
      <c r="A112" s="93"/>
      <c r="B112" s="94"/>
      <c r="C112" s="93"/>
      <c r="D112" s="94"/>
      <c r="E112" s="94"/>
      <c r="F112" s="94"/>
      <c r="G112" s="93"/>
      <c r="H112" s="93"/>
      <c r="I112" s="94" t="str">
        <f>IF(OR(D112="",E112=""),"",IFERROR(IF(D112&gt;0,E112/D112,""),""))</f>
        <v/>
      </c>
      <c r="J112" s="94" t="str">
        <f>IF(OR(D112="",F112=""),"",IFERROR(IF(D112&gt;0,F112/D112,""),""))</f>
        <v/>
      </c>
      <c r="K112" s="72"/>
      <c r="L112" s="72"/>
      <c r="M112" s="72"/>
    </row>
    <row r="113" spans="1:13" x14ac:dyDescent="0.2">
      <c r="A113" s="93"/>
      <c r="B113" s="94"/>
      <c r="C113" s="93"/>
      <c r="D113" s="94"/>
      <c r="E113" s="94"/>
      <c r="F113" s="94"/>
      <c r="G113" s="93"/>
      <c r="H113" s="93"/>
      <c r="I113" s="94" t="str">
        <f>IF(OR(D113="",E113=""),"",IFERROR(IF(D113&gt;0,E113/D113,""),""))</f>
        <v/>
      </c>
      <c r="J113" s="94" t="str">
        <f>IF(OR(D113="",F113=""),"",IFERROR(IF(D113&gt;0,F113/D113,""),""))</f>
        <v/>
      </c>
      <c r="K113" s="72"/>
      <c r="L113" s="72"/>
      <c r="M113" s="72"/>
    </row>
    <row r="114" spans="1:13" x14ac:dyDescent="0.2">
      <c r="A114" s="93"/>
      <c r="B114" s="94"/>
      <c r="C114" s="93"/>
      <c r="D114" s="94"/>
      <c r="E114" s="94"/>
      <c r="F114" s="94"/>
      <c r="G114" s="93"/>
      <c r="H114" s="93"/>
      <c r="I114" s="94" t="str">
        <f>IF(OR(D114="",E114=""),"",IFERROR(IF(D114&gt;0,E114/D114,""),""))</f>
        <v/>
      </c>
      <c r="J114" s="94" t="str">
        <f>IF(OR(D114="",F114=""),"",IFERROR(IF(D114&gt;0,F114/D114,""),""))</f>
        <v/>
      </c>
      <c r="K114" s="72"/>
      <c r="L114" s="72"/>
      <c r="M114" s="72"/>
    </row>
    <row r="115" spans="1:13" x14ac:dyDescent="0.2">
      <c r="A115" s="93"/>
      <c r="B115" s="94"/>
      <c r="C115" s="93"/>
      <c r="D115" s="94"/>
      <c r="E115" s="94"/>
      <c r="F115" s="94"/>
      <c r="G115" s="93"/>
      <c r="H115" s="93"/>
      <c r="I115" s="94" t="str">
        <f>IF(OR(D115="",E115=""),"",IFERROR(IF(D115&gt;0,E115/D115,""),""))</f>
        <v/>
      </c>
      <c r="J115" s="94" t="str">
        <f>IF(OR(D115="",F115=""),"",IFERROR(IF(D115&gt;0,F115/D115,""),""))</f>
        <v/>
      </c>
      <c r="K115" s="72"/>
      <c r="L115" s="72"/>
      <c r="M115" s="72"/>
    </row>
    <row r="116" spans="1:13" x14ac:dyDescent="0.2">
      <c r="A116" s="93"/>
      <c r="B116" s="94"/>
      <c r="C116" s="93"/>
      <c r="D116" s="94"/>
      <c r="E116" s="94"/>
      <c r="F116" s="94"/>
      <c r="G116" s="93"/>
      <c r="H116" s="93"/>
      <c r="I116" s="94" t="str">
        <f>IF(OR(D116="",E116=""),"",IFERROR(IF(D116&gt;0,E116/D116,""),""))</f>
        <v/>
      </c>
      <c r="J116" s="94" t="str">
        <f>IF(OR(D116="",F116=""),"",IFERROR(IF(D116&gt;0,F116/D116,""),""))</f>
        <v/>
      </c>
      <c r="K116" s="72"/>
      <c r="L116" s="72"/>
      <c r="M116" s="72"/>
    </row>
    <row r="117" spans="1:13" x14ac:dyDescent="0.2">
      <c r="A117" s="93"/>
      <c r="B117" s="94"/>
      <c r="C117" s="93"/>
      <c r="D117" s="94"/>
      <c r="E117" s="94"/>
      <c r="F117" s="94"/>
      <c r="G117" s="93"/>
      <c r="H117" s="93"/>
      <c r="I117" s="94" t="str">
        <f>IF(OR(D117="",E117=""),"",IFERROR(IF(D117&gt;0,E117/D117,""),""))</f>
        <v/>
      </c>
      <c r="J117" s="94" t="str">
        <f>IF(OR(D117="",F117=""),"",IFERROR(IF(D117&gt;0,F117/D117,""),""))</f>
        <v/>
      </c>
      <c r="K117" s="72"/>
      <c r="L117" s="72"/>
      <c r="M117" s="72"/>
    </row>
    <row r="118" spans="1:13" x14ac:dyDescent="0.2">
      <c r="A118" s="93"/>
      <c r="B118" s="94"/>
      <c r="C118" s="93"/>
      <c r="D118" s="94"/>
      <c r="E118" s="94"/>
      <c r="F118" s="94"/>
      <c r="G118" s="93"/>
      <c r="H118" s="93"/>
      <c r="I118" s="94" t="str">
        <f>IF(OR(D118="",E118=""),"",IFERROR(IF(D118&gt;0,E118/D118,""),""))</f>
        <v/>
      </c>
      <c r="J118" s="94" t="str">
        <f>IF(OR(D118="",F118=""),"",IFERROR(IF(D118&gt;0,F118/D118,""),""))</f>
        <v/>
      </c>
      <c r="K118" s="72"/>
      <c r="L118" s="72"/>
      <c r="M118" s="72"/>
    </row>
    <row r="119" spans="1:13" x14ac:dyDescent="0.2">
      <c r="A119" s="93"/>
      <c r="B119" s="94"/>
      <c r="C119" s="93"/>
      <c r="D119" s="94"/>
      <c r="E119" s="94"/>
      <c r="F119" s="94"/>
      <c r="G119" s="93"/>
      <c r="H119" s="93"/>
      <c r="I119" s="94" t="str">
        <f>IF(OR(D119="",E119=""),"",IFERROR(IF(D119&gt;0,E119/D119,""),""))</f>
        <v/>
      </c>
      <c r="J119" s="94" t="str">
        <f>IF(OR(D119="",F119=""),"",IFERROR(IF(D119&gt;0,F119/D119,""),""))</f>
        <v/>
      </c>
      <c r="K119" s="72"/>
      <c r="L119" s="72"/>
      <c r="M119" s="72"/>
    </row>
    <row r="120" spans="1:13" x14ac:dyDescent="0.2">
      <c r="A120" s="96" t="s">
        <v>1311</v>
      </c>
      <c r="B120" s="72"/>
      <c r="C120" s="97" t="s">
        <v>1312</v>
      </c>
      <c r="D120" s="95" t="str">
        <f>IF(AND(ISNUMBER(cal_knall_O2),ISNUMBER(cal_knall_CO2)),knall_H2_basis,"no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IFERROR(knall_H2_basis*AVERAGEIFS(I112:I119,C112:C119,organism_sel,G112:G119,"y"),"no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IFERROR(knall_H2_basis*AVERAGEIFS(J112:J119,C112:C119,organism_sel,G112:G119,"y"),"no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Electrochemistry!z_e_H2</f>
        <v>2.0</v>
      </c>
      <c r="E172" s="134" t="s">
        <v>2666</v>
      </c>
    </row>
    <row r="173" spans="1:5" x14ac:dyDescent="0.2">
      <c r="A173" s="18" t="s">
        <v>2667</v>
      </c>
      <c r="B173" s="72" t="s">
        <v>294</v>
      </c>
      <c r="C173" s="20" t="s">
        <v>111</v>
      </c>
      <c r="D173" s="133">
        <f>Electrochemistry!z_e_O2</f>
        <v>4.0</v>
      </c>
      <c r="E173" s="134" t="s">
        <v>2668</v>
      </c>
    </row>
    <row r="174" spans="1:5" x14ac:dyDescent="0.2">
      <c r="A174" s="18" t="s">
        <v>2288</v>
      </c>
      <c r="B174" s="72" t="s">
        <v>2122</v>
      </c>
      <c r="C174" s="20" t="s">
        <v>262</v>
      </c>
      <c r="D174" s="133">
        <f>Biology!T_zero_C</f>
        <v>273.15</v>
      </c>
      <c r="E174" s="134" t="s">
        <v>2289</v>
      </c>
    </row>
    <row r="175" spans="1:5" x14ac:dyDescent="0.2">
      <c r="A175" s="18" t="s">
        <v>2669</v>
      </c>
      <c r="B175" s="72" t="s">
        <v>1698</v>
      </c>
      <c r="C175" s="20" t="s">
        <v>57</v>
      </c>
      <c r="D175" s="133">
        <f>'Mass Transfer'!pw_A</f>
        <v>610.94</v>
      </c>
      <c r="E175" s="134" t="s">
        <v>2670</v>
      </c>
    </row>
    <row r="176" spans="1:5" x14ac:dyDescent="0.2">
      <c r="A176" s="18" t="s">
        <v>2671</v>
      </c>
      <c r="B176" s="72" t="s">
        <v>1701</v>
      </c>
      <c r="C176" s="20" t="s">
        <v>111</v>
      </c>
      <c r="D176" s="133">
        <f>'Mass Transfer'!pw_B</f>
        <v>17.625</v>
      </c>
      <c r="E176" s="134" t="s">
        <v>2672</v>
      </c>
    </row>
    <row r="177" spans="1:5" x14ac:dyDescent="0.2">
      <c r="A177" s="18" t="s">
        <v>2673</v>
      </c>
      <c r="B177" s="72" t="s">
        <v>1703</v>
      </c>
      <c r="C177" s="20" t="s">
        <v>48</v>
      </c>
      <c r="D177" s="133">
        <f>'Mass Transfer'!pw_C</f>
        <v>243.04</v>
      </c>
      <c r="E177" s="134" t="s">
        <v>2674</v>
      </c>
    </row>
    <row r="181" spans="1:5" x14ac:dyDescent="0.2">
      <c r="A181" s="18" t="s">
        <v>2675</v>
      </c>
      <c r="B181" s="72" t="s">
        <v>2676</v>
      </c>
      <c r="C181" s="20" t="s">
        <v>508</v>
      </c>
      <c r="D181" s="133">
        <f>'Mass Transfer'!rho_0</f>
        <v>1003.33</v>
      </c>
      <c r="E181" s="134" t="s">
        <v>2677</v>
      </c>
    </row>
    <row r="182" spans="1:5" x14ac:dyDescent="0.2">
      <c r="A182" s="18" t="s">
        <v>2678</v>
      </c>
      <c r="B182" s="72" t="s">
        <v>2679</v>
      </c>
      <c r="C182" s="20" t="s">
        <v>1595</v>
      </c>
      <c r="D182" s="133">
        <f>'Mass Transfer'!rho_k</f>
        <v>-0.2556</v>
      </c>
      <c r="E182" s="134" t="s">
        <v>2680</v>
      </c>
    </row>
    <row r="183" spans="1:5" x14ac:dyDescent="0.2">
      <c r="A183" s="18" t="s">
        <v>2681</v>
      </c>
      <c r="B183" s="72" t="s">
        <v>26</v>
      </c>
      <c r="C183" s="20" t="s">
        <v>111</v>
      </c>
      <c r="D183" s="133" t="str">
        <f>Summary!Reactor_sel</f>
        <v>ed04</v>
      </c>
      <c r="E183" s="134" t="s">
        <v>2682</v>
      </c>
    </row>
    <row r="184" spans="1:5" x14ac:dyDescent="0.2">
      <c r="A184" s="18" t="s">
        <v>2683</v>
      </c>
      <c r="B184" s="72" t="s">
        <v>33</v>
      </c>
      <c r="C184" s="20" t="s">
        <v>111</v>
      </c>
      <c r="D184" s="133" t="str">
        <f>Summary!organism_sel</f>
        <v>Xanthobacter tagetidis</v>
      </c>
      <c r="E184" s="134" t="s">
        <v>2684</v>
      </c>
    </row>
    <row r="185" spans="1:5" x14ac:dyDescent="0.2">
      <c r="A185" s="18" t="s">
        <v>2685</v>
      </c>
      <c r="B185" s="72" t="s">
        <v>212</v>
      </c>
      <c r="C185" s="20" t="s">
        <v>111</v>
      </c>
      <c r="D185" s="133" t="str">
        <f>Geometry!rx_ver</f>
        <v>MEP0.3</v>
      </c>
      <c r="E185" s="134" t="s">
        <v>2686</v>
      </c>
    </row>
    <row r="186" spans="1:5" x14ac:dyDescent="0.2">
      <c r="A186" s="18" t="s">
        <v>486</v>
      </c>
      <c r="B186" s="72" t="s">
        <v>126</v>
      </c>
      <c r="C186" s="20" t="s">
        <v>127</v>
      </c>
      <c r="D186" s="133">
        <f>Geometry!A_x</f>
        <v>501.93100162698</v>
      </c>
      <c r="E186" s="134" t="s">
        <v>2687</v>
      </c>
    </row>
    <row r="187" spans="1:5" x14ac:dyDescent="0.2">
      <c r="A187" s="18" t="s">
        <v>2688</v>
      </c>
      <c r="B187" s="72" t="s">
        <v>266</v>
      </c>
      <c r="C187" s="20" t="s">
        <v>267</v>
      </c>
      <c r="D187" s="133">
        <f>'Mass Transfer'!R_gas</f>
        <v>8.314462618</v>
      </c>
      <c r="E187" s="134" t="s">
        <v>2689</v>
      </c>
    </row>
    <row r="188" spans="1:5" x14ac:dyDescent="0.2">
      <c r="A188" s="18" t="s">
        <v>767</v>
      </c>
      <c r="B188" s="72" t="s">
        <v>287</v>
      </c>
      <c r="C188" s="20" t="s">
        <v>288</v>
      </c>
      <c r="D188" s="133">
        <f>Electrochemistry!F_const</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Summary!stir_rpm_set</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Summary!temp_C</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Summary!media_sel</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Summary!electrode_sel</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Transfer'!D_O2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Electrochemistry!km_exp</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Chemistry!M_Cl2</f>
        <v>70906.0</v>
      </c>
      <c r="E198" s="134" t="inlineStr">
        <is>
          <t xml:space="preserve">Import from Chemistry!D223 (M_Cl2): DPD results are mg/L as Cl₂.</t>
        </is>
      </c>
    </row>
    <row r="199">
      <c r="A199" s="18" t="inlineStr">
        <is>
          <t xml:space="preserve">(import) H₂ basis of the uptake ratio</t>
        </is>
      </c>
      <c r="B199" s="72" t="inlineStr">
        <is>
          <t xml:space="preserve">knall_H2_basis</t>
        </is>
      </c>
      <c r="C199" s="20" t="inlineStr">
        <is>
          <t xml:space="preserve">parts</t>
        </is>
      </c>
      <c r="D199" s="133">
        <f>Biology!knall_H2_default</f>
        <v>6.0</v>
      </c>
      <c r="E199" s="134" t="inlineStr">
        <is>
          <t xml:space="preserve">Import from Biology!D63 (knall_H2_default): the H₂ term of the default 6:2:1, so a measured ratio reads on the same scale.</t>
        </is>
      </c>
    </row>
    <row r="200">
      <c r="A200" s="18" t="inlineStr">
        <is>
          <t xml:space="preserve">Sinter grade P0 upper bound</t>
        </is>
      </c>
      <c r="B200" s="72" t="inlineStr">
        <is>
          <t xml:space="preserve">por_p0_hi</t>
        </is>
      </c>
      <c r="C200" s="20" t="inlineStr">
        <is>
          <t xml:space="preserve">µm</t>
        </is>
      </c>
      <c r="D200" s="132">
        <v>250</v>
      </c>
      <c r="E200" s="72" t="inlineStr">
        <is>
          <t xml:space="preserve">DURAN P0 160–250 µm (Mass Transfer E33): above this the frit is coarser than any listed grade.</t>
        </is>
      </c>
    </row>
    <row r="201">
      <c r="A201" s="18" t="inlineStr">
        <is>
          <t xml:space="preserve">Sinter grade P5 upper bound</t>
        </is>
      </c>
      <c r="B201" s="72" t="inlineStr">
        <is>
          <t xml:space="preserve">por_p5_hi</t>
        </is>
      </c>
      <c r="C201" s="20" t="inlineStr">
        <is>
          <t xml:space="preserve">µm</t>
        </is>
      </c>
      <c r="D201" s="132">
        <v>1.6</v>
      </c>
      <c r="E201" s="72" t="inlineStr">
        <is>
          <t xml:space="preserve">DURAN P5 1.0–1.6 µm (Mass Transfer E38); 1.6–10 µm falls between P5 and P4 and is not a listed grade.</t>
        </is>
      </c>
    </row>
    <row r="202">
      <c r="A202" s="18" t="inlineStr">
        <is>
          <t xml:space="preserve">Sinter grade P5 lower bound</t>
        </is>
      </c>
      <c r="B202" s="72" t="inlineStr">
        <is>
          <t xml:space="preserve">por_p5_lo</t>
        </is>
      </c>
      <c r="C202" s="20" t="inlineStr">
        <is>
          <t xml:space="preserve">µm</t>
        </is>
      </c>
      <c r="D202" s="132">
        <v>1</v>
      </c>
      <c r="E202" s="72" t="inlineStr">
        <is>
          <t xml:space="preserve">DURAN P5 1.0–1.6 µm (Mass Transfer E38).</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