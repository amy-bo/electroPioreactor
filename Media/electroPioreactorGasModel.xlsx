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 name="D_Cl" localSheetId="3">Chemistry!$D$277</definedName>
    <definedName name="Cl_free_frac" localSheetId="3">Chemistry!$D$278</definedName>
    <definedName name="vent_model" localSheetId="5">'Mass Transfer'!$D$301</definedName>
    <definedName name="vent_name_1" localSheetId="5">'Mass Transfer'!$D$302</definedName>
    <definedName name="vent_name_2" localSheetId="5">'Mass Transfer'!$D$303</definedName>
    <definedName name="O2_sizing_phase" localSheetId="5">'Mass Transfer'!$D$304</definedName>
    <definedName name="phase_name_1" localSheetId="5">'Mass Transfer'!$D$305</definedName>
    <definedName name="phase_name_2" localSheetId="5">'Mass Transfer'!$D$306</definedName>
    <definedName name="y_O2_air" localSheetId="5">'Mass Transfer'!$D$307</definedName>
    <definedName name="F_vent_ex" localSheetId="5">'Mass Transfer'!$D$308</definedName>
    <definedName name="O2_src_g" localSheetId="5">'Mass Transfer'!$D$309</definedName>
    <definedName name="O2_src_l" localSheetId="5">'Mass Transfer'!$D$310</definedName>
    <definedName name="rH2_gen" localSheetId="5">'Mass Transfer'!$D$311</definedName>
    <definedName name="H2_cons" localSheetId="5">'Mass Transfer'!$D$312</definedName>
    <definedName name="H2_src_g" localSheetId="5">'Mass Transfer'!$D$313</definedName>
    <definedName name="H2_src_l" localSheetId="5">'Mass Transfer'!$D$314</definedName>
    <definedName name="CO2_fix_g" localSheetId="5">'Mass Transfer'!$D$315</definedName>
    <definedName name="CO2_fix_l" localSheetId="5">'Mass Transfer'!$D$316</definedName>
    <definedName name="O2_src_sched" localSheetId="5">'Mass Transfer'!$D$317</definedName>
    <definedName name="H2_src_sched" localSheetId="5">'Mass Transfer'!$D$318</definedName>
    <definedName name="CO2_fix_sched" localSheetId="5">'Mass Transfer'!$D$319</definedName>
    <definedName name="flush_vol_opt" localSheetId="5">'Mass Transfer'!$D$320</definedName>
    <definedName name="flush_ret_opt" localSheetId="5">'Mass Transfer'!$D$321</definedName>
    <definedName name="saw_factor" localSheetId="5">'Mass Transfer'!$D$322</definedName>
    <definedName name="flush_vol" localSheetId="5">'Mass Transfer'!$D$323</definedName>
    <definedName name="flush_ret" localSheetId="5">'Mass Transfer'!$D$324</definedName>
    <definedName name="t_gap_h" localSheetId="5">'Mass Transfer'!$D$325</definedName>
    <definedName name="tau_L_h" localSheetId="5">'Mass Transfer'!$D$326</definedName>
    <definedName name="S_O2_g" localSheetId="5">'Mass Transfer'!$D$327</definedName>
    <definedName name="F_hs_net_g" localSheetId="5">'Mass Transfer'!$D$328</definedName>
    <definedName name="y_O2_mf_g" localSheetId="5">'Mass Transfer'!$D$329</definedName>
    <definedName name="y_H2_mf_g" localSheetId="5">'Mass Transfer'!$D$330</definedName>
    <definedName name="F_gap_g" localSheetId="5">'Mass Transfer'!$D$331</definedName>
    <definedName name="x_hs_g" localSheetId="5">'Mass Transfer'!$D$332</definedName>
    <definedName name="phi_hs_g" localSheetId="5">'Mass Transfer'!$D$333</definedName>
    <definedName name="psi_hs_g" localSheetId="5">'Mass Transfer'!$D$334</definedName>
    <definedName name="dy_O2_g" localSheetId="5">'Mass Transfer'!$D$335</definedName>
    <definedName name="y_O2_end_g" localSheetId="5">'Mass Transfer'!$D$336</definedName>
    <definedName name="y_O2_post_g" localSheetId="5">'Mass Transfer'!$D$337</definedName>
    <definedName name="y_O2_avg_g" localSheetId="5">'Mass Transfer'!$D$338</definedName>
    <definedName name="DO_surf_excess_g" localSheetId="5">'Mass Transfer'!$D$339</definedName>
    <definedName name="DO_mf_g" localSheetId="5">'Mass Transfer'!$D$340</definedName>
    <definedName name="DO_avg_g" localSheetId="5">'Mass Transfer'!$D$341</definedName>
    <definedName name="DO_peak_g" localSheetId="5">'Mass Transfer'!$D$342</definedName>
    <definedName name="DO_avg_g_mgL" localSheetId="5">'Mass Transfer'!$D$343</definedName>
    <definedName name="DO_peak_g_mgL" localSheetId="5">'Mass Transfer'!$D$344</definedName>
    <definedName name="kLa_surf_req_g" localSheetId="5">'Mass Transfer'!$D$345</definedName>
    <definedName name="kLa_margin_g" localSheetId="5">'Mass Transfer'!$D$346</definedName>
    <definedName name="DO_feas_g" localSheetId="5">'Mass Transfer'!$D$347</definedName>
    <definedName name="DO_peak_chk_g" localSheetId="5">'Mass Transfer'!$D$348</definedName>
    <definedName name="S_O2_l" localSheetId="5">'Mass Transfer'!$D$349</definedName>
    <definedName name="F_hs_net_l" localSheetId="5">'Mass Transfer'!$D$350</definedName>
    <definedName name="y_O2_mf_l" localSheetId="5">'Mass Transfer'!$D$351</definedName>
    <definedName name="y_H2_mf_l" localSheetId="5">'Mass Transfer'!$D$352</definedName>
    <definedName name="F_gap_l" localSheetId="5">'Mass Transfer'!$D$353</definedName>
    <definedName name="x_hs_l" localSheetId="5">'Mass Transfer'!$D$354</definedName>
    <definedName name="phi_hs_l" localSheetId="5">'Mass Transfer'!$D$355</definedName>
    <definedName name="psi_hs_l" localSheetId="5">'Mass Transfer'!$D$356</definedName>
    <definedName name="dy_O2_l" localSheetId="5">'Mass Transfer'!$D$357</definedName>
    <definedName name="y_O2_end_l" localSheetId="5">'Mass Transfer'!$D$358</definedName>
    <definedName name="y_O2_post_l" localSheetId="5">'Mass Transfer'!$D$359</definedName>
    <definedName name="y_O2_avg_l" localSheetId="5">'Mass Transfer'!$D$360</definedName>
    <definedName name="DO_mf_l" localSheetId="5">'Mass Transfer'!$D$361</definedName>
    <definedName name="DO_avg_l" localSheetId="5">'Mass Transfer'!$D$362</definedName>
    <definedName name="DO_peak_l" localSheetId="5">'Mass Transfer'!$D$363</definedName>
    <definedName name="DO_avg_l_mgL" localSheetId="5">'Mass Transfer'!$D$364</definedName>
    <definedName name="DO_peak_l_mgL" localSheetId="5">'Mass Transfer'!$D$365</definedName>
    <definedName name="kLa_surf_req_l" localSheetId="5">'Mass Transfer'!$D$366</definedName>
    <definedName name="kLa_margin_l" localSheetId="5">'Mass Transfer'!$D$367</definedName>
    <definedName name="DO_feas_l" localSheetId="5">'Mass Transfer'!$D$368</definedName>
    <definedName name="DO_peak_chk_l" localSheetId="5">'Mass Transfer'!$D$369</definedName>
    <definedName name="F_gap_sched" localSheetId="5">'Mass Transfer'!$D$371</definedName>
    <definedName name="DO_avg_sched" localSheetId="5">'Mass Transfer'!$D$372</definedName>
    <definedName name="DO_peak_sched" localSheetId="5">'Mass Transfer'!$D$373</definedName>
    <definedName name="DO_peak_band" localSheetId="5">'Mass Transfer'!$D$374</definedName>
    <definedName name="pool_D_raw" localSheetId="5">'Mass Transfer'!$D$375</definedName>
    <definedName name="pool_x" localSheetId="5">'Mass Transfer'!$D$376</definedName>
    <definedName name="pool_phi" localSheetId="5">'Mass Transfer'!$D$377</definedName>
    <definedName name="pool_psi" localSheetId="5">'Mass Transfer'!$D$378</definedName>
    <definedName name="pool_D_gap" localSheetId="5">'Mass Transfer'!$D$379</definedName>
    <definedName name="pool_ret" localSheetId="5">'Mass Transfer'!$D$380</definedName>
    <definedName name="y_CO2_mf" localSheetId="5">'Mass Transfer'!$D$381</definedName>
    <definedName name="C_CO2_mf" localSheetId="5">'Mass Transfer'!$D$382</definedName>
    <definedName name="F_vent_ex_b" localSheetId="4">Biology!$D$111</definedName>
    <definedName name="y_O2_air_b" localSheetId="4">Biology!$D$112</definedName>
    <definedName name="vent_model_sel" localSheetId="0">Summary!$D$111</definedName>
    <definedName name="O2_phase_sel" localSheetId="0">Summary!$D$112</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<sst xmlns="http://schemas.openxmlformats.org/spreadsheetml/2006/main" count="2678" uniqueCount="1931">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</sst>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0.8</v>
      </c>
      <c r="E14" s="20"/>
      <c r="F14" s="21" t="inlineStr">
        <is>
          <t xml:space="preserve">Pulse to type in: the optimum rounded to the solenoid command resolution (Mass Transfer D241–D242). An override in G13 wins.</t>
        </is>
      </c>
    </row>
    <row r="15" spans="1:7" ht="16" customHeight="1" thickBot="1" x14ac:dyDescent="0.25">
      <c r="A15" s="89" t="s">
        <v>66</v>
      </c>
      <c r="B15" s="18" t="inlineStr">
        <is>
          <t xml:space="preserve">res_spg_int</t>
        </is>
      </c>
      <c r="C15" s="20" t="s">
        <v>67</v>
      </c>
      <c r="D15" s="90">
        <f>IF('Mass Transfer'!$D$119=0,"calibrate this reactor first (see CO2 flows)",'Mass Transfer'!$D$91)</f>
        <v>12.736715659111</v>
      </c>
      <c r="E15" s="23" t="str">
        <f>HYPERLINK("#'Mass Transfer'!D91","→ Mass")</f>
        <v>→ Mass</v>
      </c>
      <c r="F15" s="21" t="inlineStr">
        <is>
          <t xml:space="preserve">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IF(AND(ISNUMBER($G$15),$G$15&gt;0),$G$15,IF(NOT(ISNUMBER(D15)),D15,ROUND(D14/(60*'Mass Transfer'!$D$93),0)))</f>
        <v>13.0</v>
      </c>
      <c r="E16" s="92"/>
      <c r="F16" s="21" t="inlineStr">
        <is>
          <t xml:space="preserve">Interval to type in: recomputed from the as-run pulse at the optimised duty (Mass Transfer D93) and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inlineStr">
        <is>
          <t xml:space="preserve">Peak O₂ within the organism band?</t>
        </is>
      </c>
      <c r="B21" s="18" t="inlineStr">
        <is>
          <t xml:space="preserve">chk_DO_opt</t>
        </is>
      </c>
      <c r="C21" s="20"/>
      <c r="D21" s="90" t="str">
        <f>'Mass Transfer'!$D$374</f>
        <v>organism band unknown – peak 3.0 mg/L is under the inhibition ceiling</v>
      </c>
      <c r="E21" s="23" t="str">
        <f>HYPERLINK("#'Mass Transfer'!D374","→ Mass Transfer")</f>
        <v>→ Mass Transfer</v>
      </c>
      <c r="F21" s="21" t="inlineStr">
        <is>
          <t xml:space="preserve">Sawtooth PEAK dissolved O₂ (just before a pulse, sizing phase) against the organism optimum / impairment, or against the inhibition ceiling when the band is unmeasured. Not a tautology: the schedule is sized on the cycle mean, not the peak.</t>
        </is>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DO would be 20.1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16%, O₂ 8%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×29.7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6.164822774553</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0.339344361561</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inlineStr">
        <is>
          <t xml:space="preserve">Cycle-mean DO (sawtooth, sizing phase)</t>
        </is>
      </c>
      <c r="B38" s="18" t="inlineStr">
        <is>
          <t xml:space="preserve">res_DO_ss</t>
        </is>
      </c>
      <c r="C38" s="20" t="s">
        <v>102</v>
      </c>
      <c r="D38" s="90">
        <f>'Mass Transfer'!$D$108</f>
        <v>2.634660261764</v>
      </c>
      <c r="E38" s="23" t="str">
        <f>HYPERLINK("#'Mass Transfer'!D108","→ Mass")</f>
        <v>→ Mass</v>
      </c>
      <c r="F38" s="21" t="inlineStr">
        <is>
          <t xml:space="preserve">Time-mean dissolved O₂ of the sawtooth model at the schedule in use, on the sizing phase; near the target by construction when O₂ dilution binds. Both phases, mean and peak: rows 114–117.</t>
        </is>
      </c>
    </row>
    <row r="39" spans="1:6" x14ac:dyDescent="0.2">
      <c r="A39" s="89" t="inlineStr">
        <is>
          <t xml:space="preserve">Carbon-limited sparge interval</t>
        </is>
      </c>
      <c r="B39" s="18" t="inlineStr">
        <is>
          <t xml:space="preserve">res_spg_int_carbon</t>
        </is>
      </c>
      <c r="C39" s="20" t="s">
        <v>67</v>
      </c>
      <c r="D39" s="90">
        <f>'Mass Transfer'!$D$112</f>
        <v>188.941031253092</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633.123209647745</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0.958329302507</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5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-0.427527364769</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1.266535517225</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6.164822774553</v>
      </c>
      <c r="E89" s="23" t="str">
        <f>HYPERLINK("#Chemistry!D220","→ Chemistry")</f>
        <v>→ Chemistry</v>
      </c>
      <c r="F89" t="s">
        <v>1874</v>
      </c>
    </row>
    <row r="90" x14ac:dyDescent="0.2">
      <c r="A90" t="s">
        <v>1875</v>
      </c>
      <c r="B90" s="18" t="inlineStr">
        <is>
          <t xml:space="preserve">res_kLa_req</t>
        </is>
      </c>
      <c r="C90" s="19" t="s">
        <v>639</v>
      </c>
      <c r="D90" s="22">
        <f>'Mass Transfer'!$D$186</f>
        <v>0.003566106821</v>
      </c>
      <c r="E90" s="23" t="str">
        <f>HYPERLINK("#'Mass Transfer'!D186","→ Mass Transfer")</f>
        <v>→ Mass Transfer</v>
      </c>
      <c r="F90" t="inlineStr">
        <is>
          <t xml:space="preserve">Below this, no sparge interval holds the target dissolved O₂ on the sizing phase. Both phases and their margins: rows 120–123.</t>
        </is>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Transfer'!$D$93)),D14/(60*D16)/'Mass Transfer'!$D$93,"calibrate this reactor first (see CO2 flows)")</f>
        <v>0.999088398707</v>
      </c>
      <c r="E95" s="23" t="str">
        <f>HYPERLINK("#'Mass Transfer'!D93","→ Mass")</f>
        <v>→ Mass</v>
      </c>
      <c r="F95" s="21" t="inlineStr">
        <is>
          <t xml:space="preserve">Duty of the schedule as typed in (rows 14 and 16) against the optimised duty; 1 = rounding has not moved the CO₂ dose, pH or DO. Should sit within a few per cent.</t>
        </is>
      </c>
    </row>
    <row r="110">
      <c r="A110" s="103" t="inlineStr">
        <is>
          <t xml:space="preserve">HEADSPACE MODEL — owner decisions (dropdowns) and both-phase dissolved O₂</t>
        </is>
      </c>
    </row>
    <row r="111">
      <c r="A111" s="17" t="inlineStr">
        <is>
          <t xml:space="preserve">Vent model</t>
        </is>
      </c>
      <c r="B111" s="18" t="inlineStr">
        <is>
          <t xml:space="preserve">vent_model_sel</t>
        </is>
      </c>
      <c r="C111" s="19" t="inlineStr">
        <is>
          <t xml:space="preserve">-</t>
        </is>
      </c>
      <c r="D111" s="131" t="inlineStr">
        <is>
          <t xml:space="preserve">Outflow only</t>
        </is>
      </c>
      <c r="E111" s="20" t="inlineStr">
        <is>
          <t xml:space="preserve">select</t>
        </is>
      </c>
      <c r="F111" s="21" t="inlineStr">
        <is>
          <t xml:space="preserve">"Outflow only" = gas leaves through the vent, none enters between pulses (check valve / sealed cap). "Air exchange" = room air exchanges with the headspace at Q_vent (Mass Transfer D142, unmeasured). Anything else → #N/A throughout. Default pending the vent-hardware answer; it moves the pH and the lag DO materially.</t>
        </is>
      </c>
    </row>
    <row r="112">
      <c r="A112" s="17" t="inlineStr">
        <is>
          <t xml:space="preserve">O₂ sizing phase</t>
        </is>
      </c>
      <c r="B112" s="18" t="inlineStr">
        <is>
          <t xml:space="preserve">O2_phase_sel</t>
        </is>
      </c>
      <c r="C112" s="19" t="inlineStr">
        <is>
          <t xml:space="preserve">-</t>
        </is>
      </c>
      <c r="D112" s="131" t="inlineStr">
        <is>
          <t xml:space="preserve">Growth</t>
        </is>
      </c>
      <c r="E112" s="20" t="inlineStr">
        <is>
          <t xml:space="preserve">select</t>
        </is>
      </c>
      <c r="F112" s="21" t="inlineStr">
        <is>
          <t xml:space="preserve">"Growth" sizes the sparge interval on the O₂ surplus after knallgas uptake; "Lag" on the whole net electrolytic O₂ plus H₂ (no uptake yet). Anything else → #N/A. Both phases are reported below whichever is chosen; "Lag" is currently unreachable at the estimated surface kLa, so the schedule falls back to the O₂ flush interval.</t>
        </is>
      </c>
    </row>
    <row r="113">
      <c r="A113" s="89" t="inlineStr">
        <is>
          <t xml:space="preserve">Vent air-exchange flow in use</t>
        </is>
      </c>
      <c r="C113" s="20" t="inlineStr">
        <is>
          <t xml:space="preserve">mol/h</t>
        </is>
      </c>
      <c r="D113" s="90">
        <f>'Mass Transfer'!$D$308</f>
        <v>0.0</v>
      </c>
      <c r="E113" s="23" t="str">
        <f>HYPERLINK("#'Mass Transfer'!D308","→ Mass Transfer")</f>
        <v>→ Mass Transfer</v>
      </c>
      <c r="F113" s="21" t="inlineStr">
        <is>
          <t xml:space="preserve">Zero for "Outflow only"; Q_vent converted for "Air exchange". The single number that reconciles the O₂, CO₂ and flammability blocks — measure it.</t>
        </is>
      </c>
    </row>
    <row r="114">
      <c r="A114" s="89" t="inlineStr">
        <is>
          <t xml:space="preserve">Cycle-mean DO — growth phase</t>
        </is>
      </c>
      <c r="C114" s="20" t="inlineStr">
        <is>
          <t xml:space="preserve">mg/L</t>
        </is>
      </c>
      <c r="D114" s="90">
        <f>'Mass Transfer'!$D$343</f>
        <v>2.634660261764</v>
      </c>
      <c r="E114" s="23" t="str">
        <f>HYPERLINK("#'Mass Transfer'!D343","→ Mass Transfer")</f>
        <v>→ Mass Transfer</v>
      </c>
      <c r="F114" s="21" t="inlineStr">
        <is>
          <t xml:space="preserve">Time-mean dissolved O₂ at the schedule in use with the growth-phase O₂ surplus (sawtooth model).</t>
        </is>
      </c>
    </row>
    <row r="115">
      <c r="A115" s="89" t="inlineStr">
        <is>
          <t xml:space="preserve">Peak DO — growth phase</t>
        </is>
      </c>
      <c r="C115" s="20" t="inlineStr">
        <is>
          <t xml:space="preserve">mg/L</t>
        </is>
      </c>
      <c r="D115" s="90">
        <f>'Mass Transfer'!$D$344</f>
        <v>3.024959328002</v>
      </c>
      <c r="E115" s="23" t="str">
        <f>HYPERLINK("#'Mass Transfer'!D344","→ Mass Transfer")</f>
        <v>→ Mass Transfer</v>
      </c>
      <c r="F115" s="21" t="inlineStr">
        <is>
          <t xml:space="preserve">Dissolved O₂ just before a pulse, growth phase. Compare with the organism band and the ceiling.</t>
        </is>
      </c>
    </row>
    <row r="116">
      <c r="A116" s="89" t="inlineStr">
        <is>
          <t xml:space="preserve">Cycle-mean DO — lag phase</t>
        </is>
      </c>
      <c r="C116" s="20" t="inlineStr">
        <is>
          <t xml:space="preserve">mg/L</t>
        </is>
      </c>
      <c r="D116" s="90">
        <f>'Mass Transfer'!$D$364</f>
        <v>7.292294135948</v>
      </c>
      <c r="E116" s="23" t="str">
        <f>HYPERLINK("#'Mass Transfer'!D364","→ Mass Transfer")</f>
        <v>→ Mass Transfer</v>
      </c>
      <c r="F116" s="21" t="inlineStr">
        <is>
          <t xml:space="preserve">Same schedule, no uptake yet: the whole net electrolytic O₂ crosses the surface. Expect this from inoculation until growth is established, and in every abiotic run.</t>
        </is>
      </c>
    </row>
    <row r="117">
      <c r="A117" s="89" t="inlineStr">
        <is>
          <t xml:space="preserve">Peak DO — lag phase</t>
        </is>
      </c>
      <c r="C117" s="20" t="inlineStr">
        <is>
          <t xml:space="preserve">mg/L</t>
        </is>
      </c>
      <c r="D117" s="90">
        <f>'Mass Transfer'!$D$365</f>
        <v>8.21297180544</v>
      </c>
      <c r="E117" s="23" t="str">
        <f>HYPERLINK("#'Mass Transfer'!D365","→ Mass Transfer")</f>
        <v>→ Mass Transfer</v>
      </c>
      <c r="F117" s="21" t="inlineStr">
        <is>
          <t xml:space="preserve">Lag-phase sawtooth peak; the discriminating prediction for an abiotic DO trace (R2 experiment 2).</t>
        </is>
      </c>
    </row>
    <row r="118">
      <c r="A118" s="89" t="inlineStr">
        <is>
          <t xml:space="preserve">Peak DO under the inhibition ceiling? — growth</t>
        </is>
      </c>
      <c r="D118" s="90" t="str">
        <f>'Mass Transfer'!$D$348</f>
        <v>peak 3.0 mg/L under the 11.7 mg/L ceiling</v>
      </c>
      <c r="E118" s="23" t="str">
        <f>HYPERLINK("#'Mass Transfer'!D348","→ Mass Transfer")</f>
        <v>→ Mass Transfer</v>
      </c>
      <c r="F118" s="21" t="inlineStr">
        <is>
          <t xml:space="preserve">Red = the growth-phase sawtooth peaks above the 0.30 atm growth-inhibition ceiling.</t>
        </is>
      </c>
    </row>
    <row r="119">
      <c r="A119" s="89" t="inlineStr">
        <is>
          <t xml:space="preserve">Peak DO under the inhibition ceiling? — lag</t>
        </is>
      </c>
      <c r="D119" s="90" t="str">
        <f>'Mass Transfer'!$D$369</f>
        <v>peak 8.2 mg/L under the 11.7 mg/L ceiling</v>
      </c>
      <c r="E119" s="23" t="str">
        <f>HYPERLINK("#'Mass Transfer'!D369","→ Mass Transfer")</f>
        <v>→ Mass Transfer</v>
      </c>
      <c r="F119" s="21" t="inlineStr">
        <is>
          <t xml:space="preserve">Red = the lag-phase peak breaches the ceiling at this schedule; the culture would then be inhibited before it starts.</t>
        </is>
      </c>
    </row>
    <row r="120">
      <c r="A120" s="89" t="inlineStr">
        <is>
          <t xml:space="preserve">DO target reachable? — growth</t>
        </is>
      </c>
      <c r="D120" s="90" t="str">
        <f>'Mass Transfer'!$D$347</f>
        <v>reachable – kLa margin 2.02×</v>
      </c>
      <c r="E120" s="23" t="str">
        <f>HYPERLINK("#'Mass Transfer'!D347","→ Mass Transfer")</f>
        <v>→ Mass Transfer</v>
      </c>
      <c r="F120" s="21" t="inlineStr">
        <is>
          <t xml:space="preserve">Surface kLa in use ÷ kLa required on the growth source. Below 1× no interval holds the target.</t>
        </is>
      </c>
    </row>
    <row r="121">
      <c r="A121" s="89" t="inlineStr">
        <is>
          <t xml:space="preserve">DO target reachable? — lag</t>
        </is>
      </c>
      <c r="D121" s="90" t="str">
        <f>'Mass Transfer'!$D$368</f>
        <v>UNREACHABLE at this surface kLa – margin 0.64× (raise kL_surf, lower the current, or accept a higher DO)</v>
      </c>
      <c r="E121" s="23" t="str">
        <f>HYPERLINK("#'Mass Transfer'!D368","→ Mass Transfer")</f>
        <v>→ Mass Transfer</v>
      </c>
      <c r="F121" s="21" t="inlineStr">
        <is>
          <t xml:space="preserve">Same on the lag source (3.3× larger). Currently 0.65×: the target cannot be held during lag at the estimated kLa, whatever the schedule — an owner decision (target the ceiling with a margin during lag?).</t>
        </is>
      </c>
    </row>
    <row r="122">
      <c r="A122" s="89" t="inlineStr">
        <is>
          <t xml:space="preserve">Surface kLa required — growth</t>
        </is>
      </c>
      <c r="C122" s="20" t="inlineStr">
        <is>
          <t xml:space="preserve">1/s</t>
        </is>
      </c>
      <c r="D122" s="90">
        <f>'Mass Transfer'!$D$345</f>
        <v>0.003566106821</v>
      </c>
      <c r="E122" s="23" t="str">
        <f>HYPERLINK("#'Mass Transfer'!D345","→ Mass Transfer")</f>
        <v>→ Mass Transfer</v>
      </c>
      <c r="F122" s="21" t="inlineStr">
        <is>
          <t xml:space="preserve">Compare with the estimate in use (Mass Transfer D98).</t>
        </is>
      </c>
    </row>
    <row r="123">
      <c r="A123" s="89" t="inlineStr">
        <is>
          <t xml:space="preserve">Surface kLa required — lag</t>
        </is>
      </c>
      <c r="C123" s="20" t="inlineStr">
        <is>
          <t xml:space="preserve">1/s</t>
        </is>
      </c>
      <c r="D123" s="90">
        <f>'Mass Transfer'!$D$366</f>
        <v>0.011180382694</v>
      </c>
      <c r="E123" s="23" t="str">
        <f>HYPERLINK("#'Mass Transfer'!D366","→ Mass Transfer")</f>
        <v>→ Mass Transfer</v>
      </c>
      <c r="F123" s="21" t="inlineStr">
        <is>
          <t xml:space="preserve">Compare with the estimate in use (Mass Transfer D98).</t>
        </is>
      </c>
    </row>
    <row r="124">
      <c r="A124" s="89" t="inlineStr">
        <is>
          <t xml:space="preserve">Headspace O₂ fraction (mean-field) — growth</t>
        </is>
      </c>
      <c r="C124" s="20" t="inlineStr">
        <is>
          <t xml:space="preserve">-</t>
        </is>
      </c>
      <c r="D124" s="90">
        <f>'Mass Transfer'!$D$329</f>
        <v>0.031639138319</v>
      </c>
      <c r="E124" s="23" t="str">
        <f>HYPERLINK("#'Mass Transfer'!D329","→ Mass Transfer")</f>
        <v>→ Mass Transfer</v>
      </c>
      <c r="F124" s="21" t="inlineStr">
        <is>
          <t xml:space="preserve">Flux-mean O₂ in the vent gas at the schedule in use, growth phase.</t>
        </is>
      </c>
    </row>
    <row r="125">
      <c r="A125" s="89" t="inlineStr">
        <is>
          <t xml:space="preserve">Headspace O₂ fraction (mean-field) — lag</t>
        </is>
      </c>
      <c r="C125" s="20" t="inlineStr">
        <is>
          <t xml:space="preserve">-</t>
        </is>
      </c>
      <c r="D125" s="90">
        <f>'Mass Transfer'!$D$351</f>
        <v>0.076069380811</v>
      </c>
      <c r="E125" s="23" t="str">
        <f>HYPERLINK("#'Mass Transfer'!D351","→ Mass Transfer")</f>
        <v>→ Mass Transfer</v>
      </c>
      <c r="F125" s="21" t="inlineStr">
        <is>
          <t xml:space="preserve">Lag phase; with the H₂ fraction below it, the flammability basis of row 24.</t>
        </is>
      </c>
    </row>
    <row r="126">
      <c r="A126" s="89" t="inlineStr">
        <is>
          <t xml:space="preserve">Headspace H₂ fraction (mean-field) — lag</t>
        </is>
      </c>
      <c r="C126" s="20" t="inlineStr">
        <is>
          <t xml:space="preserve">-</t>
        </is>
      </c>
      <c r="D126" s="90">
        <f>'Mass Transfer'!$D$352</f>
        <v>0.155418629263</v>
      </c>
      <c r="E126" s="23" t="str">
        <f>HYPERLINK("#'Mass Transfer'!D352","→ Mass Transfer")</f>
        <v>→ Mass Transfer</v>
      </c>
      <c r="F126" s="21" t="inlineStr">
        <is>
          <t xml:space="preserve">Lag-phase H₂ in the headspace (LFL 4 %). Growth is zero only by the 100 % uptake assumption.</t>
        </is>
      </c>
    </row>
    <row r="127">
      <c r="A127" s="89" t="inlineStr">
        <is>
          <t xml:space="preserve">Headspace CO₂ fraction (mean-field, sizing phase)</t>
        </is>
      </c>
      <c r="C127" s="20" t="inlineStr">
        <is>
          <t xml:space="preserve">-</t>
        </is>
      </c>
      <c r="D127" s="90">
        <f>'Mass Transfer'!$D$381</f>
        <v>0.968360861681</v>
      </c>
      <c r="E127" s="23" t="str">
        <f>HYPERLINK("#'Mass Transfer'!D381","→ Mass Transfer")</f>
        <v>→ Mass Transfer</v>
      </c>
      <c r="F127" s="21" t="inlineStr">
        <is>
          <t xml:space="preserve">What the vent model implies for the CO₂ the pH rests on: ~96 % for "Outflow only", lower with air exchange. The pool model (Mass Transfer D200) should agree within the sawtooth.</t>
        </is>
      </c>
    </row>
    <row r="128">
      <c r="A128" s="89" t="inlineStr">
        <is>
          <t xml:space="preserve">DO target and pH band met together at the schedule in use?</t>
        </is>
      </c>
      <c r="D128" s="90" t="str">
        <f>IF(NOT(ISNUMBER('Mass Transfer'!$D$185)),"DO target unreachable on the sizing phase (rows 120–121) – the schedule is the O₂ flush fallback",IF(Chemistry!$D$220&gt;=Chemistry!$D$236,"yes – the schedule holds the DO target at pH "&amp;TEXT(Chemistry!$D$220,"0.00")&amp;", within the band","NO – holding the DO target drives pH to "&amp;TEXT(Chemistry!$D$220,"0.00")&amp;", below the "&amp;TEXT(Chemistry!$D$236,"0.0")&amp;" band floor"))</f>
        <v>NO – holding the DO target drives pH to 6.16, below the 6.5 band floor</v>
      </c>
      <c r="E128" s="23" t="str">
        <f>HYPERLINK("#Chemistry!D220","→ Chemistry")</f>
        <v>→ Chemistry</v>
      </c>
      <c r="F128" s="21" t="inlineStr">
        <is>
          <t xml:space="preserve">The vent model couples the two: CO₂ is doing the O₂ dilution, so the DO-limited interval sets the pH. Red means the two targets conflict under the vent model in use — decouple them (inert sweep) or measure the vent before trusting either.</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 type="list" allowBlank="1" showErrorMessage="1" errorTitle="Invalid value" error="Choose Outflow only or Air exchange." sqref="D111">
      <formula1>"Outflow only,Air exchange"</formula1>
    </dataValidation>
    <dataValidation type="list" allowBlank="1" showErrorMessage="1" errorTitle="Invalid value" error="Choose Growth or Lag." sqref="D112">
      <formula1>"Growth,Lag"</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0.958329302507</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0.0001017274698715</v>
      </c>
      <c r="E21" s="99" t="s">
        <v>355</v>
      </c>
      <c r="F21" s="20"/>
      <c r="G21" s="20"/>
      <c r="H21" s="20"/>
      <c r="I21" s="20"/>
    </row>
    <row r="22" spans="1:9" x14ac:dyDescent="0.2">
      <c r="A22" s="17" t="s">
        <v>356</v>
      </c>
      <c r="B22" s="18" t="s">
        <v>357</v>
      </c>
      <c r="C22" s="19" t="s">
        <v>354</v>
      </c>
      <c r="D22" s="48">
        <f>I_app*etaF_OER/(z_e_O2*F_const)*3600</f>
        <v>5.218135137208e-05</v>
      </c>
      <c r="E22" s="99" t="s">
        <v>358</v>
      </c>
      <c r="F22" s="20"/>
      <c r="G22" s="20"/>
      <c r="H22" s="20"/>
      <c r="I22" s="20"/>
    </row>
    <row r="23" spans="1:9" x14ac:dyDescent="0.2">
      <c r="A23" s="17" t="s">
        <v>359</v>
      </c>
      <c r="B23" s="18" t="s">
        <v>360</v>
      </c>
      <c r="C23" s="19" t="s">
        <v>361</v>
      </c>
      <c r="D23" s="48">
        <f>rH2_gen/60*R_gas*T_K/P_atm*1000000</f>
        <v>0.041480060291</v>
      </c>
      <c r="E23" s="99" t="s">
        <v>362</v>
      </c>
      <c r="F23" s="20"/>
      <c r="G23" s="20"/>
      <c r="H23" s="20"/>
      <c r="I23" s="20"/>
    </row>
    <row r="24" spans="1:9" x14ac:dyDescent="0.2">
      <c r="A24" s="17" t="s">
        <v>363</v>
      </c>
      <c r="B24" s="18" t="s">
        <v>364</v>
      </c>
      <c r="C24" s="19" t="s">
        <v>361</v>
      </c>
      <c r="D24" s="48">
        <f>rO2_gen/60*R_gas*T_K/P_atm*1000000</f>
        <v>0.021277297113</v>
      </c>
      <c r="E24" s="99" t="s">
        <v>365</v>
      </c>
      <c r="F24" s="20"/>
      <c r="G24" s="20"/>
      <c r="H24" s="20"/>
      <c r="I24" s="20"/>
    </row>
    <row r="25" spans="1:9" ht="24" customHeight="1" x14ac:dyDescent="0.2">
      <c r="A25" s="17" t="s">
        <v>366</v>
      </c>
      <c r="B25" s="18" t="s">
        <v>367</v>
      </c>
      <c r="C25" s="19" t="s">
        <v>361</v>
      </c>
      <c r="D25" s="48">
        <f>V_H2_gen+V_O2_gen</f>
        <v>0.062757357403</v>
      </c>
      <c r="E25" s="99" t="s">
        <v>368</v>
      </c>
      <c r="F25" s="20"/>
      <c r="G25" s="20"/>
      <c r="H25" s="20"/>
      <c r="I25" s="20"/>
    </row>
    <row r="26" spans="1:9" ht="36" x14ac:dyDescent="0.2">
      <c r="A26" s="17" t="s">
        <v>369</v>
      </c>
      <c r="B26" s="18" t="s">
        <v>370</v>
      </c>
      <c r="C26" s="19" t="s">
        <v>135</v>
      </c>
      <c r="D26" s="42">
        <f>IF(ISNUMBER(cal_etaF_OER),cal_etaF_OER,etaF_OER_calc)</f>
        <v>0.983154660731</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VLOOKUP(electrode_sel,$A$35:$I$38,9,FALSE)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2.391016190066e-06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4.979033518202e-05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n_ORR_eff*F_const*(km_O2/100)*ec_DO_design*(A_cath_wet/10000)</f>
        <v>0.0002371062687363</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0.001048739266</v>
      </c>
      <c r="E87" s="67" t="s">
        <v>1651</v>
      </c>
    </row>
    <row r="88" spans="1:5" ht="36" x14ac:dyDescent="0.2">
      <c r="A88" t="s">
        <v>1652</v>
      </c>
      <c r="B88" s="18" t="s">
        <v>1653</v>
      </c>
      <c r="C88" s="19" t="s">
        <v>1274</v>
      </c>
      <c r="D88" s="141">
        <f>MAX(0,1-i_ORR_design/I_app)</f>
        <v>0.958329302507</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0.815687299549</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0.813296984002</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r_H2O2_lag/(k_H2O2_anode*3600)*(1-EXP(-k_H2O2_anode*3600))</f>
        <v>0.962431861224</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5.084081971057</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5 min before biomass can scavenge it</v>
      </c>
      <c r="E99" s="67" t="s">
        <v>1685</v>
      </c>
    </row>
    <row r="100" spans="1:5" x14ac:dyDescent="0.2">
      <c r="A100" s="5" t="s">
        <v>1686</v>
      </c>
    </row>
    <row r="101" spans="1:5" x14ac:dyDescent="0.2">
      <c r="A101" t="s">
        <v>1687</v>
      </c>
      <c r="B101" s="18" t="s">
        <v>1688</v>
      </c>
      <c r="C101" s="19" t="s">
        <v>1076</v>
      </c>
      <c r="D101" s="141">
        <f>Chemistry!$D$133</f>
        <v>9.584998043788e-05</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0.016845339269</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0.983154660731</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ec_E_rev+b_anode*LOG10(I_at_gerrit_max/A_anode_wet/j0_anode)+b_cath*LOG10(I_at_gerrit_max/A_cath_wet/j0_cath)+pcet_credit+I_at_gerrit_max*R_cell</f>
        <v>4.685940001272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4.69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0.220552478156</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2.175036167083</v>
      </c>
      <c r="E152" s="67" t="inlineStr">
        <is>
          <t xml:space="preserve">r_H2O2 scaled to the lag-phase DO (D150): the cathodic O₂ flux is first order in DO, and before uptake starts DO runs above the design value.</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0.031754970696</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0.0330431142</v>
      </c>
      <c r="C50" s="64">
        <f>IF(AND(B50&gt;=0,B51&lt;0),A50+pH_step*B50/(B50-B51),0)</f>
        <v>0.0</v>
      </c>
    </row>
    <row r="51" spans="1:3" x14ac:dyDescent="0.2">
      <c r="A51" s="20">
        <v>4.0999999999999996</v>
      </c>
      <c r="B51" s="64">
        <f t="shared" si="1"/>
        <v>0.032880951431</v>
      </c>
      <c r="C51" s="64">
        <f>IF(AND(B51&gt;=0,B52&lt;0),A51+pH_step*B51/(B51-B52),0)</f>
        <v>0.0</v>
      </c>
    </row>
    <row r="52" spans="1:3" x14ac:dyDescent="0.2">
      <c r="A52" s="20">
        <v>4.2</v>
      </c>
      <c r="B52" s="64">
        <f t="shared" si="1"/>
        <v>0.032716080079</v>
      </c>
      <c r="C52" s="64">
        <f>IF(AND(B52&gt;=0,B53&lt;0),A52+pH_step*B52/(B52-B53),0)</f>
        <v>0.0</v>
      </c>
    </row>
    <row r="53" spans="1:3" x14ac:dyDescent="0.2">
      <c r="A53" s="20">
        <v>4.3</v>
      </c>
      <c r="B53" s="64">
        <f t="shared" si="1"/>
        <v>0.032539836383</v>
      </c>
      <c r="C53" s="64">
        <f>IF(AND(B53&gt;=0,B54&lt;0),A53+pH_step*B53/(B53-B54),0)</f>
        <v>0.0</v>
      </c>
    </row>
    <row r="54" spans="1:3" x14ac:dyDescent="0.2">
      <c r="A54" s="20">
        <v>4.4000000000000004</v>
      </c>
      <c r="B54" s="64">
        <f t="shared" si="1"/>
        <v>0.032342924182</v>
      </c>
      <c r="C54" s="64">
        <f>IF(AND(B54&gt;=0,B55&lt;0),A54+pH_step*B54/(B54-B55),0)</f>
        <v>0.0</v>
      </c>
    </row>
    <row r="55" spans="1:3" x14ac:dyDescent="0.2">
      <c r="A55" s="20">
        <v>4.5</v>
      </c>
      <c r="B55" s="64">
        <f t="shared" si="1"/>
        <v>0.032114938725</v>
      </c>
      <c r="C55" s="64">
        <f>IF(AND(B55&gt;=0,B56&lt;0),A55+pH_step*B55/(B55-B56),0)</f>
        <v>0.0</v>
      </c>
    </row>
    <row r="56" spans="1:3" x14ac:dyDescent="0.2">
      <c r="A56" s="20">
        <v>4.5999999999999996</v>
      </c>
      <c r="B56" s="64">
        <f t="shared" si="1"/>
        <v>0.031843829825</v>
      </c>
      <c r="C56" s="64">
        <f>IF(AND(B56&gt;=0,B57&lt;0),A56+pH_step*B56/(B56-B57),0)</f>
        <v>0.0</v>
      </c>
    </row>
    <row r="57" spans="1:3" x14ac:dyDescent="0.2">
      <c r="A57" s="20">
        <v>4.7</v>
      </c>
      <c r="B57" s="64">
        <f t="shared" si="1"/>
        <v>0.031515279296</v>
      </c>
      <c r="C57" s="64">
        <f>IF(AND(B57&gt;=0,B58&lt;0),A57+pH_step*B57/(B57-B58),0)</f>
        <v>0.0</v>
      </c>
    </row>
    <row r="58" spans="1:3" x14ac:dyDescent="0.2">
      <c r="A58" s="20">
        <v>4.8</v>
      </c>
      <c r="B58" s="64">
        <f t="shared" si="1"/>
        <v>0.031111963448</v>
      </c>
      <c r="C58" s="64">
        <f>IF(AND(B58&gt;=0,B59&lt;0),A58+pH_step*B58/(B58-B59),0)</f>
        <v>0.0</v>
      </c>
    </row>
    <row r="59" spans="1:3" x14ac:dyDescent="0.2">
      <c r="A59" s="20">
        <v>4.9000000000000004</v>
      </c>
      <c r="B59" s="64">
        <f t="shared" si="1"/>
        <v>0.030612666373</v>
      </c>
      <c r="C59" s="64">
        <f>IF(AND(B59&gt;=0,B60&lt;0),A59+pH_step*B59/(B59-B60),0)</f>
        <v>0.0</v>
      </c>
    </row>
    <row r="60" spans="1:3" x14ac:dyDescent="0.2">
      <c r="A60" s="20">
        <v>5</v>
      </c>
      <c r="B60" s="64">
        <f t="shared" si="1"/>
        <v>0.029991203856</v>
      </c>
      <c r="C60" s="64">
        <f>IF(AND(B60&gt;=0,B61&lt;0),A60+pH_step*B60/(B60-B61),0)</f>
        <v>0.0</v>
      </c>
    </row>
    <row r="61" spans="1:3" x14ac:dyDescent="0.2">
      <c r="A61" s="20">
        <v>5.0999999999999996</v>
      </c>
      <c r="B61" s="64">
        <f t="shared" si="1"/>
        <v>0.029215110835</v>
      </c>
      <c r="C61" s="64">
        <f>IF(AND(B61&gt;=0,B62&lt;0),A61+pH_step*B61/(B61-B62),0)</f>
        <v>0.0</v>
      </c>
    </row>
    <row r="62" spans="1:3" x14ac:dyDescent="0.2">
      <c r="A62" s="20">
        <v>5.2</v>
      </c>
      <c r="B62" s="64">
        <f t="shared" si="1"/>
        <v>0.028244037616</v>
      </c>
      <c r="C62" s="64">
        <f>IF(AND(B62&gt;=0,B63&lt;0),A62+pH_step*B62/(B62-B63),0)</f>
        <v>0.0</v>
      </c>
    </row>
    <row r="63" spans="1:3" x14ac:dyDescent="0.2">
      <c r="A63" s="20">
        <v>5.3</v>
      </c>
      <c r="B63" s="64">
        <f t="shared" si="1"/>
        <v>0.027027791439</v>
      </c>
      <c r="C63" s="64">
        <f>IF(AND(B63&gt;=0,B64&lt;0),A63+pH_step*B63/(B63-B64),0)</f>
        <v>0.0</v>
      </c>
    </row>
    <row r="64" spans="1:3" x14ac:dyDescent="0.2">
      <c r="A64" s="20">
        <v>5.4</v>
      </c>
      <c r="B64" s="64">
        <f t="shared" si="1"/>
        <v>0.025503950695</v>
      </c>
      <c r="C64" s="64">
        <f>IF(AND(B64&gt;=0,B65&lt;0),A64+pH_step*B64/(B64-B65),0)</f>
        <v>0.0</v>
      </c>
    </row>
    <row r="65" spans="1:3" x14ac:dyDescent="0.2">
      <c r="A65" s="20">
        <v>5.5</v>
      </c>
      <c r="B65" s="64">
        <f t="shared" si="1"/>
        <v>0.023594968898</v>
      </c>
      <c r="C65" s="64">
        <f>IF(AND(B65&gt;=0,B66&lt;0),A65+pH_step*B65/(B65-B66),0)</f>
        <v>0.0</v>
      </c>
    </row>
    <row r="66" spans="1:3" x14ac:dyDescent="0.2">
      <c r="A66" s="20">
        <v>5.6</v>
      </c>
      <c r="B66" s="64">
        <f t="shared" si="1"/>
        <v>0.021204673541</v>
      </c>
      <c r="C66" s="64">
        <f>IF(AND(B66&gt;=0,B67&lt;0),A66+pH_step*B66/(B66-B67),0)</f>
        <v>0.0</v>
      </c>
    </row>
    <row r="67" spans="1:3" x14ac:dyDescent="0.2">
      <c r="A67" s="20">
        <v>5.7</v>
      </c>
      <c r="B67" s="64">
        <f t="shared" si="1"/>
        <v>0.018214048916</v>
      </c>
      <c r="C67" s="64">
        <f>IF(AND(B67&gt;=0,B68&lt;0),A67+pH_step*B67/(B67-B68),0)</f>
        <v>0.0</v>
      </c>
    </row>
    <row r="68" spans="1:3" x14ac:dyDescent="0.2">
      <c r="A68" s="20">
        <v>5.8</v>
      </c>
      <c r="B68" s="64">
        <f t="shared" si="1"/>
        <v>0.014476166764</v>
      </c>
      <c r="C68" s="64">
        <f>IF(AND(B68&gt;=0,B69&lt;0),A68+pH_step*B68/(B68-B69),0)</f>
        <v>0.0</v>
      </c>
    </row>
    <row r="69" spans="1:3" x14ac:dyDescent="0.2">
      <c r="A69" s="20">
        <v>5.9</v>
      </c>
      <c r="B69" s="64">
        <f t="shared" si="1"/>
        <v>0.009810084505</v>
      </c>
      <c r="C69" s="64">
        <f>IF(AND(B69&gt;=0,B70&lt;0),A69+pH_step*B69/(B69-B70),0)</f>
        <v>0.0</v>
      </c>
    </row>
    <row r="70" spans="1:3" x14ac:dyDescent="0.2">
      <c r="A70" s="20">
        <v>6</v>
      </c>
      <c r="B70" s="64">
        <f t="shared" si="1"/>
        <v>0.003993451907</v>
      </c>
      <c r="C70" s="64">
        <f>IF(AND(B70&gt;=0,B71&lt;0),A70+pH_step*B70/(B70-B71),0)</f>
        <v>6.055158016113</v>
      </c>
    </row>
    <row r="71" spans="1:3" x14ac:dyDescent="0.2">
      <c r="A71" s="20">
        <v>6.1</v>
      </c>
      <c r="B71" s="64">
        <f t="shared" si="1"/>
        <v>-0.003246569015</v>
      </c>
      <c r="C71" s="64">
        <f>IF(AND(B71&gt;=0,B72&lt;0),A71+pH_step*B71/(B71-B72),0)</f>
        <v>0.0</v>
      </c>
    </row>
    <row r="72" spans="1:3" x14ac:dyDescent="0.2">
      <c r="A72" s="20">
        <v>6.2</v>
      </c>
      <c r="B72" s="64">
        <f t="shared" si="1"/>
        <v>-0.012244684888</v>
      </c>
      <c r="C72" s="64">
        <f>IF(AND(B72&gt;=0,B73&lt;0),A72+pH_step*B72/(B72-B73),0)</f>
        <v>0.0</v>
      </c>
    </row>
    <row r="73" spans="1:3" x14ac:dyDescent="0.2">
      <c r="A73" s="20">
        <v>6.3</v>
      </c>
      <c r="B73" s="64">
        <f t="shared" si="1"/>
        <v>-0.02341208673</v>
      </c>
      <c r="C73" s="64">
        <f>IF(AND(B73&gt;=0,B74&lt;0),A73+pH_step*B73/(B73-B74),0)</f>
        <v>0.0</v>
      </c>
    </row>
    <row r="74" spans="1:3" x14ac:dyDescent="0.2">
      <c r="A74" s="20">
        <v>6.4</v>
      </c>
      <c r="B74" s="64">
        <f t="shared" si="1"/>
        <v>-0.037255650623</v>
      </c>
      <c r="C74" s="64">
        <f>IF(AND(B74&gt;=0,B75&lt;0),A74+pH_step*B74/(B74-B75),0)</f>
        <v>0.0</v>
      </c>
    </row>
    <row r="75" spans="1:3" x14ac:dyDescent="0.2">
      <c r="A75" s="20">
        <v>6.5</v>
      </c>
      <c r="B75" s="64">
        <f t="shared" si="1"/>
        <v>-0.054403539464</v>
      </c>
      <c r="C75" s="64">
        <f>IF(AND(B75&gt;=0,B76&lt;0),A75+pH_step*B75/(B75-B76),0)</f>
        <v>0.0</v>
      </c>
    </row>
    <row r="76" spans="1:3" x14ac:dyDescent="0.2">
      <c r="A76" s="20">
        <v>6.6</v>
      </c>
      <c r="B76" s="64">
        <f t="shared" si="1"/>
        <v>-0.07563945145</v>
      </c>
      <c r="C76" s="64">
        <f>IF(AND(B76&gt;=0,B77&lt;0),A76+pH_step*B76/(B76-B77),0)</f>
        <v>0.0</v>
      </c>
    </row>
    <row r="77" spans="1:3" x14ac:dyDescent="0.2">
      <c r="A77" s="20">
        <v>6.7</v>
      </c>
      <c r="B77" s="64">
        <f t="shared" si="1"/>
        <v>-0.101948063215</v>
      </c>
      <c r="C77" s="64">
        <f>IF(AND(B77&gt;=0,B78&lt;0),A77+pH_step*B77/(B77-B78),0)</f>
        <v>0.0</v>
      </c>
    </row>
    <row r="78" spans="1:3" x14ac:dyDescent="0.2">
      <c r="A78" s="20">
        <v>6.8</v>
      </c>
      <c r="B78" s="64">
        <f t="shared" si="1"/>
        <v>-0.134574371683</v>
      </c>
      <c r="C78" s="64">
        <f>IF(AND(B78&gt;=0,B79&lt;0),A78+pH_step*B78/(B78-B79),0)</f>
        <v>0.0</v>
      </c>
    </row>
    <row r="79" spans="1:3" x14ac:dyDescent="0.2">
      <c r="A79" s="20">
        <v>6.9</v>
      </c>
      <c r="B79" s="64">
        <f t="shared" si="1"/>
        <v>-0.175099777725</v>
      </c>
      <c r="C79" s="64">
        <f>IF(AND(B79&gt;=0,B80&lt;0),A79+pH_step*B79/(B79-B80),0)</f>
        <v>0.0</v>
      </c>
    </row>
    <row r="80" spans="1:3" x14ac:dyDescent="0.2">
      <c r="A80" s="20">
        <v>7</v>
      </c>
      <c r="B80" s="64">
        <f t="shared" si="1"/>
        <v>-0.225538160877</v>
      </c>
      <c r="C80" s="64">
        <f>IF(AND(B80&gt;=0,B81&lt;0),A80+pH_step*B80/(B80-B81),0)</f>
        <v>0.0</v>
      </c>
    </row>
    <row r="81" spans="1:3" x14ac:dyDescent="0.2">
      <c r="A81" s="20">
        <v>7.1</v>
      </c>
      <c r="B81" s="64">
        <f t="shared" si="1"/>
        <v>-0.28845620939</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-0.367124145321</v>
      </c>
      <c r="C82" s="64">
        <f>IF(AND(B82&gt;=0,B83&lt;0),A82+pH_step*B82/(B82-B83),0)</f>
        <v>0.0</v>
      </c>
    </row>
    <row r="83" spans="1:3" x14ac:dyDescent="0.2">
      <c r="A83" s="20">
        <v>7.3</v>
      </c>
      <c r="B83" s="64">
        <f t="shared" si="3"/>
        <v>-0.465705811375</v>
      </c>
      <c r="C83" s="64">
        <f>IF(AND(B83&gt;=0,B84&lt;0),A83+pH_step*B83/(B83-B84),0)</f>
        <v>0.0</v>
      </c>
    </row>
    <row r="84" spans="1:3" x14ac:dyDescent="0.2">
      <c r="A84" s="20">
        <v>7.4</v>
      </c>
      <c r="B84" s="64">
        <f t="shared" si="3"/>
        <v>-0.58950088085</v>
      </c>
      <c r="C84" s="64">
        <f>IF(AND(B84&gt;=0,B85&lt;0),A84+pH_step*B84/(B84-B85),0)</f>
        <v>0.0</v>
      </c>
    </row>
    <row r="85" spans="1:3" x14ac:dyDescent="0.2">
      <c r="A85" s="20">
        <v>7.5</v>
      </c>
      <c r="B85" s="64">
        <f t="shared" si="3"/>
        <v>-0.745256852669</v>
      </c>
      <c r="C85" s="64">
        <f>IF(AND(B85&gt;=0,B86&lt;0),A85+pH_step*B85/(B85-B86),0)</f>
        <v>0.0</v>
      </c>
    </row>
    <row r="86" spans="1:3" x14ac:dyDescent="0.2">
      <c r="A86" s="20">
        <v>7.6</v>
      </c>
      <c r="B86" s="64">
        <f t="shared" si="3"/>
        <v>-0.941574953283</v>
      </c>
      <c r="C86" s="64">
        <f>IF(AND(B86&gt;=0,B87&lt;0),A86+pH_step*B86/(B86-B87),0)</f>
        <v>0.0</v>
      </c>
    </row>
    <row r="87" spans="1:3" x14ac:dyDescent="0.2">
      <c r="A87" s="20">
        <v>7.7</v>
      </c>
      <c r="B87" s="64">
        <f t="shared" si="3"/>
        <v>-1.189442979033</v>
      </c>
      <c r="C87" s="64">
        <f>IF(AND(B87&gt;=0,B88&lt;0),A87+pH_step*B87/(B87-B88),0)</f>
        <v>0.0</v>
      </c>
    </row>
    <row r="88" spans="1:3" x14ac:dyDescent="0.2">
      <c r="A88" s="20">
        <v>7.8</v>
      </c>
      <c r="B88" s="64">
        <f t="shared" si="3"/>
        <v>-1.502940908092</v>
      </c>
      <c r="C88" s="64">
        <f>IF(AND(B88&gt;=0,B89&lt;0),A88+pH_step*B88/(B88-B89),0)</f>
        <v>0.0</v>
      </c>
    </row>
    <row r="89" spans="1:3" x14ac:dyDescent="0.2">
      <c r="A89" s="20">
        <v>7.9</v>
      </c>
      <c r="B89" s="64">
        <f t="shared" si="3"/>
        <v>-1.900183935458</v>
      </c>
      <c r="C89" s="64">
        <f>IF(AND(B89&gt;=0,B90&lt;0),A89+pH_step*B89/(B89-B90),0)</f>
        <v>0.0</v>
      </c>
    </row>
    <row r="90" spans="1:3" x14ac:dyDescent="0.2">
      <c r="A90" s="20">
        <v>8</v>
      </c>
      <c r="B90" s="64">
        <f t="shared" si="3"/>
        <v>-2.404595650325</v>
      </c>
      <c r="C90" s="64">
        <f>IF(AND(B90&gt;=0,B91&lt;0),A90+pH_step*B90/(B90-B91),0)</f>
        <v>0.0</v>
      </c>
    </row>
    <row r="91" spans="1:3" x14ac:dyDescent="0.2">
      <c r="A91" s="20">
        <v>8.1</v>
      </c>
      <c r="B91" s="64">
        <f t="shared" si="3"/>
        <v>-3.046646283691</v>
      </c>
      <c r="C91" s="64">
        <f>IF(AND(B91&gt;=0,B92&lt;0),A91+pH_step*B91/(B91-B92),0)</f>
        <v>0.0</v>
      </c>
    </row>
    <row r="92" spans="1:3" x14ac:dyDescent="0.2">
      <c r="A92" s="20">
        <v>8.1999999999999993</v>
      </c>
      <c r="B92" s="64">
        <f t="shared" si="3"/>
        <v>-3.86625489911</v>
      </c>
      <c r="C92" s="64">
        <f>IF(AND(B92&gt;=0,B93&lt;0),A92+pH_step*B92/(B92-B93),0)</f>
        <v>0.0</v>
      </c>
    </row>
    <row r="93" spans="1:3" x14ac:dyDescent="0.2">
      <c r="A93" s="20">
        <v>8.3000000000000007</v>
      </c>
      <c r="B93" s="64">
        <f t="shared" si="3"/>
        <v>-4.916151944852</v>
      </c>
      <c r="C93" s="64">
        <f>IF(AND(B93&gt;=0,B94&lt;0),A93+pH_step*B93/(B93-B94),0)</f>
        <v>0.0</v>
      </c>
    </row>
    <row r="94" spans="1:3" x14ac:dyDescent="0.2">
      <c r="A94" s="20">
        <v>8.4</v>
      </c>
      <c r="B94" s="64">
        <f t="shared" si="3"/>
        <v>-6.266648339548</v>
      </c>
      <c r="C94" s="64">
        <f>IF(AND(B94&gt;=0,B95&lt;0),A94+pH_step*B94/(B94-B95),0)</f>
        <v>0.0</v>
      </c>
    </row>
    <row r="95" spans="1:3" x14ac:dyDescent="0.2">
      <c r="A95" s="20">
        <v>8.5</v>
      </c>
      <c r="B95" s="64">
        <f t="shared" si="3"/>
        <v>-8.012488474449</v>
      </c>
      <c r="C95" s="64">
        <f>IF(AND(B95&gt;=0,B96&lt;0),A95+pH_step*B95/(B95-B96),0)</f>
        <v>0.0</v>
      </c>
    </row>
    <row r="96" spans="1:3" x14ac:dyDescent="0.2">
      <c r="A96" s="20">
        <v>8.6</v>
      </c>
      <c r="B96" s="64">
        <f t="shared" si="3"/>
        <v>-10.282823226284</v>
      </c>
      <c r="C96" s="64">
        <f>IF(AND(B96&gt;=0,B97&lt;0),A96+pH_step*B96/(B96-B97),0)</f>
        <v>0.0</v>
      </c>
    </row>
    <row r="97" spans="1:7" x14ac:dyDescent="0.2">
      <c r="A97" s="20">
        <v>8.6999999999999993</v>
      </c>
      <c r="B97" s="64">
        <f t="shared" si="3"/>
        <v>-13.255897853524</v>
      </c>
      <c r="C97" s="64">
        <f>IF(AND(B97&gt;=0,B98&lt;0),A97+pH_step*B97/(B97-B98),0)</f>
        <v>0.0</v>
      </c>
    </row>
    <row r="98" spans="1:7" x14ac:dyDescent="0.2">
      <c r="A98" s="20">
        <v>8.8000000000000007</v>
      </c>
      <c r="B98" s="64">
        <f t="shared" si="3"/>
        <v>-17.180922991367</v>
      </c>
      <c r="C98" s="64">
        <f>IF(AND(B98&gt;=0,B99&lt;0),A98+pH_step*B98/(B98-B99),0)</f>
        <v>0.0</v>
      </c>
    </row>
    <row r="99" spans="1:7" x14ac:dyDescent="0.2">
      <c r="A99" s="20">
        <v>8.9</v>
      </c>
      <c r="B99" s="64">
        <f t="shared" si="3"/>
        <v>-22.410965673407</v>
      </c>
      <c r="C99" s="64">
        <f>IF(AND(B99&gt;=0,B100&lt;0),A99+pH_step*B99/(B99-B100),0)</f>
        <v>0.0</v>
      </c>
    </row>
    <row r="100" spans="1:7" x14ac:dyDescent="0.2">
      <c r="A100" s="20">
        <v>9</v>
      </c>
      <c r="B100" s="64">
        <f t="shared" si="3"/>
        <v>-29.452847122759</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6.055158016113</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0.948531749585</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8.967377109974</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f>km_O2_c*(D_Cl/D_O2_c)^km_exp_c</f>
        <v>0.004044131217</v>
      </c>
      <c r="E129" s="51" t="inlineStr">
        <is>
          <t xml:space="preserve">Scaled from the electrode O₂ mass-transfer coefficient by (D_Cl/D_O2)^0.644, the same correlation as km_HPO4/km_HCO3 (rows 275–276), so it follows a measured km_O2.</t>
        </is>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n_e_Cl*Fcc*km_Cl*(pH_Cl*Cl_free_frac/1000)*A_anode</f>
        <v>9.584998043788e-05</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9.584998043788e-05</v>
      </c>
      <c r="E133" s="51" t="s">
        <v>1082</v>
      </c>
    </row>
    <row r="134" spans="1:5" x14ac:dyDescent="0.2">
      <c r="A134" s="17" t="s">
        <v>1083</v>
      </c>
      <c r="B134" s="18" t="s">
        <v>1084</v>
      </c>
      <c r="C134" s="19" t="s">
        <v>1085</v>
      </c>
      <c r="D134" s="149">
        <f>I_Cl/(n_e_Cl*Fcc*VLc)</f>
        <v>3.311383479466e-08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4.520261308413e-06</v>
      </c>
      <c r="E138" s="51" t="s">
        <v>1099</v>
      </c>
    </row>
    <row r="139" spans="1:5" ht="24" x14ac:dyDescent="0.2">
      <c r="A139" s="17" t="s">
        <v>1100</v>
      </c>
      <c r="B139" s="18" t="s">
        <v>1101</v>
      </c>
      <c r="C139" s="19" t="s">
        <v>1098</v>
      </c>
      <c r="D139" s="149">
        <f>P_HOCl/(k1_NH2Cl*NH3_free)</f>
        <v>1.74420146132e-09</v>
      </c>
      <c r="E139" s="51" t="s">
        <v>1102</v>
      </c>
    </row>
    <row r="140" spans="1:5" ht="24" x14ac:dyDescent="0.2">
      <c r="A140" s="17" t="s">
        <v>1103</v>
      </c>
      <c r="B140" s="18" t="s">
        <v>1104</v>
      </c>
      <c r="C140" s="19" t="s">
        <v>1088</v>
      </c>
      <c r="D140" s="149">
        <f>HOCl_ss*M_HOCl</f>
        <v>9.150080866082e-05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6.25374638398</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0.251064863446</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0.298198130773</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8.57621949016</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0.005174981383</v>
      </c>
      <c r="E156" s="51" t="s">
        <v>1247</v>
      </c>
    </row>
    <row r="157" spans="1:5" ht="24" x14ac:dyDescent="0.2">
      <c r="A157" s="17" t="s">
        <v>1248</v>
      </c>
      <c r="B157" s="18" t="s">
        <v>1249</v>
      </c>
      <c r="C157" s="19" t="s">
        <v>1250</v>
      </c>
      <c r="D157" s="149">
        <f>f_local*HOCl_ss_mgL+NH2Cl_hi/R_chloramine_lo</f>
        <v>0.477371646429</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0.86429309373</v>
      </c>
      <c r="E206" s="99" t="s">
        <v>1586</v>
      </c>
    </row>
    <row r="207" spans="1:5" x14ac:dyDescent="0.2">
      <c r="A207" t="s">
        <v>1587</v>
      </c>
      <c r="B207" s="18" t="s">
        <v>1588</v>
      </c>
      <c r="C207" s="19" t="s">
        <v>1571</v>
      </c>
      <c r="D207" s="141">
        <f>E0_HER-nernst_slope*pH_meas</f>
        <v>-0.36470690627</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-0.427527364769</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0.33029309373</v>
      </c>
      <c r="E210" s="67" t="s">
        <v>1599</v>
      </c>
    </row>
    <row r="211" spans="1:5" ht="48" x14ac:dyDescent="0.2">
      <c r="A211" t="inlineStr">
        <is>
          <t xml:space="preserve">Operating anode potential above Cu²⁺/Cu</t>
        </is>
      </c>
      <c r="B211" s="18" t="s">
        <v>1601</v>
      </c>
      <c r="C211" s="19" t="s">
        <v>1595</v>
      </c>
      <c r="D211" s="141">
        <f>E_anode_op-E0_Cu</f>
        <v>1.266535517225</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8.600113527674</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0.328611439745</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6.164822774553</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0.339344361561</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0.026586383209</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0.006136275232</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1.608435517225</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1.180908152456</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0.006994609797</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0.645225199422</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km_Cl*A_anode/1000/VLc</f>
        <v>0.0005428244278184</v>
      </c>
      <c r="E271" s="75" t="inlineStr">
        <is>
          <t xml:space="preserve">First-order anodic chloride turnover at the transport limit, km_Cl·A/V (cm³ → L by /1000). Independent of the chloride level, so the recycling split (D278, D143) is not circular.</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row r="277">
      <c r="A277" t="inlineStr">
        <is>
          <t xml:space="preserve">Diffusion coefficient — Cl⁻</t>
        </is>
      </c>
      <c r="B277" s="18" t="inlineStr">
        <is>
          <t xml:space="preserve">D_Cl</t>
        </is>
      </c>
      <c r="C277" s="19" t="inlineStr">
        <is>
          <t xml:space="preserve">m²/s</t>
        </is>
      </c>
      <c r="D277" s="146">
        <v>2.032e-09</v>
      </c>
      <c r="E277" s="99" t="inlineStr">
        <is>
          <t xml:space="preserve">CRC Handbook (Vanýsek), ionic diffusion coefficient at 25 °C, 2.032×10⁻⁵ cm²/s.</t>
        </is>
      </c>
    </row>
    <row r="278">
      <c r="A278" t="inlineStr">
        <is>
          <t xml:space="preserve">Free share of the chloride pool</t>
        </is>
      </c>
      <c r="B278" s="18" t="inlineStr">
        <is>
          <t xml:space="preserve">Cl_free_frac</t>
        </is>
      </c>
      <c r="C278" s="19" t="inlineStr">
        <is>
          <t xml:space="preserve">-</t>
        </is>
      </c>
      <c r="D278" s="141">
        <f>1/(1+k_Cl_turn*tau_NH2Cl*3600)</f>
        <v>0.338504790608</v>
      </c>
      <c r="E278" s="67" t="inlineStr">
        <is>
          <t xml:space="preserve">At steady state the chloride pool splits free : combined = 1 : kτ (row 271 and D143), so only this share is available to the anode.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0.0001017274698715</v>
      </c>
      <c r="E4" s="135" t="str">
        <f>HYPERLINK("#Electrochemistry!D21","→ Electrochemistry")</f>
        <v>→ Electrochemistry</v>
      </c>
      <c r="F4" s="20"/>
    </row>
    <row r="5" spans="1:6" x14ac:dyDescent="0.2">
      <c r="A5" s="20" t="s">
        <v>404</v>
      </c>
      <c r="B5" s="18" t="s">
        <v>378</v>
      </c>
      <c r="C5" s="20" t="s">
        <v>354</v>
      </c>
      <c r="D5" s="150">
        <f>Electrochemistry!$D$29</f>
        <v>4.979033518202e-05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0.0001017274698715</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3.390915662382e-05</v>
      </c>
      <c r="E14" s="107" t="s">
        <v>421</v>
      </c>
      <c r="F14" s="20"/>
    </row>
    <row r="15" spans="1:6" x14ac:dyDescent="0.2">
      <c r="A15" s="17" t="s">
        <v>422</v>
      </c>
      <c r="B15" s="18" t="s">
        <v>423</v>
      </c>
      <c r="C15" s="19" t="s">
        <v>354</v>
      </c>
      <c r="D15" s="48">
        <f>H2_cons*bio_CO2/bio_H2</f>
        <v>1.695457831191e-05</v>
      </c>
      <c r="E15" s="37" t="s">
        <v>424</v>
      </c>
      <c r="F15" s="20"/>
    </row>
    <row r="16" spans="1:6" ht="52" x14ac:dyDescent="0.2">
      <c r="A16" s="113" t="s">
        <v>425</v>
      </c>
      <c r="B16" s="18" t="s">
        <v>426</v>
      </c>
      <c r="C16" s="19" t="s">
        <v>354</v>
      </c>
      <c r="D16" s="48">
        <f>MAX(0,O2_net_gen-O2_cons)</f>
        <v>1.58811785582e-05</v>
      </c>
      <c r="E16" s="115" t="inlineStr">
        <is>
          <t xml:space="preserve">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×2.2). Sensitive: ±10 % in bio_O2 moves it +29 % / −12 %.</t>
        </is>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6.992226395671</v>
      </c>
      <c r="E42" s="99" t="s">
        <v>504</v>
      </c>
      <c r="F42" s="20"/>
    </row>
    <row r="43" spans="1:6" x14ac:dyDescent="0.2">
      <c r="A43" s="17" t="s">
        <v>505</v>
      </c>
      <c r="B43" s="18" t="s">
        <v>506</v>
      </c>
      <c r="C43" s="19" t="s">
        <v>507</v>
      </c>
      <c r="D43" s="48">
        <f>rH2_gen/(V_charge/1000000)/C_H2_sat</f>
        <v>8.580957853016</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16%, O₂ 8%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0.0005030206524901</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0.0001515178050535</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rH2_gen/(n_flamm_src+CO2_supply_b+F_vent_ex_b)</f>
        <v>0.155418629263</v>
      </c>
      <c r="E84" s="69" t="inlineStr">
        <is>
          <t xml:space="preserve">Mean-field balance shared with Mass Transfer §300 (= y_H2_mf_l there): H₂ over all gas leaving the headspace — evolved gas, CO₂ pulses and, in the "Air exchange" vent model, the exchanged air. The pulse-to-pulse sawtooth peaks higher (D87 note).</t>
        </is>
      </c>
    </row>
    <row r="85">
      <c r="A85" s="17" t="inlineStr">
        <is>
          <t xml:space="preserve">Headspace O₂ fraction (lag, mean-field)</t>
        </is>
      </c>
      <c r="B85" s="18" t="inlineStr">
        <is>
          <t xml:space="preserve">y_O2_hs_lag</t>
        </is>
      </c>
      <c r="C85" s="19" t="inlineStr">
        <is>
          <t xml:space="preserve">-</t>
        </is>
      </c>
      <c r="D85" s="48">
        <f>(O2_net_gen+y_O2_air_b*F_vent_ex_b)/(n_flamm_src+CO2_supply_b+F_vent_ex_b)</f>
        <v>0.076069380811</v>
      </c>
      <c r="E85" s="69" t="inlineStr">
        <is>
          <t xml:space="preserve">As above for O₂ (= y_O2_mf_l on Mass Transfer), including the O₂ carried in by exchanged air. Air ingress lowers H₂ but raises O₂ toward 21 %, so it does not make the mixture safe.</t>
        </is>
      </c>
    </row>
    <row r="86">
      <c r="A86" s="17" t="inlineStr">
        <is>
          <t xml:space="preserve">CO₂ duty that makes the lag headspace non-flammable</t>
        </is>
      </c>
      <c r="B86" s="18" t="inlineStr">
        <is>
          <t xml:space="preserve">duty_H2safe</t>
        </is>
      </c>
      <c r="C86" s="19" t="inlineStr">
        <is>
          <t xml:space="preserve">-</t>
        </is>
      </c>
      <c r="D86" s="48">
        <f>MAX(0,MIN(rH2_gen/H2_LFL-n_flamm_src-F_vent_ex_b,(O2_net_gen+y_O2_air_b*F_vent_ex_b)/(O2_LOC_H2*LOC_margin)-n_flamm_src-F_vent_ex_b))/CO2_rate_full_b</f>
        <v>0.002947616391</v>
      </c>
      <c r="E86" s="69" t="inlineStr">
        <is>
          <t xml:space="preserve">Least valve-open fraction that brings H₂ below the LFL or O₂ below the LOC margin, whichever needs less CO₂, from the same balance; exchanged air counts as diluent for H₂ and as an O₂ source for the LOC route.</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4.43586130694</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MAX(0,rH2_gen/H2_LFL-n_flamm_src-F_vent_ex_b)/3600*R_gas_b*T_K/P_atm*1000000*60</f>
        <v>0.975219102801</v>
      </c>
      <c r="E88" s="69" t="inlineStr">
        <is>
          <t xml:space="preserve">Continuous inert headspace sweep that dilutes H₂ below the LFL with no CO₂ at all, net of any air exchange already diluting it.</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31.656160482387</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633.123209647745</v>
      </c>
      <c r="E98" s="69" t="inlineStr">
        <is>
          <t xml:space="preserve">Lowest dissolved CO₂ of the dosing cycle (mol/m³ = mM, ×1000 → µM) against RuBisCO Km. A sub-second pulse never approaches the full-sparge saturation D33 uses, so this, not D35, is the carbon-availability test; schedule-dependent.</t>
        </is>
      </c>
    </row>
    <row r="110">
      <c r="A110" s="5" t="inlineStr">
        <is>
          <t xml:space="preserve">IMPORTS FOR THE SHARED HEADSPACE BALANCE (Mass Transfer §300)</t>
        </is>
      </c>
    </row>
    <row r="111">
      <c r="A111" s="20" t="inlineStr">
        <is>
          <t xml:space="preserve">(import) vent air-exchange flow</t>
        </is>
      </c>
      <c r="B111" s="18" t="inlineStr">
        <is>
          <t xml:space="preserve">F_vent_ex_b</t>
        </is>
      </c>
      <c r="C111" s="20" t="inlineStr">
        <is>
          <t xml:space="preserve">mol/h</t>
        </is>
      </c>
      <c r="D111" s="150">
        <f>'Mass Transfer'!$D$308</f>
        <v>0.0</v>
      </c>
      <c r="E111" s="135" t="inlineStr">
        <is>
          <t xml:space="preserve">Import from Mass Transfer!D308: zero for "Outflow only", Q_vent as mol/h for "Air exchange".</t>
        </is>
      </c>
    </row>
    <row r="112">
      <c r="A112" s="20" t="inlineStr">
        <is>
          <t xml:space="preserve">(import) dry-air O₂ mole fraction</t>
        </is>
      </c>
      <c r="B112" s="18" t="inlineStr">
        <is>
          <t xml:space="preserve">y_O2_air_b</t>
        </is>
      </c>
      <c r="C112" s="20" t="inlineStr">
        <is>
          <t xml:space="preserve">-</t>
        </is>
      </c>
      <c r="D112" s="150">
        <f>'Mass Transfer'!$D$307</f>
        <v>0.2095</v>
      </c>
      <c r="E112" s="135" t="inlineStr">
        <is>
          <t xml:space="preserve">Import from Mass Transfer!D307.</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1.695457831191e-05</v>
      </c>
      <c r="E10" s="135" t="str">
        <f>HYPERLINK("#Biology!D15","→ Biology")</f>
        <v>→ Biology</v>
      </c>
      <c r="F10" s="20"/>
    </row>
    <row r="11" spans="1:6" x14ac:dyDescent="0.2">
      <c r="A11" s="20" t="s">
        <v>544</v>
      </c>
      <c r="B11" s="20" t="s">
        <v>426</v>
      </c>
      <c r="C11" s="20" t="s">
        <v>354</v>
      </c>
      <c r="D11" s="142">
        <f>Biology!$D$16</f>
        <v>1.58811785582e-05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4.979033518202e-05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1.586800935557e-05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3.125613837221e-07</v>
      </c>
      <c r="E55" s="75" t="s">
        <v>649</v>
      </c>
      <c r="F55" s="20"/>
    </row>
    <row r="56" spans="1:6" x14ac:dyDescent="0.2">
      <c r="A56" s="113" t="s">
        <v>650</v>
      </c>
      <c r="B56" s="18" t="s">
        <v>651</v>
      </c>
      <c r="C56" s="19" t="s">
        <v>110</v>
      </c>
      <c r="D56" s="45">
        <f>IF(O2_excess&gt;0,strip_avg/O2_excess,NA())</f>
        <v>0.01968124611</v>
      </c>
      <c r="E56" s="75" t="s">
        <v>652</v>
      </c>
      <c r="F56" s="20"/>
    </row>
    <row r="57" spans="1:6" ht="36" customHeight="1" x14ac:dyDescent="0.2">
      <c r="A57" s="17" t="s">
        <v>653</v>
      </c>
      <c r="B57" s="18" t="s">
        <v>654</v>
      </c>
      <c r="C57" s="19" t="s">
        <v>639</v>
      </c>
      <c r="D57" s="48">
        <f>IF(O2_excess&gt;0,O2_excess/3600/((V_charge/1000000)*O2_ceil_C),NA())</f>
        <v>0.000806250237755</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20.671828529408</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21.086843893767</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8.930358491677</v>
      </c>
      <c r="E74" s="69" t="s">
        <v>702</v>
      </c>
      <c r="F74" s="20"/>
    </row>
    <row r="75" spans="1:6" ht="24" customHeight="1" x14ac:dyDescent="0.2">
      <c r="A75" s="17" t="s">
        <v>703</v>
      </c>
      <c r="B75" s="18" t="s">
        <v>704</v>
      </c>
      <c r="C75" s="19" t="s">
        <v>135</v>
      </c>
      <c r="D75" s="48">
        <f>y_O2_actual</f>
        <v>0.031639138319</v>
      </c>
      <c r="E75" s="99" t="inlineStr">
        <is>
          <t xml:space="preserve">= y_O2_actual (D187): the mean-field headspace O₂ fraction of the sizing phase at the schedule in use, from the shared vent balance (§300). Kept so D76 (µM form) still reads.</t>
        </is>
      </c>
      <c r="F75" s="20"/>
    </row>
    <row r="76" spans="1:6" ht="36" x14ac:dyDescent="0.2">
      <c r="A76" s="17" t="s">
        <v>706</v>
      </c>
      <c r="B76" s="18" t="s">
        <v>707</v>
      </c>
      <c r="C76" s="19" t="s">
        <v>463</v>
      </c>
      <c r="D76" s="48">
        <f>H_O2_T*y_O2_vent*P_atm*1000</f>
        <v>38.470028282145</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12.736715659111</v>
      </c>
      <c r="E77" s="99" t="s">
        <v>710</v>
      </c>
      <c r="F77" s="20"/>
    </row>
    <row r="78" spans="1:6" ht="26" customHeight="1" x14ac:dyDescent="0.2">
      <c r="A78" s="17" t="s">
        <v>711</v>
      </c>
      <c r="B78" s="18" t="s">
        <v>712</v>
      </c>
      <c r="C78" s="19" t="s">
        <v>110</v>
      </c>
      <c r="D78" s="48">
        <f>IF(O2_excess&gt;0,(strip_avg+surf_strip)/O2_excess,NA())</f>
        <v>8.950039737787</v>
      </c>
      <c r="E78" s="118" t="s">
        <v>713</v>
      </c>
      <c r="F78" s="20"/>
    </row>
    <row r="79" spans="1:6" x14ac:dyDescent="0.2">
      <c r="A79" s="17" t="s">
        <v>714</v>
      </c>
      <c r="B79" s="18" t="s">
        <v>715</v>
      </c>
      <c r="C79" s="19" t="s">
        <v>67</v>
      </c>
      <c r="D79" s="48">
        <f>O2_ceil_C*(V_charge/1000000)/O2_net_gen*60</f>
        <v>6.593508535339</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6.920263645416e-05</v>
      </c>
      <c r="E86" s="99" t="s">
        <v>733</v>
      </c>
      <c r="F86" s="20"/>
    </row>
    <row r="87" spans="1:6" ht="24" customHeight="1" x14ac:dyDescent="0.2">
      <c r="A87" s="17" t="s">
        <v>734</v>
      </c>
      <c r="B87" s="18" t="s">
        <v>735</v>
      </c>
      <c r="C87" s="19" t="s">
        <v>135</v>
      </c>
      <c r="D87" s="48">
        <f>O2_src_guard/(target_DO_frac*(O2_ceil_Pa/P_atm))/(nCO2_rate*3600)</f>
        <v>0.001498145312</v>
      </c>
      <c r="E87" s="99" t="s">
        <v>1063</v>
      </c>
      <c r="F87" s="20"/>
    </row>
    <row r="88" spans="1:6" ht="24" customHeight="1" x14ac:dyDescent="0.2">
      <c r="A88" s="17" t="s">
        <v>736</v>
      </c>
      <c r="B88" s="18" t="s">
        <v>737</v>
      </c>
      <c r="C88" s="19" t="s">
        <v>135</v>
      </c>
      <c r="D88" s="48">
        <f>MAX(duty_carbon,duty_O2vent)</f>
        <v>0.001498145312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1.490706277555</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12.736715659111</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764.202939546678</v>
      </c>
      <c r="E92" s="159" t="s">
        <v>747</v>
      </c>
      <c r="F92" s="20"/>
    </row>
    <row r="93" spans="1:6" x14ac:dyDescent="0.2">
      <c r="A93" s="17" t="inlineStr">
        <is>
          <t xml:space="preserve">  resulting duty</t>
        </is>
      </c>
      <c r="B93" s="18" t="s">
        <v>749</v>
      </c>
      <c r="C93" s="19" t="s">
        <v>135</v>
      </c>
      <c r="D93" s="48">
        <f>spg_dur_opt/(spg_int_opt*60)</f>
        <v>0.001026576854</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0.0005030206524901</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0.001026576854</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inlineStr">
        <is>
          <t xml:space="preserve">Cycle-mean DO at the schedule in use (sawtooth model, sizing phase)</t>
        </is>
      </c>
      <c r="B108" s="20" t="s">
        <v>783</v>
      </c>
      <c r="C108" s="20" t="s">
        <v>102</v>
      </c>
      <c r="D108" s="28">
        <f>DO_avg_sched*M_O2</f>
        <v>2.634660261764</v>
      </c>
      <c r="E108" s="160"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is>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188.941031253092</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(189 min) DO would be 20.1 mg/L against a 2.6 mg/L target</v>
      </c>
      <c r="E113" s="82" t="inlineStr">
        <is>
          <t xml:space="preserve">Tests the carbon-limited interval against the same DO balance the schedule uses (D232).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IF(AND(ISNUMBER(Summary!$G$13),Summary!$G$13&gt;0),Summary!$G$13,IF(sched_mode="Manual",spg_dur_man,IF(sched_mode="Optimal",spg_dur_opt,NA())))</f>
        <v>0.784513049825</v>
      </c>
      <c r="E121" s="20"/>
      <c r="F121" s="20"/>
    </row>
    <row r="122" spans="1:6" x14ac:dyDescent="0.2">
      <c r="A122" s="20" t="s">
        <v>811</v>
      </c>
      <c r="B122" s="20" t="s">
        <v>812</v>
      </c>
      <c r="C122" s="20" t="s">
        <v>67</v>
      </c>
      <c r="D122" s="28">
        <f>IF(AND(ISNUMBER(Summary!$G$15),Summary!$G$15&gt;0),Summary!$G$15,IF(sched_mode="Manual",spg_int_man,IF(sched_mode="Optimal",spg_int_opt,NA())))</f>
        <v>12.736715659111</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4.710790568452</v>
      </c>
      <c r="E124" s="20"/>
      <c r="F124" s="20"/>
    </row>
    <row r="125" spans="1:6" x14ac:dyDescent="0.2">
      <c r="A125" s="20" t="s">
        <v>819</v>
      </c>
      <c r="B125" s="20" t="s">
        <v>820</v>
      </c>
      <c r="C125" s="20" t="s">
        <v>821</v>
      </c>
      <c r="D125" s="28">
        <f>pulses_h*24</f>
        <v>113.058973642855</v>
      </c>
      <c r="E125" s="20"/>
      <c r="F125" s="20"/>
    </row>
    <row r="126" spans="1:6" x14ac:dyDescent="0.2">
      <c r="A126" s="20" t="s">
        <v>822</v>
      </c>
      <c r="B126" s="20" t="s">
        <v>823</v>
      </c>
      <c r="C126" s="20" t="s">
        <v>110</v>
      </c>
      <c r="D126" s="28">
        <f>IF(CO2_cons&gt;0,CO2_supply/CO2_cons,NA())</f>
        <v>29.668720934024</v>
      </c>
      <c r="E126" s="20"/>
      <c r="F126" s="20"/>
    </row>
    <row r="127" spans="1:6" x14ac:dyDescent="0.2">
      <c r="A127" s="20" t="s">
        <v>824</v>
      </c>
      <c r="B127" s="20" t="s">
        <v>825</v>
      </c>
      <c r="C127" s="20" t="s">
        <v>815</v>
      </c>
      <c r="D127" s="28">
        <f>O2_excess/60*spg_int</f>
        <v>3.371234260456e-06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0.01968124611</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0.0001245300561075</v>
      </c>
      <c r="E131" s="147" t="s">
        <v>1825</v>
      </c>
      <c r="F131" s="20"/>
    </row>
    <row r="132" spans="1:6" ht="24" x14ac:dyDescent="0.2">
      <c r="A132" s="17" t="s">
        <v>989</v>
      </c>
      <c r="B132" s="18" t="s">
        <v>990</v>
      </c>
      <c r="C132" s="19" t="s">
        <v>991</v>
      </c>
      <c r="D132" s="28">
        <f>O2_net_gen</f>
        <v>4.979033518202e-05</v>
      </c>
      <c r="E132" s="69" t="s">
        <v>992</v>
      </c>
      <c r="F132" s="20"/>
    </row>
    <row r="133" spans="1:6" x14ac:dyDescent="0.2">
      <c r="A133" s="17" t="inlineStr">
        <is>
          <t xml:space="preserve">Mean-field steady DO (sizing-phase source)</t>
        </is>
      </c>
      <c r="B133" s="18" t="s">
        <v>994</v>
      </c>
      <c r="C133" s="19" t="s">
        <v>995</v>
      </c>
      <c r="D133" s="28">
        <f>DO_hs_floor+DO_surf_excess</f>
        <v>0.079316092899</v>
      </c>
      <c r="E133" s="69" t="inlineStr">
        <is>
          <t xml:space="preserve">Flux-mean form of D108 in mol/m³: headspace floor (D188, from the shared vent balance) plus the surface excess on the sizing-phase source. Equals DO_target ÷ saw_factor-adjusted by construction when the DO constraint binds.</t>
        </is>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12.7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inlineStr">
        <is>
          <t xml:space="preserve">Mean-field steady DO (LAG source)</t>
        </is>
      </c>
      <c r="B135" s="20" t="s">
        <v>1000</v>
      </c>
      <c r="C135" s="20" t="s">
        <v>1001</v>
      </c>
      <c r="D135" s="28">
        <f>DO_mf_l</f>
        <v>0.220552478156</v>
      </c>
      <c r="E135" s="69" t="inlineStr">
        <is>
          <t xml:space="preserve">Lag-phase companion evaluated on the LAG headspace balance (y_O2_mf_l, with the H₂ as a diluent and the vent model in use) — not the growth headspace fraction, which understated it by ~30 % (R2-B2). The sawtooth mean and peak are in the lag block of §300.</t>
        </is>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inlineStr">
        <is>
          <t xml:space="preserve">Bidirectional air-exchange flow through the vent, used ONLY when vent_model (Summary D111) = "Air exchange", by the O₂ balance, the CO₂ pool and the flammability block alike. KEY UNCERTAIN PARAMETER — measure (pressure-decay or headspace-O₂ tracer, R2 experiment 1); include any per-pulse back-draw in it. Not free membrane diffusion, which would clear in seconds.</t>
        </is>
      </c>
      <c r="F142" s="20"/>
    </row>
    <row r="143" spans="1:6" x14ac:dyDescent="0.2">
      <c r="A143" s="17" t="inlineStr">
        <is>
          <t xml:space="preserve">Headspace turnover between pulses</t>
        </is>
      </c>
      <c r="B143" s="18" t="s">
        <v>1172</v>
      </c>
      <c r="C143" s="19" t="s">
        <v>639</v>
      </c>
      <c r="D143" s="48">
        <f>F_gap_sched/3600/n_hs_gas</f>
        <v>0.0</v>
      </c>
      <c r="E143" s="67" t="inlineStr">
        <is>
          <t xml:space="preserve">First-order headspace clearance between pulses from the ONE vent balance (§300): exchange flow plus net evolved gas, over the headspace inventory. Zero when nothing leaves between pulses (outflow-only vent, growth phase).</t>
        </is>
      </c>
      <c r="F143" s="20"/>
    </row>
    <row r="144" spans="1:6" x14ac:dyDescent="0.2">
      <c r="A144" s="17" t="s">
        <v>1174</v>
      </c>
      <c r="B144" s="18" t="s">
        <v>1175</v>
      </c>
      <c r="C144" s="19" t="s">
        <v>67</v>
      </c>
      <c r="D144" s="48">
        <f>IF(k_vent&gt;0,1/k_vent/60,cleared_min)</f>
        <v>9999.0</v>
      </c>
      <c r="E144" s="67" t="inlineStr">
        <is>
          <t xml:space="preserve">Time constant for the headspace to clear between pulses; the 9999 sentinel means nothing leaves between pulses, so only the pulses clear it.</t>
        </is>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763.418426496853</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0.031754970696</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0.08246973913</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O2_src_sched/(kLa_surf_used*3600*(V_charge/1000000))</f>
        <v>0.040846064617</v>
      </c>
      <c r="E180" s="67" t="inlineStr">
        <is>
          <t xml:space="preserve">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is>
      </c>
    </row>
    <row r="181" spans="1:5" x14ac:dyDescent="0.2">
      <c r="A181" t="s">
        <v>1799</v>
      </c>
      <c r="B181" s="18" t="s">
        <v>1800</v>
      </c>
      <c r="C181" s="19" t="s">
        <v>1001</v>
      </c>
      <c r="D181" s="141">
        <f>O2_net_gen/(kLa_surf_used*3600*(V_charge/1000000))</f>
        <v>0.128059718029</v>
      </c>
      <c r="E181" s="67" t="s">
        <v>1801</v>
      </c>
    </row>
    <row r="182" spans="1:5" ht="36" x14ac:dyDescent="0.2">
      <c r="A182" t="s">
        <v>1802</v>
      </c>
      <c r="B182" s="18" t="s">
        <v>1803</v>
      </c>
      <c r="C182" s="19" t="s">
        <v>1001</v>
      </c>
      <c r="D182" s="141">
        <f>DO_target-DO_surf_excess</f>
        <v>0.041623674514</v>
      </c>
      <c r="E182" s="67" t="s">
        <v>1804</v>
      </c>
    </row>
    <row r="183" spans="1:5" ht="24" x14ac:dyDescent="0.2">
      <c r="A183" t="s">
        <v>1805</v>
      </c>
      <c r="B183" s="18" t="s">
        <v>1806</v>
      </c>
      <c r="C183" s="19" t="s">
        <v>1274</v>
      </c>
      <c r="D183" s="141">
        <f>IF(hs_O2_allow&gt;0,hs_O2_allow/(H_O2_T*P_atm),NA())</f>
        <v>0.034232810687</v>
      </c>
      <c r="E183" s="67" t="s">
        <v>1807</v>
      </c>
    </row>
    <row r="184" spans="1:5" ht="48" x14ac:dyDescent="0.2">
      <c r="A184" t="s">
        <v>1808</v>
      </c>
      <c r="B184" s="18" t="s">
        <v>1809</v>
      </c>
      <c r="C184" s="19" t="s">
        <v>1274</v>
      </c>
      <c r="D184" s="141">
        <f>IF(ISNUMBER(y_O2_star),MAX(0,((O2_src_sched+y_O2_air*F_vent_ex)*saw_factor/y_O2_star-F_vent_ex-O2_src_sched-H2_src_sched+CO2_fix_sched)/CO2_rate_full),NA())</f>
        <v>0.001026576854</v>
      </c>
      <c r="E184" s="67" t="inlineStr">
        <is>
          <t xml:space="preserve">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is>
      </c>
    </row>
    <row r="185" spans="1:5" ht="24" x14ac:dyDescent="0.2">
      <c r="A185" t="s">
        <v>1811</v>
      </c>
      <c r="B185" s="18" t="s">
        <v>1812</v>
      </c>
      <c r="C185" s="19" t="s">
        <v>962</v>
      </c>
      <c r="D185" s="141">
        <f>IF(ISNUMBER(duty_DO),IF(duty_DO&gt;0,spg_dur_opt/(60*duty_DO),spg_int_carbon),NA())</f>
        <v>12.736715659111</v>
      </c>
      <c r="E185" s="67" t="s">
        <v>1813</v>
      </c>
    </row>
    <row r="186" spans="1:5" ht="36" x14ac:dyDescent="0.2">
      <c r="A186" t="s">
        <v>1814</v>
      </c>
      <c r="B186" s="18" t="s">
        <v>1815</v>
      </c>
      <c r="C186" s="19" t="s">
        <v>639</v>
      </c>
      <c r="D186" s="141">
        <f>O2_src_sched/(DO_target*3600*(V_charge/1000000))</f>
        <v>0.003566106821</v>
      </c>
      <c r="E186" s="67" t="inlineStr">
        <is>
          <t xml:space="preserve">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is>
      </c>
    </row>
    <row r="187" spans="1:5" ht="36" x14ac:dyDescent="0.2">
      <c r="A187" t="s">
        <v>1817</v>
      </c>
      <c r="B187" s="18" t="s">
        <v>1818</v>
      </c>
      <c r="C187" s="19" t="s">
        <v>1274</v>
      </c>
      <c r="D187" s="141">
        <f>IF(O2_sizing_phase=phase_name_1,y_O2_mf_g,IF(O2_sizing_phase=phase_name_2,y_O2_mf_l,NA()))</f>
        <v>0.031639138319</v>
      </c>
      <c r="E187" s="67" t="inlineStr">
        <is>
          <t xml:space="preserve">Flux-mean headspace O₂ fraction at the schedule in use, from the ONE vent balance (§300) on the sizing phase: includes air O₂ ingress in "Air exchange", the H₂ diluent in "Lag", and the fixation sink. The CO₂ pool (§190) and the flammability block (Biology 83–88) now use the same balance.</t>
        </is>
      </c>
    </row>
    <row r="188" spans="1:5" ht="36" x14ac:dyDescent="0.2">
      <c r="A188" t="s">
        <v>1820</v>
      </c>
      <c r="B188" s="18" t="s">
        <v>1821</v>
      </c>
      <c r="C188" s="19" t="s">
        <v>1001</v>
      </c>
      <c r="D188" s="141">
        <f>IF(ISNUMBER(y_O2_actual),H_O2_T*y_O2_actual*P_atm,NA())</f>
        <v>0.038470028282</v>
      </c>
      <c r="E188" s="67" t="inlineStr">
        <is>
          <t xml:space="preserve">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is>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inlineStr">
        <is>
          <t xml:space="preserve">CO₂ retained in the headspace by a pulse, as pool concentration</t>
        </is>
      </c>
      <c r="B194" s="18" t="s">
        <v>1840</v>
      </c>
      <c r="C194" s="19" t="s">
        <v>1001</v>
      </c>
      <c r="D194" s="141">
        <f>C_sat_CO2*(1-pool_a)*(1-flush_ret)</f>
        <v>3.710023297714</v>
      </c>
      <c r="E194" s="99" t="inlineStr">
        <is>
          <t xml:space="preserve">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is>
      </c>
    </row>
    <row r="195" spans="1:5" ht="24" x14ac:dyDescent="0.2">
      <c r="A195" t="s">
        <v>1841</v>
      </c>
      <c r="B195" s="18" t="s">
        <v>1842</v>
      </c>
      <c r="C195" s="19" t="s">
        <v>639</v>
      </c>
      <c r="D195" s="141">
        <f>k_vent*Vg_CO2/(V_L_m3+Vg_CO2)</f>
        <v>0.0</v>
      </c>
      <c r="E195" s="99" t="inlineStr">
        <is>
          <t xml:space="preserve">Only the headspace share of the pool is exposed to what leaves between pulses (k_vent, now from the shared vent balance), so the whole inventory decays at that rate scaled by the share. Zero for an outflow-only vent in growth: then only fixation drains the pool (pool_D_raw).</t>
        </is>
      </c>
    </row>
    <row r="196" spans="1:5" ht="36" x14ac:dyDescent="0.2">
      <c r="A196" t="s">
        <v>1844</v>
      </c>
      <c r="B196" s="18" t="s">
        <v>1845</v>
      </c>
      <c r="C196" s="19" t="s">
        <v>110</v>
      </c>
      <c r="D196" s="141">
        <f>IF(k_vent&gt;0,(kLa_CO2_off*V_L_m3/Vg_CO2)/k_vent,cleared_min)</f>
        <v>9999.0</v>
      </c>
      <c r="E196" s="67" t="inlineStr">
        <is>
          <t xml:space="preserve">Liquid-uptake rate constant ÷ headspace turnover between pulses. Well above 1 means the two compartments stay in quasi-equilibrium, which the pool model assumes; the 9999 sentinel is the outflow-only growth case (no turnover at all).</t>
        </is>
      </c>
    </row>
    <row r="197" spans="1:5" x14ac:dyDescent="0.2">
      <c r="A197" t="s">
        <v>1847</v>
      </c>
      <c r="B197" s="18" t="s">
        <v>1848</v>
      </c>
      <c r="C197" s="19" t="s">
        <v>1274</v>
      </c>
      <c r="D197" s="141">
        <f>EXP(-k_eff_CO2*t_off_CO2)</f>
        <v>1.0</v>
      </c>
      <c r="E197" s="99" t="s">
        <v>1849</v>
      </c>
    </row>
    <row r="198" spans="1:5" x14ac:dyDescent="0.2">
      <c r="A198" t="s">
        <v>1850</v>
      </c>
      <c r="B198" s="18" t="s">
        <v>1851</v>
      </c>
      <c r="C198" s="19" t="s">
        <v>1001</v>
      </c>
      <c r="D198" s="141">
        <f>(pool_D_gap+pool_b*pool_e)/(1-pool_ret*pool_e)</f>
        <v>31.656160482387</v>
      </c>
      <c r="E198" s="99" t="inlineStr">
        <is>
          <t xml:space="preserve">Fixed point of the limit cycle: decay over the gap toward the vent/fixation asymptote (pool_D_gap), then a pulse that keeps pool_ret of the pool and adds pool_b, repeated. With an air-exchange vent and no fixation it is the previous (C_air(1−e)+b·e)/(1−a·e).</t>
        </is>
      </c>
    </row>
    <row r="199" spans="1:5" ht="24" x14ac:dyDescent="0.2">
      <c r="A199" t="s">
        <v>1853</v>
      </c>
      <c r="B199" s="18" t="s">
        <v>1854</v>
      </c>
      <c r="C199" s="19" t="s">
        <v>1001</v>
      </c>
      <c r="D199" s="141">
        <f>pool_ret*C_cycle_start+pool_b</f>
        <v>31.853780908877</v>
      </c>
      <c r="E199" s="99" t="inlineStr">
        <is>
          <t xml:space="preserve">After the pulse and the fast headspace-to-liquid equilibration (tens of seconds): the retained pool plus the fresh CO₂.</t>
        </is>
      </c>
    </row>
    <row r="200" spans="1:5" x14ac:dyDescent="0.2">
      <c r="A200" t="s">
        <v>1856</v>
      </c>
      <c r="B200" s="18" t="s">
        <v>1857</v>
      </c>
      <c r="C200" s="19" t="s">
        <v>1001</v>
      </c>
      <c r="D200" s="141">
        <f>C_cycle_peak*pool_phi+pool_D_raw*pool_psi</f>
        <v>31.754970695632</v>
      </c>
      <c r="E200" s="99" t="inlineStr">
        <is>
          <t xml:space="preserve">Time-average of the decay over the gap, written with Φ/Ψ so the no-turnover case (outflow-only vent, growth) is the linear-drain limit rather than 0/0. This is what the pH solve consumes (Chemistry D5 via D162).</t>
        </is>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DO_surf_excess+H_O2_T*P_atm*(O2_src_sched+y_O2_air*F_vent_ex)/(F_vent_ex+CO2_rate_full*duty_carbon+O2_src_sched+H2_src_sched-CO2_fix_sched)</f>
        <v>0.628922200193</v>
      </c>
      <c r="E232" s="99" t="inlineStr">
        <is>
          <t xml:space="preserve">Same shared headspace balance as D187/D180 (sizing phase, vent model in use) evaluated at the carbon-limited duty instead of the DO-limited one. At that duty the CO₂ leaving is only twice the fixation, so O₂ is a large fraction of the vent gas.</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0.8</v>
      </c>
      <c r="E242" s="67" t="inlineStr">
        <is>
          <t xml:space="preserve">Pulse as it can actually be commanded; never below the solenoid floor. Summary D14 shows it.</t>
        </is>
      </c>
    </row>
    <row r="300">
      <c r="A300" s="5" t="inlineStr">
        <is>
          <t xml:space="preserve">HEADSPACE BALANCE — one vent model shared by the O₂ block (§177), the CO₂ pool (§190) and the lag-phase flammability block (Biology rows 83–88)</t>
        </is>
      </c>
    </row>
    <row r="301">
      <c r="A301" s="20" t="inlineStr">
        <is>
          <t xml:space="preserve">(import) Vent model</t>
        </is>
      </c>
      <c r="B301" s="20" t="inlineStr">
        <is>
          <t xml:space="preserve">vent_model</t>
        </is>
      </c>
      <c r="C301" s="20" t="inlineStr">
        <is>
          <t xml:space="preserve">-</t>
        </is>
      </c>
      <c r="D301" s="134" t="str">
        <f>Summary!$D$111</f>
        <v>Outflow only</v>
      </c>
      <c r="E301" s="135" t="inlineStr">
        <is>
          <t xml:space="preserve">Import from Summary!D111. Owner decision: "Outflow only" or "Air exchange"; anything else returns #N/A by design. Default "Outflow only" until the vent hardware is characterised (R2 experiment 1).</t>
        </is>
      </c>
    </row>
    <row r="302">
      <c r="A302" s="17" t="inlineStr">
        <is>
          <t xml:space="preserve">  valid vent model 1</t>
        </is>
      </c>
      <c r="B302" s="18" t="inlineStr">
        <is>
          <t xml:space="preserve">vent_name_1</t>
        </is>
      </c>
      <c r="C302" s="19" t="inlineStr">
        <is>
          <t xml:space="preserve">-</t>
        </is>
      </c>
      <c r="D302" s="131" t="inlineStr">
        <is>
          <t xml:space="preserve">Outflow only</t>
        </is>
      </c>
      <c r="E302" s="37" t="inlineStr">
        <is>
          <t xml:space="preserve">Gas leaves through the vent but none enters between pulses (check valve or sealed cap; the small sub-atmospheric dip after each pulse is tolerated). The headspace is then diluted only by the CO₂ pulses and by what electrolysis evolves.</t>
        </is>
      </c>
    </row>
    <row r="303">
      <c r="A303" s="17" t="inlineStr">
        <is>
          <t xml:space="preserve">  valid vent model 2</t>
        </is>
      </c>
      <c r="B303" s="18" t="inlineStr">
        <is>
          <t xml:space="preserve">vent_name_2</t>
        </is>
      </c>
      <c r="C303" s="19" t="inlineStr">
        <is>
          <t xml:space="preserve">-</t>
        </is>
      </c>
      <c r="D303" s="131" t="inlineStr">
        <is>
          <t xml:space="preserve">Air exchange</t>
        </is>
      </c>
      <c r="E303" s="37" t="inlineStr">
        <is>
          <t xml:space="preserve">Room air exchanges with the headspace at Q_vent (D142) continuously — an open tube, diffusion, or per-pulse back-draw of the same average volume. Q_vent must then be the TOTAL air ingress, including the back-draw that refills whatever the liquid absorbs after each pulse.</t>
        </is>
      </c>
    </row>
    <row r="304">
      <c r="A304" s="20" t="inlineStr">
        <is>
          <t xml:space="preserve">(import) O₂ sizing phase</t>
        </is>
      </c>
      <c r="B304" s="20" t="inlineStr">
        <is>
          <t xml:space="preserve">O2_sizing_phase</t>
        </is>
      </c>
      <c r="C304" s="20" t="inlineStr">
        <is>
          <t xml:space="preserve">-</t>
        </is>
      </c>
      <c r="D304" s="134" t="str">
        <f>Summary!$D$112</f>
        <v>Growth</v>
      </c>
      <c r="E304" s="135" t="inlineStr">
        <is>
          <t xml:space="preserve">Import from Summary!D112. Owner decision: "Growth" sizes the schedule on the surplus after knallgas uptake; "Lag" on the whole net electrolytic O₂ with the H₂ as a diluent. Anything else returns #N/A by design. Both phases are always reported (rows 327–369).</t>
        </is>
      </c>
    </row>
    <row r="305">
      <c r="A305" s="17" t="inlineStr">
        <is>
          <t xml:space="preserve">  valid sizing phase 1</t>
        </is>
      </c>
      <c r="B305" s="18" t="inlineStr">
        <is>
          <t xml:space="preserve">phase_name_1</t>
        </is>
      </c>
      <c r="C305" s="19" t="inlineStr">
        <is>
          <t xml:space="preserve">-</t>
        </is>
      </c>
      <c r="D305" s="131" t="inlineStr">
        <is>
          <t xml:space="preserve">Growth</t>
        </is>
      </c>
      <c r="E305" s="37" t="inlineStr">
        <is>
          <t xml:space="preserve">Steady growth: 100 % H₂ uptake (Biology D13), so the O₂ source is O2_excess and no H₂ reaches the headspace.</t>
        </is>
      </c>
    </row>
    <row r="306">
      <c r="A306" s="17" t="inlineStr">
        <is>
          <t xml:space="preserve">  valid sizing phase 2</t>
        </is>
      </c>
      <c r="B306" s="18" t="inlineStr">
        <is>
          <t xml:space="preserve">phase_name_2</t>
        </is>
      </c>
      <c r="C306" s="19" t="inlineStr">
        <is>
          <t xml:space="preserve">-</t>
        </is>
      </c>
      <c r="D306" s="131" t="inlineStr">
        <is>
          <t xml:space="preserve">Lag</t>
        </is>
      </c>
      <c r="E306" s="37" t="inlineStr">
        <is>
          <t xml:space="preserve">Lag / establishment: no uptake, so all net electrolytic O₂ and all H₂ reach the headspace and no CO₂ is fixed.</t>
        </is>
      </c>
    </row>
    <row r="307">
      <c r="A307" s="17" t="inlineStr">
        <is>
          <t xml:space="preserve">Dry-air O₂ mole fraction</t>
        </is>
      </c>
      <c r="B307" s="18" t="inlineStr">
        <is>
          <t xml:space="preserve">y_O2_air</t>
        </is>
      </c>
      <c r="C307" s="19" t="inlineStr">
        <is>
          <t xml:space="preserve">-</t>
        </is>
      </c>
      <c r="D307" s="131">
        <v>0.2095</v>
      </c>
      <c r="E307" s="160" t="inlineStr">
        <is>
          <t xml:space="preserve">Standard dry air, 20.95 vol % O₂ (CRC Handbook; ISO 2533). Enters the balance only in the "Air exchange" vent model.</t>
        </is>
      </c>
    </row>
    <row r="308">
      <c r="A308" s="17" t="inlineStr">
        <is>
          <t xml:space="preserve">Vent air-exchange flow</t>
        </is>
      </c>
      <c r="B308" s="18" t="inlineStr">
        <is>
          <t xml:space="preserve">F_vent_ex</t>
        </is>
      </c>
      <c r="C308" s="19" t="inlineStr">
        <is>
          <t xml:space="preserve">mol/h</t>
        </is>
      </c>
      <c r="D308" s="48">
        <f>IF(vent_model=vent_name_1,0,IF(vent_model=vent_name_2,P_atm*(Q_vent/1000000/60)/(R_gas*T_K)*3600,NA()))</f>
        <v>0.0</v>
      </c>
      <c r="E308" s="69" t="inlineStr">
        <is>
          <t xml:space="preserve">Molar air flow exchanged through the vent (ideal gas at P_atm, T_K). Zero in "Outflow only"; Q_vent converted mL/min → mol/h in "Air exchange". Inherits the uncertainty of Q_vent — measure it.</t>
        </is>
      </c>
    </row>
    <row r="309">
      <c r="A309" s="17" t="inlineStr">
        <is>
          <t xml:space="preserve">O₂ source — growth phase</t>
        </is>
      </c>
      <c r="B309" s="18" t="inlineStr">
        <is>
          <t xml:space="preserve">O2_src_g</t>
        </is>
      </c>
      <c r="C309" s="19" t="inlineStr">
        <is>
          <t xml:space="preserve">mol/h</t>
        </is>
      </c>
      <c r="D309" s="48">
        <f>O2_excess</f>
        <v>1.58811785582e-05</v>
      </c>
      <c r="E309" s="67" t="inlineStr">
        <is>
          <t xml:space="preserve">Surplus O₂ after full-H₂-uptake respiration (Biology D16). A LOWER bound on the surplus: any H₂ that bubbles off uncaught raises it.</t>
        </is>
      </c>
    </row>
    <row r="310">
      <c r="A310" s="17" t="inlineStr">
        <is>
          <t xml:space="preserve">O₂ source — lag phase</t>
        </is>
      </c>
      <c r="B310" s="18" t="inlineStr">
        <is>
          <t xml:space="preserve">O2_src_l</t>
        </is>
      </c>
      <c r="C310" s="19" t="inlineStr">
        <is>
          <t xml:space="preserve">mol/h</t>
        </is>
      </c>
      <c r="D310" s="48">
        <f>O2_net_gen</f>
        <v>4.979033518202e-05</v>
      </c>
      <c r="E310" s="67" t="inlineStr">
        <is>
          <t xml:space="preserve">Net electrolytic O₂ with no biological uptake (Electrochemistry D29).</t>
        </is>
      </c>
    </row>
    <row r="311">
      <c r="A311" s="20" t="inlineStr">
        <is>
          <t xml:space="preserve">(import) H₂ generation rate</t>
        </is>
      </c>
      <c r="B311" s="20" t="inlineStr">
        <is>
          <t xml:space="preserve">rH2_gen</t>
        </is>
      </c>
      <c r="C311" s="20" t="inlineStr">
        <is>
          <t xml:space="preserve">mol/h</t>
        </is>
      </c>
      <c r="D311" s="142">
        <f>Electrochemistry!$D$21</f>
        <v>0.0001017274698715</v>
      </c>
      <c r="E311" s="135" t="inlineStr">
        <is>
          <t xml:space="preserve">Import from Electrochemistry!D21.</t>
        </is>
      </c>
    </row>
    <row r="312">
      <c r="A312" s="20" t="inlineStr">
        <is>
          <t xml:space="preserve">(import) H₂ consumed</t>
        </is>
      </c>
      <c r="B312" s="20" t="inlineStr">
        <is>
          <t xml:space="preserve">H2_cons</t>
        </is>
      </c>
      <c r="C312" s="20" t="inlineStr">
        <is>
          <t xml:space="preserve">mol/h</t>
        </is>
      </c>
      <c r="D312" s="142">
        <f>Biology!$D$13</f>
        <v>0.0001017274698715</v>
      </c>
      <c r="E312" s="135" t="inlineStr">
        <is>
          <t xml:space="preserve">Import from Biology!D13 (100 % uptake in steady growth).</t>
        </is>
      </c>
    </row>
    <row r="313">
      <c r="A313" s="17" t="inlineStr">
        <is>
          <t xml:space="preserve">H₂ to headspace — growth phase</t>
        </is>
      </c>
      <c r="B313" s="18" t="inlineStr">
        <is>
          <t xml:space="preserve">H2_src_g</t>
        </is>
      </c>
      <c r="C313" s="19" t="inlineStr">
        <is>
          <t xml:space="preserve">mol/h</t>
        </is>
      </c>
      <c r="D313" s="48">
        <f>MAX(0,rH2_gen-H2_cons)</f>
        <v>0.0</v>
      </c>
      <c r="E313" s="67" t="inlineStr">
        <is>
          <t xml:space="preserve">Residual H₂ reaching the headspace in growth: zero under the 100 % uptake assumption. A real residual (cathode bubbles bypassing the liquid) is a DATA GAP — see the off-gas H₂ experiment.</t>
        </is>
      </c>
    </row>
    <row r="314">
      <c r="A314" s="17" t="inlineStr">
        <is>
          <t xml:space="preserve">H₂ to headspace — lag phase</t>
        </is>
      </c>
      <c r="B314" s="18" t="inlineStr">
        <is>
          <t xml:space="preserve">H2_src_l</t>
        </is>
      </c>
      <c r="C314" s="19" t="inlineStr">
        <is>
          <t xml:space="preserve">mol/h</t>
        </is>
      </c>
      <c r="D314" s="48">
        <f>rH2_gen</f>
        <v>0.0001017274698715</v>
      </c>
      <c r="E314" s="67" t="inlineStr">
        <is>
          <t xml:space="preserve">All evolved H₂ reaches the headspace before uptake starts.</t>
        </is>
      </c>
    </row>
    <row r="315">
      <c r="A315" s="17" t="inlineStr">
        <is>
          <t xml:space="preserve">CO₂ fixation sink — growth phase</t>
        </is>
      </c>
      <c r="B315" s="18" t="inlineStr">
        <is>
          <t xml:space="preserve">CO2_fix_g</t>
        </is>
      </c>
      <c r="C315" s="19" t="inlineStr">
        <is>
          <t xml:space="preserve">mol/h</t>
        </is>
      </c>
      <c r="D315" s="48">
        <f>CO2_cons</f>
        <v>1.695457831191e-05</v>
      </c>
      <c r="E315" s="67" t="inlineStr">
        <is>
          <t xml:space="preserve">Carbon fixed by the culture (Biology D15) is drawn from the dissolved pool and hence from the headspace.</t>
        </is>
      </c>
    </row>
    <row r="316">
      <c r="A316" s="17" t="inlineStr">
        <is>
          <t xml:space="preserve">CO₂ fixation sink — lag phase</t>
        </is>
      </c>
      <c r="B316" s="18" t="inlineStr">
        <is>
          <t xml:space="preserve">CO2_fix_l</t>
        </is>
      </c>
      <c r="C316" s="19" t="inlineStr">
        <is>
          <t xml:space="preserve">mol/h</t>
        </is>
      </c>
      <c r="D316" s="131">
        <v>0</v>
      </c>
      <c r="E316" s="160" t="inlineStr">
        <is>
          <t xml:space="preserve">By definition of the lag phase: no carbon fixation yet.</t>
        </is>
      </c>
    </row>
    <row r="317">
      <c r="A317" s="17" t="inlineStr">
        <is>
          <t xml:space="preserve">O₂ source — sizing phase</t>
        </is>
      </c>
      <c r="B317" s="18" t="inlineStr">
        <is>
          <t xml:space="preserve">O2_src_sched</t>
        </is>
      </c>
      <c r="C317" s="19" t="inlineStr">
        <is>
          <t xml:space="preserve">mol/h</t>
        </is>
      </c>
      <c r="D317" s="48">
        <f>IF(O2_sizing_phase=phase_name_1,O2_src_g,IF(O2_sizing_phase=phase_name_2,O2_src_l,NA()))</f>
        <v>1.58811785582e-05</v>
      </c>
      <c r="E317" s="67" t="inlineStr">
        <is>
          <t xml:space="preserve">The O₂ source the schedule is sized on, picked by O2_sizing_phase (D304).</t>
        </is>
      </c>
    </row>
    <row r="318">
      <c r="A318" s="17" t="inlineStr">
        <is>
          <t xml:space="preserve">H₂ to headspace — sizing phase</t>
        </is>
      </c>
      <c r="B318" s="18" t="inlineStr">
        <is>
          <t xml:space="preserve">H2_src_sched</t>
        </is>
      </c>
      <c r="C318" s="19" t="inlineStr">
        <is>
          <t xml:space="preserve">mol/h</t>
        </is>
      </c>
      <c r="D318" s="48">
        <f>IF(O2_sizing_phase=phase_name_1,H2_src_g,IF(O2_sizing_phase=phase_name_2,H2_src_l,NA()))</f>
        <v>0.0</v>
      </c>
      <c r="E318" s="67" t="inlineStr">
        <is>
          <t xml:space="preserve">As above, for H₂ (a diluent in the balance).</t>
        </is>
      </c>
    </row>
    <row r="319">
      <c r="A319" s="17" t="inlineStr">
        <is>
          <t xml:space="preserve">CO₂ fixation sink — sizing phase</t>
        </is>
      </c>
      <c r="B319" s="18" t="inlineStr">
        <is>
          <t xml:space="preserve">CO2_fix_sched</t>
        </is>
      </c>
      <c r="C319" s="19" t="inlineStr">
        <is>
          <t xml:space="preserve">mol/h</t>
        </is>
      </c>
      <c r="D319" s="48">
        <f>IF(O2_sizing_phase=phase_name_1,CO2_fix_g,IF(O2_sizing_phase=phase_name_2,CO2_fix_l,NA()))</f>
        <v>1.695457831191e-05</v>
      </c>
      <c r="E319" s="67" t="inlineStr">
        <is>
          <t xml:space="preserve">As above, for the fixation sink.</t>
        </is>
      </c>
    </row>
    <row r="320">
      <c r="A320" s="17" t="inlineStr">
        <is>
          <t xml:space="preserve">Headspace volumes per pulse (optimal pulse)</t>
        </is>
      </c>
      <c r="B320" s="18" t="inlineStr">
        <is>
          <t xml:space="preserve">flush_vol_opt</t>
        </is>
      </c>
      <c r="C320" s="19" t="inlineStr">
        <is>
          <t xml:space="preserve">-</t>
        </is>
      </c>
      <c r="D320" s="48">
        <f>nCO2_rate*spg_dur_opt/n_hs_gas</f>
        <v>1.0</v>
      </c>
      <c r="E320" s="67" t="inlineStr">
        <is>
          <t xml:space="preserve">CO₂ delivered by the optimal pulse (D90) in headspace volumes; = flush_factor unless the solenoid floor binds. Used for sizing, so it must not depend on the schedule in use.</t>
        </is>
      </c>
    </row>
    <row r="321">
      <c r="A321" s="17" t="inlineStr">
        <is>
          <t xml:space="preserve">Headspace retained through the optimal pulse</t>
        </is>
      </c>
      <c r="B321" s="18" t="inlineStr">
        <is>
          <t xml:space="preserve">flush_ret_opt</t>
        </is>
      </c>
      <c r="C321" s="19" t="inlineStr">
        <is>
          <t xml:space="preserve">-</t>
        </is>
      </c>
      <c r="D321" s="48">
        <f>EXP(-flush_vol_opt)</f>
        <v>0.367879441171</v>
      </c>
      <c r="E321" s="68" t="inlineStr">
        <is>
          <t xml:space="preserve">Design assumption: the pulse flushes a WELL-MIXED headspace, so exp(−volumes) of the old gas survives it (plug flow would leave none). The 5 mm-high headspace disk sits between the two; well-mixed is the conservative choice for every dilution verdict here.</t>
        </is>
      </c>
    </row>
    <row r="322">
      <c r="A322" s="17" t="inlineStr">
        <is>
          <t xml:space="preserve">Sawtooth factor (time-mean ÷ flux-mean headspace O₂)</t>
        </is>
      </c>
      <c r="B322" s="18" t="inlineStr">
        <is>
          <t xml:space="preserve">saw_factor</t>
        </is>
      </c>
      <c r="C322" s="19" t="inlineStr">
        <is>
          <t xml:space="preserve">-</t>
        </is>
      </c>
      <c r="D322" s="48">
        <f>flush_vol_opt*(1+flush_ret_opt)/(2*(1-flush_ret_opt))</f>
        <v>1.081976706869</v>
      </c>
      <c r="E322" s="68" t="inlineStr">
        <is>
          <t xml:space="preserve">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is>
      </c>
    </row>
    <row r="323">
      <c r="A323" s="17" t="inlineStr">
        <is>
          <t xml:space="preserve">Headspace volumes per pulse (schedule in use)</t>
        </is>
      </c>
      <c r="B323" s="18" t="inlineStr">
        <is>
          <t xml:space="preserve">flush_vol</t>
        </is>
      </c>
      <c r="C323" s="19" t="inlineStr">
        <is>
          <t xml:space="preserve">-</t>
        </is>
      </c>
      <c r="D323" s="48">
        <f>CO2_pulse/n_hs_gas</f>
        <v>1.0</v>
      </c>
      <c r="E323" s="67" t="inlineStr">
        <is>
          <t xml:space="preserve">CO₂ actually delivered per pulse (D123, follows any override) in headspace volumes.</t>
        </is>
      </c>
    </row>
    <row r="324">
      <c r="A324" s="17" t="inlineStr">
        <is>
          <t xml:space="preserve">Headspace retained through a pulse (schedule in use)</t>
        </is>
      </c>
      <c r="B324" s="18" t="inlineStr">
        <is>
          <t xml:space="preserve">flush_ret</t>
        </is>
      </c>
      <c r="C324" s="19" t="inlineStr">
        <is>
          <t xml:space="preserve">-</t>
        </is>
      </c>
      <c r="D324" s="48">
        <f>EXP(-flush_vol)</f>
        <v>0.367879441171</v>
      </c>
      <c r="E324" s="68" t="inlineStr">
        <is>
          <t xml:space="preserve">exp(−volumes), well-mixed flush as above.</t>
        </is>
      </c>
    </row>
    <row r="325">
      <c r="A325" s="17" t="inlineStr">
        <is>
          <t xml:space="preserve">Gap between pulses</t>
        </is>
      </c>
      <c r="B325" s="18" t="inlineStr">
        <is>
          <t xml:space="preserve">t_gap_h</t>
        </is>
      </c>
      <c r="C325" s="19" t="inlineStr">
        <is>
          <t xml:space="preserve">h</t>
        </is>
      </c>
      <c r="D325" s="48">
        <f>t_off_CO2/3600</f>
        <v>0.212060674027</v>
      </c>
      <c r="E325" s="67" t="inlineStr">
        <is>
          <t xml:space="preserve">D152 in hours, to match the mol/h flows.</t>
        </is>
      </c>
    </row>
    <row r="326">
      <c r="A326" s="17" t="inlineStr">
        <is>
          <t xml:space="preserve">Liquid O₂ response time</t>
        </is>
      </c>
      <c r="B326" s="18" t="inlineStr">
        <is>
          <t xml:space="preserve">tau_L_h</t>
        </is>
      </c>
      <c r="C326" s="19" t="inlineStr">
        <is>
          <t xml:space="preserve">h</t>
        </is>
      </c>
      <c r="D326" s="48">
        <f>1/(kLa_surf_used*3600)</f>
        <v>0.038579691488</v>
      </c>
      <c r="E326" s="67" t="inlineStr">
        <is>
          <t xml:space="preserve">1/kLa: how fast the dissolved O₂ follows the headspace (D98).</t>
        </is>
      </c>
    </row>
    <row r="327">
      <c r="A327" s="17" t="inlineStr">
        <is>
          <t xml:space="preserve">Headspace O₂ inflow — growth</t>
        </is>
      </c>
      <c r="B327" s="18" t="inlineStr">
        <is>
          <t xml:space="preserve">S_O2_g</t>
        </is>
      </c>
      <c r="C327" s="19" t="inlineStr">
        <is>
          <t xml:space="preserve">mol/h</t>
        </is>
      </c>
      <c r="D327" s="48">
        <f>O2_src_g+y_O2_air*F_vent_ex</f>
        <v>1.58811785582e-05</v>
      </c>
      <c r="E327" s="67" t="inlineStr">
        <is>
          <t xml:space="preserve">O₂ entering the headspace: from the liquid (the whole source must leave this way at steady state) plus the O₂ in any exchanged air.</t>
        </is>
      </c>
    </row>
    <row r="328">
      <c r="A328" s="17" t="inlineStr">
        <is>
          <t xml:space="preserve">Net vent outflow, cycle mean — growth</t>
        </is>
      </c>
      <c r="B328" s="18" t="inlineStr">
        <is>
          <t xml:space="preserve">F_hs_net_g</t>
        </is>
      </c>
      <c r="C328" s="19" t="inlineStr">
        <is>
          <t xml:space="preserve">mol/h</t>
        </is>
      </c>
      <c r="D328" s="48">
        <f>CO2_supply+O2_src_g+H2_src_g-CO2_fix_g</f>
        <v>0.0005019472527364</v>
      </c>
      <c r="E328" s="67" t="inlineStr">
        <is>
          <t xml:space="preserve">Everything entering the headspace over a cycle minus the fixation sink: the gas that must leave through the vent on average.</t>
        </is>
      </c>
    </row>
    <row r="329">
      <c r="A329" s="17" t="inlineStr">
        <is>
          <t xml:space="preserve">Mean-field headspace O₂ — growth</t>
        </is>
      </c>
      <c r="B329" s="18" t="inlineStr">
        <is>
          <t xml:space="preserve">y_O2_mf_g</t>
        </is>
      </c>
      <c r="C329" s="19" t="inlineStr">
        <is>
          <t xml:space="preserve">-</t>
        </is>
      </c>
      <c r="D329" s="48">
        <f>IF(F_vent_ex+F_hs_net_g&gt;0,S_O2_g/(F_vent_ex+F_hs_net_g),NA())</f>
        <v>0.031639138319</v>
      </c>
      <c r="E329" s="67" t="inlineStr">
        <is>
          <t xml:space="preserve">ONE headspace balance, flux-weighted: O₂ in ÷ all gas out (vent outflow plus exchange). Reduces to O₂/(O₂+CO₂) with no exchange, no H₂ and no fixation — the old D187. Biology D85 is the same balance on the lag source.</t>
        </is>
      </c>
    </row>
    <row r="330">
      <c r="A330" s="17" t="inlineStr">
        <is>
          <t xml:space="preserve">Mean-field headspace H₂ — growth</t>
        </is>
      </c>
      <c r="B330" s="18" t="inlineStr">
        <is>
          <t xml:space="preserve">y_H2_mf_g</t>
        </is>
      </c>
      <c r="C330" s="19" t="inlineStr">
        <is>
          <t xml:space="preserve">-</t>
        </is>
      </c>
      <c r="D330" s="48">
        <f>IF(F_vent_ex+F_hs_net_g&gt;0,H2_src_g/(F_vent_ex+F_hs_net_g),NA())</f>
        <v>0.0</v>
      </c>
      <c r="E330" s="67" t="inlineStr">
        <is>
          <t xml:space="preserve">Same balance for H₂ (Biology D84 on the lag source).</t>
        </is>
      </c>
    </row>
    <row r="331">
      <c r="A331" s="17" t="inlineStr">
        <is>
          <t xml:space="preserve">Gas leaving between pulses — growth</t>
        </is>
      </c>
      <c r="B331" s="18" t="inlineStr">
        <is>
          <t xml:space="preserve">F_gap_g</t>
        </is>
      </c>
      <c r="C331" s="19" t="inlineStr">
        <is>
          <t xml:space="preserve">mol/h</t>
        </is>
      </c>
      <c r="D331" s="48">
        <f>F_vent_ex+MAX(0,O2_src_g+H2_src_g-CO2_fix_g)</f>
        <v>0.0</v>
      </c>
      <c r="E331" s="67" t="inlineStr">
        <is>
          <t xml:space="preserve">What leaves the headspace during the gap: the exchange flow plus the net evolved gas that must be vented to hold 1 atm. Floored at zero — when fixation outpaces evolution the headspace merely sags, nothing leaves.</t>
        </is>
      </c>
    </row>
    <row r="332">
      <c r="A332" s="17" t="inlineStr">
        <is>
          <t xml:space="preserve">Headspace turnovers per gap — growth</t>
        </is>
      </c>
      <c r="B332" s="18" t="inlineStr">
        <is>
          <t xml:space="preserve">x_hs_g</t>
        </is>
      </c>
      <c r="C332" s="19" t="inlineStr">
        <is>
          <t xml:space="preserve">-</t>
        </is>
      </c>
      <c r="D332" s="48">
        <f>F_gap_g*t_gap_h/n_hs_gas</f>
        <v>0.0</v>
      </c>
      <c r="E332" s="67" t="inlineStr">
        <is>
          <t xml:space="preserve">Dimensionless gap length for the headspace ramp.</t>
        </is>
      </c>
    </row>
    <row r="333">
      <c r="A333" s="17" t="inlineStr">
        <is>
          <t xml:space="preserve">Φ(x) = (1−e^−x)/x — growth</t>
        </is>
      </c>
      <c r="B333" s="18" t="inlineStr">
        <is>
          <t xml:space="preserve">phi_hs_g</t>
        </is>
      </c>
      <c r="C333" s="19" t="inlineStr">
        <is>
          <t xml:space="preserve">-</t>
        </is>
      </c>
      <c r="D333" s="48">
        <f>IF(x_hs_g&gt;0,(1-EXP(-x_hs_g))/x_hs_g,1)</f>
        <v>1.0</v>
      </c>
      <c r="E333" s="67" t="inlineStr">
        <is>
          <t xml:space="preserve">Exponential-ramp helper; the limit at x → 0 is 1, which keeps the slow-vent case singularity-free.</t>
        </is>
      </c>
    </row>
    <row r="334">
      <c r="A334" s="17" t="inlineStr">
        <is>
          <t xml:space="preserve">Ψ(x) = (x−1+e^−x)/x² — growth</t>
        </is>
      </c>
      <c r="B334" s="18" t="inlineStr">
        <is>
          <t xml:space="preserve">psi_hs_g</t>
        </is>
      </c>
      <c r="C334" s="19" t="inlineStr">
        <is>
          <t xml:space="preserve">-</t>
        </is>
      </c>
      <c r="D334" s="48">
        <f>IF(x_hs_g&gt;0,(x_hs_g-1+EXP(-x_hs_g))/x_hs_g^2,1/2)</f>
        <v>0.5</v>
      </c>
      <c r="E334" s="67" t="inlineStr">
        <is>
          <t xml:space="preserve">Time-mean helper for the same ramp; the limit at x → 0 is ½ (mean of a linear ramp).</t>
        </is>
      </c>
    </row>
    <row r="335">
      <c r="A335" s="17" t="inlineStr">
        <is>
          <t xml:space="preserve">O₂ rise per gap, undiluted — growth</t>
        </is>
      </c>
      <c r="B335" s="18" t="inlineStr">
        <is>
          <t xml:space="preserve">dy_O2_g</t>
        </is>
      </c>
      <c r="C335" s="19" t="inlineStr">
        <is>
          <t xml:space="preserve">-</t>
        </is>
      </c>
      <c r="D335" s="48">
        <f>S_O2_g*t_gap_h/n_hs_gas</f>
        <v>0.031539212614</v>
      </c>
      <c r="E335" s="67" t="inlineStr">
        <is>
          <t xml:space="preserve">Headspace O₂ fraction gained over one gap if nothing left.</t>
        </is>
      </c>
    </row>
    <row r="336">
      <c r="A336" s="17" t="inlineStr">
        <is>
          <t xml:space="preserve">Headspace O₂ just before a pulse — growth</t>
        </is>
      </c>
      <c r="B336" s="18" t="inlineStr">
        <is>
          <t xml:space="preserve">y_O2_end_g</t>
        </is>
      </c>
      <c r="C336" s="19" t="inlineStr">
        <is>
          <t xml:space="preserve">-</t>
        </is>
      </c>
      <c r="D336" s="48">
        <f>dy_O2_g*phi_hs_g/(1-flush_ret*EXP(-x_hs_g))</f>
        <v>0.049894299708</v>
      </c>
      <c r="E336" s="68" t="inlineStr">
        <is>
          <t xml:space="preserve">Periodic solution of n·dy/dt = S − y·L over the gap with each pulse retaining flush_ret of the headspace: the sawtooth top.</t>
        </is>
      </c>
    </row>
    <row r="337">
      <c r="A337" s="17" t="inlineStr">
        <is>
          <t xml:space="preserve">Headspace O₂ just after a pulse — growth</t>
        </is>
      </c>
      <c r="B337" s="18" t="inlineStr">
        <is>
          <t xml:space="preserve">y_O2_post_g</t>
        </is>
      </c>
      <c r="C337" s="19" t="inlineStr">
        <is>
          <t xml:space="preserve">-</t>
        </is>
      </c>
      <c r="D337" s="48">
        <f>y_O2_end_g*flush_ret</f>
        <v>0.018355087094</v>
      </c>
      <c r="E337" s="68" t="inlineStr">
        <is>
          <t xml:space="preserve">Sawtooth bottom.</t>
        </is>
      </c>
    </row>
    <row r="338">
      <c r="A338" s="17" t="inlineStr">
        <is>
          <t xml:space="preserve">Time-mean headspace O₂ — growth</t>
        </is>
      </c>
      <c r="B338" s="18" t="inlineStr">
        <is>
          <t xml:space="preserve">y_O2_avg_g</t>
        </is>
      </c>
      <c r="C338" s="19" t="inlineStr">
        <is>
          <t xml:space="preserve">-</t>
        </is>
      </c>
      <c r="D338" s="48">
        <f>y_O2_post_g*phi_hs_g+dy_O2_g*psi_hs_g</f>
        <v>0.034124693401</v>
      </c>
      <c r="E338" s="68" t="inlineStr">
        <is>
          <t xml:space="preserve">Exact time average of that ramp — what the liquid equilibrates with.</t>
        </is>
      </c>
    </row>
    <row r="339">
      <c r="A339" s="17" t="inlineStr">
        <is>
          <t xml:space="preserve">DO excess needed to drive the surface flux — growth</t>
        </is>
      </c>
      <c r="B339" s="18" t="inlineStr">
        <is>
          <t xml:space="preserve">DO_surf_excess_g</t>
        </is>
      </c>
      <c r="C339" s="19" t="inlineStr">
        <is>
          <t xml:space="preserve">mol/m³</t>
        </is>
      </c>
      <c r="D339" s="48">
        <f>O2_src_g/(kLa_surf_used*3600*V_L_m3)</f>
        <v>0.040846064617</v>
      </c>
      <c r="E339" s="67" t="inlineStr">
        <is>
          <t xml:space="preserve">flux = kLa·V·(C − C*) on the growth source (companion of D181 for lag).</t>
        </is>
      </c>
    </row>
    <row r="340">
      <c r="A340" s="17" t="inlineStr">
        <is>
          <t xml:space="preserve">Mean-field DO — growth</t>
        </is>
      </c>
      <c r="B340" s="18" t="inlineStr">
        <is>
          <t xml:space="preserve">DO_mf_g</t>
        </is>
      </c>
      <c r="C340" s="19" t="inlineStr">
        <is>
          <t xml:space="preserve">mol/m³</t>
        </is>
      </c>
      <c r="D340" s="48">
        <f>DO_surf_excess_g+H_O2_T*P_atm*y_O2_mf_g</f>
        <v>0.079316092899</v>
      </c>
      <c r="E340" s="67" t="inlineStr">
        <is>
          <t xml:space="preserve">Surface excess plus Henry equilibrium with the flux-mean headspace: the quantity the sizing (D184) holds at DO_target ÷ saw_factor.</t>
        </is>
      </c>
    </row>
    <row r="341">
      <c r="A341" s="17" t="inlineStr">
        <is>
          <t xml:space="preserve">Cycle-mean DO — growth</t>
        </is>
      </c>
      <c r="B341" s="18" t="inlineStr">
        <is>
          <t xml:space="preserve">DO_avg_g</t>
        </is>
      </c>
      <c r="C341" s="19" t="inlineStr">
        <is>
          <t xml:space="preserve">mol/m³</t>
        </is>
      </c>
      <c r="D341" s="48">
        <f>DO_surf_excess_g+H_O2_T*P_atm*y_O2_avg_g</f>
        <v>0.082338279323</v>
      </c>
      <c r="E341" s="68" t="inlineStr">
        <is>
          <t xml:space="preserve">Surface excess plus equilibrium with the TIME-mean headspace: the time-mean of the liquid is exactly this (linear liquid balance).</t>
        </is>
      </c>
    </row>
    <row r="342">
      <c r="A342" s="17" t="inlineStr">
        <is>
          <t xml:space="preserve">Peak DO — growth</t>
        </is>
      </c>
      <c r="B342" s="18" t="inlineStr">
        <is>
          <t xml:space="preserve">DO_peak_g</t>
        </is>
      </c>
      <c r="C342" s="19" t="inlineStr">
        <is>
          <t xml:space="preserve">mol/m³</t>
        </is>
      </c>
      <c r="D342" s="48">
        <f>DO_surf_excess_g+H_O2_T*P_atm*MAX(y_O2_avg_g,y_O2_end_g-(S_O2_g-F_gap_g*y_O2_end_g)/n_hs_gas*tau_L_h)</f>
        <v>0.094535887493</v>
      </c>
      <c r="E342"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43">
      <c r="A343" s="17" t="inlineStr">
        <is>
          <t xml:space="preserve">Cycle-mean DO — growth (mg/L)</t>
        </is>
      </c>
      <c r="B343" s="18" t="inlineStr">
        <is>
          <t xml:space="preserve">DO_avg_g_mgL</t>
        </is>
      </c>
      <c r="C343" s="19" t="inlineStr">
        <is>
          <t xml:space="preserve">mg/L</t>
        </is>
      </c>
      <c r="D343" s="48">
        <f>DO_avg_g*M_O2</f>
        <v>2.634660261764</v>
      </c>
      <c r="E343" s="68" t="inlineStr">
        <is>
          <t xml:space="preserve">For the Summary.</t>
        </is>
      </c>
    </row>
    <row r="344">
      <c r="A344" s="17" t="inlineStr">
        <is>
          <t xml:space="preserve">Peak DO — growth (mg/L)</t>
        </is>
      </c>
      <c r="B344" s="18" t="inlineStr">
        <is>
          <t xml:space="preserve">DO_peak_g_mgL</t>
        </is>
      </c>
      <c r="C344" s="19" t="inlineStr">
        <is>
          <t xml:space="preserve">mg/L</t>
        </is>
      </c>
      <c r="D344" s="48">
        <f>DO_peak_g*M_O2</f>
        <v>3.024959328002</v>
      </c>
      <c r="E344" s="68" t="inlineStr">
        <is>
          <t xml:space="preserve">For the Summary.</t>
        </is>
      </c>
    </row>
    <row r="345">
      <c r="A345" s="17" t="inlineStr">
        <is>
          <t xml:space="preserve">Surface kLa required at the target DO — growth</t>
        </is>
      </c>
      <c r="B345" s="18" t="inlineStr">
        <is>
          <t xml:space="preserve">kLa_surf_req_g</t>
        </is>
      </c>
      <c r="C345" s="19" t="inlineStr">
        <is>
          <t xml:space="preserve">1/s</t>
        </is>
      </c>
      <c r="D345" s="48">
        <f>O2_src_g/(DO_target*3600*V_L_m3)</f>
        <v>0.003566106821</v>
      </c>
      <c r="E345" s="67" t="inlineStr">
        <is>
          <t xml:space="preserve">Below this no sparge interval can hold the target on this source.</t>
        </is>
      </c>
    </row>
    <row r="346">
      <c r="A346" s="17" t="inlineStr">
        <is>
          <t xml:space="preserve">kLa feasibility margin — growth</t>
        </is>
      </c>
      <c r="B346" s="18" t="inlineStr">
        <is>
          <t xml:space="preserve">kLa_margin_g</t>
        </is>
      </c>
      <c r="C346" s="19" t="inlineStr">
        <is>
          <t xml:space="preserve">×</t>
        </is>
      </c>
      <c r="D346" s="48">
        <f>kLa_surf_used/kLa_surf_req_g</f>
        <v>2.019037572031</v>
      </c>
      <c r="E346" s="67" t="inlineStr">
        <is>
          <t xml:space="preserve">kLa in use ÷ kLa required. Below 1 the target is unreachable on this phase at any interval.</t>
        </is>
      </c>
    </row>
    <row r="347">
      <c r="A347" s="20" t="inlineStr">
        <is>
          <t xml:space="preserve">DO target reachable? — growth</t>
        </is>
      </c>
      <c r="B347" s="18" t="inlineStr">
        <is>
          <t xml:space="preserve">DO_feas_g</t>
        </is>
      </c>
      <c r="C347" s="19" t="inlineStr">
        <is>
          <t xml:space="preserve">-</t>
        </is>
      </c>
      <c r="D347" s="28" t="str">
        <f>IF(kLa_margin_g&gt;=1,"reachable – kLa margin "&amp;TEXT(kLa_margin_g,"0.00")&amp;"×","UNREACHABLE at this surface kLa – margin "&amp;TEXT(kLa_margin_g,"0.00")&amp;"× (raise kL_surf, lower the current, or accept a higher DO)")</f>
        <v>reachable – kLa margin 2.02×</v>
      </c>
      <c r="E347" s="67" t="inlineStr">
        <is>
          <t xml:space="preserve">Feasibility verdict for this phase, independent of which phase the schedule is sized on.</t>
        </is>
      </c>
    </row>
    <row r="348">
      <c r="A348" s="20" t="inlineStr">
        <is>
          <t xml:space="preserve">Peak DO vs inhibition ceiling — growth</t>
        </is>
      </c>
      <c r="B348" s="18" t="inlineStr">
        <is>
          <t xml:space="preserve">DO_peak_chk_g</t>
        </is>
      </c>
      <c r="C348" s="19" t="inlineStr">
        <is>
          <t xml:space="preserve">-</t>
        </is>
      </c>
      <c r="D348" s="28" t="str">
        <f>IF(DO_peak_g&lt;=O2_ceil_C,"peak "&amp;TEXT(DO_peak_g_mgL,"0.0")&amp;" mg/L under the "&amp;TEXT(O2_ceil_C*M_O2,"0.0")&amp;" mg/L ceiling","PEAK "&amp;TEXT(DO_peak_g_mgL,"0.0")&amp;" mg/L OVER THE "&amp;TEXT(O2_ceil_C*M_O2,"0.0")&amp;" mg/L INHIBITION CEILING")</f>
        <v>peak 3.0 mg/L under the 11.7 mg/L ceiling</v>
      </c>
      <c r="E348" s="67" t="inlineStr">
        <is>
          <t xml:space="preserve">The sawtooth peak against the growth-inhibition ceiling (Biology D27). Not a tautology: the peak is not what the schedule is sized on.</t>
        </is>
      </c>
    </row>
    <row r="349">
      <c r="A349" s="17" t="inlineStr">
        <is>
          <t xml:space="preserve">Headspace O₂ inflow — lag</t>
        </is>
      </c>
      <c r="B349" s="18" t="inlineStr">
        <is>
          <t xml:space="preserve">S_O2_l</t>
        </is>
      </c>
      <c r="C349" s="19" t="inlineStr">
        <is>
          <t xml:space="preserve">mol/h</t>
        </is>
      </c>
      <c r="D349" s="48">
        <f>O2_src_l+y_O2_air*F_vent_ex</f>
        <v>4.979033518202e-05</v>
      </c>
      <c r="E349" s="67" t="inlineStr">
        <is>
          <t xml:space="preserve">O₂ entering the headspace: from the liquid (the whole source must leave this way at steady state) plus the O₂ in any exchanged air.</t>
        </is>
      </c>
    </row>
    <row r="350">
      <c r="A350" s="17" t="inlineStr">
        <is>
          <t xml:space="preserve">Net vent outflow, cycle mean — lag</t>
        </is>
      </c>
      <c r="B350" s="18" t="inlineStr">
        <is>
          <t xml:space="preserve">F_hs_net_l</t>
        </is>
      </c>
      <c r="C350" s="19" t="inlineStr">
        <is>
          <t xml:space="preserve">mol/h</t>
        </is>
      </c>
      <c r="D350" s="48">
        <f>CO2_supply+O2_src_l+H2_src_l-CO2_fix_l</f>
        <v>0.0006545384575436</v>
      </c>
      <c r="E350" s="67" t="inlineStr">
        <is>
          <t xml:space="preserve">Everything entering the headspace over a cycle minus the fixation sink: the gas that must leave through the vent on average.</t>
        </is>
      </c>
    </row>
    <row r="351">
      <c r="A351" s="17" t="inlineStr">
        <is>
          <t xml:space="preserve">Mean-field headspace O₂ — lag</t>
        </is>
      </c>
      <c r="B351" s="18" t="inlineStr">
        <is>
          <t xml:space="preserve">y_O2_mf_l</t>
        </is>
      </c>
      <c r="C351" s="19" t="inlineStr">
        <is>
          <t xml:space="preserve">-</t>
        </is>
      </c>
      <c r="D351" s="48">
        <f>IF(F_vent_ex+F_hs_net_l&gt;0,S_O2_l/(F_vent_ex+F_hs_net_l),NA())</f>
        <v>0.076069380811</v>
      </c>
      <c r="E351" s="67" t="inlineStr">
        <is>
          <t xml:space="preserve">ONE headspace balance, flux-weighted: O₂ in ÷ all gas out (vent outflow plus exchange). Reduces to O₂/(O₂+CO₂) with no exchange, no H₂ and no fixation — the old D187. Biology D85 is the same balance on the lag source.</t>
        </is>
      </c>
    </row>
    <row r="352">
      <c r="A352" s="17" t="inlineStr">
        <is>
          <t xml:space="preserve">Mean-field headspace H₂ — lag</t>
        </is>
      </c>
      <c r="B352" s="18" t="inlineStr">
        <is>
          <t xml:space="preserve">y_H2_mf_l</t>
        </is>
      </c>
      <c r="C352" s="19" t="inlineStr">
        <is>
          <t xml:space="preserve">-</t>
        </is>
      </c>
      <c r="D352" s="48">
        <f>IF(F_vent_ex+F_hs_net_l&gt;0,H2_src_l/(F_vent_ex+F_hs_net_l),NA())</f>
        <v>0.155418629263</v>
      </c>
      <c r="E352" s="67" t="inlineStr">
        <is>
          <t xml:space="preserve">Same balance for H₂ (Biology D84 on the lag source).</t>
        </is>
      </c>
    </row>
    <row r="353">
      <c r="A353" s="17" t="inlineStr">
        <is>
          <t xml:space="preserve">Gas leaving between pulses — lag</t>
        </is>
      </c>
      <c r="B353" s="18" t="inlineStr">
        <is>
          <t xml:space="preserve">F_gap_l</t>
        </is>
      </c>
      <c r="C353" s="19" t="inlineStr">
        <is>
          <t xml:space="preserve">mol/h</t>
        </is>
      </c>
      <c r="D353" s="48">
        <f>F_vent_ex+MAX(0,O2_src_l+H2_src_l-CO2_fix_l)</f>
        <v>0.0001515178050535</v>
      </c>
      <c r="E353" s="67" t="inlineStr">
        <is>
          <t xml:space="preserve">What leaves the headspace during the gap: the exchange flow plus the net evolved gas that must be vented to hold 1 atm. Floored at zero — when fixation outpaces evolution the headspace merely sags, nothing leaves.</t>
        </is>
      </c>
    </row>
    <row r="354">
      <c r="A354" s="17" t="inlineStr">
        <is>
          <t xml:space="preserve">Headspace turnovers per gap — lag</t>
        </is>
      </c>
      <c r="B354" s="18" t="inlineStr">
        <is>
          <t xml:space="preserve">x_hs_l</t>
        </is>
      </c>
      <c r="C354" s="19" t="inlineStr">
        <is>
          <t xml:space="preserve">-</t>
        </is>
      </c>
      <c r="D354" s="48">
        <f>F_gap_l*t_gap_h/n_hs_gas</f>
        <v>0.300906651909</v>
      </c>
      <c r="E354" s="67" t="inlineStr">
        <is>
          <t xml:space="preserve">Dimensionless gap length for the headspace ramp.</t>
        </is>
      </c>
    </row>
    <row r="355">
      <c r="A355" s="17" t="inlineStr">
        <is>
          <t xml:space="preserve">Φ(x) = (1−e^−x)/x — lag</t>
        </is>
      </c>
      <c r="B355" s="18" t="inlineStr">
        <is>
          <t xml:space="preserve">phi_hs_l</t>
        </is>
      </c>
      <c r="C355" s="19" t="inlineStr">
        <is>
          <t xml:space="preserve">-</t>
        </is>
      </c>
      <c r="D355" s="48">
        <f>IF(x_hs_l&gt;0,(1-EXP(-x_hs_l))/x_hs_l,1)</f>
        <v>0.863567280859</v>
      </c>
      <c r="E355" s="67" t="inlineStr">
        <is>
          <t xml:space="preserve">Exponential-ramp helper; the limit at x → 0 is 1, which keeps the slow-vent case singularity-free.</t>
        </is>
      </c>
    </row>
    <row r="356">
      <c r="A356" s="17" t="inlineStr">
        <is>
          <t xml:space="preserve">Ψ(x) = (x−1+e^−x)/x² — lag</t>
        </is>
      </c>
      <c r="B356" s="18" t="inlineStr">
        <is>
          <t xml:space="preserve">psi_hs_l</t>
        </is>
      </c>
      <c r="C356" s="19" t="inlineStr">
        <is>
          <t xml:space="preserve">-</t>
        </is>
      </c>
      <c r="D356" s="48">
        <f>IF(x_hs_l&gt;0,(x_hs_l-1+EXP(-x_hs_l))/x_hs_l^2,1/2)</f>
        <v>0.453405460715</v>
      </c>
      <c r="E356" s="67" t="inlineStr">
        <is>
          <t xml:space="preserve">Time-mean helper for the same ramp; the limit at x → 0 is ½ (mean of a linear ramp).</t>
        </is>
      </c>
    </row>
    <row r="357">
      <c r="A357" s="17" t="inlineStr">
        <is>
          <t xml:space="preserve">O₂ rise per gap, undiluted — lag</t>
        </is>
      </c>
      <c r="B357" s="18" t="inlineStr">
        <is>
          <t xml:space="preserve">dy_O2_l</t>
        </is>
      </c>
      <c r="C357" s="19" t="inlineStr">
        <is>
          <t xml:space="preserve">-</t>
        </is>
      </c>
      <c r="D357" s="48">
        <f>S_O2_l*t_gap_h/n_hs_gas</f>
        <v>0.098881072437</v>
      </c>
      <c r="E357" s="67" t="inlineStr">
        <is>
          <t xml:space="preserve">Headspace O₂ fraction gained over one gap if nothing left.</t>
        </is>
      </c>
    </row>
    <row r="358">
      <c r="A358" s="17" t="inlineStr">
        <is>
          <t xml:space="preserve">Headspace O₂ just before a pulse — lag</t>
        </is>
      </c>
      <c r="B358" s="18" t="inlineStr">
        <is>
          <t xml:space="preserve">y_O2_end_l</t>
        </is>
      </c>
      <c r="C358" s="19" t="inlineStr">
        <is>
          <t xml:space="preserve">-</t>
        </is>
      </c>
      <c r="D358" s="48">
        <f>dy_O2_l*phi_hs_l/(1-flush_ret*EXP(-x_hs_l))</f>
        <v>0.117340493152</v>
      </c>
      <c r="E358" s="68" t="inlineStr">
        <is>
          <t xml:space="preserve">Periodic solution of n·dy/dt = S − y·L over the gap with each pulse retaining flush_ret of the headspace: the sawtooth top.</t>
        </is>
      </c>
    </row>
    <row r="359">
      <c r="A359" s="17" t="inlineStr">
        <is>
          <t xml:space="preserve">Headspace O₂ just after a pulse — lag</t>
        </is>
      </c>
      <c r="B359" s="18" t="inlineStr">
        <is>
          <t xml:space="preserve">y_O2_post_l</t>
        </is>
      </c>
      <c r="C359" s="19" t="inlineStr">
        <is>
          <t xml:space="preserve">-</t>
        </is>
      </c>
      <c r="D359" s="48">
        <f>y_O2_end_l*flush_ret</f>
        <v>0.043167155048</v>
      </c>
      <c r="E359" s="68" t="inlineStr">
        <is>
          <t xml:space="preserve">Sawtooth bottom.</t>
        </is>
      </c>
    </row>
    <row r="360">
      <c r="A360" s="17" t="inlineStr">
        <is>
          <t xml:space="preserve">Time-mean headspace O₂ — lag</t>
        </is>
      </c>
      <c r="B360" s="18" t="inlineStr">
        <is>
          <t xml:space="preserve">y_O2_avg_l</t>
        </is>
      </c>
      <c r="C360" s="19" t="inlineStr">
        <is>
          <t xml:space="preserve">-</t>
        </is>
      </c>
      <c r="D360" s="48">
        <f>y_O2_post_l*phi_hs_l+dy_O2_l*psi_hs_l</f>
        <v>0.082110960911</v>
      </c>
      <c r="E360" s="68" t="inlineStr">
        <is>
          <t xml:space="preserve">Exact time average of that ramp — what the liquid equilibrates with.</t>
        </is>
      </c>
    </row>
    <row r="361">
      <c r="A361" s="17" t="inlineStr">
        <is>
          <t xml:space="preserve">Mean-field DO — lag</t>
        </is>
      </c>
      <c r="B361" s="18" t="inlineStr">
        <is>
          <t xml:space="preserve">DO_mf_l</t>
        </is>
      </c>
      <c r="C361" s="19" t="inlineStr">
        <is>
          <t xml:space="preserve">mol/m³</t>
        </is>
      </c>
      <c r="D361" s="48">
        <f>DO_surf_excess_lag+H_O2_T*P_atm*y_O2_mf_l</f>
        <v>0.220552478156</v>
      </c>
      <c r="E361" s="67" t="inlineStr">
        <is>
          <t xml:space="preserve">Surface excess plus Henry equilibrium with the flux-mean headspace: the quantity the sizing (D184) holds at DO_target ÷ saw_factor.</t>
        </is>
      </c>
    </row>
    <row r="362">
      <c r="A362" s="17" t="inlineStr">
        <is>
          <t xml:space="preserve">Cycle-mean DO — lag</t>
        </is>
      </c>
      <c r="B362" s="18" t="inlineStr">
        <is>
          <t xml:space="preserve">DO_avg_l</t>
        </is>
      </c>
      <c r="C362" s="19" t="inlineStr">
        <is>
          <t xml:space="preserve">mol/m³</t>
        </is>
      </c>
      <c r="D362" s="48">
        <f>DO_surf_excess_lag+H_O2_T*P_atm*y_O2_avg_l</f>
        <v>0.227898435401</v>
      </c>
      <c r="E362" s="68" t="inlineStr">
        <is>
          <t xml:space="preserve">Surface excess plus equilibrium with the TIME-mean headspace: the time-mean of the liquid is exactly this (linear liquid balance).</t>
        </is>
      </c>
    </row>
    <row r="363">
      <c r="A363" s="17" t="inlineStr">
        <is>
          <t xml:space="preserve">Peak DO — lag</t>
        </is>
      </c>
      <c r="B363" s="18" t="inlineStr">
        <is>
          <t xml:space="preserve">DO_peak_l</t>
        </is>
      </c>
      <c r="C363" s="19" t="inlineStr">
        <is>
          <t xml:space="preserve">mol/m³</t>
        </is>
      </c>
      <c r="D363" s="48">
        <f>DO_surf_excess_lag+H_O2_T*P_atm*MAX(y_O2_avg_l,y_O2_end_l-(S_O2_l-F_gap_l*y_O2_end_l)/n_hs_gas*tau_L_h)</f>
        <v>0.256671410883</v>
      </c>
      <c r="E363"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64">
      <c r="A364" s="17" t="inlineStr">
        <is>
          <t xml:space="preserve">Cycle-mean DO — lag (mg/L)</t>
        </is>
      </c>
      <c r="B364" s="18" t="inlineStr">
        <is>
          <t xml:space="preserve">DO_avg_l_mgL</t>
        </is>
      </c>
      <c r="C364" s="19" t="inlineStr">
        <is>
          <t xml:space="preserve">mg/L</t>
        </is>
      </c>
      <c r="D364" s="48">
        <f>DO_avg_l*M_O2</f>
        <v>7.292294135948</v>
      </c>
      <c r="E364" s="68" t="inlineStr">
        <is>
          <t xml:space="preserve">For the Summary.</t>
        </is>
      </c>
    </row>
    <row r="365">
      <c r="A365" s="17" t="inlineStr">
        <is>
          <t xml:space="preserve">Peak DO — lag (mg/L)</t>
        </is>
      </c>
      <c r="B365" s="18" t="inlineStr">
        <is>
          <t xml:space="preserve">DO_peak_l_mgL</t>
        </is>
      </c>
      <c r="C365" s="19" t="inlineStr">
        <is>
          <t xml:space="preserve">mg/L</t>
        </is>
      </c>
      <c r="D365" s="48">
        <f>DO_peak_l*M_O2</f>
        <v>8.21297180544</v>
      </c>
      <c r="E365" s="68" t="inlineStr">
        <is>
          <t xml:space="preserve">For the Summary.</t>
        </is>
      </c>
    </row>
    <row r="366">
      <c r="A366" s="17" t="inlineStr">
        <is>
          <t xml:space="preserve">Surface kLa required at the target DO — lag</t>
        </is>
      </c>
      <c r="B366" s="18" t="inlineStr">
        <is>
          <t xml:space="preserve">kLa_surf_req_l</t>
        </is>
      </c>
      <c r="C366" s="19" t="inlineStr">
        <is>
          <t xml:space="preserve">1/s</t>
        </is>
      </c>
      <c r="D366" s="48">
        <f>O2_src_l/(DO_target*3600*V_L_m3)</f>
        <v>0.011180382694</v>
      </c>
      <c r="E366" s="67" t="inlineStr">
        <is>
          <t xml:space="preserve">Below this no sparge interval can hold the target on this source.</t>
        </is>
      </c>
    </row>
    <row r="367">
      <c r="A367" s="17" t="inlineStr">
        <is>
          <t xml:space="preserve">kLa feasibility margin — lag</t>
        </is>
      </c>
      <c r="B367" s="18" t="inlineStr">
        <is>
          <t xml:space="preserve">kLa_margin_l</t>
        </is>
      </c>
      <c r="C367" s="19" t="inlineStr">
        <is>
          <t xml:space="preserve">×</t>
        </is>
      </c>
      <c r="D367" s="48">
        <f>kLa_surf_used/kLa_surf_req_l</f>
        <v>0.643994383246</v>
      </c>
      <c r="E367" s="67" t="inlineStr">
        <is>
          <t xml:space="preserve">kLa in use ÷ kLa required. Below 1 the target is unreachable on this phase at any interval.</t>
        </is>
      </c>
    </row>
    <row r="368">
      <c r="A368" s="20" t="inlineStr">
        <is>
          <t xml:space="preserve">DO target reachable? — lag</t>
        </is>
      </c>
      <c r="B368" s="18" t="inlineStr">
        <is>
          <t xml:space="preserve">DO_feas_l</t>
        </is>
      </c>
      <c r="C368" s="19" t="inlineStr">
        <is>
          <t xml:space="preserve">-</t>
        </is>
      </c>
      <c r="D368" s="28" t="str">
        <f>IF(kLa_margin_l&gt;=1,"reachable – kLa margin "&amp;TEXT(kLa_margin_l,"0.00")&amp;"×","UNREACHABLE at this surface kLa – margin "&amp;TEXT(kLa_margin_l,"0.00")&amp;"× (raise kL_surf, lower the current, or accept a higher DO)")</f>
        <v>UNREACHABLE at this surface kLa – margin 0.64× (raise kL_surf, lower the current, or accept a higher DO)</v>
      </c>
      <c r="E368" s="67" t="inlineStr">
        <is>
          <t xml:space="preserve">Feasibility verdict for this phase, independent of which phase the schedule is sized on.</t>
        </is>
      </c>
    </row>
    <row r="369">
      <c r="A369" s="20" t="inlineStr">
        <is>
          <t xml:space="preserve">Peak DO vs inhibition ceiling — lag</t>
        </is>
      </c>
      <c r="B369" s="18" t="inlineStr">
        <is>
          <t xml:space="preserve">DO_peak_chk_l</t>
        </is>
      </c>
      <c r="C369" s="19" t="inlineStr">
        <is>
          <t xml:space="preserve">-</t>
        </is>
      </c>
      <c r="D369" s="28" t="str">
        <f>IF(DO_peak_l&lt;=O2_ceil_C,"peak "&amp;TEXT(DO_peak_l_mgL,"0.0")&amp;" mg/L under the "&amp;TEXT(O2_ceil_C*M_O2,"0.0")&amp;" mg/L ceiling","PEAK "&amp;TEXT(DO_peak_l_mgL,"0.0")&amp;" mg/L OVER THE "&amp;TEXT(O2_ceil_C*M_O2,"0.0")&amp;" mg/L INHIBITION CEILING")</f>
        <v>peak 8.2 mg/L under the 11.7 mg/L ceiling</v>
      </c>
      <c r="E369" s="67" t="inlineStr">
        <is>
          <t xml:space="preserve">The sawtooth peak against the growth-inhibition ceiling (Biology D27). Not a tautology: the peak is not what the schedule is sized on.</t>
        </is>
      </c>
    </row>
    <row r="371">
      <c r="A371" s="17" t="inlineStr">
        <is>
          <t xml:space="preserve">Gas leaving between pulses — sizing phase</t>
        </is>
      </c>
      <c r="B371" s="18" t="inlineStr">
        <is>
          <t xml:space="preserve">F_gap_sched</t>
        </is>
      </c>
      <c r="C371" s="19" t="inlineStr">
        <is>
          <t xml:space="preserve">mol/h</t>
        </is>
      </c>
      <c r="D371" s="48">
        <f>IF(O2_sizing_phase=phase_name_1,F_gap_g,IF(O2_sizing_phase=phase_name_2,F_gap_l,NA()))</f>
        <v>0.0</v>
      </c>
      <c r="E371" s="67" t="inlineStr">
        <is>
          <t xml:space="preserve">Feeds the headspace turnover k_vent (D143) and hence the CO₂ pool decay.</t>
        </is>
      </c>
    </row>
    <row r="372">
      <c r="A372" s="17" t="inlineStr">
        <is>
          <t xml:space="preserve">Cycle-mean DO — sizing phase</t>
        </is>
      </c>
      <c r="B372" s="18" t="inlineStr">
        <is>
          <t xml:space="preserve">DO_avg_sched</t>
        </is>
      </c>
      <c r="C372" s="19" t="inlineStr">
        <is>
          <t xml:space="preserve">mol/m³</t>
        </is>
      </c>
      <c r="D372" s="48">
        <f>IF(O2_sizing_phase=phase_name_1,DO_avg_g,IF(O2_sizing_phase=phase_name_2,DO_avg_l,NA()))</f>
        <v>0.082338279323</v>
      </c>
      <c r="E372" s="68" t="inlineStr">
        <is>
          <t xml:space="preserve">Feeds D108 (DO_ss).</t>
        </is>
      </c>
    </row>
    <row r="373">
      <c r="A373" s="17" t="inlineStr">
        <is>
          <t xml:space="preserve">Peak DO — sizing phase</t>
        </is>
      </c>
      <c r="B373" s="18" t="inlineStr">
        <is>
          <t xml:space="preserve">DO_peak_sched</t>
        </is>
      </c>
      <c r="C373" s="19" t="inlineStr">
        <is>
          <t xml:space="preserve">mol/m³</t>
        </is>
      </c>
      <c r="D373" s="48">
        <f>IF(O2_sizing_phase=phase_name_1,DO_peak_g,IF(O2_sizing_phase=phase_name_2,DO_peak_l,NA()))</f>
        <v>0.094535887493</v>
      </c>
      <c r="E373" s="68" t="inlineStr">
        <is>
          <t xml:space="preserve">Feeds the organism-band check below and Summary D21.</t>
        </is>
      </c>
    </row>
    <row r="374">
      <c r="A374" s="20" t="inlineStr">
        <is>
          <t xml:space="preserve">Peak DO vs organism band — sizing phase</t>
        </is>
      </c>
      <c r="B374" s="18" t="inlineStr">
        <is>
          <t xml:space="preserve">DO_peak_band</t>
        </is>
      </c>
      <c r="C374" s="19" t="inlineStr">
        <is>
          <t xml:space="preserve">-</t>
        </is>
      </c>
      <c r="D374" s="28" t="str">
        <f>IF(AND(ISNUMBER(DO_opt),ISNUMBER(DO_impair)),IF(DO_peak_sched*M_O2&lt;=DO_opt,"peak at/under optimum",IF(DO_peak_sched*M_O2&lt;DO_impair,"peak above optimum, under impairment","PEAK OVER IMPAIRMENT")),IF(DO_peak_sched&lt;=O2_ceil_C,"organism band unknown – peak "&amp;TEXT(DO_peak_sched*M_O2,"0.0")&amp;" mg/L is under the inhibition ceiling","organism band unknown – PEAK "&amp;TEXT(DO_peak_sched*M_O2,"0.0")&amp;" mg/L OVER THE INHIBITION CEILING"))</f>
        <v>organism band unknown – peak 3.0 mg/L is under the inhibition ceiling</v>
      </c>
      <c r="E374" s="67" t="inlineStr">
        <is>
          <t xml:space="preserve">Replaces the tautological D109 as the Summary O₂ check: the sawtooth peak against the organism band, or against the inhibition ceiling when the band is unmeasured.</t>
        </is>
      </c>
    </row>
    <row r="375">
      <c r="A375" s="17" t="inlineStr">
        <is>
          <t xml:space="preserve">Gap CO₂ change, slow-vent limit</t>
        </is>
      </c>
      <c r="B375" s="18" t="inlineStr">
        <is>
          <t xml:space="preserve">pool_D_raw</t>
        </is>
      </c>
      <c r="C375" s="19" t="inlineStr">
        <is>
          <t xml:space="preserve">mol/m³</t>
        </is>
      </c>
      <c r="D375" s="48">
        <f>(C_air_CO2/C_sat_CO2*F_vent_ex-CO2_fix_sched)*t_gap_h/(V_L_m3+Vg_CO2)</f>
        <v>-0.19762042649</v>
      </c>
      <c r="E375" s="67" t="inlineStr">
        <is>
          <t xml:space="preserve">Pool concentration change over one gap if the decay were linear: CO₂ carried in by exchanged air (air is 0.04 % CO₂) minus carbon fixed, spread over the liquid plus headspace-equivalent volume. Negative = loss.</t>
        </is>
      </c>
    </row>
    <row r="376">
      <c r="A376" s="17" t="inlineStr">
        <is>
          <t xml:space="preserve">Pool turnovers per gap</t>
        </is>
      </c>
      <c r="B376" s="18" t="inlineStr">
        <is>
          <t xml:space="preserve">pool_x</t>
        </is>
      </c>
      <c r="C376" s="19" t="inlineStr">
        <is>
          <t xml:space="preserve">-</t>
        </is>
      </c>
      <c r="D376" s="48">
        <f>k_eff_CO2*t_off_CO2</f>
        <v>0.0</v>
      </c>
      <c r="E376" s="67" t="inlineStr">
        <is>
          <t xml:space="preserve">k_eff·t_gap; pool_e (D197) is exp(−this).</t>
        </is>
      </c>
    </row>
    <row r="377">
      <c r="A377" s="17" t="inlineStr">
        <is>
          <t xml:space="preserve">Φ(x) — pool</t>
        </is>
      </c>
      <c r="B377" s="18" t="inlineStr">
        <is>
          <t xml:space="preserve">pool_phi</t>
        </is>
      </c>
      <c r="C377" s="19" t="inlineStr">
        <is>
          <t xml:space="preserve">-</t>
        </is>
      </c>
      <c r="D377" s="48">
        <f>IF(pool_x&gt;0,(1-EXP(-pool_x))/pool_x,1)</f>
        <v>1.0</v>
      </c>
      <c r="E377" s="67" t="inlineStr">
        <is>
          <t xml:space="preserve">As phi_hs; limit 1 at x → 0 so an outflow-only growth headspace (nothing vented between pulses) stays singularity-free.</t>
        </is>
      </c>
    </row>
    <row r="378">
      <c r="A378" s="17" t="inlineStr">
        <is>
          <t xml:space="preserve">Ψ(x) — pool</t>
        </is>
      </c>
      <c r="B378" s="18" t="inlineStr">
        <is>
          <t xml:space="preserve">pool_psi</t>
        </is>
      </c>
      <c r="C378" s="19" t="inlineStr">
        <is>
          <t xml:space="preserve">-</t>
        </is>
      </c>
      <c r="D378" s="48">
        <f>IF(pool_x&gt;0,(pool_x-1+EXP(-pool_x))/pool_x^2,1/2)</f>
        <v>0.5</v>
      </c>
      <c r="E378" s="67" t="inlineStr">
        <is>
          <t xml:space="preserve">As psi_hs; limit ½.</t>
        </is>
      </c>
    </row>
    <row r="379">
      <c r="A379" s="17" t="inlineStr">
        <is>
          <t xml:space="preserve">Gap CO₂ change</t>
        </is>
      </c>
      <c r="B379" s="18" t="inlineStr">
        <is>
          <t xml:space="preserve">pool_D_gap</t>
        </is>
      </c>
      <c r="C379" s="19" t="inlineStr">
        <is>
          <t xml:space="preserve">mol/m³</t>
        </is>
      </c>
      <c r="D379" s="48">
        <f>pool_D_raw*pool_phi</f>
        <v>-0.19762042649</v>
      </c>
      <c r="E379" s="67" t="inlineStr">
        <is>
          <t xml:space="preserve">The asymptote term of the exponential decay, written as D_raw·Φ so it needs no division by k_eff.</t>
        </is>
      </c>
    </row>
    <row r="380">
      <c r="A380" s="17" t="inlineStr">
        <is>
          <t xml:space="preserve">Pool share retained through a pulse</t>
        </is>
      </c>
      <c r="B380" s="18" t="inlineStr">
        <is>
          <t xml:space="preserve">pool_ret</t>
        </is>
      </c>
      <c r="C380" s="19" t="inlineStr">
        <is>
          <t xml:space="preserve">-</t>
        </is>
      </c>
      <c r="D380" s="48">
        <f>pool_a+(1-pool_a)*flush_ret</f>
        <v>0.889045202649</v>
      </c>
      <c r="E380" s="68" t="inlineStr">
        <is>
          <t xml:space="preserve">The liquid share survives the pulse untouched; of the headspace share, flush_ret survives the well-mixed flush. Replaces the hard-coded full displacement (R2-m3).</t>
        </is>
      </c>
    </row>
    <row r="381">
      <c r="A381" s="17" t="inlineStr">
        <is>
          <t xml:space="preserve">Mean-field headspace CO₂ — sizing phase (cross-check)</t>
        </is>
      </c>
      <c r="B381" s="18" t="inlineStr">
        <is>
          <t xml:space="preserve">y_CO2_mf</t>
        </is>
      </c>
      <c r="C381" s="19" t="inlineStr">
        <is>
          <t xml:space="preserve">-</t>
        </is>
      </c>
      <c r="D381" s="48">
        <f>IF(F_vent_ex+CO2_supply+O2_src_sched+H2_src_sched-CO2_fix_sched&gt;0,(CO2_supply-CO2_fix_sched+pCO2_air/P_atm*F_vent_ex)/(F_vent_ex+CO2_supply+O2_src_sched+H2_src_sched-CO2_fix_sched),NA())</f>
        <v>0.968360861681</v>
      </c>
      <c r="E381" s="67" t="inlineStr">
        <is>
          <t xml:space="preserve">The same flux balance as y_O2_mf, for CO₂. Diagnostic: the pool model (D198–D200) and this should agree to within the sawtooth; 96 % CO₂ in "Outflow only" at the optimal schedule.</t>
        </is>
      </c>
    </row>
    <row r="382">
      <c r="A382" s="17" t="inlineStr">
        <is>
          <t xml:space="preserve">Mean-field dissolved CO₂ (cross-check)</t>
        </is>
      </c>
      <c r="B382" s="18" t="inlineStr">
        <is>
          <t xml:space="preserve">C_CO2_mf</t>
        </is>
      </c>
      <c r="C382" s="19" t="inlineStr">
        <is>
          <t xml:space="preserve">mol/m³</t>
        </is>
      </c>
      <c r="D382" s="48">
        <f>y_CO2_mf*C_sat_CO2</f>
        <v>32.379324222241</v>
      </c>
      <c r="E382" s="67" t="inlineStr">
        <is>
          <t xml:space="preserve">Henry equilibrium with the flux-mean headspace CO₂; compare with CO2_cyc_avg_new (D200).</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IF(E66="","",IFERROR((E66/((ca_rho_0+ca_rho_k*F66)/1000))*1000/Geometry!$D$21,""))</f>
        <v/>
      </c>
      <c r="I66" s="129" t="str">
        <f>IFERROR(VLOOKUP(C66,Geometry!$A$59:$B$80,2,FALSE),"")</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IF(E67="","",IFERROR((E67/((ca_rho_0+ca_rho_k*F67)/1000))*1000/Geometry!$D$21,""))</f>
        <v/>
      </c>
      <c r="I67" s="129" t="str">
        <f>IFERROR(VLOOKUP(C67,Geometry!$A$59:$B$80,2,FALSE),"")</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IF(E68="","",IFERROR((E68/((ca_rho_0+ca_rho_k*F68)/1000))*1000/Geometry!$D$21,""))</f>
        <v/>
      </c>
      <c r="I68" s="129" t="str">
        <f>IFERROR(VLOOKUP(C68,Geometry!$A$59:$B$80,2,FALSE),"")</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IF(E69="","",IFERROR((E69/((ca_rho_0+ca_rho_k*F69)/1000))*1000/Geometry!$D$21,""))</f>
        <v/>
      </c>
      <c r="I69" s="129" t="str">
        <f>IFERROR(VLOOKUP(C69,Geometry!$A$59:$B$80,2,FALSE),"")</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IF(E70="","",IFERROR((E70/((ca_rho_0+ca_rho_k*F70)/1000))*1000/Geometry!$D$21,""))</f>
        <v/>
      </c>
      <c r="I70" s="129" t="str">
        <f>IFERROR(VLOOKUP(C70,Geometry!$A$59:$B$80,2,FALSE),"")</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IF(E71="","",IFERROR((E71/((ca_rho_0+ca_rho_k*F71)/1000))*1000/Geometry!$D$21,""))</f>
        <v/>
      </c>
      <c r="I71" s="129" t="str">
        <f>IFERROR(VLOOKUP(C71,Geometry!$A$59:$B$80,2,FALSE),"")</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IF(E72="","",IFERROR((E72/((ca_rho_0+ca_rho_k*F72)/1000))*1000/Geometry!$D$21,""))</f>
        <v/>
      </c>
      <c r="I72" s="129" t="str">
        <f>IFERROR(VLOOKUP(C72,Geometry!$A$59:$B$80,2,FALSE),"")</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IF(E73="","",IFERROR((E73/((ca_rho_0+ca_rho_k*F73)/1000))*1000/Geometry!$D$21,""))</f>
        <v/>
      </c>
      <c r="I73" s="129" t="str">
        <f>IFERROR(VLOOKUP(C73,Geometry!$A$59:$B$80,2,FALSE),"")</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