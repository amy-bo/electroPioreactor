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 name="r_H2O2_an_g" localSheetId="2">Electrochemistry!$D$168</definedName>
    <definedName name="r_H2O2_an_l" localSheetId="2">Electrochemistry!$D$169</definedName>
    <definedName name="f_H2O2_anode" localSheetId="2">Electrochemistry!$D$170</definedName>
    <definedName name="O2_H2O2_ret_g" localSheetId="2">Electrochemistry!$D$171</definedName>
    <definedName name="O2_H2O2_lag_adj" localSheetId="2">Electrochemistry!$D$172</definedName>
    <definedName name="O2_cat_ret_g" localSheetId="2">Electrochemistry!$D$173</definedName>
    <definedName name="z_peak_g" localSheetId="5">'Mass Transfer'!$D$566</definedName>
    <definedName name="z_peak_l" localSheetId="5">'Mass Transfer'!$D$567</definedName>
    <definedName name="z_peak_su" localSheetId="5">'Mass Transfer'!$D$568</definedName>
    <definedName name="rate_tol_rel" localSheetId="5">'Mass Transfer'!$D$569</definedName>
    <definedName name="O2_net_su_max" localSheetId="2">Electrochemistry!$D$174</definedName>
    <definedName name="rH2_su_max" localSheetId="2">Electrochemistry!$D$175</definedName>
    <definedName name="O2_net_su_mt" localSheetId="5">'Mass Transfer'!$D$570</definedName>
    <definedName name="rH2_su_mt" localSheetId="5">'Mass Transfer'!$D$571</definedName>
    <definedName name="O2_src_su" localSheetId="5">'Mass Transfer'!$D$572</definedName>
    <definedName name="H2_src_su" localSheetId="5">'Mass Transfer'!$D$573</definedName>
    <definedName name="S_O2_su" localSheetId="5">'Mass Transfer'!$D$574</definedName>
    <definedName name="F_gap_su" localSheetId="5">'Mass Transfer'!$D$575</definedName>
    <definedName name="DO_surf_excess_su" localSheetId="5">'Mass Transfer'!$D$576</definedName>
    <definedName name="H2_LFL_mt" localSheetId="5">'Mass Transfer'!$D$577</definedName>
    <definedName name="O2_LOC_lim_mt" localSheetId="5">'Mass Transfer'!$D$578</definedName>
    <definedName name="t_gap_H2_su" localSheetId="5">'Mass Transfer'!$D$579</definedName>
    <definedName name="t_gap_O2_su" localSheetId="5">'Mass Transfer'!$D$580</definedName>
    <definedName name="spg_int_H2safe_su" localSheetId="5">'Mass Transfer'!$D$581</definedName>
    <definedName name="spg_int_H2safe_su_opt" localSheetId="5">'Mass Transfer'!$D$582</definedName>
    <definedName name="spg_int_max_su" localSheetId="5">'Mass Transfer'!$D$583</definedName>
    <definedName name="res_spg_int_pH" localSheetId="0">Summary!$D$30</definedName>
    <definedName name="res_duty_ratio" localSheetId="0">Summary!$D$32</definedName>
    <definedName name="chk_DO_pH" localSheetId="0">Summary!$D$52</definedName>
    <definedName name="chk_hs_sag" localSheetId="0">Summary!$D$53</definedName>
    <definedName name="chk_hs_sag_ok" localSheetId="0">Summary!$D$54</definedName>
    <definedName name="x_series" localSheetId="5">'Mass Transfer'!$D$584</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<sst xmlns="http://schemas.openxmlformats.org/spreadsheetml/2006/main" count="3953" uniqueCount="2838">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</sst>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3">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11" fillId="0" borderId="4" xfId="0" applyFont="1" applyBorder="1" applyAlignment="1">
      <alignment vertical="top" wrapText="1"/>
    </xf>
    <xf numFmtId="0" fontId="17" fillId="0" borderId="3" xfId="0" applyFont="1" applyBorder="1" applyAlignment="1">
      <alignment vertical="top" wrapText="1"/>
    </xf>
    <xf numFmtId="0" fontId="50" fillId="0" borderId="3"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4" t="str">
        <f>HYPERLINK("#'Mass Transfer'!D121","→ Mass Transfer")</f>
        <v>→ Mass Transfer</v>
      </c>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7.293500622657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7.07</v>
      </c>
      <c r="E21" s="24" t="str">
        <f>HYPERLINK("#'Mass Transfer'!D122","→ Mass Transfer")</f>
        <v>→ Mass Transfer</v>
      </c>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6.487161438894</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2.275287892306</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thickBot="1" x14ac:dyDescent="0.25" ht="32" customHeight="1">
      <c r="A25" s="64" t="s">
        <v>1029</v>
      </c>
      <c r="B25" s="19" t="s">
        <v>1747</v>
      </c>
      <c r="C25" s="21" t="s">
        <v>83</v>
      </c>
      <c r="D25" s="92">
        <f>Chemistry!C_eff_Cl2</f>
        <v>0.0</v>
      </c>
      <c r="E25" s="24" t="str">
        <f>HYPERLINK("#Chemistry!D226","→ Chemistry")</f>
        <v>→ Chemistry</v>
      </c>
      <c r="F25" s="180"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7.293500622657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B30" s="19" t="inlineStr">
        <is>
          <t xml:space="preserve">res_spg_int_pH</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1.16</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start-up hazard screen (Mass Transfer D581), the lag pH ceiling and the carbon bound. Sized on Growth it assumes no cathodic O₂ loss, an upper bound on the lag O₂ and H₂ sources, because the start-up DO differs from the lag reference (Electrochemistry D129); select Lag in row 12 to size and evaluate every output on the lag phase itself.</t>
        </is>
      </c>
    </row>
    <row r="32" x14ac:dyDescent="0.2">
      <c r="A32" s="64" t="s">
        <v>1788</v>
      </c>
      <c r="B32" s="19" t="inlineStr">
        <is>
          <t xml:space="preserve">res_duty_ratio</t>
        </is>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4.5 mg/L mean, 4.5 peak; H₂ 3% before each pulse; set by the legacy O₂ flush guard (lag DO target unreachable)</v>
      </c>
      <c r="E33" s="24" t="str">
        <f>HYPERLINK("#'Mass Transfer'!D556","→ Mass Transfer")</f>
        <v>→ Mass Transfer</v>
      </c>
      <c r="F33" s="22" t="inlineStr">
        <is>
          <t xml:space="preserve">The lag sawtooth at the start-up interval, on start-up sources that assume no cathodic O₂ loss (Mass Transfer D572) unless the schedule is sized on Lag;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6" t="str">
        <f>Geometry!geom_check</f>
        <v>VIAL GEOMETRY INCONSISTENT - measure the true headspace (protocols/vial-geometry.md)</v>
      </c>
      <c r="E35" s="24" t="str">
        <f>HYPERLINK("#Geometry!D90","→ Geometry")</f>
        <v>→ Geometry</v>
      </c>
      <c r="F35" s="22" t="inlineStr">
        <is>
          <t xml:space="preserve">Red until the vial headspace is measured (vial-geometry.md); while red, the pulse above is provisional (~4x uncertain). Once a headspace and its working fill are included on the Calibrations tab it reads OK, because the measured headspace replaces the cylinder approximation.</t>
        </is>
      </c>
    </row>
    <row r="36" spans="1:6" x14ac:dyDescent="0.2" ht="47" customHeight="1">
      <c r="A36" s="64" t="s">
        <v>64</v>
      </c>
      <c r="B36" s="19" t="s">
        <v>1719</v>
      </c>
      <c r="C36" s="21"/>
      <c r="D36" s="65" t="str">
        <f>'Mass Transfer'!cal_warning</f>
        <v>calibrated: ed04 (flow from CO2 flows)</v>
      </c>
      <c r="E36" s="24" t="str">
        <f>HYPERLINK("#'Mass Transfer'!D120","→ Mass")</f>
        <v>→ Mass</v>
      </c>
      <c r="F36" s="181" t="s">
        <v>1720</v>
      </c>
    </row>
    <row r="37" spans="1:6" x14ac:dyDescent="0.2" ht="62" customHeight="1">
      <c r="A37" s="64" t="s">
        <v>1721</v>
      </c>
      <c r="B37" s="19" t="s">
        <v>1722</v>
      </c>
      <c r="C37" s="21"/>
      <c r="D37" s="175" t="str">
        <f>'Mass Transfer'!DO_peak_band</f>
        <v>organism band unknown – peak 2.5 mg/L is under the inhibition ceiling</v>
      </c>
      <c r="E37" s="24" t="str">
        <f>HYPERLINK("#'Mass Transfer'!D374","→ Mass Transfer")</f>
        <v>→ Mass Transfer</v>
      </c>
      <c r="F37" s="181"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≈14 mg/L, above the 10.1 mg/L inhibition ceiling (peaks higher)</v>
      </c>
      <c r="E39" s="24" t="str">
        <f>HYPERLINK("#'Mass Transfer'!D113","→ Mass")</f>
        <v>→ Mass</v>
      </c>
      <c r="F39" s="181" t="s">
        <v>1727</v>
      </c>
    </row>
    <row r="40" spans="1:6" x14ac:dyDescent="0.2" ht="92" customHeight="1">
      <c r="A40" s="64" t="s">
        <v>1728</v>
      </c>
      <c r="B40" s="19" t="s">
        <v>1729</v>
      </c>
      <c r="C40" s="21"/>
      <c r="D40" s="177" t="str">
        <f>Biology!H2_safety</f>
        <v>POTENTIAL FLAMMABILITY (lag screen): H₂ 9% mean, 14%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ht="32" customHeight="1">
      <c r="A41" s="64" t="s">
        <v>67</v>
      </c>
      <c r="B41" s="19" t="s">
        <v>1731</v>
      </c>
      <c r="C41" s="21"/>
      <c r="D41" s="65" t="str">
        <f>'Mass Transfer'!bubble_regime</f>
        <v>Dynamic</v>
      </c>
      <c r="E41" s="24" t="str">
        <f>HYPERLINK("#'Mass Transfer'!D64","→ Mass")</f>
        <v>→ Mass</v>
      </c>
      <c r="F41" s="181"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×50.7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ht="32" customHeight="1">
      <c r="A43" s="64" t="s">
        <v>70</v>
      </c>
      <c r="B43" s="19" t="s">
        <v>1734</v>
      </c>
      <c r="C43" s="21"/>
      <c r="D43" s="65" t="str">
        <f>IFERROR('Mass Transfer'!dur_ok,"calibrate this reactor first (CO₂ flow section of the Calibrations tab, or a CO2 flows row)")</f>
        <v>OK</v>
      </c>
      <c r="E43" s="24" t="str">
        <f>HYPERLINK("#'Mass Transfer'!D130","→ Mass")</f>
        <v>→ Mass</v>
      </c>
      <c r="F43" s="181"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181"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x14ac:dyDescent="0.2" ht="32" customHeight="1">
      <c r="A52" s="64" t="s">
        <v>1827</v>
      </c>
      <c r="B52" s="19" t="inlineStr">
        <is>
          <t xml:space="preserve">chk_DO_pH</t>
        </is>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x14ac:dyDescent="0.2" ht="32" customHeight="1">
      <c r="A53" s="64" t="s">
        <v>1829</v>
      </c>
      <c r="B53" s="19" t="inlineStr">
        <is>
          <t xml:space="preserve">chk_hs_sag</t>
        </is>
      </c>
      <c r="C53" s="21" t="s">
        <v>111</v>
      </c>
      <c r="D53" s="65">
        <f>'Mass Transfer'!hs_sag</f>
        <v>0.05000728325</v>
      </c>
      <c r="E53" s="24" t="str">
        <f>HYPERLINK("#'Mass Transfer'!D389","→ Mass Transfer")</f>
        <v>→ Mass Transfer</v>
      </c>
      <c r="F53" s="181" t="s">
        <v>1830</v>
      </c>
    </row>
    <row r="54" x14ac:dyDescent="0.2" ht="32" customHeight="1">
      <c r="A54" s="64" t="s">
        <v>1831</v>
      </c>
      <c r="B54" s="19" t="inlineStr">
        <is>
          <t xml:space="preserve">chk_hs_sag_ok</t>
        </is>
      </c>
      <c r="D54" s="17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2.275287892306</v>
      </c>
      <c r="E59" s="24" t="str">
        <f>HYPERLINK("#'Mass Transfer'!D343","→ Mass Transfer")</f>
        <v>→ Mass Transfer</v>
      </c>
      <c r="F59" s="22" t="s">
        <v>1802</v>
      </c>
    </row>
    <row r="60" spans="1:6" x14ac:dyDescent="0.2">
      <c r="A60" s="64" t="s">
        <v>1803</v>
      </c>
      <c r="C60" s="21" t="s">
        <v>83</v>
      </c>
      <c r="D60" s="65">
        <f>'Mass Transfer'!DO_peak_g_mgL</f>
        <v>2.480371102791</v>
      </c>
      <c r="E60" s="24" t="str">
        <f>HYPERLINK("#'Mass Transfer'!D344","→ Mass Transfer")</f>
        <v>→ Mass Transfer</v>
      </c>
      <c r="F60" s="22" t="s">
        <v>1804</v>
      </c>
    </row>
    <row r="61" spans="1:6" x14ac:dyDescent="0.2" ht="32" customHeight="1">
      <c r="A61" s="64" t="s">
        <v>1805</v>
      </c>
      <c r="C61" s="21" t="s">
        <v>83</v>
      </c>
      <c r="D61" s="65">
        <f>'Mass Transfer'!DO_avg_l_mgL</f>
        <v>5.614717330178</v>
      </c>
      <c r="E61" s="24" t="str">
        <f>HYPERLINK("#'Mass Transfer'!D364","→ Mass Transfer")</f>
        <v>→ Mass Transfer</v>
      </c>
      <c r="F61" s="181" t="s">
        <v>1806</v>
      </c>
    </row>
    <row r="62" spans="1:6" x14ac:dyDescent="0.2">
      <c r="A62" s="64" t="s">
        <v>1807</v>
      </c>
      <c r="C62" s="21" t="s">
        <v>83</v>
      </c>
      <c r="D62" s="65">
        <f>'Mass Transfer'!DO_peak_l_mgL</f>
        <v>6.006789460768</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inlineStr">
        <is>
          <t xml:space="preserve">Red = the growth-phase sawtooth peaks above the organism’s inhibition limit: its toxic DO when known, otherwise the 0.30 atm ceiling (Mass Transfer D565).</t>
        </is>
      </c>
    </row>
    <row r="64" spans="1:6" x14ac:dyDescent="0.2">
      <c r="A64" s="64" t="s">
        <v>1811</v>
      </c>
      <c r="D64" s="65" t="str">
        <f>'Mass Transfer'!DO_peak_chk_l</f>
        <v>peak 6.0 mg/L under the 10.1 mg/L ceiling</v>
      </c>
      <c r="E64" s="24" t="str">
        <f>HYPERLINK("#'Mass Transfer'!D369","→ Mass Transfer")</f>
        <v>→ Mass Transfer</v>
      </c>
      <c r="F64" s="22" t="inlineStr">
        <is>
          <t xml:space="preserve">Red = the lag-phase peak breaches that limit at the schedule in use; the culture would then be inhibited before it can take up O₂ (Mass Transfer D565).</t>
        </is>
      </c>
    </row>
    <row r="65" spans="1:6" x14ac:dyDescent="0.2">
      <c r="A65" s="64" t="s">
        <v>1813</v>
      </c>
      <c r="D65" s="65" t="str">
        <f>'Mass Transfer'!DO_feas_g</f>
        <v>reachable – kLa margin 1.72×</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82"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ht="32" customHeight="1">
      <c r="A67" s="64" t="s">
        <v>1816</v>
      </c>
      <c r="C67" s="21" t="s">
        <v>449</v>
      </c>
      <c r="D67" s="65">
        <f>'Mass Transfer'!kLa_surf_req_g*3600</f>
        <v>15.978886341621</v>
      </c>
      <c r="E67" s="24" t="str">
        <f>HYPERLINK("#'Mass Transfer'!D345","→ Mass Transfer")</f>
        <v>→ Mass Transfer</v>
      </c>
      <c r="F67" s="181" t="s">
        <v>1817</v>
      </c>
    </row>
    <row r="68" spans="1:6" x14ac:dyDescent="0.2" ht="32" customHeight="1">
      <c r="A68" s="64" t="s">
        <v>1818</v>
      </c>
      <c r="C68" s="21" t="s">
        <v>449</v>
      </c>
      <c r="D68" s="65">
        <f>'Mass Transfer'!kLa_surf_req_l*3600</f>
        <v>45.331424583836</v>
      </c>
      <c r="E68" s="24" t="str">
        <f>HYPERLINK("#'Mass Transfer'!D366","→ Mass Transfer")</f>
        <v>→ Mass Transfer</v>
      </c>
      <c r="F68" s="181" t="s">
        <v>1817</v>
      </c>
    </row>
    <row r="69" spans="1:6" x14ac:dyDescent="0.2">
      <c r="A69" s="64" t="s">
        <v>1819</v>
      </c>
      <c r="C69" s="21" t="s">
        <v>111</v>
      </c>
      <c r="D69" s="65">
        <f>'Mass Transfer'!y_O2_mf_g</f>
        <v>0.027367364576</v>
      </c>
      <c r="E69" s="24" t="str">
        <f>HYPERLINK("#'Mass Transfer'!D329","→ Mass Transfer")</f>
        <v>→ Mass Transfer</v>
      </c>
      <c r="F69" s="22" t="s">
        <v>1820</v>
      </c>
    </row>
    <row r="70" spans="1:6" x14ac:dyDescent="0.2">
      <c r="A70" s="64" t="s">
        <v>1821</v>
      </c>
      <c r="C70" s="21" t="s">
        <v>111</v>
      </c>
      <c r="D70" s="65">
        <f>'Mass Transfer'!y_O2_mf_l</f>
        <v>0.053538910882</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0.09257585106</v>
      </c>
      <c r="E71" s="24" t="str">
        <f>HYPERLINK("#'Mass Transfer'!D352","→ Mass Transfer")</f>
        <v>→ Mass Transfer</v>
      </c>
      <c r="F71" s="22" t="s">
        <v>1824</v>
      </c>
    </row>
    <row r="72" spans="1:6" x14ac:dyDescent="0.2" ht="32" customHeight="1">
      <c r="A72" s="64" t="s">
        <v>1825</v>
      </c>
      <c r="C72" s="21" t="s">
        <v>111</v>
      </c>
      <c r="D72" s="65">
        <f>'Mass Transfer'!y_CO2_mf</f>
        <v>0.940877306879</v>
      </c>
      <c r="E72" s="24" t="str">
        <f>HYPERLINK("#'Mass Transfer'!D381","→ Mass Transfer")</f>
        <v>→ Mass Transfer</v>
      </c>
      <c r="F72" s="181"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509.521897908088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2.503892293977</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0.129751405739</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ht="32" customHeight="1">
      <c r="A81" s="64" t="s">
        <v>2694</v>
      </c>
      <c r="C81" s="21" t="s">
        <v>2695</v>
      </c>
      <c r="D81" s="65">
        <f>Chemistry!alk_needed*1000</f>
        <v>1.544530881222</v>
      </c>
      <c r="E81" s="24" t="str">
        <f>HYPERLINK("#Chemistry!D306","→ Chemistry")</f>
        <v>→ Chemistry</v>
      </c>
      <c r="F81" s="181" t="s">
        <v>2696</v>
      </c>
    </row>
    <row r="82">
      <c r="A82" s="64" t="inlineStr">
        <is>
          <t xml:space="preserve">N₂ (mean of timed pulses) that holds the DO target at the carbon-limited interval</t>
        </is>
      </c>
      <c r="C82" s="21" t="inlineStr">
        <is>
          <t xml:space="preserve">mL/min</t>
        </is>
      </c>
      <c r="D82" s="65">
        <f>'Mass Transfer'!N2_for_DO</f>
        <v>0.344043413938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0.927852667512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ht="32" customHeight="1">
      <c r="A88" s="64" t="s">
        <v>1150</v>
      </c>
      <c r="B88" s="19" t="s">
        <v>1761</v>
      </c>
      <c r="D88" s="65" t="str">
        <f>Electrochemistry!j_flag</f>
        <v>watch - above optimum current density</v>
      </c>
      <c r="E88" s="24" t="str">
        <f>HYPERLINK("#Electrochemistry!D62","→ Electrochemistry")</f>
        <v>→ Electrochemistry</v>
      </c>
      <c r="F88" s="181"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(0.043 mg/L) but LAG PHASE is not: peroxide passes the threshold in 6 min (0.84 mg/L after 1 h) before biomass can scavenge it</v>
      </c>
      <c r="E98" s="24" t="str">
        <f>HYPERLINK("#Electrochemistry!D99","→ Electrochemistry")</f>
        <v>→ Electrochemistry</v>
      </c>
      <c r="F98" t="s">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1.248916601067</v>
      </c>
      <c r="E101" s="24" t="str">
        <f>HYPERLINK("#Chemistry!D211","→ Chemistry")</f>
        <v>→ Chemistry</v>
      </c>
      <c r="F101" t="s">
        <v>1783</v>
      </c>
    </row>
    <row r="102" spans="1:6" x14ac:dyDescent="0.2">
      <c r="A102" t="s">
        <v>1468</v>
      </c>
      <c r="B102" s="19" t="s">
        <v>1784</v>
      </c>
      <c r="C102" s="20" t="s">
        <v>1140</v>
      </c>
      <c r="D102" s="23">
        <f>Chemistry!pH_meas</f>
        <v>6.487161438894</v>
      </c>
      <c r="E102" s="24" t="str">
        <f>HYPERLINK("#Chemistry!D220","→ Chemistry")</f>
        <v>→ Chemistry</v>
      </c>
      <c r="F102" t="s">
        <v>1667</v>
      </c>
    </row>
    <row r="103" spans="1:6" x14ac:dyDescent="0.2">
      <c r="A103" t="s">
        <v>1668</v>
      </c>
      <c r="B103" s="19" t="s">
        <v>1785</v>
      </c>
      <c r="C103" s="20" t="s">
        <v>449</v>
      </c>
      <c r="D103" s="23">
        <f>'Mass Transfer'!kLa_surf_req*3600</f>
        <v>15.978886341621</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ht="32" customHeight="1">
      <c r="A106" s="21" t="s">
        <v>921</v>
      </c>
      <c r="B106" s="21" t="s">
        <v>922</v>
      </c>
      <c r="C106" s="21" t="s">
        <v>923</v>
      </c>
      <c r="D106" s="33" t="str">
        <f>HYPERLINK("https://github.com/amy-bo/electroPioreactor/blob/AEP02/Media/protocols/surface-kla.md","surface-kla.md →")</f>
        <v>surface-kla.md →</v>
      </c>
      <c r="E106" s="77"/>
      <c r="F106" s="181" t="s">
        <v>1766</v>
      </c>
    </row>
    <row r="107" spans="1:6" x14ac:dyDescent="0.2" ht="47" customHeight="1">
      <c r="A107" s="21" t="s">
        <v>924</v>
      </c>
      <c r="B107" s="21" t="s">
        <v>925</v>
      </c>
      <c r="C107" s="21" t="s">
        <v>926</v>
      </c>
      <c r="D107" s="33" t="str">
        <f>HYPERLINK("https://github.com/amy-bo/electroPioreactor/blob/AEP02/Media/protocols/vial-geometry.md","vial-geometry.md →")</f>
        <v>vial-geometry.md →</v>
      </c>
      <c r="E107" s="77"/>
      <c r="F107" s="181" t="s">
        <v>1767</v>
      </c>
    </row>
    <row r="108" spans="1:6" x14ac:dyDescent="0.2" ht="32" customHeight="1">
      <c r="A108" s="21" t="s">
        <v>927</v>
      </c>
      <c r="B108" s="21" t="s">
        <v>928</v>
      </c>
      <c r="C108" s="21" t="s">
        <v>929</v>
      </c>
      <c r="D108" s="33" t="str">
        <f>HYPERLINK("https://github.com/amy-bo/electroPioreactor/blob/AEP02/Media/protocols/faradaic-efficiency.md","faradaic-efficiency.md →")</f>
        <v>faradaic-efficiency.md →</v>
      </c>
      <c r="E108" s="77"/>
      <c r="F108" s="181" t="s">
        <v>1768</v>
      </c>
    </row>
    <row r="109" spans="1:6" x14ac:dyDescent="0.2" ht="32" customHeight="1">
      <c r="A109" s="21" t="s">
        <v>930</v>
      </c>
      <c r="B109" s="21" t="s">
        <v>931</v>
      </c>
      <c r="C109" s="21" t="s">
        <v>932</v>
      </c>
      <c r="D109" s="33" t="str">
        <f>HYPERLINK("https://github.com/amy-bo/electroPioreactor/blob/AEP02/Media/protocols/knallgas-stoichiometry.md","knallgas-stoichiometry.md →")</f>
        <v>knallgas-stoichiometry.md →</v>
      </c>
      <c r="E109" s="77"/>
      <c r="F109" s="182"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inlineStr">
        <is>
          <t xml:space="preserve">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is>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ht="47" customHeight="1">
      <c r="A112" s="21" t="s">
        <v>940</v>
      </c>
      <c r="B112" s="21" t="s">
        <v>941</v>
      </c>
      <c r="C112" s="21" t="s">
        <v>942</v>
      </c>
      <c r="D112" s="33" t="str">
        <f>HYPERLINK("https://github.com/amy-bo/electroPioreactor/blob/AEP02/Media/protocols/flow-calibration.md","flow-calibration.md →")</f>
        <v>flow-calibration.md →</v>
      </c>
      <c r="E112" s="77"/>
      <c r="F112" s="182"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over 1 min to 5 h it moves the UdG interval from 9.4 to 7.6 min against 8.1 min at the 1 h default (about +15 %/−7 %).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7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5.305977013371e-05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0.021998307021</v>
      </c>
      <c r="E24" s="74" t="s">
        <v>318</v>
      </c>
      <c r="F24" s="21"/>
      <c r="G24" s="21"/>
      <c r="H24" s="21"/>
      <c r="I24" s="21"/>
    </row>
    <row r="25" spans="1:9" ht="24" customHeight="1" x14ac:dyDescent="0.2">
      <c r="A25" s="18" t="s">
        <v>319</v>
      </c>
      <c r="B25" s="19" t="s">
        <v>320</v>
      </c>
      <c r="C25" s="20" t="s">
        <v>314</v>
      </c>
      <c r="D25" s="41">
        <f>V_H2_gen+V_O2_gen</f>
        <v>0.064425506581</v>
      </c>
      <c r="E25" s="74" t="s">
        <v>321</v>
      </c>
      <c r="F25" s="21"/>
      <c r="G25" s="21"/>
      <c r="H25" s="21"/>
      <c r="I25" s="21"/>
    </row>
    <row r="26" spans="1:9" ht="48" x14ac:dyDescent="0.2">
      <c r="A26" s="18" t="s">
        <v>322</v>
      </c>
      <c r="B26" s="19" t="s">
        <v>323</v>
      </c>
      <c r="C26" s="20" t="s">
        <v>111</v>
      </c>
      <c r="D26" s="37">
        <f>IF(ISNUMBER(cal_etaF_OER),cal_etaF_OER,etaF_OER_calc)</f>
        <v>0.999705046585</v>
      </c>
      <c r="E26" s="51" t="inlineStr">
        <is>
          <t xml:space="preserve">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is>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rO2_gen-O2_cathode_ORR+O2_H2O2_ret_g+O2_cat_ret_g</f>
        <v>5.116706148996e-05</v>
      </c>
      <c r="E29" s="74" t="inlineStr">
        <is>
          <t xml:space="preserve">Anodic O₂ minus cathodic consumption at the design DO (D85), plus the O₂ that peroxide oxidation at the anode (D171) and catalase (D173) give back — the O₂ the dissolved pool receives in growth. The lag phase uses O2_net_lag (D132).</t>
        </is>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r_H2O2/((k_cat_cells+k_H2O2_anode)*3600)</f>
        <v>0.042734198267</v>
      </c>
      <c r="E95" s="51" t="inlineStr">
        <is>
          <t xml:space="preserve">Production ÷ (catalase clearance + anodic oxidation, D94 + D151): both sinks act on the bulk peroxide. The bulk Fenton route is not modelled: the medium’s Fe(II) is a one-shot capacity oxidised away in minutes.</t>
        </is>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MAX(0,1-f_Cl_anode-IF(ISNUMBER(ec_corr_I),ec_corr_I,0)-IF(ISNUMBER(f_HOR_anode),f_HOR_anode,0)-f_H2O2_anode)</f>
        <v>0.999705046585</v>
      </c>
      <c r="E104" s="51" t="inlineStr">
        <is>
          <t xml:space="preserve">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is>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rO2_gen-O2_ORR_lag+O2_H2O2_lag_adj</f>
        <v>4.838626296225e-05</v>
      </c>
      <c r="E132" s="57" t="inlineStr">
        <is>
          <t xml:space="preserve">Anodic O₂ less the cathodic loss at the lag DO, with the lag peroxide-oxidation correction (D172): the lag-phase O₂ source (Mass Transfer O2_src_l, D310; Biology flammability).</t>
        </is>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0.175470883498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0.19970604856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row r="167">
      <c r="A167" t="inlineStr">
        <is>
          <t xml:space="preserve">PEROXIDE OXIDATION AT THE ANODE (charge and oxygen balance)</t>
        </is>
      </c>
    </row>
    <row r="168">
      <c r="A168" t="inlineStr">
        <is>
          <t xml:space="preserve">Peroxide oxidised at the anode — growth</t>
        </is>
      </c>
      <c r="B168" s="19" t="inlineStr">
        <is>
          <t xml:space="preserve">r_H2O2_an_g</t>
        </is>
      </c>
      <c r="C168" s="20" t="inlineStr">
        <is>
          <t xml:space="preserve">mol/h</t>
        </is>
      </c>
      <c r="D168" s="111">
        <f>f_HOOH*O2_cathode_ORR*k_H2O2_anode/(k_H2O2_anode+k_cat_cells)</f>
        <v>3.130955566497e-08</v>
      </c>
      <c r="E168" s="51" t="inlineStr">
        <is>
          <t xml:space="preserve">The anodic share of the peroxide made at the cathode (D93) in a growing culture: the anodic sink (D151) competes with catalase (D94). H₂O₂ → O₂ + 2H⁺ + 2e⁻ draws anodic current and returns one O₂ per H₂O₂.</t>
        </is>
      </c>
    </row>
    <row r="169">
      <c r="A169" t="inlineStr">
        <is>
          <t xml:space="preserve">Peroxide oxidised at the anode — lag (plateau)</t>
        </is>
      </c>
      <c r="B169" s="19" t="inlineStr">
        <is>
          <t xml:space="preserve">r_H2O2_an_l</t>
        </is>
      </c>
      <c r="C169" s="20" t="inlineStr">
        <is>
          <t xml:space="preserve">mol/h</t>
        </is>
      </c>
      <c r="D169" s="111">
        <f>f_HOOH*O2_ORR_lag</f>
        <v>7.60404640425e-07</v>
      </c>
      <c r="E169" s="51" t="inlineStr">
        <is>
          <t xml:space="preserve">At the lag plateau (D96, no catalase) every peroxide made is oxidised at the anode, so the anodic turnover equals the lag production (D152).</t>
        </is>
      </c>
    </row>
    <row r="170">
      <c r="A170" t="inlineStr">
        <is>
          <t xml:space="preserve">Peroxide-oxidation share of the anodic current — growth</t>
        </is>
      </c>
      <c r="B170" s="19" t="inlineStr">
        <is>
          <t xml:space="preserve">f_H2O2_anode</t>
        </is>
      </c>
      <c r="C170" s="20" t="inlineStr">
        <is>
          <t xml:space="preserve">-</t>
        </is>
      </c>
      <c r="D170" s="111">
        <f>IF(ISNUMBER(cal_etaF_OER),0,2*F_const*r_H2O2_an_g/3600/I_app)</f>
        <v>0.0002949534150424</v>
      </c>
      <c r="E170" s="51" t="inlineStr">
        <is>
          <t xml:space="preserve">Two electrons per H₂O₂, as a fraction of the applied current; taken out of the calculated anodic O₂ efficiency (D104). 0 when etaF_OER is measured, since a measurement already includes it.</t>
        </is>
      </c>
    </row>
    <row r="171">
      <c r="A171" t="inlineStr">
        <is>
          <t xml:space="preserve">O₂ returned by peroxide oxidation — growth</t>
        </is>
      </c>
      <c r="B171" s="19" t="inlineStr">
        <is>
          <t xml:space="preserve">O2_H2O2_ret_g</t>
        </is>
      </c>
      <c r="C171" s="20" t="inlineStr">
        <is>
          <t xml:space="preserve">mol/h</t>
        </is>
      </c>
      <c r="D171" s="111">
        <f>IF(ISNUMBER(cal_etaF_OER),0,r_H2O2_an_g)</f>
        <v>3.130955566497e-08</v>
      </c>
      <c r="E171" s="51" t="inlineStr">
        <is>
          <t xml:space="preserve">One O₂ per H₂O₂ oxidised, added back to the growth O₂ source (D29).</t>
        </is>
      </c>
    </row>
    <row r="172">
      <c r="A172" t="inlineStr">
        <is>
          <t xml:space="preserve">Lag correction to the anodic O₂ for peroxide oxidation</t>
        </is>
      </c>
      <c r="B172" s="19" t="inlineStr">
        <is>
          <t xml:space="preserve">O2_H2O2_lag_adj</t>
        </is>
      </c>
      <c r="C172" s="20" t="inlineStr">
        <is>
          <t xml:space="preserve">mol/h</t>
        </is>
      </c>
      <c r="D172" s="111">
        <f>IF(ISNUMBER(cal_etaF_OER),0,r_H2O2_an_l/2+r_H2O2_an_g/2)</f>
        <v>3.95857098045e-07</v>
      </c>
      <c r="E172" s="51" t="inlineStr">
        <is>
          <t xml:space="preserve">Added to the lag O₂ source (D132): the lag peroxide turnover returns one O₂ and diverts half an O₂ of OER per H₂O₂, while D22 already carries the growth diversion; net (r_l + r_g)/2.</t>
        </is>
      </c>
    </row>
    <row r="173">
      <c r="A173" t="inlineStr">
        <is>
          <t xml:space="preserve">O₂ returned by catalase — growth</t>
        </is>
      </c>
      <c r="B173" s="19" t="inlineStr">
        <is>
          <t xml:space="preserve">O2_cat_ret_g</t>
        </is>
      </c>
      <c r="C173" s="20" t="inlineStr">
        <is>
          <t xml:space="preserve">mol/h</t>
        </is>
      </c>
      <c r="D173" s="111">
        <f>f_HOOH*O2_cathode_ORR*k_cat_cells/(k_H2O2_anode+k_cat_cells)/2</f>
        <v>1.390773914844e-07</v>
      </c>
      <c r="E173" s="51" t="inlineStr">
        <is>
          <t xml:space="preserve">Catalase disproportionates the rest of the growth peroxide, 2 H₂O₂ → O₂ + 2 H₂O: half an O₂ back per H₂O₂. A biological return, so it applies whether or not etaF_OER is measured.</t>
        </is>
      </c>
    </row>
    <row r="174">
      <c r="A174" t="inlineStr">
        <is>
          <t xml:space="preserve">Upper bound on the lag O₂ source (no cathodic O₂ loss)</t>
        </is>
      </c>
      <c r="B174" s="19" t="inlineStr">
        <is>
          <t xml:space="preserve">O2_net_su_max</t>
        </is>
      </c>
      <c r="C174" s="20" t="inlineStr">
        <is>
          <t xml:space="preserve">mol/h</t>
        </is>
      </c>
      <c r="D174" s="111">
        <f>rO2_gen+IF(ISNUMBER(cal_etaF_OER),0,r_H2O2_an_g/2)</f>
        <v>5.307542491154e-05</v>
      </c>
      <c r="E174" s="51" t="inlineStr">
        <is>
          <t xml:space="preserve">O2_net_lag (D132) at zero cathodic O₂ reduction: no ORR, so no peroxide and the anode’s peroxide diversion (D170) returns to OER. D132 falls as the cathodic loss rises, so this is its ceiling at any lag DO. Sizes the start-up schedule, whose DO differs from DO_lag_ref (D129).</t>
        </is>
      </c>
    </row>
    <row r="175">
      <c r="A175" t="inlineStr">
        <is>
          <t xml:space="preserve">Upper bound on the lag H₂ evolution (no cathodic O₂ loss)</t>
        </is>
      </c>
      <c r="B175" s="19" t="inlineStr">
        <is>
          <t xml:space="preserve">rH2_su_max</t>
        </is>
      </c>
      <c r="C175" s="20" t="inlineStr">
        <is>
          <t xml:space="preserve">mol/h</t>
        </is>
      </c>
      <c r="D175" s="111">
        <f>I_app/(z_e_H2*F_const)*3600</f>
        <v>0.0001061508498231</v>
      </c>
      <c r="E175" s="51" t="inlineStr">
        <is>
          <t xml:space="preserve">All cathodic current to H₂: the ceiling of rH2_lag (D133) at any lag DO.</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0.025595318383</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0.069960755105</v>
      </c>
      <c r="C50" s="49">
        <f t="shared" ref="C50:C81" si="2">IF(AND(B50&gt;=0,B51&lt;0),A50+pH_step*B50/(B50-B51),0)</f>
        <v>0.0</v>
      </c>
    </row>
    <row r="51" spans="1:3" x14ac:dyDescent="0.2">
      <c r="A51" s="155">
        <v>4.0999999999999996</v>
      </c>
      <c r="B51" s="49">
        <f t="shared" si="1"/>
        <v>0.069750996782</v>
      </c>
      <c r="C51" s="49">
        <f t="shared" si="2"/>
        <v>0.0</v>
      </c>
    </row>
    <row r="52" spans="1:3" x14ac:dyDescent="0.2">
      <c r="A52" s="155">
        <v>4.2</v>
      </c>
      <c r="B52" s="49">
        <f t="shared" si="1"/>
        <v>0.06954291094</v>
      </c>
      <c r="C52" s="49">
        <f t="shared" si="2"/>
        <v>0.0</v>
      </c>
    </row>
    <row r="53" spans="1:3" x14ac:dyDescent="0.2">
      <c r="A53" s="155">
        <v>4.3</v>
      </c>
      <c r="B53" s="49">
        <f t="shared" si="1"/>
        <v>0.069325606345</v>
      </c>
      <c r="C53" s="49">
        <f t="shared" si="2"/>
        <v>0.0</v>
      </c>
    </row>
    <row r="54" spans="1:3" x14ac:dyDescent="0.2">
      <c r="A54" s="155">
        <v>4.4000000000000004</v>
      </c>
      <c r="B54" s="49">
        <f t="shared" si="1"/>
        <v>0.069087668243</v>
      </c>
      <c r="C54" s="49">
        <f t="shared" si="2"/>
        <v>0.0</v>
      </c>
    </row>
    <row r="55" spans="1:3" x14ac:dyDescent="0.2">
      <c r="A55" s="155">
        <v>4.5</v>
      </c>
      <c r="B55" s="49">
        <f t="shared" si="1"/>
        <v>0.068816583704</v>
      </c>
      <c r="C55" s="49">
        <f t="shared" si="2"/>
        <v>0.0</v>
      </c>
    </row>
    <row r="56" spans="1:3" x14ac:dyDescent="0.2">
      <c r="A56" s="155">
        <v>4.5999999999999996</v>
      </c>
      <c r="B56" s="49">
        <f t="shared" si="1"/>
        <v>0.068498108613</v>
      </c>
      <c r="C56" s="49">
        <f t="shared" si="2"/>
        <v>0.0</v>
      </c>
    </row>
    <row r="57" spans="1:3" x14ac:dyDescent="0.2">
      <c r="A57" s="155">
        <v>4.7</v>
      </c>
      <c r="B57" s="49">
        <f t="shared" si="1"/>
        <v>0.068115549423</v>
      </c>
      <c r="C57" s="49">
        <f t="shared" si="2"/>
        <v>0.0</v>
      </c>
    </row>
    <row r="58" spans="1:3" x14ac:dyDescent="0.2">
      <c r="A58" s="155">
        <v>4.8</v>
      </c>
      <c r="B58" s="49">
        <f t="shared" si="1"/>
        <v>0.067648929538</v>
      </c>
      <c r="C58" s="49">
        <f t="shared" si="2"/>
        <v>0.0</v>
      </c>
    </row>
    <row r="59" spans="1:3" x14ac:dyDescent="0.2">
      <c r="A59" s="155">
        <v>4.9000000000000004</v>
      </c>
      <c r="B59" s="49">
        <f t="shared" si="1"/>
        <v>0.067074006902</v>
      </c>
      <c r="C59" s="49">
        <f t="shared" si="2"/>
        <v>0.0</v>
      </c>
    </row>
    <row r="60" spans="1:3" x14ac:dyDescent="0.2">
      <c r="A60" s="155">
        <v>5</v>
      </c>
      <c r="B60" s="49">
        <f t="shared" si="1"/>
        <v>0.066361106084</v>
      </c>
      <c r="C60" s="49">
        <f t="shared" si="2"/>
        <v>0.0</v>
      </c>
    </row>
    <row r="61" spans="1:3" x14ac:dyDescent="0.2">
      <c r="A61" s="155">
        <v>5.0999999999999996</v>
      </c>
      <c r="B61" s="49">
        <f t="shared" si="1"/>
        <v>0.065473725543</v>
      </c>
      <c r="C61" s="49">
        <f t="shared" si="2"/>
        <v>0.0</v>
      </c>
    </row>
    <row r="62" spans="1:3" x14ac:dyDescent="0.2">
      <c r="A62" s="155">
        <v>5.2</v>
      </c>
      <c r="B62" s="49">
        <f t="shared" si="1"/>
        <v>0.064366879223</v>
      </c>
      <c r="C62" s="49">
        <f t="shared" si="2"/>
        <v>0.0</v>
      </c>
    </row>
    <row r="63" spans="1:3" x14ac:dyDescent="0.2">
      <c r="A63" s="155">
        <v>5.3</v>
      </c>
      <c r="B63" s="49">
        <f t="shared" si="1"/>
        <v>0.062985132154</v>
      </c>
      <c r="C63" s="49">
        <f t="shared" si="2"/>
        <v>0.0</v>
      </c>
    </row>
    <row r="64" spans="1:3" x14ac:dyDescent="0.2">
      <c r="A64" s="155">
        <v>5.4</v>
      </c>
      <c r="B64" s="49">
        <f t="shared" si="1"/>
        <v>0.061260292859</v>
      </c>
      <c r="C64" s="49">
        <f t="shared" si="2"/>
        <v>0.0</v>
      </c>
    </row>
    <row r="65" spans="1:3" x14ac:dyDescent="0.2">
      <c r="A65" s="155">
        <v>5.5</v>
      </c>
      <c r="B65" s="49">
        <f t="shared" si="1"/>
        <v>0.059108731043</v>
      </c>
      <c r="C65" s="49">
        <f t="shared" si="2"/>
        <v>0.0</v>
      </c>
    </row>
    <row r="66" spans="1:3" x14ac:dyDescent="0.2">
      <c r="A66" s="155">
        <v>5.6</v>
      </c>
      <c r="B66" s="49">
        <f t="shared" si="1"/>
        <v>0.056428295479</v>
      </c>
      <c r="C66" s="49">
        <f t="shared" si="2"/>
        <v>0.0</v>
      </c>
    </row>
    <row r="67" spans="1:3" x14ac:dyDescent="0.2">
      <c r="A67" s="155">
        <v>5.7</v>
      </c>
      <c r="B67" s="49">
        <f t="shared" si="1"/>
        <v>0.053094808554</v>
      </c>
      <c r="C67" s="49">
        <f t="shared" si="2"/>
        <v>0.0</v>
      </c>
    </row>
    <row r="68" spans="1:3" x14ac:dyDescent="0.2">
      <c r="A68" s="155">
        <v>5.8</v>
      </c>
      <c r="B68" s="49">
        <f t="shared" si="1"/>
        <v>0.048958098758</v>
      </c>
      <c r="C68" s="49">
        <f t="shared" si="2"/>
        <v>0.0</v>
      </c>
    </row>
    <row r="69" spans="1:3" x14ac:dyDescent="0.2">
      <c r="A69" s="155">
        <v>5.9</v>
      </c>
      <c r="B69" s="49">
        <f t="shared" si="1"/>
        <v>0.043837479598</v>
      </c>
      <c r="C69" s="49">
        <f t="shared" si="2"/>
        <v>0.0</v>
      </c>
    </row>
    <row r="70" spans="1:3" x14ac:dyDescent="0.2">
      <c r="A70" s="155">
        <v>6</v>
      </c>
      <c r="B70" s="49">
        <f t="shared" si="1"/>
        <v>0.037516462061</v>
      </c>
      <c r="C70" s="49">
        <f t="shared" si="2"/>
        <v>0.0</v>
      </c>
    </row>
    <row r="71" spans="1:3" x14ac:dyDescent="0.2">
      <c r="A71" s="155">
        <v>6.1</v>
      </c>
      <c r="B71" s="49">
        <f t="shared" si="1"/>
        <v>0.029736261536</v>
      </c>
      <c r="C71" s="49">
        <f t="shared" si="2"/>
        <v>0.0</v>
      </c>
    </row>
    <row r="72" spans="1:3" x14ac:dyDescent="0.2">
      <c r="A72" s="155">
        <v>6.2</v>
      </c>
      <c r="B72" s="49">
        <f t="shared" si="1"/>
        <v>0.020187301369</v>
      </c>
      <c r="C72" s="49">
        <f t="shared" si="2"/>
        <v>0.0</v>
      </c>
    </row>
    <row r="73" spans="1:3" x14ac:dyDescent="0.2">
      <c r="A73" s="155">
        <v>6.3</v>
      </c>
      <c r="B73" s="49">
        <f t="shared" si="1"/>
        <v>0.008497431283</v>
      </c>
      <c r="C73" s="49">
        <f t="shared" si="2"/>
        <v>6.359495861596</v>
      </c>
    </row>
    <row r="74" spans="1:3" x14ac:dyDescent="0.2">
      <c r="A74" s="155">
        <v>6.4</v>
      </c>
      <c r="B74" s="49">
        <f t="shared" si="1"/>
        <v>-0.005784959215</v>
      </c>
      <c r="C74" s="49">
        <f t="shared" si="2"/>
        <v>0.0</v>
      </c>
    </row>
    <row r="75" spans="1:3" x14ac:dyDescent="0.2">
      <c r="A75" s="155">
        <v>6.5</v>
      </c>
      <c r="B75" s="49">
        <f t="shared" si="1"/>
        <v>-0.023215201089</v>
      </c>
      <c r="C75" s="49">
        <f t="shared" si="2"/>
        <v>0.0</v>
      </c>
    </row>
    <row r="76" spans="1:3" x14ac:dyDescent="0.2">
      <c r="A76" s="155">
        <v>6.6</v>
      </c>
      <c r="B76" s="49">
        <f t="shared" si="1"/>
        <v>-0.044486437963</v>
      </c>
      <c r="C76" s="49">
        <f t="shared" si="2"/>
        <v>0.0</v>
      </c>
    </row>
    <row r="77" spans="1:3" x14ac:dyDescent="0.2">
      <c r="A77" s="155">
        <v>6.7</v>
      </c>
      <c r="B77" s="49">
        <f t="shared" si="1"/>
        <v>-0.070475853889</v>
      </c>
      <c r="C77" s="49">
        <f t="shared" si="2"/>
        <v>0.0</v>
      </c>
    </row>
    <row r="78" spans="1:3" x14ac:dyDescent="0.2">
      <c r="A78" s="155">
        <v>6.8</v>
      </c>
      <c r="B78" s="49">
        <f t="shared" si="1"/>
        <v>-0.102304968626</v>
      </c>
      <c r="C78" s="49">
        <f t="shared" si="2"/>
        <v>0.0</v>
      </c>
    </row>
    <row r="79" spans="1:3" x14ac:dyDescent="0.2">
      <c r="A79" s="155">
        <v>6.9</v>
      </c>
      <c r="B79" s="49">
        <f t="shared" si="1"/>
        <v>-0.141415717577</v>
      </c>
      <c r="C79" s="49">
        <f t="shared" si="2"/>
        <v>0.0</v>
      </c>
    </row>
    <row r="80" spans="1:3" x14ac:dyDescent="0.2">
      <c r="A80" s="155">
        <v>7</v>
      </c>
      <c r="B80" s="49">
        <f t="shared" si="1"/>
        <v>-0.189664461753</v>
      </c>
      <c r="C80" s="49">
        <f t="shared" si="2"/>
        <v>0.0</v>
      </c>
    </row>
    <row r="81" spans="1:3" x14ac:dyDescent="0.2">
      <c r="A81" s="155">
        <v>7.1</v>
      </c>
      <c r="B81" s="49">
        <f t="shared" si="1"/>
        <v>-0.249437497331</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-0.323794112198</v>
      </c>
      <c r="C82" s="49">
        <f t="shared" ref="C82:C99" si="4">IF(AND(B82&gt;=0,B83&lt;0),A82+pH_step*B82/(B82-B83),0)</f>
        <v>0.0</v>
      </c>
    </row>
    <row r="83" spans="1:3" x14ac:dyDescent="0.2">
      <c r="A83" s="155">
        <v>7.3</v>
      </c>
      <c r="B83" s="49">
        <f t="shared" si="3"/>
        <v>-0.416646603229</v>
      </c>
      <c r="C83" s="49">
        <f t="shared" si="4"/>
        <v>0.0</v>
      </c>
    </row>
    <row r="84" spans="1:3" x14ac:dyDescent="0.2">
      <c r="A84" s="155">
        <v>7.4</v>
      </c>
      <c r="B84" s="49">
        <f t="shared" si="3"/>
        <v>-0.532990802641</v>
      </c>
      <c r="C84" s="49">
        <f t="shared" si="4"/>
        <v>0.0</v>
      </c>
    </row>
    <row r="85" spans="1:3" x14ac:dyDescent="0.2">
      <c r="A85" s="155">
        <v>7.5</v>
      </c>
      <c r="B85" s="49">
        <f t="shared" si="3"/>
        <v>-0.679205763268</v>
      </c>
      <c r="C85" s="49">
        <f t="shared" si="4"/>
        <v>0.0</v>
      </c>
    </row>
    <row r="86" spans="1:3" x14ac:dyDescent="0.2">
      <c r="A86" s="155">
        <v>7.6</v>
      </c>
      <c r="B86" s="49">
        <f t="shared" si="3"/>
        <v>-0.86344798467</v>
      </c>
      <c r="C86" s="49">
        <f t="shared" si="4"/>
        <v>0.0</v>
      </c>
    </row>
    <row r="87" spans="1:3" x14ac:dyDescent="0.2">
      <c r="A87" s="155">
        <v>7.7</v>
      </c>
      <c r="B87" s="49">
        <f t="shared" si="3"/>
        <v>-1.096175090827</v>
      </c>
      <c r="C87" s="49">
        <f t="shared" si="4"/>
        <v>0.0</v>
      </c>
    </row>
    <row r="88" spans="1:3" x14ac:dyDescent="0.2">
      <c r="A88" s="155">
        <v>7.8</v>
      </c>
      <c r="B88" s="49">
        <f t="shared" si="3"/>
        <v>-1.390847930362</v>
      </c>
      <c r="C88" s="49">
        <f t="shared" si="4"/>
        <v>0.0</v>
      </c>
    </row>
    <row r="89" spans="1:3" x14ac:dyDescent="0.2">
      <c r="A89" s="155">
        <v>7.9</v>
      </c>
      <c r="B89" s="49">
        <f t="shared" si="3"/>
        <v>-1.764881184359</v>
      </c>
      <c r="C89" s="49">
        <f t="shared" si="4"/>
        <v>0.0</v>
      </c>
    </row>
    <row r="90" spans="1:3" x14ac:dyDescent="0.2">
      <c r="A90" s="155">
        <v>8</v>
      </c>
      <c r="B90" s="49">
        <f t="shared" si="3"/>
        <v>-2.240944507399</v>
      </c>
      <c r="C90" s="49">
        <f t="shared" si="4"/>
        <v>0.0</v>
      </c>
    </row>
    <row r="91" spans="1:3" x14ac:dyDescent="0.2">
      <c r="A91" s="155">
        <v>8.1</v>
      </c>
      <c r="B91" s="49">
        <f t="shared" si="3"/>
        <v>-2.848764794096</v>
      </c>
      <c r="C91" s="49">
        <f t="shared" si="4"/>
        <v>0.0</v>
      </c>
    </row>
    <row r="92" spans="1:3" x14ac:dyDescent="0.2">
      <c r="A92" s="155">
        <v>8.1999999999999993</v>
      </c>
      <c r="B92" s="49">
        <f t="shared" si="3"/>
        <v>-3.62765440665</v>
      </c>
      <c r="C92" s="49">
        <f t="shared" si="4"/>
        <v>0.0</v>
      </c>
    </row>
    <row r="93" spans="1:3" x14ac:dyDescent="0.2">
      <c r="A93" s="155">
        <v>8.3000000000000007</v>
      </c>
      <c r="B93" s="49">
        <f t="shared" si="3"/>
        <v>-4.630104325121</v>
      </c>
      <c r="C93" s="49">
        <f t="shared" si="4"/>
        <v>0.0</v>
      </c>
    </row>
    <row r="94" spans="1:3" x14ac:dyDescent="0.2">
      <c r="A94" s="155">
        <v>8.4</v>
      </c>
      <c r="B94" s="49">
        <f t="shared" si="3"/>
        <v>-5.926957541051</v>
      </c>
      <c r="C94" s="49">
        <f t="shared" si="4"/>
        <v>0.0</v>
      </c>
    </row>
    <row r="95" spans="1:3" x14ac:dyDescent="0.2">
      <c r="A95" s="155">
        <v>8.5</v>
      </c>
      <c r="B95" s="49">
        <f t="shared" si="3"/>
        <v>-7.614951807867</v>
      </c>
      <c r="C95" s="49">
        <f t="shared" si="4"/>
        <v>0.0</v>
      </c>
    </row>
    <row r="96" spans="1:3" x14ac:dyDescent="0.2">
      <c r="A96" s="155">
        <v>8.6</v>
      </c>
      <c r="B96" s="49">
        <f t="shared" si="3"/>
        <v>-9.827847584477</v>
      </c>
      <c r="C96" s="49">
        <f t="shared" si="4"/>
        <v>0.0</v>
      </c>
    </row>
    <row r="97" spans="1:7" x14ac:dyDescent="0.2">
      <c r="A97" s="155">
        <v>8.6999999999999993</v>
      </c>
      <c r="B97" s="49">
        <f t="shared" si="3"/>
        <v>-12.753024232131</v>
      </c>
      <c r="C97" s="49">
        <f t="shared" si="4"/>
        <v>0.0</v>
      </c>
    </row>
    <row r="98" spans="1:7" x14ac:dyDescent="0.2">
      <c r="A98" s="155">
        <v>8.8000000000000007</v>
      </c>
      <c r="B98" s="49">
        <f t="shared" si="3"/>
        <v>-16.656473546967</v>
      </c>
      <c r="C98" s="49">
        <f t="shared" si="4"/>
        <v>0.0</v>
      </c>
    </row>
    <row r="99" spans="1:7" x14ac:dyDescent="0.2">
      <c r="A99" s="155">
        <v>8.9</v>
      </c>
      <c r="B99" s="49">
        <f t="shared" si="3"/>
        <v>-21.920763103551</v>
      </c>
      <c r="C99" s="49">
        <f t="shared" si="4"/>
        <v>0.0</v>
      </c>
    </row>
    <row r="100" spans="1:7" x14ac:dyDescent="0.2">
      <c r="A100" s="155">
        <v>9</v>
      </c>
      <c r="B100" s="49">
        <f t="shared" si="3"/>
        <v>-29.103128305187</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6.359495861596</v>
      </c>
      <c r="E103" s="138" t="s">
        <v>1670</v>
      </c>
      <c r="F103" s="75" t="s">
        <v>1967</v>
      </c>
    </row>
    <row r="104" spans="1:7" ht="36" x14ac:dyDescent="0.2">
      <c r="A104" s="18" t="s">
        <v>865</v>
      </c>
      <c r="B104" s="19" t="s">
        <v>866</v>
      </c>
      <c r="C104" s="20" t="s">
        <v>867</v>
      </c>
      <c r="D104" s="119">
        <f>1/(1+KaHOCl_c/10^-pH_op)</f>
        <v>0.884777651302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2.583675976917e-05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0.838787788686</v>
      </c>
      <c r="E206" s="74" t="s">
        <v>1438</v>
      </c>
    </row>
    <row r="207" spans="1:5" x14ac:dyDescent="0.2">
      <c r="A207" t="s">
        <v>1439</v>
      </c>
      <c r="B207" s="19" t="s">
        <v>1440</v>
      </c>
      <c r="C207" s="20" t="s">
        <v>1423</v>
      </c>
      <c r="D207" s="111">
        <f>E0_HER-nernst_slope*pH_meas</f>
        <v>-0.390212211314</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0.304787788686</v>
      </c>
      <c r="E210" s="51" t="s">
        <v>1448</v>
      </c>
    </row>
    <row r="211" spans="1:5" ht="48" x14ac:dyDescent="0.2">
      <c r="A211" t="s">
        <v>1981</v>
      </c>
      <c r="B211" s="19" t="s">
        <v>1450</v>
      </c>
      <c r="C211" s="20" t="s">
        <v>1445</v>
      </c>
      <c r="D211" s="111">
        <f>E_anode_op-E0_Cu</f>
        <v>1.248916601067</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16.463249166465</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0.19970604856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6.487161438894</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inlineStr">
        <is>
          <t xml:space="preserve">Monochloramine-formation chlorine per N</t>
        </is>
      </c>
      <c r="B224" s="19" t="s">
        <v>1680</v>
      </c>
      <c r="C224" s="20" t="s">
        <v>1681</v>
      </c>
      <c r="D224" s="116">
        <v>5.0599999999999996</v>
      </c>
      <c r="E224" s="51" t="inlineStr">
        <is>
          <t xml:space="preserve">1:1 NH₂Cl formation, 70.906/14.007 = 5.06 mg Cl₂ per mg ammonium-N: the stoichiometric cap on chlorine bound as monochloramine. Not breakpoint demand, which (oxidation to N₂) needs about 7.6. On a Cl₂ basis; multiply by M_HOCl/M_Cl2 for the HOCl-equivalent basis.</t>
        </is>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0.049863963444</v>
      </c>
      <c r="E252" s="51" t="s">
        <v>2022</v>
      </c>
    </row>
    <row r="253" spans="1:5" ht="24" x14ac:dyDescent="0.2">
      <c r="A253" t="s">
        <v>2023</v>
      </c>
      <c r="B253" s="19" t="s">
        <v>2024</v>
      </c>
      <c r="C253" s="20" t="s">
        <v>429</v>
      </c>
      <c r="D253" s="111">
        <f>pH_PT/(1+10^(-LOG10(Ka2p_c)-pH_op))</f>
        <v>0.01944185964</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1.590816601067</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s="60" t="s">
        <v>2734</v>
      </c>
    </row>
    <row r="306" spans="1:5" x14ac:dyDescent="0.2">
      <c r="A306" t="inlineStr">
        <is>
          <t xml:space="preserve">Extra alkalinity still needed for the target pH</t>
        </is>
      </c>
      <c r="B306" s="19" t="s">
        <v>2736</v>
      </c>
      <c r="C306" s="20" t="s">
        <v>429</v>
      </c>
      <c r="D306" s="111">
        <f>MAX(0,-alk_resid_t)</f>
        <v>0.001544530881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0.129751405739</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5.116706148996e-05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1.705568716332e-05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0.0008639935959385</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0.0001451587888868</v>
      </c>
      <c r="E83" s="53" t="s">
        <v>2151</v>
      </c>
    </row>
    <row r="84" spans="1:5" ht="48" x14ac:dyDescent="0.2">
      <c r="A84" s="18" t="s">
        <v>2152</v>
      </c>
      <c r="B84" s="19" t="s">
        <v>2153</v>
      </c>
      <c r="C84" s="20" t="s">
        <v>111</v>
      </c>
      <c r="D84" s="41">
        <f>H2_src_l_b/(n_flamm_src+CO2_supply_b+F_dil_b)</f>
        <v>0.09257585106</v>
      </c>
      <c r="E84" s="53" t="s">
        <v>2154</v>
      </c>
    </row>
    <row r="85" spans="1:5" ht="24" x14ac:dyDescent="0.2">
      <c r="A85" s="18" t="s">
        <v>2155</v>
      </c>
      <c r="B85" s="19" t="s">
        <v>2156</v>
      </c>
      <c r="C85" s="20" t="s">
        <v>111</v>
      </c>
      <c r="D85" s="41">
        <f>(O2_src_l_b+y_O2_air_b*F_vent_ex_b)/(n_flamm_src+CO2_supply_b+F_dil_b)</f>
        <v>0.053538910882</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0.003345896216</v>
      </c>
      <c r="E86" s="53" t="s">
        <v>2160</v>
      </c>
    </row>
    <row r="87" spans="1:5" ht="24" x14ac:dyDescent="0.2">
      <c r="A87" s="18" t="s">
        <v>2161</v>
      </c>
      <c r="B87" s="19" t="s">
        <v>2162</v>
      </c>
      <c r="C87" s="20" t="s">
        <v>61</v>
      </c>
      <c r="D87" s="41">
        <f>IF(duty_H2safe&gt;0,spg_dur_b/(60*duty_H2safe),NA())</f>
        <v>3.907837139102</v>
      </c>
      <c r="E87" s="53" t="s">
        <v>2163</v>
      </c>
    </row>
    <row r="88" spans="1:5" ht="24" x14ac:dyDescent="0.2">
      <c r="A88" s="18" t="s">
        <v>2164</v>
      </c>
      <c r="B88" s="19" t="s">
        <v>2165</v>
      </c>
      <c r="C88" s="20" t="s">
        <v>314</v>
      </c>
      <c r="D88" s="41">
        <f>MAX(0,H2_src_l_b/H2_LFL-n_flamm_src-F_vent_ex_b)/3600*R_gas_b*T_K/P_atm*1000000*60</f>
        <v>0.927852667512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1.67411703878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2.301568976741</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2.312402310074</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25.476094895404</v>
      </c>
      <c r="E97" s="51" t="s">
        <v>2185</v>
      </c>
    </row>
    <row r="98" spans="1:5" ht="36" x14ac:dyDescent="0.2">
      <c r="A98" s="18" t="s">
        <v>2186</v>
      </c>
      <c r="B98" s="19" t="s">
        <v>2187</v>
      </c>
      <c r="C98" s="20" t="s">
        <v>87</v>
      </c>
      <c r="D98" s="41">
        <f>C_cycle_start_b*1000/Km_CO2</f>
        <v>509.521897908088</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0.14443867964</v>
      </c>
      <c r="E114" s="140" t="s">
        <v>2201</v>
      </c>
    </row>
    <row r="115" spans="1:5" x14ac:dyDescent="0.2">
      <c r="A115" s="21" t="s">
        <v>2202</v>
      </c>
      <c r="B115" s="19" t="s">
        <v>2203</v>
      </c>
      <c r="C115" s="21" t="s">
        <v>307</v>
      </c>
      <c r="D115" s="120">
        <f>'Mass Transfer'!O2_src_l</f>
        <v>4.838626296225e-05</v>
      </c>
      <c r="E115" s="140" t="s">
        <v>2204</v>
      </c>
    </row>
    <row r="116" spans="1:5" x14ac:dyDescent="0.2">
      <c r="A116" s="21" t="s">
        <v>2205</v>
      </c>
      <c r="B116" s="19" t="s">
        <v>2206</v>
      </c>
      <c r="C116" s="21" t="s">
        <v>307</v>
      </c>
      <c r="D116" s="120">
        <f>'Mass Transfer'!F_gap_l</f>
        <v>0.0001813386890597</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0.083532471034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84"/>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1.705568716332e-05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5.116706148996e-05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6.404765424633e-05</v>
      </c>
      <c r="E53" s="89" t="s">
        <v>581</v>
      </c>
      <c r="F53" s="21"/>
    </row>
    <row r="54" spans="1:6" ht="24" customHeight="1" x14ac:dyDescent="0.2">
      <c r="A54" s="18" t="s">
        <v>582</v>
      </c>
      <c r="B54" s="19" t="s">
        <v>583</v>
      </c>
      <c r="C54" s="20" t="s">
        <v>307</v>
      </c>
      <c r="D54" s="41">
        <f>IF(d_bubble&lt;d_bubble_min_m,0,kLa_sparge*(V_charge/1000000)*O2_ceil_C*3600)</f>
        <v>0.0007104119250025</v>
      </c>
      <c r="E54" s="57" t="inlineStr">
        <is>
          <t xml:space="preserve">Bubble O₂ strip at the ceiling driving force (best case). 0 for sub-mm bubbles (fine sinter, bubble model out of range — see bubble_regime). Evaluated at the generic 0.30 atm ceiling (D6), as a transfer capacity, not at the organism limit.</t>
        </is>
      </c>
      <c r="F54" s="21"/>
    </row>
    <row r="55" spans="1:6" ht="24" customHeight="1" x14ac:dyDescent="0.2">
      <c r="A55" s="86" t="s">
        <v>585</v>
      </c>
      <c r="B55" s="19" t="s">
        <v>586</v>
      </c>
      <c r="C55" s="20" t="s">
        <v>307</v>
      </c>
      <c r="D55" s="41">
        <f>strip_sparge*duty</f>
        <v>1.088561412663e-06</v>
      </c>
      <c r="E55" s="57" t="s">
        <v>587</v>
      </c>
      <c r="F55" s="21"/>
    </row>
    <row r="56" spans="1:6" x14ac:dyDescent="0.2">
      <c r="A56" s="86" t="s">
        <v>588</v>
      </c>
      <c r="B56" s="19" t="s">
        <v>589</v>
      </c>
      <c r="C56" s="20" t="s">
        <v>87</v>
      </c>
      <c r="D56" s="39">
        <f>IF(O2_excess&gt;0,strip_avg/O2_excess,NA())</f>
        <v>0.063823955156</v>
      </c>
      <c r="E56" s="57" t="s">
        <v>590</v>
      </c>
      <c r="F56" s="21"/>
    </row>
    <row r="57" spans="1:6" ht="36" customHeight="1" x14ac:dyDescent="0.2">
      <c r="A57" s="18" t="s">
        <v>591</v>
      </c>
      <c r="B57" s="19" t="s">
        <v>592</v>
      </c>
      <c r="C57" s="20" t="s">
        <v>577</v>
      </c>
      <c r="D57" s="41">
        <f>IF(O2_excess&gt;0,O2_excess/3600/((V_charge/1000000)*O2_ceil_C),NA())</f>
        <v>0.001003504939</v>
      </c>
      <c r="E57" s="57" t="inlineStr">
        <is>
          <t xml:space="preserve">kLa that would exactly strip the excess at the ceiling. Evaluated at the generic 0.30 atm ceiling (D6), as a transfer capacity, not at the organism limit.</t>
        </is>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IF(O2_excess&gt;0,O2_ceil_org*(V_charge/1000000)/O2_excess*60,"never (source &lt;= 0)")</f>
        <v>16.608455039407</v>
      </c>
      <c r="E65" s="74" t="s">
        <v>2232</v>
      </c>
      <c r="F65" s="21"/>
    </row>
    <row r="66" spans="1:6" ht="24" customHeight="1" x14ac:dyDescent="0.2">
      <c r="A66" s="18" t="s">
        <v>614</v>
      </c>
      <c r="B66" s="19" t="s">
        <v>615</v>
      </c>
      <c r="C66" s="20" t="s">
        <v>61</v>
      </c>
      <c r="D66" s="41">
        <f>IF(O2_excess-strip_avg*O2_ceil_org/O2_ceil_C&gt;0,IF(strip_avg&gt;0,-LN(1-strip_avg*O2_ceil_org/O2_ceil_C/O2_excess)*60*(V_charge/1000000)*O2_ceil_C/strip_avg,t_O2_ceiling),"never (strip ≥ source)")</f>
        <v>17.162152896755</v>
      </c>
      <c r="E66" s="74" t="inlineStr">
        <is>
          <t xml:space="preserve">As D65, with the bubble strip growing in proportion to DO as it rises (first order: rate D55 × DO/D6, so t = −ln(1 − strip at the organism ceiling ÷ source)/k). "never" = the strip at the organism ceiling (D565) matches the source. Bubbles meet fresh CO₂, so no back-pressure term is needed.</t>
        </is>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inlineStr">
        <is>
          <t xml:space="preserve">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is>
      </c>
      <c r="F73" s="21"/>
    </row>
    <row r="74" spans="1:6" ht="24" customHeight="1" x14ac:dyDescent="0.2">
      <c r="A74" s="18" t="s">
        <v>633</v>
      </c>
      <c r="B74" s="19" t="s">
        <v>634</v>
      </c>
      <c r="C74" s="20" t="s">
        <v>87</v>
      </c>
      <c r="D74" s="41">
        <f>IF(O2_excess&gt;0,surf_strip/O2_excess,NA())</f>
        <v>7.613851405219</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7.29306337365</v>
      </c>
      <c r="E77" s="74" t="s">
        <v>2236</v>
      </c>
      <c r="F77" s="21"/>
    </row>
    <row r="78" spans="1:6" ht="26" customHeight="1" x14ac:dyDescent="0.2">
      <c r="A78" s="18" t="s">
        <v>638</v>
      </c>
      <c r="B78" s="19" t="s">
        <v>639</v>
      </c>
      <c r="C78" s="20" t="s">
        <v>87</v>
      </c>
      <c r="D78" s="41">
        <f>IF(O2_excess&gt;0,(strip_avg+surf_strip)/O2_excess,NA())</f>
        <v>7.677675360374</v>
      </c>
      <c r="E78" s="90" t="s">
        <v>640</v>
      </c>
      <c r="F78" s="21"/>
    </row>
    <row r="79" spans="1:6" x14ac:dyDescent="0.2">
      <c r="A79" s="18" t="s">
        <v>641</v>
      </c>
      <c r="B79" s="19" t="s">
        <v>642</v>
      </c>
      <c r="C79" s="20" t="s">
        <v>61</v>
      </c>
      <c r="D79" s="41">
        <f>O2_ceil_org*(V_charge/1000000)/O2_net_lag_mt*60</f>
        <v>5.854318892931</v>
      </c>
      <c r="E79" s="74" t="inlineStr">
        <is>
          <t xml:space="preserve">Lag/establishment: no biological O₂ uptake yet, so the whole lag O₂ source (D394) accumulates up to the organism ceiling (D565). Worst case.</t>
        </is>
      </c>
      <c r="F79" s="21"/>
    </row>
    <row r="80" spans="1:6" ht="36" customHeight="1" x14ac:dyDescent="0.2">
      <c r="A80" s="18" t="inlineStr">
        <is>
          <t xml:space="preserve">O₂ time-to-ceiling, zero headspace O₂ (hypothetical)</t>
        </is>
      </c>
      <c r="B80" s="19" t="s">
        <v>645</v>
      </c>
      <c r="C80" s="20" t="s">
        <v>61</v>
      </c>
      <c r="D80" s="4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s="53" t="inlineStr">
        <is>
          <t xml:space="preserve">CAPACITY DIAGNOSTIC ONLY: the lag rise (D79) with both removal paths acting first order against an O₂-free headspace (zero back-pressure). The real headspace holds O₂ and pushes back, so the lag ceiling verdict is the lag peak (D363, Summary row 62); a non-crossing here is never a pass.</t>
        </is>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0.001565388449</v>
      </c>
      <c r="E87" s="74" t="s">
        <v>965</v>
      </c>
      <c r="F87" s="21"/>
    </row>
    <row r="88" spans="1:6" ht="24" customHeight="1" x14ac:dyDescent="0.2">
      <c r="A88" s="18" t="s">
        <v>663</v>
      </c>
      <c r="B88" s="19" t="s">
        <v>664</v>
      </c>
      <c r="C88" s="20" t="s">
        <v>111</v>
      </c>
      <c r="D88" s="41">
        <f>MAX(duty_carbon,duty_O2vent)</f>
        <v>0.001565388449</v>
      </c>
      <c r="E88" s="53" t="s">
        <v>2239</v>
      </c>
      <c r="F88" s="21"/>
    </row>
    <row r="89" spans="1:6" ht="60" x14ac:dyDescent="0.2">
      <c r="A89" s="18" t="s">
        <v>2240</v>
      </c>
      <c r="B89" s="19" t="s">
        <v>665</v>
      </c>
      <c r="C89" s="20" t="s">
        <v>61</v>
      </c>
      <c r="D89" s="41">
        <f>target_DO_frac*O2_ceil_org*(V_charge/1000000)/O2_src_guard*60</f>
        <v>1.251651684129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7.293500622657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437.610037359391</v>
      </c>
      <c r="E92" s="129" t="s">
        <v>672</v>
      </c>
      <c r="F92" s="21"/>
    </row>
    <row r="93" spans="1:6" ht="24" x14ac:dyDescent="0.2">
      <c r="A93" s="18" t="s">
        <v>2244</v>
      </c>
      <c r="B93" s="19" t="s">
        <v>673</v>
      </c>
      <c r="C93" s="20" t="s">
        <v>111</v>
      </c>
      <c r="D93" s="41">
        <f>spg_dur_eq_opt/(spg_int_opt*60)</f>
        <v>0.001792721791</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0.0008639935959385</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0.001532296087</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2.275287892306</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7.07</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8.486562942008</v>
      </c>
      <c r="E124" s="51" t="inlineStr">
        <is>
          <t xml:space="preserve">60 ÷ the interval in use.</t>
        </is>
      </c>
      <c r="F124" s="21"/>
    </row>
    <row r="125" spans="1:6" x14ac:dyDescent="0.2">
      <c r="A125" s="21" t="s">
        <v>736</v>
      </c>
      <c r="B125" s="21" t="s">
        <v>737</v>
      </c>
      <c r="C125" s="21" t="s">
        <v>738</v>
      </c>
      <c r="D125" s="25">
        <f>pulses_h*24</f>
        <v>203.677510608204</v>
      </c>
      <c r="E125" s="51" t="inlineStr">
        <is>
          <t xml:space="preserve">Pulses per hour × 24.</t>
        </is>
      </c>
      <c r="F125" s="21"/>
    </row>
    <row r="126" spans="1:6" x14ac:dyDescent="0.2">
      <c r="A126" s="21" t="s">
        <v>739</v>
      </c>
      <c r="B126" s="21" t="s">
        <v>740</v>
      </c>
      <c r="C126" s="21" t="s">
        <v>87</v>
      </c>
      <c r="D126" s="25">
        <f>IF(CO2_cons&gt;0,CO2_supply/CO2_cons,NA())</f>
        <v>50.657214081442</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2.009728470745e-06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0.063823955156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0.0001549971963378</v>
      </c>
      <c r="E131" s="117" t="s">
        <v>1637</v>
      </c>
      <c r="F131" s="21"/>
    </row>
    <row r="132" spans="1:6" ht="24" x14ac:dyDescent="0.2">
      <c r="A132" s="18" t="s">
        <v>899</v>
      </c>
      <c r="B132" s="19" t="s">
        <v>900</v>
      </c>
      <c r="C132" s="20" t="s">
        <v>901</v>
      </c>
      <c r="D132" s="25">
        <f>O2_net_gen</f>
        <v>5.116706148996e-05</v>
      </c>
      <c r="E132" s="53" t="s">
        <v>902</v>
      </c>
      <c r="F132" s="21"/>
    </row>
    <row r="133" spans="1:6" ht="36" x14ac:dyDescent="0.2">
      <c r="A133" s="18" t="s">
        <v>1749</v>
      </c>
      <c r="B133" s="19" t="s">
        <v>903</v>
      </c>
      <c r="C133" s="20" t="s">
        <v>904</v>
      </c>
      <c r="D133" s="25">
        <f>DO_avg_sched</f>
        <v>0.071107190834</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s="53" t="s">
        <v>2257</v>
      </c>
      <c r="F134" s="21"/>
    </row>
    <row r="135" spans="1:6" ht="48" x14ac:dyDescent="0.2">
      <c r="A135" s="21" t="s">
        <v>2258</v>
      </c>
      <c r="B135" s="21" t="s">
        <v>908</v>
      </c>
      <c r="C135" s="21" t="s">
        <v>909</v>
      </c>
      <c r="D135" s="25">
        <f>DO_avg_l</f>
        <v>0.175470883498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423.55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0.025595318383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0.041338198902</v>
      </c>
      <c r="E180" s="51" t="s">
        <v>2272</v>
      </c>
    </row>
    <row r="181" spans="1:5" ht="24" x14ac:dyDescent="0.2">
      <c r="A181" t="s">
        <v>1618</v>
      </c>
      <c r="B181" s="19" t="s">
        <v>1619</v>
      </c>
      <c r="C181" s="20" t="s">
        <v>909</v>
      </c>
      <c r="D181" s="111">
        <f>O2_src_l/(kLa_surf_used*3600*(V_charge/1000000))</f>
        <v>0.117274721522</v>
      </c>
      <c r="E181" s="51" t="s">
        <v>2273</v>
      </c>
    </row>
    <row r="182" spans="1:5" ht="36" x14ac:dyDescent="0.2">
      <c r="A182" t="s">
        <v>1620</v>
      </c>
      <c r="B182" s="19" t="s">
        <v>1621</v>
      </c>
      <c r="C182" s="20" t="s">
        <v>909</v>
      </c>
      <c r="D182" s="111">
        <f>DO_target-DO_surf_excess</f>
        <v>0.029821066305</v>
      </c>
      <c r="E182" s="51" t="s">
        <v>1622</v>
      </c>
    </row>
    <row r="183" spans="1:5" ht="24" x14ac:dyDescent="0.2">
      <c r="A183" t="s">
        <v>1623</v>
      </c>
      <c r="B183" s="19" t="s">
        <v>1624</v>
      </c>
      <c r="C183" s="20" t="s">
        <v>1140</v>
      </c>
      <c r="D183" s="111">
        <f>IF(hs_O2_allow&gt;0,hs_O2_allow/(H_O2_T*P_dry),NA())</f>
        <v>0.029664563955</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0.001792721791</v>
      </c>
      <c r="E184" s="51" t="s">
        <v>2274</v>
      </c>
    </row>
    <row r="185" spans="1:5" ht="24" x14ac:dyDescent="0.2">
      <c r="A185" t="s">
        <v>1628</v>
      </c>
      <c r="B185" s="19" t="s">
        <v>1629</v>
      </c>
      <c r="C185" s="20" t="s">
        <v>873</v>
      </c>
      <c r="D185" s="111">
        <f>IF(ISNUMBER(duty_DO),IF(duty_DO&gt;0,spg_dur_eq_opt/(60*duty_DO),spg_int_carbon),NA())</f>
        <v>7.293500622657</v>
      </c>
      <c r="E185" s="51" t="s">
        <v>1630</v>
      </c>
    </row>
    <row r="186" spans="1:5" ht="48" x14ac:dyDescent="0.2">
      <c r="A186" t="s">
        <v>1631</v>
      </c>
      <c r="B186" s="19" t="s">
        <v>1632</v>
      </c>
      <c r="C186" s="20" t="s">
        <v>577</v>
      </c>
      <c r="D186" s="111">
        <f>O2_src_sched/(DO_target*3600*(V_charge/1000000))</f>
        <v>0.004438579539</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0.027367364576</v>
      </c>
      <c r="E187" s="51" t="s">
        <v>2276</v>
      </c>
    </row>
    <row r="188" spans="1:5" ht="36" x14ac:dyDescent="0.2">
      <c r="A188" t="s">
        <v>1635</v>
      </c>
      <c r="B188" s="19" t="s">
        <v>1636</v>
      </c>
      <c r="C188" s="20" t="s">
        <v>909</v>
      </c>
      <c r="D188" s="111">
        <f>IF(ISNUMBER(y_O2_actual),H_O2_T*y_O2_actual*P_dry,NA())</f>
        <v>0.027511747512</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0.993868548876</v>
      </c>
      <c r="E197" s="74" t="s">
        <v>1654</v>
      </c>
    </row>
    <row r="198" spans="1:5" ht="36" x14ac:dyDescent="0.2">
      <c r="A198" t="s">
        <v>1655</v>
      </c>
      <c r="B198" s="19" t="s">
        <v>1656</v>
      </c>
      <c r="C198" s="20" t="s">
        <v>909</v>
      </c>
      <c r="D198" s="111">
        <f>(pool_D_gap+pool_b*pool_e)/(1-pool_ret*pool_e)</f>
        <v>25.476094895404</v>
      </c>
      <c r="E198" s="74" t="s">
        <v>2284</v>
      </c>
    </row>
    <row r="199" spans="1:5" ht="24" x14ac:dyDescent="0.2">
      <c r="A199" t="s">
        <v>1657</v>
      </c>
      <c r="B199" s="19" t="s">
        <v>1658</v>
      </c>
      <c r="C199" s="20" t="s">
        <v>909</v>
      </c>
      <c r="D199" s="111">
        <f>pool_ret*C_cycle_start+pool_b</f>
        <v>25.714786542723</v>
      </c>
      <c r="E199" s="74" t="s">
        <v>2285</v>
      </c>
    </row>
    <row r="200" spans="1:5" ht="36" x14ac:dyDescent="0.2">
      <c r="A200" t="s">
        <v>1659</v>
      </c>
      <c r="B200" s="19" t="s">
        <v>1660</v>
      </c>
      <c r="C200" s="20" t="s">
        <v>909</v>
      </c>
      <c r="D200" s="111">
        <f>C_cycle_peak*pool_phi+pool_D_raw*pool_psi</f>
        <v>25.595318383194</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0.423214741433</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1.705568716332e-05</v>
      </c>
      <c r="E309" s="51" t="s">
        <v>2349</v>
      </c>
    </row>
    <row r="310" spans="1:5" ht="36" x14ac:dyDescent="0.2">
      <c r="A310" s="18" t="s">
        <v>2350</v>
      </c>
      <c r="B310" s="19" t="s">
        <v>2351</v>
      </c>
      <c r="C310" s="20" t="s">
        <v>307</v>
      </c>
      <c r="D310" s="41">
        <f>O2_net_lag_mt</f>
        <v>4.838626296225e-05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1.705568716332e-05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0.117652777778</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2.463537624956e-05</v>
      </c>
      <c r="E327" s="51" t="s">
        <v>2400</v>
      </c>
    </row>
    <row r="328" spans="1:5" ht="24" x14ac:dyDescent="0.2">
      <c r="A328" s="18" t="s">
        <v>2401</v>
      </c>
      <c r="B328" s="19" t="s">
        <v>2402</v>
      </c>
      <c r="C328" s="20" t="s">
        <v>307</v>
      </c>
      <c r="D328" s="41">
        <f>CO2_supply+O2_src_g+H2_src_g-CO2_fix_g</f>
        <v>0.0008639935959385</v>
      </c>
      <c r="E328" s="51" t="s">
        <v>2403</v>
      </c>
    </row>
    <row r="329" spans="1:5" ht="36" x14ac:dyDescent="0.2">
      <c r="A329" s="18" t="s">
        <v>2404</v>
      </c>
      <c r="B329" s="19" t="s">
        <v>2405</v>
      </c>
      <c r="C329" s="20" t="s">
        <v>111</v>
      </c>
      <c r="D329" s="41">
        <f>IF(F_dil+F_hs_net_g&gt;0,S_O2_g/(F_dil+F_hs_net_g),NA())</f>
        <v>0.027367364576</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0.04230091701</v>
      </c>
      <c r="E332" s="51" t="s">
        <v>2415</v>
      </c>
    </row>
    <row r="333" spans="1:5" x14ac:dyDescent="0.2">
      <c r="A333" s="18" t="s">
        <v>2416</v>
      </c>
      <c r="B333" s="19" t="s">
        <v>2417</v>
      </c>
      <c r="C333" s="20" t="s">
        <v>111</v>
      </c>
      <c r="D333" s="41">
        <f>IF(x_hs_g&gt;x_series,(1-EXP(-x_hs_g))/x_hs_g,1-x_hs_g/2+x_hs_g^2/6-x_hs_g^3/24)</f>
        <v>0.979144642091</v>
      </c>
      <c r="E333" s="51" t="s">
        <v>2418</v>
      </c>
    </row>
    <row r="334" spans="1:5" x14ac:dyDescent="0.2">
      <c r="A334" s="18" t="s">
        <v>2419</v>
      </c>
      <c r="B334" s="19" t="s">
        <v>2420</v>
      </c>
      <c r="C334" s="20" t="s">
        <v>111</v>
      </c>
      <c r="D334" s="41">
        <f>IF(x_hs_g&gt;x_series,(x_hs_g-1+EXP(-x_hs_g))/x_hs_g^2,1/2-x_hs_g/6+x_hs_g^2/24-x_hs_g^3/120)</f>
        <v>0.493023777802</v>
      </c>
      <c r="E334" s="51" t="s">
        <v>2421</v>
      </c>
    </row>
    <row r="335" spans="1:5" x14ac:dyDescent="0.2">
      <c r="A335" s="18" t="s">
        <v>2422</v>
      </c>
      <c r="B335" s="19" t="s">
        <v>2423</v>
      </c>
      <c r="C335" s="20" t="s">
        <v>111</v>
      </c>
      <c r="D335" s="41">
        <f>S_O2_g*t_gap_h/n_hs_gas</f>
        <v>0.028803258198</v>
      </c>
      <c r="E335" s="51" t="s">
        <v>2424</v>
      </c>
    </row>
    <row r="336" spans="1:5" ht="24" x14ac:dyDescent="0.2">
      <c r="A336" s="18" t="s">
        <v>2425</v>
      </c>
      <c r="B336" s="19" t="s">
        <v>2426</v>
      </c>
      <c r="C336" s="20" t="s">
        <v>111</v>
      </c>
      <c r="D336" s="41">
        <f>dy_O2_g*phi_hs_g/(1-flush_ret*EXP(-x_hs_g))</f>
        <v>0.043290953345</v>
      </c>
      <c r="E336" s="52" t="s">
        <v>2427</v>
      </c>
    </row>
    <row r="337" spans="1:5" x14ac:dyDescent="0.2">
      <c r="A337" s="18" t="s">
        <v>2428</v>
      </c>
      <c r="B337" s="19" t="s">
        <v>2429</v>
      </c>
      <c r="C337" s="20" t="s">
        <v>111</v>
      </c>
      <c r="D337" s="41">
        <f>y_O2_end_g*flush_ret</f>
        <v>0.015740342172</v>
      </c>
      <c r="E337" s="52" t="s">
        <v>2430</v>
      </c>
    </row>
    <row r="338" spans="1:5" x14ac:dyDescent="0.2">
      <c r="A338" s="18" t="s">
        <v>2431</v>
      </c>
      <c r="B338" s="19" t="s">
        <v>2432</v>
      </c>
      <c r="C338" s="20" t="s">
        <v>111</v>
      </c>
      <c r="D338" s="41">
        <f>y_O2_post_g*phi_hs_g+dy_O2_g*psi_hs_g</f>
        <v>0.029612762872</v>
      </c>
      <c r="E338" s="52" t="s">
        <v>2433</v>
      </c>
    </row>
    <row r="339" spans="1:5" x14ac:dyDescent="0.2">
      <c r="A339" s="18" t="s">
        <v>2434</v>
      </c>
      <c r="B339" s="19" t="s">
        <v>2435</v>
      </c>
      <c r="C339" s="20" t="s">
        <v>406</v>
      </c>
      <c r="D339" s="41">
        <f>O2_src_g/(kLa_surf_used*3600*V_L_m3)</f>
        <v>0.041338198902</v>
      </c>
      <c r="E339" s="51" t="s">
        <v>2436</v>
      </c>
    </row>
    <row r="340" spans="1:5" ht="24" x14ac:dyDescent="0.2">
      <c r="A340" s="18" t="s">
        <v>2437</v>
      </c>
      <c r="B340" s="19" t="s">
        <v>2438</v>
      </c>
      <c r="C340" s="20" t="s">
        <v>406</v>
      </c>
      <c r="D340" s="41">
        <f>DO_surf_excess_g+H_O2_T*P_dry*y_O2_mf_g</f>
        <v>0.068849946414</v>
      </c>
      <c r="E340" s="51" t="s">
        <v>2439</v>
      </c>
    </row>
    <row r="341" spans="1:5" ht="24" x14ac:dyDescent="0.2">
      <c r="A341" s="18" t="s">
        <v>2440</v>
      </c>
      <c r="B341" s="19" t="s">
        <v>2441</v>
      </c>
      <c r="C341" s="20" t="s">
        <v>406</v>
      </c>
      <c r="D341" s="41">
        <f>DO_surf_excess_g+H_O2_T*P_dry*y_O2_avg_g</f>
        <v>0.071107190834</v>
      </c>
      <c r="E341" s="52" t="s">
        <v>2442</v>
      </c>
    </row>
    <row r="342" spans="1:5" ht="36" x14ac:dyDescent="0.2">
      <c r="A342" s="18" t="s">
        <v>2443</v>
      </c>
      <c r="B342" s="19" t="s">
        <v>2444</v>
      </c>
      <c r="C342" s="20" t="s">
        <v>406</v>
      </c>
      <c r="D342" s="41">
        <f>DO_surf_excess_g+H_O2_T*P_dry*z_peak_g</f>
        <v>0.07751644174</v>
      </c>
      <c r="E342" s="52" t="inlineStr">
        <is>
          <t xml:space="preserve">Liquid DO just before a pulse: the surface excess plus equilibrium with the liquid’s own peak (D566, exact for a first-order liquid following the headspace sawtooth).</t>
        </is>
      </c>
    </row>
    <row r="343" spans="1:5" x14ac:dyDescent="0.2">
      <c r="A343" s="18" t="s">
        <v>2446</v>
      </c>
      <c r="B343" s="19" t="s">
        <v>2447</v>
      </c>
      <c r="C343" s="20" t="s">
        <v>83</v>
      </c>
      <c r="D343" s="41">
        <f>DO_avg_g*M_O2</f>
        <v>2.275287892306</v>
      </c>
      <c r="E343" s="52" t="s">
        <v>2448</v>
      </c>
    </row>
    <row r="344" spans="1:5" x14ac:dyDescent="0.2">
      <c r="A344" s="18" t="s">
        <v>2449</v>
      </c>
      <c r="B344" s="19" t="s">
        <v>2450</v>
      </c>
      <c r="C344" s="20" t="s">
        <v>83</v>
      </c>
      <c r="D344" s="41">
        <f>DO_peak_g*M_O2</f>
        <v>2.480371102791</v>
      </c>
      <c r="E344" s="52" t="s">
        <v>2448</v>
      </c>
    </row>
    <row r="345" spans="1:5" x14ac:dyDescent="0.2">
      <c r="A345" s="18" t="s">
        <v>2451</v>
      </c>
      <c r="B345" s="19" t="s">
        <v>2452</v>
      </c>
      <c r="C345" s="20" t="s">
        <v>577</v>
      </c>
      <c r="D345" s="41">
        <f>O2_src_g/(DO_target*3600*V_L_m3)</f>
        <v>0.004438579539</v>
      </c>
      <c r="E345" s="51" t="s">
        <v>2453</v>
      </c>
    </row>
    <row r="346" spans="1:5" x14ac:dyDescent="0.2">
      <c r="A346" s="18" t="s">
        <v>2454</v>
      </c>
      <c r="B346" s="19" t="s">
        <v>2455</v>
      </c>
      <c r="C346" s="20" t="s">
        <v>87</v>
      </c>
      <c r="D346" s="111">
        <f>IF(kLa_surf_req_g&gt;0,kLa_surf_used/kLa_surf_req_g,"no positive source")</f>
        <v>1.721392491615</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5.596595204849e-05</v>
      </c>
      <c r="E349" s="51" t="s">
        <v>2400</v>
      </c>
    </row>
    <row r="350" spans="1:5" ht="24" x14ac:dyDescent="0.2">
      <c r="A350" s="18" t="s">
        <v>2464</v>
      </c>
      <c r="B350" s="19" t="s">
        <v>2465</v>
      </c>
      <c r="C350" s="20" t="s">
        <v>307</v>
      </c>
      <c r="D350" s="41">
        <f>CO2_supply+O2_src_l+H2_src_l-CO2_fix_l</f>
        <v>0.001009152385</v>
      </c>
      <c r="E350" s="51" t="s">
        <v>2403</v>
      </c>
    </row>
    <row r="351" spans="1:5" ht="36" x14ac:dyDescent="0.2">
      <c r="A351" s="18" t="s">
        <v>2466</v>
      </c>
      <c r="B351" s="19" t="s">
        <v>2467</v>
      </c>
      <c r="C351" s="20" t="s">
        <v>111</v>
      </c>
      <c r="D351" s="41">
        <f>IF(F_dil+F_hs_net_l&gt;0,S_O2_l/(F_dil+F_hs_net_l),NA())</f>
        <v>0.053538910882</v>
      </c>
      <c r="E351" s="51" t="s">
        <v>2406</v>
      </c>
    </row>
    <row r="352" spans="1:5" x14ac:dyDescent="0.2">
      <c r="A352" s="18" t="s">
        <v>2468</v>
      </c>
      <c r="B352" s="19" t="s">
        <v>2469</v>
      </c>
      <c r="C352" s="20" t="s">
        <v>111</v>
      </c>
      <c r="D352" s="41">
        <f>IF(F_dil+F_hs_net_l&gt;0,H2_src_l/(F_dil+F_hs_net_l),NA())</f>
        <v>0.09257585106</v>
      </c>
      <c r="E352" s="51" t="s">
        <v>2409</v>
      </c>
    </row>
    <row r="353" spans="1:5" ht="36" x14ac:dyDescent="0.2">
      <c r="A353" s="18" t="s">
        <v>2470</v>
      </c>
      <c r="B353" s="19" t="s">
        <v>2471</v>
      </c>
      <c r="C353" s="20" t="s">
        <v>307</v>
      </c>
      <c r="D353" s="41">
        <f>F_dil+MAX(0,O2_src_l+H2_src_l-CO2_fix_l)</f>
        <v>0.0001813386890597</v>
      </c>
      <c r="E353" s="51" t="s">
        <v>2412</v>
      </c>
    </row>
    <row r="354" spans="1:5" x14ac:dyDescent="0.2">
      <c r="A354" s="18" t="s">
        <v>2472</v>
      </c>
      <c r="B354" s="19" t="s">
        <v>2473</v>
      </c>
      <c r="C354" s="20" t="s">
        <v>111</v>
      </c>
      <c r="D354" s="41">
        <f>F_gap_l*t_gap_h/n_hs_gas</f>
        <v>0.212018076334</v>
      </c>
      <c r="E354" s="51" t="s">
        <v>2415</v>
      </c>
    </row>
    <row r="355" spans="1:5" x14ac:dyDescent="0.2">
      <c r="A355" s="18" t="s">
        <v>2474</v>
      </c>
      <c r="B355" s="19" t="s">
        <v>2475</v>
      </c>
      <c r="C355" s="20" t="s">
        <v>111</v>
      </c>
      <c r="D355" s="41">
        <f>IF(x_hs_l&gt;x_series,(1-EXP(-x_hs_l))/x_hs_l,1-x_hs_l/2+x_hs_l^2/6-x_hs_l^3/24)</f>
        <v>0.901102060357</v>
      </c>
      <c r="E355" s="51" t="s">
        <v>2418</v>
      </c>
    </row>
    <row r="356" spans="1:5" x14ac:dyDescent="0.2">
      <c r="A356" s="18" t="s">
        <v>2476</v>
      </c>
      <c r="B356" s="19" t="s">
        <v>2477</v>
      </c>
      <c r="C356" s="20" t="s">
        <v>111</v>
      </c>
      <c r="D356" s="41">
        <f>IF(x_hs_l&gt;x_series,(x_hs_l-1+EXP(-x_hs_l))/x_hs_l^2,1/2-x_hs_l/6+x_hs_l^2/24-x_hs_l^3/120)</f>
        <v>0.466459942253</v>
      </c>
      <c r="E356" s="51" t="s">
        <v>2421</v>
      </c>
    </row>
    <row r="357" spans="1:5" x14ac:dyDescent="0.2">
      <c r="A357" s="18" t="s">
        <v>2478</v>
      </c>
      <c r="B357" s="19" t="s">
        <v>2479</v>
      </c>
      <c r="C357" s="20" t="s">
        <v>111</v>
      </c>
      <c r="D357" s="41">
        <f>S_O2_l*t_gap_h/n_hs_gas</f>
        <v>0.065434428555</v>
      </c>
      <c r="E357" s="51" t="s">
        <v>2424</v>
      </c>
    </row>
    <row r="358" spans="1:5" ht="24" x14ac:dyDescent="0.2">
      <c r="A358" s="18" t="s">
        <v>2480</v>
      </c>
      <c r="B358" s="19" t="s">
        <v>2481</v>
      </c>
      <c r="C358" s="20" t="s">
        <v>111</v>
      </c>
      <c r="D358" s="41">
        <f>dy_O2_l*phi_hs_l/(1-flush_ret*EXP(-x_hs_l))</f>
        <v>0.083532471034</v>
      </c>
      <c r="E358" s="52" t="s">
        <v>2427</v>
      </c>
    </row>
    <row r="359" spans="1:5" x14ac:dyDescent="0.2">
      <c r="A359" s="18" t="s">
        <v>2482</v>
      </c>
      <c r="B359" s="19" t="s">
        <v>2483</v>
      </c>
      <c r="C359" s="20" t="s">
        <v>111</v>
      </c>
      <c r="D359" s="41">
        <f>y_O2_end_l*flush_ret</f>
        <v>0.030371927041</v>
      </c>
      <c r="E359" s="52" t="s">
        <v>2430</v>
      </c>
    </row>
    <row r="360" spans="1:5" x14ac:dyDescent="0.2">
      <c r="A360" s="18" t="s">
        <v>2484</v>
      </c>
      <c r="B360" s="19" t="s">
        <v>2485</v>
      </c>
      <c r="C360" s="20" t="s">
        <v>111</v>
      </c>
      <c r="D360" s="41">
        <f>y_O2_post_l*phi_hs_l+dy_O2_l*psi_hs_l</f>
        <v>0.057890745799</v>
      </c>
      <c r="E360" s="52" t="s">
        <v>2433</v>
      </c>
    </row>
    <row r="361" spans="1:5" ht="24" x14ac:dyDescent="0.2">
      <c r="A361" s="18" t="s">
        <v>2486</v>
      </c>
      <c r="B361" s="19" t="s">
        <v>2487</v>
      </c>
      <c r="C361" s="20" t="s">
        <v>406</v>
      </c>
      <c r="D361" s="41">
        <f>DO_surf_excess_lag+H_O2_T*P_dry*y_O2_mf_l</f>
        <v>0.171096089458</v>
      </c>
      <c r="E361" s="51" t="s">
        <v>2439</v>
      </c>
    </row>
    <row r="362" spans="1:5" ht="24" x14ac:dyDescent="0.2">
      <c r="A362" s="18" t="s">
        <v>2488</v>
      </c>
      <c r="B362" s="19" t="s">
        <v>2489</v>
      </c>
      <c r="C362" s="20" t="s">
        <v>406</v>
      </c>
      <c r="D362" s="41">
        <f>DO_surf_excess_lag+H_O2_T*P_dry*y_O2_avg_l</f>
        <v>0.175470883498</v>
      </c>
      <c r="E362" s="52" t="s">
        <v>2442</v>
      </c>
    </row>
    <row r="363" spans="1:5" ht="36" x14ac:dyDescent="0.2">
      <c r="A363" s="18" t="s">
        <v>2490</v>
      </c>
      <c r="B363" s="19" t="s">
        <v>2491</v>
      </c>
      <c r="C363" s="20" t="s">
        <v>406</v>
      </c>
      <c r="D363" s="41">
        <f>DO_surf_excess_lag+H_O2_T*P_dry*z_peak_l</f>
        <v>0.187723903393</v>
      </c>
      <c r="E363" s="52" t="inlineStr">
        <is>
          <t xml:space="preserve">As D342 on the lag phase (D567).</t>
        </is>
      </c>
    </row>
    <row r="364" spans="1:5" x14ac:dyDescent="0.2">
      <c r="A364" s="18" t="s">
        <v>2492</v>
      </c>
      <c r="B364" s="19" t="s">
        <v>2493</v>
      </c>
      <c r="C364" s="20" t="s">
        <v>83</v>
      </c>
      <c r="D364" s="41">
        <f>DO_avg_l*M_O2</f>
        <v>5.614717330178</v>
      </c>
      <c r="E364" s="52" t="s">
        <v>2448</v>
      </c>
    </row>
    <row r="365" spans="1:5" x14ac:dyDescent="0.2">
      <c r="A365" s="18" t="s">
        <v>2494</v>
      </c>
      <c r="B365" s="19" t="s">
        <v>2495</v>
      </c>
      <c r="C365" s="20" t="s">
        <v>83</v>
      </c>
      <c r="D365" s="41">
        <f>DO_peak_l*M_O2</f>
        <v>6.006789460768</v>
      </c>
      <c r="E365" s="52" t="s">
        <v>2448</v>
      </c>
    </row>
    <row r="366" spans="1:5" x14ac:dyDescent="0.2">
      <c r="A366" s="18" t="s">
        <v>2496</v>
      </c>
      <c r="B366" s="19" t="s">
        <v>2497</v>
      </c>
      <c r="C366" s="20" t="s">
        <v>577</v>
      </c>
      <c r="D366" s="41">
        <f>O2_src_l/(DO_target*3600*V_L_m3)</f>
        <v>0.012592062384</v>
      </c>
      <c r="E366" s="51" t="s">
        <v>2453</v>
      </c>
    </row>
    <row r="367" spans="1:5" x14ac:dyDescent="0.2">
      <c r="A367" s="18" t="s">
        <v>2498</v>
      </c>
      <c r="B367" s="19" t="s">
        <v>2499</v>
      </c>
      <c r="C367" s="20" t="s">
        <v>87</v>
      </c>
      <c r="D367" s="41">
        <f>kLa_surf_used/kLa_surf_req_l</f>
        <v>0.606774113661</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0.071107190834</v>
      </c>
      <c r="E372" s="52" t="s">
        <v>2508</v>
      </c>
    </row>
    <row r="373" spans="1:5" x14ac:dyDescent="0.2">
      <c r="A373" s="18" t="s">
        <v>2509</v>
      </c>
      <c r="B373" s="19" t="s">
        <v>2510</v>
      </c>
      <c r="C373" s="20" t="s">
        <v>406</v>
      </c>
      <c r="D373" s="41">
        <f>IF(O2_sizing_phase=phase_name_1,DO_peak_g,IF(O2_sizing_phase=phase_name_2,DO_peak_l,NA()))</f>
        <v>0.07751644174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-0.081272103837</v>
      </c>
      <c r="E375" s="51" t="s">
        <v>2517</v>
      </c>
    </row>
    <row r="376" spans="1:5" x14ac:dyDescent="0.2">
      <c r="A376" s="18" t="s">
        <v>2518</v>
      </c>
      <c r="B376" s="19" t="s">
        <v>2519</v>
      </c>
      <c r="C376" s="20" t="s">
        <v>111</v>
      </c>
      <c r="D376" s="41">
        <f>k_eff_CO2*t_off_CO2</f>
        <v>0.006150325662</v>
      </c>
      <c r="E376" s="51" t="s">
        <v>2520</v>
      </c>
    </row>
    <row r="377" spans="1:5" ht="24" x14ac:dyDescent="0.2">
      <c r="A377" s="18" t="s">
        <v>2521</v>
      </c>
      <c r="B377" s="19" t="s">
        <v>2522</v>
      </c>
      <c r="C377" s="20" t="s">
        <v>111</v>
      </c>
      <c r="D377" s="41">
        <f>IF(pool_x&gt;x_series,(1-EXP(-pool_x))/pool_x,1-pool_x/2+pool_x^2/6-pool_x^3/24)</f>
        <v>0.996931131905</v>
      </c>
      <c r="E377" s="51" t="s">
        <v>2523</v>
      </c>
    </row>
    <row r="378" spans="1:5" x14ac:dyDescent="0.2">
      <c r="A378" s="18" t="s">
        <v>2524</v>
      </c>
      <c r="B378" s="19" t="s">
        <v>2525</v>
      </c>
      <c r="C378" s="20" t="s">
        <v>111</v>
      </c>
      <c r="D378" s="41">
        <f>IF(pool_x&gt;x_series,(pool_x-1+EXP(-pool_x))/pool_x^2,1/2-pool_x/6+pool_x^2/24-pool_x^3/120)</f>
        <v>0.498976519889</v>
      </c>
      <c r="E378" s="51" t="s">
        <v>2526</v>
      </c>
    </row>
    <row r="379" spans="1:5" x14ac:dyDescent="0.2">
      <c r="A379" s="18" t="s">
        <v>2527</v>
      </c>
      <c r="B379" s="19" t="s">
        <v>2528</v>
      </c>
      <c r="C379" s="20" t="s">
        <v>406</v>
      </c>
      <c r="D379" s="41">
        <f>pool_D_raw*pool_phi</f>
        <v>-0.081022690471</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0.940877306879</v>
      </c>
      <c r="E381" s="51" t="s">
        <v>2535</v>
      </c>
    </row>
    <row r="382" spans="1:5" x14ac:dyDescent="0.2">
      <c r="A382" s="18" t="s">
        <v>2536</v>
      </c>
      <c r="B382" s="19" t="s">
        <v>2537</v>
      </c>
      <c r="C382" s="20" t="s">
        <v>406</v>
      </c>
      <c r="D382" s="41">
        <f>y_CO2_mf*C_sat_CO2</f>
        <v>26.396980267336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0.14443867964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0.05000728325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4.838626296225e-05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2.503892293977</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7.07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0.344043413938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IF(C440&gt;x_series,(1-EXP(-C440))/C440,1-C440/2+C440^2/6-C440^3/24)</f>
        <v>0.999996006764</v>
      </c>
      <c r="F440" s="41">
        <f>IF(C440&gt;x_series,(C440-1+EXP(-C440))/C440^2,1/2-C440/6+C440^2/24-C440^3/120)</f>
        <v>0.49999866892</v>
      </c>
      <c r="G440" s="41">
        <f>(C_air_CO2/C_sat_CO2*F_vent_ex-CO2_fix_sched)*(B440/3600)/(V_L_CO2+Vg_CO2)</f>
        <v>-0.0001055357268577</v>
      </c>
      <c r="H440" s="41">
        <f>(G440*E440+pool_b*D440)/(1-pool_ret*D440)</f>
        <v>28.052147539797</v>
      </c>
      <c r="I440" s="41">
        <f>MIN(C_sat_CO2,MAX(C_air_CO2,(pool_ret*H440+pool_b)*E440+G440*F440))</f>
        <v>28.052312327239</v>
      </c>
      <c r="J440" s="41">
        <f>IF(AND(I440&gt;=CO2_pH_hi_mt,I441&lt;CO2_pH_hi_mt),EXP(LN(A440)+(LN(A441)-LN(A440))*(I440-CO2_pH_hi_mt)/(I440-I441)),0)</f>
        <v>0.0</v>
      </c>
      <c r="L440" s="41">
        <f>k_eff_CO2_l*B440</f>
        <v>4.313472514964e-05</v>
      </c>
      <c r="M440" s="41">
        <f>EXP(-L440)</f>
        <v>0.999956866205</v>
      </c>
      <c r="N440" s="41">
        <f>IF(L440&gt;x_series,(1-EXP(-L440))/L440,1-L440/2+L440^2/6-L440^3/24)</f>
        <v>0.999978432948</v>
      </c>
      <c r="O440" s="41">
        <f>IF(L440&gt;x_series,(L440-1+EXP(-L440))/L440^2,1/2-L440/6+L440^2/24-L440^3/120)</f>
        <v>0.499992810957</v>
      </c>
      <c r="P440" s="41">
        <f>(C_air_CO2/C_sat_CO2*F_vent_ex-CO2_fix_l)*(B440/3600)/(V_L_CO2+Vg_CO2)</f>
        <v>9.231456803077e-08</v>
      </c>
      <c r="Q440" s="41">
        <f>(P440*N440+pool_b*M440)/(1-pool_ret*M440)</f>
        <v>28.042637432812</v>
      </c>
      <c r="R440" s="41">
        <f>MIN(C_sat_CO2,MAX(C_air_CO2,(pool_ret*Q440+pool_b)*N440+P440*O440))</f>
        <v>28.043242201079</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IF(C441&gt;x_series,(1-EXP(-C441))/C441,1-C441/2+C441^2/6-C441^3/24)</f>
        <v>0.999994960704</v>
      </c>
      <c r="F441" s="41">
        <f>IF(C441&gt;x_series,(C441-1+EXP(-C441))/C441^2,1/2-C441/6+C441^2/24-C441^3/120)</f>
        <v>0.499998320233</v>
      </c>
      <c r="G441" s="41">
        <f>(C_air_CO2/C_sat_CO2*F_vent_ex-CO2_fix_sched)*(B441/3600)/(V_L_CO2+Vg_CO2)</f>
        <v>-0.0001331817569148</v>
      </c>
      <c r="H441" s="41">
        <f>(G441*E441+pool_b*D441)/(1-pool_ret*D441)</f>
        <v>28.051214585379</v>
      </c>
      <c r="I441" s="41">
        <f>MIN(C_sat_CO2,MAX(C_air_CO2,(pool_ret*H441+pool_b)*E441+G441*F441))</f>
        <v>28.051422535813</v>
      </c>
      <c r="J441" s="41">
        <f>IF(AND(I441&gt;=CO2_pH_hi_mt,I442&lt;CO2_pH_hi_mt),EXP(LN(A441)+(LN(A442)-LN(A441))*(I441-CO2_pH_hi_mt)/(I441-I442)),0)</f>
        <v>0.0</v>
      </c>
      <c r="L441" s="41">
        <f>k_eff_CO2_l*B441</f>
        <v>5.44342532194e-05</v>
      </c>
      <c r="M441" s="41">
        <f>EXP(-L441)</f>
        <v>0.999945567228</v>
      </c>
      <c r="N441" s="41">
        <f>IF(L441&gt;x_series,(1-EXP(-L441))/L441,1-L441/2+L441^2/6-L441^3/24)</f>
        <v>0.999972783367</v>
      </c>
      <c r="O441" s="41">
        <f>IF(L441&gt;x_series,(L441-1+EXP(-L441))/L441^2,1/2-L441/6+L441^2/24-L441^3/120)</f>
        <v>0.499990927748</v>
      </c>
      <c r="P441" s="41">
        <f>(C_air_CO2/C_sat_CO2*F_vent_ex-CO2_fix_l)*(B441/3600)/(V_L_CO2+Vg_CO2)</f>
        <v>1.164971969705e-07</v>
      </c>
      <c r="Q441" s="41">
        <f>(P441*N441+pool_b*M441)/(1-pool_ret*M441)</f>
        <v>28.039215043872</v>
      </c>
      <c r="R441" s="41">
        <f>MIN(C_sat_CO2,MAX(C_air_CO2,(pool_ret*Q441+pool_b)*N441+P441*O441))</f>
        <v>28.039978146336</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IF(C442&gt;x_series,(1-EXP(-C442))/C442,1-C442/2+C442^2/6-C442^3/24)</f>
        <v>0.99999378905</v>
      </c>
      <c r="F442" s="41">
        <f>IF(C442&gt;x_series,(C442-1+EXP(-C442))/C442^2,1/2-C442/6+C442^2/24-C442^3/120)</f>
        <v>0.499997929681</v>
      </c>
      <c r="G442" s="41">
        <f>(C_air_CO2/C_sat_CO2*F_vent_ex-CO2_fix_sched)*(B442/3600)/(V_L_CO2+Vg_CO2)</f>
        <v>-0.0001641470944896</v>
      </c>
      <c r="H442" s="41">
        <f>(G442*E442+pool_b*D442)/(1-pool_ret*D442)</f>
        <v>28.050169663999</v>
      </c>
      <c r="I442" s="41">
        <f>MIN(C_sat_CO2,MAX(C_air_CO2,(pool_ret*H442+pool_b)*E442+G442*F442))</f>
        <v>28.050425957523</v>
      </c>
      <c r="J442" s="41">
        <f>IF(AND(I442&gt;=CO2_pH_hi_mt,I443&lt;CO2_pH_hi_mt),EXP(LN(A442)+(LN(A443)-LN(A442))*(I442-CO2_pH_hi_mt)/(I442-I443)),0)</f>
        <v>0.0</v>
      </c>
      <c r="L442" s="41">
        <f>k_eff_CO2_l*B442</f>
        <v>6.709045378032e-05</v>
      </c>
      <c r="M442" s="41">
        <f>EXP(-L442)</f>
        <v>0.999932911797</v>
      </c>
      <c r="N442" s="41">
        <f>IF(L442&gt;x_series,(1-EXP(-L442))/L442,1-L442/2+L442^2/6-L442^3/24)</f>
        <v>0.999966455523</v>
      </c>
      <c r="O442" s="41">
        <f>IF(L442&gt;x_series,(L442-1+EXP(-L442))/L442^2,1/2-L442/6+L442^2/24-L442^3/120)</f>
        <v>0.499988818445</v>
      </c>
      <c r="P442" s="41">
        <f>(C_air_CO2/C_sat_CO2*F_vent_ex-CO2_fix_l)*(B442/3600)/(V_L_CO2+Vg_CO2)</f>
        <v>1.435833018116e-07</v>
      </c>
      <c r="Q442" s="41">
        <f>(P442*N442+pool_b*M442)/(1-pool_ret*M442)</f>
        <v>28.035382693285</v>
      </c>
      <c r="R442" s="41">
        <f>MIN(C_sat_CO2,MAX(C_air_CO2,(pool_ret*Q442+pool_b)*N442+P442*O442))</f>
        <v>28.036323095797</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IF(C443&gt;x_series,(1-EXP(-C443))/C443,1-C443/2+C443^2/6-C443^3/24)</f>
        <v>0.999992476725</v>
      </c>
      <c r="F443" s="41">
        <f>IF(C443&gt;x_series,(C443-1+EXP(-C443))/C443^2,1/2-C443/6+C443^2/24-C443^3/120)</f>
        <v>0.499997492239</v>
      </c>
      <c r="G443" s="41">
        <f>(C_air_CO2/C_sat_CO2*F_vent_ex-CO2_fix_sched)*(B443/3600)/(V_L_CO2+Vg_CO2)</f>
        <v>-0.0001988302706686</v>
      </c>
      <c r="H443" s="41">
        <f>(G443*E443+pool_b*D443)/(1-pool_ret*D443)</f>
        <v>28.04899934455</v>
      </c>
      <c r="I443" s="41">
        <f>MIN(C_sat_CO2,MAX(C_air_CO2,(pool_ret*H443+pool_b)*E443+G443*F443))</f>
        <v>28.049309782637</v>
      </c>
      <c r="J443" s="41">
        <f>IF(AND(I443&gt;=CO2_pH_hi_mt,I444&lt;CO2_pH_hi_mt),EXP(LN(A443)+(LN(A444)-LN(A443))*(I443-CO2_pH_hi_mt)/(I443-I444)),0)</f>
        <v>0.0</v>
      </c>
      <c r="L443" s="41">
        <f>k_eff_CO2_l*B443</f>
        <v>8.126621507314e-05</v>
      </c>
      <c r="M443" s="41">
        <f>EXP(-L443)</f>
        <v>0.999918737087</v>
      </c>
      <c r="N443" s="41">
        <f>IF(L443&gt;x_series,(1-EXP(-L443))/L443,1-L443/2+L443^2/6-L443^3/24)</f>
        <v>0.999959367993</v>
      </c>
      <c r="O443" s="41">
        <f>IF(L443&gt;x_series,(L443-1+EXP(-L443))/L443^2,1/2-L443/6+L443^2/24-L443^3/120)</f>
        <v>0.499986455906</v>
      </c>
      <c r="P443" s="41">
        <f>(C_air_CO2/C_sat_CO2*F_vent_ex-CO2_fix_l)*(B443/3600)/(V_L_CO2+Vg_CO2)</f>
        <v>1.739214870142e-07</v>
      </c>
      <c r="Q443" s="41">
        <f>(P443*N443+pool_b*M443)/(1-pool_ret*M443)</f>
        <v>28.031091399497</v>
      </c>
      <c r="R443" s="41">
        <f>MIN(C_sat_CO2,MAX(C_air_CO2,(pool_ret*Q443+pool_b)*N443+P443*O443))</f>
        <v>28.03223033374</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IF(C444&gt;x_series,(1-EXP(-C444))/C444,1-C444/2+C444^2/6-C444^3/24)</f>
        <v>0.999991006839</v>
      </c>
      <c r="F444" s="41">
        <f>IF(C444&gt;x_series,(C444-1+EXP(-C444))/C444^2,1/2-C444/6+C444^2/24-C444^3/120)</f>
        <v>0.499997002275</v>
      </c>
      <c r="G444" s="41">
        <f>(C_air_CO2/C_sat_CO2*F_vent_ex-CO2_fix_sched)*(B444/3600)/(V_L_CO2+Vg_CO2)</f>
        <v>-0.0002376776659848</v>
      </c>
      <c r="H444" s="41">
        <f>(G444*E444+pool_b*D444)/(1-pool_ret*D444)</f>
        <v>28.047688586418</v>
      </c>
      <c r="I444" s="41">
        <f>MIN(C_sat_CO2,MAX(C_air_CO2,(pool_ret*H444+pool_b)*E444+G444*F444))</f>
        <v>28.048059666376</v>
      </c>
      <c r="J444" s="41">
        <f>IF(AND(I444&gt;=CO2_pH_hi_mt,I445&lt;CO2_pH_hi_mt),EXP(LN(A444)+(LN(A445)-LN(A444))*(I444-CO2_pH_hi_mt)/(I444-I445)),0)</f>
        <v>0.0</v>
      </c>
      <c r="L444" s="41">
        <f>k_eff_CO2_l*B444</f>
        <v>9.714398243813e-05</v>
      </c>
      <c r="M444" s="41">
        <f>EXP(-L444)</f>
        <v>0.999902860736</v>
      </c>
      <c r="N444" s="41">
        <f>IF(L444&gt;x_series,(1-EXP(-L444))/L444,1-L444/2+L444^2/6-L444^3/24)</f>
        <v>0.999951429582</v>
      </c>
      <c r="O444" s="41">
        <f>IF(L444&gt;x_series,(L444-1+EXP(-L444))/L444^2,1/2-L444/6+L444^2/24-L444^3/120)</f>
        <v>0.499983809729</v>
      </c>
      <c r="P444" s="41">
        <f>(C_air_CO2/C_sat_CO2*F_vent_ex-CO2_fix_l)*(B444/3600)/(V_L_CO2+Vg_CO2)</f>
        <v>2.079022120682e-07</v>
      </c>
      <c r="Q444" s="41">
        <f>(P444*N444+pool_b*M444)/(1-pool_ret*M444)</f>
        <v>28.026286360987</v>
      </c>
      <c r="R444" s="41">
        <f>MIN(C_sat_CO2,MAX(C_air_CO2,(pool_ret*Q444+pool_b)*N444+P444*O444))</f>
        <v>28.027647593649</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IF(C445&gt;x_series,(1-EXP(-C445))/C445,1-C445/2+C445^2/6-C445^3/24)</f>
        <v>0.999989360475</v>
      </c>
      <c r="F445" s="41">
        <f>IF(C445&gt;x_series,(C445-1+EXP(-C445))/C445^2,1/2-C445/6+C445^2/24-C445^3/120)</f>
        <v>0.499996453485</v>
      </c>
      <c r="G445" s="41">
        <f>(C_air_CO2/C_sat_CO2*F_vent_ex-CO2_fix_sched)*(B445/3600)/(V_L_CO2+Vg_CO2)</f>
        <v>-0.0002811892554384</v>
      </c>
      <c r="H445" s="41">
        <f>(G445*E445+pool_b*D445)/(1-pool_ret*D445)</f>
        <v>28.046220547025</v>
      </c>
      <c r="I445" s="41">
        <f>MIN(C_sat_CO2,MAX(C_air_CO2,(pool_ret*H445+pool_b)*E445+G445*F445))</f>
        <v>28.046659545359</v>
      </c>
      <c r="J445" s="41">
        <f>IF(AND(I445&gt;=CO2_pH_hi_mt,I446&lt;CO2_pH_hi_mt),EXP(LN(A445)+(LN(A446)-LN(A445))*(I445-CO2_pH_hi_mt)/(I445-I446)),0)</f>
        <v>0.0</v>
      </c>
      <c r="L445" s="41">
        <f>k_eff_CO2_l*B445</f>
        <v>0.000114928106429</v>
      </c>
      <c r="M445" s="41">
        <f>EXP(-L445)</f>
        <v>0.999885078498</v>
      </c>
      <c r="N445" s="41">
        <f>IF(L445&gt;x_series,(1-EXP(-L445))/L445,1-L445/2+L445^2/6-L445^3/24)</f>
        <v>0.999942538148</v>
      </c>
      <c r="O445" s="41">
        <f>IF(L445&gt;x_series,(L445-1+EXP(-L445))/L445^2,1/2-L445/6+L445^2/24-L445^3/120)</f>
        <v>0.499980845866</v>
      </c>
      <c r="P445" s="41">
        <f>(C_air_CO2/C_sat_CO2*F_vent_ex-CO2_fix_l)*(B445/3600)/(V_L_CO2+Vg_CO2)</f>
        <v>2.459628167974e-07</v>
      </c>
      <c r="Q445" s="41">
        <f>(P445*N445+pool_b*M445)/(1-pool_ret*M445)</f>
        <v>28.020906272939</v>
      </c>
      <c r="R445" s="41">
        <f>MIN(C_sat_CO2,MAX(C_air_CO2,(pool_ret*Q445+pool_b)*N445+P445*O445))</f>
        <v>28.022516406489</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IF(C446&gt;x_series,(1-EXP(-C446))/C446,1-C446/2+C446^2/6-C446^3/24)</f>
        <v>0.999987516445</v>
      </c>
      <c r="F446" s="41">
        <f>IF(C446&gt;x_series,(C446-1+EXP(-C446))/C446^2,1/2-C446/6+C446^2/24-C446^3/120)</f>
        <v>0.499995838806</v>
      </c>
      <c r="G446" s="41">
        <f>(C_air_CO2/C_sat_CO2*F_vent_ex-CO2_fix_sched)*(B446/3600)/(V_L_CO2+Vg_CO2)</f>
        <v>-0.0003299250432917</v>
      </c>
      <c r="H446" s="41">
        <f>(G446*E446+pool_b*D446)/(1-pool_ret*D446)</f>
        <v>28.044576366461</v>
      </c>
      <c r="I446" s="41">
        <f>MIN(C_sat_CO2,MAX(C_air_CO2,(pool_ret*H446+pool_b)*E446+G446*F446))</f>
        <v>28.045091432197</v>
      </c>
      <c r="J446" s="41">
        <f>IF(AND(I446&gt;=CO2_pH_hi_mt,I447&lt;CO2_pH_hi_mt),EXP(LN(A446)+(LN(A447)-LN(A446))*(I446-CO2_pH_hi_mt)/(I446-I447)),0)</f>
        <v>0.0</v>
      </c>
      <c r="L446" s="41">
        <f>k_eff_CO2_l*B446</f>
        <v>0.0001348474728521</v>
      </c>
      <c r="M446" s="41">
        <f>EXP(-L446)</f>
        <v>0.999865161619</v>
      </c>
      <c r="N446" s="41">
        <f>IF(L446&gt;x_series,(1-EXP(-L446))/L446,1-L446/2+L446^2/6-L446^3/24)</f>
        <v>0.999932579294</v>
      </c>
      <c r="O446" s="41">
        <f>IF(L446&gt;x_series,(L446-1+EXP(-L446))/L446^2,1/2-L446/6+L446^2/24-L446^3/120)</f>
        <v>0.499977526179</v>
      </c>
      <c r="P446" s="41">
        <f>(C_air_CO2/C_sat_CO2*F_vent_ex-CO2_fix_l)*(B446/3600)/(V_L_CO2+Vg_CO2)</f>
        <v>2.885931500246e-07</v>
      </c>
      <c r="Q446" s="41">
        <f>(P446*N446+pool_b*M446)/(1-pool_ret*M446)</f>
        <v>28.014882565771</v>
      </c>
      <c r="R446" s="41">
        <f>MIN(C_sat_CO2,MAX(C_air_CO2,(pool_ret*Q446+pool_b)*N446+P446*O446))</f>
        <v>28.016771374432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IF(C447&gt;x_series,(1-EXP(-C447))/C447,1-C447/2+C447^2/6-C447^3/24)</f>
        <v>0.999985451018</v>
      </c>
      <c r="F447" s="41">
        <f>IF(C447&gt;x_series,(C447-1+EXP(-C447))/C447^2,1/2-C447/6+C447^2/24-C447^3/120)</f>
        <v>0.499995150328</v>
      </c>
      <c r="G447" s="41">
        <f>(C_air_CO2/C_sat_CO2*F_vent_ex-CO2_fix_sched)*(B447/3600)/(V_L_CO2+Vg_CO2)</f>
        <v>-0.0003845122704535</v>
      </c>
      <c r="H447" s="41">
        <f>(G447*E447+pool_b*D447)/(1-pool_ret*D447)</f>
        <v>28.042734926511</v>
      </c>
      <c r="I447" s="41">
        <f>MIN(C_sat_CO2,MAX(C_air_CO2,(pool_ret*H447+pool_b)*E447+G447*F447))</f>
        <v>28.04333518567</v>
      </c>
      <c r="J447" s="41">
        <f>IF(AND(I447&gt;=CO2_pH_hi_mt,I448&lt;CO2_pH_hi_mt),EXP(LN(A447)+(LN(A448)-LN(A447))*(I447-CO2_pH_hi_mt)/(I447-I448)),0)</f>
        <v>0.0</v>
      </c>
      <c r="L447" s="41">
        <f>k_eff_CO2_l*B447</f>
        <v>0.0001571584485796</v>
      </c>
      <c r="M447" s="41">
        <f>EXP(-L447)</f>
        <v>0.9998428539</v>
      </c>
      <c r="N447" s="41">
        <f>IF(L447&gt;x_series,(1-EXP(-L447))/L447,1-L447/2+L447^2/6-L447^3/24)</f>
        <v>0.999921424892</v>
      </c>
      <c r="O447" s="41">
        <f>IF(L447&gt;x_series,(L447-1+EXP(-L447))/L447^2,1/2-L447/6+L447^2/24-L447^3/120)</f>
        <v>0.499973807954</v>
      </c>
      <c r="P447" s="41">
        <f>(C_air_CO2/C_sat_CO2*F_vent_ex-CO2_fix_l)*(B447/3600)/(V_L_CO2+Vg_CO2)</f>
        <v>3.363418740395e-07</v>
      </c>
      <c r="Q447" s="41">
        <f>(P447*N447+pool_b*M447)/(1-pool_ret*M447)</f>
        <v>28.00813855713</v>
      </c>
      <c r="R447" s="41">
        <f>MIN(C_sat_CO2,MAX(C_air_CO2,(pool_ret*Q447+pool_b)*N447+P447*O447))</f>
        <v>28.010339362051</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IF(C448&gt;x_series,(1-EXP(-C448))/C448,1-C448/2+C448^2/6-C448^3/24)</f>
        <v>0.999983137613</v>
      </c>
      <c r="F448" s="41">
        <f>IF(C448&gt;x_series,(C448-1+EXP(-C448))/C448^2,1/2-C448/6+C448^2/24-C448^3/120)</f>
        <v>0.499994379189</v>
      </c>
      <c r="G448" s="41">
        <f>(C_air_CO2/C_sat_CO2*F_vent_ex-CO2_fix_sched)*(B448/3600)/(V_L_CO2+Vg_CO2)</f>
        <v>-0.0004456534872159</v>
      </c>
      <c r="H448" s="41">
        <f>(G448*E448+pool_b*D448)/(1-pool_ret*D448)</f>
        <v>28.040672581064</v>
      </c>
      <c r="I448" s="41">
        <f>MIN(C_sat_CO2,MAX(C_air_CO2,(pool_ret*H448+pool_b)*E448+G448*F448))</f>
        <v>28.041368253604</v>
      </c>
      <c r="J448" s="41">
        <f>IF(AND(I448&gt;=CO2_pH_hi_mt,I449&lt;CO2_pH_hi_mt),EXP(LN(A448)+(LN(A449)-LN(A448))*(I448-CO2_pH_hi_mt)/(I448-I449)),0)</f>
        <v>0.0</v>
      </c>
      <c r="L448" s="41">
        <f>k_eff_CO2_l*B448</f>
        <v>0.000182148181051</v>
      </c>
      <c r="M448" s="41">
        <f>EXP(-L448)</f>
        <v>0.999817868407</v>
      </c>
      <c r="N448" s="41">
        <f>IF(L448&gt;x_series,(1-EXP(-L448))/L448,1-L448/2+L448^2/6-L448^3/24)</f>
        <v>0.999908931439</v>
      </c>
      <c r="O448" s="41">
        <f>IF(L448&gt;x_series,(L448-1+EXP(-L448))/L448^2,1/2-L448/6+L448^2/24-L448^3/120)</f>
        <v>0.499969643352</v>
      </c>
      <c r="P448" s="41">
        <f>(C_air_CO2/C_sat_CO2*F_vent_ex-CO2_fix_l)*(B448/3600)/(V_L_CO2+Vg_CO2)</f>
        <v>3.898235260103e-07</v>
      </c>
      <c r="Q448" s="41">
        <f>(P448*N448+pool_b*M448)/(1-pool_ret*M448)</f>
        <v>28.00058850816</v>
      </c>
      <c r="R448" s="41">
        <f>MIN(C_sat_CO2,MAX(C_air_CO2,(pool_ret*Q448+pool_b)*N448+P448*O448))</f>
        <v>28.00313859621</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IF(C449&gt;x_series,(1-EXP(-C449))/C449,1-C449/2+C449^2/6-C449^3/24)</f>
        <v>0.999980546459</v>
      </c>
      <c r="F449" s="41">
        <f>IF(C449&gt;x_series,(C449-1+EXP(-C449))/C449^2,1/2-C449/6+C449^2/24-C449^3/120)</f>
        <v>0.499993515465</v>
      </c>
      <c r="G449" s="41">
        <f>(C_air_CO2/C_sat_CO2*F_vent_ex-CO2_fix_sched)*(B449/3600)/(V_L_CO2+Vg_CO2)</f>
        <v>-0.000514135595239</v>
      </c>
      <c r="H449" s="41">
        <f>(G449*E449+pool_b*D449)/(1-pool_ret*D449)</f>
        <v>28.038362854548</v>
      </c>
      <c r="I449" s="41">
        <f>MIN(C_sat_CO2,MAX(C_air_CO2,(pool_ret*H449+pool_b)*E449+G449*F449))</f>
        <v>28.039165385257</v>
      </c>
      <c r="J449" s="41">
        <f>IF(AND(I449&gt;=CO2_pH_hi_mt,I450&lt;CO2_pH_hi_mt),EXP(LN(A449)+(LN(A450)-LN(A449))*(I449-CO2_pH_hi_mt)/(I449-I450)),0)</f>
        <v>0.0</v>
      </c>
      <c r="L449" s="41">
        <f>k_eff_CO2_l*B449</f>
        <v>0.0002101382939275</v>
      </c>
      <c r="M449" s="41">
        <f>EXP(-L449)</f>
        <v>0.999789883784</v>
      </c>
      <c r="N449" s="41">
        <f>IF(L449&gt;x_series,(1-EXP(-L449))/L449,1-L449/2+L449^2/6-L449^3/24)</f>
        <v>0.999894938212</v>
      </c>
      <c r="O449" s="41">
        <f>IF(L449&gt;x_series,(L449-1+EXP(-L449))/L449^2,1/2-L449/6+L449^2/24-L449^3/120)</f>
        <v>0.499964978791</v>
      </c>
      <c r="P449" s="41">
        <f>(C_air_CO2/C_sat_CO2*F_vent_ex-CO2_fix_l)*(B449/3600)/(V_L_CO2+Vg_CO2)</f>
        <v>4.497264272194e-07</v>
      </c>
      <c r="Q449" s="41">
        <f>(P449*N449+pool_b*M449)/(1-pool_ret*M449)</f>
        <v>27.992136574119</v>
      </c>
      <c r="R449" s="41">
        <f>MIN(C_sat_CO2,MAX(C_air_CO2,(pool_ret*Q449+pool_b)*N449+P449*O449))</f>
        <v>27.995077665176</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IF(C450&gt;x_series,(1-EXP(-C450))/C450,1-C450/2+C450^2/6-C450^3/24)</f>
        <v>0.99997764421</v>
      </c>
      <c r="F450" s="41">
        <f>IF(C450&gt;x_series,(C450-1+EXP(-C450))/C450^2,1/2-C450/6+C450^2/24-C450^3/120)</f>
        <v>0.499992548042</v>
      </c>
      <c r="G450" s="41">
        <f>(C_air_CO2/C_sat_CO2*F_vent_ex-CO2_fix_sched)*(B450/3600)/(V_L_CO2+Vg_CO2)</f>
        <v>-0.0005908399751586</v>
      </c>
      <c r="H450" s="41">
        <f>(G450*E450+pool_b*D450)/(1-pool_ret*D450)</f>
        <v>28.035776104652</v>
      </c>
      <c r="I450" s="41">
        <f>MIN(C_sat_CO2,MAX(C_air_CO2,(pool_ret*H450+pool_b)*E450+G450*F450))</f>
        <v>28.036698309637</v>
      </c>
      <c r="J450" s="41">
        <f>IF(AND(I450&gt;=CO2_pH_hi_mt,I451&lt;CO2_pH_hi_mt),EXP(LN(A450)+(LN(A451)-LN(A450))*(I450-CO2_pH_hi_mt)/(I450-I451)),0)</f>
        <v>0.0</v>
      </c>
      <c r="L450" s="41">
        <f>k_eff_CO2_l*B450</f>
        <v>0.0002414890264625</v>
      </c>
      <c r="M450" s="41">
        <f>EXP(-L450)</f>
        <v>0.99975854013</v>
      </c>
      <c r="N450" s="41">
        <f>IF(L450&gt;x_series,(1-EXP(-L450))/L450,1-L450/2+L450^2/6-L450^3/24)</f>
        <v>0.999879265206</v>
      </c>
      <c r="O450" s="41">
        <f>IF(L450&gt;x_series,(L450-1+EXP(-L450))/L450^2,1/2-L450/6+L450^2/24-L450^3/120)</f>
        <v>0.499959754259</v>
      </c>
      <c r="P450" s="41">
        <f>(C_air_CO2/C_sat_CO2*F_vent_ex-CO2_fix_l)*(B450/3600)/(V_L_CO2+Vg_CO2)</f>
        <v>5.168215419183e-07</v>
      </c>
      <c r="Q450" s="41">
        <f>(P450*N450+pool_b*M450)/(1-pool_ret*M450)</f>
        <v>27.982675638531</v>
      </c>
      <c r="R450" s="41">
        <f>MIN(C_sat_CO2,MAX(C_air_CO2,(pool_ret*Q450+pool_b)*N450+P450*O450))</f>
        <v>27.986054406642</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IF(C451&gt;x_series,(1-EXP(-C451))/C451,1-C451/2+C451^2/6-C451^3/24)</f>
        <v>0.999974393518</v>
      </c>
      <c r="F451" s="41">
        <f>IF(C451&gt;x_series,(C451-1+EXP(-C451))/C451^2,1/2-C451/6+C451^2/24-C451^3/120)</f>
        <v>0.499991464469</v>
      </c>
      <c r="G451" s="41">
        <f>(C_air_CO2/C_sat_CO2*F_vent_ex-CO2_fix_sched)*(B451/3600)/(V_L_CO2+Vg_CO2)</f>
        <v>-0.0006767538301596</v>
      </c>
      <c r="H451" s="41">
        <f>(G451*E451+pool_b*D451)/(1-pool_ret*D451)</f>
        <v>28.03287914517</v>
      </c>
      <c r="I451" s="41">
        <f>MIN(C_sat_CO2,MAX(C_air_CO2,(pool_ret*H451+pool_b)*E451+G451*F451))</f>
        <v>28.033935375798</v>
      </c>
      <c r="J451" s="41">
        <f>IF(AND(I451&gt;=CO2_pH_hi_mt,I452&lt;CO2_pH_hi_mt),EXP(LN(A451)+(LN(A452)-LN(A451))*(I451-CO2_pH_hi_mt)/(I451-I452)),0)</f>
        <v>0.0</v>
      </c>
      <c r="L451" s="41">
        <f>k_eff_CO2_l*B451</f>
        <v>0.0002766038698654</v>
      </c>
      <c r="M451" s="41">
        <f>EXP(-L451)</f>
        <v>0.999723434381</v>
      </c>
      <c r="N451" s="41">
        <f>IF(L451&gt;x_series,(1-EXP(-L451))/L451,1-L451/2+L451^2/6-L451^3/24)</f>
        <v>0.999861710816</v>
      </c>
      <c r="O451" s="41">
        <f>IF(L451&gt;x_series,(L451-1+EXP(-L451))/L451^2,1/2-L451/6+L451^2/24-L451^3/120)</f>
        <v>0.499953902543</v>
      </c>
      <c r="P451" s="41">
        <f>(C_air_CO2/C_sat_CO2*F_vent_ex-CO2_fix_l)*(B451/3600)/(V_L_CO2+Vg_CO2)</f>
        <v>5.919723998166e-07</v>
      </c>
      <c r="Q451" s="41">
        <f>(P451*N451+pool_b*M451)/(1-pool_ret*M451)</f>
        <v>27.972086019301</v>
      </c>
      <c r="R451" s="41">
        <f>MIN(C_sat_CO2,MAX(C_air_CO2,(pool_ret*Q451+pool_b)*N451+P451*O451))</f>
        <v>27.975954673622</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IF(C452&gt;x_series,(1-EXP(-C452))/C452,1-C452/2+C452^2/6-C452^3/24)</f>
        <v>0.999970752549</v>
      </c>
      <c r="F452" s="41">
        <f>IF(C452&gt;x_series,(C452-1+EXP(-C452))/C452^2,1/2-C452/6+C452^2/24-C452^3/120)</f>
        <v>0.499990250802</v>
      </c>
      <c r="G452" s="41">
        <f>(C_air_CO2/C_sat_CO2*F_vent_ex-CO2_fix_sched)*(B452/3600)/(V_L_CO2+Vg_CO2)</f>
        <v>-0.00077298289151</v>
      </c>
      <c r="H452" s="41">
        <f>(G452*E452+pool_b*D452)/(1-pool_ret*D452)</f>
        <v>28.029634824341</v>
      </c>
      <c r="I452" s="41">
        <f>MIN(C_sat_CO2,MAX(C_air_CO2,(pool_ret*H452+pool_b)*E452+G452*F452))</f>
        <v>28.030841150676</v>
      </c>
      <c r="J452" s="41">
        <f>IF(AND(I452&gt;=CO2_pH_hi_mt,I453&lt;CO2_pH_hi_mt),EXP(LN(A452)+(LN(A453)-LN(A452))*(I452-CO2_pH_hi_mt)/(I452-I453)),0)</f>
        <v>0.0</v>
      </c>
      <c r="L452" s="41">
        <f>k_eff_CO2_l*B452</f>
        <v>0.0003159347603263</v>
      </c>
      <c r="M452" s="41">
        <f>EXP(-L452)</f>
        <v>0.999684115142</v>
      </c>
      <c r="N452" s="41">
        <f>IF(L452&gt;x_series,(1-EXP(-L452))/L452,1-L452/2+L452^2/6-L452^3/24)</f>
        <v>0.999842049254</v>
      </c>
      <c r="O452" s="41">
        <f>IF(L452&gt;x_series,(L452-1+EXP(-L452))/L452^2,1/2-L452/6+L452^2/24-L452^3/120)</f>
        <v>0.499947348365</v>
      </c>
      <c r="P452" s="41">
        <f>(C_air_CO2/C_sat_CO2*F_vent_ex-CO2_fix_l)*(B452/3600)/(V_L_CO2+Vg_CO2)</f>
        <v>6.761462099097e-07</v>
      </c>
      <c r="Q452" s="41">
        <f>(P452*N452+pool_b*M452)/(1-pool_ret*M452)</f>
        <v>27.960234034374</v>
      </c>
      <c r="R452" s="41">
        <f>MIN(C_sat_CO2,MAX(C_air_CO2,(pool_ret*Q452+pool_b)*N452+P452*O452))</f>
        <v>27.964650966362</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IF(C453&gt;x_series,(1-EXP(-C453))/C453,1-C453/2+C453^2/6-C453^3/24)</f>
        <v>0.999966674449</v>
      </c>
      <c r="F453" s="41">
        <f>IF(C453&gt;x_series,(C453-1+EXP(-C453))/C453^2,1/2-C453/6+C453^2/24-C453^3/120)</f>
        <v>0.499988891421</v>
      </c>
      <c r="G453" s="41">
        <f>(C_air_CO2/C_sat_CO2*F_vent_ex-CO2_fix_sched)*(B453/3600)/(V_L_CO2+Vg_CO2)</f>
        <v>-0.0008807656495793</v>
      </c>
      <c r="H453" s="41">
        <f>(G453*E453+pool_b*D453)/(1-pool_ret*D453)</f>
        <v>28.02600155353</v>
      </c>
      <c r="I453" s="41">
        <f>MIN(C_sat_CO2,MAX(C_air_CO2,(pool_ret*H453+pool_b)*E453+G453*F453))</f>
        <v>28.027375969577</v>
      </c>
      <c r="J453" s="41">
        <f>IF(AND(I453&gt;=CO2_pH_hi_mt,I454&lt;CO2_pH_hi_mt),EXP(LN(A453)+(LN(A454)-LN(A453))*(I453-CO2_pH_hi_mt)/(I453-I454)),0)</f>
        <v>0.0</v>
      </c>
      <c r="L453" s="41">
        <f>k_eff_CO2_l*B453</f>
        <v>0.0003599878955405</v>
      </c>
      <c r="M453" s="41">
        <f>EXP(-L453)</f>
        <v>0.999640076892</v>
      </c>
      <c r="N453" s="41">
        <f>IF(L453&gt;x_series,(1-EXP(-L453))/L453,1-L453/2+L453^2/6-L453^3/24)</f>
        <v>0.999820027649</v>
      </c>
      <c r="O453" s="41">
        <f>IF(L453&gt;x_series,(L453-1+EXP(-L453))/L453^2,1/2-L453/6+L453^2/24-L453^3/120)</f>
        <v>0.499940007417</v>
      </c>
      <c r="P453" s="41">
        <f>(C_air_CO2/C_sat_CO2*F_vent_ex-CO2_fix_l)*(B453/3600)/(V_L_CO2+Vg_CO2)</f>
        <v>7.704263086837e-07</v>
      </c>
      <c r="Q453" s="41">
        <f>(P453*N453+pool_b*M453)/(1-pool_ret*M453)</f>
        <v>27.946970413781</v>
      </c>
      <c r="R453" s="41">
        <f>MIN(C_sat_CO2,MAX(C_air_CO2,(pool_ret*Q453+pool_b)*N453+P453*O453))</f>
        <v>27.952000917722</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IF(C454&gt;x_series,(1-EXP(-C454))/C454,1-C454/2+C454^2/6-C454^3/24)</f>
        <v>0.999962106741</v>
      </c>
      <c r="F454" s="41">
        <f>IF(C454&gt;x_series,(C454-1+EXP(-C454))/C454^2,1/2-C454/6+C454^2/24-C454^3/120)</f>
        <v>0.499987368834</v>
      </c>
      <c r="G454" s="41">
        <f>(C_air_CO2/C_sat_CO2*F_vent_ex-CO2_fix_sched)*(B454/3600)/(V_L_CO2+Vg_CO2)</f>
        <v>-0.001001489293</v>
      </c>
      <c r="H454" s="41">
        <f>(G454*E454+pool_b*D454)/(1-pool_ret*D454)</f>
        <v>28.021932780554</v>
      </c>
      <c r="I454" s="41">
        <f>MIN(C_sat_CO2,MAX(C_air_CO2,(pool_ret*H454+pool_b)*E454+G454*F454))</f>
        <v>28.023495433848</v>
      </c>
      <c r="J454" s="41">
        <f>IF(AND(I454&gt;=CO2_pH_hi_mt,I455&lt;CO2_pH_hi_mt),EXP(LN(A454)+(LN(A455)-LN(A454))*(I454-CO2_pH_hi_mt)/(I454-I455)),0)</f>
        <v>0.0</v>
      </c>
      <c r="L454" s="41">
        <f>k_eff_CO2_l*B454</f>
        <v>0.0004093302495898</v>
      </c>
      <c r="M454" s="41">
        <f>EXP(-L454)</f>
        <v>0.999590753515</v>
      </c>
      <c r="N454" s="41">
        <f>IF(L454&gt;x_series,(1-EXP(-L454))/L454,1-L454/2+L454^2/6-L454^3/24)</f>
        <v>0.999795362798</v>
      </c>
      <c r="O454" s="41">
        <f>IF(L454&gt;x_series,(L454-1+EXP(-L454))/L454^2,1/2-L454/6+L454^2/24-L454^3/120)</f>
        <v>0.499931785272</v>
      </c>
      <c r="P454" s="41">
        <f>(C_air_CO2/C_sat_CO2*F_vent_ex-CO2_fix_l)*(B454/3600)/(V_L_CO2+Vg_CO2)</f>
        <v>8.760261029071e-07</v>
      </c>
      <c r="Q454" s="41">
        <f>(P454*N454+pool_b*M454)/(1-pool_ret*M454)</f>
        <v>27.932128544224</v>
      </c>
      <c r="R454" s="41">
        <f>MIN(C_sat_CO2,MAX(C_air_CO2,(pool_ret*Q454+pool_b)*N454+P454*O454))</f>
        <v>27.937845618816</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IF(C455&gt;x_series,(1-EXP(-C455))/C455,1-C455/2+C455^2/6-C455^3/24)</f>
        <v>0.999956990647</v>
      </c>
      <c r="F455" s="41">
        <f>IF(C455&gt;x_series,(C455-1+EXP(-C455))/C455^2,1/2-C455/6+C455^2/24-C455^3/120)</f>
        <v>0.499985663446</v>
      </c>
      <c r="G455" s="41">
        <f>(C_air_CO2/C_sat_CO2*F_vent_ex-CO2_fix_sched)*(B455/3600)/(V_L_CO2+Vg_CO2)</f>
        <v>-0.001136707565</v>
      </c>
      <c r="H455" s="41">
        <f>(G455*E455+pool_b*D455)/(1-pool_ret*D455)</f>
        <v>28.017376401279</v>
      </c>
      <c r="I455" s="41">
        <f>MIN(C_sat_CO2,MAX(C_air_CO2,(pool_ret*H455+pool_b)*E455+G455*F455))</f>
        <v>28.019149849703</v>
      </c>
      <c r="J455" s="41">
        <f>IF(AND(I455&gt;=CO2_pH_hi_mt,I456&lt;CO2_pH_hi_mt),EXP(LN(A455)+(LN(A456)-LN(A455))*(I455-CO2_pH_hi_mt)/(I455-I456)),0)</f>
        <v>0.0</v>
      </c>
      <c r="L455" s="41">
        <f>k_eff_CO2_l*B455</f>
        <v>0.000464596870031</v>
      </c>
      <c r="M455" s="41">
        <f>EXP(-L455)</f>
        <v>0.999535511038</v>
      </c>
      <c r="N455" s="41">
        <f>IF(L455&gt;x_series,(1-EXP(-L455))/L455,1-L455/2+L455^2/6-L455^3/24)</f>
        <v>0.999767737536</v>
      </c>
      <c r="O455" s="41">
        <f>IF(L455&gt;x_series,(L455-1+EXP(-L455))/L455^2,1/2-L455/6+L455^2/24-L455^3/120)</f>
        <v>0.499922576181</v>
      </c>
      <c r="P455" s="41">
        <f>(C_air_CO2/C_sat_CO2*F_vent_ex-CO2_fix_l)*(B455/3600)/(V_L_CO2+Vg_CO2)</f>
        <v>9.943046864579e-07</v>
      </c>
      <c r="Q455" s="41">
        <f>(P455*N455+pool_b*M455)/(1-pool_ret*M455)</f>
        <v>27.915522531825</v>
      </c>
      <c r="R455" s="41">
        <f>MIN(C_sat_CO2,MAX(C_air_CO2,(pool_ret*Q455+pool_b)*N455+P455*O455))</f>
        <v>27.922007771172</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IF(C456&gt;x_series,(1-EXP(-C456))/C456,1-C456/2+C456^2/6-C456^3/24)</f>
        <v>0.999951260332</v>
      </c>
      <c r="F456" s="41">
        <f>IF(C456&gt;x_series,(C456-1+EXP(-C456))/C456^2,1/2-C456/6+C456^2/24-C456^3/120)</f>
        <v>0.499983753312</v>
      </c>
      <c r="G456" s="41">
        <f>(C_air_CO2/C_sat_CO2*F_vent_ex-CO2_fix_sched)*(B456/3600)/(V_L_CO2+Vg_CO2)</f>
        <v>-0.001288160753</v>
      </c>
      <c r="H456" s="41">
        <f>(G456*E456+pool_b*D456)/(1-pool_ret*D456)</f>
        <v>28.012274102506</v>
      </c>
      <c r="I456" s="41">
        <f>MIN(C_sat_CO2,MAX(C_air_CO2,(pool_ret*H456+pool_b)*E456+G456*F456))</f>
        <v>28.014283601482</v>
      </c>
      <c r="J456" s="41">
        <f>IF(AND(I456&gt;=CO2_pH_hi_mt,I457&lt;CO2_pH_hi_mt),EXP(LN(A456)+(LN(A457)-LN(A456))*(I456-CO2_pH_hi_mt)/(I456-I457)),0)</f>
        <v>0.0</v>
      </c>
      <c r="L456" s="41">
        <f>k_eff_CO2_l*B456</f>
        <v>0.0005264990511054</v>
      </c>
      <c r="M456" s="41">
        <f>EXP(-L456)</f>
        <v>0.999473639525</v>
      </c>
      <c r="N456" s="41">
        <f>IF(L456&gt;x_series,(1-EXP(-L456))/L456,1-L456/2+L456^2/6-L456^3/24)</f>
        <v>0.999736796669</v>
      </c>
      <c r="O456" s="41">
        <f>IF(L456&gt;x_series,(L456-1+EXP(-L456))/L456^2,1/2-L456/6+L456^2/24-L456^3/120)</f>
        <v>0.499912261707</v>
      </c>
      <c r="P456" s="41">
        <f>(C_air_CO2/C_sat_CO2*F_vent_ex-CO2_fix_l)*(B456/3600)/(V_L_CO2+Vg_CO2)</f>
        <v>1.126784332178e-06</v>
      </c>
      <c r="Q456" s="41">
        <f>(P456*N456+pool_b*M456)/(1-pool_ret*M456)</f>
        <v>27.896945068309</v>
      </c>
      <c r="R456" s="41">
        <f>MIN(C_sat_CO2,MAX(C_air_CO2,(pool_ret*Q456+pool_b)*N456+P456*O456))</f>
        <v>27.904289651386</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IF(C457&gt;x_series,(1-EXP(-C457))/C457,1-C457/2+C457^2/6-C457^3/24)</f>
        <v>0.999944842062</v>
      </c>
      <c r="F457" s="41">
        <f>IF(C457&gt;x_series,(C457-1+EXP(-C457))/C457^2,1/2-C457/6+C457^2/24-C457^3/120)</f>
        <v>0.499981613852</v>
      </c>
      <c r="G457" s="41">
        <f>(C_air_CO2/C_sat_CO2*F_vent_ex-CO2_fix_sched)*(B457/3600)/(V_L_CO2+Vg_CO2)</f>
        <v>-0.001457798098</v>
      </c>
      <c r="H457" s="41">
        <f>(G457*E457+pool_b*D457)/(1-pool_ret*D457)</f>
        <v>28.006560628348</v>
      </c>
      <c r="I457" s="41">
        <f>MIN(C_sat_CO2,MAX(C_air_CO2,(pool_ret*H457+pool_b)*E457+G457*F457))</f>
        <v>28.008834451959</v>
      </c>
      <c r="J457" s="41">
        <f>IF(AND(I457&gt;=CO2_pH_hi_mt,I458&lt;CO2_pH_hi_mt),EXP(LN(A457)+(LN(A458)-LN(A457))*(I457-CO2_pH_hi_mt)/(I457-I458)),0)</f>
        <v>0.0</v>
      </c>
      <c r="L457" s="41">
        <f>k_eff_CO2_l*B457</f>
        <v>0.0005958334882605</v>
      </c>
      <c r="M457" s="41">
        <f>EXP(-L457)</f>
        <v>0.999404343985</v>
      </c>
      <c r="N457" s="41">
        <f>IF(L457&gt;x_series,(1-EXP(-L457))/L457,1-L457/2+L457^2/6-L457^3/24)</f>
        <v>0.999702142417</v>
      </c>
      <c r="O457" s="41">
        <f>IF(L457&gt;x_series,(L457-1+EXP(-L457))/L457^2,1/2-L457/6+L457^2/24-L457^3/120)</f>
        <v>0.499900709209</v>
      </c>
      <c r="P457" s="41">
        <f>(C_air_CO2/C_sat_CO2*F_vent_ex-CO2_fix_l)*(B457/3600)/(V_L_CO2+Vg_CO2)</f>
        <v>1.275170083876e-06</v>
      </c>
      <c r="Q457" s="41">
        <f>(P457*N457+pool_b*M457)/(1-pool_ret*M457)</f>
        <v>27.876165085827</v>
      </c>
      <c r="R457" s="41">
        <f>MIN(C_sat_CO2,MAX(C_air_CO2,(pool_ret*Q457+pool_b)*N457+P457*O457))</f>
        <v>27.884470874123</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IF(C458&gt;x_series,(1-EXP(-C458))/C458,1-C458/2+C458^2/6-C458^3/24)</f>
        <v>0.99993765325</v>
      </c>
      <c r="F458" s="41">
        <f>IF(C458&gt;x_series,(C458-1+EXP(-C458))/C458^2,1/2-C458/6+C458^2/24-C458^3/120)</f>
        <v>0.499979217534</v>
      </c>
      <c r="G458" s="41">
        <f>(C_air_CO2/C_sat_CO2*F_vent_ex-CO2_fix_sched)*(B458/3600)/(V_L_CO2+Vg_CO2)</f>
        <v>-0.00164780287</v>
      </c>
      <c r="H458" s="41">
        <f>(G458*E458+pool_b*D458)/(1-pool_ret*D458)</f>
        <v>28.000162961532</v>
      </c>
      <c r="I458" s="41">
        <f>MIN(C_sat_CO2,MAX(C_air_CO2,(pool_ret*H458+pool_b)*E458+G458*F458))</f>
        <v>28.002732761498</v>
      </c>
      <c r="J458" s="41">
        <f>IF(AND(I458&gt;=CO2_pH_hi_mt,I459&lt;CO2_pH_hi_mt),EXP(LN(A458)+(LN(A459)-LN(A458))*(I458-CO2_pH_hi_mt)/(I458-I459)),0)</f>
        <v>0.0</v>
      </c>
      <c r="L458" s="41">
        <f>k_eff_CO2_l*B458</f>
        <v>0.0006734925318062</v>
      </c>
      <c r="M458" s="41">
        <f>EXP(-L458)</f>
        <v>0.999326734213</v>
      </c>
      <c r="N458" s="41">
        <f>IF(L458&gt;x_series,(1-EXP(-L458))/L458,1-L458/2+L458^2/6-L458^3/24)</f>
        <v>0.99966332932</v>
      </c>
      <c r="O458" s="41">
        <f>IF(L458&gt;x_series,(L458-1+EXP(-L458))/L458^2,1/2-L458/6+L458^2/24-L458^3/120)</f>
        <v>0.499887770142</v>
      </c>
      <c r="P458" s="41">
        <f>(C_air_CO2/C_sat_CO2*F_vent_ex-CO2_fix_l)*(B458/3600)/(V_L_CO2+Vg_CO2)</f>
        <v>1.441371700642e-06</v>
      </c>
      <c r="Q458" s="41">
        <f>(P458*N458+pool_b*M458)/(1-pool_ret*M458)</f>
        <v>27.85292518598</v>
      </c>
      <c r="R458" s="41">
        <f>MIN(C_sat_CO2,MAX(C_air_CO2,(pool_ret*Q458+pool_b)*N458+P458*O458))</f>
        <v>27.862305939683</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IF(C459&gt;x_series,(1-EXP(-C459))/C459,1-C459/2+C459^2/6-C459^3/24)</f>
        <v>0.999929601399</v>
      </c>
      <c r="F459" s="41">
        <f>IF(C459&gt;x_series,(C459-1+EXP(-C459))/C459^2,1/2-C459/6+C459^2/24-C459^3/120)</f>
        <v>0.499976533524</v>
      </c>
      <c r="G459" s="41">
        <f>(C_air_CO2/C_sat_CO2*F_vent_ex-CO2_fix_sched)*(B459/3600)/(V_L_CO2+Vg_CO2)</f>
        <v>-0.001860620474</v>
      </c>
      <c r="H459" s="41">
        <f>(G459*E459+pool_b*D459)/(1-pool_ret*D459)</f>
        <v>27.992999410163</v>
      </c>
      <c r="I459" s="41">
        <f>MIN(C_sat_CO2,MAX(C_air_CO2,(pool_ret*H459+pool_b)*E459+G459*F459))</f>
        <v>27.995900617048</v>
      </c>
      <c r="J459" s="41">
        <f>IF(AND(I459&gt;=CO2_pH_hi_mt,I460&lt;CO2_pH_hi_mt),EXP(LN(A459)+(LN(A460)-LN(A459))*(I459-CO2_pH_hi_mt)/(I459-I460)),0)</f>
        <v>0.0</v>
      </c>
      <c r="L459" s="41">
        <f>k_eff_CO2_l*B459</f>
        <v>0.0007604756716698</v>
      </c>
      <c r="M459" s="41">
        <f>EXP(-L459)</f>
        <v>0.999239813417</v>
      </c>
      <c r="N459" s="41">
        <f>IF(L459&gt;x_series,(1-EXP(-L459))/L459,1-L459/2+L459^2/6-L459^3/24)</f>
        <v>0.999619858533</v>
      </c>
      <c r="O459" s="41">
        <f>IF(L459&gt;x_series,(L459-1+EXP(-L459))/L459^2,1/2-L459/6+L459^2/24-L459^3/120)</f>
        <v>0.499873278148</v>
      </c>
      <c r="P459" s="41">
        <f>(C_air_CO2/C_sat_CO2*F_vent_ex-CO2_fix_l)*(B459/3600)/(V_L_CO2+Vg_CO2)</f>
        <v>1.627528235883e-06</v>
      </c>
      <c r="Q459" s="41">
        <f>(P459*N459+pool_b*M459)/(1-pool_ret*M459)</f>
        <v>27.826938829406</v>
      </c>
      <c r="R459" s="41">
        <f>MIN(C_sat_CO2,MAX(C_air_CO2,(pool_ret*Q459+pool_b)*N459+P459*O459))</f>
        <v>27.837521553105</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IF(C460&gt;x_series,(1-EXP(-C460))/C460,1-C460/2+C460^2/6-C460^3/24)</f>
        <v>0.999920582909</v>
      </c>
      <c r="F460" s="41">
        <f>IF(C460&gt;x_series,(C460-1+EXP(-C460))/C460^2,1/2-C460/6+C460^2/24-C460^3/120)</f>
        <v>0.499973527286</v>
      </c>
      <c r="G460" s="41">
        <f>(C_air_CO2/C_sat_CO2*F_vent_ex-CO2_fix_sched)*(B460/3600)/(V_L_CO2+Vg_CO2)</f>
        <v>-0.002098989924</v>
      </c>
      <c r="H460" s="41">
        <f>(G460*E460+pool_b*D460)/(1-pool_ret*D460)</f>
        <v>27.984978589556</v>
      </c>
      <c r="I460" s="41">
        <f>MIN(C_sat_CO2,MAX(C_air_CO2,(pool_ret*H460+pool_b)*E460+G460*F460))</f>
        <v>27.988250861037</v>
      </c>
      <c r="J460" s="41">
        <f>IF(AND(I460&gt;=CO2_pH_hi_mt,I461&lt;CO2_pH_hi_mt),EXP(LN(A460)+(LN(A461)-LN(A460))*(I460-CO2_pH_hi_mt)/(I460-I461)),0)</f>
        <v>0.0</v>
      </c>
      <c r="L460" s="41">
        <f>k_eff_CO2_l*B460</f>
        <v>0.0008579024010638</v>
      </c>
      <c r="M460" s="41">
        <f>EXP(-L460)</f>
        <v>0.999142465492</v>
      </c>
      <c r="N460" s="41">
        <f>IF(L460&gt;x_series,(1-EXP(-L460))/L460,1-L460/2+L460^2/6-L460^3/24)</f>
        <v>0.999571171439</v>
      </c>
      <c r="O460" s="41">
        <f>IF(L460&gt;x_series,(L460-1+EXP(-L460))/L460^2,1/2-L460/6+L460^2/24-L460^3/120)</f>
        <v>0.499857046928</v>
      </c>
      <c r="P460" s="41">
        <f>(C_air_CO2/C_sat_CO2*F_vent_ex-CO2_fix_l)*(B460/3600)/(V_L_CO2+Vg_CO2)</f>
        <v>1.836035567446e-06</v>
      </c>
      <c r="Q460" s="41">
        <f>(P460*N460+pool_b*M460)/(1-pool_ret*M460)</f>
        <v>27.797887273865</v>
      </c>
      <c r="R460" s="41">
        <f>MIN(C_sat_CO2,MAX(C_air_CO2,(pool_ret*Q460+pool_b)*N460+P460*O460))</f>
        <v>27.809813703293</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IF(C461&gt;x_series,(1-EXP(-C461))/C461,1-C461/2+C461^2/6-C461^3/24)</f>
        <v>0.999910481747</v>
      </c>
      <c r="F461" s="41">
        <f>IF(C461&gt;x_series,(C461-1+EXP(-C461))/C461^2,1/2-C461/6+C461^2/24-C461^3/120)</f>
        <v>0.499970160137</v>
      </c>
      <c r="G461" s="41">
        <f>(C_air_CO2/C_sat_CO2*F_vent_ex-CO2_fix_sched)*(B461/3600)/(V_L_CO2+Vg_CO2)</f>
        <v>-0.002365979089</v>
      </c>
      <c r="H461" s="41">
        <f>(G461*E461+pool_b*D461)/(1-pool_ret*D461)</f>
        <v>27.975998287715</v>
      </c>
      <c r="I461" s="41">
        <f>MIN(C_sat_CO2,MAX(C_air_CO2,(pool_ret*H461+pool_b)*E461+G461*F461))</f>
        <v>27.979686009305</v>
      </c>
      <c r="J461" s="41">
        <f>IF(AND(I461&gt;=CO2_pH_hi_mt,I462&lt;CO2_pH_hi_mt),EXP(LN(A461)+(LN(A462)-LN(A461))*(I461-CO2_pH_hi_mt)/(I461-I462)),0)</f>
        <v>0.0</v>
      </c>
      <c r="L461" s="41">
        <f>k_eff_CO2_l*B461</f>
        <v>0.0009670266246237</v>
      </c>
      <c r="M461" s="41">
        <f>EXP(-L461)</f>
        <v>0.999033440795</v>
      </c>
      <c r="N461" s="41">
        <f>IF(L461&gt;x_series,(1-EXP(-L461))/L461,1-L461/2+L461^2/6-L461^3/24)</f>
        <v>0.999516642507</v>
      </c>
      <c r="O461" s="41">
        <f>IF(L461&gt;x_series,(L461-1+EXP(-L461))/L461^2,1/2-L461/6+L461^2/24-L461^3/120)</f>
        <v>0.499838867853</v>
      </c>
      <c r="P461" s="41">
        <f>(C_air_CO2/C_sat_CO2*F_vent_ex-CO2_fix_l)*(B461/3600)/(V_L_CO2+Vg_CO2)</f>
        <v>2.069577233116e-06</v>
      </c>
      <c r="Q461" s="41">
        <f>(P461*N461+pool_b*M461)/(1-pool_ret*M461)</f>
        <v>27.765416251135</v>
      </c>
      <c r="R461" s="41">
        <f>MIN(C_sat_CO2,MAX(C_air_CO2,(pool_ret*Q461+pool_b)*N461+P461*O461))</f>
        <v>27.778844492866</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IF(C462&gt;x_series,(1-EXP(-C462))/C462,1-C462/2+C462^2/6-C462^3/24)</f>
        <v>0.999899167955</v>
      </c>
      <c r="F462" s="41">
        <f>IF(C462&gt;x_series,(C462-1+EXP(-C462))/C462^2,1/2-C462/6+C462^2/24-C462^3/120)</f>
        <v>0.499966388754</v>
      </c>
      <c r="G462" s="41">
        <f>(C_air_CO2/C_sat_CO2*F_vent_ex-CO2_fix_sched)*(B462/3600)/(V_L_CO2+Vg_CO2)</f>
        <v>-0.002665024182</v>
      </c>
      <c r="H462" s="41">
        <f>(G462*E462+pool_b*D462)/(1-pool_ret*D462)</f>
        <v>27.965944201967</v>
      </c>
      <c r="I462" s="41">
        <f>MIN(C_sat_CO2,MAX(C_air_CO2,(pool_ret*H462+pool_b)*E462+G462*F462))</f>
        <v>27.970097046135</v>
      </c>
      <c r="J462" s="41">
        <f>IF(AND(I462&gt;=CO2_pH_hi_mt,I463&lt;CO2_pH_hi_mt),EXP(LN(A462)+(LN(A463)-LN(A462))*(I462-CO2_pH_hi_mt)/(I462-I463)),0)</f>
        <v>0.0</v>
      </c>
      <c r="L462" s="41">
        <f>k_eff_CO2_l*B462</f>
        <v>0.001089252796</v>
      </c>
      <c r="M462" s="41">
        <f>EXP(-L462)</f>
        <v>0.998911340224</v>
      </c>
      <c r="N462" s="41">
        <f>IF(L462&gt;x_series,(1-EXP(-L462))/L462,1-L462/2+L462^2/6-L462^3/24)</f>
        <v>0.999455571293</v>
      </c>
      <c r="O462" s="41">
        <f>IF(L462&gt;x_series,(L462-1+EXP(-L462))/L462^2,1/2-L462/6+L462^2/24-L462^3/120)</f>
        <v>0.499818507329</v>
      </c>
      <c r="P462" s="41">
        <f>(C_air_CO2/C_sat_CO2*F_vent_ex-CO2_fix_l)*(B462/3600)/(V_L_CO2+Vg_CO2)</f>
        <v>2.33115896837e-06</v>
      </c>
      <c r="Q462" s="41">
        <f>(P462*N462+pool_b*M462)/(1-pool_ret*M462)</f>
        <v>27.729132376595</v>
      </c>
      <c r="R462" s="41">
        <f>MIN(C_sat_CO2,MAX(C_air_CO2,(pool_ret*Q462+pool_b)*N462+P462*O462))</f>
        <v>27.744238712882</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IF(C463&gt;x_series,(1-EXP(-C463))/C463,1-C463/2+C463^2/6-C463^3/24)</f>
        <v>0.999886495981</v>
      </c>
      <c r="F463" s="41">
        <f>IF(C463&gt;x_series,(C463-1+EXP(-C463))/C463^2,1/2-C463/6+C463^2/24-C463^3/120)</f>
        <v>0.499962164611</v>
      </c>
      <c r="G463" s="41">
        <f>(C_air_CO2/C_sat_CO2*F_vent_ex-CO2_fix_sched)*(B463/3600)/(V_L_CO2+Vg_CO2)</f>
        <v>-0.002999973982</v>
      </c>
      <c r="H463" s="41">
        <f>(G463*E463+pool_b*D463)/(1-pool_ret*D463)</f>
        <v>27.954688533147</v>
      </c>
      <c r="I463" s="41">
        <f>MIN(C_sat_CO2,MAX(C_air_CO2,(pool_ret*H463+pool_b)*E463+G463*F463))</f>
        <v>27.959362083411</v>
      </c>
      <c r="J463" s="41">
        <f>IF(AND(I463&gt;=CO2_pH_hi_mt,I464&lt;CO2_pH_hi_mt),EXP(LN(A463)+(LN(A464)-LN(A463))*(I463-CO2_pH_hi_mt)/(I463-I464)),0)</f>
        <v>0.0</v>
      </c>
      <c r="L463" s="41">
        <f>k_eff_CO2_l*B463</f>
        <v>0.001226153996</v>
      </c>
      <c r="M463" s="41">
        <f>EXP(-L463)</f>
        <v>0.998774597424</v>
      </c>
      <c r="N463" s="41">
        <f>IF(L463&gt;x_series,(1-EXP(-L463))/L463,1-L463/2+L463^2/6-L463^3/24)</f>
        <v>0.999387173501</v>
      </c>
      <c r="O463" s="41">
        <f>IF(L463&gt;x_series,(L463-1+EXP(-L463))/L463^2,1/2-L463/6+L463^2/24-L463^3/120)</f>
        <v>0.499795703592</v>
      </c>
      <c r="P463" s="41">
        <f>(C_air_CO2/C_sat_CO2*F_vent_ex-CO2_fix_l)*(B463/3600)/(V_L_CO2+Vg_CO2)</f>
        <v>2.624147390896e-06</v>
      </c>
      <c r="Q463" s="41">
        <f>(P463*N463+pool_b*M463)/(1-pool_ret*M463)</f>
        <v>27.688599290311</v>
      </c>
      <c r="R463" s="41">
        <f>MIN(C_sat_CO2,MAX(C_air_CO2,(pool_ret*Q463+pool_b)*N463+P463*O463))</f>
        <v>27.705580161244</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IF(C464&gt;x_series,(1-EXP(-C464))/C464,1-C464/2+C464^2/6-C464^3/24)</f>
        <v>0.999872302807</v>
      </c>
      <c r="F464" s="41">
        <f>IF(C464&gt;x_series,(C464-1+EXP(-C464))/C464^2,1/2-C464/6+C464^2/24-C464^3/120)</f>
        <v>0.499957433363</v>
      </c>
      <c r="G464" s="41">
        <f>(C_air_CO2/C_sat_CO2*F_vent_ex-CO2_fix_sched)*(B464/3600)/(V_L_CO2+Vg_CO2)</f>
        <v>-0.003375139372</v>
      </c>
      <c r="H464" s="41">
        <f>(G464*E464+pool_b*D464)/(1-pool_ret*D464)</f>
        <v>27.942088422528</v>
      </c>
      <c r="I464" s="41">
        <f>MIN(C_sat_CO2,MAX(C_air_CO2,(pool_ret*H464+pool_b)*E464+G464*F464))</f>
        <v>27.947344869785</v>
      </c>
      <c r="J464" s="41">
        <f>IF(AND(I464&gt;=CO2_pH_hi_mt,I465&lt;CO2_pH_hi_mt),EXP(LN(A464)+(LN(A465)-LN(A464))*(I464-CO2_pH_hi_mt)/(I464-I465)),0)</f>
        <v>0.0</v>
      </c>
      <c r="L464" s="41">
        <f>k_eff_CO2_l*B464</f>
        <v>0.001379492173</v>
      </c>
      <c r="M464" s="41">
        <f>EXP(-L464)</f>
        <v>0.998621458889</v>
      </c>
      <c r="N464" s="41">
        <f>IF(L464&gt;x_series,(1-EXP(-L464))/L464,1-L464/2+L464^2/6-L464^3/24)</f>
        <v>0.999310570971</v>
      </c>
      <c r="O464" s="41">
        <f>IF(L464&gt;x_series,(L464-1+EXP(-L464))/L464^2,1/2-L464/6+L464^2/24-L464^3/120)</f>
        <v>0.499770163909</v>
      </c>
      <c r="P464" s="41">
        <f>(C_air_CO2/C_sat_CO2*F_vent_ex-CO2_fix_l)*(B464/3600)/(V_L_CO2+Vg_CO2)</f>
        <v>2.952313329742e-06</v>
      </c>
      <c r="Q464" s="41">
        <f>(P464*N464+pool_b*M464)/(1-pool_ret*M464)</f>
        <v>27.643333535176</v>
      </c>
      <c r="R464" s="41">
        <f>MIN(C_sat_CO2,MAX(C_air_CO2,(pool_ret*Q464+pool_b)*N464+P464*O464))</f>
        <v>27.662407710022</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IF(C465&gt;x_series,(1-EXP(-C465))/C465,1-C465/2+C465^2/6-C465^3/24)</f>
        <v>0.999856405855</v>
      </c>
      <c r="F465" s="41">
        <f>IF(C465&gt;x_series,(C465-1+EXP(-C465))/C465^2,1/2-C465/6+C465^2/24-C465^3/120)</f>
        <v>0.499952134139</v>
      </c>
      <c r="G465" s="41">
        <f>(C_air_CO2/C_sat_CO2*F_vent_ex-CO2_fix_sched)*(B465/3600)/(V_L_CO2+Vg_CO2)</f>
        <v>-0.003795348817</v>
      </c>
      <c r="H465" s="41">
        <f>(G465*E465+pool_b*D465)/(1-pool_ret*D465)</f>
        <v>27.927984215505</v>
      </c>
      <c r="I465" s="41">
        <f>MIN(C_sat_CO2,MAX(C_air_CO2,(pool_ret*H465+pool_b)*E465+G465*F465))</f>
        <v>27.933893134587</v>
      </c>
      <c r="J465" s="41">
        <f>IF(AND(I465&gt;=CO2_pH_hi_mt,I466&lt;CO2_pH_hi_mt),EXP(LN(A465)+(LN(A466)-LN(A465))*(I465-CO2_pH_hi_mt)/(I465-I466)),0)</f>
        <v>0.0</v>
      </c>
      <c r="L465" s="41">
        <f>k_eff_CO2_l*B465</f>
        <v>0.001551240826</v>
      </c>
      <c r="M465" s="41">
        <f>EXP(-L465)</f>
        <v>0.998449961727</v>
      </c>
      <c r="N465" s="41">
        <f>IF(L465&gt;x_series,(1-EXP(-L465))/L465,1-L465/2+L465^2/6-L465^3/24)</f>
        <v>0.99922478049</v>
      </c>
      <c r="O465" s="41">
        <f>IF(L465&gt;x_series,(L465-1+EXP(-L465))/L465^2,1/2-L465/6+L465^2/24-L465^3/120)</f>
        <v>0.499741560087</v>
      </c>
      <c r="P465" s="41">
        <f>(C_air_CO2/C_sat_CO2*F_vent_ex-CO2_fix_l)*(B465/3600)/(V_L_CO2+Vg_CO2)</f>
        <v>3.319880356759e-06</v>
      </c>
      <c r="Q465" s="41">
        <f>(P465*N465+pool_b*M465)/(1-pool_ret*M465)</f>
        <v>27.592800186564</v>
      </c>
      <c r="R465" s="41">
        <f>MIN(C_sat_CO2,MAX(C_air_CO2,(pool_ret*Q465+pool_b)*N465+P465*O465))</f>
        <v>27.614211135441</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IF(C466&gt;x_series,(1-EXP(-C466))/C466,1-C466/2+C466^2/6-C466^3/24)</f>
        <v>0.999838600642</v>
      </c>
      <c r="F466" s="41">
        <f>IF(C466&gt;x_series,(C466-1+EXP(-C466))/C466^2,1/2-C466/6+C466^2/24-C466^3/120)</f>
        <v>0.499946198767</v>
      </c>
      <c r="G466" s="41">
        <f>(C_air_CO2/C_sat_CO2*F_vent_ex-CO2_fix_sched)*(B466/3600)/(V_L_CO2+Vg_CO2)</f>
        <v>-0.004266010509</v>
      </c>
      <c r="H466" s="41">
        <f>(G466*E466+pool_b*D466)/(1-pool_ret*D466)</f>
        <v>27.912197534837</v>
      </c>
      <c r="I466" s="41">
        <f>MIN(C_sat_CO2,MAX(C_air_CO2,(pool_ret*H466+pool_b)*E466+G466*F466))</f>
        <v>27.918836750081</v>
      </c>
      <c r="J466" s="41">
        <f>IF(AND(I466&gt;=CO2_pH_hi_mt,I467&lt;CO2_pH_hi_mt),EXP(LN(A466)+(LN(A467)-LN(A466))*(I466-CO2_pH_hi_mt)/(I466-I467)),0)</f>
        <v>0.0</v>
      </c>
      <c r="L466" s="41">
        <f>k_eff_CO2_l*B466</f>
        <v>0.001743610399</v>
      </c>
      <c r="M466" s="41">
        <f>EXP(-L466)</f>
        <v>0.998257908807</v>
      </c>
      <c r="N466" s="41">
        <f>IF(L466&gt;x_series,(1-EXP(-L466))/L466,1-L466/2+L466^2/6-L466^3/24)</f>
        <v>0.999128701276</v>
      </c>
      <c r="O466" s="41">
        <f>IF(L466&gt;x_series,(L466-1+EXP(-L466))/L466^2,1/2-L466/6+L466^2/24-L466^3/120)</f>
        <v>0.499709524892</v>
      </c>
      <c r="P466" s="41">
        <f>(C_air_CO2/C_sat_CO2*F_vent_ex-CO2_fix_l)*(B466/3600)/(V_L_CO2+Vg_CO2)</f>
        <v>3.731579144956e-06</v>
      </c>
      <c r="Q466" s="41">
        <f>(P466*N466+pool_b*M466)/(1-pool_ret*M466)</f>
        <v>27.536408259493</v>
      </c>
      <c r="R466" s="41">
        <f>MIN(C_sat_CO2,MAX(C_air_CO2,(pool_ret*Q466+pool_b)*N466+P466*O466))</f>
        <v>27.560426735191</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IF(C467&gt;x_series,(1-EXP(-C467))/C467,1-C467/2+C467^2/6-C467^3/24)</f>
        <v>0.999818658158</v>
      </c>
      <c r="F467" s="41">
        <f>IF(C467&gt;x_series,(C467-1+EXP(-C467))/C467^2,1/2-C467/6+C467^2/24-C467^3/120)</f>
        <v>0.499939550892</v>
      </c>
      <c r="G467" s="41">
        <f>(C_air_CO2/C_sat_CO2*F_vent_ex-CO2_fix_sched)*(B467/3600)/(V_L_CO2+Vg_CO2)</f>
        <v>-0.004793181976</v>
      </c>
      <c r="H467" s="41">
        <f>(G467*E467+pool_b*D467)/(1-pool_ret*D467)</f>
        <v>27.894529145055</v>
      </c>
      <c r="I467" s="41">
        <f>MIN(C_sat_CO2,MAX(C_air_CO2,(pool_ret*H467+pool_b)*E467+G467*F467))</f>
        <v>27.901985694517</v>
      </c>
      <c r="J467" s="41">
        <f>IF(AND(I467&gt;=CO2_pH_hi_mt,I468&lt;CO2_pH_hi_mt),EXP(LN(A467)+(LN(A468)-LN(A467))*(I467-CO2_pH_hi_mt)/(I467-I468)),0)</f>
        <v>0.0</v>
      </c>
      <c r="L467" s="41">
        <f>k_eff_CO2_l*B467</f>
        <v>0.001959076734</v>
      </c>
      <c r="M467" s="41">
        <f>EXP(-L467)</f>
        <v>0.998042841004</v>
      </c>
      <c r="N467" s="41">
        <f>IF(L467&gt;x_series,(1-EXP(-L467))/L467,1-L467/2+L467^2/6-L467^3/24)</f>
        <v>0.999021100983</v>
      </c>
      <c r="O467" s="41">
        <f>IF(L467&gt;x_series,(L467-1+EXP(-L467))/L467^2,1/2-L467/6+L467^2/24-L467^3/120)</f>
        <v>0.499673647064</v>
      </c>
      <c r="P467" s="41">
        <f>(C_air_CO2/C_sat_CO2*F_vent_ex-CO2_fix_l)*(B467/3600)/(V_L_CO2+Vg_CO2)</f>
        <v>4.192708353356e-06</v>
      </c>
      <c r="Q467" s="41">
        <f>(P467*N467+pool_b*M467)/(1-pool_ret*M467)</f>
        <v>27.473505934052</v>
      </c>
      <c r="R467" s="41">
        <f>MIN(C_sat_CO2,MAX(C_air_CO2,(pool_ret*Q467+pool_b)*N467+P467*O467))</f>
        <v>27.500432771881</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IF(C468&gt;x_series,(1-EXP(-C468))/C468,1-C468/2+C468^2/6-C468^3/24)</f>
        <v>0.999796321918</v>
      </c>
      <c r="F468" s="41">
        <f>IF(C468&gt;x_series,(C468-1+EXP(-C468))/C468^2,1/2-C468/6+C468^2/24-C468^3/120)</f>
        <v>0.499932105001</v>
      </c>
      <c r="G468" s="41">
        <f>(C_air_CO2/C_sat_CO2*F_vent_ex-CO2_fix_sched)*(B468/3600)/(V_L_CO2+Vg_CO2)</f>
        <v>-0.005383648035</v>
      </c>
      <c r="H468" s="41">
        <f>(G468*E468+pool_b*D468)/(1-pool_ret*D468)</f>
        <v>27.874756588559</v>
      </c>
      <c r="I468" s="41">
        <f>MIN(C_sat_CO2,MAX(C_air_CO2,(pool_ret*H468+pool_b)*E468+G468*F468))</f>
        <v>27.883127797394</v>
      </c>
      <c r="J468" s="41">
        <f>IF(AND(I468&gt;=CO2_pH_hi_mt,I469&lt;CO2_pH_hi_mt),EXP(LN(A468)+(LN(A469)-LN(A468))*(I468-CO2_pH_hi_mt)/(I468-I469)),0)</f>
        <v>0.0</v>
      </c>
      <c r="L468" s="41">
        <f>k_eff_CO2_l*B468</f>
        <v>0.002200412933</v>
      </c>
      <c r="M468" s="41">
        <f>EXP(-L468)</f>
        <v>0.997802006201</v>
      </c>
      <c r="N468" s="41">
        <f>IF(L468&gt;x_series,(1-EXP(-L468))/L468,1-L468/2+L468^2/6-L468^3/24)</f>
        <v>0.998900600059</v>
      </c>
      <c r="O468" s="41">
        <f>IF(L468&gt;x_series,(L468-1+EXP(-L468))/L468^2,1/2-L468/6+L468^2/24-L468^3/120)</f>
        <v>0.499633466174</v>
      </c>
      <c r="P468" s="41">
        <f>(C_air_CO2/C_sat_CO2*F_vent_ex-CO2_fix_l)*(B468/3600)/(V_L_CO2+Vg_CO2)</f>
        <v>4.709202821973e-06</v>
      </c>
      <c r="Q468" s="41">
        <f>(P468*N468+pool_b*M468)/(1-pool_ret*M468)</f>
        <v>27.403375658336</v>
      </c>
      <c r="R468" s="41">
        <f>MIN(C_sat_CO2,MAX(C_air_CO2,(pool_ret*Q468+pool_b)*N468+P468*O468))</f>
        <v>27.433544798968</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IF(C469&gt;x_series,(1-EXP(-C469))/C469,1-C469/2+C469^2/6-C469^3/24)</f>
        <v>0.999771304678</v>
      </c>
      <c r="F469" s="41">
        <f>IF(C469&gt;x_series,(C469-1+EXP(-C469))/C469^2,1/2-C469/6+C469^2/24-C469^3/120)</f>
        <v>0.49992376532</v>
      </c>
      <c r="G469" s="41">
        <f>(C_air_CO2/C_sat_CO2*F_vent_ex-CO2_fix_sched)*(B469/3600)/(V_L_CO2+Vg_CO2)</f>
        <v>-0.006045008121</v>
      </c>
      <c r="H469" s="41">
        <f>(G469*E469+pool_b*D469)/(1-pool_ret*D469)</f>
        <v>27.852631572936</v>
      </c>
      <c r="I469" s="41">
        <f>MIN(C_sat_CO2,MAX(C_air_CO2,(pool_ret*H469+pool_b)*E469+G469*F469))</f>
        <v>27.862026247401</v>
      </c>
      <c r="J469" s="41">
        <f>IF(AND(I469&gt;=CO2_pH_hi_mt,I470&lt;CO2_pH_hi_mt),EXP(LN(A469)+(LN(A470)-LN(A469))*(I469-CO2_pH_hi_mt)/(I469-I470)),0)</f>
        <v>0.0</v>
      </c>
      <c r="L469" s="41">
        <f>k_eff_CO2_l*B469</f>
        <v>0.002470725048</v>
      </c>
      <c r="M469" s="41">
        <f>EXP(-L469)</f>
        <v>0.997532324681</v>
      </c>
      <c r="N469" s="41">
        <f>IF(L469&gt;x_series,(1-EXP(-L469))/L469,1-L469/2+L469^2/6-L469^3/24)</f>
        <v>0.998765654261</v>
      </c>
      <c r="O469" s="41">
        <f>IF(L469&gt;x_series,(L469-1+EXP(-L469))/L469^2,1/2-L469/6+L469^2/24-L469^3/120)</f>
        <v>0.499588466728</v>
      </c>
      <c r="P469" s="41">
        <f>(C_air_CO2/C_sat_CO2*F_vent_ex-CO2_fix_l)*(B469/3600)/(V_L_CO2+Vg_CO2)</f>
        <v>5.287709954579e-06</v>
      </c>
      <c r="Q469" s="41">
        <f>(P469*N469+pool_b*M469)/(1-pool_ret*M469)</f>
        <v>27.325229211051</v>
      </c>
      <c r="R469" s="41">
        <f>MIN(C_sat_CO2,MAX(C_air_CO2,(pool_ret*Q469+pool_b)*N469+P469*O469))</f>
        <v>27.359010947392</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IF(C470&gt;x_series,(1-EXP(-C470))/C470,1-C470/2+C470^2/6-C470^3/24)</f>
        <v>0.999743284746</v>
      </c>
      <c r="F470" s="41">
        <f>IF(C470&gt;x_series,(C470-1+EXP(-C470))/C470^2,1/2-C470/6+C470^2/24-C470^3/120)</f>
        <v>0.499914424587</v>
      </c>
      <c r="G470" s="41">
        <f>(C_air_CO2/C_sat_CO2*F_vent_ex-CO2_fix_sched)*(B470/3600)/(V_L_CO2+Vg_CO2)</f>
        <v>-0.006785774094</v>
      </c>
      <c r="H470" s="41">
        <f>(G470*E470+pool_b*D470)/(1-pool_ret*D470)</f>
        <v>27.827877088271</v>
      </c>
      <c r="I470" s="41">
        <f>MIN(C_sat_CO2,MAX(C_air_CO2,(pool_ret*H470+pool_b)*E470+G470*F470))</f>
        <v>27.838416842789</v>
      </c>
      <c r="J470" s="41">
        <f>IF(AND(I470&gt;=CO2_pH_hi_mt,I471&lt;CO2_pH_hi_mt),EXP(LN(A470)+(LN(A471)-LN(A470))*(I470-CO2_pH_hi_mt)/(I470-I471)),0)</f>
        <v>0.0</v>
      </c>
      <c r="L470" s="41">
        <f>k_eff_CO2_l*B470</f>
        <v>0.00277349206</v>
      </c>
      <c r="M470" s="41">
        <f>EXP(-L470)</f>
        <v>0.997230350516</v>
      </c>
      <c r="N470" s="41">
        <f>IF(L470&gt;x_series,(1-EXP(-L470))/L470,1-L470/2+L470^2/6-L470^3/24)</f>
        <v>0.998614535125</v>
      </c>
      <c r="O470" s="41">
        <f>IF(L470&gt;x_series,(L470-1+EXP(-L470))/L470^2,1/2-L470/6+L470^2/24-L470^3/120)</f>
        <v>0.499538071645</v>
      </c>
      <c r="P470" s="41">
        <f>(C_air_CO2/C_sat_CO2*F_vent_ex-CO2_fix_l)*(B470/3600)/(V_L_CO2+Vg_CO2)</f>
        <v>5.935675272332e-06</v>
      </c>
      <c r="Q470" s="41">
        <f>(P470*N470+pool_b*M470)/(1-pool_ret*M470)</f>
        <v>27.238202833924</v>
      </c>
      <c r="R470" s="41">
        <f>MIN(C_sat_CO2,MAX(C_air_CO2,(pool_ret*Q470+pool_b)*N470+P470*O470))</f>
        <v>27.276007277759</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IF(C471&gt;x_series,(1-EXP(-C471))/C471,1-C471/2+C471^2/6-C471^3/24)</f>
        <v>0.999711901857</v>
      </c>
      <c r="F471" s="41">
        <f>IF(C471&gt;x_series,(C471-1+EXP(-C471))/C471^2,1/2-C471/6+C471^2/24-C471^3/120)</f>
        <v>0.499903962674</v>
      </c>
      <c r="G471" s="41">
        <f>(C_air_CO2/C_sat_CO2*F_vent_ex-CO2_fix_sched)*(B471/3600)/(V_L_CO2+Vg_CO2)</f>
        <v>-0.007615479783</v>
      </c>
      <c r="H471" s="41">
        <f>(G471*E471+pool_b*D471)/(1-pool_ret*D471)</f>
        <v>27.800184232766</v>
      </c>
      <c r="I471" s="41">
        <f>MIN(C_sat_CO2,MAX(C_air_CO2,(pool_ret*H471+pool_b)*E471+G471*F471))</f>
        <v>27.812004963451</v>
      </c>
      <c r="J471" s="41">
        <f>IF(AND(I471&gt;=CO2_pH_hi_mt,I472&lt;CO2_pH_hi_mt),EXP(LN(A471)+(LN(A472)-LN(A471))*(I471-CO2_pH_hi_mt)/(I471-I472)),0)</f>
        <v>0.0</v>
      </c>
      <c r="L471" s="41">
        <f>k_eff_CO2_l*B471</f>
        <v>0.003112610649</v>
      </c>
      <c r="M471" s="41">
        <f>EXP(-L471)</f>
        <v>0.996892228501</v>
      </c>
      <c r="N471" s="41">
        <f>IF(L471&gt;x_series,(1-EXP(-L471))/L471,1-L471/2+L471^2/6-L471^3/24)</f>
        <v>0.998445308144</v>
      </c>
      <c r="O471" s="41">
        <f>IF(L471&gt;x_series,(L471-1+EXP(-L471))/L471^2,1/2-L471/6+L471^2/24-L471^3/120)</f>
        <v>0.499481634989</v>
      </c>
      <c r="P471" s="41">
        <f>(C_air_CO2/C_sat_CO2*F_vent_ex-CO2_fix_l)*(B471/3600)/(V_L_CO2+Vg_CO2)</f>
        <v>6.661438239367e-06</v>
      </c>
      <c r="Q471" s="41">
        <f>(P471*N471+pool_b*M471)/(1-pool_ret*M471)</f>
        <v>27.14135257765</v>
      </c>
      <c r="R471" s="41">
        <f>MIN(C_sat_CO2,MAX(C_air_CO2,(pool_ret*Q471+pool_b)*N471+P471*O471))</f>
        <v>27.183633334932</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IF(C472&gt;x_series,(1-EXP(-C472))/C472,1-C472/2+C472^2/6-C472^3/24)</f>
        <v>0.999676752556</v>
      </c>
      <c r="F472" s="41">
        <f>IF(C472&gt;x_series,(C472-1+EXP(-C472))/C472^2,1/2-C472/6+C472^2/24-C472^3/120)</f>
        <v>0.499892245046</v>
      </c>
      <c r="G472" s="41">
        <f>(C_air_CO2/C_sat_CO2*F_vent_ex-CO2_fix_sched)*(B472/3600)/(V_L_CO2+Vg_CO2)</f>
        <v>-0.008544803693</v>
      </c>
      <c r="H472" s="41">
        <f>(G472*E472+pool_b*D472)/(1-pool_ret*D472)</f>
        <v>27.76920872494</v>
      </c>
      <c r="I472" s="41">
        <f>MIN(C_sat_CO2,MAX(C_air_CO2,(pool_ret*H472+pool_b)*E472+G472*F472))</f>
        <v>27.782462244005</v>
      </c>
      <c r="J472" s="41">
        <f>IF(AND(I472&gt;=CO2_pH_hi_mt,I473&lt;CO2_pH_hi_mt),EXP(LN(A472)+(LN(A473)-LN(A472))*(I472-CO2_pH_hi_mt)/(I472-I473)),0)</f>
        <v>0.0</v>
      </c>
      <c r="L472" s="41">
        <f>k_eff_CO2_l*B472</f>
        <v>0.003492445352</v>
      </c>
      <c r="M472" s="41">
        <f>EXP(-L472)</f>
        <v>0.996513646142</v>
      </c>
      <c r="N472" s="41">
        <f>IF(L472&gt;x_series,(1-EXP(-L472))/L472,1-L472/2+L472^2/6-L472^3/24)</f>
        <v>0.998255808413</v>
      </c>
      <c r="O472" s="41">
        <f>IF(L472&gt;x_series,(L472-1+EXP(-L472))/L472^2,1/2-L472/6+L472^2/24-L472^3/120)</f>
        <v>0.499418433639</v>
      </c>
      <c r="P472" s="41">
        <f>(C_air_CO2/C_sat_CO2*F_vent_ex-CO2_fix_l)*(B472/3600)/(V_L_CO2+Vg_CO2)</f>
        <v>7.474339593635e-06</v>
      </c>
      <c r="Q472" s="41">
        <f>(P472*N472+pool_b*M472)/(1-pool_ret*M472)</f>
        <v>27.033650044934</v>
      </c>
      <c r="R472" s="41">
        <f>MIN(C_sat_CO2,MAX(C_air_CO2,(pool_ret*Q472+pool_b)*N472+P472*O472))</f>
        <v>27.080908079842</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IF(C473&gt;x_series,(1-EXP(-C473))/C473,1-C473/2+C473^2/6-C473^3/24)</f>
        <v>0.999637385027</v>
      </c>
      <c r="F473" s="41">
        <f>IF(C473&gt;x_series,(C473-1+EXP(-C473))/C473^2,1/2-C473/6+C473^2/24-C473^3/120)</f>
        <v>0.499879121036</v>
      </c>
      <c r="G473" s="41">
        <f>(C_air_CO2/C_sat_CO2*F_vent_ex-CO2_fix_sched)*(B473/3600)/(V_L_CO2+Vg_CO2)</f>
        <v>-0.009585706438</v>
      </c>
      <c r="H473" s="41">
        <f>(G473*E473+pool_b*D473)/(1-pool_ret*D473)</f>
        <v>27.734567081256</v>
      </c>
      <c r="I473" s="41">
        <f>MIN(C_sat_CO2,MAX(C_air_CO2,(pool_ret*H473+pool_b)*E473+G473*F473))</f>
        <v>27.749422927649</v>
      </c>
      <c r="J473" s="41">
        <f>IF(AND(I473&gt;=CO2_pH_hi_mt,I474&lt;CO2_pH_hi_mt),EXP(LN(A473)+(LN(A474)-LN(A473))*(I473-CO2_pH_hi_mt)/(I473-I474)),0)</f>
        <v>0.0</v>
      </c>
      <c r="L473" s="41">
        <f>k_eff_CO2_l*B473</f>
        <v>0.003917884728</v>
      </c>
      <c r="M473" s="41">
        <f>EXP(-L473)</f>
        <v>0.996089780169</v>
      </c>
      <c r="N473" s="41">
        <f>IF(L473&gt;x_series,(1-EXP(-L473))/L473,1-L473/2+L473^2/6-L473^3/24)</f>
        <v>0.998043613435</v>
      </c>
      <c r="O473" s="41">
        <f>IF(L473&gt;x_series,(L473-1+EXP(-L473))/L473^2,1/2-L473/6+L473^2/24-L473^3/120)</f>
        <v>0.499347658287</v>
      </c>
      <c r="P473" s="41">
        <f>(C_air_CO2/C_sat_CO2*F_vent_ex-CO2_fix_l)*(B473/3600)/(V_L_CO2+Vg_CO2)</f>
        <v>8.384841564368e-06</v>
      </c>
      <c r="Q473" s="41">
        <f>(P473*N473+pool_b*M473)/(1-pool_ret*M473)</f>
        <v>26.913978760523</v>
      </c>
      <c r="R473" s="41">
        <f>MIN(C_sat_CO2,MAX(C_air_CO2,(pool_ret*Q473+pool_b)*N473+P473*O473))</f>
        <v>26.966766417424</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IF(C474&gt;x_series,(1-EXP(-C474))/C474,1-C474/2+C474^2/6-C474^3/24)</f>
        <v>0.99959329331</v>
      </c>
      <c r="F474" s="41">
        <f>IF(C474&gt;x_series,(C474-1+EXP(-C474))/C474^2,1/2-C474/6+C474^2/24-C474^3/120)</f>
        <v>0.499864421912</v>
      </c>
      <c r="G474" s="41">
        <f>(C_air_CO2/C_sat_CO2*F_vent_ex-CO2_fix_sched)*(B474/3600)/(V_L_CO2+Vg_CO2)</f>
        <v>-0.010751584679</v>
      </c>
      <c r="H474" s="41">
        <f>(G474*E474+pool_b*D474)/(1-pool_ret*D474)</f>
        <v>27.695832439381</v>
      </c>
      <c r="I474" s="41">
        <f>MIN(C_sat_CO2,MAX(C_air_CO2,(pool_ret*H474+pool_b)*E474+G474*F474))</f>
        <v>27.712479881893</v>
      </c>
      <c r="J474" s="41">
        <f>IF(AND(I474&gt;=CO2_pH_hi_mt,I475&lt;CO2_pH_hi_mt),EXP(LN(A474)+(LN(A475)-LN(A474))*(I474-CO2_pH_hi_mt)/(I474-I475)),0)</f>
        <v>0.0</v>
      </c>
      <c r="L474" s="41">
        <f>k_eff_CO2_l*B474</f>
        <v>0.004394404282</v>
      </c>
      <c r="M474" s="41">
        <f>EXP(-L474)</f>
        <v>0.995615236984</v>
      </c>
      <c r="N474" s="41">
        <f>IF(L474&gt;x_series,(1-EXP(-L474))/L474,1-L474/2+L474^2/6-L474^3/24)</f>
        <v>0.997806012791</v>
      </c>
      <c r="O474" s="41">
        <f>IF(L474&gt;x_series,(L474-1+EXP(-L474))/L474^2,1/2-L474/6+L474^2/24-L474^3/120)</f>
        <v>0.499268403197</v>
      </c>
      <c r="P474" s="41">
        <f>(C_air_CO2/C_sat_CO2*F_vent_ex-CO2_fix_l)*(B474/3600)/(V_L_CO2+Vg_CO2)</f>
        <v>9.4046625234e-06</v>
      </c>
      <c r="Q474" s="41">
        <f>(P474*N474+pool_b*M474)/(1-pool_ret*M474)</f>
        <v>26.781131450937</v>
      </c>
      <c r="R474" s="41">
        <f>MIN(C_sat_CO2,MAX(C_air_CO2,(pool_ret*Q474+pool_b)*N474+P474*O474))</f>
        <v>26.840056589983</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IF(C475&gt;x_series,(1-EXP(-C475))/C475,1-C475/2+C475^2/6-C475^3/24)</f>
        <v>0.999543910819</v>
      </c>
      <c r="F475" s="41">
        <f>IF(C475&gt;x_series,(C475-1+EXP(-C475))/C475^2,1/2-C475/6+C475^2/24-C475^3/120)</f>
        <v>0.499847958714</v>
      </c>
      <c r="G475" s="41">
        <f>(C_air_CO2/C_sat_CO2*F_vent_ex-CO2_fix_sched)*(B475/3600)/(V_L_CO2+Vg_CO2)</f>
        <v>-0.012057443539</v>
      </c>
      <c r="H475" s="41">
        <f>(G475*E475+pool_b*D475)/(1-pool_ret*D475)</f>
        <v>27.652530009647</v>
      </c>
      <c r="I475" s="41">
        <f>MIN(C_sat_CO2,MAX(C_air_CO2,(pool_ret*H475+pool_b)*E475+G475*F475))</f>
        <v>27.671180259512</v>
      </c>
      <c r="J475" s="41">
        <f>IF(AND(I475&gt;=CO2_pH_hi_mt,I476&lt;CO2_pH_hi_mt),EXP(LN(A475)+(LN(A476)-LN(A475))*(I475-CO2_pH_hi_mt)/(I475-I476)),0)</f>
        <v>0.0</v>
      </c>
      <c r="L475" s="41">
        <f>k_eff_CO2_l*B475</f>
        <v>0.004928136931</v>
      </c>
      <c r="M475" s="41">
        <f>EXP(-L475)</f>
        <v>0.995083986413</v>
      </c>
      <c r="N475" s="41">
        <f>IF(L475&gt;x_series,(1-EXP(-L475))/L475,1-L475/2+L475^2/6-L475^3/24)</f>
        <v>0.997539974308</v>
      </c>
      <c r="O475" s="41">
        <f>IF(L475&gt;x_series,(L475-1+EXP(-L475))/L475^2,1/2-L475/6+L475^2/24-L475^3/120)</f>
        <v>0.499179654787</v>
      </c>
      <c r="P475" s="41">
        <f>(C_air_CO2/C_sat_CO2*F_vent_ex-CO2_fix_l)*(B475/3600)/(V_L_CO2+Vg_CO2)</f>
        <v>1.054692780334e-05</v>
      </c>
      <c r="Q475" s="41">
        <f>(P475*N475+pool_b*M475)/(1-pool_ret*M475)</f>
        <v>26.633808575601</v>
      </c>
      <c r="R475" s="41">
        <f>MIN(C_sat_CO2,MAX(C_air_CO2,(pool_ret*Q475+pool_b)*N475+P475*O475))</f>
        <v>26.69953876139</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IF(C476&gt;x_series,(1-EXP(-C476))/C476,1-C476/2+C476^2/6-C476^3/24)</f>
        <v>0.999488603106</v>
      </c>
      <c r="F476" s="41">
        <f>IF(C476&gt;x_series,(C476-1+EXP(-C476))/C476^2,1/2-C476/6+C476^2/24-C476^3/120)</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0.005525951937</v>
      </c>
      <c r="M476" s="41">
        <f>EXP(-L476)</f>
        <v>0.99448928805</v>
      </c>
      <c r="N476" s="41">
        <f>IF(L476&gt;x_series,(1-EXP(-L476))/L476,1-L476/2+L476^2/6-L476^3/24)</f>
        <v>0.997242106366</v>
      </c>
      <c r="O476" s="41">
        <f>IF(L476&gt;x_series,(L476-1+EXP(-L476))/L476^2,1/2-L476/6+L476^2/24-L476^3/120)</f>
        <v>0.499080278945</v>
      </c>
      <c r="P476" s="41">
        <f>(C_air_CO2/C_sat_CO2*F_vent_ex-CO2_fix_l)*(B476/3600)/(V_L_CO2+Vg_CO2)</f>
        <v>1.182633862363e-05</v>
      </c>
      <c r="Q476" s="41">
        <f>(P476*N476+pool_b*M476)/(1-pool_ret*M476)</f>
        <v>26.470618514811</v>
      </c>
      <c r="R476" s="41">
        <f>MIN(C_sat_CO2,MAX(C_air_CO2,(pool_ret*Q476+pool_b)*N476+P476*O476))</f>
        <v>26.543885178325</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IF(C477&gt;x_series,(1-EXP(-C477))/C477,1-C477/2+C477^2/6-C477^3/24)</f>
        <v>0.999426659743</v>
      </c>
      <c r="F477" s="41">
        <f>IF(C477&gt;x_series,(C477-1+EXP(-C477))/C477^2,1/2-C477/6+C477^2/24-C477^3/120)</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0.00619554332</v>
      </c>
      <c r="M477" s="41">
        <f>EXP(-L477)</f>
        <v>0.993823609484</v>
      </c>
      <c r="N477" s="41">
        <f>IF(L477&gt;x_series,(1-EXP(-L477))/L477,1-L477/2+L477^2/6-L477^3/24)</f>
        <v>0.996908615903</v>
      </c>
      <c r="O477" s="41">
        <f>IF(L477&gt;x_series,(L477-1+EXP(-L477))/L477^2,1/2-L477/6+L477^2/24-L477^3/120)</f>
        <v>0.49896900683</v>
      </c>
      <c r="P477" s="41">
        <f>(C_air_CO2/C_sat_CO2*F_vent_ex-CO2_fix_l)*(B477/3600)/(V_L_CO2+Vg_CO2)</f>
        <v>1.325936129869e-05</v>
      </c>
      <c r="Q477" s="41">
        <f>(P477*N477+pool_b*M477)/(1-pool_ret*M477)</f>
        <v>26.290079886628</v>
      </c>
      <c r="R477" s="41">
        <f>MIN(C_sat_CO2,MAX(C_air_CO2,(pool_ret*Q477+pool_b)*N477+P477*O477))</f>
        <v>26.371682358195</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IF(C478&gt;x_series,(1-EXP(-C478))/C478,1-C478/2+C478^2/6-C478^3/24)</f>
        <v>0.999357285258</v>
      </c>
      <c r="F478" s="41">
        <f>IF(C478&gt;x_series,(C478-1+EXP(-C478))/C478^2,1/2-C478/6+C478^2/24-C478^3/120)</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0.006945528875</v>
      </c>
      <c r="M478" s="41">
        <f>EXP(-L478)</f>
        <v>0.993078535565</v>
      </c>
      <c r="N478" s="41">
        <f>IF(L478&gt;x_series,(1-EXP(-L478))/L478,1-L478/2+L478^2/6-L478^3/24)</f>
        <v>0.996535261683</v>
      </c>
      <c r="O478" s="41">
        <f>IF(L478&gt;x_series,(L478-1+EXP(-L478))/L478^2,1/2-L478/6+L478^2/24-L478^3/120)</f>
        <v>0.498844419081</v>
      </c>
      <c r="P478" s="41">
        <f>(C_air_CO2/C_sat_CO2*F_vent_ex-CO2_fix_l)*(B478/3600)/(V_L_CO2+Vg_CO2)</f>
        <v>1.486443916318e-05</v>
      </c>
      <c r="Q478" s="41">
        <f>(P478*N478+pool_b*M478)/(1-pool_ret*M478)</f>
        <v>26.090626530646</v>
      </c>
      <c r="R478" s="41">
        <f>MIN(C_sat_CO2,MAX(C_air_CO2,(pool_ret*Q478+pool_b)*N478+P478*O478))</f>
        <v>26.181435816152</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IF(C479&gt;x_series,(1-EXP(-C479))/C479,1-C479/2+C479^2/6-C479^3/24)</f>
        <v>0.999279588982</v>
      </c>
      <c r="F479" s="41">
        <f>IF(C479&gt;x_series,(C479-1+EXP(-C479))/C479^2,1/2-C479/6+C479^2/24-C479^3/120)</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0.00778556109</v>
      </c>
      <c r="M479" s="41">
        <f>EXP(-L479)</f>
        <v>0.99224466789</v>
      </c>
      <c r="N479" s="41">
        <f>IF(L479&gt;x_series,(1-EXP(-L479))/L479,1-L479/2+L479^2/6-L479^3/24)</f>
        <v>0.996117302316</v>
      </c>
      <c r="O479" s="41">
        <f>IF(L479&gt;x_series,(L479-1+EXP(-L479))/L479^2,1/2-L479/6+L479^2/24-L479^3/120)</f>
        <v>0.49870492818</v>
      </c>
      <c r="P479" s="41">
        <f>(C_air_CO2/C_sat_CO2*F_vent_ex-CO2_fix_l)*(B479/3600)/(V_L_CO2+Vg_CO2)</f>
        <v>1.6662229942e-05</v>
      </c>
      <c r="Q479" s="41">
        <f>(P479*N479+pool_b*M479)/(1-pool_ret*M479)</f>
        <v>25.870615756925</v>
      </c>
      <c r="R479" s="41">
        <f>MIN(C_sat_CO2,MAX(C_air_CO2,(pool_ret*Q479+pool_b)*N479+P479*O479))</f>
        <v>25.971577901083</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IF(C480&gt;x_series,(1-EXP(-C480))/C480,1-C480/2+C480^2/6-C480^3/24)</f>
        <v>0.999192573703</v>
      </c>
      <c r="F480" s="41">
        <f>IF(C480&gt;x_series,(C480-1+EXP(-C480))/C480^2,1/2-C480/6+C480^2/24-C480^3/120)</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0.008726451376</v>
      </c>
      <c r="M480" s="41">
        <f>EXP(-L480)</f>
        <v>0.991311513587</v>
      </c>
      <c r="N480" s="41">
        <f>IF(L480&gt;x_series,(1-EXP(-L480))/L480,1-L480/2+L480^2/6-L480^3/24)</f>
        <v>0.995649438497</v>
      </c>
      <c r="O480" s="41">
        <f>IF(L480&gt;x_series,(L480-1+EXP(-L480))/L480^2,1/2-L480/6+L480^2/24-L480^3/120)</f>
        <v>0.498548758864</v>
      </c>
      <c r="P480" s="41">
        <f>(C_air_CO2/C_sat_CO2*F_vent_ex-CO2_fix_l)*(B480/3600)/(V_L_CO2+Vg_CO2)</f>
        <v>1.867587162004e-05</v>
      </c>
      <c r="Q480" s="41">
        <f>(P480*N480+pool_b*M480)/(1-pool_ret*M480)</f>
        <v>25.628340506171</v>
      </c>
      <c r="R480" s="41">
        <f>MIN(C_sat_CO2,MAX(C_air_CO2,(pool_ret*Q480+pool_b)*N480+P480*O480))</f>
        <v>25.740479355939</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IF(C481&gt;x_series,(1-EXP(-C481))/C481,1-C481/2+C481^2/6-C481^3/24)</f>
        <v>0.999095122972</v>
      </c>
      <c r="F481" s="41">
        <f>IF(C481&gt;x_series,(C481-1+EXP(-C481))/C481^2,1/2-C481/6+C481^2/24-C481^3/120)</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0.00978030921</v>
      </c>
      <c r="M481" s="41">
        <f>EXP(-L481)</f>
        <v>0.990267362473</v>
      </c>
      <c r="N481" s="41">
        <f>IF(L481&gt;x_series,(1-EXP(-L481))/L481,1-L481/2+L481^2/6-L481^3/24)</f>
        <v>0.995125748899</v>
      </c>
      <c r="O481" s="41">
        <f>IF(L481&gt;x_series,(L481-1+EXP(-L481))/L481^2,1/2-L481/6+L481^2/24-L481^3/120)</f>
        <v>0.498373926284</v>
      </c>
      <c r="P481" s="41">
        <f>(C_air_CO2/C_sat_CO2*F_vent_ex-CO2_fix_l)*(B481/3600)/(V_L_CO2+Vg_CO2)</f>
        <v>2.093128023336e-05</v>
      </c>
      <c r="Q481" s="41">
        <f>(P481*N481+pool_b*M481)/(1-pool_ret*M481)</f>
        <v>25.362046093481</v>
      </c>
      <c r="R481" s="41">
        <f>MIN(C_sat_CO2,MAX(C_air_CO2,(pool_ret*Q481+pool_b)*N481+P481*O481))</f>
        <v>25.486465242778</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IF(C482&gt;x_series,(1-EXP(-C482))/C482,1-C482/2+C482^2/6-C482^3/24)</f>
        <v>0.998985986912</v>
      </c>
      <c r="F482" s="41">
        <f>IF(C482&gt;x_series,(C482-1+EXP(-C482))/C482^2,1/2-C482/6+C482^2/24-C482^3/120)</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0.010960697985</v>
      </c>
      <c r="M482" s="41">
        <f>EXP(-L482)</f>
        <v>0.989099151601</v>
      </c>
      <c r="N482" s="41">
        <f>IF(L482&gt;x_series,(1-EXP(-L482))/L482,1-L482/2+L482^2/6-L482^3/24)</f>
        <v>0.994539619078</v>
      </c>
      <c r="O482" s="41">
        <f>IF(L482&gt;x_series,(L482-1+EXP(-L482))/L482^2,1/2-L482/6+L482^2/24-L482^3/120)</f>
        <v>0.498178211754</v>
      </c>
      <c r="P482" s="41">
        <f>(C_air_CO2/C_sat_CO2*F_vent_ex-CO2_fix_l)*(B482/3600)/(V_L_CO2+Vg_CO2)</f>
        <v>2.345748341466e-05</v>
      </c>
      <c r="Q482" s="41">
        <f>(P482*N482+pool_b*M482)/(1-pool_ret*M482)</f>
        <v>25.069952201467</v>
      </c>
      <c r="R482" s="41">
        <f>MIN(C_sat_CO2,MAX(C_air_CO2,(pool_ret*Q482+pool_b)*N482+P482*O482))</f>
        <v>25.207835866611</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IF(C483&gt;x_series,(1-EXP(-C483))/C483,1-C483/2+C483^2/6-C483^3/24)</f>
        <v>0.998863766358</v>
      </c>
      <c r="F483" s="41">
        <f>IF(C483&gt;x_series,(C483-1+EXP(-C483))/C483^2,1/2-C483/6+C483^2/24-C483^3/120)</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0.01228280958</v>
      </c>
      <c r="M483" s="41">
        <f>EXP(-L483)</f>
        <v>0.987792316226</v>
      </c>
      <c r="N483" s="41">
        <f>IF(L483&gt;x_series,(1-EXP(-L483))/L483,1-L483/2+L483^2/6-L483^3/24)</f>
        <v>0.993883662756</v>
      </c>
      <c r="O483" s="41">
        <f>IF(L483&gt;x_series,(L483-1+EXP(-L483))/L483^2,1/2-L483/6+L483^2/24-L483^3/120)</f>
        <v>0.497959135801</v>
      </c>
      <c r="P483" s="41">
        <f>(C_air_CO2/C_sat_CO2*F_vent_ex-CO2_fix_l)*(B483/3600)/(V_L_CO2+Vg_CO2)</f>
        <v>2.628699398563e-05</v>
      </c>
      <c r="Q483" s="41">
        <f>(P483*N483+pool_b*M483)/(1-pool_ret*M483)</f>
        <v>24.750280735971</v>
      </c>
      <c r="R483" s="41">
        <f>MIN(C_sat_CO2,MAX(C_air_CO2,(pool_ret*Q483+pool_b)*N483+P483*O483))</f>
        <v>24.902893282001</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IF(C484&gt;x_series,(1-EXP(-C484))/C484,1-C484/2+C484^2/6-C484^3/24)</f>
        <v>0.998726895127</v>
      </c>
      <c r="F484" s="41">
        <f>IF(C484&gt;x_series,(C484-1+EXP(-C484))/C484^2,1/2-C484/6+C484^2/24-C484^3/120)</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0.013763659878</v>
      </c>
      <c r="M484" s="41">
        <f>EXP(-L484)</f>
        <v>0.986330626219</v>
      </c>
      <c r="N484" s="41">
        <f>IF(L484&gt;x_series,(1-EXP(-L484))/L484,1-L484/2+L484^2/6-L484^3/24)</f>
        <v>0.993149634775</v>
      </c>
      <c r="O484" s="41">
        <f>IF(L484&gt;x_series,(L484-1+EXP(-L484))/L484^2,1/2-L484/6+L484^2/24-L484^3/120)</f>
        <v>0.497713928273</v>
      </c>
      <c r="P484" s="41">
        <f>(C_air_CO2/C_sat_CO2*F_vent_ex-CO2_fix_l)*(B484/3600)/(V_L_CO2+Vg_CO2)</f>
        <v>2.945622840447e-05</v>
      </c>
      <c r="Q484" s="41">
        <f>(P484*N484+pool_b*M484)/(1-pool_ret*M484)</f>
        <v>24.401290044107</v>
      </c>
      <c r="R484" s="41">
        <f>MIN(C_sat_CO2,MAX(C_air_CO2,(pool_ret*Q484+pool_b)*N484+P484*O484))</f>
        <v>24.569973858127</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IF(C485&gt;x_series,(1-EXP(-C485))/C485,1-C485/2+C485^2/6-C485^3/24)</f>
        <v>0.998573620211</v>
      </c>
      <c r="F485" s="41">
        <f>IF(C485&gt;x_series,(C485-1+EXP(-C485))/C485^2,1/2-C485/6+C485^2/24-C485^3/120)</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0.015422307767</v>
      </c>
      <c r="M485" s="41">
        <f>EXP(-L485)</f>
        <v>0.984696007012</v>
      </c>
      <c r="N485" s="41">
        <f>IF(L485&gt;x_series,(1-EXP(-L485))/L485,1-L485/2+L485^2/6-L485^3/24)</f>
        <v>0.99232833501</v>
      </c>
      <c r="O485" s="41">
        <f>IF(L485&gt;x_series,(L485-1+EXP(-L485))/L485^2,1/2-L485/6+L485^2/24-L485^3/120)</f>
        <v>0.497439495198</v>
      </c>
      <c r="P485" s="41">
        <f>(C_air_CO2/C_sat_CO2*F_vent_ex-CO2_fix_l)*(B485/3600)/(V_L_CO2+Vg_CO2)</f>
        <v>3.300597545424e-05</v>
      </c>
      <c r="Q485" s="41">
        <f>(P485*N485+pool_b*M485)/(1-pool_ret*M485)</f>
        <v>24.021315804917</v>
      </c>
      <c r="R485" s="41">
        <f>MIN(C_sat_CO2,MAX(C_air_CO2,(pool_ret*Q485+pool_b)*N485+P485*O485))</f>
        <v>24.207487197477</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IF(C486&gt;x_series,(1-EXP(-C486))/C486,1-C486/2+C486^2/6-C486^3/24)</f>
        <v>0.99840197966</v>
      </c>
      <c r="F486" s="41">
        <f>IF(C486&gt;x_series,(C486-1+EXP(-C486))/C486^2,1/2-C486/6+C486^2/24-C486^3/120)</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0.017280100429</v>
      </c>
      <c r="M486" s="41">
        <f>EXP(-L486)</f>
        <v>0.98286834423</v>
      </c>
      <c r="N486" s="41">
        <f>IF(L486&gt;x_series,(1-EXP(-L486))/L486,1-L486/2+L486^2/6-L486^3/24)</f>
        <v>0.99140950251</v>
      </c>
      <c r="O486" s="41">
        <f>IF(L486&gt;x_series,(L486-1+EXP(-L486))/L486^2,1/2-L486/6+L486^2/24-L486^3/120)</f>
        <v>0.497132382131</v>
      </c>
      <c r="P486" s="41">
        <f>(C_air_CO2/C_sat_CO2*F_vent_ex-CO2_fix_l)*(B486/3600)/(V_L_CO2+Vg_CO2)</f>
        <v>3.698192120394e-05</v>
      </c>
      <c r="Q486" s="41">
        <f>(P486*N486+pool_b*M486)/(1-pool_ret*M486)</f>
        <v>23.608818623814</v>
      </c>
      <c r="R486" s="41">
        <f>MIN(C_sat_CO2,MAX(C_air_CO2,(pool_ret*Q486+pool_b)*N486+P486*O486))</f>
        <v>23.813961437228</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IF(C487&gt;x_series,(1-EXP(-C487))/C487,1-C487/2+C487^2/6-C487^3/24)</f>
        <v>0.998209777881</v>
      </c>
      <c r="F487" s="41">
        <f>IF(C487&gt;x_series,(C487-1+EXP(-C487))/C487^2,1/2-C487/6+C487^2/24-C487^3/120)</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0.019360948088</v>
      </c>
      <c r="M487" s="41">
        <f>EXP(-L487)</f>
        <v>0.980825271336</v>
      </c>
      <c r="N487" s="41">
        <f>IF(L487&gt;x_series,(1-EXP(-L487))/L487,1-L487/2+L487^2/6-L487^3/24)</f>
        <v>0.990381699117</v>
      </c>
      <c r="O487" s="41">
        <f>IF(L487&gt;x_series,(L487-1+EXP(-L487))/L487^2,1/2-L487/6+L487^2/24-L487^3/120)</f>
        <v>0.496788733631</v>
      </c>
      <c r="P487" s="41">
        <f>(C_air_CO2/C_sat_CO2*F_vent_ex-CO2_fix_l)*(B487/3600)/(V_L_CO2+Vg_CO2)</f>
        <v>4.143523699879e-05</v>
      </c>
      <c r="Q487" s="41">
        <f>(P487*N487+pool_b*M487)/(1-pool_ret*M487)</f>
        <v>23.162437983688</v>
      </c>
      <c r="R487" s="41">
        <f>MIN(C_sat_CO2,MAX(C_air_CO2,(pool_ret*Q487+pool_b)*N487+P487*O487))</f>
        <v>23.388094601807</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IF(C488&gt;x_series,(1-EXP(-C488))/C488,1-C488/2+C488^2/6-C488^3/24)</f>
        <v>0.997994558075</v>
      </c>
      <c r="F488" s="41">
        <f>IF(C488&gt;x_series,(C488-1+EXP(-C488))/C488^2,1/2-C488/6+C488^2/24-C488^3/120)</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0.021691631738</v>
      </c>
      <c r="M488" s="41">
        <f>EXP(-L488)</f>
        <v>0.978541939808</v>
      </c>
      <c r="N488" s="41">
        <f>IF(L488&gt;x_series,(1-EXP(-L488))/L488,1-L488/2+L488^2/6-L488^3/24)</f>
        <v>0.989232181847</v>
      </c>
      <c r="O488" s="41">
        <f>IF(L488&gt;x_series,(L488-1+EXP(-L488))/L488^2,1/2-L488/6+L488^2/24-L488^3/120)</f>
        <v>0.496404248583</v>
      </c>
      <c r="P488" s="41">
        <f>(C_air_CO2/C_sat_CO2*F_vent_ex-CO2_fix_l)*(B488/3600)/(V_L_CO2+Vg_CO2)</f>
        <v>4.642323804741e-05</v>
      </c>
      <c r="Q488" s="41">
        <f>(P488*N488+pool_b*M488)/(1-pool_ret*M488)</f>
        <v>22.681051725819</v>
      </c>
      <c r="R488" s="41">
        <f>MIN(C_sat_CO2,MAX(C_air_CO2,(pool_ret*Q488+pool_b)*N488+P488*O488))</f>
        <v>22.928811217877</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IF(C489&gt;x_series,(1-EXP(-C489))/C489,1-C489/2+C489^2/6-C489^3/24)</f>
        <v>0.997753571482</v>
      </c>
      <c r="F489" s="41">
        <f>IF(C489&gt;x_series,(C489-1+EXP(-C489))/C489^2,1/2-C489/6+C489^2/24-C489^3/120)</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0.024302147816</v>
      </c>
      <c r="M489" s="41">
        <f>EXP(-L489)</f>
        <v>0.975990771723</v>
      </c>
      <c r="N489" s="41">
        <f>IF(L489&gt;x_series,(1-EXP(-L489))/L489,1-L489/2+L489^2/6-L489^3/24)</f>
        <v>0.987946763355</v>
      </c>
      <c r="O489" s="41">
        <f>IF(L489&gt;x_series,(L489-1+EXP(-L489))/L489^2,1/2-L489/6+L489^2/24-L489^3/120)</f>
        <v>0.495974131007</v>
      </c>
      <c r="P489" s="41">
        <f>(C_air_CO2/C_sat_CO2*F_vent_ex-CO2_fix_l)*(B489/3600)/(V_L_CO2+Vg_CO2)</f>
        <v>5.201012108179e-05</v>
      </c>
      <c r="Q489" s="41">
        <f>(P489*N489+pool_b*M489)/(1-pool_ret*M489)</f>
        <v>22.163839661732</v>
      </c>
      <c r="R489" s="41">
        <f>MIN(C_sat_CO2,MAX(C_air_CO2,(pool_ret*Q489+pool_b)*N489+P489*O489))</f>
        <v>22.435322857749</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IF(C490&gt;x_series,(1-EXP(-C490))/C490,1-C490/2+C490^2/6-C490^3/24)</f>
        <v>0.997483743094</v>
      </c>
      <c r="F490" s="41">
        <f>IF(C490&gt;x_series,(C490-1+EXP(-C490))/C490^2,1/2-C490/6+C490^2/24-C490^3/120)</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0.027226094272</v>
      </c>
      <c r="M490" s="41">
        <f>EXP(-L490)</f>
        <v>0.973141194999</v>
      </c>
      <c r="N490" s="41">
        <f>IF(L490&gt;x_series,(1-EXP(-L490))/L490,1-L490/2+L490^2/6-L490^3/24)</f>
        <v>0.986509659889</v>
      </c>
      <c r="O490" s="41">
        <f>IF(L490&gt;x_series,(L490-1+EXP(-L490))/L490^2,1/2-L490/6+L490^2/24-L490^3/120)</f>
        <v>0.495493036043</v>
      </c>
      <c r="P490" s="41">
        <f>(C_air_CO2/C_sat_CO2*F_vent_ex-CO2_fix_l)*(B490/3600)/(V_L_CO2+Vg_CO2)</f>
        <v>5.826779058419e-05</v>
      </c>
      <c r="Q490" s="41">
        <f>(P490*N490+pool_b*M490)/(1-pool_ret*M490)</f>
        <v>21.610349276976</v>
      </c>
      <c r="R490" s="41">
        <f>MIN(C_sat_CO2,MAX(C_air_CO2,(pool_ret*Q490+pool_b)*N490+P490*O490))</f>
        <v>21.907190667109</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IF(C491&gt;x_series,(1-EXP(-C491))/C491,1-C491/2+C491^2/6-C491^3/24)</f>
        <v>0.997181633443</v>
      </c>
      <c r="F491" s="41">
        <f>IF(C491&gt;x_series,(C491-1+EXP(-C491))/C491^2,1/2-C491/6+C491^2/24-C491^3/120)</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0.030501102977</v>
      </c>
      <c r="M491" s="41">
        <f>EXP(-L491)</f>
        <v>0.969959362224</v>
      </c>
      <c r="N491" s="41">
        <f>IF(L491&gt;x_series,(1-EXP(-L491))/L491,1-L491/2+L491^2/6-L491^3/24)</f>
        <v>0.984903326247</v>
      </c>
      <c r="O491" s="41">
        <f>IF(L491&gt;x_series,(L491-1+EXP(-L491))/L491^2,1/2-L491/6+L491^2/24-L491^3/120)</f>
        <v>0.49495501079</v>
      </c>
      <c r="P491" s="41">
        <f>(C_air_CO2/C_sat_CO2*F_vent_ex-CO2_fix_l)*(B491/3600)/(V_L_CO2+Vg_CO2)</f>
        <v>6.527678421448e-05</v>
      </c>
      <c r="Q491" s="41">
        <f>(P491*N491+pool_b*M491)/(1-pool_ret*M491)</f>
        <v>21.020560821936</v>
      </c>
      <c r="R491" s="41">
        <f>MIN(C_sat_CO2,MAX(C_air_CO2,(pool_ret*Q491+pool_b)*N491+P491*O491))</f>
        <v>21.344387298227</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IF(C492&gt;x_series,(1-EXP(-C492))/C492,1-C492/2+C492^2/6-C492^3/24)</f>
        <v>0.996843396043</v>
      </c>
      <c r="F492" s="41">
        <f>IF(C492&gt;x_series,(C492-1+EXP(-C492))/C492^2,1/2-C492/6+C492^2/24-C492^3/120)</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0.034169324051</v>
      </c>
      <c r="M492" s="41">
        <f>EXP(-L492)</f>
        <v>0.96640785469</v>
      </c>
      <c r="N492" s="41">
        <f>IF(L492&gt;x_series,(1-EXP(-L492))/L492,1-L492/2+L492^2/6-L492^3/24)</f>
        <v>0.983108277465</v>
      </c>
      <c r="O492" s="41">
        <f>IF(L492&gt;x_series,(L492-1+EXP(-L492))/L492^2,1/2-L492/6+L492^2/24-L492^3/120)</f>
        <v>0.494353429704</v>
      </c>
      <c r="P492" s="41">
        <f>(C_air_CO2/C_sat_CO2*F_vent_ex-CO2_fix_l)*(B492/3600)/(V_L_CO2+Vg_CO2)</f>
        <v>7.31273093486e-05</v>
      </c>
      <c r="Q492" s="41">
        <f>(P492*N492+pool_b*M492)/(1-pool_ret*M492)</f>
        <v>20.394948454887</v>
      </c>
      <c r="R492" s="41">
        <f>MIN(C_sat_CO2,MAX(C_air_CO2,(pool_ret*Q492+pool_b)*N492+P492*O492))</f>
        <v>20.747355069429</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IF(C493&gt;x_series,(1-EXP(-C493))/C493,1-C493/2+C493^2/6-C493^3/24)</f>
        <v>0.996464730024</v>
      </c>
      <c r="F493" s="41">
        <f>IF(C493&gt;x_series,(C493-1+EXP(-C493))/C493^2,1/2-C493/6+C493^2/24-C493^3/120)</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0.038277968353</v>
      </c>
      <c r="M493" s="41">
        <f>EXP(-L493)</f>
        <v>0.96244537435</v>
      </c>
      <c r="N493" s="41">
        <f>IF(L493&gt;x_series,(1-EXP(-L493))/L493,1-L493/2+L493^2/6-L493^3/24)</f>
        <v>0.981102897202</v>
      </c>
      <c r="O493" s="41">
        <f>IF(L493&gt;x_series,(L493-1+EXP(-L493))/L493^2,1/2-L493/6+L493^2/24-L493^3/120)</f>
        <v>0.493680924318</v>
      </c>
      <c r="P493" s="41">
        <f>(C_air_CO2/C_sat_CO2*F_vent_ex-CO2_fix_l)*(B493/3600)/(V_L_CO2+Vg_CO2)</f>
        <v>8.192040406836e-05</v>
      </c>
      <c r="Q493" s="41">
        <f>(P493*N493+pool_b*M493)/(1-pool_ret*M493)</f>
        <v>19.734533587947</v>
      </c>
      <c r="R493" s="41">
        <f>MIN(C_sat_CO2,MAX(C_air_CO2,(pool_ret*Q493+pool_b)*N493+P493*O493))</f>
        <v>20.117056681115</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IF(C494&gt;x_series,(1-EXP(-C494))/C494,1-C494/2+C494^2/6-C494^3/24)</f>
        <v>0.996040827462</v>
      </c>
      <c r="F494" s="41">
        <f>IF(C494&gt;x_series,(C494-1+EXP(-C494))/C494^2,1/2-C494/6+C494^2/24-C494^3/120)</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0.04287991509</v>
      </c>
      <c r="M494" s="41">
        <f>EXP(-L494)</f>
        <v>0.958026427677</v>
      </c>
      <c r="N494" s="41">
        <f>IF(L494&gt;x_series,(1-EXP(-L494))/L494,1-L494/2+L494^2/6-L494^3/24)</f>
        <v>0.978863233167</v>
      </c>
      <c r="O494" s="41">
        <f>IF(L494&gt;x_series,(L494-1+EXP(-L494))/L494^2,1/2-L494/6+L494^2/24-L494^3/120)</f>
        <v>0.492929307092</v>
      </c>
      <c r="P494" s="41">
        <f>(C_air_CO2/C_sat_CO2*F_vent_ex-CO2_fix_l)*(B494/3600)/(V_L_CO2+Vg_CO2)</f>
        <v>9.176923754507e-05</v>
      </c>
      <c r="Q494" s="41">
        <f>(P494*N494+pool_b*M494)/(1-pool_ret*M494)</f>
        <v>19.040926278224</v>
      </c>
      <c r="R494" s="41">
        <f>MIN(C_sat_CO2,MAX(C_air_CO2,(pool_ret*Q494+pool_b)*N494+P494*O494))</f>
        <v>19.455014524589</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IF(C495&gt;x_series,(1-EXP(-C495))/C495,1-C495/2+C495^2/6-C495^3/24)</f>
        <v>0.995566314856</v>
      </c>
      <c r="F495" s="41">
        <f>IF(C495&gt;x_series,(C495-1+EXP(-C495))/C495^2,1/2-C495/6+C495^2/24-C495^3/120)</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0.048034392383</v>
      </c>
      <c r="M495" s="41">
        <f>EXP(-L495)</f>
        <v>0.953101007099</v>
      </c>
      <c r="N495" s="41">
        <f>IF(L495&gt;x_series,(1-EXP(-L495))/L495,1-L495/2+L495^2/6-L495^3/24)</f>
        <v>0.976362780382</v>
      </c>
      <c r="O495" s="41">
        <f>IF(L495&gt;x_series,(L495-1+EXP(-L495))/L495^2,1/2-L495/6+L495^2/24-L495^3/120)</f>
        <v>0.492089489316</v>
      </c>
      <c r="P495" s="41">
        <f>(C_air_CO2/C_sat_CO2*F_vent_ex-CO2_fix_l)*(B495/3600)/(V_L_CO2+Vg_CO2)</f>
        <v>0.0001028005665531</v>
      </c>
      <c r="Q495" s="41">
        <f>(P495*N495+pool_b*M495)/(1-pool_ret*M495)</f>
        <v>18.316350495978</v>
      </c>
      <c r="R495" s="41">
        <f>MIN(C_sat_CO2,MAX(C_air_CO2,(pool_ret*Q495+pool_b)*N495+P495*O495))</f>
        <v>18.763334609817</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IF(C496&gt;x_series,(1-EXP(-C496))/C496,1-C496/2+C496^2/6-C496^3/24)</f>
        <v>0.995035188183</v>
      </c>
      <c r="F496" s="41">
        <f>IF(C496&gt;x_series,(C496-1+EXP(-C496))/C496^2,1/2-C496/6+C496^2/24-C496^3/120)</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0.053807739554</v>
      </c>
      <c r="M496" s="41">
        <f>EXP(-L496)</f>
        <v>0.947614277732</v>
      </c>
      <c r="N496" s="41">
        <f>IF(L496&gt;x_series,(1-EXP(-L496))/L496,1-L496/2+L496^2/6-L496^3/24)</f>
        <v>0.973572253759</v>
      </c>
      <c r="O496" s="41">
        <f>IF(L496&gt;x_series,(L496-1+EXP(-L496))/L496^2,1/2-L496/6+L496^2/24-L496^3/120)</f>
        <v>0.491151393095</v>
      </c>
      <c r="P496" s="41">
        <f>(C_air_CO2/C_sat_CO2*F_vent_ex-CO2_fix_l)*(B496/3600)/(V_L_CO2+Vg_CO2)</f>
        <v>0.0001151563668588</v>
      </c>
      <c r="Q496" s="41">
        <f>(P496*N496+pool_b*M496)/(1-pool_ret*M496)</f>
        <v>17.563649466671</v>
      </c>
      <c r="R496" s="41">
        <f>MIN(C_sat_CO2,MAX(C_air_CO2,(pool_ret*Q496+pool_b)*N496+P496*O496))</f>
        <v>18.044711485962</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IF(C497&gt;x_series,(1-EXP(-C497))/C497,1-C497/2+C497^2/6-C497^3/24)</f>
        <v>0.994440740881</v>
      </c>
      <c r="F497" s="41">
        <f>IF(C497&gt;x_series,(C497-1+EXP(-C497))/C497^2,1/2-C497/6+C497^2/24-C497^3/120)</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0.060274260922</v>
      </c>
      <c r="M497" s="41">
        <f>EXP(-L497)</f>
        <v>0.941506279791</v>
      </c>
      <c r="N497" s="41">
        <f>IF(L497&gt;x_series,(1-EXP(-L497))/L497,1-L497/2+L497^2/6-L497^3/24)</f>
        <v>0.970459352204</v>
      </c>
      <c r="O497" s="41">
        <f>IF(L497&gt;x_series,(L497-1+EXP(-L497))/L497^2,1/2-L497/6+L497^2/24-L497^3/120)</f>
        <v>0.490103857663</v>
      </c>
      <c r="P497" s="41">
        <f>(C_air_CO2/C_sat_CO2*F_vent_ex-CO2_fix_l)*(B497/3600)/(V_L_CO2+Vg_CO2)</f>
        <v>0.0001289956604819</v>
      </c>
      <c r="Q497" s="41">
        <f>(P497*N497+pool_b*M497)/(1-pool_ret*M497)</f>
        <v>16.786268070515</v>
      </c>
      <c r="R497" s="41">
        <f>MIN(C_sat_CO2,MAX(C_air_CO2,(pool_ret*Q497+pool_b)*N497+P497*O497))</f>
        <v>17.302411278107</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IF(C498&gt;x_series,(1-EXP(-C498))/C498,1-C498/2+C498^2/6-C498^3/24)</f>
        <v>0.993775484134</v>
      </c>
      <c r="F498" s="41">
        <f>IF(C498&gt;x_series,(C498-1+EXP(-C498))/C498^2,1/2-C498/6+C498^2/24-C498^3/120)</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0.067517182118</v>
      </c>
      <c r="M498" s="41">
        <f>EXP(-L498)</f>
        <v>0.934711660152</v>
      </c>
      <c r="N498" s="41">
        <f>IF(L498&gt;x_series,(1-EXP(-L498))/L498,1-L498/2+L498^2/6-L498^3/24)</f>
        <v>0.966988517588</v>
      </c>
      <c r="O498" s="41">
        <f>IF(L498&gt;x_series,(L498-1+EXP(-L498))/L498^2,1/2-L498/6+L498^2/24-L498^3/120)</f>
        <v>0.488934540463</v>
      </c>
      <c r="P498" s="41">
        <f>(C_air_CO2/C_sat_CO2*F_vent_ex-CO2_fix_l)*(B498/3600)/(V_L_CO2+Vg_CO2)</f>
        <v>0.0001444965623456</v>
      </c>
      <c r="Q498" s="41">
        <f>(P498*N498+pool_b*M498)/(1-pool_ret*M498)</f>
        <v>15.988210489308</v>
      </c>
      <c r="R498" s="41">
        <f>MIN(C_sat_CO2,MAX(C_air_CO2,(pool_ret*Q498+pool_b)*N498+P498*O498))</f>
        <v>16.540231112838</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IF(C499&gt;x_series,(1-EXP(-C499))/C499,1-C499/2+C499^2/6-C499^3/24)</f>
        <v>0.993031058731</v>
      </c>
      <c r="F499" s="41">
        <f>IF(C499&gt;x_series,(C499-1+EXP(-C499))/C499^2,1/2-C499/6+C499^2/24-C499^3/120)</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0.07562972122</v>
      </c>
      <c r="M499" s="41">
        <f>EXP(-L499)</f>
        <v>0.927159450478</v>
      </c>
      <c r="N499" s="41">
        <f>IF(L499&gt;x_series,(1-EXP(-L499))/L499,1-L499/2+L499^2/6-L499^3/24)</f>
        <v>0.963120693126</v>
      </c>
      <c r="O499" s="41">
        <f>IF(L499&gt;x_series,(L499-1+EXP(-L499))/L499^2,1/2-L499/6+L499^2/24-L499^3/120)</f>
        <v>0.487629813772</v>
      </c>
      <c r="P499" s="41">
        <f>(C_air_CO2/C_sat_CO2*F_vent_ex-CO2_fix_l)*(B499/3600)/(V_L_CO2+Vg_CO2)</f>
        <v>0.0001618585726571</v>
      </c>
      <c r="Q499" s="41">
        <f>(P499*N499+pool_b*M499)/(1-pool_ret*M499)</f>
        <v>15.173972853626</v>
      </c>
      <c r="R499" s="41">
        <f>MIN(C_sat_CO2,MAX(C_air_CO2,(pool_ret*Q499+pool_b)*N499+P499*O499))</f>
        <v>15.762434694971</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IF(C500&gt;x_series,(1-EXP(-C500))/C500,1-C500/2+C500^2/6-C500^3/24)</f>
        <v>0.992198137799</v>
      </c>
      <c r="F500" s="41">
        <f>IF(C500&gt;x_series,(C500-1+EXP(-C500))/C500^2,1/2-C500/6+C500^2/24-C500^3/120)</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0.08471628849</v>
      </c>
      <c r="M500" s="41">
        <f>EXP(-L500)</f>
        <v>0.918772913878</v>
      </c>
      <c r="N500" s="41">
        <f>IF(L500&gt;x_series,(1-EXP(-L500))/L500,1-L500/2+L500^2/6-L500^3/24)</f>
        <v>0.958813087414</v>
      </c>
      <c r="O500" s="41">
        <f>IF(L500&gt;x_series,(L500-1+EXP(-L500))/L500^2,1/2-L500/6+L500^2/24-L500^3/120)</f>
        <v>0.48617465803</v>
      </c>
      <c r="P500" s="41">
        <f>(C_air_CO2/C_sat_CO2*F_vent_ex-CO2_fix_l)*(B500/3600)/(V_L_CO2+Vg_CO2)</f>
        <v>0.0001813051445215</v>
      </c>
      <c r="Q500" s="41">
        <f>(P500*N500+pool_b*M500)/(1-pool_ret*M500)</f>
        <v>14.348452438396</v>
      </c>
      <c r="R500" s="41">
        <f>MIN(C_sat_CO2,MAX(C_air_CO2,(pool_ret*Q500+pool_b)*N500+P500*O500))</f>
        <v>14.973665508069</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IF(C501&gt;x_series,(1-EXP(-C501))/C501,1-C501/2+C501^2/6-C501^3/24)</f>
        <v>0.991266319666</v>
      </c>
      <c r="F501" s="41">
        <f>IF(C501&gt;x_series,(C501-1+EXP(-C501))/C501^2,1/2-C501/6+C501^2/24-C501^3/120)</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0.094893830161</v>
      </c>
      <c r="M501" s="41">
        <f>EXP(-L501)</f>
        <v>0.909469487572</v>
      </c>
      <c r="N501" s="41">
        <f>IF(L501&gt;x_series,(1-EXP(-L501))/L501,1-L501/2+L501^2/6-L501^3/24)</f>
        <v>0.954018952283</v>
      </c>
      <c r="O501" s="41">
        <f>IF(L501&gt;x_series,(L501-1+EXP(-L501))/L501^2,1/2-L501/6+L501^2/24-L501^3/120)</f>
        <v>0.484552553513</v>
      </c>
      <c r="P501" s="41">
        <f>(C_air_CO2/C_sat_CO2*F_vent_ex-CO2_fix_l)*(B501/3600)/(V_L_CO2+Vg_CO2)</f>
        <v>0.0002030865598355</v>
      </c>
      <c r="Q501" s="41">
        <f>(P501*N501+pool_b*M501)/(1-pool_ret*M501)</f>
        <v>13.516836802482</v>
      </c>
      <c r="R501" s="41">
        <f>MIN(C_sat_CO2,MAX(C_air_CO2,(pool_ret*Q501+pool_b)*N501+P501*O501))</f>
        <v>14.178840871942</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IF(C502&gt;x_series,(1-EXP(-C502))/C502,1-C502/2+C502^2/6-C502^3/24)</f>
        <v>0.990224010114</v>
      </c>
      <c r="F502" s="41">
        <f>IF(C502&gt;x_series,(C502-1+EXP(-C502))/C502^2,1/2-C502/6+C502^2/24-C502^3/120)</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0.106293333557</v>
      </c>
      <c r="M502" s="41">
        <f>EXP(-L502)</f>
        <v>0.899160855337</v>
      </c>
      <c r="N502" s="41">
        <f>IF(L502&gt;x_series,(1-EXP(-L502))/L502,1-L502/2+L502^2/6-L502^3/24)</f>
        <v>0.948687385082</v>
      </c>
      <c r="O502" s="41">
        <f>IF(L502&gt;x_series,(L502-1+EXP(-L502))/L502^2,1/2-L502/6+L502^2/24-L502^3/120)</f>
        <v>0.482745372649</v>
      </c>
      <c r="P502" s="41">
        <f>(C_air_CO2/C_sat_CO2*F_vent_ex-CO2_fix_l)*(B502/3600)/(V_L_CO2+Vg_CO2)</f>
        <v>0.000227483150473</v>
      </c>
      <c r="Q502" s="41">
        <f>(P502*N502+pool_b*M502)/(1-pool_ret*M502)</f>
        <v>12.68447795744</v>
      </c>
      <c r="R502" s="41">
        <f>MIN(C_sat_CO2,MAX(C_air_CO2,(pool_ret*Q502+pool_b)*N502+P502*O502))</f>
        <v>13.383031700278</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IF(C503&gt;x_series,(1-EXP(-C503))/C503,1-C503/2+C503^2/6-C503^3/24)</f>
        <v>0.989058293304</v>
      </c>
      <c r="F503" s="41">
        <f>IF(C503&gt;x_series,(C503-1+EXP(-C503))/C503^2,1/2-C503/6+C503^2/24-C503^3/120)</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0.119061512934</v>
      </c>
      <c r="M503" s="41">
        <f>EXP(-L503)</f>
        <v>0.887753190779</v>
      </c>
      <c r="N503" s="41">
        <f>IF(L503&gt;x_series,(1-EXP(-L503))/L503,1-L503/2+L503^2/6-L503^3/24)</f>
        <v>0.942763168845</v>
      </c>
      <c r="O503" s="41">
        <f>IF(L503&gt;x_series,(L503-1+EXP(-L503))/L503^2,1/2-L503/6+L503^2/24-L503^3/120)</f>
        <v>0.480733275977</v>
      </c>
      <c r="P503" s="41">
        <f>(C_air_CO2/C_sat_CO2*F_vent_ex-CO2_fix_l)*(B503/3600)/(V_L_CO2+Vg_CO2)</f>
        <v>0.0002548089062218</v>
      </c>
      <c r="Q503" s="41">
        <f>(P503*N503+pool_b*M503)/(1-pool_ret*M503)</f>
        <v>11.856757971806</v>
      </c>
      <c r="R503" s="41">
        <f>MIN(C_sat_CO2,MAX(C_air_CO2,(pool_ret*Q503+pool_b)*N503+P503*O503))</f>
        <v>12.591334060517</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IF(C504&gt;x_series,(1-EXP(-C504))/C504,1-C504/2+C504^2/6-C504^3/24)</f>
        <v>0.987754790712</v>
      </c>
      <c r="F504" s="41">
        <f>IF(C504&gt;x_series,(C504-1+EXP(-C504))/C504^2,1/2-C504/6+C504^2/24-C504^3/120)</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0.133362697726</v>
      </c>
      <c r="M504" s="41">
        <f>EXP(-L504)</f>
        <v>0.875147620487</v>
      </c>
      <c r="N504" s="41">
        <f>IF(L504&gt;x_series,(1-EXP(-L504))/L504,1-L504/2+L504^2/6-L504^3/24)</f>
        <v>0.936186667199</v>
      </c>
      <c r="O504" s="41">
        <f>IF(L504&gt;x_series,(L504-1+EXP(-L504))/L504^2,1/2-L504/6+L504^2/24-L504^3/120)</f>
        <v>0.478494615731</v>
      </c>
      <c r="P504" s="41">
        <f>(C_air_CO2/C_sat_CO2*F_vent_ex-CO2_fix_l)*(B504/3600)/(V_L_CO2+Vg_CO2)</f>
        <v>0.000285415515905</v>
      </c>
      <c r="Q504" s="41">
        <f>(P504*N504+pool_b*M504)/(1-pool_ret*M504)</f>
        <v>11.03895319595</v>
      </c>
      <c r="R504" s="41">
        <f>MIN(C_sat_CO2,MAX(C_air_CO2,(pool_ret*Q504+pool_b)*N504+P504*O504))</f>
        <v>11.80873938012</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IF(C505&gt;x_series,(1-EXP(-C505))/C505,1-C505/2+C505^2/6-C505^3/24)</f>
        <v>0.98629750747</v>
      </c>
      <c r="F505" s="41">
        <f>IF(C505&gt;x_series,(C505-1+EXP(-C505))/C505^2,1/2-C505/6+C505^2/24-C505^3/120)</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0.149380947504</v>
      </c>
      <c r="M505" s="41">
        <f>EXP(-L505)</f>
        <v>0.861240964803</v>
      </c>
      <c r="N505" s="41">
        <f>IF(L505&gt;x_series,(1-EXP(-L505))/L505,1-L505/2+L505^2/6-L505^3/24)</f>
        <v>0.928893794794</v>
      </c>
      <c r="O505" s="41">
        <f>IF(L505&gt;x_series,(L505-1+EXP(-L505))/L505^2,1/2-L505/6+L505^2/24-L505^3/120)</f>
        <v>0.476005852111</v>
      </c>
      <c r="P505" s="41">
        <f>(C_air_CO2/C_sat_CO2*F_vent_ex-CO2_fix_l)*(B505/3600)/(V_L_CO2+Vg_CO2)</f>
        <v>0.0003196968936979</v>
      </c>
      <c r="Q505" s="41">
        <f>(P505*N505+pool_b*M505)/(1-pool_ret*M505)</f>
        <v>10.236104422493</v>
      </c>
      <c r="R505" s="41">
        <f>MIN(C_sat_CO2,MAX(C_air_CO2,(pool_ret*Q505+pool_b)*N505+P505*O505))</f>
        <v>11.040010267306</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IF(C506&gt;x_series,(1-EXP(-C506))/C506,1-C506/2+C506^2/6-C506^3/24)</f>
        <v>0.984668665686</v>
      </c>
      <c r="F506" s="41">
        <f>IF(C506&gt;x_series,(C506-1+EXP(-C506))/C506^2,1/2-C506/6+C506^2/24-C506^3/120)</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0.167322420862</v>
      </c>
      <c r="M506" s="41">
        <f>EXP(-L506)</f>
        <v>0.845926822908</v>
      </c>
      <c r="N506" s="41">
        <f>IF(L506&gt;x_series,(1-EXP(-L506))/L506,1-L506/2+L506^2/6-L506^3/24)</f>
        <v>0.920816088474</v>
      </c>
      <c r="O506" s="41">
        <f>IF(L506&gt;x_series,(L506-1+EXP(-L506))/L506^2,1/2-L506/6+L506^2/24-L506^3/120)</f>
        <v>0.473241488604</v>
      </c>
      <c r="P506" s="41">
        <f>(C_air_CO2/C_sat_CO2*F_vent_ex-CO2_fix_l)*(B506/3600)/(V_L_CO2+Vg_CO2)</f>
        <v>0.0003580942488947</v>
      </c>
      <c r="Q506" s="41">
        <f>(P506*N506+pool_b*M506)/(1-pool_ret*M506)</f>
        <v>9.452899760523</v>
      </c>
      <c r="R506" s="41">
        <f>MIN(C_sat_CO2,MAX(C_air_CO2,(pool_ret*Q506+pool_b)*N506+P506*O506))</f>
        <v>10.289568403111</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IF(C507&gt;x_series,(1-EXP(-C507))/C507,1-C507/2+C507^2/6-C507^3/24)</f>
        <v>0.982848524455</v>
      </c>
      <c r="F507" s="41">
        <f>IF(C507&gt;x_series,(C507-1+EXP(-C507))/C507^2,1/2-C507/6+C507^2/24-C507^3/120)</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0.18741802873</v>
      </c>
      <c r="M507" s="41">
        <f>EXP(-L507)</f>
        <v>0.829097077536</v>
      </c>
      <c r="N507" s="41">
        <f>IF(L507&gt;x_series,(1-EXP(-L507))/L507,1-L507/2+L507^2/6-L507^3/24)</f>
        <v>0.911880909338</v>
      </c>
      <c r="O507" s="41">
        <f>IF(L507&gt;x_series,(L507-1+EXP(-L507))/L507^2,1/2-L507/6+L507^2/24-L507^3/120)</f>
        <v>0.470174034267</v>
      </c>
      <c r="P507" s="41">
        <f>(C_air_CO2/C_sat_CO2*F_vent_ex-CO2_fix_l)*(B507/3600)/(V_L_CO2+Vg_CO2)</f>
        <v>0.0004011017643751</v>
      </c>
      <c r="Q507" s="41">
        <f>(P507*N507+pool_b*M507)/(1-pool_ret*M507)</f>
        <v>8.693575871972</v>
      </c>
      <c r="R507" s="41">
        <f>MIN(C_sat_CO2,MAX(C_air_CO2,(pool_ret*Q507+pool_b)*N507+P507*O507))</f>
        <v>9.561399885387</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IF(C508&gt;x_series,(1-EXP(-C508))/C508,1-C508/2+C508^2/6-C508^3/24)</f>
        <v>0.980815186604</v>
      </c>
      <c r="F508" s="41">
        <f>IF(C508&gt;x_series,(C508-1+EXP(-C508))/C508^2,1/2-C508/6+C508^2/24-C508^3/120)</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0.209926406247</v>
      </c>
      <c r="M508" s="41">
        <f>EXP(-L508)</f>
        <v>0.810643902102</v>
      </c>
      <c r="N508" s="41">
        <f>IF(L508&gt;x_series,(1-EXP(-L508))/L508,1-L508/2+L508^2/6-L508^3/24)</f>
        <v>0.902011811106</v>
      </c>
      <c r="O508" s="41">
        <f>IF(L508&gt;x_series,(L508-1+EXP(-L508))/L508^2,1/2-L508/6+L508^2/24-L508^3/120)</f>
        <v>0.466774002592</v>
      </c>
      <c r="P508" s="41">
        <f>(C_air_CO2/C_sat_CO2*F_vent_ex-CO2_fix_l)*(B508/3600)/(V_L_CO2+Vg_CO2)</f>
        <v>0.000449272956852</v>
      </c>
      <c r="Q508" s="41">
        <f>(P508*N508+pool_b*M508)/(1-pool_ret*M508)</f>
        <v>7.961841646484</v>
      </c>
      <c r="R508" s="41">
        <f>MIN(C_sat_CO2,MAX(C_air_CO2,(pool_ret*Q508+pool_b)*N508+P508*O508))</f>
        <v>8.858981908195</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IF(C509&gt;x_series,(1-EXP(-C509))/C509,1-C509/2+C509^2/6-C509^3/24)</f>
        <v>0.978544392535</v>
      </c>
      <c r="F509" s="41">
        <f>IF(C509&gt;x_series,(C509-1+EXP(-C509))/C509^2,1/2-C509/6+C509^2/24-C509^3/120)</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0.235137241462</v>
      </c>
      <c r="M509" s="41">
        <f>EXP(-L509)</f>
        <v>0.790462357975</v>
      </c>
      <c r="N509" s="41">
        <f>IF(L509&gt;x_series,(1-EXP(-L509))/L509,1-L509/2+L509^2/6-L509^3/24)</f>
        <v>0.891129115587</v>
      </c>
      <c r="O509" s="41">
        <f>IF(L509&gt;x_series,(L509-1+EXP(-L509))/L509^2,1/2-L509/6+L509^2/24-L509^3/120)</f>
        <v>0.463009958509</v>
      </c>
      <c r="P509" s="41">
        <f>(C_air_CO2/C_sat_CO2*F_vent_ex-CO2_fix_l)*(B509/3600)/(V_L_CO2+Vg_CO2)</f>
        <v>0.0005032278007608</v>
      </c>
      <c r="Q509" s="41">
        <f>(P509*N509+pool_b*M509)/(1-pool_ret*M509)</f>
        <v>7.260826577456</v>
      </c>
      <c r="R509" s="41">
        <f>MIN(C_sat_CO2,MAX(C_air_CO2,(pool_ret*Q509+pool_b)*N509+P509*O509))</f>
        <v>8.185232933183</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IF(C510&gt;x_series,(1-EXP(-C510))/C510,1-C510/2+C510^2/6-C510^3/24)</f>
        <v>0.976009302069</v>
      </c>
      <c r="F510" s="41">
        <f>IF(C510&gt;x_series,(C510-1+EXP(-C510))/C510^2,1/2-C510/6+C510^2/24-C510^3/120)</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0.263375003677</v>
      </c>
      <c r="M510" s="41">
        <f>EXP(-L510)</f>
        <v>0.768453670319</v>
      </c>
      <c r="N510" s="41">
        <f>IF(L510&gt;x_series,(1-EXP(-L510))/L510,1-L510/2+L510^2/6-L510^3/24)</f>
        <v>0.879150741141</v>
      </c>
      <c r="O510" s="41">
        <f>IF(L510&gt;x_series,(L510-1+EXP(-L510))/L510^2,1/2-L510/6+L510^2/24-L510^3/120)</f>
        <v>0.458848627137</v>
      </c>
      <c r="P510" s="41">
        <f>(C_air_CO2/C_sat_CO2*F_vent_ex-CO2_fix_l)*(B510/3600)/(V_L_CO2+Vg_CO2)</f>
        <v>0.000563660707474</v>
      </c>
      <c r="Q510" s="41">
        <f>(P510*N510+pool_b*M510)/(1-pool_ret*M510)</f>
        <v>6.593054260885</v>
      </c>
      <c r="R510" s="41">
        <f>MIN(C_sat_CO2,MAX(C_air_CO2,(pool_ret*Q510+pool_b)*N510+P510*O510))</f>
        <v>7.542486757387</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IF(C511&gt;x_series,(1-EXP(-C511))/C511,1-C511/2+C511^2/6-C511^3/24)</f>
        <v>0.973180265816</v>
      </c>
      <c r="F511" s="41">
        <f>IF(C511&gt;x_series,(C511-1+EXP(-C511))/C511^2,1/2-C511/6+C511^2/24-C511^3/120)</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0.295003119452</v>
      </c>
      <c r="M511" s="41">
        <f>EXP(-L511)</f>
        <v>0.744529264939</v>
      </c>
      <c r="N511" s="41">
        <f>IF(L511&gt;x_series,(1-EXP(-L511))/L511,1-L511/2+L511^2/6-L511^3/24)</f>
        <v>0.865993334361</v>
      </c>
      <c r="O511" s="41">
        <f>IF(L511&gt;x_series,(L511-1+EXP(-L511))/L511^2,1/2-L511/6+L511^2/24-L511^3/120)</f>
        <v>0.454255080042</v>
      </c>
      <c r="P511" s="41">
        <f>(C_air_CO2/C_sat_CO2*F_vent_ex-CO2_fix_l)*(B511/3600)/(V_L_CO2+Vg_CO2)</f>
        <v>0.0006313494625371</v>
      </c>
      <c r="Q511" s="41">
        <f>(P511*N511+pool_b*M511)/(1-pool_ret*M511)</f>
        <v>5.960439764593</v>
      </c>
      <c r="R511" s="41">
        <f>MIN(C_sat_CO2,MAX(C_air_CO2,(pool_ret*Q511+pool_b)*N511+P511*O511))</f>
        <v>6.932489289983</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IF(C512&gt;x_series,(1-EXP(-C512))/C512,1-C512/2+C512^2/6-C512^3/24)</f>
        <v>0.970024588442</v>
      </c>
      <c r="F512" s="41">
        <f>IF(C512&gt;x_series,(C512-1+EXP(-C512))/C512^2,1/2-C512/6+C512^2/24-C512^3/120)</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0.330428649982</v>
      </c>
      <c r="M512" s="41">
        <f>EXP(-L512)</f>
        <v>0.718615632825</v>
      </c>
      <c r="N512" s="41">
        <f>IF(L512&gt;x_series,(1-EXP(-L512))/L512,1-L512/2+L512^2/6-L512^3/24)</f>
        <v>0.851573757876</v>
      </c>
      <c r="O512" s="41">
        <f>IF(L512&gt;x_series,(L512-1+EXP(-L512))/L512^2,1/2-L512/6+L512^2/24-L512^3/120)</f>
        <v>0.449193016804</v>
      </c>
      <c r="P512" s="41">
        <f>(C_air_CO2/C_sat_CO2*F_vent_ex-CO2_fix_l)*(B512/3600)/(V_L_CO2+Vg_CO2)</f>
        <v>0.000707165235949</v>
      </c>
      <c r="Q512" s="41">
        <f>(P512*N512+pool_b*M512)/(1-pool_ret*M512)</f>
        <v>5.364308255521</v>
      </c>
      <c r="R512" s="41">
        <f>MIN(C_sat_CO2,MAX(C_air_CO2,(pool_ret*Q512+pool_b)*N512+P512*O512))</f>
        <v>6.356415559637</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IF(C513&gt;x_series,(1-EXP(-C513))/C513,1-C513/2+C513^2/6-C513^3/24)</f>
        <v>0.966506287286</v>
      </c>
      <c r="F513" s="41">
        <f>IF(C513&gt;x_series,(C513-1+EXP(-C513))/C513^2,1/2-C513/6+C513^2/24-C513^3/120)</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0.370107530072</v>
      </c>
      <c r="M513" s="41">
        <f>EXP(-L513)</f>
        <v>0.690660059918</v>
      </c>
      <c r="N513" s="41">
        <f>IF(L513&gt;x_series,(1-EXP(-L513))/L513,1-L513/2+L513^2/6-L513^3/24)</f>
        <v>0.835810987205</v>
      </c>
      <c r="O513" s="41">
        <f>IF(L513&gt;x_series,(L513-1+EXP(-L513))/L513^2,1/2-L513/6+L513^2/24-L513^3/120)</f>
        <v>0.443625161483</v>
      </c>
      <c r="P513" s="41">
        <f>(C_air_CO2/C_sat_CO2*F_vent_ex-CO2_fix_l)*(B513/3600)/(V_L_CO2+Vg_CO2)</f>
        <v>0.0007920837943223</v>
      </c>
      <c r="Q513" s="41">
        <f>(P513*N513+pool_b*M513)/(1-pool_ret*M513)</f>
        <v>4.805431313684</v>
      </c>
      <c r="R513" s="41">
        <f>MIN(C_sat_CO2,MAX(C_air_CO2,(pool_ret*Q513+pool_b)*N513+P513*O513))</f>
        <v>5.814903567289</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IF(C514&gt;x_series,(1-EXP(-C514))/C514,1-C514/2+C514^2/6-C514^3/24)</f>
        <v>0.96258585108</v>
      </c>
      <c r="F514" s="41">
        <f>IF(C514&gt;x_series,(C514-1+EXP(-C514))/C514^2,1/2-C514/6+C514^2/24-C514^3/120)</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0.414550436127</v>
      </c>
      <c r="M514" s="41">
        <f>EXP(-L514)</f>
        <v>0.660637212579</v>
      </c>
      <c r="N514" s="41">
        <f>IF(L514&gt;x_series,(1-EXP(-L514))/L514,1-L514/2+L514^2/6-L514^3/24)</f>
        <v>0.818628465553</v>
      </c>
      <c r="O514" s="41">
        <f>IF(L514&gt;x_series,(L514-1+EXP(-L514))/L514^2,1/2-L514/6+L514^2/24-L514^3/120)</f>
        <v>0.437513794802</v>
      </c>
      <c r="P514" s="41">
        <f>(C_air_CO2/C_sat_CO2*F_vent_ex-CO2_fix_l)*(B514/3600)/(V_L_CO2+Vg_CO2)</f>
        <v>0.0008871980592264</v>
      </c>
      <c r="Q514" s="41">
        <f>(P514*N514+pool_b*M514)/(1-pool_ret*M514)</f>
        <v>4.284076826418</v>
      </c>
      <c r="R514" s="41">
        <f>MIN(C_sat_CO2,MAX(C_air_CO2,(pool_ret*Q514+pool_b)*N514+P514*O514))</f>
        <v>5.308101099597</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IF(C515&gt;x_series,(1-EXP(-C515))/C515,1-C515/2+C515^2/6-C515^3/24)</f>
        <v>0.958220005227</v>
      </c>
      <c r="F515" s="41">
        <f>IF(C515&gt;x_series,(C515-1+EXP(-C515))/C515^2,1/2-C515/6+C515^2/24-C515^3/120)</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0.464329358668</v>
      </c>
      <c r="M515" s="41">
        <f>EXP(-L515)</f>
        <v>0.62855649984</v>
      </c>
      <c r="N515" s="41">
        <f>IF(L515&gt;x_series,(1-EXP(-L515))/L515,1-L515/2+L515^2/6-L515^3/24)</f>
        <v>0.79995695561</v>
      </c>
      <c r="O515" s="41">
        <f>IF(L515&gt;x_series,(L515-1+EXP(-L515))/L515^2,1/2-L515/6+L515^2/24-L515^3/120)</f>
        <v>0.430821443133</v>
      </c>
      <c r="P515" s="41">
        <f>(C_air_CO2/C_sat_CO2*F_vent_ex-CO2_fix_l)*(B515/3600)/(V_L_CO2+Vg_CO2)</f>
        <v>0.0009937321733415</v>
      </c>
      <c r="Q515" s="41">
        <f>(P515*N515+pool_b*M515)/(1-pool_ret*M515)</f>
        <v>3.800068215518</v>
      </c>
      <c r="R515" s="41">
        <f>MIN(C_sat_CO2,MAX(C_air_CO2,(pool_ret*Q515+pool_b)*N515+P515*O515))</f>
        <v>4.835721497962</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IF(C516&gt;x_series,(1-EXP(-C516))/C516,1-C516/2+C516^2/6-C516^3/24)</f>
        <v>0.953361492091</v>
      </c>
      <c r="F516" s="41">
        <f>IF(C516&gt;x_series,(C516-1+EXP(-C516))/C516^2,1/2-C516/6+C516^2/24-C516^3/120)</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0.52008496399</v>
      </c>
      <c r="M516" s="41">
        <f>EXP(-L516)</f>
        <v>0.594470037278</v>
      </c>
      <c r="N516" s="41">
        <f>IF(L516&gt;x_series,(1-EXP(-L516))/L516,1-L516/2+L516^2/6-L516^3/24)</f>
        <v>0.779737909765</v>
      </c>
      <c r="O516" s="41">
        <f>IF(L516&gt;x_series,(L516-1+EXP(-L516))/L516^2,1/2-L516/6+L516^2/24-L516^3/120)</f>
        <v>0.423511744206</v>
      </c>
      <c r="P516" s="41">
        <f>(C_air_CO2/C_sat_CO2*F_vent_ex-CO2_fix_l)*(B516/3600)/(V_L_CO2+Vg_CO2)</f>
        <v>0.001113057255</v>
      </c>
      <c r="Q516" s="41">
        <f>(P516*N516+pool_b*M516)/(1-pool_ret*M516)</f>
        <v>3.352848933715</v>
      </c>
      <c r="R516" s="41">
        <f>MIN(C_sat_CO2,MAX(C_air_CO2,(pool_ret*Q516+pool_b)*N516+P516*O516))</f>
        <v>4.397104572644</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IF(C517&gt;x_series,(1-EXP(-C517))/C517,1-C517/2+C517^2/6-C517^3/24)</f>
        <v>0.947958877225</v>
      </c>
      <c r="F517" s="41">
        <f>IF(C517&gt;x_series,(C517-1+EXP(-C517))/C517^2,1/2-C517/6+C517^2/24-C517^3/120)</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0.582534839684</v>
      </c>
      <c r="M517" s="41">
        <f>EXP(-L517)</f>
        <v>0.558480911237</v>
      </c>
      <c r="N517" s="41">
        <f>IF(L517&gt;x_series,(1-EXP(-L517))/L517,1-L517/2+L517^2/6-L517^3/24)</f>
        <v>0.75792735247</v>
      </c>
      <c r="O517" s="41">
        <f>IF(L517&gt;x_series,(L517-1+EXP(-L517))/L517^2,1/2-L517/6+L517^2/24-L517^3/120)</f>
        <v>0.415550506235</v>
      </c>
      <c r="P517" s="41">
        <f>(C_air_CO2/C_sat_CO2*F_vent_ex-CO2_fix_l)*(B517/3600)/(V_L_CO2+Vg_CO2)</f>
        <v>0.001246709047</v>
      </c>
      <c r="Q517" s="41">
        <f>(P517*N517+pool_b*M517)/(1-pool_ret*M517)</f>
        <v>2.941548585849</v>
      </c>
      <c r="R517" s="41">
        <f>MIN(C_sat_CO2,MAX(C_air_CO2,(pool_ret*Q517+pool_b)*N517+P517*O517))</f>
        <v>3.991279276827</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IF(C518&gt;x_series,(1-EXP(-C518))/C518,1-C518/2+C518^2/6-C518^3/24)</f>
        <v>0.941956395413</v>
      </c>
      <c r="F518" s="41">
        <f>IF(C518&gt;x_series,(C518-1+EXP(-C518))/C518^2,1/2-C518/6+C518^2/24-C518^3/120)</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0.652482730154</v>
      </c>
      <c r="M518" s="41">
        <f>EXP(-L518)</f>
        <v>0.52075128557</v>
      </c>
      <c r="N518" s="41">
        <f>IF(L518&gt;x_series,(1-EXP(-L518))/L518,1-L518/2+L518^2/6-L518^3/24)</f>
        <v>0.73450022856</v>
      </c>
      <c r="O518" s="41">
        <f>IF(L518&gt;x_series,(L518-1+EXP(-L518))/L518^2,1/2-L518/6+L518^2/24-L518^3/120)</f>
        <v>0.406906971127</v>
      </c>
      <c r="P518" s="41">
        <f>(C_air_CO2/C_sat_CO2*F_vent_ex-CO2_fix_l)*(B518/3600)/(V_L_CO2+Vg_CO2)</f>
        <v>0.001396407678</v>
      </c>
      <c r="Q518" s="41">
        <f>(P518*N518+pool_b*M518)/(1-pool_ret*M518)</f>
        <v>2.565047589469</v>
      </c>
      <c r="R518" s="41">
        <f>MIN(C_sat_CO2,MAX(C_air_CO2,(pool_ret*Q518+pool_b)*N518+P518*O518))</f>
        <v>3.617025323192</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IF(C519&gt;x_series,(1-EXP(-C519))/C519,1-C519/2+C519^2/6-C519^3/24)</f>
        <v>0.935293853813</v>
      </c>
      <c r="F519" s="41">
        <f>IF(C519&gt;x_series,(C519-1+EXP(-C519))/C519^2,1/2-C519/6+C519^2/24-C519^3/120)</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0.730828880997</v>
      </c>
      <c r="M519" s="41">
        <f>EXP(-L519)</f>
        <v>0.481509710387</v>
      </c>
      <c r="N519" s="41">
        <f>IF(L519&gt;x_series,(1-EXP(-L519))/L519,1-L519/2+L519^2/6-L519^3/24)</f>
        <v>0.709455117464</v>
      </c>
      <c r="O519" s="41">
        <f>IF(L519&gt;x_series,(L519-1+EXP(-L519))/L519^2,1/2-L519/6+L519^2/24-L519^3/120)</f>
        <v>0.3975552829</v>
      </c>
      <c r="P519" s="41">
        <f>(C_air_CO2/C_sat_CO2*F_vent_ex-CO2_fix_l)*(B519/3600)/(V_L_CO2+Vg_CO2)</f>
        <v>0.001564079804</v>
      </c>
      <c r="Q519" s="41">
        <f>(P519*N519+pool_b*M519)/(1-pool_ret*M519)</f>
        <v>2.222037902772</v>
      </c>
      <c r="R519" s="41">
        <f>MIN(C_sat_CO2,MAX(C_air_CO2,(pool_ret*Q519+pool_b)*N519+P519*O519))</f>
        <v>3.272931554843</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IF(C520&gt;x_series,(1-EXP(-C520))/C520,1-C520/2+C520^2/6-C520^3/24)</f>
        <v>0.927906613546</v>
      </c>
      <c r="F520" s="41">
        <f>IF(C520&gt;x_series,(C520-1+EXP(-C520))/C520^2,1/2-C520/6+C520^2/24-C520^3/120)</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0.81858162537</v>
      </c>
      <c r="M520" s="41">
        <f>EXP(-L520)</f>
        <v>0.441056794828</v>
      </c>
      <c r="N520" s="41">
        <f>IF(L520&gt;x_series,(1-EXP(-L520))/L520,1-L520/2+L520^2/6-L520^3/24)</f>
        <v>0.682819144541</v>
      </c>
      <c r="O520" s="41">
        <f>IF(L520&gt;x_series,(L520-1+EXP(-L520))/L520^2,1/2-L520/6+L520^2/24-L520^3/120)</f>
        <v>0.387476148534</v>
      </c>
      <c r="P520" s="41">
        <f>(C_air_CO2/C_sat_CO2*F_vent_ex-CO2_fix_l)*(B520/3600)/(V_L_CO2+Vg_CO2)</f>
        <v>0.001751883404</v>
      </c>
      <c r="Q520" s="41">
        <f>(P520*N520+pool_b*M520)/(1-pool_ret*M520)</f>
        <v>1.911077944383</v>
      </c>
      <c r="R520" s="41">
        <f>MIN(C_sat_CO2,MAX(C_air_CO2,(pool_ret*Q520+pool_b)*N520+P520*O520))</f>
        <v>2.957449507497</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IF(C521&gt;x_series,(1-EXP(-C521))/C521,1-C521/2+C521^2/6-C521^3/24)</f>
        <v>0.919725675504</v>
      </c>
      <c r="F521" s="41">
        <f>IF(C521&gt;x_series,(C521-1+EXP(-C521))/C521^2,1/2-C521/6+C521^2/24-C521^3/120)</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0.916870361474</v>
      </c>
      <c r="M521" s="41">
        <f>EXP(-L521)</f>
        <v>0.399768215341</v>
      </c>
      <c r="N521" s="41">
        <f>IF(L521&gt;x_series,(1-EXP(-L521))/L521,1-L521/2+L521^2/6-L521^3/24)</f>
        <v>0.654652838482</v>
      </c>
      <c r="O521" s="41">
        <f>IF(L521&gt;x_series,(L521-1+EXP(-L521))/L521^2,1/2-L521/6+L521^2/24-L521^3/120)</f>
        <v>0.376658659751</v>
      </c>
      <c r="P521" s="41">
        <f>(C_air_CO2/C_sat_CO2*F_vent_ex-CO2_fix_l)*(B521/3600)/(V_L_CO2+Vg_CO2)</f>
        <v>0.001962235555</v>
      </c>
      <c r="Q521" s="41">
        <f>(P521*N521+pool_b*M521)/(1-pool_ret*M521)</f>
        <v>1.630640359152</v>
      </c>
      <c r="R521" s="41">
        <f>MIN(C_sat_CO2,MAX(C_air_CO2,(pool_ret*Q521+pool_b)*N521+P521*O521))</f>
        <v>2.668941173049</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IF(C522&gt;x_series,(1-EXP(-C522))/C522,1-C522/2+C522^2/6-C522^3/24)</f>
        <v>0.910677901209</v>
      </c>
      <c r="F522" s="41">
        <f>IF(C522&gt;x_series,(C522-1+EXP(-C522))/C522^2,1/2-C522/6+C522^2/24-C522^3/120)</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1.026960088173</v>
      </c>
      <c r="M522" s="41">
        <f>EXP(-L522)</f>
        <v>0.358093881486</v>
      </c>
      <c r="N522" s="41">
        <f>IF(L522&gt;x_series,(1-EXP(-L522))/L522,1-L522/2+L522^2/6-L522^3/24)</f>
        <v>0.625054591612</v>
      </c>
      <c r="O522" s="41">
        <f>IF(L522&gt;x_series,(L522-1+EXP(-L522))/L522^2,1/2-L522/6+L522^2/24-L522^3/120)</f>
        <v>0.365102220336</v>
      </c>
      <c r="P522" s="41">
        <f>(C_air_CO2/C_sat_CO2*F_vent_ex-CO2_fix_l)*(B522/3600)/(V_L_CO2+Vg_CO2)</f>
        <v>0.002197843538</v>
      </c>
      <c r="Q522" s="41">
        <f>(P522*N522+pool_b*M522)/(1-pool_ret*M522)</f>
        <v>1.37915171855</v>
      </c>
      <c r="R522" s="41">
        <f>MIN(C_sat_CO2,MAX(C_air_CO2,(pool_ret*Q522+pool_b)*N522+P522*O522))</f>
        <v>2.405720466362</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IF(C523&gt;x_series,(1-EXP(-C523))/C523,1-C523/2+C523^2/6-C523^3/24)</f>
        <v>0.900686404787</v>
      </c>
      <c r="F523" s="41">
        <f>IF(C523&gt;x_series,(C523-1+EXP(-C523))/C523^2,1/2-C523/6+C523^2/24-C523^3/120)</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1.150267685817</v>
      </c>
      <c r="M523" s="41">
        <f>EXP(-L523)</f>
        <v>0.31655202155</v>
      </c>
      <c r="N523" s="41">
        <f>IF(L523&gt;x_series,(1-EXP(-L523))/L523,1-L523/2+L523^2/6-L523^3/24)</f>
        <v>0.594164286172</v>
      </c>
      <c r="O523" s="41">
        <f>IF(L523&gt;x_series,(L523-1+EXP(-L523))/L523^2,1/2-L523/6+L523^2/24-L523^3/120)</f>
        <v>0.352818495062</v>
      </c>
      <c r="P523" s="41">
        <f>(C_air_CO2/C_sat_CO2*F_vent_ex-CO2_fix_l)*(B523/3600)/(V_L_CO2+Vg_CO2)</f>
        <v>0.002461739681</v>
      </c>
      <c r="Q523" s="41">
        <f>(P523*N523+pool_b*M523)/(1-pool_ret*M523)</f>
        <v>1.155023576163</v>
      </c>
      <c r="R523" s="41">
        <f>MIN(C_sat_CO2,MAX(C_air_CO2,(pool_ret*Q523+pool_b)*N523+P523*O523))</f>
        <v>2.166088293399</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IF(C524&gt;x_series,(1-EXP(-C524))/C524,1-C524/2+C524^2/6-C524^3/24)</f>
        <v>0.88967115751</v>
      </c>
      <c r="F524" s="41">
        <f>IF(C524&gt;x_series,(C524-1+EXP(-C524))/C524^2,1/2-C524/6+C524^2/24-C524^3/120)</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1.288380151827</v>
      </c>
      <c r="M524" s="41">
        <f>EXP(-L524)</f>
        <v>0.275717041303</v>
      </c>
      <c r="N524" s="41">
        <f>IF(L524&gt;x_series,(1-EXP(-L524))/L524,1-L524/2+L524^2/6-L524^3/24)</f>
        <v>0.562165567104</v>
      </c>
      <c r="O524" s="41">
        <f>IF(L524&gt;x_series,(L524-1+EXP(-L524))/L524^2,1/2-L524/6+L524^2/24-L524^3/120)</f>
        <v>0.339833264487</v>
      </c>
      <c r="P524" s="41">
        <f>(C_air_CO2/C_sat_CO2*F_vent_ex-CO2_fix_l)*(B524/3600)/(V_L_CO2+Vg_CO2)</f>
        <v>0.00275732039</v>
      </c>
      <c r="Q524" s="41">
        <f>(P524*N524+pool_b*M524)/(1-pool_ret*M524)</f>
        <v>0.956674542781</v>
      </c>
      <c r="R524" s="41">
        <f>MIN(C_sat_CO2,MAX(C_air_CO2,(pool_ret*Q524+pool_b)*N524+P524*O524))</f>
        <v>1.948361417733</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IF(C525&gt;x_series,(1-EXP(-C525))/C525,1-C525/2+C525^2/6-C525^3/24)</f>
        <v>0.877549851432</v>
      </c>
      <c r="F525" s="41">
        <f>IF(C525&gt;x_series,(C525-1+EXP(-C525))/C525^2,1/2-C525/6+C525^2/24-C525^3/120)</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1.443075025719</v>
      </c>
      <c r="M525" s="41">
        <f>EXP(-L525)</f>
        <v>0.236200318752</v>
      </c>
      <c r="N525" s="41">
        <f>IF(L525&gt;x_series,(1-EXP(-L525))/L525,1-L525/2+L525^2/6-L525^3/24)</f>
        <v>0.529286189308</v>
      </c>
      <c r="O525" s="41">
        <f>IF(L525&gt;x_series,(L525-1+EXP(-L525))/L525^2,1/2-L525/6+L525^2/24-L525^3/120)</f>
        <v>0.326188037561</v>
      </c>
      <c r="P525" s="41">
        <f>(C_air_CO2/C_sat_CO2*F_vent_ex-CO2_fix_l)*(B525/3600)/(V_L_CO2+Vg_CO2)</f>
        <v>0.003088389857</v>
      </c>
      <c r="Q525" s="41">
        <f>(P525*N525+pool_b*M525)/(1-pool_ret*M525)</f>
        <v>0.782543238562</v>
      </c>
      <c r="R525" s="41">
        <f>MIN(C_sat_CO2,MAX(C_air_CO2,(pool_ret*Q525+pool_b)*N525+P525*O525))</f>
        <v>1.750895530624</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IF(C526&gt;x_series,(1-EXP(-C526))/C526,1-C526/2+C526^2/6-C526^3/24)</f>
        <v>0.864239072748</v>
      </c>
      <c r="F526" s="41">
        <f>IF(C526&gt;x_series,(C526-1+EXP(-C526))/C526^2,1/2-C526/6+C526^2/24-C526^3/120)</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1.616343266449</v>
      </c>
      <c r="M526" s="41">
        <f>EXP(-L526)</f>
        <v>0.198623686632</v>
      </c>
      <c r="N526" s="41">
        <f>IF(L526&gt;x_series,(1-EXP(-L526))/L526,1-L526/2+L526^2/6-L526^3/24)</f>
        <v>0.495795868367</v>
      </c>
      <c r="O526" s="41">
        <f>IF(L526&gt;x_series,(L526-1+EXP(-L526))/L526^2,1/2-L526/6+L526^2/24-L526^3/120)</f>
        <v>0.311941245464</v>
      </c>
      <c r="P526" s="41">
        <f>(C_air_CO2/C_sat_CO2*F_vent_ex-CO2_fix_l)*(B526/3600)/(V_L_CO2+Vg_CO2)</f>
        <v>0.003459209023</v>
      </c>
      <c r="Q526" s="41">
        <f>(P526*N526+pool_b*M526)/(1-pool_ret*M526)</f>
        <v>0.631092183044</v>
      </c>
      <c r="R526" s="41">
        <f>MIN(C_sat_CO2,MAX(C_air_CO2,(pool_ret*Q526+pool_b)*N526+P526*O526))</f>
        <v>1.572103058991</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IF(C527&gt;x_series,(1-EXP(-C527))/C527,1-C527/2+C527^2/6-C527^3/24)</f>
        <v>0.849655837971</v>
      </c>
      <c r="F527" s="41">
        <f>IF(C527&gt;x_series,(C527-1+EXP(-C527))/C527^2,1/2-C527/6+C527^2/24-C527^3/120)</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1.810414876518</v>
      </c>
      <c r="M527" s="41">
        <f>EXP(-L527)</f>
        <v>0.163586254627</v>
      </c>
      <c r="N527" s="41">
        <f>IF(L527&gt;x_series,(1-EXP(-L527))/L527,1-L527/2+L527^2/6-L527^3/24)</f>
        <v>0.462001144722</v>
      </c>
      <c r="O527" s="41">
        <f>IF(L527&gt;x_series,(L527-1+EXP(-L527))/L527^2,1/2-L527/6+L527^2/24-L527^3/120)</f>
        <v>0.297168821498</v>
      </c>
      <c r="P527" s="41">
        <f>(C_air_CO2/C_sat_CO2*F_vent_ex-CO2_fix_l)*(B527/3600)/(V_L_CO2+Vg_CO2)</f>
        <v>0.003874550416</v>
      </c>
      <c r="Q527" s="41">
        <f>(P527*N527+pool_b*M527)/(1-pool_ret*M527)</f>
        <v>0.500802984417</v>
      </c>
      <c r="R527" s="41">
        <f>MIN(C_sat_CO2,MAX(C_air_CO2,(pool_ret*Q527+pool_b)*N527+P527*O527))</f>
        <v>1.410466310027</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IF(C528&gt;x_series,(1-EXP(-C528))/C528,1-C528/2+C528^2/6-C528^3/24)</f>
        <v>0.833719545606</v>
      </c>
      <c r="F528" s="41">
        <f>IF(C528&gt;x_series,(C528-1+EXP(-C528))/C528^2,1/2-C528/6+C528^2/24-C528^3/120)</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2.027787602622</v>
      </c>
      <c r="M528" s="41">
        <f>EXP(-L528)</f>
        <v>0.131626409172</v>
      </c>
      <c r="N528" s="41">
        <f>IF(L528&gt;x_series,(1-EXP(-L528))/L528,1-L528/2+L528^2/6-L528^3/24)</f>
        <v>0.42823695623</v>
      </c>
      <c r="O528" s="41">
        <f>IF(L528&gt;x_series,(L528-1+EXP(-L528))/L528^2,1/2-L528/6+L528^2/24-L528^3/120)</f>
        <v>0.281963970502</v>
      </c>
      <c r="P528" s="41">
        <f>(C_air_CO2/C_sat_CO2*F_vent_ex-CO2_fix_l)*(B528/3600)/(V_L_CO2+Vg_CO2)</f>
        <v>0.004339759578</v>
      </c>
      <c r="Q528" s="41">
        <f>(P528*N528+pool_b*M528)/(1-pool_ret*M528)</f>
        <v>0.390163695327</v>
      </c>
      <c r="R528" s="41">
        <f>MIN(C_sat_CO2,MAX(C_air_CO2,(pool_ret*Q528+pool_b)*N528+P528*O528))</f>
        <v>1.264546566102</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IF(C529&gt;x_series,(1-EXP(-C529))/C529,1-C529/2+C529^2/6-C529^3/24)</f>
        <v>0.816354391322</v>
      </c>
      <c r="F529" s="41">
        <f>IF(C529&gt;x_series,(C529-1+EXP(-C529))/C529^2,1/2-C529/6+C529^2/24-C529^3/120)</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2.271259082233</v>
      </c>
      <c r="M529" s="41">
        <f>EXP(-L529)</f>
        <v>0.103182183408</v>
      </c>
      <c r="N529" s="41">
        <f>IF(L529&gt;x_series,(1-EXP(-L529))/L529,1-L529/2+L529^2/6-L529^3/24)</f>
        <v>0.394854917084</v>
      </c>
      <c r="O529" s="41">
        <f>IF(L529&gt;x_series,(L529-1+EXP(-L529))/L529^2,1/2-L529/6+L529^2/24-L529^3/120)</f>
        <v>0.266435955127</v>
      </c>
      <c r="P529" s="41">
        <f>(C_air_CO2/C_sat_CO2*F_vent_ex-CO2_fix_l)*(B529/3600)/(V_L_CO2+Vg_CO2)</f>
        <v>0.004860823857</v>
      </c>
      <c r="Q529" s="41">
        <f>(P529*N529+pool_b*M529)/(1-pool_ret*M529)</f>
        <v>0.297650023818</v>
      </c>
      <c r="R529" s="41">
        <f>MIN(C_sat_CO2,MAX(C_air_CO2,(pool_ret*Q529+pool_b)*N529+P529*O529))</f>
        <v>1.132989724189</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IF(C530&gt;x_series,(1-EXP(-C530))/C530,1-C530/2+C530^2/6-C530^3/24)</f>
        <v>0.797492283961</v>
      </c>
      <c r="F530" s="41">
        <f>IF(C530&gt;x_series,(C530-1+EXP(-C530))/C530^2,1/2-C530/6+C530^2/24-C530^3/120)</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2.543962849842</v>
      </c>
      <c r="M530" s="41">
        <f>EXP(-L530)</f>
        <v>0.07855448254</v>
      </c>
      <c r="N530" s="41">
        <f>IF(L530&gt;x_series,(1-EXP(-L530))/L530,1-L530/2+L530^2/6-L530^3/24)</f>
        <v>0.362208716027</v>
      </c>
      <c r="O530" s="41">
        <f>IF(L530&gt;x_series,(L530-1+EXP(-L530))/L530^2,1/2-L530/6+L530^2/24-L530^3/120)</f>
        <v>0.250707782157</v>
      </c>
      <c r="P530" s="41">
        <f>(C_air_CO2/C_sat_CO2*F_vent_ex-CO2_fix_l)*(B530/3600)/(V_L_CO2+Vg_CO2)</f>
        <v>0.005444449472</v>
      </c>
      <c r="Q530" s="41">
        <f>(P530*N530+pool_b*M530)/(1-pool_ret*M530)</f>
        <v>0.221703291573</v>
      </c>
      <c r="R530" s="41">
        <f>MIN(C_sat_CO2,MAX(C_air_CO2,(pool_ret*Q530+pool_b)*N530+P530*O530))</f>
        <v>1.014529035169</v>
      </c>
      <c r="S530" s="41">
        <f>IF(AND(R530&gt;=CO2_pH_hi_mt,R531&lt;CO2_pH_hi_mt),EXP(LN(A530)+(LN(A531)-LN(A530))*(R530-CO2_pH_hi_mt)/(R530-R531)),0)</f>
        <v>568.953730792824</v>
      </c>
    </row>
    <row r="531">
      <c r="A531" s="41">
        <f>A530*grid_ratio</f>
        <v>605.54568605914</v>
      </c>
      <c r="B531" s="41">
        <f>MAX(0,A531*60-spg_dur)</f>
        <v>36332.09116355</v>
      </c>
      <c r="C531" s="41">
        <f>k_eff_CO2*B531</f>
        <v>0.527574531084</v>
      </c>
      <c r="D531" s="41">
        <f>EXP(-C531)</f>
        <v>0.590034345489</v>
      </c>
      <c r="E531" s="41">
        <f>IF(C531&gt;x_series,(1-EXP(-C531))/C531,1-C531/2+C531^2/6-C531^3/24)</f>
        <v>0.777076280898</v>
      </c>
      <c r="F531" s="41">
        <f>IF(C531&gt;x_series,(C531-1+EXP(-C531))/C531^2,1/2-C531/6+C531^2/24-C531^3/120)</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2.849408666275</v>
      </c>
      <c r="M531" s="41">
        <f>EXP(-L531)</f>
        <v>0.057878536288</v>
      </c>
      <c r="N531" s="41">
        <f>IF(L531&gt;x_series,(1-EXP(-L531))/L531,1-L531/2+L531^2/6-L531^3/24)</f>
        <v>0.330637537136</v>
      </c>
      <c r="O531" s="41">
        <f>IF(L531&gt;x_series,(L531-1+EXP(-L531))/L531^2,1/2-L531/6+L531^2/24-L531^3/120)</f>
        <v>0.234912763054</v>
      </c>
      <c r="P531" s="41">
        <f>(C_air_CO2/C_sat_CO2*F_vent_ex-CO2_fix_l)*(B531/3600)/(V_L_CO2+Vg_CO2)</f>
        <v>0.006098147821</v>
      </c>
      <c r="Q531" s="41">
        <f>(P531*N531+pool_b*M531)/(1-pool_ret*M531)</f>
        <v>0.160709559305</v>
      </c>
      <c r="R531" s="41">
        <f>MIN(C_sat_CO2,MAX(C_air_CO2,(pool_ret*Q531+pool_b)*N531+P531*O531))</f>
        <v>0.907985454209</v>
      </c>
      <c r="S531" s="41">
        <f>IF(AND(R531&gt;=CO2_pH_hi_mt,R532&lt;CO2_pH_hi_mt),EXP(LN(A531)+(LN(A532)-LN(A531))*(R531-CO2_pH_hi_mt)/(R531-R532)),0)</f>
        <v>0.0</v>
      </c>
    </row>
    <row r="532">
      <c r="A532" s="41">
        <f>A531*grid_ratio</f>
        <v>678.250242333597</v>
      </c>
      <c r="B532" s="41">
        <f>MAX(0,A532*60-spg_dur)</f>
        <v>40694.36454002</v>
      </c>
      <c r="C532" s="41">
        <f>k_eff_CO2*B532</f>
        <v>0.590918650769</v>
      </c>
      <c r="D532" s="41">
        <f>EXP(-C532)</f>
        <v>0.55381828538</v>
      </c>
      <c r="E532" s="41">
        <f>IF(C532&gt;x_series,(1-EXP(-C532))/C532,1-C532/2+C532^2/6-C532^3/24)</f>
        <v>0.755064532215</v>
      </c>
      <c r="F532" s="41">
        <f>IF(C532&gt;x_series,(C532-1+EXP(-C532))/C532^2,1/2-C532/6+C532^2/24-C532^3/120)</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3.191527690132</v>
      </c>
      <c r="M532" s="41">
        <f>EXP(-L532)</f>
        <v>0.041109021098</v>
      </c>
      <c r="N532" s="41">
        <f>IF(L532&gt;x_series,(1-EXP(-L532))/L532,1-L532/2+L532^2/6-L532^3/24)</f>
        <v>0.300448898459</v>
      </c>
      <c r="O532" s="41">
        <f>IF(L532&gt;x_series,(L532-1+EXP(-L532))/L532^2,1/2-L532/6+L532^2/24-L532^3/120)</f>
        <v>0.219190046104</v>
      </c>
      <c r="P532" s="41">
        <f>(C_air_CO2/C_sat_CO2*F_vent_ex-CO2_fix_l)*(B532/3600)/(V_L_CO2+Vg_CO2)</f>
        <v>0.006830332152</v>
      </c>
      <c r="Q532" s="41">
        <f>(P532*N532+pool_b*M532)/(1-pool_ret*M532)</f>
        <v>0.112985896799</v>
      </c>
      <c r="R532" s="41">
        <f>MIN(C_sat_CO2,MAX(C_air_CO2,(pool_ret*Q532+pool_b)*N532+P532*O532))</f>
        <v>0.812266076665</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IF(C533&gt;x_series,(1-EXP(-C533))/C533,1-C533/2+C533^2/6-C533^3/24)</f>
        <v>0.731434681533</v>
      </c>
      <c r="F533" s="41">
        <f>IF(C533&gt;x_series,(C533-1+EXP(-C533))/C533^2,1/2-C533/6+C533^2/24-C533^3/120)</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3.574723072711</v>
      </c>
      <c r="M533" s="41">
        <f>EXP(-L533)</f>
        <v>0.028023185084</v>
      </c>
      <c r="N533" s="41">
        <f>IF(L533&gt;x_series,(1-EXP(-L533))/L533,1-L533/2+L533^2/6-L533^3/24)</f>
        <v>0.271902688724</v>
      </c>
      <c r="O533" s="41">
        <f>IF(L533&gt;x_series,(L533-1+EXP(-L533))/L533^2,1/2-L533/6+L533^2/24-L533^3/120)</f>
        <v>0.203679361021</v>
      </c>
      <c r="P533" s="41">
        <f>(C_air_CO2/C_sat_CO2*F_vent_ex-CO2_fix_l)*(B533/3600)/(V_L_CO2+Vg_CO2)</f>
        <v>0.007650425849</v>
      </c>
      <c r="Q533" s="41">
        <f>(P533*N533+pool_b*M533)/(1-pool_ret*M533)</f>
        <v>0.076780739194</v>
      </c>
      <c r="R533" s="41">
        <f>MIN(C_sat_CO2,MAX(C_air_CO2,(pool_ret*Q533+pool_b)*N533+P533*O533))</f>
        <v>0.726361113416</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IF(C534&gt;x_series,(1-EXP(-C534))/C534,1-C534/2+C534^2/6-C534^3/24)</f>
        <v>0.706188615629</v>
      </c>
      <c r="F534" s="41">
        <f>IF(C534&gt;x_series,(C534-1+EXP(-C534))/C534^2,1/2-C534/6+C534^2/24-C534^3/120)</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4.003926627584</v>
      </c>
      <c r="M534" s="41">
        <f>EXP(-L534)</f>
        <v>0.01824386121</v>
      </c>
      <c r="N534" s="41">
        <f>IF(L534&gt;x_series,(1-EXP(-L534))/L534,1-L534/2+L534^2/6-L534^3/24)</f>
        <v>0.245198334062</v>
      </c>
      <c r="O534" s="41">
        <f>IF(L534&gt;x_series,(L534-1+EXP(-L534))/L534^2,1/2-L534/6+L534^2/24-L534^3/120)</f>
        <v>0.188515359082</v>
      </c>
      <c r="P534" s="41">
        <f>(C_air_CO2/C_sat_CO2*F_vent_ex-CO2_fix_l)*(B534/3600)/(V_L_CO2+Vg_CO2)</f>
        <v>0.008568983708</v>
      </c>
      <c r="Q534" s="41">
        <f>(P534*N534+pool_b*M534)/(1-pool_ret*M534)</f>
        <v>0.050294720584</v>
      </c>
      <c r="R534" s="41">
        <f>MIN(C_sat_CO2,MAX(C_air_CO2,(pool_ret*Q534+pool_b)*N534+P534*O534))</f>
        <v>0.649339855951</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IF(C535&gt;x_series,(1-EXP(-C535))/C535,1-C535/2+C535^2/6-C535^3/24)</f>
        <v>0.679357384467</v>
      </c>
      <c r="F535" s="41">
        <f>IF(C535&gt;x_series,(C535-1+EXP(-C535))/C535^2,1/2-C535/6+C535^2/24-C535^3/120)</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4.48466230419</v>
      </c>
      <c r="M535" s="41">
        <f>EXP(-L535)</f>
        <v>0.011280696321</v>
      </c>
      <c r="N535" s="41">
        <f>IF(L535&gt;x_series,(1-EXP(-L535))/L535,1-L535/2+L535^2/6-L535^3/24)</f>
        <v>0.220466834873</v>
      </c>
      <c r="O535" s="41">
        <f>IF(L535&gt;x_series,(L535-1+EXP(-L535))/L535^2,1/2-L535/6+L535^2/24-L535^3/120)</f>
        <v>0.173822043278</v>
      </c>
      <c r="P535" s="41">
        <f>(C_air_CO2/C_sat_CO2*F_vent_ex-CO2_fix_l)*(B535/3600)/(V_L_CO2+Vg_CO2)</f>
        <v>0.009597827781</v>
      </c>
      <c r="Q535" s="41">
        <f>(P535*N535+pool_b*M535)/(1-pool_ret*M535)</f>
        <v>0.031725391294</v>
      </c>
      <c r="R535" s="41">
        <f>MIN(C_sat_CO2,MAX(C_air_CO2,(pool_ret*Q535+pool_b)*N535+P535*O535))</f>
        <v>0.580346083295</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IF(C536&gt;x_series,(1-EXP(-C536))/C536,1-C536/2+C536^2/6-C536^3/24)</f>
        <v>0.651006029451</v>
      </c>
      <c r="F536" s="41">
        <f>IF(C536&gt;x_series,(C536-1+EXP(-C536))/C536^2,1/2-C536/6+C536^2/24-C536^3/120)</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5.023117282341</v>
      </c>
      <c r="M536" s="41">
        <f>EXP(-L536)</f>
        <v>0.006583970591</v>
      </c>
      <c r="N536" s="41">
        <f>IF(L536&gt;x_series,(1-EXP(-L536))/L536,1-L536/2+L536^2/6-L536^3/24)</f>
        <v>0.197768830304</v>
      </c>
      <c r="O536" s="41">
        <f>IF(L536&gt;x_series,(L536-1+EXP(-L536))/L536^2,1/2-L536/6+L536^2/24-L536^3/120)</f>
        <v>0.159707831732</v>
      </c>
      <c r="P536" s="41">
        <f>(C_air_CO2/C_sat_CO2*F_vent_ex-CO2_fix_l)*(B536/3600)/(V_L_CO2+Vg_CO2)</f>
        <v>0.010750199531</v>
      </c>
      <c r="Q536" s="41">
        <f>(P536*N536+pool_b*M536)/(1-pool_ret*M536)</f>
        <v>0.019333515078</v>
      </c>
      <c r="R536" s="41">
        <f>MIN(C_sat_CO2,MAX(C_air_CO2,(pool_ret*Q536+pool_b)*N536+P536*O536))</f>
        <v>0.518593345206</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IF(C537&gt;x_series,(1-EXP(-C537))/C537,1-C537/2+C537^2/6-C537^3/24)</f>
        <v>0.62123796488</v>
      </c>
      <c r="F537" s="41">
        <f>IF(C537&gt;x_series,(C537-1+EXP(-C537))/C537^2,1/2-C537/6+C537^2/24-C537^3/120)</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5.626221602666</v>
      </c>
      <c r="M537" s="41">
        <f>EXP(-L537)</f>
        <v>0.003602160039</v>
      </c>
      <c r="N537" s="41">
        <f>IF(L537&gt;x_series,(1-EXP(-L537))/L537,1-L537/2+L537^2/6-L537^3/24)</f>
        <v>0.177098932521</v>
      </c>
      <c r="O537" s="41">
        <f>IF(L537&gt;x_series,(L537-1+EXP(-L537))/L537^2,1/2-L537/6+L537^2/24-L537^3/120)</f>
        <v>0.146261758884</v>
      </c>
      <c r="P537" s="41">
        <f>(C_air_CO2/C_sat_CO2*F_vent_ex-CO2_fix_l)*(B537/3600)/(V_L_CO2+Vg_CO2)</f>
        <v>0.01204093025</v>
      </c>
      <c r="Q537" s="41">
        <f>(P537*N537+pool_b*M537)/(1-pool_ret*M537)</f>
        <v>0.011521282843</v>
      </c>
      <c r="R537" s="41">
        <f>MIN(C_sat_CO2,MAX(C_air_CO2,(pool_ret*Q537+pool_b)*N537+P537*O537))</f>
        <v>0.463360488663</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IF(C538&gt;x_series,(1-EXP(-C538))/C538,1-C538/2+C538^2/6-C538^3/24)</f>
        <v>0.590198464388</v>
      </c>
      <c r="F538" s="41">
        <f>IF(C538&gt;x_series,(C538-1+EXP(-C538))/C538^2,1/2-C538/6+C538^2/24-C538^3/120)</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6.301737357844</v>
      </c>
      <c r="M538" s="41">
        <f>EXP(-L538)</f>
        <v>0.001833117228</v>
      </c>
      <c r="N538" s="41">
        <f>IF(L538&gt;x_series,(1-EXP(-L538))/L538,1-L538/2+L538^2/6-L538^3/24)</f>
        <v>0.158395506841</v>
      </c>
      <c r="O538" s="41">
        <f>IF(L538&gt;x_series,(L538-1+EXP(-L538))/L538^2,1/2-L538/6+L538^2/24-L538^3/120)</f>
        <v>0.133551185232</v>
      </c>
      <c r="P538" s="41">
        <f>(C_air_CO2/C_sat_CO2*F_vent_ex-CO2_fix_l)*(B538/3600)/(V_L_CO2+Vg_CO2)</f>
        <v>0.013486631942</v>
      </c>
      <c r="Q538" s="41">
        <f>(P538*N538+pool_b*M538)/(1-pool_ret*M538)</f>
        <v>0.006906471999</v>
      </c>
      <c r="R538" s="41">
        <f>MIN(C_sat_CO2,MAX(C_air_CO2,(pool_ret*Q538+pool_b)*N538+P538*O538))</f>
        <v>0.413987659751</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IF(C539&gt;x_series,(1-EXP(-C539))/C539,1-C539/2+C539^2/6-C539^3/24)</f>
        <v>0.55807672424</v>
      </c>
      <c r="F539" s="41">
        <f>IF(C539&gt;x_series,(C539-1+EXP(-C539))/C539^2,1/2-C539/6+C539^2/24-C539^3/120)</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7.058358592538</v>
      </c>
      <c r="M539" s="41">
        <f>EXP(-L539)</f>
        <v>0.0008601888562468</v>
      </c>
      <c r="N539" s="41">
        <f>IF(L539&gt;x_series,(1-EXP(-L539))/L539,1-L539/2+L539^2/6-L539^3/24)</f>
        <v>0.141554130191</v>
      </c>
      <c r="O539" s="41">
        <f>IF(L539&gt;x_series,(L539-1+EXP(-L539))/L539^2,1/2-L539/6+L539^2/24-L539^3/120)</f>
        <v>0.121621175597</v>
      </c>
      <c r="P539" s="41">
        <f>(C_air_CO2/C_sat_CO2*F_vent_ex-CO2_fix_l)*(B539/3600)/(V_L_CO2+Vg_CO2)</f>
        <v>0.015105911124</v>
      </c>
      <c r="Q539" s="41">
        <f>(P539*N539+pool_b*M539)/(1-pool_ret*M539)</f>
        <v>0.004374764077</v>
      </c>
      <c r="R539" s="41">
        <f>MIN(C_sat_CO2,MAX(C_air_CO2,(pool_ret*Q539+pool_b)*N539+P539*O539))</f>
        <v>0.369872825948</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IF(DO_target-DO_surf_excess_su&gt;0,(DO_target-DO_surf_excess_su)/(H_O2_T*P_dry),NA())</f>
        <v>#N/A</v>
      </c>
      <c r="E542" s="51" t="inlineStr">
        <is>
          <t xml:space="preserve">As D183 on the start-up source (D576). #N/A = the surface cannot carry the lag O₂ flux at the target DO at any interval.</t>
        </is>
      </c>
    </row>
    <row r="543">
      <c r="A543" s="18" t="inlineStr">
        <is>
          <t xml:space="preserve">Duty needed to hold it — lag</t>
        </is>
      </c>
      <c r="B543" s="19" t="inlineStr">
        <is>
          <t xml:space="preserve">duty_DO_l</t>
        </is>
      </c>
      <c r="C543" s="20" t="inlineStr">
        <is>
          <t xml:space="preserve">-</t>
        </is>
      </c>
      <c r="D543" s="41" t="e">
        <f>IF(ISNUMBER(y_O2_star_l),MAX(0,((O2_src_su+y_O2_air*F_vent_ex)*saw_factor/y_O2_star_l-F_dil-O2_src_su-H2_src_su+CO2_fix_l)/CO2_rate_full),NA())</f>
        <v>#N/A</v>
      </c>
      <c r="E543" s="51" t="inlineStr">
        <is>
          <t xml:space="preserve">As D184 on the start-up sources (D572, D573).</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2.312402310074</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IF(ph_unreach_l,NA(),MIN(spg_int_carbon,IF(ISNUMBER(spg_int_DO_l),spg_int_DO_l,spg_int_max_su),IF(ISNUMBER(spg_int_H2safe_su_opt),spg_int_H2safe_su_opt,spg_int_carbon),IF(ISNUMBER(spg_int_pH_l),spg_int_pH_l*spg_dur_eq_opt/spg_dur_eq,spg_int_carbon)))</f>
        <v>1.20664768662</v>
      </c>
      <c r="E546" s="51" t="inlineStr">
        <is>
          <t xml:space="preserve">The shortest of the carbon bound, the lag O₂ bound (or the start-up legacy guard D583 when the lag DO target is unreachable), the start-up hazard-screen interval (D582) and the start-up pH ceiling (D561, on the start-up gas flow D560), on the basis of D91, all on the start-up sources (D572–D576). #N/A when no interval holds the pH under the ceiling. Equals D91 when Summary D12 is Lag. The pH ceiling can bind, e.g. with N₂ and added alkalinity.</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1.16</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lag",IF(spg_int_su_opt=IF(ISNUMBER(spg_int_H2safe_su_opt),spg_int_H2safe_su_opt,spg_int_carbon),"the start-up hazard screen (D581)",IF(spg_int_su_opt=IF(ISNUMBER(spg_int_pH_l),spg_int_pH_l*spg_dur_eq_opt/spg_dur_eq,spg_int_carbon),"the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0.019152777778</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F_gap_su*t_gap_su_h/n_hs_gas</f>
        <v>0.037192064462</v>
      </c>
      <c r="E550" s="51" t="inlineStr">
        <is>
          <t xml:space="preserve">As D354.</t>
        </is>
      </c>
    </row>
    <row r="551">
      <c r="A551" s="18" t="inlineStr">
        <is>
          <t xml:space="preserve">Φ(x) — start-up</t>
        </is>
      </c>
      <c r="B551" s="19" t="inlineStr">
        <is>
          <t xml:space="preserve">phi_su</t>
        </is>
      </c>
      <c r="C551" s="20" t="inlineStr">
        <is>
          <t xml:space="preserve">-</t>
        </is>
      </c>
      <c r="D551" s="41">
        <f>IF(x_su&gt;x_series,(1-EXP(-x_su))/x_su,1-x_su/2+x_su^2/6-x_su^3/24)</f>
        <v>0.981632381646</v>
      </c>
      <c r="E551" s="51" t="inlineStr">
        <is>
          <t xml:space="preserve">As D355.</t>
        </is>
      </c>
    </row>
    <row r="552">
      <c r="A552" s="18" t="inlineStr">
        <is>
          <t xml:space="preserve">Ψ(x) — start-up</t>
        </is>
      </c>
      <c r="B552" s="19" t="inlineStr">
        <is>
          <t xml:space="preserve">psi_su</t>
        </is>
      </c>
      <c r="C552" s="20" t="inlineStr">
        <is>
          <t xml:space="preserve">-</t>
        </is>
      </c>
      <c r="D552" s="41">
        <f>IF(x_su&gt;x_series,(x_su-1+EXP(-x_su))/x_su^2,1/2-x_su/6+x_su^2/24-x_su^3/120)</f>
        <v>0.49385853192</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S_O2_su*t_gap_su_h/n_hs_gas</f>
        <v>0.011544614242</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0.017443301407</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0.011927197861</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(DO_surf_excess_su+H_O2_T*P_dry*y_O2_avg_su)*M_O2</f>
        <v>4.499880552063</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(DO_surf_excess_su+H_O2_T*P_dry*z_peak_su)*M_O2</f>
        <v>4.515479521662</v>
      </c>
      <c r="E557" s="51" t="inlineStr">
        <is>
          <t xml:space="preserve">As D365 at the start-up interval (D568).</t>
        </is>
      </c>
    </row>
    <row r="558">
      <c r="A558" s="18" t="inlineStr">
        <is>
          <t xml:space="preserve">Headspace H₂ just before a pulse — start-up</t>
        </is>
      </c>
      <c r="B558" s="19" t="inlineStr">
        <is>
          <t xml:space="preserve">y_H2_end_su</t>
        </is>
      </c>
      <c r="C558" s="20" t="inlineStr">
        <is>
          <t xml:space="preserve">-</t>
        </is>
      </c>
      <c r="D558" s="41">
        <f>H2_src_su*t_gap_su_h/n_hs_gas*phi_su/(1-flush_ret*EXP(-x_su))</f>
        <v>0.030527042916</v>
      </c>
      <c r="E558" s="51" t="inlineStr">
        <is>
          <t xml:space="preserve">As D388 at the start-up interval.</t>
        </is>
      </c>
    </row>
    <row r="560">
      <c r="A560" s="18" t="inlineStr">
        <is>
          <t xml:space="preserve">Pool decay rate through the vent — start-up</t>
        </is>
      </c>
      <c r="B560" s="19" t="inlineStr">
        <is>
          <t xml:space="preserve">k_eff_CO2_l</t>
        </is>
      </c>
      <c r="C560" s="20" t="inlineStr">
        <is>
          <t xml:space="preserve">1/s</t>
        </is>
      </c>
      <c r="D560" s="41">
        <f>F_gap_su/3600/n_hs_gas*Vg_CO2/(V_L_CO2+Vg_CO2)</f>
        <v>7.842677299934e-05</v>
      </c>
      <c r="E560" s="51" t="inlineStr">
        <is>
          <t xml:space="preserve">As D195 on the start-up gas flow (F_gap_su, D575), for the start-up columns L–S of the interval grid, so the start-up pH bound (D561) uses the same sources as the start-up balance. Equals the lag flow (D353) when sized on Lag.</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568.953730792824</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2.385360196994</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0.100100748644</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row r="566">
      <c r="A566" s="18" t="inlineStr">
        <is>
          <t xml:space="preserve">Liquid-equilibrium O₂ fraction at its peak — growth</t>
        </is>
      </c>
      <c r="B566" s="19" t="inlineStr">
        <is>
          <t xml:space="preserve">z_peak_g</t>
        </is>
      </c>
      <c r="C566" s="20" t="inlineStr">
        <is>
          <t xml:space="preserve">-</t>
        </is>
      </c>
      <c r="D566" s="41">
        <f>y_O2_post_g*IF(ABS((1/tau_L_h)-(F_gap_g/n_hs_gas))&lt;=rate_tol_rel*(1/tau_L_h),((1/tau_L_h)*t_gap_h)*EXP(-((1/tau_L_h)*t_gap_h)),(1/tau_L_h)/((1/tau_L_h)-(F_gap_g/n_hs_gas))*(EXP(-((F_gap_g/n_hs_gas)*t_gap_h))-EXP(-((1/tau_L_h)*t_gap_h))))/(1-EXP(-((1/tau_L_h)*t_gap_h)))+S_O2_g/n_hs_gas*IF(ABS((1/tau_L_h)-(F_gap_g/n_hs_gas))&lt;=rate_tol_rel*(1/tau_L_h),(1-(1+((1/tau_L_h)*t_gap_h))*EXP(-((1/tau_L_h)*t_gap_h)))/(1/tau_L_h),(((1/tau_L_h)*t_gap_h)*IF(((F_gap_g/n_hs_gas)*t_gap_h)&gt;x_series,(1-EXP(-((F_gap_g/n_hs_gas)*t_gap_h)))/((F_gap_g/n_hs_gas)*t_gap_h),1-((F_gap_g/n_hs_gas)*t_gap_h)/2+((F_gap_g/n_hs_gas)*t_gap_h)^2/6-((F_gap_g/n_hs_gas)*t_gap_h)^3/24)-(1-EXP(-((1/tau_L_h)*t_gap_h))))/((1/tau_L_h)-(F_gap_g/n_hs_gas)))/(1-EXP(-((1/tau_L_h)*t_gap_h)))</f>
        <v>0.035988377729</v>
      </c>
      <c r="E566" s="51" t="inlineStr">
        <is>
          <t xml:space="preserve">Exact periodic solution of the first-order liquid (rate b = 1/τ, D326) driven by the headspace ramp of the gap, y = y_post·e^(−at) + (S/F)(1 − e^(−at)) with a = F/n, maximal just before a pulse: z = y_post·G + (S/n)·H, with H = (bT·Φ(aT) − (1 − e^(−bT)))/((b − a)(1 − e^(−bT))). Written this way it stays exact as the vent flow F → 0 (no S/F terms to cancel); the coincident-rate limit (D569) is used when a = b.</t>
        </is>
      </c>
    </row>
    <row r="567">
      <c r="A567" s="18" t="inlineStr">
        <is>
          <t xml:space="preserve">Liquid-equilibrium O₂ fraction at its peak — lag</t>
        </is>
      </c>
      <c r="B567" s="19" t="inlineStr">
        <is>
          <t xml:space="preserve">z_peak_l</t>
        </is>
      </c>
      <c r="C567" s="20" t="inlineStr">
        <is>
          <t xml:space="preserve">-</t>
        </is>
      </c>
      <c r="D567" s="41">
        <f>y_O2_post_l*IF(ABS((1/tau_L_h)-(F_gap_l/n_hs_gas))&lt;=rate_tol_rel*(1/tau_L_h),((1/tau_L_h)*t_gap_h)*EXP(-((1/tau_L_h)*t_gap_h)),(1/tau_L_h)/((1/tau_L_h)-(F_gap_l/n_hs_gas))*(EXP(-((F_gap_l/n_hs_gas)*t_gap_h))-EXP(-((1/tau_L_h)*t_gap_h))))/(1-EXP(-((1/tau_L_h)*t_gap_h)))+S_O2_l/n_hs_gas*IF(ABS((1/tau_L_h)-(F_gap_l/n_hs_gas))&lt;=rate_tol_rel*(1/tau_L_h),(1-(1+((1/tau_L_h)*t_gap_h))*EXP(-((1/tau_L_h)*t_gap_h)))/(1/tau_L_h),(((1/tau_L_h)*t_gap_h)*IF(((F_gap_l/n_hs_gas)*t_gap_h)&gt;x_series,(1-EXP(-((F_gap_l/n_hs_gas)*t_gap_h)))/((F_gap_l/n_hs_gas)*t_gap_h),1-((F_gap_l/n_hs_gas)*t_gap_h)/2+((F_gap_l/n_hs_gas)*t_gap_h)^2/6-((F_gap_l/n_hs_gas)*t_gap_h)^3/24)-(1-EXP(-((1/tau_L_h)*t_gap_h))))/((1/tau_L_h)-(F_gap_l/n_hs_gas)))/(1-EXP(-((1/tau_L_h)*t_gap_h)))</f>
        <v>0.070079461273</v>
      </c>
      <c r="E567" s="51" t="inlineStr">
        <is>
          <t xml:space="preserve">As D566 on the lag phase.</t>
        </is>
      </c>
    </row>
    <row r="568">
      <c r="A568" s="18" t="inlineStr">
        <is>
          <t xml:space="preserve">Liquid-equilibrium O₂ fraction at its peak — start-up</t>
        </is>
      </c>
      <c r="B568" s="19" t="inlineStr">
        <is>
          <t xml:space="preserve">z_peak_su</t>
        </is>
      </c>
      <c r="C568" s="20" t="inlineStr">
        <is>
          <t xml:space="preserve">-</t>
        </is>
      </c>
      <c r="D568" s="41">
        <f>y_O2_end_su*flush_ret*IF(ABS((1/tau_L_h)-(F_gap_su/n_hs_gas))&lt;=rate_tol_rel*(1/tau_L_h),((1/tau_L_h)*t_gap_su_h)*EXP(-((1/tau_L_h)*t_gap_su_h)),(1/tau_L_h)/((1/tau_L_h)-(F_gap_su/n_hs_gas))*(EXP(-((F_gap_su/n_hs_gas)*t_gap_su_h))-EXP(-((1/tau_L_h)*t_gap_su_h))))/(1-EXP(-((1/tau_L_h)*t_gap_su_h)))+S_O2_su/n_hs_gas*IF(ABS((1/tau_L_h)-(F_gap_su/n_hs_gas))&lt;=rate_tol_rel*(1/tau_L_h),(1-(1+((1/tau_L_h)*t_gap_su_h))*EXP(-((1/tau_L_h)*t_gap_su_h)))/(1/tau_L_h),(((1/tau_L_h)*t_gap_su_h)*IF(((F_gap_su/n_hs_gas)*t_gap_su_h)&gt;x_series,(1-EXP(-((F_gap_su/n_hs_gas)*t_gap_su_h)))/((F_gap_su/n_hs_gas)*t_gap_su_h),1-((F_gap_su/n_hs_gas)*t_gap_su_h)/2+((F_gap_su/n_hs_gas)*t_gap_su_h)^2/6-((F_gap_su/n_hs_gas)*t_gap_su_h)^3/24)-(1-EXP(-((1/tau_L_h)*t_gap_su_h))))/((1/tau_L_h)-(F_gap_su/n_hs_gas)))/(1-EXP(-((1/tau_L_h)*t_gap_su_h)))</f>
        <v>0.012412137716</v>
      </c>
      <c r="E568" s="51" t="inlineStr">
        <is>
          <t xml:space="preserve">As D567 at the start-up interval.</t>
        </is>
      </c>
    </row>
    <row r="569">
      <c r="A569" s="18" t="inlineStr">
        <is>
          <t xml:space="preserve">Rate-coincidence tolerance (numerical)</t>
        </is>
      </c>
      <c r="B569" s="19" t="inlineStr">
        <is>
          <t xml:space="preserve">rate_tol_rel</t>
        </is>
      </c>
      <c r="C569" s="20" t="inlineStr">
        <is>
          <t xml:space="preserve">-</t>
        </is>
      </c>
      <c r="D569" s="106">
        <v>1e-09</v>
      </c>
      <c r="E569" s="51" t="inlineStr">
        <is>
          <t xml:space="preserve">Numerical, not a datum: relative gap below which the liquid (1/τ) and headspace (F/n) rates are treated as equal in D566–D568, where the general formula has a removable 0/0 and the coincident-rate limit is used instead.</t>
        </is>
      </c>
    </row>
    <row r="570">
      <c r="A570" s="18" t="inlineStr">
        <is>
          <t xml:space="preserve">(import) Upper bound on the lag O₂ source</t>
        </is>
      </c>
      <c r="B570" s="19" t="inlineStr">
        <is>
          <t xml:space="preserve">O2_net_su_mt</t>
        </is>
      </c>
      <c r="C570" s="20" t="inlineStr">
        <is>
          <t xml:space="preserve">mol/h</t>
        </is>
      </c>
      <c r="D570" s="41">
        <f>Electrochemistry!O2_net_su_max</f>
        <v>5.307542491154e-05</v>
      </c>
      <c r="E570" s="51" t="inlineStr">
        <is>
          <t xml:space="preserve">Import from Electrochemistry!D174.</t>
        </is>
      </c>
    </row>
    <row r="571">
      <c r="A571" s="18" t="inlineStr">
        <is>
          <t xml:space="preserve">(import) Upper bound on the lag H₂ evolution</t>
        </is>
      </c>
      <c r="B571" s="19" t="inlineStr">
        <is>
          <t xml:space="preserve">rH2_su_mt</t>
        </is>
      </c>
      <c r="C571" s="20" t="inlineStr">
        <is>
          <t xml:space="preserve">mol/h</t>
        </is>
      </c>
      <c r="D571" s="41">
        <f>Electrochemistry!rH2_su_max</f>
        <v>0.0001061508498231</v>
      </c>
      <c r="E571" s="51" t="inlineStr">
        <is>
          <t xml:space="preserve">Import from Electrochemistry!D175.</t>
        </is>
      </c>
    </row>
    <row r="572">
      <c r="A572" s="18" t="inlineStr">
        <is>
          <t xml:space="preserve">O₂ source — start-up</t>
        </is>
      </c>
      <c r="B572" s="19" t="inlineStr">
        <is>
          <t xml:space="preserve">O2_src_su</t>
        </is>
      </c>
      <c r="C572" s="20" t="inlineStr">
        <is>
          <t xml:space="preserve">mol/h</t>
        </is>
      </c>
      <c r="D572" s="41">
        <f>IF(O2_sizing_phase=phase_name_2,O2_src_l,O2_net_su_mt)</f>
        <v>5.307542491154e-05</v>
      </c>
      <c r="E572" s="51" t="inlineStr">
        <is>
          <t xml:space="preserve">Sized on Lag, the start-up schedule is the headline one and D129 is checked against it, so the lag source (D310) is consistent. Sized on Growth, the start-up runs at a different DO from DO_lag_ref, so the bound D570 (no cathodic loss) is used: conservative for the DO and the hazard screen.</t>
        </is>
      </c>
    </row>
    <row r="573">
      <c r="A573" s="18" t="inlineStr">
        <is>
          <t xml:space="preserve">H₂ to headspace — start-up</t>
        </is>
      </c>
      <c r="B573" s="19" t="inlineStr">
        <is>
          <t xml:space="preserve">H2_src_su</t>
        </is>
      </c>
      <c r="C573" s="20" t="inlineStr">
        <is>
          <t xml:space="preserve">mol/h</t>
        </is>
      </c>
      <c r="D573" s="41">
        <f>IF(O2_sizing_phase=phase_name_2,H2_src_l,MAX(0,rH2_su_mt-H2_HOR_mt))</f>
        <v>0.0001061508498231</v>
      </c>
      <c r="E573" s="51" t="inlineStr">
        <is>
          <t xml:space="preserve">As D572 for H₂ (D314, or the bound D571 net of anodic oxidation).</t>
        </is>
      </c>
    </row>
    <row r="574">
      <c r="A574" s="18" t="inlineStr">
        <is>
          <t xml:space="preserve">Headspace O₂ inflow — start-up</t>
        </is>
      </c>
      <c r="B574" s="19" t="inlineStr">
        <is>
          <t xml:space="preserve">S_O2_su</t>
        </is>
      </c>
      <c r="C574" s="20" t="inlineStr">
        <is>
          <t xml:space="preserve">mol/h</t>
        </is>
      </c>
      <c r="D574" s="41">
        <f>O2_src_su+y_O2_air*F_vent_ex</f>
        <v>6.065511399778e-05</v>
      </c>
      <c r="E574" s="51" t="inlineStr">
        <is>
          <t xml:space="preserve">As D349 on the start-up source.</t>
        </is>
      </c>
    </row>
    <row r="575">
      <c r="A575" s="18" t="inlineStr">
        <is>
          <t xml:space="preserve">Gas leaving between pulses — start-up</t>
        </is>
      </c>
      <c r="B575" s="19" t="inlineStr">
        <is>
          <t xml:space="preserve">F_gap_su</t>
        </is>
      </c>
      <c r="C575" s="20" t="inlineStr">
        <is>
          <t xml:space="preserve">mol/h</t>
        </is>
      </c>
      <c r="D575" s="41">
        <f>F_dil+MAX(0,O2_src_su+H2_src_su-CO2_fix_l)</f>
        <v>0.0001954061749076</v>
      </c>
      <c r="E575" s="51" t="inlineStr">
        <is>
          <t xml:space="preserve">As D353 on the start-up sources.</t>
        </is>
      </c>
    </row>
    <row r="576">
      <c r="A576" s="18" t="inlineStr">
        <is>
          <t xml:space="preserve">DO excess to drive the surface flux — start-up</t>
        </is>
      </c>
      <c r="B576" s="19" t="inlineStr">
        <is>
          <t xml:space="preserve">DO_surf_excess_su</t>
        </is>
      </c>
      <c r="C576" s="20" t="inlineStr">
        <is>
          <t xml:space="preserve">mol/m³</t>
        </is>
      </c>
      <c r="D576" s="41">
        <f>O2_src_su/(kLa_surf_used*3600*(V_charge/1000000))</f>
        <v>0.128639934046</v>
      </c>
      <c r="E576" s="51" t="inlineStr">
        <is>
          <t xml:space="preserve">As D181 on the start-up source.</t>
        </is>
      </c>
    </row>
    <row r="577">
      <c r="A577" s="18" t="inlineStr">
        <is>
          <t xml:space="preserve">(import) H₂ lower flammability limit</t>
        </is>
      </c>
      <c r="B577" s="19" t="inlineStr">
        <is>
          <t xml:space="preserve">H2_LFL_mt</t>
        </is>
      </c>
      <c r="C577" s="20" t="inlineStr">
        <is>
          <t xml:space="preserve">-</t>
        </is>
      </c>
      <c r="D577" s="41">
        <f>Biology!H2_LFL</f>
        <v>0.04</v>
      </c>
      <c r="E577" s="51" t="inlineStr">
        <is>
          <t xml:space="preserve">Import from Biology!D80.</t>
        </is>
      </c>
    </row>
    <row r="578">
      <c r="A578" s="18" t="inlineStr">
        <is>
          <t xml:space="preserve">(import) O₂ limit for the hazard screen (LOC × margin)</t>
        </is>
      </c>
      <c r="B578" s="19" t="inlineStr">
        <is>
          <t xml:space="preserve">O2_LOC_lim_mt</t>
        </is>
      </c>
      <c r="C578" s="20" t="inlineStr">
        <is>
          <t xml:space="preserve">-</t>
        </is>
      </c>
      <c r="D578" s="41">
        <f>Biology!O2_LOC_H2*Biology!LOC_margin</f>
        <v>0.0312</v>
      </c>
      <c r="E578" s="51" t="inlineStr">
        <is>
          <t xml:space="preserve">Import from Biology!D81 × D82.</t>
        </is>
      </c>
    </row>
    <row r="579">
      <c r="A579" s="18" t="inlineStr">
        <is>
          <t xml:space="preserve">Longest gap keeping start-up pre-pulse H₂ below the LFL</t>
        </is>
      </c>
      <c r="B579" s="19" t="inlineStr">
        <is>
          <t xml:space="preserve">t_gap_H2_su</t>
        </is>
      </c>
      <c r="C579" s="20" t="inlineStr">
        <is>
          <t xml:space="preserve">min</t>
        </is>
      </c>
      <c r="D579" s="41">
        <f>IF(H2_src_su&gt;H2_LFL_mt*F_gap_su,n_hs_gas/F_gap_su*LN((1-H2_LFL_mt*F_gap_su/H2_src_su*flush_ret)/(1-H2_LFL_mt*F_gap_su/H2_src_su))*60,"none needed")</f>
        <v>1.524751128368</v>
      </c>
      <c r="E579" s="51" t="inlineStr">
        <is>
          <t xml:space="preserve">As Biology D90 on the start-up sources.</t>
        </is>
      </c>
    </row>
    <row r="580">
      <c r="A580" s="18" t="inlineStr">
        <is>
          <t xml:space="preserve">Longest gap keeping start-up pre-pulse O₂ under the LOC margin</t>
        </is>
      </c>
      <c r="B580" s="19" t="inlineStr">
        <is>
          <t xml:space="preserve">t_gap_O2_su</t>
        </is>
      </c>
      <c r="C580" s="20" t="inlineStr">
        <is>
          <t xml:space="preserve">min</t>
        </is>
      </c>
      <c r="D580" s="41">
        <f>IF(S_O2_su&gt;O2_LOC_lim_mt*F_gap_su,n_hs_gas/F_gap_su*LN((1-O2_LOC_lim_mt*F_gap_su/S_O2_su*flush_ret)/(1-O2_LOC_lim_mt*F_gap_su/S_O2_su))*60,"none needed")</f>
        <v>2.122727097897</v>
      </c>
      <c r="E580" s="51" t="inlineStr">
        <is>
          <t xml:space="preserve">As Biology D91 on the start-up sources.</t>
        </is>
      </c>
    </row>
    <row r="581">
      <c r="A581" s="18" t="inlineStr">
        <is>
          <t xml:space="preserve">Interval clearing the start-up hazard screen</t>
        </is>
      </c>
      <c r="B581" s="19" t="inlineStr">
        <is>
          <t xml:space="preserve">spg_int_H2safe_su</t>
        </is>
      </c>
      <c r="C581" s="20" t="inlineStr">
        <is>
          <t xml:space="preserve">min</t>
        </is>
      </c>
      <c r="D581" s="41">
        <f>IF(OR(ISTEXT(t_gap_H2_su),ISTEXT(t_gap_O2_su)),"any interval",MAX(t_gap_H2_su,t_gap_O2_su)+spg_dur/60)</f>
        <v>2.13356043123</v>
      </c>
      <c r="E581" s="51" t="inlineStr">
        <is>
          <t xml:space="preserve">As Biology D92 (either route suffices) on the start-up sources, pulse in use.</t>
        </is>
      </c>
    </row>
    <row r="582">
      <c r="A582" s="18" t="inlineStr">
        <is>
          <t xml:space="preserve">Start-up hazard-screen interval on the optimal-pulse basis</t>
        </is>
      </c>
      <c r="B582" s="19" t="inlineStr">
        <is>
          <t xml:space="preserve">spg_int_H2safe_su_opt</t>
        </is>
      </c>
      <c r="C582" s="20" t="inlineStr">
        <is>
          <t xml:space="preserve">min</t>
        </is>
      </c>
      <c r="D582" s="41">
        <f>IF(ISNUMBER(spg_int_H2safe_su),spg_int_H2safe_su*spg_dur_eq_opt/spg_dur_eq,"any interval")</f>
        <v>2.200875733589</v>
      </c>
      <c r="E582" s="51" t="inlineStr">
        <is>
          <t xml:space="preserve">As D563 for D581.</t>
        </is>
      </c>
    </row>
    <row r="583">
      <c r="A583" s="18" t="inlineStr">
        <is>
          <t xml:space="preserve">Legacy O₂ flush guard — start-up</t>
        </is>
      </c>
      <c r="B583" s="19" t="inlineStr">
        <is>
          <t xml:space="preserve">spg_int_max_su</t>
        </is>
      </c>
      <c r="C583" s="20" t="inlineStr">
        <is>
          <t xml:space="preserve">min</t>
        </is>
      </c>
      <c r="D583" s="41">
        <f>IF(O2_sizing_phase=phase_name_2,spg_int_max,target_DO_frac*O2_ceil_org*(V_charge/1000000)/MAX(O2_src_guard,O2_src_su)*60)</f>
        <v>1.20664768662</v>
      </c>
      <c r="E583" s="51" t="inlineStr">
        <is>
          <t xml:space="preserve">As D89 on the larger of its guard source and the start-up source (D572).</t>
        </is>
      </c>
    </row>
    <row r="584">
      <c r="A584" s="18" t="inlineStr">
        <is>
          <t xml:space="preserve">Small-argument switch for Φ and Ψ (numerical)</t>
        </is>
      </c>
      <c r="B584" s="19" t="inlineStr">
        <is>
          <t xml:space="preserve">x_series</t>
        </is>
      </c>
      <c r="C584" s="20" t="inlineStr">
        <is>
          <t xml:space="preserve">-</t>
        </is>
      </c>
      <c r="D584" s="106">
        <v>0.001</v>
      </c>
      <c r="E584" s="51" t="inlineStr">
        <is>
          <t xml:space="preserve">Numerical, not a datum: below this x the exponential helpers Φ(x) = (1 − e^−x)/x and Ψ(x) = (x − 1 + e^−x)/x² (D333–D334, D355–D356, D377–D378, D551–D552, the grid columns E, F, N, O and D566–D568) use their Taylor series to x³, which are exact to ~1e-13 there, instead of the closed forms, which lose all precision as x → 0 (a near-zero vent flow).</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