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8775397F-2CA4-D643-B203-BF9035C146C4}" xr6:coauthVersionLast="47" xr6:coauthVersionMax="47" xr10:uidLastSave="{00000000-0000-0000-0000-000000000000}"/>
  <bookViews>
    <workbookView xWindow="14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air_CO2" localSheetId="5">'Mass Transfer'!$D$146</definedName>
    <definedName name="C_eff" localSheetId="3">Chemistry!$D$145</definedName>
    <definedName name="C_H2_sat" localSheetId="4">Biology!$D$41</definedName>
    <definedName name="C_sat_CO2" localSheetId="5">'Mass Transfer'!$D$145</definedName>
    <definedName name="Ca_CO2" localSheetId="5">'Mass Transfer'!$D$157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b_CO2" localSheetId="5">'Mass Transfer'!$D$158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cyc_avg" localSheetId="5">'Mass Transfer'!$D$161</definedName>
    <definedName name="CO2_diss" localSheetId="4">Biology!$D$33</definedName>
    <definedName name="CO2_int_off" localSheetId="5">'Mass Transfer'!$D$160</definedName>
    <definedName name="CO2_int_on" localSheetId="5">'Mass Transfer'!$D$159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CO2aqc_ss" localSheetId="5">'Mass Transfer'!$D$162</definedName>
    <definedName name="coef_CO2" localSheetId="5">'Mass Transfer'!$D$156</definedName>
    <definedName name="d_bubble" localSheetId="5">'Mass Transfer'!$D$42</definedName>
    <definedName name="d_bubble_mm" localSheetId="5">'Mass Transfer'!$D$43</definedName>
    <definedName name="D_CO2" localSheetId="5">'Mass Transfer'!$D$138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1_CO2" localSheetId="5">'Mass Transfer'!$D$154</definedName>
    <definedName name="e2_CO2" localSheetId="5">'Mass Transfer'!$D$155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on_CO2" localSheetId="5">'Mass Transfer'!$D$153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eadspace_V_m3" localSheetId="5">'Mass Transfer'!$D$140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_vent" localSheetId="5">'Mass Transfer'!$D$143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CO2_off" localSheetId="5">'Mass Transfer'!$D$148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hs_gas" localSheetId="5">'Mass Transfer'!$D$150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CO2_air" localSheetId="5">'Mass Transfer'!$D$139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Q_vent" localSheetId="5">'Mass Transfer'!$D$142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ched_valid" localSheetId="5">'Mass Transfer'!$D$164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qrtD_CO2" localSheetId="5">'Mass Transfer'!$D$147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off_CO2" localSheetId="5">'Mass Transfer'!$D$152</definedName>
    <definedName name="t_on_CO2" localSheetId="5">'Mass Transfer'!$D$151</definedName>
    <definedName name="T_ref" localSheetId="4">Biology!$D$23</definedName>
    <definedName name="target_DO_frac" localSheetId="5">'Mass Transfer'!$D$84</definedName>
    <definedName name="tau_hs" localSheetId="5">'Mass Transfer'!$D$144</definedName>
    <definedName name="tau_NH2Cl" localSheetId="3">Chemistry!$D$142</definedName>
    <definedName name="tau_surf_floor" localSheetId="5">'Mass Transfer'!$D$149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L_m3" localSheetId="5">'Mass Transfer'!$D$141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nt_floor_chk" localSheetId="5">'Mass Transfer'!$D$163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6" l="1"/>
  <c r="G46" i="6" s="1"/>
  <c r="E45" i="6"/>
  <c r="G45" i="6" s="1"/>
  <c r="E44" i="6"/>
  <c r="G44" i="6" s="1"/>
  <c r="E43" i="6"/>
  <c r="G43" i="6" s="1"/>
  <c r="E42" i="6"/>
  <c r="G42" i="6" s="1"/>
  <c r="G41" i="6"/>
  <c r="E41" i="6"/>
  <c r="E39" i="6"/>
  <c r="G39" i="6" s="1"/>
  <c r="G38" i="6"/>
  <c r="E38" i="6"/>
  <c r="E37" i="6"/>
  <c r="G37" i="6" s="1"/>
  <c r="E36" i="6"/>
  <c r="G36" i="6" s="1"/>
  <c r="E35" i="6"/>
  <c r="G34" i="6"/>
  <c r="E34" i="6"/>
  <c r="E33" i="6"/>
  <c r="G33" i="6" s="1"/>
  <c r="E32" i="6"/>
  <c r="G32" i="6" s="1"/>
  <c r="E31" i="6"/>
  <c r="G31" i="6" s="1"/>
  <c r="E30" i="6"/>
  <c r="G30" i="6" s="1"/>
  <c r="E29" i="6"/>
  <c r="G29" i="6" s="1"/>
  <c r="E28" i="6"/>
  <c r="G28" i="6" s="1"/>
  <c r="E27" i="6"/>
  <c r="G27" i="6" s="1"/>
  <c r="E26" i="6"/>
  <c r="G26" i="6" s="1"/>
  <c r="E25" i="6"/>
  <c r="G25" i="6" s="1"/>
  <c r="H25" i="6" s="1"/>
  <c r="E23" i="6"/>
  <c r="G23" i="6" s="1"/>
  <c r="G22" i="6"/>
  <c r="E22" i="6"/>
  <c r="E21" i="6"/>
  <c r="G21" i="6" s="1"/>
  <c r="G20" i="6"/>
  <c r="E20" i="6"/>
  <c r="E19" i="6"/>
  <c r="G19" i="6" s="1"/>
  <c r="E18" i="6"/>
  <c r="G18" i="6" s="1"/>
  <c r="H18" i="6" s="1"/>
  <c r="E16" i="6"/>
  <c r="G16" i="6" s="1"/>
  <c r="E15" i="6"/>
  <c r="G15" i="6" s="1"/>
  <c r="E14" i="6"/>
  <c r="G14" i="6" s="1"/>
  <c r="E13" i="6"/>
  <c r="G13" i="6" s="1"/>
  <c r="E12" i="6"/>
  <c r="G12" i="6" s="1"/>
  <c r="E11" i="6"/>
  <c r="G11" i="6" s="1"/>
  <c r="H11" i="6" s="1"/>
  <c r="G9" i="6"/>
  <c r="E9" i="6"/>
  <c r="E8" i="6"/>
  <c r="G8" i="6" s="1"/>
  <c r="E7" i="6"/>
  <c r="G7" i="6" s="1"/>
  <c r="H7" i="6" s="1"/>
  <c r="G5" i="6"/>
  <c r="H5" i="6" s="1"/>
  <c r="E5" i="6"/>
  <c r="D147" i="5"/>
  <c r="D115" i="5"/>
  <c r="D96" i="5"/>
  <c r="D67" i="5"/>
  <c r="E25" i="5"/>
  <c r="E24" i="5"/>
  <c r="E23" i="5"/>
  <c r="E22" i="5"/>
  <c r="E21" i="5"/>
  <c r="E20" i="5"/>
  <c r="E19" i="5"/>
  <c r="E18" i="5"/>
  <c r="D18" i="5"/>
  <c r="D40" i="5" s="1"/>
  <c r="E17" i="5"/>
  <c r="E16" i="5"/>
  <c r="E15" i="5"/>
  <c r="E14" i="5"/>
  <c r="E13" i="5"/>
  <c r="E12" i="5"/>
  <c r="E11" i="5"/>
  <c r="E10" i="5"/>
  <c r="E9" i="5"/>
  <c r="D9" i="5"/>
  <c r="E8" i="5"/>
  <c r="E7" i="5"/>
  <c r="E6" i="5"/>
  <c r="E5" i="5"/>
  <c r="D26" i="4"/>
  <c r="D7" i="5" s="1"/>
  <c r="D19" i="4"/>
  <c r="D32" i="4" s="1"/>
  <c r="D17" i="4"/>
  <c r="D18" i="4" s="1"/>
  <c r="D5" i="3" s="1"/>
  <c r="E8" i="4"/>
  <c r="D8" i="4"/>
  <c r="E7" i="4"/>
  <c r="D7" i="4"/>
  <c r="D46" i="4" s="1"/>
  <c r="D22" i="5" s="1"/>
  <c r="E6" i="4"/>
  <c r="E5" i="4"/>
  <c r="E4" i="4"/>
  <c r="C114" i="7"/>
  <c r="C100" i="7"/>
  <c r="D44" i="7"/>
  <c r="D42" i="7"/>
  <c r="D41" i="7"/>
  <c r="D40" i="7"/>
  <c r="D39" i="7"/>
  <c r="C115" i="7" s="1"/>
  <c r="D38" i="7"/>
  <c r="D47" i="7" s="1"/>
  <c r="D37" i="7"/>
  <c r="D46" i="7" s="1"/>
  <c r="D36" i="7"/>
  <c r="D35" i="7"/>
  <c r="D45" i="7" s="1"/>
  <c r="D7" i="7"/>
  <c r="D6" i="7"/>
  <c r="D4" i="7"/>
  <c r="D19" i="7" s="1"/>
  <c r="D22" i="3"/>
  <c r="D20" i="3"/>
  <c r="D19" i="3"/>
  <c r="D21" i="3" s="1"/>
  <c r="D10" i="3"/>
  <c r="E8" i="3"/>
  <c r="D8" i="3"/>
  <c r="D27" i="3" s="1"/>
  <c r="D28" i="3" s="1"/>
  <c r="E7" i="3"/>
  <c r="D7" i="3"/>
  <c r="E6" i="3"/>
  <c r="D6" i="3"/>
  <c r="E5" i="3"/>
  <c r="D51" i="2"/>
  <c r="D23" i="2" s="1"/>
  <c r="D45" i="2"/>
  <c r="D39" i="2"/>
  <c r="D38" i="2"/>
  <c r="D32" i="2"/>
  <c r="E6" i="2"/>
  <c r="D6" i="2"/>
  <c r="E5" i="2"/>
  <c r="D5" i="2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6" i="1"/>
  <c r="E35" i="1"/>
  <c r="E34" i="1"/>
  <c r="E33" i="1"/>
  <c r="D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7" i="4" l="1"/>
  <c r="D23" i="5" s="1"/>
  <c r="D48" i="4"/>
  <c r="D24" i="5" s="1"/>
  <c r="D84" i="5" s="1"/>
  <c r="D4" i="4"/>
  <c r="D23" i="3"/>
  <c r="D135" i="7"/>
  <c r="D29" i="3"/>
  <c r="H30" i="6"/>
  <c r="D16" i="7"/>
  <c r="H41" i="6"/>
  <c r="D52" i="2"/>
  <c r="D5" i="5" s="1"/>
  <c r="D68" i="5" s="1"/>
  <c r="D17" i="7"/>
  <c r="D40" i="4"/>
  <c r="D41" i="4" s="1"/>
  <c r="D18" i="7"/>
  <c r="D24" i="3"/>
  <c r="D131" i="7"/>
  <c r="D133" i="7" s="1"/>
  <c r="H37" i="6"/>
  <c r="D18" i="2"/>
  <c r="D20" i="2" s="1"/>
  <c r="D132" i="7"/>
  <c r="D20" i="7"/>
  <c r="D21" i="7" s="1"/>
  <c r="D24" i="4"/>
  <c r="D119" i="5"/>
  <c r="D8" i="5"/>
  <c r="D60" i="5" s="1"/>
  <c r="D116" i="5"/>
  <c r="D117" i="5" s="1"/>
  <c r="D13" i="7"/>
  <c r="D22" i="2"/>
  <c r="D31" i="3"/>
  <c r="D21" i="5" s="1"/>
  <c r="D41" i="5" s="1"/>
  <c r="D42" i="5" s="1"/>
  <c r="D14" i="7"/>
  <c r="D24" i="2"/>
  <c r="D32" i="3"/>
  <c r="D20" i="5" s="1"/>
  <c r="D39" i="5" s="1"/>
  <c r="D15" i="7"/>
  <c r="D31" i="4"/>
  <c r="D45" i="4"/>
  <c r="D118" i="5" l="1"/>
  <c r="D99" i="5" s="1"/>
  <c r="D43" i="5"/>
  <c r="D46" i="5"/>
  <c r="D50" i="5" s="1"/>
  <c r="D51" i="5" s="1"/>
  <c r="D50" i="2"/>
  <c r="D29" i="2"/>
  <c r="D33" i="4"/>
  <c r="D146" i="5"/>
  <c r="D145" i="5"/>
  <c r="D13" i="5"/>
  <c r="D5" i="4"/>
  <c r="D120" i="5"/>
  <c r="D20" i="1" s="1"/>
  <c r="D102" i="5"/>
  <c r="D34" i="1"/>
  <c r="D25" i="5"/>
  <c r="D110" i="5" s="1"/>
  <c r="D22" i="1" s="1"/>
  <c r="D27" i="4"/>
  <c r="D12" i="5"/>
  <c r="D15" i="5"/>
  <c r="D21" i="2"/>
  <c r="D111" i="5"/>
  <c r="D30" i="1" s="1"/>
  <c r="D69" i="5"/>
  <c r="D70" i="5" s="1"/>
  <c r="D40" i="1"/>
  <c r="D25" i="3"/>
  <c r="D13" i="4"/>
  <c r="D62" i="5" l="1"/>
  <c r="D63" i="5" s="1"/>
  <c r="D64" i="5" s="1"/>
  <c r="D25" i="1" s="1"/>
  <c r="D104" i="5"/>
  <c r="D17" i="5"/>
  <c r="D47" i="5" s="1"/>
  <c r="D90" i="2"/>
  <c r="D19" i="1" s="1"/>
  <c r="D44" i="2"/>
  <c r="D14" i="5" s="1"/>
  <c r="D25" i="2"/>
  <c r="D28" i="4"/>
  <c r="D6" i="5"/>
  <c r="D35" i="4"/>
  <c r="D41" i="1" s="1"/>
  <c r="D37" i="4"/>
  <c r="D16" i="4"/>
  <c r="D11" i="5" s="1"/>
  <c r="D132" i="5"/>
  <c r="D87" i="5" s="1"/>
  <c r="D15" i="4"/>
  <c r="D10" i="5" s="1"/>
  <c r="D14" i="4"/>
  <c r="D59" i="5" l="1"/>
  <c r="D29" i="1" s="1"/>
  <c r="D48" i="5"/>
  <c r="D49" i="5" s="1"/>
  <c r="D52" i="5" s="1"/>
  <c r="D37" i="2"/>
  <c r="D35" i="2"/>
  <c r="D36" i="2" s="1"/>
  <c r="D40" i="2" s="1"/>
  <c r="D41" i="2" s="1"/>
  <c r="D86" i="5"/>
  <c r="D88" i="5" s="1"/>
  <c r="D6" i="4" l="1"/>
  <c r="D16" i="5"/>
  <c r="D54" i="2"/>
  <c r="D31" i="1" s="1"/>
  <c r="D42" i="2"/>
  <c r="D54" i="5"/>
  <c r="D55" i="2" l="1"/>
  <c r="D32" i="1" s="1"/>
  <c r="D43" i="2"/>
  <c r="D48" i="2"/>
  <c r="D49" i="2" s="1"/>
  <c r="D19" i="5" s="1"/>
  <c r="D141" i="5"/>
  <c r="D65" i="5"/>
  <c r="D89" i="5"/>
  <c r="D71" i="5"/>
  <c r="D72" i="5" s="1"/>
  <c r="D57" i="5"/>
  <c r="D79" i="5"/>
  <c r="D8" i="7"/>
  <c r="D42" i="4"/>
  <c r="D43" i="4"/>
  <c r="D44" i="4" s="1"/>
  <c r="D24" i="1" s="1"/>
  <c r="D107" i="7" l="1"/>
  <c r="D108" i="7" s="1"/>
  <c r="D134" i="7"/>
  <c r="D140" i="5"/>
  <c r="D90" i="5"/>
  <c r="D148" i="5"/>
  <c r="D98" i="5"/>
  <c r="D131" i="5"/>
  <c r="D121" i="5" l="1"/>
  <c r="D13" i="1"/>
  <c r="D14" i="1" s="1"/>
  <c r="D112" i="5"/>
  <c r="D39" i="1" s="1"/>
  <c r="D143" i="7"/>
  <c r="D73" i="5"/>
  <c r="D74" i="5" s="1"/>
  <c r="D135" i="5"/>
  <c r="D133" i="5"/>
  <c r="D134" i="5" s="1"/>
  <c r="D108" i="5"/>
  <c r="D149" i="5"/>
  <c r="D156" i="5"/>
  <c r="D144" i="5"/>
  <c r="D163" i="5" s="1"/>
  <c r="D143" i="5"/>
  <c r="D150" i="5"/>
  <c r="D38" i="1" l="1"/>
  <c r="D113" i="5"/>
  <c r="D23" i="1" s="1"/>
  <c r="D109" i="5"/>
  <c r="D21" i="1" s="1"/>
  <c r="D91" i="5"/>
  <c r="D94" i="5"/>
  <c r="D151" i="5"/>
  <c r="D130" i="5"/>
  <c r="D27" i="1" s="1"/>
  <c r="D123" i="5"/>
  <c r="D128" i="5"/>
  <c r="D153" i="5" l="1"/>
  <c r="D122" i="5"/>
  <c r="D92" i="5"/>
  <c r="D15" i="1"/>
  <c r="D16" i="1" s="1"/>
  <c r="D93" i="5"/>
  <c r="D164" i="5" l="1"/>
  <c r="D95" i="5"/>
  <c r="D28" i="1" s="1"/>
  <c r="D124" i="5"/>
  <c r="D152" i="5"/>
  <c r="D127" i="5"/>
  <c r="D129" i="5" s="1"/>
  <c r="D105" i="5"/>
  <c r="D53" i="5" l="1"/>
  <c r="D55" i="5"/>
  <c r="D77" i="5"/>
  <c r="D154" i="5"/>
  <c r="D155" i="5"/>
  <c r="D125" i="5"/>
  <c r="D100" i="5"/>
  <c r="D157" i="5" l="1"/>
  <c r="D80" i="5"/>
  <c r="D66" i="5"/>
  <c r="D78" i="5"/>
  <c r="D56" i="5"/>
  <c r="D75" i="5"/>
  <c r="D76" i="5" s="1"/>
  <c r="D126" i="5"/>
  <c r="D26" i="1" s="1"/>
  <c r="D158" i="5" l="1"/>
  <c r="D160" i="5" s="1"/>
  <c r="D159" i="5"/>
  <c r="D161" i="5" l="1"/>
  <c r="D162" i="5" s="1"/>
  <c r="D5" i="7" s="1"/>
  <c r="B74" i="7"/>
  <c r="B76" i="7"/>
  <c r="B84" i="7"/>
  <c r="B54" i="7"/>
  <c r="B90" i="7"/>
  <c r="B94" i="7"/>
  <c r="B66" i="7"/>
  <c r="B92" i="7"/>
  <c r="B77" i="7"/>
  <c r="B83" i="7"/>
  <c r="B98" i="7"/>
  <c r="B64" i="7"/>
  <c r="B68" i="7"/>
  <c r="B73" i="7"/>
  <c r="C73" i="7" s="1"/>
  <c r="B56" i="7"/>
  <c r="C56" i="7" s="1"/>
  <c r="B67" i="7"/>
  <c r="B70" i="7"/>
  <c r="B91" i="7"/>
  <c r="B71" i="7"/>
  <c r="B86" i="7"/>
  <c r="B61" i="7"/>
  <c r="B50" i="7"/>
  <c r="B52" i="7"/>
  <c r="C52" i="7" s="1"/>
  <c r="B65" i="7"/>
  <c r="B82" i="7"/>
  <c r="B95" i="7"/>
  <c r="B89" i="7"/>
  <c r="B100" i="7"/>
  <c r="B72" i="7"/>
  <c r="B96" i="7"/>
  <c r="B97" i="7"/>
  <c r="C97" i="7" s="1"/>
  <c r="B63" i="7"/>
  <c r="B53" i="7"/>
  <c r="B88" i="7"/>
  <c r="B51" i="7"/>
  <c r="B55" i="7"/>
  <c r="B93" i="7"/>
  <c r="B58" i="7"/>
  <c r="B69" i="7"/>
  <c r="C69" i="7" s="1"/>
  <c r="B59" i="7"/>
  <c r="B99" i="7"/>
  <c r="B57" i="7"/>
  <c r="B80" i="7"/>
  <c r="B81" i="7"/>
  <c r="C81" i="7" s="1"/>
  <c r="B78" i="7"/>
  <c r="B75" i="7"/>
  <c r="C75" i="7" s="1"/>
  <c r="B87" i="7"/>
  <c r="C87" i="7" s="1"/>
  <c r="B79" i="7"/>
  <c r="B85" i="7"/>
  <c r="B60" i="7"/>
  <c r="B62" i="7"/>
  <c r="C94" i="7" l="1"/>
  <c r="C61" i="7"/>
  <c r="C90" i="7"/>
  <c r="C82" i="7"/>
  <c r="C59" i="7"/>
  <c r="C66" i="7"/>
  <c r="C64" i="7"/>
  <c r="C62" i="7"/>
  <c r="C58" i="7"/>
  <c r="C78" i="7"/>
  <c r="C96" i="7"/>
  <c r="C93" i="7"/>
  <c r="C80" i="7"/>
  <c r="C99" i="7"/>
  <c r="C53" i="7"/>
  <c r="C79" i="7"/>
  <c r="C63" i="7"/>
  <c r="C65" i="7"/>
  <c r="C67" i="7"/>
  <c r="C92" i="7"/>
  <c r="C50" i="7"/>
  <c r="D105" i="7"/>
  <c r="D103" i="7" s="1"/>
  <c r="C54" i="7"/>
  <c r="C51" i="7"/>
  <c r="C89" i="7"/>
  <c r="C71" i="7"/>
  <c r="C98" i="7"/>
  <c r="C84" i="7"/>
  <c r="C60" i="7"/>
  <c r="C57" i="7"/>
  <c r="C88" i="7"/>
  <c r="C95" i="7"/>
  <c r="C91" i="7"/>
  <c r="C83" i="7"/>
  <c r="C76" i="7"/>
  <c r="C72" i="7"/>
  <c r="C68" i="7"/>
  <c r="C55" i="7"/>
  <c r="C86" i="7"/>
  <c r="C85" i="7"/>
  <c r="C70" i="7"/>
  <c r="C77" i="7"/>
  <c r="C74" i="7"/>
  <c r="D104" i="7" l="1"/>
  <c r="D110" i="7"/>
  <c r="D35" i="1"/>
  <c r="D138" i="7"/>
  <c r="D139" i="7" s="1"/>
  <c r="D140" i="7" s="1"/>
  <c r="D145" i="7" l="1"/>
  <c r="D125" i="7"/>
  <c r="D36" i="1" l="1"/>
  <c r="D109" i="7"/>
</calcChain>
</file>

<file path=xl/sharedStrings.xml><?xml version="1.0" encoding="utf-8"?>
<sst xmlns="http://schemas.openxmlformats.org/spreadsheetml/2006/main" count="1717" uniqueCount="1259">
  <si>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</si>
  <si>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</si>
  <si>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</si>
  <si>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</si>
  <si>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</si>
  <si>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</si>
  <si>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</si>
  <si>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</si>
  <si>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</si>
  <si>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</si>
  <si>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</si>
  <si>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</si>
  <si>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</si>
  <si>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</si>
  <si>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</si>
  <si>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</si>
  <si>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</si>
  <si>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</si>
  <si>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</si>
  <si>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</si>
  <si>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</si>
  <si>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</si>
  <si>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</si>
  <si>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</si>
  <si>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</si>
  <si>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</si>
  <si>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</si>
  <si>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</si>
  <si>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</si>
  <si>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</si>
  <si>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</si>
  <si>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</si>
  <si>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</si>
  <si>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</si>
  <si>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</si>
  <si>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</si>
  <si>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</si>
  <si>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</si>
  <si>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</si>
  <si>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</si>
  <si>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</si>
  <si>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</si>
  <si>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</si>
  <si>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</si>
  <si>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</si>
  <si>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</si>
  <si>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</si>
  <si>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</si>
  <si>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</si>
  <si>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</si>
  <si>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</si>
  <si>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</si>
  <si>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</si>
  <si>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</si>
  <si>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</si>
  <si>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</si>
  <si>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</si>
  <si>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</si>
  <si>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</si>
  <si>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</si>
  <si>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</si>
  <si>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</si>
  <si>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</si>
  <si>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</si>
  <si>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</si>
  <si>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</si>
  <si>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</si>
  <si>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</si>
  <si>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</si>
  <si>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</si>
  <si>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</si>
  <si>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</si>
  <si>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</si>
  <si>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</si>
  <si>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</si>
  <si>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</si>
  <si>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</si>
  <si>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</si>
  <si>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</si>
  <si>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</si>
  <si>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</si>
  <si>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</si>
  <si>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</si>
  <si>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</si>
  <si>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</si>
  <si>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</si>
  <si>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</si>
  <si>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</si>
  <si>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</si>
  <si>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</si>
  <si>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</si>
  <si>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</si>
  <si>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</si>
  <si>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</si>
  <si>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</si>
  <si>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</si>
  <si>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</si>
  <si>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</si>
  <si>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</si>
  <si>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</si>
  <si>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</si>
  <si>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</si>
  <si>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</si>
  <si>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</si>
  <si>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</si>
  <si>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</si>
  <si>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</si>
  <si>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</si>
  <si>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</si>
  <si>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</si>
  <si>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</si>
  <si>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</si>
  <si>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</si>
  <si>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</si>
  <si>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</si>
  <si>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</si>
  <si>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</si>
  <si>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</si>
  <si>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</si>
  <si>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</si>
  <si>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</si>
  <si>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</si>
  <si>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</si>
  <si>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</si>
  <si>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</si>
  <si>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</si>
  <si>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</si>
  <si>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</si>
  <si>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</si>
  <si>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</si>
  <si>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</si>
  <si>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</si>
  <si>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</si>
  <si>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</si>
  <si>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</si>
  <si>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</si>
  <si>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</si>
  <si>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</si>
  <si>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</si>
  <si>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</si>
  <si>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</si>
  <si>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</si>
  <si>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</si>
  <si>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</si>
  <si>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</si>
  <si>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</si>
  <si>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</si>
  <si>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</si>
  <si>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</si>
  <si>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</si>
  <si>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</si>
  <si>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</si>
  <si>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</si>
  <si>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</si>
  <si>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</si>
  <si>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</si>
  <si>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</si>
  <si>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</si>
  <si>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</si>
  <si>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</si>
  <si>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</si>
  <si>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</si>
  <si>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</si>
  <si>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</si>
  <si>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</si>
  <si>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</si>
  <si>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</si>
  <si>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</si>
  <si>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</si>
  <si>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</si>
  <si>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</si>
  <si>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</si>
  <si>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</si>
  <si>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</si>
  <si>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</si>
  <si>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</si>
  <si>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</si>
  <si>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</si>
  <si>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</si>
  <si>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</si>
  <si>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</si>
  <si>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</si>
  <si>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</si>
  <si>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</si>
  <si>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</si>
  <si>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</si>
  <si>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</si>
  <si>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</si>
  <si>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</si>
  <si>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</si>
  <si>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</si>
  <si>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</si>
  <si>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</si>
  <si>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</si>
  <si>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</si>
  <si>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</si>
  <si>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</si>
  <si>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</si>
  <si>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</si>
  <si>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</si>
  <si>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</si>
  <si>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</si>
  <si>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</si>
  <si>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</si>
  <si>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</si>
  <si>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</si>
  <si>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</si>
  <si>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</si>
  <si>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</si>
  <si>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</si>
  <si>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</si>
  <si>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</si>
  <si>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</si>
  <si>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</si>
  <si>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</si>
  <si>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</si>
  <si>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</si>
  <si>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</si>
  <si>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</si>
  <si>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</si>
  <si>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</si>
  <si>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</si>
  <si>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</si>
  <si>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</si>
  <si>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</si>
  <si>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</si>
  <si>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</si>
  <si>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</si>
  <si>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</si>
  <si>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</si>
  <si>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</si>
  <si>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</si>
  <si>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</si>
  <si>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</si>
  <si>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</si>
  <si>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</si>
  <si>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</si>
  <si>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</si>
  <si>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</si>
  <si>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</si>
  <si>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</si>
  <si>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</si>
  <si>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</si>
  <si>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</si>
  <si>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</si>
  <si>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</si>
  <si>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</si>
  <si>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</si>
  <si>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</si>
  <si>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</si>
  <si>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</si>
  <si>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</si>
  <si>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</si>
  <si>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</si>
  <si>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</si>
  <si>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</si>
  <si>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</si>
  <si>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</si>
  <si>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</si>
  <si>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</si>
  <si>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</si>
  <si>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</si>
  <si>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</si>
  <si>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</si>
  <si>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</si>
  <si>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</si>
  <si>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</si>
  <si>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</si>
  <si>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</si>
  <si>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</si>
  <si>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</si>
  <si>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</si>
  <si>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</si>
  <si>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</si>
  <si>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</si>
  <si>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</si>
  <si>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</si>
  <si>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</si>
  <si>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</si>
  <si>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</si>
  <si>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</si>
  <si>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</si>
  <si>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</si>
  <si>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</si>
  <si>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</si>
  <si>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</si>
  <si>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</si>
  <si>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</si>
  <si>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</si>
  <si>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</si>
  <si>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</si>
  <si>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</si>
  <si>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</si>
  <si>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</si>
  <si>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</si>
  <si>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</si>
  <si>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</si>
  <si>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</si>
  <si>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</si>
  <si>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</si>
  <si>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</si>
  <si>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</si>
  <si>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</si>
  <si>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</si>
  <si>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</si>
  <si>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</si>
  <si>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</si>
  <si>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</si>
  <si>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</si>
  <si>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</si>
  <si>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</si>
  <si>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</si>
  <si>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</si>
  <si>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</si>
  <si>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</si>
  <si>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</si>
  <si>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</si>
  <si>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</si>
  <si>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</si>
  <si>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</si>
  <si>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</si>
  <si>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</si>
  <si>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</si>
  <si>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</si>
  <si>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</si>
  <si>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</si>
  <si>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</si>
  <si>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</si>
  <si>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</si>
  <si>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</si>
  <si>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</si>
  <si>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</si>
  <si>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</si>
  <si>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</si>
  <si>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</si>
  <si>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</si>
  <si>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</si>
  <si>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</si>
  <si>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</si>
  <si>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</si>
  <si>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</si>
  <si>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</si>
  <si>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</si>
  <si>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</si>
  <si>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</si>
  <si>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</si>
  <si>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</si>
  <si>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</si>
  <si>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</si>
  <si>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</si>
  <si>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</si>
  <si>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</si>
  <si>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</si>
  <si>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</si>
  <si>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</si>
  <si>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</si>
  <si>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</si>
  <si>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</si>
  <si>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</si>
  <si>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</si>
  <si>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</si>
  <si>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</si>
  <si>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</si>
  <si>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</si>
  <si>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</si>
  <si>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</si>
  <si>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</si>
  <si>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</si>
  <si>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</si>
  <si>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</si>
  <si>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</si>
  <si>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</si>
  <si>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</si>
  <si>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</si>
  <si>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</si>
  <si>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</si>
  <si>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</si>
  <si>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</si>
  <si>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</si>
  <si>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</si>
  <si>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</si>
  <si>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</si>
  <si>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</si>
  <si>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</si>
  <si>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</si>
  <si>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</si>
  <si>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</si>
  <si>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</si>
  <si>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</si>
  <si>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</si>
  <si>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</si>
  <si>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</si>
  <si>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</si>
  <si>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</si>
  <si>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</si>
  <si>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</si>
  <si>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</si>
  <si>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</si>
  <si>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</si>
  <si>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</si>
  <si>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</si>
  <si>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</si>
  <si>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</si>
  <si>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</si>
  <si>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</si>
  <si>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</si>
  <si>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</si>
  <si>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</si>
  <si>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</si>
  <si>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</si>
  <si>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</si>
  <si>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</si>
  <si>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</si>
  <si>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</si>
  <si>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</si>
  <si>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</si>
  <si>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</si>
  <si>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</si>
  <si>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</si>
  <si>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</si>
  <si>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</si>
  <si>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</si>
  <si>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</si>
  <si>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</si>
  <si>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</si>
  <si>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</si>
  <si>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</si>
  <si>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</si>
  <si>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</si>
  <si>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</si>
  <si>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</si>
  <si>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</si>
  <si>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</si>
  <si>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</si>
  <si>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</si>
  <si>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</si>
  <si>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</si>
  <si>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</si>
  <si>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</si>
  <si>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</si>
  <si>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</si>
  <si>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</si>
  <si>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</si>
  <si>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</si>
  <si>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</si>
  <si>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</si>
  <si>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</si>
  <si>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</si>
  <si>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</si>
  <si>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</si>
  <si>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</si>
  <si>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</si>
  <si>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</si>
  <si>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</si>
  <si>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</si>
  <si>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</si>
  <si>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</si>
  <si>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</si>
  <si>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</si>
  <si>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</si>
  <si>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</si>
  <si>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</si>
  <si>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</si>
  <si>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</si>
  <si>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</si>
  <si>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</si>
  <si>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</si>
  <si>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</si>
  <si>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</si>
  <si>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</si>
  <si>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</si>
  <si>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</si>
  <si>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</si>
  <si>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</si>
  <si>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</si>
  <si>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</si>
  <si>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</si>
  <si>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</si>
  <si>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</si>
  <si>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</si>
  <si>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</si>
  <si>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</si>
  <si>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</si>
  <si>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</si>
  <si>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</si>
  <si>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</si>
  <si>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</si>
  <si>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</si>
  <si>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</si>
  <si>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</si>
  <si>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</si>
  <si>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</si>
  <si>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</si>
  <si>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</si>
  <si>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</si>
  <si>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</si>
  <si>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</si>
  <si>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</si>
  <si>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</si>
  <si>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</si>
  <si>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</si>
  <si>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</si>
  <si>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</si>
  <si>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</si>
  <si>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</si>
  <si>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</si>
  <si>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</si>
  <si>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</si>
  <si>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</si>
  <si>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</si>
  <si>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</si>
  <si>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</si>
  <si>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</si>
  <si>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</si>
  <si>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</si>
  <si>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</si>
  <si>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</si>
  <si>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</si>
  <si>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</si>
  <si>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</si>
  <si>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</si>
  <si>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</si>
  <si>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</si>
  <si>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</si>
  <si>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</si>
  <si>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</si>
  <si>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</si>
  <si>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</si>
  <si>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</si>
  <si>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</si>
  <si>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</si>
  <si>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</si>
  <si>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</si>
  <si>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</si>
  <si>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</si>
  <si>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</si>
  <si>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</si>
  <si>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</si>
  <si>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</si>
  <si>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</si>
  <si>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</si>
  <si>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</si>
  <si>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</si>
  <si>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</si>
  <si>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</si>
  <si>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</si>
  <si>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</si>
  <si>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</si>
  <si>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</si>
  <si>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</si>
  <si>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</si>
  <si>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</si>
  <si>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</si>
  <si>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</si>
  <si>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</si>
  <si>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</si>
  <si>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</si>
  <si>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</si>
  <si>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</si>
  <si>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</si>
  <si>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</si>
  <si>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</si>
  <si>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</si>
  <si>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</si>
  <si>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</si>
  <si>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</si>
  <si>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</si>
  <si>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</si>
  <si>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</si>
  <si>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</si>
  <si>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</si>
  <si>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</si>
  <si>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</si>
  <si>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</si>
  <si>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</si>
  <si>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</si>
  <si>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</si>
  <si>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</si>
  <si>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</si>
  <si>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</si>
  <si>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</si>
  <si>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</si>
  <si>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</si>
  <si>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</si>
  <si>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</si>
  <si>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</si>
  <si>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</si>
  <si>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</si>
  <si>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</si>
  <si>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</si>
  <si>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</si>
  <si>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</si>
  <si>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</si>
  <si>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</si>
  <si>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</si>
  <si>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</si>
  <si>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</si>
  <si>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</si>
  <si>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</si>
  <si>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</si>
  <si>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</si>
  <si>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</si>
  <si>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</si>
  <si>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</si>
  <si>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</si>
  <si>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</si>
  <si>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</si>
  <si>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</si>
  <si>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</si>
  <si>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</si>
  <si>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</si>
  <si>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</si>
  <si>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</si>
  <si>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</si>
  <si>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</si>
  <si>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</si>
  <si>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</si>
  <si>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</si>
  <si>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</si>
  <si>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</si>
  <si>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</si>
  <si>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</si>
  <si>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</si>
  <si>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</si>
  <si>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</si>
  <si>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</si>
  <si>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</si>
  <si>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</si>
  <si>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</si>
  <si>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</si>
  <si>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</si>
  <si>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</si>
  <si>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</si>
  <si>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</si>
  <si>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</si>
  <si>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</si>
  <si>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</si>
  <si>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</si>
  <si>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</si>
  <si>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</si>
  <si>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</si>
  <si>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</si>
  <si>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</si>
  <si>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</si>
  <si>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</si>
  <si>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</si>
  <si>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</si>
  <si>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</si>
  <si>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</si>
  <si>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</si>
  <si>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</si>
  <si>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</si>
  <si>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</si>
  <si>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</si>
  <si>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</si>
  <si>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</si>
  <si>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</si>
  <si>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</si>
  <si>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</si>
  <si>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</si>
  <si>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</si>
  <si>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</si>
  <si>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</si>
  <si>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</si>
  <si>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</si>
  <si>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</si>
  <si>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</si>
  <si>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</si>
  <si>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</si>
  <si>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</si>
  <si>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</si>
  <si>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</si>
  <si>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</si>
  <si>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</si>
  <si>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</si>
  <si>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</si>
  <si>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</si>
  <si>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</si>
  <si>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</si>
  <si>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</si>
  <si>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</si>
  <si>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</si>
  <si>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</si>
  <si>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</si>
  <si>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</si>
  <si>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</si>
  <si>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</si>
  <si>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</si>
  <si>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</si>
  <si>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</si>
  <si>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</si>
  <si>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</si>
  <si>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</si>
  <si>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</si>
  <si>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</si>
  <si>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</si>
  <si>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</si>
  <si>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</si>
  <si>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</si>
  <si>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</si>
  <si>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</si>
  <si>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</si>
  <si>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</si>
  <si>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</si>
  <si>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</si>
  <si>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</si>
  <si>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</si>
  <si>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</si>
  <si>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</si>
  <si>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</si>
  <si>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</si>
  <si>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</si>
  <si>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</si>
  <si>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</si>
  <si>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</si>
  <si>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</si>
  <si>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</si>
  <si>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</si>
  <si>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</si>
  <si>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</si>
  <si>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</si>
  <si>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</si>
  <si>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</si>
  <si>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</si>
  <si>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</si>
  <si>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</si>
  <si>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</si>
  <si>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</si>
  <si>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</si>
  <si>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</si>
  <si>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</si>
  <si>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</si>
  <si>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</si>
  <si>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</si>
  <si>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</si>
  <si>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</si>
  <si>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</si>
  <si>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</si>
  <si>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</si>
  <si>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</si>
  <si>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</si>
  <si>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</si>
  <si>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</si>
  <si>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</si>
  <si>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</si>
  <si>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</si>
  <si>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</si>
  <si>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</si>
  <si>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</si>
  <si>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</si>
  <si>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</si>
  <si>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</si>
  <si>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</si>
  <si>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</si>
  <si>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</si>
  <si>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</si>
  <si>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</si>
  <si>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</si>
  <si>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</si>
  <si>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</si>
  <si>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</si>
  <si>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</si>
  <si>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</si>
  <si>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</si>
  <si>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</si>
  <si>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</si>
  <si>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</si>
  <si>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</si>
  <si>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</si>
  <si>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</si>
  <si>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</si>
  <si>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</si>
  <si>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</si>
  <si>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</si>
  <si>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</si>
  <si>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</si>
  <si>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</si>
  <si>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</si>
  <si>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</si>
  <si>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</si>
  <si>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</si>
  <si>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</si>
  <si>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</si>
  <si>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</si>
  <si>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</si>
  <si>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</si>
  <si>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</si>
  <si>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</si>
  <si>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</si>
  <si>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</si>
  <si>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</si>
  <si>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</si>
  <si>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</si>
  <si>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</si>
  <si>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</si>
  <si>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</si>
  <si>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</si>
  <si>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</si>
  <si>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</si>
  <si>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</si>
  <si>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</si>
  <si>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</si>
  <si>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</si>
  <si>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</si>
  <si>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</si>
  <si>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</si>
  <si>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</si>
  <si>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</si>
  <si>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</si>
  <si>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</si>
  <si>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</si>
  <si>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</si>
  <si>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</si>
  <si>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</si>
  <si>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</si>
  <si>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</si>
  <si>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</si>
  <si>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</si>
  <si>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</si>
  <si>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</si>
  <si>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</si>
  <si>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</si>
  <si>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</si>
  <si>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</si>
  <si>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</si>
  <si>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</si>
  <si>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</si>
  <si>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</si>
  <si>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</si>
  <si>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</si>
  <si>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</si>
  <si>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</si>
  <si>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</si>
  <si>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</si>
  <si>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</si>
  <si>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</si>
  <si>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</si>
  <si>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</si>
  <si>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</si>
  <si>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</si>
  <si>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</si>
  <si>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</si>
  <si>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</si>
  <si>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</si>
  <si>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</si>
  <si>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</si>
  <si>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</si>
  <si>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</si>
  <si>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</si>
  <si>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</si>
  <si>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</si>
  <si>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</si>
  <si>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</si>
  <si>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</si>
  <si>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</si>
  <si>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</si>
  <si>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</si>
  <si>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</si>
  <si>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</si>
  <si>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</si>
  <si>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</si>
  <si>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</si>
  <si>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</si>
  <si>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</si>
  <si>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</si>
  <si>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</si>
  <si>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</si>
  <si>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</si>
  <si>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</si>
  <si>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</si>
  <si>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</si>
  <si>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</si>
  <si>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</si>
  <si>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</si>
  <si>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</si>
  <si>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</si>
  <si>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</si>
  <si>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</si>
  <si>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</si>
  <si>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</si>
  <si>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</si>
  <si>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</si>
  <si>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</si>
  <si>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</si>
  <si>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</si>
  <si>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</si>
  <si>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</si>
  <si>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</si>
  <si>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</si>
  <si>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</si>
  <si>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</si>
  <si>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</si>
  <si>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</si>
  <si>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</si>
  <si>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</si>
  <si>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</si>
  <si>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</si>
  <si>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</si>
  <si>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</si>
  <si>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</si>
  <si>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</si>
  <si>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</si>
  <si>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</si>
  <si>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</si>
  <si>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</si>
  <si>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</si>
  <si>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</si>
  <si>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</si>
  <si>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</si>
  <si>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</si>
  <si>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</si>
  <si>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</si>
  <si>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</si>
  <si>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</si>
  <si>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</si>
  <si>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</si>
  <si>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</si>
  <si>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</si>
  <si>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</si>
  <si>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</si>
  <si>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</si>
  <si>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</si>
  <si>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</si>
  <si>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</si>
  <si>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</si>
  <si>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</si>
  <si>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</si>
  <si>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</si>
  <si>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</si>
  <si>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</si>
  <si>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</si>
  <si>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</si>
  <si>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</si>
  <si>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</si>
  <si>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</si>
  <si>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</si>
  <si>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</si>
  <si>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</si>
  <si>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</si>
  <si>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</si>
  <si>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</si>
  <si>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</si>
  <si>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</si>
  <si>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</si>
  <si>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</si>
  <si>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</si>
  <si>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</si>
  <si>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</si>
  <si>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</si>
  <si>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</si>
  <si>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</si>
  <si>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</si>
  <si>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</si>
  <si>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</si>
  <si>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</si>
  <si>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</si>
  <si>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</si>
  <si>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</si>
  <si>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</si>
  <si>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</si>
  <si>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</si>
  <si>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</si>
  <si>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</si>
  <si>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</si>
  <si>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</si>
  <si>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</si>
  <si>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</si>
  <si>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</si>
  <si>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</si>
  <si>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</si>
  <si>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</si>
  <si>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</si>
  <si>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</si>
  <si>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</si>
  <si>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</si>
  <si>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</si>
  <si>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</si>
  <si>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</si>
  <si>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</si>
  <si>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</si>
  <si>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</si>
  <si>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</si>
  <si>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</si>
  <si>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</si>
  <si>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</si>
  <si>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</si>
  <si>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</si>
  <si>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</si>
  <si>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</si>
  <si>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</si>
  <si>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</si>
  <si>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</si>
  <si>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</si>
  <si>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</si>
  <si>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</si>
  <si>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</si>
  <si>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</si>
  <si>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</si>
  <si>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</si>
  <si>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</si>
  <si>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</si>
  <si>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</si>
  <si>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</si>
  <si>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</si>
  <si>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</si>
  <si>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</si>
  <si>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</si>
  <si>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</si>
  <si>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</si>
  <si>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</si>
  <si>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</si>
  <si>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</si>
  <si>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</si>
  <si>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</si>
  <si>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</si>
  <si>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</si>
  <si>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</si>
  <si>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</si>
  <si>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</si>
  <si>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</si>
  <si>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</si>
  <si>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</si>
  <si>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</si>
  <si>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</si>
  <si>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</si>
  <si>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</si>
  <si>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</si>
  <si>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</si>
  <si>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</si>
  <si>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</si>
  <si>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</si>
  <si>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</si>
  <si>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</si>
  <si>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</si>
  <si>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</si>
  <si>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</si>
  <si>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</si>
  <si>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</si>
  <si>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</si>
  <si>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</si>
  <si>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</si>
  <si>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</si>
  <si>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</si>
  <si>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</si>
  <si>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</si>
  <si>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</si>
  <si>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</si>
  <si>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</si>
  <si>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</si>
  <si>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</si>
  <si>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</si>
  <si>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</si>
  <si>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</si>
  <si>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</si>
  <si>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</si>
  <si>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</si>
  <si>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</si>
  <si>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</si>
  <si>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</si>
  <si>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</si>
  <si>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</si>
  <si>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</si>
  <si>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</si>
  <si>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</si>
  <si>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</si>
  <si>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</si>
  <si>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</si>
  <si>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</si>
  <si>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</si>
  <si>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</si>
  <si>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</si>
  <si>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</si>
  <si>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</si>
  <si>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</si>
  <si>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</si>
  <si>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</si>
  <si>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</si>
  <si>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</si>
  <si>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</si>
  <si>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</si>
  <si>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</si>
  <si>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</si>
  <si>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</si>
  <si>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</si>
  <si>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</si>
  <si>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</si>
  <si>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</si>
  <si>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</si>
  <si>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</si>
  <si>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</si>
  <si>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</si>
  <si>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</si>
  <si>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</si>
  <si>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</si>
  <si>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</si>
  <si>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</si>
  <si>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</si>
  <si>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</si>
  <si>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</si>
  <si>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</si>
  <si>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</si>
  <si>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</si>
  <si>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</si>
  <si>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</si>
  <si>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</si>
  <si>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</si>
  <si>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</si>
  <si>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</si>
  <si>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</si>
  <si>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</si>
  <si>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</si>
  <si>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</si>
  <si>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</si>
  <si>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</si>
  <si>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</si>
  <si>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</si>
  <si>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</si>
  <si>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</si>
  <si>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</si>
  <si>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</si>
  <si>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</si>
  <si>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</si>
  <si>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</si>
  <si>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</si>
  <si>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</si>
  <si>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</si>
  <si>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</si>
  <si>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</si>
  <si>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</si>
  <si>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</si>
  <si>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</si>
  <si>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</si>
  <si>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</si>
  <si>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</si>
  <si>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</si>
  <si>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</si>
  <si>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</si>
  <si>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</si>
  <si>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</si>
  <si>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</si>
  <si>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</si>
  <si>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</si>
  <si>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</si>
  <si>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</si>
  <si>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</si>
  <si>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</si>
  <si>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</si>
  <si>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</si>
  <si>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</si>
  <si>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</si>
  <si>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</si>
  <si>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</si>
  <si>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</si>
  <si>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</si>
  <si>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</si>
  <si>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</si>
  <si>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</si>
  <si>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</si>
  <si>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</si>
  <si>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</si>
  <si>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</si>
  <si>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</si>
  <si>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</si>
  <si>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</si>
  <si>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</si>
  <si>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</si>
  <si>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</si>
  <si>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</si>
  <si>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</si>
  <si>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</si>
  <si>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</si>
  <si>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</si>
  <si>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</si>
  <si>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>Schedule → dissolved-CO₂ sawtooth model</t>
  </si>
  <si>
    <t>Limit-cycle dissolved CO₂ from the sparge pulse/gap schedule; feeds Chemistry CO2aqc (D5).</t>
  </si>
  <si>
    <t>CO₂ molecular diffusivity</t>
  </si>
  <si>
    <t>D_CO2</t>
  </si>
  <si>
    <t>pCO2_air</t>
  </si>
  <si>
    <t>CO₂ saturation (pure sparge)</t>
  </si>
  <si>
    <t>C_sat_CO2</t>
  </si>
  <si>
    <t>CO₂ air-equilibrium</t>
  </si>
  <si>
    <t>C_air_CO2</t>
  </si>
  <si>
    <t>sqrtD_CO2</t>
  </si>
  <si>
    <t>kLa_CO2_off</t>
  </si>
  <si>
    <t>Pulse duration</t>
  </si>
  <si>
    <t>t_on_CO2</t>
  </si>
  <si>
    <t>Gap duration</t>
  </si>
  <si>
    <t>t_off_CO2</t>
  </si>
  <si>
    <t>CO2_int_on</t>
  </si>
  <si>
    <t>mol.s/m³</t>
  </si>
  <si>
    <t>CO2_int_off</t>
  </si>
  <si>
    <t>Cycle-average CO₂</t>
  </si>
  <si>
    <t>CO2_cyc_avg</t>
  </si>
  <si>
    <t>Steady dissolved CO₂</t>
  </si>
  <si>
    <t>CO2aqc_ss</t>
  </si>
  <si>
    <t>Schedule validity</t>
  </si>
  <si>
    <t>sched_valid</t>
  </si>
  <si>
    <t>Schedule-dependent steady-state dissolved CO₂ (sawtooth limit cycle, bounded air-eq..saturation) - was the fixed full-sparge worst case</t>
  </si>
  <si>
    <t>CO₂ diffusivity in water ~25°C, Cussler/Tamimi 1994.</t>
  </si>
  <si>
    <t>Atmospheric CO₂ partial pressure</t>
  </si>
  <si>
    <t>Atmospheric pCO₂ (~400 ppm).</t>
  </si>
  <si>
    <t>Headspace volume (SI)</t>
  </si>
  <si>
    <t>headspace_V_m3</t>
  </si>
  <si>
    <t>m³</t>
  </si>
  <si>
    <t>Geometry headspace volume converted mL→m³.</t>
  </si>
  <si>
    <t>Liquid volume (SI)</t>
  </si>
  <si>
    <t>V_L_m3</t>
  </si>
  <si>
    <t>Charged liquid volume converted mL→m³.</t>
  </si>
  <si>
    <t>Headspace vent bleed</t>
  </si>
  <si>
    <t>Q_vent</t>
  </si>
  <si>
    <t>Slow restricted vent bleed - dead-volume + tube + near-closed solenoid leak. KEY NEW UNCERTAIN PARAMETER - measure. NOT free membrane diffusion, which would clear in seconds and could not reproduce the run-2 acidification.</t>
  </si>
  <si>
    <t>Headspace vent rate</t>
  </si>
  <si>
    <t>k_vent</t>
  </si>
  <si>
    <t>First-order headspace clearance from the vent volumetric bleed.</t>
  </si>
  <si>
    <t>Headspace residence time</t>
  </si>
  <si>
    <t>tau_hs</t>
  </si>
  <si>
    <t>Time constant for the headspace to clear through the vent.</t>
  </si>
  <si>
    <t>Henry-law dissolved CO₂ at pure-CO₂ saturation.</t>
  </si>
  <si>
    <t>Henry-law dissolved CO₂ in equilibrium with room air.</t>
  </si>
  <si>
    <t>Diffusivity scaling (CO₂/O₂)</t>
  </si>
  <si>
    <t>Penetration-theory √(D_CO₂/D_O₂) scaling of the O₂ transfer coefficient.</t>
  </si>
  <si>
    <t>CO₂ surface transfer coefficient</t>
  </si>
  <si>
    <t>Surface kLa for CO₂ between pulses (surface path).</t>
  </si>
  <si>
    <t>Surface-relaxation time</t>
  </si>
  <si>
    <t>tau_surf_floor</t>
  </si>
  <si>
    <t>Time constant for the liquid to relax to the headspace via the surface.</t>
  </si>
  <si>
    <t>Headspace gas inventory</t>
  </si>
  <si>
    <t>n_hs_gas</t>
  </si>
  <si>
    <t>Moles of gas in the headspace at P_atm, T_K (ideal-gas).</t>
  </si>
  <si>
    <t>Sparge pulse on-time from the schedule.</t>
  </si>
  <si>
    <t>Time between pulses, guard-floored at 0.</t>
  </si>
  <si>
    <t>On-phase surface decay</t>
  </si>
  <si>
    <t>eon_CO2</t>
  </si>
  <si>
    <t>Surface-path liquid decay factor over the pulse.</t>
  </si>
  <si>
    <t>Off-phase surface decay</t>
  </si>
  <si>
    <t>e1_CO2</t>
  </si>
  <si>
    <t>Surface-path liquid decay factor over the gap.</t>
  </si>
  <si>
    <t>Off-phase vent decay</t>
  </si>
  <si>
    <t>e2_CO2</t>
  </si>
  <si>
    <t>Headspace vent decay factor over the gap.</t>
  </si>
  <si>
    <t>Two-compartment coupling coef</t>
  </si>
  <si>
    <t>coef_CO2</t>
  </si>
  <si>
    <t>Coupling coefficient linking the venting headspace to the liquid relaxation.</t>
  </si>
  <si>
    <t>Cycle-start liquid CO₂</t>
  </si>
  <si>
    <t>Ca_CO2</t>
  </si>
  <si>
    <t>Closed-form limit-cycle dissolved CO₂ at the start of each pulse.</t>
  </si>
  <si>
    <t>End-of-pulse liquid CO₂</t>
  </si>
  <si>
    <t>Cb_CO2</t>
  </si>
  <si>
    <t>Dissolved CO₂ at the end of the pulse (start of the gap).</t>
  </si>
  <si>
    <t>On-phase CO₂ integral</t>
  </si>
  <si>
    <t>Time-integral of dissolved CO₂ over the pulse.</t>
  </si>
  <si>
    <t>Off-phase CO₂ integral</t>
  </si>
  <si>
    <t>Time-integral of dissolved CO₂ over the gap, including the venting-headspace term.</t>
  </si>
  <si>
    <t>Limit-cycle time-average dissolved CO₂ over one pulse+gap.</t>
  </si>
  <si>
    <t>Bounded steady dissolved CO₂; the value Chemistry D5 is repointed to (two-compartment headspace model).</t>
  </si>
  <si>
    <t>Vent-path sanity check</t>
  </si>
  <si>
    <t>vent_floor_chk</t>
  </si>
  <si>
    <t>Confirms the vent is the rate-limiting path; if the surface cleared faster, run 2 could not stay acidic.</t>
  </si>
  <si>
    <t>Surfaces an interval&lt;pulse misconfiguration.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</si>
</sst>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1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D5" sqref="D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994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1172</v>
      </c>
    </row>
    <row r="13" spans="1:7" ht="16" customHeight="1" thickBot="1" x14ac:dyDescent="0.25">
      <c r="A13" s="28" t="s">
        <v>1086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30"/>
    </row>
    <row r="14" spans="1:7" s="3" customFormat="1" ht="16" customHeight="1" thickBot="1" x14ac:dyDescent="0.25">
      <c r="A14" s="28" t="s">
        <v>1087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30"/>
    </row>
    <row r="16" spans="1:7" x14ac:dyDescent="0.2">
      <c r="A16" s="28" t="s">
        <v>1085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1004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1005</v>
      </c>
    </row>
    <row r="35" spans="1:6" ht="16" thickBot="1" x14ac:dyDescent="0.25">
      <c r="A35" s="90" t="s">
        <v>1006</v>
      </c>
      <c r="C35" s="20"/>
      <c r="D35" s="129">
        <f>Chemistry!$D$103</f>
        <v>7.0138967253152611</v>
      </c>
      <c r="E35" s="23" t="str">
        <f>HYPERLINK("#Chemistry!D103","→ Chemistry")</f>
        <v>→ Chemistry</v>
      </c>
      <c r="F35" s="21" t="s">
        <v>1007</v>
      </c>
    </row>
    <row r="36" spans="1:6" ht="16" thickBot="1" x14ac:dyDescent="0.25">
      <c r="A36" s="90" t="s">
        <v>1167</v>
      </c>
      <c r="C36" s="20" t="s">
        <v>104</v>
      </c>
      <c r="D36" s="129">
        <f>Chemistry!$D$145</f>
        <v>0</v>
      </c>
      <c r="E36" s="23" t="str">
        <f>HYPERLINK("#Chemistry!D139","→ Chemistry")</f>
        <v>→ Chemistry</v>
      </c>
      <c r="F36" s="21" t="s">
        <v>1008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1038</v>
      </c>
      <c r="B58" s="20" t="s">
        <v>1039</v>
      </c>
      <c r="C58" s="20" t="s">
        <v>1040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1041</v>
      </c>
    </row>
    <row r="59" spans="1:6" x14ac:dyDescent="0.2">
      <c r="A59" s="20" t="s">
        <v>1042</v>
      </c>
      <c r="B59" s="20" t="s">
        <v>1043</v>
      </c>
      <c r="C59" s="20" t="s">
        <v>1044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1045</v>
      </c>
    </row>
    <row r="60" spans="1:6" x14ac:dyDescent="0.2">
      <c r="A60" s="20" t="s">
        <v>1046</v>
      </c>
      <c r="B60" s="20" t="s">
        <v>1047</v>
      </c>
      <c r="C60" s="20" t="s">
        <v>1048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1049</v>
      </c>
    </row>
    <row r="61" spans="1:6" x14ac:dyDescent="0.2">
      <c r="A61" s="20" t="s">
        <v>1050</v>
      </c>
      <c r="B61" s="20" t="s">
        <v>1051</v>
      </c>
      <c r="C61" s="20" t="s">
        <v>1052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1053</v>
      </c>
    </row>
    <row r="62" spans="1:6" x14ac:dyDescent="0.2">
      <c r="A62" s="20" t="s">
        <v>1054</v>
      </c>
      <c r="B62" s="20" t="s">
        <v>1055</v>
      </c>
      <c r="C62" s="20" t="s">
        <v>1056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1057</v>
      </c>
    </row>
    <row r="63" spans="1:6" x14ac:dyDescent="0.2">
      <c r="A63" s="20" t="s">
        <v>1058</v>
      </c>
      <c r="B63" s="20" t="s">
        <v>1059</v>
      </c>
      <c r="C63" s="20" t="s">
        <v>1060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1061</v>
      </c>
    </row>
    <row r="64" spans="1:6" x14ac:dyDescent="0.2">
      <c r="A64" s="20" t="s">
        <v>1062</v>
      </c>
      <c r="B64" s="20" t="s">
        <v>1063</v>
      </c>
      <c r="C64" s="20" t="s">
        <v>1064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1065</v>
      </c>
    </row>
    <row r="65" spans="1:6" x14ac:dyDescent="0.2">
      <c r="A65" s="20" t="s">
        <v>1066</v>
      </c>
      <c r="B65" s="20" t="s">
        <v>1067</v>
      </c>
      <c r="C65" s="20" t="s">
        <v>1068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1069</v>
      </c>
    </row>
    <row r="66" spans="1:6" x14ac:dyDescent="0.2">
      <c r="A66" s="20" t="s">
        <v>1070</v>
      </c>
      <c r="B66" s="20" t="s">
        <v>1071</v>
      </c>
      <c r="C66" s="20" t="s">
        <v>1072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1073</v>
      </c>
    </row>
    <row r="67" spans="1:6" x14ac:dyDescent="0.2">
      <c r="A67" s="20" t="s">
        <v>1074</v>
      </c>
      <c r="B67" s="20" t="s">
        <v>1075</v>
      </c>
      <c r="C67" s="20" t="s">
        <v>1076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1077</v>
      </c>
    </row>
    <row r="68" spans="1:6" x14ac:dyDescent="0.2">
      <c r="A68" s="20" t="s">
        <v>1078</v>
      </c>
      <c r="B68" s="20" t="s">
        <v>1079</v>
      </c>
      <c r="C68" s="20" t="s">
        <v>1080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1081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B56:B68">
    <cfRule type="expression" dxfId="30" priority="16" stopIfTrue="1">
      <formula>EXACT(B56,"HIGH")</formula>
    </cfRule>
    <cfRule type="expression" dxfId="29" priority="17" stopIfTrue="1">
      <formula>EXACT(B56,"MED")</formula>
    </cfRule>
    <cfRule type="expression" dxfId="28" priority="18" stopIfTrue="1">
      <formula>EXACT(B56,"LOW")</formula>
    </cfRule>
  </conditionalFormatting>
  <conditionalFormatting sqref="C56:C68">
    <cfRule type="expression" dxfId="27" priority="19" stopIfTrue="1">
      <formula>EXACT(C56,"low")</formula>
    </cfRule>
    <cfRule type="expression" dxfId="26" priority="20" stopIfTrue="1">
      <formula>EXACT(C56,"med")</formula>
    </cfRule>
    <cfRule type="expression" dxfId="25" priority="21" stopIfTrue="1">
      <formula>EXACT(C56,"high")</formula>
    </cfRule>
  </conditionalFormatting>
  <conditionalFormatting sqref="D13:D16">
    <cfRule type="expression" dxfId="24" priority="15" stopIfTrue="1">
      <formula>ISNUMBER(SEARCH("calibrate this",D13))</formula>
    </cfRule>
  </conditionalFormatting>
  <conditionalFormatting sqref="D14">
    <cfRule type="expression" dxfId="23" priority="1" stopIfTrue="1">
      <formula>AND(ISNUMBER($G$13),$G$13&gt;0)</formula>
    </cfRule>
  </conditionalFormatting>
  <conditionalFormatting sqref="D16">
    <cfRule type="expression" dxfId="22" priority="3" stopIfTrue="1">
      <formula>AND(ISNUMBER($G$15),$G$15&gt;0)</formula>
    </cfRule>
  </conditionalFormatting>
  <conditionalFormatting sqref="D19:D36">
    <cfRule type="expression" dxfId="21" priority="12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3" stopIfTrue="1">
      <formula>OR(ISNUMBER(SEARCH("above optimum",D19)),ISNUMBER(SEARCH("watch",D19)),ISNUMBER(SEARCH("NEAREST",D19)),ISNUMBER(SEARCH("unknown",D19)),ISNUMBER(SEARCH("TIGHT",D19)))</formula>
    </cfRule>
    <cfRule type="expression" dxfId="19" priority="14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2" stopIfTrue="1">
      <formula>OR(D35&lt;6,D35&gt;8)</formula>
    </cfRule>
    <cfRule type="expression" dxfId="17" priority="23" stopIfTrue="1">
      <formula>OR(D35&lt;6.5,D35&gt;7.5)</formula>
    </cfRule>
    <cfRule type="expression" dxfId="16" priority="24" stopIfTrue="1">
      <formula>ISNUMBER(D35)</formula>
    </cfRule>
  </conditionalFormatting>
  <conditionalFormatting sqref="D36">
    <cfRule type="expression" dxfId="15" priority="25" stopIfTrue="1">
      <formula>D36&gt;1</formula>
    </cfRule>
    <cfRule type="expression" dxfId="14" priority="26" stopIfTrue="1">
      <formula>D36&gt;0.1</formula>
    </cfRule>
    <cfRule type="expression" dxfId="13" priority="27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ht="36" x14ac:dyDescent="0.2">
      <c r="A5" s="17" t="s">
        <v>858</v>
      </c>
      <c r="B5" s="18" t="s">
        <v>859</v>
      </c>
      <c r="C5" s="19" t="s">
        <v>860</v>
      </c>
      <c r="D5" s="64">
        <f>'Mass Transfer'!$D$162</f>
        <v>9.8009182872224013E-4</v>
      </c>
      <c r="E5" s="51" t="s">
        <v>1197</v>
      </c>
    </row>
    <row r="6" spans="1:6" x14ac:dyDescent="0.2">
      <c r="A6" s="17" t="s">
        <v>861</v>
      </c>
      <c r="B6" s="18" t="s">
        <v>862</v>
      </c>
      <c r="C6" s="19" t="s">
        <v>863</v>
      </c>
      <c r="D6" s="64">
        <f>Electrochemistry!$D$19</f>
        <v>5.6899999999999997E-3</v>
      </c>
      <c r="E6" s="51" t="s">
        <v>864</v>
      </c>
    </row>
    <row r="7" spans="1:6" x14ac:dyDescent="0.2">
      <c r="A7" s="17" t="s">
        <v>865</v>
      </c>
      <c r="B7" s="18" t="s">
        <v>866</v>
      </c>
      <c r="C7" s="19" t="s">
        <v>867</v>
      </c>
      <c r="D7" s="64">
        <f>Electrochemistry!$D$15</f>
        <v>96485.332120000006</v>
      </c>
      <c r="E7" s="51" t="s">
        <v>868</v>
      </c>
    </row>
    <row r="8" spans="1:6" x14ac:dyDescent="0.2">
      <c r="A8" s="17" t="s">
        <v>869</v>
      </c>
      <c r="B8" s="18" t="s">
        <v>870</v>
      </c>
      <c r="C8" s="19" t="s">
        <v>871</v>
      </c>
      <c r="D8" s="64">
        <f>Biology!$D$6/1000</f>
        <v>1.4999999999999999E-2</v>
      </c>
      <c r="E8" s="51" t="s">
        <v>872</v>
      </c>
    </row>
    <row r="9" spans="1:6" x14ac:dyDescent="0.2">
      <c r="A9" s="17" t="s">
        <v>873</v>
      </c>
      <c r="B9" s="18" t="s">
        <v>874</v>
      </c>
      <c r="C9" s="19" t="s">
        <v>875</v>
      </c>
      <c r="D9" s="52">
        <v>8.3140000000000001</v>
      </c>
      <c r="E9" s="85" t="s">
        <v>876</v>
      </c>
    </row>
    <row r="11" spans="1:6" ht="16" x14ac:dyDescent="0.2">
      <c r="A11" s="110" t="s">
        <v>877</v>
      </c>
      <c r="F11" s="107" t="s">
        <v>878</v>
      </c>
    </row>
    <row r="12" spans="1:6" x14ac:dyDescent="0.2">
      <c r="A12" s="16" t="s">
        <v>879</v>
      </c>
      <c r="B12" s="16" t="s">
        <v>880</v>
      </c>
      <c r="C12" s="16" t="s">
        <v>881</v>
      </c>
      <c r="D12" s="16" t="s">
        <v>882</v>
      </c>
      <c r="E12" s="16" t="s">
        <v>883</v>
      </c>
    </row>
    <row r="13" spans="1:6" x14ac:dyDescent="0.2">
      <c r="A13" s="17" t="s">
        <v>885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884</v>
      </c>
    </row>
    <row r="14" spans="1:6" x14ac:dyDescent="0.2">
      <c r="A14" s="17" t="s">
        <v>886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884</v>
      </c>
    </row>
    <row r="15" spans="1:6" x14ac:dyDescent="0.2">
      <c r="A15" s="17" t="s">
        <v>887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884</v>
      </c>
    </row>
    <row r="16" spans="1:6" x14ac:dyDescent="0.2">
      <c r="A16" s="17" t="s">
        <v>888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884</v>
      </c>
    </row>
    <row r="17" spans="1:6" x14ac:dyDescent="0.2">
      <c r="A17" s="17" t="s">
        <v>1032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884</v>
      </c>
    </row>
    <row r="18" spans="1:6" x14ac:dyDescent="0.2">
      <c r="A18" s="17" t="s">
        <v>889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884</v>
      </c>
    </row>
    <row r="19" spans="1:6" x14ac:dyDescent="0.2">
      <c r="A19" s="17" t="s">
        <v>890</v>
      </c>
      <c r="B19" s="52">
        <v>1E-14</v>
      </c>
      <c r="C19" s="52">
        <v>55.8</v>
      </c>
      <c r="D19" s="64">
        <f t="shared" si="0"/>
        <v>1E-14</v>
      </c>
      <c r="E19" s="85" t="s">
        <v>884</v>
      </c>
    </row>
    <row r="20" spans="1:6" x14ac:dyDescent="0.2">
      <c r="A20" s="17" t="s">
        <v>891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884</v>
      </c>
    </row>
    <row r="21" spans="1:6" x14ac:dyDescent="0.2">
      <c r="A21" s="17" t="s">
        <v>892</v>
      </c>
      <c r="B21" s="18" t="s">
        <v>893</v>
      </c>
      <c r="C21" s="19" t="s">
        <v>894</v>
      </c>
      <c r="D21" s="62">
        <f>-LOG10(Ka_HOCl)</f>
        <v>7.54</v>
      </c>
      <c r="E21" s="51" t="s">
        <v>895</v>
      </c>
    </row>
    <row r="23" spans="1:6" ht="16" x14ac:dyDescent="0.2">
      <c r="A23" s="110" t="s">
        <v>896</v>
      </c>
      <c r="F23" s="107" t="s">
        <v>897</v>
      </c>
    </row>
    <row r="24" spans="1:6" x14ac:dyDescent="0.2">
      <c r="A24" s="16" t="s">
        <v>900</v>
      </c>
      <c r="B24" s="16" t="s">
        <v>901</v>
      </c>
      <c r="C24" s="16" t="s">
        <v>902</v>
      </c>
      <c r="D24" s="16" t="s">
        <v>903</v>
      </c>
      <c r="E24" s="16" t="s">
        <v>904</v>
      </c>
    </row>
    <row r="25" spans="1:6" x14ac:dyDescent="0.2">
      <c r="A25" s="17" t="s">
        <v>905</v>
      </c>
      <c r="B25" s="52">
        <v>136.08600000000001</v>
      </c>
      <c r="C25" s="20">
        <v>0</v>
      </c>
      <c r="D25" s="52">
        <v>2.2999999999999998</v>
      </c>
      <c r="E25" s="51" t="s">
        <v>898</v>
      </c>
    </row>
    <row r="26" spans="1:6" x14ac:dyDescent="0.2">
      <c r="A26" s="17" t="s">
        <v>906</v>
      </c>
      <c r="B26" s="52">
        <v>141.96</v>
      </c>
      <c r="C26" s="52">
        <v>2.895</v>
      </c>
      <c r="D26" s="52">
        <v>2.9</v>
      </c>
      <c r="E26" s="51" t="s">
        <v>899</v>
      </c>
    </row>
    <row r="27" spans="1:6" x14ac:dyDescent="0.2">
      <c r="A27" s="17" t="s">
        <v>907</v>
      </c>
      <c r="B27" s="52">
        <v>156.01</v>
      </c>
      <c r="C27" s="52">
        <v>3.06</v>
      </c>
      <c r="D27" s="20">
        <v>0</v>
      </c>
      <c r="E27" s="51" t="s">
        <v>899</v>
      </c>
    </row>
    <row r="28" spans="1:6" x14ac:dyDescent="0.2">
      <c r="A28" s="17" t="s">
        <v>908</v>
      </c>
      <c r="B28" s="52">
        <v>84.007000000000005</v>
      </c>
      <c r="C28" s="20">
        <v>0</v>
      </c>
      <c r="D28" s="52">
        <v>1.05</v>
      </c>
      <c r="E28" s="51" t="s">
        <v>898</v>
      </c>
    </row>
    <row r="29" spans="1:6" x14ac:dyDescent="0.2">
      <c r="A29" s="17" t="s">
        <v>909</v>
      </c>
      <c r="B29" s="52">
        <v>174.26</v>
      </c>
      <c r="C29" s="52">
        <v>0.17</v>
      </c>
      <c r="D29" s="20">
        <v>0</v>
      </c>
      <c r="E29" s="51" t="s">
        <v>899</v>
      </c>
    </row>
    <row r="30" spans="1:6" x14ac:dyDescent="0.2">
      <c r="A30" s="17" t="s">
        <v>910</v>
      </c>
      <c r="B30" s="52">
        <v>172.17</v>
      </c>
      <c r="C30" s="52">
        <v>9.7000000000000003E-2</v>
      </c>
      <c r="D30" s="20">
        <v>0</v>
      </c>
      <c r="E30" s="51" t="s">
        <v>899</v>
      </c>
    </row>
    <row r="31" spans="1:6" x14ac:dyDescent="0.2">
      <c r="A31" s="17" t="s">
        <v>911</v>
      </c>
      <c r="B31" s="52">
        <v>246.48</v>
      </c>
      <c r="C31" s="52">
        <v>0.8</v>
      </c>
      <c r="D31" s="52">
        <v>0.5</v>
      </c>
      <c r="E31" s="51" t="s">
        <v>899</v>
      </c>
    </row>
    <row r="32" spans="1:6" x14ac:dyDescent="0.2">
      <c r="A32" s="17" t="s">
        <v>912</v>
      </c>
      <c r="B32" s="52">
        <v>132.13999999999999</v>
      </c>
      <c r="C32" s="52">
        <v>0.94299999999999995</v>
      </c>
      <c r="D32" s="52">
        <v>0.47</v>
      </c>
      <c r="E32" s="51" t="s">
        <v>899</v>
      </c>
    </row>
    <row r="33" spans="1:5" ht="24" x14ac:dyDescent="0.2">
      <c r="A33" s="17" t="s">
        <v>913</v>
      </c>
      <c r="B33" s="52">
        <v>110.98</v>
      </c>
      <c r="C33" s="20">
        <v>0</v>
      </c>
      <c r="D33" s="52">
        <v>0.01</v>
      </c>
      <c r="E33" s="51" t="s">
        <v>1092</v>
      </c>
    </row>
    <row r="35" spans="1:5" x14ac:dyDescent="0.2">
      <c r="A35" s="17" t="s">
        <v>914</v>
      </c>
      <c r="B35" s="18" t="s">
        <v>915</v>
      </c>
      <c r="C35" s="19" t="s">
        <v>916</v>
      </c>
      <c r="D35" s="62">
        <f>mc_Na2HPO4/MW_Na2HPO4+mc_NaH2PO4_2H2O/MW_NaH2PO4_2H2O</f>
        <v>4.0007195769523628E-2</v>
      </c>
      <c r="E35" s="51" t="s">
        <v>917</v>
      </c>
    </row>
    <row r="36" spans="1:5" x14ac:dyDescent="0.2">
      <c r="A36" s="17" t="s">
        <v>918</v>
      </c>
      <c r="B36" s="18" t="s">
        <v>919</v>
      </c>
      <c r="C36" s="19" t="s">
        <v>920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921</v>
      </c>
    </row>
    <row r="37" spans="1:5" x14ac:dyDescent="0.2">
      <c r="A37" s="17" t="s">
        <v>922</v>
      </c>
      <c r="B37" s="18" t="s">
        <v>923</v>
      </c>
      <c r="C37" s="19" t="s">
        <v>924</v>
      </c>
      <c r="D37" s="62">
        <f>2*mc_NH42SO4/MW_NH42SO4</f>
        <v>1.4272741032238535E-2</v>
      </c>
      <c r="E37" s="51" t="s">
        <v>925</v>
      </c>
    </row>
    <row r="38" spans="1:5" x14ac:dyDescent="0.2">
      <c r="A38" s="17" t="s">
        <v>926</v>
      </c>
      <c r="B38" s="18" t="s">
        <v>927</v>
      </c>
      <c r="C38" s="19" t="s">
        <v>928</v>
      </c>
      <c r="D38" s="62">
        <f>0</f>
        <v>0</v>
      </c>
      <c r="E38" s="51" t="s">
        <v>929</v>
      </c>
    </row>
    <row r="39" spans="1:5" x14ac:dyDescent="0.2">
      <c r="A39" s="17" t="s">
        <v>930</v>
      </c>
      <c r="B39" s="18" t="s">
        <v>931</v>
      </c>
      <c r="C39" s="19" t="s">
        <v>932</v>
      </c>
      <c r="D39" s="62">
        <f>udg_KH2PO4/MW_KH2PO4+udg_Na2HPO4/MW_Na2HPO4</f>
        <v>3.7329366919026843E-2</v>
      </c>
      <c r="E39" s="51" t="s">
        <v>933</v>
      </c>
    </row>
    <row r="40" spans="1:5" x14ac:dyDescent="0.2">
      <c r="A40" s="17" t="s">
        <v>934</v>
      </c>
      <c r="B40" s="18" t="s">
        <v>935</v>
      </c>
      <c r="C40" s="19" t="s">
        <v>936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937</v>
      </c>
    </row>
    <row r="41" spans="1:5" x14ac:dyDescent="0.2">
      <c r="A41" s="17" t="s">
        <v>938</v>
      </c>
      <c r="B41" s="18" t="s">
        <v>939</v>
      </c>
      <c r="C41" s="19" t="s">
        <v>940</v>
      </c>
      <c r="D41" s="62">
        <f>2*udg_NH42SO4/MW_NH42SO4</f>
        <v>7.1136673225367037E-3</v>
      </c>
      <c r="E41" s="51" t="s">
        <v>941</v>
      </c>
    </row>
    <row r="42" spans="1:5" x14ac:dyDescent="0.2">
      <c r="A42" s="17" t="s">
        <v>942</v>
      </c>
      <c r="B42" s="18" t="s">
        <v>943</v>
      </c>
      <c r="C42" s="19" t="s">
        <v>944</v>
      </c>
      <c r="D42" s="62">
        <f>2*udg_CaCl2/MW_CaCl2</f>
        <v>1.8021265092809516E-4</v>
      </c>
      <c r="E42" s="51" t="s">
        <v>945</v>
      </c>
    </row>
    <row r="44" spans="1:5" x14ac:dyDescent="0.2">
      <c r="A44" s="17" t="s">
        <v>946</v>
      </c>
      <c r="B44" s="18" t="s">
        <v>947</v>
      </c>
      <c r="C44" s="19" t="s">
        <v>948</v>
      </c>
      <c r="D44" s="62">
        <f>IF(Summary!$D$5="MC02",SID_mc02,IF(Summary!$D$5="UdG phosphate",SID_udg,NA()))</f>
        <v>4.6127523207276644E-2</v>
      </c>
      <c r="E44" s="51" t="s">
        <v>949</v>
      </c>
    </row>
    <row r="45" spans="1:5" x14ac:dyDescent="0.2">
      <c r="A45" s="17" t="s">
        <v>950</v>
      </c>
      <c r="B45" s="18" t="s">
        <v>951</v>
      </c>
      <c r="C45" s="19" t="s">
        <v>952</v>
      </c>
      <c r="D45" s="62">
        <f>IF(Summary!$D$5="MC02",PT_mc02,IF(Summary!$D$5="UdG phosphate",PT_udg,NA()))</f>
        <v>4.0007195769523628E-2</v>
      </c>
      <c r="E45" s="51" t="s">
        <v>953</v>
      </c>
    </row>
    <row r="46" spans="1:5" x14ac:dyDescent="0.2">
      <c r="A46" s="17" t="s">
        <v>954</v>
      </c>
      <c r="B46" s="18" t="s">
        <v>955</v>
      </c>
      <c r="C46" s="19" t="s">
        <v>956</v>
      </c>
      <c r="D46" s="62">
        <f>IF(Summary!$D$5="MC02",NT_mc02,IF(Summary!$D$5="UdG phosphate",NT_udg,NA()))</f>
        <v>1.4272741032238535E-2</v>
      </c>
      <c r="E46" s="51" t="s">
        <v>957</v>
      </c>
    </row>
    <row r="47" spans="1:5" x14ac:dyDescent="0.2">
      <c r="A47" s="17" t="s">
        <v>958</v>
      </c>
      <c r="B47" s="18" t="s">
        <v>959</v>
      </c>
      <c r="C47" s="19" t="s">
        <v>960</v>
      </c>
      <c r="D47" s="62">
        <f>IF(Summary!$D$5="MC02",Cl_mc02,IF(Summary!$D$5="UdG phosphate",Cl_udg,NA()))</f>
        <v>0</v>
      </c>
      <c r="E47" s="51" t="s">
        <v>961</v>
      </c>
    </row>
    <row r="49" spans="1:3" x14ac:dyDescent="0.2">
      <c r="A49" s="16" t="s">
        <v>962</v>
      </c>
      <c r="B49" s="16" t="s">
        <v>963</v>
      </c>
      <c r="C49" s="16" t="s">
        <v>964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2.1019058551390035E-2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2.087779495813831E-2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2.0761558996324307E-2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2.0664451481525431E-2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2.0581488381558221E-2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2.0508374166718756E-2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2.0441298663309293E-2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2.0376751712173753E-2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2.0311349339068894E-2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2.0241664884390737E-2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2.0164058456515817E-2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2.0074498101705092E-2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1.9968366246046778E-2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1.984024537243341E-2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1.9683677764218453E-2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1.9490895824322143E-2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1.9252522473739295E-2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1.8957246140313841E-2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1.859148272799048E-2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1.8139048623930128E-2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1.7580884924116733E-2</v>
      </c>
      <c r="C70" s="64">
        <f t="shared" si="2"/>
        <v>0</v>
      </c>
    </row>
    <row r="71" spans="1:3" x14ac:dyDescent="0.2">
      <c r="A71" s="20">
        <v>6.1</v>
      </c>
      <c r="B71" s="64">
        <f t="shared" si="1"/>
        <v>1.6894893432710553E-2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1.6055967446511051E-2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1.503631913895208E-2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1.3806209412016438E-2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1.2335157995106044E-2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1.059362973993507E-2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8.5550398269848369E-3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6.1976982814282806E-3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3.5060654213823097E-3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4.705083533996436E-4</v>
      </c>
      <c r="C80" s="64">
        <f t="shared" si="2"/>
        <v>7.0138967253152611</v>
      </c>
    </row>
    <row r="81" spans="1:3" x14ac:dyDescent="0.2">
      <c r="A81" s="20">
        <v>7.1</v>
      </c>
      <c r="B81" s="64">
        <f t="shared" si="1"/>
        <v>-2.9152414741727248E-3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-6.659438935895547E-3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-1.0780453391272093E-2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-1.5317047274339206E-2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-2.0339810546031352E-2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-2.5962833613778116E-2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-3.2355230637624466E-2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-3.9752906997736523E-2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-4.8471734024719042E-2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-5.8923885427503334E-2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-7.1639511319352173E-2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-8.7296326026057247E-2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-0.1067602794936845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-0.13114150219427442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-0.16187141848680417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-0.20080965054365266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-0.25039358543571821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-0.31385003445265258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-0.39549850835234002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-0.50119120576268095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965</v>
      </c>
      <c r="B103" s="18" t="s">
        <v>966</v>
      </c>
      <c r="C103" s="19" t="s">
        <v>967</v>
      </c>
      <c r="D103" s="62">
        <f>IF(n_cross=1,SUM(C50:C100),NA())</f>
        <v>7.0138967253152611</v>
      </c>
      <c r="E103" s="51" t="s">
        <v>968</v>
      </c>
      <c r="F103" s="107" t="s">
        <v>969</v>
      </c>
    </row>
    <row r="104" spans="1:7" x14ac:dyDescent="0.2">
      <c r="A104" s="17" t="s">
        <v>970</v>
      </c>
      <c r="B104" s="18" t="s">
        <v>971</v>
      </c>
      <c r="C104" s="19" t="s">
        <v>972</v>
      </c>
      <c r="D104" s="62">
        <f>1/(1+10^(pH_op-pKa_HOCl))</f>
        <v>0.77054613735518007</v>
      </c>
      <c r="E104" s="51" t="s">
        <v>973</v>
      </c>
    </row>
    <row r="105" spans="1:7" ht="36" x14ac:dyDescent="0.2">
      <c r="A105" s="17" t="s">
        <v>1028</v>
      </c>
      <c r="B105" s="18" t="s">
        <v>1029</v>
      </c>
      <c r="C105" s="19" t="s">
        <v>1030</v>
      </c>
      <c r="D105" s="62">
        <f>SUMPRODUCT((B50:B99&gt;=0)*(B51:B100&lt;0))</f>
        <v>1</v>
      </c>
      <c r="E105" s="51" t="s">
        <v>1031</v>
      </c>
      <c r="F105" s="20"/>
    </row>
    <row r="106" spans="1:7" ht="48" x14ac:dyDescent="0.2">
      <c r="A106" s="110" t="s">
        <v>974</v>
      </c>
      <c r="G106" s="69" t="s">
        <v>1033</v>
      </c>
    </row>
    <row r="107" spans="1:7" ht="328" x14ac:dyDescent="0.2">
      <c r="A107" s="17" t="s">
        <v>1088</v>
      </c>
      <c r="B107" s="18" t="s">
        <v>975</v>
      </c>
      <c r="C107" s="19" t="s">
        <v>976</v>
      </c>
      <c r="D107" s="62">
        <f>Iappc/(2*Fcc)*52460*3600/VLc</f>
        <v>371.24490544791416</v>
      </c>
      <c r="E107" s="51" t="s">
        <v>1090</v>
      </c>
      <c r="G107" s="69" t="s">
        <v>1034</v>
      </c>
    </row>
    <row r="108" spans="1:7" ht="284" x14ac:dyDescent="0.2">
      <c r="A108" s="17" t="s">
        <v>977</v>
      </c>
      <c r="B108" s="18" t="s">
        <v>978</v>
      </c>
      <c r="C108" s="19" t="s">
        <v>979</v>
      </c>
      <c r="D108" s="62">
        <f>1/(bleach_rate)*60</f>
        <v>0.16161837945657148</v>
      </c>
      <c r="E108" s="51" t="s">
        <v>980</v>
      </c>
      <c r="G108" s="69" t="s">
        <v>1035</v>
      </c>
    </row>
    <row r="109" spans="1:7" ht="204" x14ac:dyDescent="0.2">
      <c r="A109" s="17" t="s">
        <v>981</v>
      </c>
      <c r="B109" s="18" t="s">
        <v>982</v>
      </c>
      <c r="C109" s="19" t="s">
        <v>983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negligible free chlorine (0.00 mg/L &lt; onset)</v>
      </c>
      <c r="E109" s="51" t="s">
        <v>1166</v>
      </c>
      <c r="G109" s="69" t="s">
        <v>1036</v>
      </c>
    </row>
    <row r="110" spans="1:7" ht="328" x14ac:dyDescent="0.2">
      <c r="A110" s="17" t="s">
        <v>984</v>
      </c>
      <c r="B110" s="18" t="s">
        <v>985</v>
      </c>
      <c r="C110" s="19" t="s">
        <v>986</v>
      </c>
      <c r="D110" s="64" t="str">
        <f>IF(pH_op&lt;6.5,"pH BELOW HOB optimum (&lt;6.5) — reduce CO₂ dose",IF(pH_op&gt;7.5,"pH above optimum (&gt;7.5)","pH in HOB band 6.5–7.5"))</f>
        <v>pH in HOB band 6.5–7.5</v>
      </c>
      <c r="E110" s="51" t="s">
        <v>987</v>
      </c>
      <c r="G110" s="69" t="s">
        <v>1037</v>
      </c>
    </row>
    <row r="112" spans="1:7" ht="16" x14ac:dyDescent="0.2">
      <c r="A112" s="110" t="s">
        <v>988</v>
      </c>
    </row>
    <row r="113" spans="1:5" x14ac:dyDescent="0.2">
      <c r="A113" s="16" t="s">
        <v>989</v>
      </c>
      <c r="B113" s="16" t="s">
        <v>990</v>
      </c>
      <c r="C113" s="16" t="s">
        <v>991</v>
      </c>
      <c r="D113" s="16" t="s">
        <v>992</v>
      </c>
      <c r="E113" s="16" t="s">
        <v>993</v>
      </c>
    </row>
    <row r="114" spans="1:5" x14ac:dyDescent="0.2">
      <c r="A114" s="20" t="s">
        <v>994</v>
      </c>
      <c r="B114" s="20" t="s">
        <v>995</v>
      </c>
      <c r="C114" s="62">
        <f>PT_mc02*1000</f>
        <v>40.007195769523626</v>
      </c>
      <c r="D114" s="20" t="s">
        <v>996</v>
      </c>
      <c r="E114" s="20" t="s">
        <v>997</v>
      </c>
    </row>
    <row r="115" spans="1:5" x14ac:dyDescent="0.2">
      <c r="A115" s="20" t="s">
        <v>998</v>
      </c>
      <c r="B115" s="20" t="s">
        <v>999</v>
      </c>
      <c r="C115" s="62">
        <f>PT_udg*1000</f>
        <v>37.329366919026846</v>
      </c>
      <c r="D115" s="20" t="s">
        <v>1000</v>
      </c>
      <c r="E115" s="20" t="s">
        <v>1001</v>
      </c>
    </row>
    <row r="123" spans="1:5" ht="16" x14ac:dyDescent="0.2">
      <c r="A123" s="110"/>
    </row>
    <row r="125" spans="1:5" ht="36" x14ac:dyDescent="0.2">
      <c r="A125" s="17" t="s">
        <v>1089</v>
      </c>
      <c r="B125" s="18" t="s">
        <v>1002</v>
      </c>
      <c r="C125" s="19" t="s">
        <v>1003</v>
      </c>
      <c r="D125" s="62">
        <f>pH_Cl*pH_fHOCl*52460</f>
        <v>0</v>
      </c>
      <c r="E125" s="51" t="s">
        <v>1091</v>
      </c>
    </row>
    <row r="127" spans="1:5" ht="16" x14ac:dyDescent="0.2">
      <c r="A127" s="110" t="s">
        <v>1096</v>
      </c>
    </row>
    <row r="128" spans="1:5" ht="48" x14ac:dyDescent="0.2">
      <c r="A128" s="17" t="s">
        <v>1097</v>
      </c>
      <c r="B128" s="18" t="s">
        <v>1098</v>
      </c>
      <c r="C128" s="19" t="s">
        <v>1099</v>
      </c>
      <c r="D128" s="52">
        <v>0.5</v>
      </c>
      <c r="E128" s="51" t="s">
        <v>1100</v>
      </c>
    </row>
    <row r="129" spans="1:5" ht="24" x14ac:dyDescent="0.2">
      <c r="A129" s="17" t="s">
        <v>1101</v>
      </c>
      <c r="B129" s="18" t="s">
        <v>1102</v>
      </c>
      <c r="C129" s="19" t="s">
        <v>1103</v>
      </c>
      <c r="D129" s="52">
        <v>3.0000000000000001E-3</v>
      </c>
      <c r="E129" s="51" t="s">
        <v>1104</v>
      </c>
    </row>
    <row r="130" spans="1:5" ht="24" x14ac:dyDescent="0.2">
      <c r="A130" s="17" t="s">
        <v>1105</v>
      </c>
      <c r="B130" s="18" t="s">
        <v>1106</v>
      </c>
      <c r="C130" s="19" t="s">
        <v>1107</v>
      </c>
      <c r="D130" s="52">
        <v>5</v>
      </c>
      <c r="E130" s="51" t="s">
        <v>1108</v>
      </c>
    </row>
    <row r="131" spans="1:5" x14ac:dyDescent="0.2">
      <c r="A131" s="17" t="s">
        <v>1109</v>
      </c>
      <c r="B131" s="18" t="s">
        <v>1110</v>
      </c>
      <c r="C131" s="19" t="s">
        <v>1111</v>
      </c>
      <c r="D131" s="62">
        <f>Iappc*FE_CER</f>
        <v>2.8449999999999999E-3</v>
      </c>
      <c r="E131" s="51" t="s">
        <v>1112</v>
      </c>
    </row>
    <row r="132" spans="1:5" ht="36" x14ac:dyDescent="0.2">
      <c r="A132" s="17" t="s">
        <v>1113</v>
      </c>
      <c r="B132" s="18" t="s">
        <v>1114</v>
      </c>
      <c r="C132" s="19" t="s">
        <v>1111</v>
      </c>
      <c r="D132" s="62">
        <f>Fcc*km_Cl*(pH_Cl/1000)*A_anode</f>
        <v>0</v>
      </c>
      <c r="E132" s="51" t="s">
        <v>1115</v>
      </c>
    </row>
    <row r="133" spans="1:5" x14ac:dyDescent="0.2">
      <c r="A133" s="17" t="s">
        <v>1116</v>
      </c>
      <c r="B133" s="18" t="s">
        <v>1117</v>
      </c>
      <c r="C133" s="19" t="s">
        <v>1111</v>
      </c>
      <c r="D133" s="62">
        <f>MIN(I_Cl_FE,I_Cl_mt)</f>
        <v>0</v>
      </c>
      <c r="E133" s="51" t="s">
        <v>1118</v>
      </c>
    </row>
    <row r="134" spans="1:5" x14ac:dyDescent="0.2">
      <c r="A134" s="17" t="s">
        <v>1119</v>
      </c>
      <c r="B134" s="18" t="s">
        <v>1120</v>
      </c>
      <c r="C134" s="19" t="s">
        <v>1121</v>
      </c>
      <c r="D134" s="62">
        <f>I_Cl/(2*Fcc*VLc)</f>
        <v>0</v>
      </c>
      <c r="E134" s="51" t="s">
        <v>1122</v>
      </c>
    </row>
    <row r="135" spans="1:5" x14ac:dyDescent="0.2">
      <c r="A135" s="17" t="s">
        <v>1123</v>
      </c>
      <c r="B135" s="18" t="s">
        <v>1124</v>
      </c>
      <c r="C135" s="19" t="s">
        <v>1125</v>
      </c>
      <c r="D135" s="62">
        <f>pH_NT*14007</f>
        <v>199.91828363856516</v>
      </c>
      <c r="E135" s="51" t="s">
        <v>1126</v>
      </c>
    </row>
    <row r="136" spans="1:5" ht="36" x14ac:dyDescent="0.2">
      <c r="A136" s="17" t="s">
        <v>1127</v>
      </c>
      <c r="B136" s="18" t="s">
        <v>1128</v>
      </c>
      <c r="C136" s="19" t="s">
        <v>1129</v>
      </c>
      <c r="D136" s="52">
        <v>4200000</v>
      </c>
      <c r="E136" s="51" t="s">
        <v>1130</v>
      </c>
    </row>
    <row r="137" spans="1:5" ht="36" x14ac:dyDescent="0.2">
      <c r="A137" s="17" t="s">
        <v>1131</v>
      </c>
      <c r="B137" s="18" t="s">
        <v>1132</v>
      </c>
      <c r="C137" s="19" t="s">
        <v>1099</v>
      </c>
      <c r="D137" s="52">
        <v>9.25</v>
      </c>
      <c r="E137" s="51" t="s">
        <v>1133</v>
      </c>
    </row>
    <row r="138" spans="1:5" ht="24" x14ac:dyDescent="0.2">
      <c r="A138" s="17" t="s">
        <v>1134</v>
      </c>
      <c r="B138" s="18" t="s">
        <v>1135</v>
      </c>
      <c r="C138" s="19" t="s">
        <v>1136</v>
      </c>
      <c r="D138" s="62">
        <f>pH_NT/(1+10^(pKa_NH4-pH_op))</f>
        <v>8.239289743160408E-5</v>
      </c>
      <c r="E138" s="51" t="s">
        <v>1137</v>
      </c>
    </row>
    <row r="139" spans="1:5" ht="24" x14ac:dyDescent="0.2">
      <c r="A139" s="17" t="s">
        <v>1138</v>
      </c>
      <c r="B139" s="18" t="s">
        <v>1139</v>
      </c>
      <c r="C139" s="19" t="s">
        <v>1136</v>
      </c>
      <c r="D139" s="62">
        <f>P_HOCl/(k1_NH2Cl*NH3_free)</f>
        <v>0</v>
      </c>
      <c r="E139" s="51" t="s">
        <v>1140</v>
      </c>
    </row>
    <row r="140" spans="1:5" ht="24" x14ac:dyDescent="0.2">
      <c r="A140" s="17" t="s">
        <v>1141</v>
      </c>
      <c r="B140" s="18" t="s">
        <v>1142</v>
      </c>
      <c r="C140" s="19" t="s">
        <v>1125</v>
      </c>
      <c r="D140" s="62">
        <f>HOCl_ss*52460</f>
        <v>0</v>
      </c>
      <c r="E140" s="51" t="s">
        <v>1143</v>
      </c>
    </row>
    <row r="141" spans="1:5" ht="48" x14ac:dyDescent="0.2">
      <c r="A141" s="17" t="s">
        <v>1144</v>
      </c>
      <c r="B141" s="18" t="s">
        <v>1145</v>
      </c>
      <c r="C141" s="19" t="s">
        <v>1099</v>
      </c>
      <c r="D141" s="52">
        <v>10</v>
      </c>
      <c r="E141" s="51" t="s">
        <v>1146</v>
      </c>
    </row>
    <row r="142" spans="1:5" ht="36" x14ac:dyDescent="0.2">
      <c r="A142" s="17" t="s">
        <v>1147</v>
      </c>
      <c r="B142" s="18" t="s">
        <v>1148</v>
      </c>
      <c r="C142" s="19" t="s">
        <v>1149</v>
      </c>
      <c r="D142" s="52">
        <v>1</v>
      </c>
      <c r="E142" s="51" t="s">
        <v>1150</v>
      </c>
    </row>
    <row r="143" spans="1:5" ht="36" x14ac:dyDescent="0.2">
      <c r="A143" s="17" t="s">
        <v>1151</v>
      </c>
      <c r="B143" s="18" t="s">
        <v>1152</v>
      </c>
      <c r="C143" s="19" t="s">
        <v>1125</v>
      </c>
      <c r="D143" s="62">
        <f>MIN(P_HOCl*tau_NH2Cl*3600*52460,5.06*NH3_N)</f>
        <v>0</v>
      </c>
      <c r="E143" s="51" t="s">
        <v>1153</v>
      </c>
    </row>
    <row r="144" spans="1:5" ht="36" x14ac:dyDescent="0.2">
      <c r="A144" s="17" t="s">
        <v>1154</v>
      </c>
      <c r="B144" s="18" t="s">
        <v>1155</v>
      </c>
      <c r="C144" s="19" t="s">
        <v>1099</v>
      </c>
      <c r="D144" s="52">
        <v>25</v>
      </c>
      <c r="E144" s="51" t="s">
        <v>1156</v>
      </c>
    </row>
    <row r="145" spans="1:5" ht="36" x14ac:dyDescent="0.2">
      <c r="A145" s="17" t="s">
        <v>1157</v>
      </c>
      <c r="B145" s="18" t="s">
        <v>1158</v>
      </c>
      <c r="C145" s="19" t="s">
        <v>1125</v>
      </c>
      <c r="D145" s="62">
        <f>f_local*pH_fHOCl*HOCl_ss_mgL+NH2Cl_mgL/R_chloramine</f>
        <v>0</v>
      </c>
      <c r="E145" s="51" t="s">
        <v>1159</v>
      </c>
    </row>
    <row r="146" spans="1:5" ht="36" x14ac:dyDescent="0.2">
      <c r="A146" s="17" t="s">
        <v>1160</v>
      </c>
      <c r="B146" s="18" t="s">
        <v>1161</v>
      </c>
      <c r="C146" s="19" t="s">
        <v>1125</v>
      </c>
      <c r="D146" s="52">
        <v>0.1</v>
      </c>
      <c r="E146" s="51" t="s">
        <v>1162</v>
      </c>
    </row>
    <row r="147" spans="1:5" ht="24" x14ac:dyDescent="0.2">
      <c r="A147" s="17" t="s">
        <v>1163</v>
      </c>
      <c r="B147" s="18" t="s">
        <v>1164</v>
      </c>
      <c r="C147" s="19" t="s">
        <v>1125</v>
      </c>
      <c r="D147" s="52">
        <v>2</v>
      </c>
      <c r="E147" s="51" t="s">
        <v>1165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1082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1083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1084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1025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1026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1168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1169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1170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1095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1027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1094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1093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1171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1009</v>
      </c>
      <c r="B132" s="18" t="s">
        <v>1010</v>
      </c>
      <c r="C132" s="19" t="s">
        <v>1011</v>
      </c>
      <c r="D132" s="28">
        <f>O2_net_gen</f>
        <v>5.3075424911539388E-5</v>
      </c>
      <c r="E132" s="69" t="s">
        <v>1012</v>
      </c>
      <c r="F132" s="20"/>
    </row>
    <row r="133" spans="1:6" ht="24" x14ac:dyDescent="0.2">
      <c r="A133" s="17" t="s">
        <v>1013</v>
      </c>
      <c r="B133" s="18" t="s">
        <v>1014</v>
      </c>
      <c r="C133" s="19" t="s">
        <v>1015</v>
      </c>
      <c r="D133" s="28">
        <f>O2_excess/(kLa_surf_used*3600*(V_charge/1000000))</f>
        <v>4.2885167873123194E-2</v>
      </c>
      <c r="E133" s="69" t="s">
        <v>1016</v>
      </c>
      <c r="F133" s="20"/>
    </row>
    <row r="134" spans="1:6" ht="24" x14ac:dyDescent="0.2">
      <c r="A134" s="20" t="s">
        <v>1017</v>
      </c>
      <c r="B134" s="20" t="s">
        <v>1018</v>
      </c>
      <c r="C134" s="20" t="s">
        <v>1019</v>
      </c>
      <c r="D134" s="28" t="str">
        <f>IF(DO_ss_sawtooth&lt;target_DO_frac*O2_ceil_C,"SURFACE-HELD","SPARGE-NEEDED")</f>
        <v>SURFACE-HELD</v>
      </c>
      <c r="E134" s="69" t="s">
        <v>1020</v>
      </c>
      <c r="F134" s="20"/>
    </row>
    <row r="135" spans="1:6" ht="36" x14ac:dyDescent="0.2">
      <c r="A135" s="20" t="s">
        <v>1021</v>
      </c>
      <c r="B135" s="20" t="s">
        <v>1022</v>
      </c>
      <c r="C135" s="20" t="s">
        <v>1023</v>
      </c>
      <c r="D135" s="28">
        <f>O2_net_gen/(kLa_surf_used*3600*(V_charge/1000000))</f>
        <v>0.12865550361936959</v>
      </c>
      <c r="E135" s="69" t="s">
        <v>1024</v>
      </c>
      <c r="F135" s="20"/>
    </row>
    <row r="137" spans="1:6" x14ac:dyDescent="0.2">
      <c r="A137" s="20" t="s">
        <v>1173</v>
      </c>
      <c r="B137" s="20"/>
      <c r="C137" s="20"/>
      <c r="D137" s="20"/>
      <c r="E137" s="20" t="s">
        <v>1174</v>
      </c>
      <c r="F137" s="20"/>
    </row>
    <row r="138" spans="1:6" x14ac:dyDescent="0.2">
      <c r="A138" s="17" t="s">
        <v>1175</v>
      </c>
      <c r="B138" s="18" t="s">
        <v>1176</v>
      </c>
      <c r="C138" s="19" t="s">
        <v>584</v>
      </c>
      <c r="D138" s="124">
        <v>1.92E-9</v>
      </c>
      <c r="E138" s="67" t="s">
        <v>1198</v>
      </c>
      <c r="F138" s="20"/>
    </row>
    <row r="139" spans="1:6" x14ac:dyDescent="0.2">
      <c r="A139" s="17" t="s">
        <v>1199</v>
      </c>
      <c r="B139" s="18" t="s">
        <v>1177</v>
      </c>
      <c r="C139" s="19" t="s">
        <v>64</v>
      </c>
      <c r="D139" s="124">
        <v>40</v>
      </c>
      <c r="E139" s="67" t="s">
        <v>1200</v>
      </c>
      <c r="F139" s="20"/>
    </row>
    <row r="140" spans="1:6" x14ac:dyDescent="0.2">
      <c r="A140" s="17" t="s">
        <v>1201</v>
      </c>
      <c r="B140" s="18" t="s">
        <v>1202</v>
      </c>
      <c r="C140" s="19" t="s">
        <v>1203</v>
      </c>
      <c r="D140" s="48">
        <f>headspace_V/1000000</f>
        <v>2.6124284559171357E-6</v>
      </c>
      <c r="E140" s="67" t="s">
        <v>1204</v>
      </c>
      <c r="F140" s="20"/>
    </row>
    <row r="141" spans="1:6" x14ac:dyDescent="0.2">
      <c r="A141" s="17" t="s">
        <v>1205</v>
      </c>
      <c r="B141" s="18" t="s">
        <v>1206</v>
      </c>
      <c r="C141" s="19" t="s">
        <v>1203</v>
      </c>
      <c r="D141" s="48">
        <f>V_charge/1000000</f>
        <v>1.5E-5</v>
      </c>
      <c r="E141" s="67" t="s">
        <v>1207</v>
      </c>
      <c r="F141" s="20"/>
    </row>
    <row r="142" spans="1:6" ht="36" x14ac:dyDescent="0.2">
      <c r="A142" s="17" t="s">
        <v>1208</v>
      </c>
      <c r="B142" s="18" t="s">
        <v>1209</v>
      </c>
      <c r="C142" s="19" t="s">
        <v>364</v>
      </c>
      <c r="D142" s="124">
        <v>0.5</v>
      </c>
      <c r="E142" s="69" t="s">
        <v>1210</v>
      </c>
      <c r="F142" s="20"/>
    </row>
    <row r="143" spans="1:6" x14ac:dyDescent="0.2">
      <c r="A143" s="17" t="s">
        <v>1211</v>
      </c>
      <c r="B143" s="18" t="s">
        <v>1212</v>
      </c>
      <c r="C143" s="19" t="s">
        <v>647</v>
      </c>
      <c r="D143" s="48">
        <f>(Q_vent/1000000/60)/headspace_V_m3</f>
        <v>3.1898800192818222E-3</v>
      </c>
      <c r="E143" s="67" t="s">
        <v>1213</v>
      </c>
      <c r="F143" s="20"/>
    </row>
    <row r="144" spans="1:6" x14ac:dyDescent="0.2">
      <c r="A144" s="17" t="s">
        <v>1214</v>
      </c>
      <c r="B144" s="18" t="s">
        <v>1215</v>
      </c>
      <c r="C144" s="19" t="s">
        <v>69</v>
      </c>
      <c r="D144" s="48">
        <f>headspace_V_m3/(Q_vent/1000000/60)/60</f>
        <v>5.2248569118342711</v>
      </c>
      <c r="E144" s="67" t="s">
        <v>1216</v>
      </c>
      <c r="F144" s="20"/>
    </row>
    <row r="145" spans="1:6" x14ac:dyDescent="0.2">
      <c r="A145" s="17" t="s">
        <v>1178</v>
      </c>
      <c r="B145" s="18" t="s">
        <v>1179</v>
      </c>
      <c r="C145" s="19" t="s">
        <v>465</v>
      </c>
      <c r="D145" s="48">
        <f>Biology!$D$31*P_atm</f>
        <v>33.437249999999999</v>
      </c>
      <c r="E145" s="67" t="s">
        <v>1217</v>
      </c>
      <c r="F145" s="20"/>
    </row>
    <row r="146" spans="1:6" x14ac:dyDescent="0.2">
      <c r="A146" s="17" t="s">
        <v>1180</v>
      </c>
      <c r="B146" s="18" t="s">
        <v>1181</v>
      </c>
      <c r="C146" s="19" t="s">
        <v>465</v>
      </c>
      <c r="D146" s="48">
        <f>Biology!$D$31*pCO2_air</f>
        <v>1.32E-2</v>
      </c>
      <c r="E146" s="67" t="s">
        <v>1218</v>
      </c>
      <c r="F146" s="20"/>
    </row>
    <row r="147" spans="1:6" x14ac:dyDescent="0.2">
      <c r="A147" s="17" t="s">
        <v>1219</v>
      </c>
      <c r="B147" s="18" t="s">
        <v>1182</v>
      </c>
      <c r="C147" s="19" t="s">
        <v>137</v>
      </c>
      <c r="D147" s="48">
        <f>SQRT(D_CO2/D_O2)</f>
        <v>0.92396577925116474</v>
      </c>
      <c r="E147" s="67" t="s">
        <v>1220</v>
      </c>
      <c r="F147" s="20"/>
    </row>
    <row r="148" spans="1:6" x14ac:dyDescent="0.2">
      <c r="A148" s="17" t="s">
        <v>1221</v>
      </c>
      <c r="B148" s="18" t="s">
        <v>1183</v>
      </c>
      <c r="C148" s="19" t="s">
        <v>647</v>
      </c>
      <c r="D148" s="48">
        <f>kLa_surf*sqrtD_CO2</f>
        <v>7.0587408432071473E-3</v>
      </c>
      <c r="E148" s="67" t="s">
        <v>1222</v>
      </c>
      <c r="F148" s="20"/>
    </row>
    <row r="149" spans="1:6" x14ac:dyDescent="0.2">
      <c r="A149" s="17" t="s">
        <v>1223</v>
      </c>
      <c r="B149" s="18" t="s">
        <v>1224</v>
      </c>
      <c r="C149" s="19" t="s">
        <v>69</v>
      </c>
      <c r="D149" s="48">
        <f>1/kLa_CO2_off/60</f>
        <v>2.3611387692049264</v>
      </c>
      <c r="E149" s="67" t="s">
        <v>1225</v>
      </c>
      <c r="F149" s="20"/>
    </row>
    <row r="150" spans="1:6" x14ac:dyDescent="0.2">
      <c r="A150" s="17" t="s">
        <v>1226</v>
      </c>
      <c r="B150" s="18" t="s">
        <v>1227</v>
      </c>
      <c r="C150" s="19" t="s">
        <v>827</v>
      </c>
      <c r="D150" s="48">
        <f>P_atm*headspace_V_m3/(R_gas*T_K)</f>
        <v>1.0678051702378222E-4</v>
      </c>
      <c r="E150" s="67" t="s">
        <v>1228</v>
      </c>
      <c r="F150" s="20"/>
    </row>
    <row r="151" spans="1:6" x14ac:dyDescent="0.2">
      <c r="A151" s="17" t="s">
        <v>1184</v>
      </c>
      <c r="B151" s="18" t="s">
        <v>1185</v>
      </c>
      <c r="C151" s="19" t="s">
        <v>13</v>
      </c>
      <c r="D151" s="48">
        <f>spg_dur</f>
        <v>0.78451304982496561</v>
      </c>
      <c r="E151" s="67" t="s">
        <v>1229</v>
      </c>
      <c r="F151" s="20"/>
    </row>
    <row r="152" spans="1:6" x14ac:dyDescent="0.2">
      <c r="A152" s="17" t="s">
        <v>1186</v>
      </c>
      <c r="B152" s="18" t="s">
        <v>1187</v>
      </c>
      <c r="C152" s="19" t="s">
        <v>13</v>
      </c>
      <c r="D152" s="48">
        <f>MAX(0,spg_int*60-spg_dur)</f>
        <v>10863.279088691761</v>
      </c>
      <c r="E152" s="67" t="s">
        <v>1230</v>
      </c>
      <c r="F152" s="20"/>
    </row>
    <row r="153" spans="1:6" x14ac:dyDescent="0.2">
      <c r="A153" s="17" t="s">
        <v>1231</v>
      </c>
      <c r="B153" s="18" t="s">
        <v>1232</v>
      </c>
      <c r="C153" s="19" t="s">
        <v>137</v>
      </c>
      <c r="D153" s="48">
        <f>EXP(-kLa_CO2_off*t_on_CO2)</f>
        <v>0.99447763034777281</v>
      </c>
      <c r="E153" s="67" t="s">
        <v>1233</v>
      </c>
      <c r="F153" s="20"/>
    </row>
    <row r="154" spans="1:6" x14ac:dyDescent="0.2">
      <c r="A154" s="17" t="s">
        <v>1234</v>
      </c>
      <c r="B154" s="18" t="s">
        <v>1235</v>
      </c>
      <c r="C154" s="19" t="s">
        <v>137</v>
      </c>
      <c r="D154" s="48">
        <f>EXP(-kLa_CO2_off*t_off_CO2)</f>
        <v>4.9869343751369273E-34</v>
      </c>
      <c r="E154" s="67" t="s">
        <v>1236</v>
      </c>
      <c r="F154" s="20"/>
    </row>
    <row r="155" spans="1:6" x14ac:dyDescent="0.2">
      <c r="A155" s="17" t="s">
        <v>1237</v>
      </c>
      <c r="B155" s="18" t="s">
        <v>1238</v>
      </c>
      <c r="C155" s="19" t="s">
        <v>137</v>
      </c>
      <c r="D155" s="48">
        <f>EXP(-k_vent*t_off_CO2)</f>
        <v>8.9245381551518439E-16</v>
      </c>
      <c r="E155" s="67" t="s">
        <v>1239</v>
      </c>
      <c r="F155" s="20"/>
    </row>
    <row r="156" spans="1:6" x14ac:dyDescent="0.2">
      <c r="A156" s="17" t="s">
        <v>1240</v>
      </c>
      <c r="B156" s="18" t="s">
        <v>1241</v>
      </c>
      <c r="C156" s="19" t="s">
        <v>465</v>
      </c>
      <c r="D156" s="48">
        <f>(C_sat_CO2-C_air_CO2)*kLa_CO2_off/(kLa_CO2_off-k_vent)</f>
        <v>60.982216114205634</v>
      </c>
      <c r="E156" s="67" t="s">
        <v>1242</v>
      </c>
      <c r="F156" s="20"/>
    </row>
    <row r="157" spans="1:6" x14ac:dyDescent="0.2">
      <c r="A157" s="17" t="s">
        <v>1243</v>
      </c>
      <c r="B157" s="18" t="s">
        <v>1244</v>
      </c>
      <c r="C157" s="19" t="s">
        <v>465</v>
      </c>
      <c r="D157" s="48">
        <f>(e1_CO2*C_sat_CO2*(1-eon_CO2)+C_air_CO2*(1-e1_CO2)+coef_CO2*(e2_CO2-e1_CO2))/(1-e1_CO2*eon_CO2)</f>
        <v>1.3200000000054423E-2</v>
      </c>
      <c r="E157" s="67" t="s">
        <v>1245</v>
      </c>
      <c r="F157" s="20"/>
    </row>
    <row r="158" spans="1:6" x14ac:dyDescent="0.2">
      <c r="A158" s="17" t="s">
        <v>1246</v>
      </c>
      <c r="B158" s="18" t="s">
        <v>1247</v>
      </c>
      <c r="C158" s="19" t="s">
        <v>465</v>
      </c>
      <c r="D158" s="48">
        <f>C_sat_CO2+(Ca_CO2-C_sat_CO2)*eon_CO2</f>
        <v>0.1977799593745786</v>
      </c>
      <c r="E158" s="67" t="s">
        <v>1248</v>
      </c>
      <c r="F158" s="20"/>
    </row>
    <row r="159" spans="1:6" x14ac:dyDescent="0.2">
      <c r="A159" s="17" t="s">
        <v>1249</v>
      </c>
      <c r="B159" s="18" t="s">
        <v>1188</v>
      </c>
      <c r="C159" s="19" t="s">
        <v>1189</v>
      </c>
      <c r="D159" s="48">
        <f>C_sat_CO2*t_on_CO2+(Ca_CO2-C_sat_CO2)/kLa_CO2_off*(1-eon_CO2)</f>
        <v>8.2825089412320807E-2</v>
      </c>
      <c r="E159" s="67" t="s">
        <v>1250</v>
      </c>
      <c r="F159" s="20"/>
    </row>
    <row r="160" spans="1:6" x14ac:dyDescent="0.2">
      <c r="A160" s="17" t="s">
        <v>1251</v>
      </c>
      <c r="B160" s="18" t="s">
        <v>1190</v>
      </c>
      <c r="C160" s="19" t="s">
        <v>1189</v>
      </c>
      <c r="D160" s="48">
        <f>C_air_CO2*t_off_CO2+(Cb_CO2-C_air_CO2)/kLa_CO2_off*(1-e1_CO2)+coef_CO2*((1-e2_CO2)/k_vent-(1-e1_CO2)/kLa_CO2_off)</f>
        <v>10647.697137696226</v>
      </c>
      <c r="E160" s="67" t="s">
        <v>1252</v>
      </c>
      <c r="F160" s="20"/>
    </row>
    <row r="161" spans="1:6" x14ac:dyDescent="0.2">
      <c r="A161" s="17" t="s">
        <v>1191</v>
      </c>
      <c r="B161" s="18" t="s">
        <v>1192</v>
      </c>
      <c r="C161" s="19" t="s">
        <v>465</v>
      </c>
      <c r="D161" s="48">
        <f>(CO2_int_on+CO2_int_off)/(t_on_CO2+t_off_CO2)</f>
        <v>0.98009182872224021</v>
      </c>
      <c r="E161" s="67" t="s">
        <v>1253</v>
      </c>
      <c r="F161" s="20"/>
    </row>
    <row r="162" spans="1:6" ht="24" x14ac:dyDescent="0.2">
      <c r="A162" s="17" t="s">
        <v>1193</v>
      </c>
      <c r="B162" s="18" t="s">
        <v>1194</v>
      </c>
      <c r="C162" s="19" t="s">
        <v>492</v>
      </c>
      <c r="D162" s="48">
        <f>MIN(C_sat_CO2,MAX(C_air_CO2,CO2_cyc_avg))/1000</f>
        <v>9.8009182872224013E-4</v>
      </c>
      <c r="E162" s="67" t="s">
        <v>1254</v>
      </c>
      <c r="F162" s="20"/>
    </row>
    <row r="163" spans="1:6" x14ac:dyDescent="0.2">
      <c r="A163" s="17" t="s">
        <v>1255</v>
      </c>
      <c r="B163" s="18" t="s">
        <v>1256</v>
      </c>
      <c r="C163" s="19" t="s">
        <v>137</v>
      </c>
      <c r="D163" s="48" t="str">
        <f>IF(tau_hs&gt;=tau_surf_floor,"vent is slow path - OK","WARNING: surface clears faster than vent - run2 cannot stay acidic")</f>
        <v>vent is slow path - OK</v>
      </c>
      <c r="E163" s="67" t="s">
        <v>1257</v>
      </c>
      <c r="F163" s="20"/>
    </row>
    <row r="164" spans="1:6" x14ac:dyDescent="0.2">
      <c r="A164" s="17" t="s">
        <v>1195</v>
      </c>
      <c r="B164" s="18" t="s">
        <v>1196</v>
      </c>
      <c r="C164" s="19" t="s">
        <v>137</v>
      </c>
      <c r="D164" s="48" t="str">
        <f>IF(spg_int*60&gt;=spg_dur,"OK","INVALID: interval &lt; pulse")</f>
        <v>OK</v>
      </c>
      <c r="E164" s="67" t="s">
        <v>1258</v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359</vt:i4>
      </vt:variant>
    </vt:vector>
  </HeadingPairs>
  <TitlesOfParts>
    <vt:vector size="366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'Mass Transfer'!C_air_CO2</vt:lpstr>
      <vt:lpstr>Chemistry!C_eff</vt:lpstr>
      <vt:lpstr>Biology!C_H2_sat</vt:lpstr>
      <vt:lpstr>'Mass Transfer'!C_sat_CO2</vt:lpstr>
      <vt:lpstr>'Mass Transfer'!Ca_CO2</vt:lpstr>
      <vt:lpstr>'Mass Transfer'!cal_warning</vt:lpstr>
      <vt:lpstr>'Mass Transfer'!carbon_margin_min</vt:lpstr>
      <vt:lpstr>'Mass Transfer'!carry_flag</vt:lpstr>
      <vt:lpstr>'Mass Transfer'!Cb_CO2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'Mass Transfer'!CO2_cyc_avg</vt:lpstr>
      <vt:lpstr>Biology!CO2_diss</vt:lpstr>
      <vt:lpstr>'Mass Transfer'!CO2_int_off</vt:lpstr>
      <vt:lpstr>'Mass Transfer'!CO2_int_on</vt:lpstr>
      <vt:lpstr>'Mass Transfer'!CO2_pulse</vt:lpstr>
      <vt:lpstr>'Mass Transfer'!CO2_sd_ratio</vt:lpstr>
      <vt:lpstr>'Mass Transfer'!CO2_supply</vt:lpstr>
      <vt:lpstr>Chemistry!CO2aqc</vt:lpstr>
      <vt:lpstr>'Mass Transfer'!CO2aqc_ss</vt:lpstr>
      <vt:lpstr>'Mass Transfer'!coef_CO2</vt:lpstr>
      <vt:lpstr>'Mass Transfer'!d_bubble</vt:lpstr>
      <vt:lpstr>'Mass Transfer'!d_bubble_mm</vt:lpstr>
      <vt:lpstr>'Mass Transfer'!D_CO2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'Mass Transfer'!e1_CO2</vt:lpstr>
      <vt:lpstr>'Mass Transfer'!e2_CO2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'Mass Transfer'!eon_CO2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Transfer'!headspace_V_m3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'Mass Transfer'!k_vent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Transfer'!kLa_CO2_off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Transfer'!n_hs_gas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'Mass Transfer'!pCO2_air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'Mass Transfer'!Q_vent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Transfer'!sched_valid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Transfer'!sqrtD_CO2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'Mass Transfer'!t_off_CO2</vt:lpstr>
      <vt:lpstr>'Mass Transfer'!t_on_CO2</vt:lpstr>
      <vt:lpstr>Biology!T_ref</vt:lpstr>
      <vt:lpstr>'Mass Transfer'!target_DO_frac</vt:lpstr>
      <vt:lpstr>'Mass Transfer'!tau_hs</vt:lpstr>
      <vt:lpstr>Chemistry!tau_NH2Cl</vt:lpstr>
      <vt:lpstr>'Mass Transfer'!tau_surf_floor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'Mass Transfer'!V_L_m3</vt:lpstr>
      <vt:lpstr>Geometry!V_max</vt:lpstr>
      <vt:lpstr>Electrochemistry!V_O2_gen</vt:lpstr>
      <vt:lpstr>'Mass Transfer'!v_orifice</vt:lpstr>
      <vt:lpstr>Geometry!V_vial_total</vt:lpstr>
      <vt:lpstr>'Mass Transfer'!vent_floor_chk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2026-06-26T19:51:13Z</dcterms:modified>
  <dc:language>en-US</dc:language>
</cp:coreProperties>
</file>