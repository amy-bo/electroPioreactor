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<sst xmlns="http://schemas.openxmlformats.org/spreadsheetml/2006/main" count="2678" uniqueCount="1931">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</sst>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s">
        <v>36</v>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IFERROR('Mass Transfer'!$D$90,"calibrate this reactor first (see CO2 flows)")</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IF(AND(ISNUMBER($G$13),$G$13&gt;0),$G$13,IF(NOT(ISNUMBER(D13)),D13,IF(D13&gt;0.5,ROUND(D13,0),ROUND(D13,1-(1+INT(LOG10(ABS(D13))))))))</f>
        <v>1.0</v>
      </c>
      <c r="E14" s="20"/>
      <c r="F14" s="21"/>
    </row>
    <row r="15" spans="1:7" ht="16" customHeight="1" thickBot="1" x14ac:dyDescent="0.25">
      <c r="A15" s="89" t="s">
        <v>66</v>
      </c>
      <c r="B15" s="20"/>
      <c r="C15" s="20" t="s">
        <v>67</v>
      </c>
      <c r="D15" s="90">
        <f>IFERROR('Mass Transfer'!$D$91,"calibrate this reactor first (see CO2 flows)")</f>
        <v>16.46036421628</v>
      </c>
      <c r="E15" s="23" t="str">
        <f>HYPERLINK("#'Mass Transfer'!D91","→ Mass")</f>
        <v>→ Mass</v>
      </c>
      <c r="F15" s="21" t="s">
        <v>68</v>
      </c>
      <c r="G15" s="36"/>
    </row>
    <row r="16" spans="1:7" x14ac:dyDescent="0.2">
      <c r="A16" s="28" t="s">
        <v>1057</v>
      </c>
      <c r="B16" s="20"/>
      <c r="C16" s="20" t="s">
        <v>67</v>
      </c>
      <c r="D16" s="91">
        <f>IF(AND(ISNUMBER($G$15),$G$15&gt;0),$G$15,IF(NOT(ISNUMBER(D15)),D15,IF(D15&gt;0.5,ROUND(D15,0),ROUND(D15,1-(1+INT(LOG10(ABS(D15))))))))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s">
        <v>78</v>
      </c>
      <c r="B23" s="20"/>
      <c r="C23" s="20"/>
      <c r="D23" s="90" t="str">
        <f>'Mass Transfer'!$D$113</f>
        <v>organism DO unknown</v>
      </c>
      <c r="E23" s="23" t="str">
        <f>HYPERLINK("#'Mass Transfer'!D113","→ Mass")</f>
        <v>→ Mass</v>
      </c>
      <c r="F23" s="21" t="s">
        <v>79</v>
      </c>
    </row>
    <row r="24" spans="1:6" x14ac:dyDescent="0.2">
      <c r="A24" s="89" t="s">
        <v>80</v>
      </c>
      <c r="B24" s="20"/>
      <c r="C24" s="20"/>
      <c r="D24" s="95" t="str">
        <f>Biology!$D$44</f>
        <v>EXPLOSIVE</v>
      </c>
      <c r="E24" s="23" t="str">
        <f>HYPERLINK("#Biology!D44","→ Biology")</f>
        <v>→ Biology</v>
      </c>
      <c r="F24" s="21" t="s">
        <v>81</v>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s">
        <v>988</v>
      </c>
      <c r="C35" s="20"/>
      <c r="D35" s="121">
        <f>Chemistry!$D$220</f>
        <v>6.603949596052</v>
      </c>
      <c r="E35" s="23" t="str">
        <f>HYPERLINK("#Chemistry!D103","→ Chemistry")</f>
        <v>→ Chemistry</v>
      </c>
      <c r="F35" s="21" t="s">
        <v>1881</v>
      </c>
    </row>
    <row r="36" spans="1:6" ht="16" thickBot="1" x14ac:dyDescent="0.25">
      <c r="A36" s="89" t="s">
        <v>1128</v>
      </c>
      <c r="C36" s="20" t="s">
        <v>102</v>
      </c>
      <c r="D36" s="121">
        <f>Chemistry!$D$226</f>
        <v>0.500655956628</v>
      </c>
      <c r="E36" s="23" t="str">
        <f>HYPERLINK("#Chemistry!D226","→ Chemistry")</f>
        <v>→ Chemistry</v>
      </c>
      <c r="F36" s="21" t="s">
        <v>1930</v>
      </c>
    </row>
    <row r="37" spans="1:6" ht="16" thickBot="1" x14ac:dyDescent="0.25">
      <c r="A37" s="103" t="s">
        <v>100</v>
      </c>
      <c r="B37" s="20"/>
      <c r="C37" s="20"/>
      <c r="D37" s="20"/>
      <c r="E37" s="20"/>
      <c r="F37" s="21"/>
    </row>
    <row r="38" spans="1:6" x14ac:dyDescent="0.2">
      <c r="A38" s="89" t="s">
        <v>101</v>
      </c>
      <c r="B38" s="102"/>
      <c r="C38" s="20" t="s">
        <v>102</v>
      </c>
      <c r="D38" s="90">
        <f>'Mass Transfer'!$D$108</f>
        <v>2.639031652174</v>
      </c>
      <c r="E38" s="23" t="str">
        <f>HYPERLINK("#'Mass Transfer'!D108","→ Mass")</f>
        <v>→ Mass</v>
      </c>
      <c r="F38" s="21" t="s">
        <v>103</v>
      </c>
    </row>
    <row r="39" spans="1:6" x14ac:dyDescent="0.2">
      <c r="A39" s="89" t="s">
        <v>104</v>
      </c>
      <c r="B39" s="102"/>
      <c r="C39" s="20" t="s">
        <v>67</v>
      </c>
      <c r="D39" s="90">
        <f>'Mass Transfer'!$D$112</f>
        <v>185.240207036777</v>
      </c>
      <c r="E39" s="23" t="str">
        <f>HYPERLINK("#'Mass Transfer'!D112","→ Mass")</f>
        <v>→ Mass</v>
      </c>
      <c r="F39" s="21" t="s">
        <v>105</v>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s">
        <v>1901</v>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s">
        <v>1902</v>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s">
        <v>1911</v>
      </c>
    </row>
    <row r="81" spans="1:6" x14ac:dyDescent="0.2">
      <c r="A81" s="5" t="s">
        <v>1865</v>
      </c>
    </row>
    <row r="82" spans="1:6" x14ac:dyDescent="0.2">
      <c r="A82" t="s">
        <v>1652</v>
      </c>
      <c r="C82" s="19" t="s">
        <v>1274</v>
      </c>
      <c r="D82" s="22">
        <f>Electrochemistry!$D$88</f>
        <v>0.977475298652</v>
      </c>
      <c r="E82" s="23" t="str">
        <f>HYPERLINK("#Electrochemistry!D88","→ Electrochemistry")</f>
        <v>→ Electrochemistry</v>
      </c>
      <c r="F82" t="s">
        <v>1866</v>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BUFFER EXCEEDED — anode surface acidifies (local pH ~1 unit below bulk); the pH solved above is the bulk value only</v>
      </c>
      <c r="E86" s="23" t="str">
        <f>HYPERLINK("#Chemistry!D219","→ Chemistry")</f>
        <v>→ Chemistry</v>
      </c>
      <c r="F86" t="s">
        <v>1871</v>
      </c>
    </row>
    <row r="87" spans="1:6" x14ac:dyDescent="0.2">
      <c r="A87" t="s">
        <v>1593</v>
      </c>
      <c r="C87" s="19" t="s">
        <v>1595</v>
      </c>
      <c r="D87" s="22">
        <f>Chemistry!$D$209</f>
        <v>0.741190671663</v>
      </c>
      <c r="E87" s="23" t="str">
        <f>HYPERLINK("#Chemistry!D209","→ Chemistry")</f>
        <v>→ Chemistry</v>
      </c>
      <c r="F87" t="s">
        <v>1872</v>
      </c>
    </row>
    <row r="88" spans="1:6" x14ac:dyDescent="0.2">
      <c r="A88" t="s">
        <v>1600</v>
      </c>
      <c r="C88" s="19" t="s">
        <v>1595</v>
      </c>
      <c r="D88" s="22">
        <f>Chemistry!$D$211</f>
        <v>0.49641463654</v>
      </c>
      <c r="E88" s="23" t="str">
        <f>HYPERLINK("#Chemistry!D211","→ Chemistry")</f>
        <v>→ Chemistry</v>
      </c>
      <c r="F88" t="s">
        <v>1873</v>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IF(ABS(A_x*D_int/1000-V_vial_total)&lt;=3,"OK",IF(AND(ISNUMBER(cal_hs),ISNUMBER(cal_hs_fill)),"HEADSPACE MEASURED - bore depth still inconsistent (measure body volume)","VIAL GEOMETRY INCONSISTENT - measure true fill volume &amp; bore depth"))</f>
        <v>VIAL GEOMETRY INCONSISTENT - measure true fill volume &amp; bore depth</v>
      </c>
      <c r="E90" s="20"/>
      <c r="F90" s="101" t="s">
        <v>305</v>
      </c>
      <c r="G90" s="20"/>
      <c r="H90" s="20"/>
      <c r="I90" s="20"/>
    </row>
    <row r="91" spans="1:9" x14ac:dyDescent="0.2">
      <c r="A91" s="5" t="s">
        <v>1465</v>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IF(ISNUMBER(cal_gerrit_slope),cal_gerrit_slope,1.03)</f>
        <v>1.03</v>
      </c>
      <c r="E11" s="109" t="s">
        <v>322</v>
      </c>
      <c r="F11" s="20"/>
      <c r="G11" s="20"/>
      <c r="H11" s="20"/>
      <c r="I11" s="20"/>
    </row>
    <row r="12" spans="1:9" x14ac:dyDescent="0.2">
      <c r="A12" s="17" t="s">
        <v>323</v>
      </c>
      <c r="B12" s="18" t="s">
        <v>324</v>
      </c>
      <c r="C12" s="19" t="s">
        <v>325</v>
      </c>
      <c r="D12" s="22">
        <f>IF(ISNUMBER(cal_gerrit_int),cal_gerrit_int,2.6)</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s">
        <v>1754</v>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s">
        <v>1755</v>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s">
        <v>1472</v>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s">
        <v>1625</v>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s">
        <v>1654</v>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s">
        <v>1667</v>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s">
        <v>1698</v>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hold",IF(V_headroom&lt;1,"watch — within 1 V of the rail ("&amp;TEXT(V_cell_est,"0.00")&amp;" V of "&amp;TEXT(V_rail,"0")&amp;" V); expect the current law to bend","OK — "&amp;TEXT(V_cell_est,"0.00")&amp;" V estimated against a "&amp;TEXT(V_rail,"0")&amp;" V rail"))</f>
        <v>OK — 3.26 V estimated against a 5 V rail</v>
      </c>
      <c r="E122" s="67" t="s">
        <v>1753</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s">
        <v>845</v>
      </c>
      <c r="B5" s="18" t="s">
        <v>846</v>
      </c>
      <c r="C5" s="19" t="s">
        <v>847</v>
      </c>
      <c r="D5" s="64">
        <f>'Mass Transfer'!$D$162</f>
        <v>0.008590210622</v>
      </c>
      <c r="E5" s="51" t="s">
        <v>1158</v>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s">
        <v>1900</v>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 t="shared" ref="D13:D20" si="0">B13*EXP(-C13*1000/R_gas*(1/TKc-1/298.15))</f>
        <v>4.45e-07</v>
      </c>
      <c r="E13" s="84" t="s">
        <v>870</v>
      </c>
    </row>
    <row r="14" spans="1:6" x14ac:dyDescent="0.2">
      <c r="A14" s="17" t="s">
        <v>872</v>
      </c>
      <c r="B14" s="52">
        <v>4.6900000000000001E-11</v>
      </c>
      <c r="C14" s="52">
        <v>14.9</v>
      </c>
      <c r="D14" s="64">
        <f t="shared" si="0"/>
        <v>4.69e-11</v>
      </c>
      <c r="E14" s="84" t="s">
        <v>870</v>
      </c>
    </row>
    <row r="15" spans="1:6" x14ac:dyDescent="0.2">
      <c r="A15" s="17" t="s">
        <v>873</v>
      </c>
      <c r="B15" s="52">
        <v>7.1000000000000004E-3</v>
      </c>
      <c r="C15" s="52">
        <v>-8</v>
      </c>
      <c r="D15" s="64">
        <f t="shared" si="0"/>
        <v>0.0071</v>
      </c>
      <c r="E15" s="84" t="s">
        <v>870</v>
      </c>
    </row>
    <row r="16" spans="1:6" x14ac:dyDescent="0.2">
      <c r="A16" s="17" t="s">
        <v>874</v>
      </c>
      <c r="B16" s="52">
        <v>6.3100000000000003E-8</v>
      </c>
      <c r="C16" s="52">
        <v>3.6</v>
      </c>
      <c r="D16" s="64">
        <f t="shared" si="0"/>
        <v>6.31e-08</v>
      </c>
      <c r="E16" s="84" t="s">
        <v>870</v>
      </c>
    </row>
    <row r="17" spans="1:6" x14ac:dyDescent="0.2">
      <c r="A17" s="17" t="s">
        <v>1007</v>
      </c>
      <c r="B17" s="52">
        <v>4.1999999999999998E-13</v>
      </c>
      <c r="C17" s="52">
        <v>16</v>
      </c>
      <c r="D17" s="64">
        <f t="shared" si="0"/>
        <v>4.2e-13</v>
      </c>
      <c r="E17" s="84" t="s">
        <v>870</v>
      </c>
    </row>
    <row r="18" spans="1:6" x14ac:dyDescent="0.2">
      <c r="A18" s="17" t="s">
        <v>875</v>
      </c>
      <c r="B18" s="52">
        <v>5.6000000000000003E-10</v>
      </c>
      <c r="C18" s="52">
        <v>52.2</v>
      </c>
      <c r="D18" s="64">
        <f t="shared" si="0"/>
        <v>5.6e-10</v>
      </c>
      <c r="E18" s="84" t="s">
        <v>870</v>
      </c>
    </row>
    <row r="19" spans="1:6" x14ac:dyDescent="0.2">
      <c r="A19" s="17" t="s">
        <v>876</v>
      </c>
      <c r="B19" s="52">
        <v>1E-14</v>
      </c>
      <c r="C19" s="52">
        <v>55.8</v>
      </c>
      <c r="D19" s="64">
        <f t="shared" si="0"/>
        <v>1e-14</v>
      </c>
      <c r="E19" s="84" t="s">
        <v>870</v>
      </c>
    </row>
    <row r="20" spans="1:6" x14ac:dyDescent="0.2">
      <c r="A20" s="17" t="s">
        <v>877</v>
      </c>
      <c r="B20" s="52">
        <v>2.8840315031266057E-8</v>
      </c>
      <c r="C20" s="52">
        <v>13.8</v>
      </c>
      <c r="D20" s="64">
        <f t="shared" si="0"/>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 t="shared" ref="C50:C81" si="2">IF(AND(B50&gt;=0,B51&lt;0),A50+0.1*B50/(B50-B51),0)</f>
        <v>0.0</v>
      </c>
    </row>
    <row r="51" spans="1:3" x14ac:dyDescent="0.2">
      <c r="A51" s="20">
        <v>4.0999999999999996</v>
      </c>
      <c r="B51" s="64">
        <f t="shared" si="1"/>
        <v>0.033095991179</v>
      </c>
      <c r="C51" s="64">
        <f t="shared" si="2"/>
        <v>0.0</v>
      </c>
    </row>
    <row r="52" spans="1:3" x14ac:dyDescent="0.2">
      <c r="A52" s="20">
        <v>4.2</v>
      </c>
      <c r="B52" s="64">
        <f t="shared" si="1"/>
        <v>0.032986799309</v>
      </c>
      <c r="C52" s="64">
        <f t="shared" si="2"/>
        <v>0.0</v>
      </c>
    </row>
    <row r="53" spans="1:3" x14ac:dyDescent="0.2">
      <c r="A53" s="20">
        <v>4.3</v>
      </c>
      <c r="B53" s="64">
        <f t="shared" si="1"/>
        <v>0.032880652062</v>
      </c>
      <c r="C53" s="64">
        <f t="shared" si="2"/>
        <v>0.0</v>
      </c>
    </row>
    <row r="54" spans="1:3" x14ac:dyDescent="0.2">
      <c r="A54" s="20">
        <v>4.4000000000000004</v>
      </c>
      <c r="B54" s="64">
        <f t="shared" si="1"/>
        <v>0.032771986272</v>
      </c>
      <c r="C54" s="64">
        <f t="shared" si="2"/>
        <v>0.0</v>
      </c>
    </row>
    <row r="55" spans="1:3" x14ac:dyDescent="0.2">
      <c r="A55" s="20">
        <v>4.5</v>
      </c>
      <c r="B55" s="64">
        <f t="shared" si="1"/>
        <v>0.032655096798</v>
      </c>
      <c r="C55" s="64">
        <f t="shared" si="2"/>
        <v>0.0</v>
      </c>
    </row>
    <row r="56" spans="1:3" x14ac:dyDescent="0.2">
      <c r="A56" s="20">
        <v>4.5999999999999996</v>
      </c>
      <c r="B56" s="64">
        <f t="shared" si="1"/>
        <v>0.032523849984</v>
      </c>
      <c r="C56" s="64">
        <f t="shared" si="2"/>
        <v>0.0</v>
      </c>
    </row>
    <row r="57" spans="1:3" x14ac:dyDescent="0.2">
      <c r="A57" s="20">
        <v>4.7</v>
      </c>
      <c r="B57" s="64">
        <f t="shared" si="1"/>
        <v>0.032371376227</v>
      </c>
      <c r="C57" s="64">
        <f t="shared" si="2"/>
        <v>0.0</v>
      </c>
    </row>
    <row r="58" spans="1:3" x14ac:dyDescent="0.2">
      <c r="A58" s="20">
        <v>4.8</v>
      </c>
      <c r="B58" s="64">
        <f t="shared" si="1"/>
        <v>0.032189729231</v>
      </c>
      <c r="C58" s="64">
        <f t="shared" si="2"/>
        <v>0.0</v>
      </c>
    </row>
    <row r="59" spans="1:3" x14ac:dyDescent="0.2">
      <c r="A59" s="20">
        <v>4.9000000000000004</v>
      </c>
      <c r="B59" s="64">
        <f t="shared" si="1"/>
        <v>0.031969498815</v>
      </c>
      <c r="C59" s="64">
        <f t="shared" si="2"/>
        <v>0.0</v>
      </c>
    </row>
    <row r="60" spans="1:3" x14ac:dyDescent="0.2">
      <c r="A60" s="20">
        <v>5</v>
      </c>
      <c r="B60" s="64">
        <f t="shared" si="1"/>
        <v>0.031699363744</v>
      </c>
      <c r="C60" s="64">
        <f t="shared" si="2"/>
        <v>0.0</v>
      </c>
    </row>
    <row r="61" spans="1:3" x14ac:dyDescent="0.2">
      <c r="A61" s="20">
        <v>5.0999999999999996</v>
      </c>
      <c r="B61" s="64">
        <f t="shared" si="1"/>
        <v>0.031365571066</v>
      </c>
      <c r="C61" s="64">
        <f t="shared" si="2"/>
        <v>0.0</v>
      </c>
    </row>
    <row r="62" spans="1:3" x14ac:dyDescent="0.2">
      <c r="A62" s="20">
        <v>5.2</v>
      </c>
      <c r="B62" s="64">
        <f t="shared" si="1"/>
        <v>0.030951329376</v>
      </c>
      <c r="C62" s="64">
        <f t="shared" si="2"/>
        <v>0.0</v>
      </c>
    </row>
    <row r="63" spans="1:3" x14ac:dyDescent="0.2">
      <c r="A63" s="20">
        <v>5.3</v>
      </c>
      <c r="B63" s="64">
        <f t="shared" si="1"/>
        <v>0.030436105853</v>
      </c>
      <c r="C63" s="64">
        <f t="shared" si="2"/>
        <v>0.0</v>
      </c>
    </row>
    <row r="64" spans="1:3" x14ac:dyDescent="0.2">
      <c r="A64" s="20">
        <v>5.4</v>
      </c>
      <c r="B64" s="64">
        <f t="shared" si="1"/>
        <v>0.029794821411</v>
      </c>
      <c r="C64" s="64">
        <f t="shared" si="2"/>
        <v>0.0</v>
      </c>
    </row>
    <row r="65" spans="1:3" x14ac:dyDescent="0.2">
      <c r="A65" s="20">
        <v>5.5</v>
      </c>
      <c r="B65" s="64">
        <f t="shared" si="1"/>
        <v>0.028996945562</v>
      </c>
      <c r="C65" s="64">
        <f t="shared" si="2"/>
        <v>0.0</v>
      </c>
    </row>
    <row r="66" spans="1:3" x14ac:dyDescent="0.2">
      <c r="A66" s="20">
        <v>5.6</v>
      </c>
      <c r="B66" s="64">
        <f t="shared" si="1"/>
        <v>0.028005502639</v>
      </c>
      <c r="C66" s="64">
        <f t="shared" si="2"/>
        <v>0.0</v>
      </c>
    </row>
    <row r="67" spans="1:3" x14ac:dyDescent="0.2">
      <c r="A67" s="20">
        <v>5.7</v>
      </c>
      <c r="B67" s="64">
        <f t="shared" si="1"/>
        <v>0.026776012764</v>
      </c>
      <c r="C67" s="64">
        <f t="shared" si="2"/>
        <v>0.0</v>
      </c>
    </row>
    <row r="68" spans="1:3" x14ac:dyDescent="0.2">
      <c r="A68" s="20">
        <v>5.8</v>
      </c>
      <c r="B68" s="64">
        <f t="shared" si="1"/>
        <v>0.025255400836</v>
      </c>
      <c r="C68" s="64">
        <f t="shared" si="2"/>
        <v>0.0</v>
      </c>
    </row>
    <row r="69" spans="1:3" x14ac:dyDescent="0.2">
      <c r="A69" s="20">
        <v>5.9</v>
      </c>
      <c r="B69" s="64">
        <f t="shared" si="1"/>
        <v>0.02338090709</v>
      </c>
      <c r="C69" s="64">
        <f t="shared" si="2"/>
        <v>0.0</v>
      </c>
    </row>
    <row r="70" spans="1:3" x14ac:dyDescent="0.2">
      <c r="A70" s="20">
        <v>6</v>
      </c>
      <c r="B70" s="64">
        <f t="shared" si="1"/>
        <v>0.021079010121</v>
      </c>
      <c r="C70" s="64">
        <f t="shared" si="2"/>
        <v>0.0</v>
      </c>
    </row>
    <row r="71" spans="1:3" x14ac:dyDescent="0.2">
      <c r="A71" s="20">
        <v>6.1</v>
      </c>
      <c r="B71" s="64">
        <f t="shared" si="1"/>
        <v>0.01826430841</v>
      </c>
      <c r="C71" s="64">
        <f t="shared" si="2"/>
        <v>0.0</v>
      </c>
    </row>
    <row r="72" spans="1:3" x14ac:dyDescent="0.2">
      <c r="A72" s="20">
        <v>6.2</v>
      </c>
      <c r="B72" s="64">
        <f t="shared" si="1"/>
        <v>0.014838178095</v>
      </c>
      <c r="C72" s="64">
        <f t="shared" si="2"/>
        <v>0.0</v>
      </c>
    </row>
    <row r="73" spans="1:3" x14ac:dyDescent="0.2">
      <c r="A73" s="20">
        <v>6.3</v>
      </c>
      <c r="B73" s="64">
        <f t="shared" si="1"/>
        <v>0.010686819787</v>
      </c>
      <c r="C73" s="64">
        <f t="shared" si="2"/>
        <v>0.0</v>
      </c>
    </row>
    <row r="74" spans="1:3" x14ac:dyDescent="0.2">
      <c r="A74" s="20">
        <v>6.4</v>
      </c>
      <c r="B74" s="64">
        <f t="shared" si="1"/>
        <v>0.005678038225</v>
      </c>
      <c r="C74" s="64">
        <f t="shared" si="2"/>
        <v>6.494284837612</v>
      </c>
    </row>
    <row r="75" spans="1:3" x14ac:dyDescent="0.2">
      <c r="A75" s="20">
        <v>6.5</v>
      </c>
      <c r="B75" s="64">
        <f t="shared" si="1"/>
        <v>-0.0003441795237407</v>
      </c>
      <c r="C75" s="64">
        <f t="shared" si="2"/>
        <v>0.0</v>
      </c>
    </row>
    <row r="76" spans="1:3" x14ac:dyDescent="0.2">
      <c r="A76" s="20">
        <v>6.6</v>
      </c>
      <c r="B76" s="64">
        <f t="shared" si="1"/>
        <v>-0.00756840932</v>
      </c>
      <c r="C76" s="64">
        <f t="shared" si="2"/>
        <v>0.0</v>
      </c>
    </row>
    <row r="77" spans="1:3" x14ac:dyDescent="0.2">
      <c r="A77" s="20">
        <v>6.7</v>
      </c>
      <c r="B77" s="64">
        <f t="shared" si="1"/>
        <v>-0.016228970854</v>
      </c>
      <c r="C77" s="64">
        <f t="shared" si="2"/>
        <v>0.0</v>
      </c>
    </row>
    <row r="78" spans="1:3" x14ac:dyDescent="0.2">
      <c r="A78" s="20">
        <v>6.8</v>
      </c>
      <c r="B78" s="64">
        <f t="shared" si="1"/>
        <v>-0.02662440719</v>
      </c>
      <c r="C78" s="64">
        <f t="shared" si="2"/>
        <v>0.0</v>
      </c>
    </row>
    <row r="79" spans="1:3" x14ac:dyDescent="0.2">
      <c r="A79" s="20">
        <v>6.9</v>
      </c>
      <c r="B79" s="64">
        <f t="shared" si="1"/>
        <v>-0.039141735033</v>
      </c>
      <c r="C79" s="64">
        <f t="shared" si="2"/>
        <v>0.0</v>
      </c>
    </row>
    <row r="80" spans="1:3" x14ac:dyDescent="0.2">
      <c r="A80" s="20">
        <v>7</v>
      </c>
      <c r="B80" s="64">
        <f t="shared" si="1"/>
        <v>-0.054286645726</v>
      </c>
      <c r="C80" s="64">
        <f t="shared" si="2"/>
        <v>0.0</v>
      </c>
    </row>
    <row r="81" spans="1:3" x14ac:dyDescent="0.2">
      <c r="A81" s="20">
        <v>7.1</v>
      </c>
      <c r="B81" s="64">
        <f t="shared" si="1"/>
        <v>-0.072719923595</v>
      </c>
      <c r="C81" s="64">
        <f t="shared" si="2"/>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 t="shared" ref="C82:C99" si="4">IF(AND(B82&gt;=0,B83&lt;0),A82+0.1*B82/(B82-B83),0)</f>
        <v>0.0</v>
      </c>
    </row>
    <row r="83" spans="1:3" x14ac:dyDescent="0.2">
      <c r="A83" s="20">
        <v>7.3</v>
      </c>
      <c r="B83" s="64">
        <f t="shared" si="3"/>
        <v>-0.123140508482</v>
      </c>
      <c r="C83" s="64">
        <f t="shared" si="4"/>
        <v>0.0</v>
      </c>
    </row>
    <row r="84" spans="1:3" x14ac:dyDescent="0.2">
      <c r="A84" s="20">
        <v>7.4</v>
      </c>
      <c r="B84" s="64">
        <f t="shared" si="3"/>
        <v>-0.157665823938</v>
      </c>
      <c r="C84" s="64">
        <f t="shared" si="4"/>
        <v>0.0</v>
      </c>
    </row>
    <row r="85" spans="1:3" x14ac:dyDescent="0.2">
      <c r="A85" s="20">
        <v>7.5</v>
      </c>
      <c r="B85" s="64">
        <f t="shared" si="3"/>
        <v>-0.200703923131</v>
      </c>
      <c r="C85" s="64">
        <f t="shared" si="4"/>
        <v>0.0</v>
      </c>
    </row>
    <row r="86" spans="1:3" x14ac:dyDescent="0.2">
      <c r="A86" s="20">
        <v>7.6</v>
      </c>
      <c r="B86" s="64">
        <f t="shared" si="3"/>
        <v>-0.2545894166</v>
      </c>
      <c r="C86" s="64">
        <f t="shared" si="4"/>
        <v>0.0</v>
      </c>
    </row>
    <row r="87" spans="1:3" x14ac:dyDescent="0.2">
      <c r="A87" s="20">
        <v>7.7</v>
      </c>
      <c r="B87" s="64">
        <f t="shared" si="3"/>
        <v>-0.322306667774</v>
      </c>
      <c r="C87" s="64">
        <f t="shared" si="4"/>
        <v>0.0</v>
      </c>
    </row>
    <row r="88" spans="1:3" x14ac:dyDescent="0.2">
      <c r="A88" s="20">
        <v>7.8</v>
      </c>
      <c r="B88" s="64">
        <f t="shared" si="3"/>
        <v>-0.407678885978</v>
      </c>
      <c r="C88" s="64">
        <f t="shared" si="4"/>
        <v>0.0</v>
      </c>
    </row>
    <row r="89" spans="1:3" x14ac:dyDescent="0.2">
      <c r="A89" s="20">
        <v>7.9</v>
      </c>
      <c r="B89" s="64">
        <f t="shared" si="3"/>
        <v>-0.515621824235</v>
      </c>
      <c r="C89" s="64">
        <f t="shared" si="4"/>
        <v>0.0</v>
      </c>
    </row>
    <row r="90" spans="1:3" x14ac:dyDescent="0.2">
      <c r="A90" s="20">
        <v>8</v>
      </c>
      <c r="B90" s="64">
        <f t="shared" si="3"/>
        <v>-0.65248719742</v>
      </c>
      <c r="C90" s="64">
        <f t="shared" si="4"/>
        <v>0.0</v>
      </c>
    </row>
    <row r="91" spans="1:3" x14ac:dyDescent="0.2">
      <c r="A91" s="20">
        <v>8.1</v>
      </c>
      <c r="B91" s="64">
        <f t="shared" si="3"/>
        <v>-0.826532271905</v>
      </c>
      <c r="C91" s="64">
        <f t="shared" si="4"/>
        <v>0.0</v>
      </c>
    </row>
    <row r="92" spans="1:3" x14ac:dyDescent="0.2">
      <c r="A92" s="20">
        <v>8.1999999999999993</v>
      </c>
      <c r="B92" s="64">
        <f t="shared" si="3"/>
        <v>-1.048569336646</v>
      </c>
      <c r="C92" s="64">
        <f t="shared" si="4"/>
        <v>0.0</v>
      </c>
    </row>
    <row r="93" spans="1:3" x14ac:dyDescent="0.2">
      <c r="A93" s="20">
        <v>8.3000000000000007</v>
      </c>
      <c r="B93" s="64">
        <f t="shared" si="3"/>
        <v>-1.332875144027</v>
      </c>
      <c r="C93" s="64">
        <f t="shared" si="4"/>
        <v>0.0</v>
      </c>
    </row>
    <row r="94" spans="1:3" x14ac:dyDescent="0.2">
      <c r="A94" s="20">
        <v>8.4</v>
      </c>
      <c r="B94" s="64">
        <f t="shared" si="3"/>
        <v>-1.698480927379</v>
      </c>
      <c r="C94" s="64">
        <f t="shared" si="4"/>
        <v>0.0</v>
      </c>
    </row>
    <row r="95" spans="1:3" x14ac:dyDescent="0.2">
      <c r="A95" s="20">
        <v>8.5</v>
      </c>
      <c r="B95" s="64">
        <f t="shared" si="3"/>
        <v>-2.171026165161</v>
      </c>
      <c r="C95" s="64">
        <f t="shared" si="4"/>
        <v>0.0</v>
      </c>
    </row>
    <row r="96" spans="1:3" x14ac:dyDescent="0.2">
      <c r="A96" s="20">
        <v>8.6</v>
      </c>
      <c r="B96" s="64">
        <f t="shared" si="3"/>
        <v>-2.785456321043</v>
      </c>
      <c r="C96" s="64">
        <f t="shared" si="4"/>
        <v>0.0</v>
      </c>
    </row>
    <row r="97" spans="1:7" x14ac:dyDescent="0.2">
      <c r="A97" s="20">
        <v>8.6999999999999993</v>
      </c>
      <c r="B97" s="64">
        <f t="shared" si="3"/>
        <v>-3.589995975505</v>
      </c>
      <c r="C97" s="64">
        <f t="shared" si="4"/>
        <v>0.0</v>
      </c>
    </row>
    <row r="98" spans="1:7" x14ac:dyDescent="0.2">
      <c r="A98" s="20">
        <v>8.8000000000000007</v>
      </c>
      <c r="B98" s="64">
        <f t="shared" si="3"/>
        <v>-4.652065051273</v>
      </c>
      <c r="C98" s="64">
        <f t="shared" si="4"/>
        <v>0.0</v>
      </c>
    </row>
    <row r="99" spans="1:7" x14ac:dyDescent="0.2">
      <c r="A99" s="20">
        <v>8.9</v>
      </c>
      <c r="B99" s="64">
        <f t="shared" si="3"/>
        <v>-6.067176130696</v>
      </c>
      <c r="C99" s="64">
        <f t="shared" si="4"/>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s">
        <v>950</v>
      </c>
      <c r="B103" s="18" t="s">
        <v>951</v>
      </c>
      <c r="C103" s="19" t="s">
        <v>952</v>
      </c>
      <c r="D103" s="62">
        <f>IF(n_cross=1,SUM(C50:C100),NA())</f>
        <v>6.494284837612</v>
      </c>
      <c r="E103" s="51" t="s">
        <v>1878</v>
      </c>
      <c r="F103" s="101" t="s">
        <v>953</v>
      </c>
    </row>
    <row r="104" spans="1:7" ht="36" x14ac:dyDescent="0.2">
      <c r="A104" s="17" t="s">
        <v>954</v>
      </c>
      <c r="B104" s="18" t="s">
        <v>955</v>
      </c>
      <c r="C104" s="19" t="s">
        <v>956</v>
      </c>
      <c r="D104" s="62">
        <f>1/(1+10^(pH_meas-pKa_HOCl))</f>
        <v>0.896166326878</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s">
        <v>1459</v>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IF(C_eff&lt;Cl_onset,"negligible free chlorine ("&amp;TEXT(C_eff,"0.00")&amp;" mg/L &lt; onset); does NOT account for the Exp-2 death - see metal_flag",IF(C_eff&lt;Cl_kill,"sub-lethal "&amp;TEXT(C_eff,"0.00")&amp;" mg/L (band "&amp;TEXT(C_eff_lo,"0.00")&amp;"-"&amp;TEXT(C_eff_hi,"0.00")&amp;"); chloride-pool-bounded, cannot reach the kill threshold in this medium; does NOT explain the death - see metal_flag","SEVERE free chlorine: "&amp;TEXT(C_eff,"0.0")&amp;" mg/L biofilm/electrode damage (Baek 2021)"))</f>
        <v>sub-lethal 0.37 mg/L (band 0.00-0.53);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IF(pH_meas&lt;6.5,"pH BELOW HOB optimum (&lt;6.5) — reduce the CO₂ dose or lengthen the interval",IF(pH_meas&gt;7.5,"pH above optimum (&gt;7.5)","pH in HOB band 6.5–7.5"))</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8.472316725176</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s">
        <v>1462</v>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pH_NT/(1+10^(pKa_NH4-pH_meas))</f>
        <v>1.5968172298e-05</v>
      </c>
      <c r="E138" s="51" t="s">
        <v>1099</v>
      </c>
    </row>
    <row r="139" spans="1:5" ht="24" x14ac:dyDescent="0.2">
      <c r="A139" s="17" t="s">
        <v>1100</v>
      </c>
      <c r="B139" s="18" t="s">
        <v>1101</v>
      </c>
      <c r="C139" s="19" t="s">
        <v>1098</v>
      </c>
      <c r="D139" s="62">
        <f>P_HOCl/(k1_NH2Cl*NH3_free)</f>
        <v>7.303649900372e-10</v>
      </c>
      <c r="E139" s="51" t="s">
        <v>1102</v>
      </c>
    </row>
    <row r="140" spans="1:5" ht="24" x14ac:dyDescent="0.2">
      <c r="A140" s="17" t="s">
        <v>1103</v>
      </c>
      <c r="B140" s="18" t="s">
        <v>1104</v>
      </c>
      <c r="C140" s="19" t="s">
        <v>1088</v>
      </c>
      <c r="D140" s="62">
        <f>HOCl_ss*M_HOCl</f>
        <v>3.831494737735e-05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0.37041169273</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0.002585700326</v>
      </c>
      <c r="E156" s="51" t="s">
        <v>1247</v>
      </c>
    </row>
    <row r="157" spans="1:5" ht="24" x14ac:dyDescent="0.2">
      <c r="A157" s="17" t="s">
        <v>1248</v>
      </c>
      <c r="B157" s="18" t="s">
        <v>1249</v>
      </c>
      <c r="C157" s="19" t="s">
        <v>1250</v>
      </c>
      <c r="D157" s="62">
        <f>f_local*HOCl_ss_mgL+NH2Cl_hi/R_chloramine_lo</f>
        <v>0.52560290879</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phosphate",kappa0_udg,NA()))*kappa_fI*(1+kappa_TC*(TKc-298.15))</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1820000*(78.54*(298.15/TKc)^1.368)^-1.5*TKc^-1.5</f>
        <v>0.507905390447</v>
      </c>
      <c r="E186" s="67" t="s">
        <v>1532</v>
      </c>
    </row>
    <row r="187" spans="1:5" ht="36" x14ac:dyDescent="0.2">
      <c r="A187" t="s">
        <v>1533</v>
      </c>
      <c r="B187" s="18" t="s">
        <v>1534</v>
      </c>
      <c r="C187" s="19" t="s">
        <v>1274</v>
      </c>
      <c r="D187" s="22">
        <f>10^(-A_DH*1*(SQRT(I_ionic)/(1+SQRT(I_ionic))-0.3*I_ionic))</f>
        <v>0.776846550354</v>
      </c>
      <c r="E187" s="67" t="s">
        <v>1535</v>
      </c>
    </row>
    <row r="188" spans="1:5" ht="36" x14ac:dyDescent="0.2">
      <c r="A188" t="s">
        <v>1536</v>
      </c>
      <c r="B188" s="18" t="s">
        <v>1537</v>
      </c>
      <c r="C188" s="19" t="s">
        <v>1274</v>
      </c>
      <c r="D188" s="22">
        <f>10^(-A_DH*4*(SQRT(I_ionic)/(1+SQRT(I_ionic))-0.3*I_ionic))</f>
        <v>0.364200859384</v>
      </c>
      <c r="E188" s="67" t="s">
        <v>1535</v>
      </c>
    </row>
    <row r="189" spans="1:5" ht="36" x14ac:dyDescent="0.2">
      <c r="A189" t="s">
        <v>1538</v>
      </c>
      <c r="B189" s="18" t="s">
        <v>1539</v>
      </c>
      <c r="C189" s="19" t="s">
        <v>1274</v>
      </c>
      <c r="D189" s="22">
        <f>10^(-A_DH*9*(SQRT(I_ionic)/(1+SQRT(I_ionic))-0.3*I_ionic))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s">
        <v>1590</v>
      </c>
      <c r="B208" s="18" t="s">
        <v>1591</v>
      </c>
      <c r="C208" s="19" t="s">
        <v>1571</v>
      </c>
      <c r="D208" s="22">
        <f>E0_Cl2+nernst_slope*(-LOG10(MAX(pH_Cl,0.000000000001)))</f>
        <v>1.579505308204</v>
      </c>
      <c r="E208" s="67" t="s">
        <v>1592</v>
      </c>
    </row>
    <row r="209" spans="1:5" ht="60" x14ac:dyDescent="0.2">
      <c r="A209" t="s">
        <v>1593</v>
      </c>
      <c r="B209" s="18" t="s">
        <v>1594</v>
      </c>
      <c r="C209" s="19" t="s">
        <v>1595</v>
      </c>
      <c r="D209" s="22">
        <f>E_Cl2-E_OER</f>
        <v>0.741190671663</v>
      </c>
      <c r="E209" s="67" t="s">
        <v>1596</v>
      </c>
    </row>
    <row r="210" spans="1:5" ht="48" x14ac:dyDescent="0.2">
      <c r="A210" t="s">
        <v>1597</v>
      </c>
      <c r="B210" s="18" t="s">
        <v>1598</v>
      </c>
      <c r="C210" s="19" t="s">
        <v>1571</v>
      </c>
      <c r="D210" s="22">
        <f>E0_ORR2-nernst_slope*pH_meas</f>
        <v>0.30431463654</v>
      </c>
      <c r="E210" s="67" t="s">
        <v>1599</v>
      </c>
    </row>
    <row r="211" spans="1:5" ht="48" x14ac:dyDescent="0.2">
      <c r="A211" t="s">
        <v>1600</v>
      </c>
      <c r="B211" s="18" t="s">
        <v>1601</v>
      </c>
      <c r="C211" s="19" t="s">
        <v>1595</v>
      </c>
      <c r="D211" s="22">
        <f>E_OER-E0_Cu</f>
        <v>0.49641463654</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Fcc*D_HPO4*(pH_PT*(1-1/(1+10^(pH_meas-(-LOG10(Ka2p_c))))))*1000/(delta_diff/1000000)/10</f>
        <v>2.804749298695</v>
      </c>
      <c r="E216" s="67" t="s">
        <v>1612</v>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1.007610801297</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only",IF(j_buffer_ratio&gt;0.5,"watch — running at "&amp;TEXT(j_buffer_ratio,"0%")&amp;" of the phosphate buffer limit; expect a 0.4–1.0 unit excursion at each electrode surface","OK — buffer holds the electrode surfaces at the bulk pH"))</f>
        <v>BUFFER EXCEEDED — anode surface acidifies (local pH ~1 unit below bulk); the pH solved above is the bulk value only</v>
      </c>
      <c r="E219" s="67" t="s">
        <v>1621</v>
      </c>
    </row>
    <row r="220" spans="1:5" ht="60" x14ac:dyDescent="0.2">
      <c r="A220" t="s">
        <v>1622</v>
      </c>
      <c r="B220" s="18" t="s">
        <v>1623</v>
      </c>
      <c r="C220" s="19" t="s">
        <v>1274</v>
      </c>
      <c r="D220" s="22">
        <f>pH_op-LOG10(gamma_1)</f>
        <v>6.603949596052</v>
      </c>
      <c r="E220" s="67" t="s">
        <v>1624</v>
      </c>
    </row>
    <row r="221" spans="1:5" x14ac:dyDescent="0.2">
      <c r="A221" s="5" t="s">
        <v>1882</v>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0.500655956628</v>
      </c>
      <c r="E226" s="67" t="s">
        <v>1899</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IF(ISNUMBER(cal_knall_H2),cal_knall_H2,6)</f>
        <v>6.0</v>
      </c>
      <c r="E10" s="61" t="s">
        <v>409</v>
      </c>
      <c r="F10" s="20"/>
    </row>
    <row r="11" spans="1:6" x14ac:dyDescent="0.2">
      <c r="A11" s="17" t="s">
        <v>410</v>
      </c>
      <c r="B11" s="18" t="s">
        <v>411</v>
      </c>
      <c r="C11" s="19" t="s">
        <v>135</v>
      </c>
      <c r="D11" s="105">
        <f>IF(ISNUMBER(cal_knall_O2),cal_knall_O2,2)</f>
        <v>2.0</v>
      </c>
      <c r="E11" s="61" t="s">
        <v>412</v>
      </c>
      <c r="F11" s="20"/>
    </row>
    <row r="12" spans="1:6" x14ac:dyDescent="0.2">
      <c r="A12" s="17" t="s">
        <v>413</v>
      </c>
      <c r="B12" s="18" t="s">
        <v>414</v>
      </c>
      <c r="C12" s="19" t="s">
        <v>135</v>
      </c>
      <c r="D12" s="105">
        <f>IF(ISNUMBER(cal_knall_CO2),cal_knall_CO2,1)</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T_C+273.15</f>
        <v>298.15</v>
      </c>
      <c r="E18" s="99" t="s">
        <v>431</v>
      </c>
      <c r="F18" s="20"/>
    </row>
    <row r="19" spans="1:6" x14ac:dyDescent="0.2">
      <c r="A19" s="17" t="s">
        <v>432</v>
      </c>
      <c r="B19" s="18" t="s">
        <v>311</v>
      </c>
      <c r="C19" s="19" t="s">
        <v>62</v>
      </c>
      <c r="D19" s="63">
        <f>IF(Summary!$D$10&gt;0,Summary!$D$10,101325)</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s">
        <v>509</v>
      </c>
      <c r="B44" s="18" t="s">
        <v>510</v>
      </c>
      <c r="C44" s="19" t="s">
        <v>135</v>
      </c>
      <c r="D44" s="48" t="str">
        <f>IF(H2_turnover&gt;1,"EXPLOSIVE","watch")</f>
        <v>EXPLOSIVE</v>
      </c>
      <c r="E44" s="70" t="s">
        <v>511</v>
      </c>
      <c r="F44" s="101" t="s">
        <v>512</v>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s">
        <v>1473</v>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s">
        <v>1928</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s">
        <v>540</v>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sigma_0+sigma_k*(T_K-273.15)</f>
        <v>0.071965</v>
      </c>
      <c r="E29" s="51" t="s">
        <v>1785</v>
      </c>
      <c r="F29" s="20"/>
    </row>
    <row r="30" spans="1:6" ht="24" customHeight="1" x14ac:dyDescent="0.2">
      <c r="A30" s="17" t="s">
        <v>568</v>
      </c>
      <c r="B30" s="18" t="s">
        <v>569</v>
      </c>
      <c r="C30" s="19" t="s">
        <v>570</v>
      </c>
      <c r="D30" s="22">
        <f>rho_0+rho_k*(T_K-273.15)</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s">
        <v>1787</v>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IF(d_bubble&lt;0.001,0,kLa_sparge*(V_charge/1000000)*O2_ceil_C*3600)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IF(d_bubble&lt;0.001,"Sinter OOR – add fine-bubble model",IF(We_orifice&lt;2,"Static","Dynamic"))</f>
        <v>Static</v>
      </c>
      <c r="E64" s="99" t="s">
        <v>674</v>
      </c>
      <c r="F64" s="20"/>
    </row>
    <row r="65" spans="1:6" ht="24" customHeight="1" x14ac:dyDescent="0.2">
      <c r="A65" s="17" t="s">
        <v>675</v>
      </c>
      <c r="B65" s="18" t="s">
        <v>676</v>
      </c>
      <c r="C65" s="19" t="s">
        <v>67</v>
      </c>
      <c r="D65" s="48">
        <f>O2_ceil_C*(V_charge/1000000)/O2_excess*60</f>
        <v>22.21910236615</v>
      </c>
      <c r="E65" s="99" t="s">
        <v>677</v>
      </c>
      <c r="F65" s="20"/>
    </row>
    <row r="66" spans="1:6" ht="24" customHeight="1" x14ac:dyDescent="0.2">
      <c r="A66" s="17" t="s">
        <v>678</v>
      </c>
      <c r="B66" s="18" t="s">
        <v>679</v>
      </c>
      <c r="C66" s="19" t="s">
        <v>67</v>
      </c>
      <c r="D66" s="48">
        <f>IF(O2_excess-strip_avg&gt;0,O2_ceil_C*(V_charge/1000000)/(O2_excess-strip_avg)*60,9999)</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s">
        <v>1455</v>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IF(O2_net_gen-strip_avg-surf_strip&gt;0,O2_ceil_C*(V_charge/1000000)/(O2_net_gen-strip_avg-surf_strip)*60,9999)</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s">
        <v>1456</v>
      </c>
      <c r="F88" s="20"/>
    </row>
    <row r="89" spans="1:6" ht="36" x14ac:dyDescent="0.2">
      <c r="A89" s="17" t="s">
        <v>738</v>
      </c>
      <c r="B89" s="18" t="s">
        <v>739</v>
      </c>
      <c r="C89" s="19" t="s">
        <v>67</v>
      </c>
      <c r="D89" s="48">
        <f>target_DO_frac*O2_ceil_C*(V_charge/1000000)/O2_src_guard*60</f>
        <v>1.503645716274</v>
      </c>
      <c r="E89" s="99" t="s">
        <v>1457</v>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s">
        <v>1827</v>
      </c>
      <c r="F91" s="20"/>
    </row>
    <row r="92" spans="1:6" x14ac:dyDescent="0.2">
      <c r="A92" s="17" t="s">
        <v>745</v>
      </c>
      <c r="B92" s="18" t="s">
        <v>746</v>
      </c>
      <c r="C92" s="19" t="s">
        <v>13</v>
      </c>
      <c r="D92" s="48">
        <f>spg_int_opt*60</f>
        <v>987.621852976796</v>
      </c>
      <c r="E92" s="80" t="s">
        <v>747</v>
      </c>
      <c r="F92" s="20"/>
    </row>
    <row r="93" spans="1:6" x14ac:dyDescent="0.2">
      <c r="A93" s="17" t="s">
        <v>748</v>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IF(spg_int*60-spg_dur&gt;=5,"OK","TIGHT")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(DO_hs_floor+DO_surf_excess)*32</f>
        <v>2.639031652174</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
        <v>788</v>
      </c>
      <c r="B111" s="20" t="s">
        <v>789</v>
      </c>
      <c r="C111" s="20"/>
      <c r="D111" s="24" t="str">
        <f>IF(tip_speed&gt;1.5,"TIP SPEED &gt; 1.5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IF(AND(ISNUMBER(DO_ss),ISNUMBER(DO_impair)),IF(DO_ss&lt;DO_impair,"Surface stripping holds DO under impairment - sparge is CARBON-limited (long interval); the O2-limited interval is the conservative fallback until kL_surf is measured","Surface stripping insufficient - sparge must vent O2 - use the O2-limited interval"),"organism DO unknown")</f>
        <v>organism DO unknown</v>
      </c>
      <c r="E113" s="82" t="s">
        <v>795</v>
      </c>
      <c r="F113" s="20"/>
    </row>
    <row r="114" spans="1:6" x14ac:dyDescent="0.2">
      <c r="A114" s="103" t="s">
        <v>796</v>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s">
        <v>14</v>
      </c>
      <c r="D117" s="83">
        <f>IF(ISNUMBER(cal_flow),cal_flow,SUMPRODUCT(('CO2 flows'!$A$4:$A$201=Reactor)*('CO2 flows'!$B$4:$B$201=latest_date)*'CO2 flows'!$J$4:$J$201)/MAX(1,SUMPRODUCT(('CO2 flows'!$A$4:$A$201=Reactor)*('CO2 flows'!$B$4:$B$201=latest_date)*('CO2 flows'!$J$4:$J$201&gt;0)*1)))</f>
        <v>3.33</v>
      </c>
      <c r="E117" s="20" t="s">
        <v>1924</v>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s">
        <v>832</v>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s">
        <v>1826</v>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D_CO2_ref*EXP(-Ea_D_CO2/R_gas*(1/T_K-1/298.15))</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s">
        <v>1757</v>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s">
        <v>1773</v>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s">
        <v>1789</v>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s">
        <v>1810</v>
      </c>
    </row>
    <row r="185" spans="1:5" ht="24" x14ac:dyDescent="0.2">
      <c r="A185" t="s">
        <v>1811</v>
      </c>
      <c r="B185" s="18" t="s">
        <v>1812</v>
      </c>
      <c r="C185" s="19" t="s">
        <v>962</v>
      </c>
      <c r="D185" s="22">
        <f>IF(ISNUMBER(duty_DO),spg_dur_opt/(60*duty_DO),NA())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s">
        <v>1829</v>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s">
        <v>1927</v>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pw_A*EXP(pw_B*(T_K-273.15)/((T_K-273.15)+pw_C))</f>
        <v>3161.736035696692</v>
      </c>
      <c r="E206" s="99" t="s">
        <v>1922</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s">
        <v>12</v>
      </c>
      <c r="D3" s="5" t="s">
        <v>12</v>
      </c>
      <c r="E3" s="5" t="s">
        <v>12</v>
      </c>
      <c r="F3" s="5" t="s">
        <v>13</v>
      </c>
      <c r="G3" s="5" t="s">
        <v>14</v>
      </c>
      <c r="H3" s="5" t="s">
        <v>14</v>
      </c>
      <c r="I3" s="5" t="s">
        <v>13</v>
      </c>
      <c r="J3" s="5" t="s">
        <v>14</v>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s">
        <v>21</v>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s">
        <v>23</v>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Transfer'!$D$101*(F23+273.15)))/(D23/(IF(H23="H2",2,4)*Electrochemistry!$D$15)),"")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Transfer'!$D$101*(F24+273.15)))/(D24/(IF(H24="H2",2,4)*Electrochemistry!$D$15)),"")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Transfer'!$D$101*(F25+273.15)))/(D25/(IF(H25="H2",2,4)*Electrochemistry!$D$15)),"")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Transfer'!$D$101*(F26+273.15)))/(D26/(IF(H26="H2",2,4)*Electrochemistry!$D$15)),"")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Transfer'!$D$101*(F27+273.15)))/(D27/(IF(H27="H2",2,4)*Electrochemistry!$D$15)),"")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Transfer'!$D$101*(F28+273.15)))/(D28/(IF(H28="H2",2,4)*Electrochemistry!$D$15)),"")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Transfer'!$D$101*(F29+273.15)))/(D29/(IF(H29="H2",2,4)*Electrochemistry!$D$15)),"")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Transfer'!$D$101*(F30+273.15)))/(D30/(IF(H30="H2",2,4)*Electrochemistry!$D$15)),"")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 t="shared" ref="E81:E88" si="2">IFERROR(IF((291.2/D81)&gt;160,0,IF((291.2/D81)&gt;100,1,IF((291.2/D81)&gt;40,2,IF((291.2/D81)&gt;16,3,IF((291.2/D81)&gt;10,4,5))))),"")</f>
        <v/>
      </c>
      <c r="F81" s="129" t="str">
        <f>IFERROR(VLOOKUP(C81,Geometry!$A$59:$B$80,2,FALSE),"")</f>
        <v/>
      </c>
      <c r="G81" s="122"/>
      <c r="H81" s="122"/>
      <c r="I81" s="97"/>
      <c r="J81" s="97"/>
      <c r="K81" s="97"/>
      <c r="L81" s="97"/>
      <c r="M81" s="97"/>
    </row>
    <row r="82" spans="1:13" x14ac:dyDescent="0.2">
      <c r="A82" s="122"/>
      <c r="B82" s="123"/>
      <c r="C82" s="122"/>
      <c r="D82" s="123"/>
      <c r="E82" s="129" t="str">
        <f t="shared" si="2"/>
        <v/>
      </c>
      <c r="F82" s="130" t="str">
        <f>IFERROR(VLOOKUP(C82,Geometry!$A$59:$B$80,2,FALSE),"")</f>
        <v/>
      </c>
      <c r="G82" s="122"/>
      <c r="H82" s="122"/>
      <c r="I82" s="97"/>
      <c r="J82" s="97"/>
      <c r="K82" s="97"/>
      <c r="L82" s="97"/>
      <c r="M82" s="97"/>
    </row>
    <row r="83" spans="1:13" x14ac:dyDescent="0.2">
      <c r="A83" s="122"/>
      <c r="B83" s="123"/>
      <c r="C83" s="122"/>
      <c r="D83" s="123"/>
      <c r="E83" s="129" t="str">
        <f t="shared" si="2"/>
        <v/>
      </c>
      <c r="F83" s="130" t="str">
        <f>IFERROR(VLOOKUP(C83,Geometry!$A$59:$B$80,2,FALSE),"")</f>
        <v/>
      </c>
      <c r="G83" s="122"/>
      <c r="H83" s="122"/>
      <c r="I83" s="97"/>
      <c r="J83" s="97"/>
      <c r="K83" s="97"/>
      <c r="L83" s="97"/>
      <c r="M83" s="97"/>
    </row>
    <row r="84" spans="1:13" x14ac:dyDescent="0.2">
      <c r="A84" s="122"/>
      <c r="B84" s="123"/>
      <c r="C84" s="122"/>
      <c r="D84" s="123"/>
      <c r="E84" s="129" t="str">
        <f t="shared" si="2"/>
        <v/>
      </c>
      <c r="F84" s="130" t="str">
        <f>IFERROR(VLOOKUP(C84,Geometry!$A$59:$B$80,2,FALSE),"")</f>
        <v/>
      </c>
      <c r="G84" s="122"/>
      <c r="H84" s="122"/>
      <c r="I84" s="97"/>
      <c r="J84" s="97"/>
      <c r="K84" s="97"/>
      <c r="L84" s="97"/>
      <c r="M84" s="97"/>
    </row>
    <row r="85" spans="1:13" x14ac:dyDescent="0.2">
      <c r="A85" s="122"/>
      <c r="B85" s="123"/>
      <c r="C85" s="122"/>
      <c r="D85" s="123"/>
      <c r="E85" s="129" t="str">
        <f t="shared" si="2"/>
        <v/>
      </c>
      <c r="F85" s="130" t="str">
        <f>IFERROR(VLOOKUP(C85,Geometry!$A$59:$B$80,2,FALSE),"")</f>
        <v/>
      </c>
      <c r="G85" s="122"/>
      <c r="H85" s="122"/>
      <c r="I85" s="97"/>
      <c r="J85" s="97"/>
      <c r="K85" s="97"/>
      <c r="L85" s="97"/>
      <c r="M85" s="97"/>
    </row>
    <row r="86" spans="1:13" x14ac:dyDescent="0.2">
      <c r="A86" s="122"/>
      <c r="B86" s="123"/>
      <c r="C86" s="122"/>
      <c r="D86" s="123"/>
      <c r="E86" s="129" t="str">
        <f t="shared" si="2"/>
        <v/>
      </c>
      <c r="F86" s="129" t="str">
        <f>IFERROR(VLOOKUP(C86,Geometry!$A$59:$B$80,2,FALSE),"")</f>
        <v/>
      </c>
      <c r="G86" s="122"/>
      <c r="H86" s="122"/>
      <c r="I86" s="97"/>
      <c r="J86" s="97"/>
      <c r="K86" s="97"/>
      <c r="L86" s="97"/>
      <c r="M86" s="97"/>
    </row>
    <row r="87" spans="1:13" x14ac:dyDescent="0.2">
      <c r="A87" s="122"/>
      <c r="B87" s="123"/>
      <c r="C87" s="122"/>
      <c r="D87" s="123"/>
      <c r="E87" s="129" t="str">
        <f t="shared" si="2"/>
        <v/>
      </c>
      <c r="F87" s="129" t="str">
        <f>IFERROR(VLOOKUP(C87,Geometry!$A$59:$B$80,2,FALSE),"")</f>
        <v/>
      </c>
      <c r="G87" s="122"/>
      <c r="H87" s="122"/>
      <c r="I87" s="97"/>
      <c r="J87" s="97"/>
      <c r="K87" s="97"/>
      <c r="L87" s="97"/>
      <c r="M87" s="97"/>
    </row>
    <row r="88" spans="1:13" x14ac:dyDescent="0.2">
      <c r="A88" s="122"/>
      <c r="B88" s="123"/>
      <c r="C88" s="122"/>
      <c r="D88" s="123"/>
      <c r="E88" s="129" t="str">
        <f t="shared" si="2"/>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97"/>
      <c r="B139" s="97"/>
      <c r="C139" s="97"/>
      <c r="D139" s="97"/>
      <c r="E139" s="97"/>
      <c r="F139" s="97"/>
      <c r="G139" s="97"/>
      <c r="H139" s="97"/>
      <c r="I139" s="97"/>
      <c r="J139" s="97"/>
      <c r="K139" s="97"/>
      <c r="L139" s="97"/>
      <c r="M139" s="97"/>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