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4EB5C439-CC84-1846-B800-B9224A2CB035}" xr6:coauthVersionLast="47" xr6:coauthVersionMax="47" xr10:uidLastSave="{00000000-0000-0000-0000-000000000000}"/>
  <bookViews>
    <workbookView xWindow="1480" yWindow="580" windowWidth="25640" windowHeight="18060" tabRatio="500" xr2:uid="{00000000-000D-0000-FFFF-FFFF00000000}"/>
  </bookViews>
  <sheets>
    <sheet name="Summary" sheetId="1" r:id="rId1"/>
    <sheet name="Geometry" sheetId="2" r:id="rId2"/>
    <sheet name="Electrochemistry" sheetId="3" r:id="rId3"/>
    <sheet name="Chemistry" sheetId="7" r:id="rId4"/>
    <sheet name="Biology" sheetId="4" r:id="rId5"/>
    <sheet name="Mass Transfer" sheetId="5" r:id="rId6"/>
    <sheet name="CO2 flows" sheetId="6" r:id="rId7"/>
  </sheets>
  <definedNames>
    <definedName name="A_anode" localSheetId="3">Chemistry!$D$130</definedName>
    <definedName name="a_int" localSheetId="5">'Mass Transfer'!$D$49</definedName>
    <definedName name="a_surf" localSheetId="5">'Mass Transfer'!$D$71</definedName>
    <definedName name="A_x" localSheetId="1">Geometry!$D$21</definedName>
    <definedName name="A_x" localSheetId="5">'Mass Transfer'!$D$17</definedName>
    <definedName name="bio_CO2" localSheetId="4">Biology!$D$12</definedName>
    <definedName name="bio_H2" localSheetId="4">Biology!$D$10</definedName>
    <definedName name="bio_O2" localSheetId="4">Biology!$D$11</definedName>
    <definedName name="bleach_flag" localSheetId="3">Chemistry!$D$109</definedName>
    <definedName name="bleach_rate" localSheetId="3">Chemistry!$D$107</definedName>
    <definedName name="bleach_t1ppm" localSheetId="3">Chemistry!$D$108</definedName>
    <definedName name="bubble_regime" localSheetId="5">'Mass Transfer'!$D$64</definedName>
    <definedName name="C_air_CO2" localSheetId="5">'Mass Transfer'!$D$146</definedName>
    <definedName name="C_eff" localSheetId="3">Chemistry!$D$145</definedName>
    <definedName name="C_eff_hi" localSheetId="3">Chemistry!$D$157</definedName>
    <definedName name="C_eff_lo" localSheetId="3">Chemistry!$D$156</definedName>
    <definedName name="C_H2_sat" localSheetId="4">Biology!$D$41</definedName>
    <definedName name="C_sat_CO2" localSheetId="5">'Mass Transfer'!$D$145</definedName>
    <definedName name="Ca_CO2" localSheetId="5">'Mass Transfer'!$D$157</definedName>
    <definedName name="cal_warning" localSheetId="5">'Mass Transfer'!$D$120</definedName>
    <definedName name="carbon_margin_min" localSheetId="5">'Mass Transfer'!$D$85</definedName>
    <definedName name="carry_flag" localSheetId="5">'Mass Transfer'!$D$59</definedName>
    <definedName name="Cb_CO2" localSheetId="5">'Mass Transfer'!$D$158</definedName>
    <definedName name="Cl_kill" localSheetId="3">Chemistry!$D$147</definedName>
    <definedName name="Cl_mc02" localSheetId="3">Chemistry!$D$38</definedName>
    <definedName name="Cl_onset" localSheetId="3">Chemistry!$D$146</definedName>
    <definedName name="Cl_pool_mgL" localSheetId="3">Chemistry!$D$149</definedName>
    <definedName name="Cl_udg" localSheetId="3">Chemistry!$D$42</definedName>
    <definedName name="CO2_carbon_margin" localSheetId="4">Biology!$D$35</definedName>
    <definedName name="CO2_cons" localSheetId="4">Biology!$D$15</definedName>
    <definedName name="CO2_cons" localSheetId="5">'Mass Transfer'!$D$10</definedName>
    <definedName name="CO2_cyc_avg" localSheetId="5">'Mass Transfer'!$D$161</definedName>
    <definedName name="CO2_diss" localSheetId="4">Biology!$D$33</definedName>
    <definedName name="CO2_int_off" localSheetId="5">'Mass Transfer'!$D$160</definedName>
    <definedName name="CO2_int_on" localSheetId="5">'Mass Transfer'!$D$159</definedName>
    <definedName name="CO2_pulse" localSheetId="5">'Mass Transfer'!$D$123</definedName>
    <definedName name="CO2_sd_ratio" localSheetId="5">'Mass Transfer'!$D$126</definedName>
    <definedName name="CO2_supply" localSheetId="5">'Mass Transfer'!$D$100</definedName>
    <definedName name="CO2aqc" localSheetId="3">Chemistry!$D$5</definedName>
    <definedName name="CO2aqc_ss" localSheetId="5">'Mass Transfer'!$D$162</definedName>
    <definedName name="coef_CO2" localSheetId="5">'Mass Transfer'!$D$156</definedName>
    <definedName name="corr_I_frac" localSheetId="3">Chemistry!$D$158</definedName>
    <definedName name="d_bubble" localSheetId="5">'Mass Transfer'!$D$42</definedName>
    <definedName name="d_bubble_mm" localSheetId="5">'Mass Transfer'!$D$43</definedName>
    <definedName name="D_CO2" localSheetId="5">'Mass Transfer'!$D$138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5">'Mass Transfer'!$D$32</definedName>
    <definedName name="d_orifice" localSheetId="5">'Mass Transfer'!$D$41</definedName>
    <definedName name="depth_warn" localSheetId="1">Geometry!$D$55</definedName>
    <definedName name="disp_tot" localSheetId="1">Geometry!$D$40</definedName>
    <definedName name="DO_impair" localSheetId="4">Biology!$D$47</definedName>
    <definedName name="DO_impair" localSheetId="5">'Mass Transfer'!$D$23</definedName>
    <definedName name="DO_min" localSheetId="4">Biology!$D$45</definedName>
    <definedName name="DO_min" localSheetId="5">'Mass Transfer'!$D$25</definedName>
    <definedName name="DO_opt" localSheetId="4">Biology!$D$46</definedName>
    <definedName name="DO_opt" localSheetId="5">'Mass Transfer'!$D$22</definedName>
    <definedName name="DO_ss" localSheetId="5">'Mass Transfer'!$D$108</definedName>
    <definedName name="DO_ss_sawtooth" localSheetId="5">'Mass Transfer'!$D$133</definedName>
    <definedName name="DO_ss_sawtooth_lag" localSheetId="5">'Mass Transfer'!$D$135</definedName>
    <definedName name="DO_ss_vs_min" localSheetId="5">'Mass Transfer'!$D$110</definedName>
    <definedName name="DO_ss_vs_opt" localSheetId="5">'Mass Transfer'!$D$109</definedName>
    <definedName name="DO_toxic" localSheetId="4">Biology!$D$48</definedName>
    <definedName name="DO_toxic" localSheetId="5">'Mass Transfer'!$D$24</definedName>
    <definedName name="DO_vent_eq" localSheetId="5">'Mass Transfer'!$D$76</definedName>
    <definedName name="dur_ok" localSheetId="5">'Mass Transfer'!$D$130</definedName>
    <definedName name="duty" localSheetId="5">'Mass Transfer'!$D$105</definedName>
    <definedName name="duty_actual" localSheetId="5">'Mass Transfer'!$D$93</definedName>
    <definedName name="duty_carbon" localSheetId="5">'Mass Transfer'!$D$86</definedName>
    <definedName name="duty_O2vent" localSheetId="5">'Mass Transfer'!$D$87</definedName>
    <definedName name="duty_opt" localSheetId="5">'Mass Transfer'!$D$88</definedName>
    <definedName name="e1_CO2" localSheetId="5">'Mass Transfer'!$D$154</definedName>
    <definedName name="e2_CO2" localSheetId="5">'Mass Transfer'!$D$155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on_CO2" localSheetId="5">'Mass Transfer'!$D$153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_local" localSheetId="3">Chemistry!$D$141</definedName>
    <definedName name="Fcc" localSheetId="3">Chemistry!$D$7</definedName>
    <definedName name="FE_CER" localSheetId="3">Chemistry!$D$128</definedName>
    <definedName name="flowrate_cal" localSheetId="5">'Mass Transfer'!$D$117</definedName>
    <definedName name="flush_factor" localSheetId="5">'Mass Transfer'!$D$106</definedName>
    <definedName name="g_const" localSheetId="5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4">Biology!$D$31</definedName>
    <definedName name="H_CO2ref" localSheetId="4">Biology!$D$29</definedName>
    <definedName name="H_CO2T" localSheetId="4">Biology!$D$30</definedName>
    <definedName name="h_datum" localSheetId="1">Geometry!$D$25</definedName>
    <definedName name="H_H2_T" localSheetId="4">Biology!$D$40</definedName>
    <definedName name="H_H2ref" localSheetId="4">Biology!$D$38</definedName>
    <definedName name="H_H2T" localSheetId="4">Biology!$D$39</definedName>
    <definedName name="H_O2_T" localSheetId="4">Biology!$D$24</definedName>
    <definedName name="H_O2_T" localSheetId="5">'Mass Transfer'!$D$12</definedName>
    <definedName name="H_O2ref" localSheetId="4">Biology!$D$21</definedName>
    <definedName name="H_O2T" localSheetId="4">Biology!$D$22</definedName>
    <definedName name="H2_cons" localSheetId="4">Biology!$D$13</definedName>
    <definedName name="H2_safety" localSheetId="4">Biology!$D$44</definedName>
    <definedName name="H2_turnover" localSheetId="4">Biology!$D$43</definedName>
    <definedName name="has_cal" localSheetId="5">'Mass Transfer'!$D$119</definedName>
    <definedName name="headspace_V" localSheetId="1">Geometry!$D$49</definedName>
    <definedName name="headspace_V" localSheetId="5">'Mass Transfer'!$D$19</definedName>
    <definedName name="headspace_V_m3" localSheetId="5">'Mass Transfer'!$D$140</definedName>
    <definedName name="HOCl_max" localSheetId="3">Chemistry!$D$125</definedName>
    <definedName name="HOCl_ss" localSheetId="3">Chemistry!$D$139</definedName>
    <definedName name="HOCl_ss_mgL" localSheetId="3">Chemistry!$D$140</definedName>
    <definedName name="holdup" localSheetId="5">'Mass Transfer'!$D$48</definedName>
    <definedName name="hs_flush_time" localSheetId="5">'Mass Transfer'!$D$77</definedName>
    <definedName name="I_app" localSheetId="2">Electrochemistry!$D$19</definedName>
    <definedName name="I_Cl" localSheetId="3">Chemistry!$D$133</definedName>
    <definedName name="I_Cl_FE" localSheetId="3">Chemistry!$D$131</definedName>
    <definedName name="I_Cl_mt" localSheetId="3">Chemistry!$D$132</definedName>
    <definedName name="I_valid" localSheetId="2">Electrochemistry!$D$20</definedName>
    <definedName name="Iappc" localSheetId="3">Chemistry!$D$6</definedName>
    <definedName name="intensity" localSheetId="2">Electrochemistry!$D$10</definedName>
    <definedName name="interface_A" localSheetId="1">Geometry!$D$44</definedName>
    <definedName name="interface_A" localSheetId="5">'Mass Transfer'!$D$14</definedName>
    <definedName name="k_vent" localSheetId="5">'Mass Transfer'!$D$143</definedName>
    <definedName name="k1_NH2Cl" localSheetId="3">Chemistry!$D$136</definedName>
    <definedName name="Ka_HOCl" localSheetId="3">Chemistry!$D$20</definedName>
    <definedName name="Ka_NH4" localSheetId="3">Chemistry!$D$18</definedName>
    <definedName name="Ka1_carb" localSheetId="4">Biology!$D$36</definedName>
    <definedName name="Ka1c" localSheetId="3">Chemistry!$D$13</definedName>
    <definedName name="Ka1p" localSheetId="3">Chemistry!$D$15</definedName>
    <definedName name="Ka2c" localSheetId="3">Chemistry!$D$14</definedName>
    <definedName name="Ka2p" localSheetId="3">Chemistry!$D$16</definedName>
    <definedName name="Ka3p" localSheetId="3">Chemistry!$D$17</definedName>
    <definedName name="kinetic_caveat" localSheetId="5">'Mass Transfer'!$D$96</definedName>
    <definedName name="kL" localSheetId="5">'Mass Transfer'!$D$51</definedName>
    <definedName name="kL_surf" localSheetId="5">'Mass Transfer'!$D$70</definedName>
    <definedName name="kL_surf_crit" localSheetId="5">'Mass Transfer'!$D$131</definedName>
    <definedName name="kLa_avg" localSheetId="5">'Mass Transfer'!$D$53</definedName>
    <definedName name="kLa_CO2_off" localSheetId="5">'Mass Transfer'!$D$148</definedName>
    <definedName name="kLa_meas" localSheetId="5">'Mass Transfer'!$D$97</definedName>
    <definedName name="kLa_req" localSheetId="5">'Mass Transfer'!$D$57</definedName>
    <definedName name="kLa_sparge" localSheetId="5">'Mass Transfer'!$D$52</definedName>
    <definedName name="kLa_surf" localSheetId="5">'Mass Transfer'!$D$72</definedName>
    <definedName name="kLa_surf_used" localSheetId="5">'Mass Transfer'!$D$98</definedName>
    <definedName name="km_Cl" localSheetId="3">Chemistry!$D$129</definedName>
    <definedName name="Km_CO2" localSheetId="4">Biology!$D$34</definedName>
    <definedName name="Kw_w" localSheetId="3">Chemistry!$D$19</definedName>
    <definedName name="latest_date" localSheetId="5">'Mass Transfer'!$D$116</definedName>
    <definedName name="led_intensity" localSheetId="0">Summary!$D$6</definedName>
    <definedName name="M_CO2" localSheetId="5">'Mass Transfer'!$D$103</definedName>
    <definedName name="mc_CaSO4_2H2O" localSheetId="3">Chemistry!$C$30</definedName>
    <definedName name="mc_K2SO4" localSheetId="3">Chemistry!$C$29</definedName>
    <definedName name="mc_MgSO4_7H2O" localSheetId="3">Chemistry!$C$31</definedName>
    <definedName name="mc_Na2HPO4" localSheetId="3">Chemistry!$C$26</definedName>
    <definedName name="mc_NaH2PO4_2H2O" localSheetId="3">Chemistry!$C$27</definedName>
    <definedName name="mc_NH42SO4" localSheetId="3">Chemistry!$C$32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5">'Mass Transfer'!$D$44</definedName>
    <definedName name="mend_b" localSheetId="5">'Mass Transfer'!$D$45</definedName>
    <definedName name="metal_flag" localSheetId="3">Chemistry!$D$163</definedName>
    <definedName name="metal_leach_rate" localSheetId="3">Chemistry!$D$161</definedName>
    <definedName name="metal_MW" localSheetId="3">Chemistry!$D$159</definedName>
    <definedName name="metal_tox_thresh" localSheetId="3">Chemistry!$D$162</definedName>
    <definedName name="metal_z" localSheetId="3">Chemistry!$D$160</definedName>
    <definedName name="min_sparge_cal" localSheetId="5">'Mass Transfer'!$D$118</definedName>
    <definedName name="MW_CaCl2" localSheetId="3">Chemistry!$B$33</definedName>
    <definedName name="MW_CaSO4_2H2O" localSheetId="3">Chemistry!$B$30</definedName>
    <definedName name="MW_K2SO4" localSheetId="3">Chemistry!$B$29</definedName>
    <definedName name="MW_KH2PO4" localSheetId="3">Chemistry!$B$25</definedName>
    <definedName name="MW_MgSO4_7H2O" localSheetId="3">Chemistry!$B$31</definedName>
    <definedName name="MW_Na2HPO4" localSheetId="3">Chemistry!$B$26</definedName>
    <definedName name="MW_NaH2PO4_2H2O" localSheetId="3">Chemistry!$B$27</definedName>
    <definedName name="MW_NaHCO3" localSheetId="3">Chemistry!$B$28</definedName>
    <definedName name="MW_NH42SO4" localSheetId="3">Chemistry!$B$32</definedName>
    <definedName name="n_cross" localSheetId="3">Chemistry!$D$105</definedName>
    <definedName name="n_e_Cl" localSheetId="3">Chemistry!$D$148</definedName>
    <definedName name="n_hs_gas" localSheetId="5">'Mass Transfer'!$D$150</definedName>
    <definedName name="n_pores_active" localSheetId="5">'Mass Transfer'!$D$61</definedName>
    <definedName name="nCO2_rate" localSheetId="5">'Mass Transfer'!$D$104</definedName>
    <definedName name="NH2Cl_hi" localSheetId="3">Chemistry!$D$155</definedName>
    <definedName name="NH2Cl_lo" localSheetId="3">Chemistry!$D$154</definedName>
    <definedName name="NH2Cl_mgL" localSheetId="3">Chemistry!$D$143</definedName>
    <definedName name="NH3_free" localSheetId="3">Chemistry!$D$138</definedName>
    <definedName name="NH3_N" localSheetId="3">Chemistry!$D$135</definedName>
    <definedName name="NT_mc02" localSheetId="3">Chemistry!$D$37</definedName>
    <definedName name="NT_udg" localSheetId="3">Chemistry!$D$41</definedName>
    <definedName name="O2_accum" localSheetId="5">'Mass Transfer'!$D$127</definedName>
    <definedName name="O2_cathode_ORR" localSheetId="2">Electrochemistry!$D$28</definedName>
    <definedName name="O2_ceil_atm" localSheetId="4">Biology!$D$25</definedName>
    <definedName name="O2_ceil_C" localSheetId="4">Biology!$D$27</definedName>
    <definedName name="O2_ceil_C" localSheetId="5">'Mass Transfer'!$D$6</definedName>
    <definedName name="O2_ceil_Pa" localSheetId="4">Biology!$D$26</definedName>
    <definedName name="O2_ceil_Pa" localSheetId="5">'Mass Transfer'!$D$7</definedName>
    <definedName name="O2_ceil_uM" localSheetId="4">Biology!$D$28</definedName>
    <definedName name="O2_cons" localSheetId="4">Biology!$D$14</definedName>
    <definedName name="O2_excess" localSheetId="4">Biology!$D$16</definedName>
    <definedName name="O2_excess" localSheetId="5">'Mass Transfer'!$D$11</definedName>
    <definedName name="O2_net_gen" localSheetId="4">Biology!$D$5</definedName>
    <definedName name="O2_net_gen" localSheetId="2">Electrochemistry!$D$29</definedName>
    <definedName name="O2_net_gen" localSheetId="5">'Mass Transfer'!$D$13</definedName>
    <definedName name="O2_removal_ratio" localSheetId="5">'Mass Transfer'!$D$78</definedName>
    <definedName name="O2_src_guard" localSheetId="5">'Mass Transfer'!$D$132</definedName>
    <definedName name="O2_strip_pulse" localSheetId="5">'Mass Transfer'!$D$128</definedName>
    <definedName name="od_ok" localSheetId="5">'Mass Transfer'!$D$95</definedName>
    <definedName name="opt_binding" localSheetId="5">'Mass Transfer'!$D$94</definedName>
    <definedName name="organism_sel" localSheetId="4">Biology!$D$7</definedName>
    <definedName name="organism_sel" localSheetId="0">Summary!$D$4</definedName>
    <definedName name="P_atm" localSheetId="4">Biology!$D$19</definedName>
    <definedName name="P_atm" localSheetId="2">Electrochemistry!$D$6</definedName>
    <definedName name="P_atm" localSheetId="5">'Mass Transfer'!$D$9</definedName>
    <definedName name="P_atm_set" localSheetId="0">Summary!$D$10</definedName>
    <definedName name="p_CO2_sparge" localSheetId="4">Biology!$D$32</definedName>
    <definedName name="P_HOCl" localSheetId="3">Chemistry!$D$134</definedName>
    <definedName name="Pa_per_atm" localSheetId="4">Biology!$D$20</definedName>
    <definedName name="pCO2_air" localSheetId="5">'Mass Transfer'!$D$139</definedName>
    <definedName name="pH_band_flag" localSheetId="3">Chemistry!$D$110</definedName>
    <definedName name="pH_Cl" localSheetId="3">Chemistry!$D$47</definedName>
    <definedName name="pH_CO2_unbuf" localSheetId="4">Biology!$D$37</definedName>
    <definedName name="pH_fHOCl" localSheetId="3">Chemistry!$D$104</definedName>
    <definedName name="pH_NT" localSheetId="3">Chemistry!$D$46</definedName>
    <definedName name="pH_op" localSheetId="3">Chemistry!$D$103</definedName>
    <definedName name="pH_PT" localSheetId="3">Chemistry!$D$45</definedName>
    <definedName name="pH_SID" localSheetId="3">Chemistry!$D$44</definedName>
    <definedName name="pKa_HOCl" localSheetId="3">Chemistry!$D$21</definedName>
    <definedName name="pKa_NH4" localSheetId="3">Chemistry!$D$137</definedName>
    <definedName name="por_grade" localSheetId="5">'Mass Transfer'!$D$20</definedName>
    <definedName name="por_grade_e" localSheetId="2">Electrochemistry!$D$32</definedName>
    <definedName name="por_pore" localSheetId="5">'Mass Transfer'!$D$39</definedName>
    <definedName name="por0_um" localSheetId="5">'Mass Transfer'!$D$33</definedName>
    <definedName name="por1_um" localSheetId="5">'Mass Transfer'!$D$34</definedName>
    <definedName name="por2_um" localSheetId="5">'Mass Transfer'!$D$35</definedName>
    <definedName name="por3_um" localSheetId="5">'Mass Transfer'!$D$36</definedName>
    <definedName name="por4_um" localSheetId="5">'Mass Transfer'!$D$37</definedName>
    <definedName name="por5_um" localSheetId="5">'Mass Transfer'!$D$38</definedName>
    <definedName name="PT_mc02" localSheetId="3">Chemistry!$D$35</definedName>
    <definedName name="PT_udg" localSheetId="3">Chemistry!$D$39</definedName>
    <definedName name="pulse_floor" localSheetId="5">'Mass Transfer'!$D$99</definedName>
    <definedName name="pulses_d" localSheetId="5">'Mass Transfer'!$D$125</definedName>
    <definedName name="pulses_h" localSheetId="5">'Mass Transfer'!$D$124</definedName>
    <definedName name="Q_CO2" localSheetId="5">'Mass Transfer'!$D$102</definedName>
    <definedName name="Q_vent" localSheetId="5">'Mass Transfer'!$D$142</definedName>
    <definedName name="R_chloramine" localSheetId="3">Chemistry!$D$144</definedName>
    <definedName name="R_chloramine_hi" localSheetId="3">Chemistry!$D$153</definedName>
    <definedName name="R_chloramine_lo" localSheetId="3">Chemistry!$D$152</definedName>
    <definedName name="R_gas" localSheetId="3">Chemistry!$D$9</definedName>
    <definedName name="R_gas" localSheetId="2">Electrochemistry!$D$7</definedName>
    <definedName name="R_gas" localSheetId="5">'Mass Transfer'!$D$101</definedName>
    <definedName name="Reactor" localSheetId="5">'Mass Transfer'!$D$115</definedName>
    <definedName name="reactor_sel" localSheetId="1">Geometry!$D$5</definedName>
    <definedName name="Reactor_sel" localSheetId="0">Summary!$D$2</definedName>
    <definedName name="rH2_gen" localSheetId="4">Biology!$D$4</definedName>
    <definedName name="rH2_gen" localSheetId="2">Electrochemistry!$D$21</definedName>
    <definedName name="rho_CO2" localSheetId="5">'Mass Transfer'!$D$60</definedName>
    <definedName name="rho_L" localSheetId="5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5">'Mass Transfer'!$D$69</definedName>
    <definedName name="sched_bal" localSheetId="5">'Mass Transfer'!$D$129</definedName>
    <definedName name="sched_mode" localSheetId="5">'Mass Transfer'!$D$81</definedName>
    <definedName name="sched_regime" localSheetId="5">'Mass Transfer'!$D$113</definedName>
    <definedName name="sched_valid" localSheetId="5">'Mass Transfer'!$D$164</definedName>
    <definedName name="SID_mc02" localSheetId="3">Chemistry!$D$36</definedName>
    <definedName name="SID_udg" localSheetId="3">Chemistry!$D$40</definedName>
    <definedName name="sigma" localSheetId="5">'Mass Transfer'!$D$29</definedName>
    <definedName name="sparge_depth" localSheetId="1">Geometry!$D$43</definedName>
    <definedName name="sparger" localSheetId="5">'Mass Transfer'!$D$21</definedName>
    <definedName name="sparger_e" localSheetId="2">Electrochemistry!$D$31</definedName>
    <definedName name="spg_disp" localSheetId="1">Geometry!$D$37</definedName>
    <definedName name="spg_dur" localSheetId="5">'Mass Transfer'!$D$121</definedName>
    <definedName name="spg_dur_man" localSheetId="5">'Mass Transfer'!$D$82</definedName>
    <definedName name="spg_dur_opt" localSheetId="5">'Mass Transfer'!$D$90</definedName>
    <definedName name="spg_ID" localSheetId="1">Geometry!$D$31</definedName>
    <definedName name="spg_ID" localSheetId="5">'Mass Transfer'!$D$18</definedName>
    <definedName name="spg_int" localSheetId="5">'Mass Transfer'!$D$122</definedName>
    <definedName name="spg_int_carbon" localSheetId="5">'Mass Transfer'!$D$112</definedName>
    <definedName name="spg_int_man" localSheetId="5">'Mass Transfer'!$D$83</definedName>
    <definedName name="spg_int_max" localSheetId="5">'Mass Transfer'!$D$89</definedName>
    <definedName name="spg_int_opt" localSheetId="5">'Mass Transfer'!$D$91</definedName>
    <definedName name="spg_int_opt_s" localSheetId="5">'Mass Transfer'!$D$92</definedName>
    <definedName name="spg_int_regime" localSheetId="5">'Mass Transfer'!$D$134</definedName>
    <definedName name="spg_len" localSheetId="1">Geometry!$D$50</definedName>
    <definedName name="spg_name_1" localSheetId="5">'Mass Transfer'!$D$27</definedName>
    <definedName name="spg_name_2" localSheetId="5">'Mass Transfer'!$D$28</definedName>
    <definedName name="spg_OD" localSheetId="1">Geometry!$D$30</definedName>
    <definedName name="spg_tip_h" localSheetId="1">Geometry!$D$32</definedName>
    <definedName name="sqrtD_CO2" localSheetId="5">'Mass Transfer'!$D$147</definedName>
    <definedName name="stir_bar_L" localSheetId="1">Geometry!$D$52</definedName>
    <definedName name="stir_len" localSheetId="5">'Mass Transfer'!$D$5</definedName>
    <definedName name="stir_rpm" localSheetId="5">'Mass Transfer'!$D$67</definedName>
    <definedName name="stir_rpm_set" localSheetId="0">Summary!$D$7</definedName>
    <definedName name="strip_avg" localSheetId="5">'Mass Transfer'!$D$55</definedName>
    <definedName name="strip_ratio" localSheetId="5">'Mass Transfer'!$D$56</definedName>
    <definedName name="strip_sparge" localSheetId="5">'Mass Transfer'!$D$54</definedName>
    <definedName name="surf_ratio" localSheetId="5">'Mass Transfer'!$D$74</definedName>
    <definedName name="surf_strip" localSheetId="5">'Mass Transfer'!$D$73</definedName>
    <definedName name="T_C" localSheetId="4">Biology!$D$17</definedName>
    <definedName name="t_contact" localSheetId="5">'Mass Transfer'!$D$50</definedName>
    <definedName name="t_H2_sat" localSheetId="4">Biology!$D$42</definedName>
    <definedName name="T_K" localSheetId="4">Biology!$D$18</definedName>
    <definedName name="T_K" localSheetId="2">Electrochemistry!$D$5</definedName>
    <definedName name="T_K" localSheetId="5">'Mass Transfer'!$D$8</definedName>
    <definedName name="t_O2_ceiling" localSheetId="5">'Mass Transfer'!$D$65</definedName>
    <definedName name="t_O2_ceiling_lag" localSheetId="5">'Mass Transfer'!$D$79</definedName>
    <definedName name="t_O2_ceiling_rem" localSheetId="5">'Mass Transfer'!$D$80</definedName>
    <definedName name="t_O2_ceiling_strip" localSheetId="5">'Mass Transfer'!$D$66</definedName>
    <definedName name="t_off_CO2" localSheetId="5">'Mass Transfer'!$D$152</definedName>
    <definedName name="t_on_CO2" localSheetId="5">'Mass Transfer'!$D$151</definedName>
    <definedName name="T_ref" localSheetId="4">Biology!$D$23</definedName>
    <definedName name="target_DO_frac" localSheetId="5">'Mass Transfer'!$D$84</definedName>
    <definedName name="tau_hs" localSheetId="5">'Mass Transfer'!$D$144</definedName>
    <definedName name="tau_NH2Cl" localSheetId="3">Chemistry!$D$142</definedName>
    <definedName name="tau_NH2Cl_hi" localSheetId="3">Chemistry!$D$151</definedName>
    <definedName name="tau_NH2Cl_lo" localSheetId="3">Chemistry!$D$150</definedName>
    <definedName name="tau_surf_floor" localSheetId="5">'Mass Transfer'!$D$149</definedName>
    <definedName name="temp_C" localSheetId="0">Summary!$D$8</definedName>
    <definedName name="tip_speed" localSheetId="5">'Mass Transfer'!$D$68</definedName>
    <definedName name="tip_warn" localSheetId="5">'Mass Transfer'!$D$111</definedName>
    <definedName name="TKc" localSheetId="3">Chemistry!$D$4</definedName>
    <definedName name="tube_d_m" localSheetId="5">'Mass Transfer'!$D$40</definedName>
    <definedName name="u_g_max" localSheetId="5">'Mass Transfer'!$D$58</definedName>
    <definedName name="u_rise" localSheetId="5">'Mass Transfer'!$D$46</definedName>
    <definedName name="u_sg" localSheetId="5">'Mass Transfer'!$D$47</definedName>
    <definedName name="udg_CaCl2" localSheetId="3">Chemistry!$D$33</definedName>
    <definedName name="udg_KH2PO4" localSheetId="3">Chemistry!$D$25</definedName>
    <definedName name="udg_MgSO4_7H2O" localSheetId="3">Chemistry!$D$31</definedName>
    <definedName name="udg_Na2HPO4" localSheetId="3">Chemistry!$D$26</definedName>
    <definedName name="udg_NaHCO3" localSheetId="3">Chemistry!$D$28</definedName>
    <definedName name="udg_NH42SO4" localSheetId="3">Chemistry!$D$32</definedName>
    <definedName name="V_charge" localSheetId="4">Biology!$D$6</definedName>
    <definedName name="V_charge" localSheetId="1">Geometry!$D$41</definedName>
    <definedName name="V_charge" localSheetId="5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L_m3" localSheetId="5">'Mass Transfer'!$D$141</definedName>
    <definedName name="V_max" localSheetId="1">Geometry!$D$23</definedName>
    <definedName name="V_O2_gen" localSheetId="2">Electrochemistry!$D$24</definedName>
    <definedName name="v_orifice" localSheetId="5">'Mass Transfer'!$D$62</definedName>
    <definedName name="V_vial_total" localSheetId="1">Geometry!$D$24</definedName>
    <definedName name="vent_floor_chk" localSheetId="5">'Mass Transfer'!$D$163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5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Lc" localSheetId="3">Chemistry!$D$8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5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5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" i="6" l="1"/>
  <c r="G46" i="6" s="1"/>
  <c r="E45" i="6"/>
  <c r="G45" i="6" s="1"/>
  <c r="E44" i="6"/>
  <c r="G44" i="6" s="1"/>
  <c r="E43" i="6"/>
  <c r="G43" i="6" s="1"/>
  <c r="E42" i="6"/>
  <c r="G42" i="6" s="1"/>
  <c r="E41" i="6"/>
  <c r="G41" i="6" s="1"/>
  <c r="H41" i="6" s="1"/>
  <c r="G39" i="6"/>
  <c r="E39" i="6"/>
  <c r="G38" i="6"/>
  <c r="E38" i="6"/>
  <c r="E37" i="6"/>
  <c r="G37" i="6" s="1"/>
  <c r="H37" i="6" s="1"/>
  <c r="E36" i="6"/>
  <c r="G36" i="6" s="1"/>
  <c r="E35" i="6"/>
  <c r="G34" i="6"/>
  <c r="E34" i="6"/>
  <c r="E33" i="6"/>
  <c r="G33" i="6" s="1"/>
  <c r="E32" i="6"/>
  <c r="G32" i="6" s="1"/>
  <c r="G31" i="6"/>
  <c r="E31" i="6"/>
  <c r="E30" i="6"/>
  <c r="G30" i="6" s="1"/>
  <c r="E29" i="6"/>
  <c r="G29" i="6" s="1"/>
  <c r="E28" i="6"/>
  <c r="G28" i="6" s="1"/>
  <c r="E27" i="6"/>
  <c r="G27" i="6" s="1"/>
  <c r="E26" i="6"/>
  <c r="G26" i="6" s="1"/>
  <c r="E25" i="6"/>
  <c r="G25" i="6" s="1"/>
  <c r="G23" i="6"/>
  <c r="E23" i="6"/>
  <c r="G22" i="6"/>
  <c r="E22" i="6"/>
  <c r="E21" i="6"/>
  <c r="G21" i="6" s="1"/>
  <c r="E20" i="6"/>
  <c r="G20" i="6" s="1"/>
  <c r="G19" i="6"/>
  <c r="E19" i="6"/>
  <c r="E18" i="6"/>
  <c r="G18" i="6" s="1"/>
  <c r="E16" i="6"/>
  <c r="G16" i="6" s="1"/>
  <c r="E15" i="6"/>
  <c r="G15" i="6" s="1"/>
  <c r="E14" i="6"/>
  <c r="G14" i="6" s="1"/>
  <c r="E13" i="6"/>
  <c r="G13" i="6" s="1"/>
  <c r="E12" i="6"/>
  <c r="G12" i="6" s="1"/>
  <c r="G11" i="6"/>
  <c r="E11" i="6"/>
  <c r="G9" i="6"/>
  <c r="E9" i="6"/>
  <c r="E8" i="6"/>
  <c r="G8" i="6" s="1"/>
  <c r="E7" i="6"/>
  <c r="G7" i="6" s="1"/>
  <c r="H7" i="6" s="1"/>
  <c r="G5" i="6"/>
  <c r="H5" i="6" s="1"/>
  <c r="E5" i="6"/>
  <c r="D147" i="5"/>
  <c r="D115" i="5"/>
  <c r="D96" i="5"/>
  <c r="D67" i="5"/>
  <c r="E25" i="5"/>
  <c r="E24" i="5"/>
  <c r="E23" i="5"/>
  <c r="E22" i="5"/>
  <c r="E21" i="5"/>
  <c r="E20" i="5"/>
  <c r="E19" i="5"/>
  <c r="E18" i="5"/>
  <c r="D18" i="5"/>
  <c r="D40" i="5" s="1"/>
  <c r="E17" i="5"/>
  <c r="E16" i="5"/>
  <c r="E15" i="5"/>
  <c r="E14" i="5"/>
  <c r="E13" i="5"/>
  <c r="E12" i="5"/>
  <c r="E11" i="5"/>
  <c r="E10" i="5"/>
  <c r="E9" i="5"/>
  <c r="D9" i="5"/>
  <c r="E8" i="5"/>
  <c r="E7" i="5"/>
  <c r="E6" i="5"/>
  <c r="E5" i="5"/>
  <c r="D32" i="4"/>
  <c r="D26" i="4"/>
  <c r="D7" i="5" s="1"/>
  <c r="D19" i="4"/>
  <c r="D17" i="4"/>
  <c r="D18" i="4" s="1"/>
  <c r="E8" i="4"/>
  <c r="D8" i="4"/>
  <c r="E7" i="4"/>
  <c r="D7" i="4"/>
  <c r="D46" i="4" s="1"/>
  <c r="D22" i="5" s="1"/>
  <c r="E6" i="4"/>
  <c r="E5" i="4"/>
  <c r="E4" i="4"/>
  <c r="D163" i="7"/>
  <c r="D161" i="7"/>
  <c r="C115" i="7"/>
  <c r="C114" i="7"/>
  <c r="C100" i="7"/>
  <c r="D47" i="7"/>
  <c r="D149" i="7" s="1"/>
  <c r="D45" i="7"/>
  <c r="D42" i="7"/>
  <c r="D41" i="7"/>
  <c r="D40" i="7"/>
  <c r="D39" i="7"/>
  <c r="D38" i="7"/>
  <c r="D37" i="7"/>
  <c r="D46" i="7" s="1"/>
  <c r="D36" i="7"/>
  <c r="D44" i="7" s="1"/>
  <c r="D35" i="7"/>
  <c r="D7" i="7"/>
  <c r="D132" i="7" s="1"/>
  <c r="D4" i="7"/>
  <c r="D32" i="3"/>
  <c r="D20" i="5" s="1"/>
  <c r="D39" i="5" s="1"/>
  <c r="D20" i="3"/>
  <c r="D33" i="1" s="1"/>
  <c r="D10" i="3"/>
  <c r="D19" i="3" s="1"/>
  <c r="E8" i="3"/>
  <c r="D8" i="3"/>
  <c r="D27" i="3" s="1"/>
  <c r="E7" i="3"/>
  <c r="D7" i="3"/>
  <c r="E6" i="3"/>
  <c r="D6" i="3"/>
  <c r="E5" i="3"/>
  <c r="D52" i="2"/>
  <c r="D5" i="5" s="1"/>
  <c r="D68" i="5" s="1"/>
  <c r="D45" i="2"/>
  <c r="D38" i="2"/>
  <c r="D39" i="2" s="1"/>
  <c r="D32" i="2"/>
  <c r="D18" i="2"/>
  <c r="D20" i="2" s="1"/>
  <c r="E6" i="2"/>
  <c r="D6" i="2"/>
  <c r="E5" i="2"/>
  <c r="D5" i="2"/>
  <c r="D51" i="2" s="1"/>
  <c r="D68" i="1"/>
  <c r="D67" i="1"/>
  <c r="D66" i="1"/>
  <c r="D65" i="1"/>
  <c r="D64" i="1"/>
  <c r="D63" i="1"/>
  <c r="D62" i="1"/>
  <c r="D61" i="1"/>
  <c r="D60" i="1"/>
  <c r="D59" i="1"/>
  <c r="D58" i="1"/>
  <c r="E41" i="1"/>
  <c r="E40" i="1"/>
  <c r="E39" i="1"/>
  <c r="E38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5" i="1"/>
  <c r="E13" i="1"/>
  <c r="D47" i="4" l="1"/>
  <c r="D23" i="5" s="1"/>
  <c r="D15" i="5"/>
  <c r="D21" i="2"/>
  <c r="D135" i="7"/>
  <c r="D111" i="5"/>
  <c r="D30" i="1" s="1"/>
  <c r="D40" i="1"/>
  <c r="D69" i="5"/>
  <c r="D70" i="5" s="1"/>
  <c r="D119" i="5"/>
  <c r="H11" i="6"/>
  <c r="D116" i="5"/>
  <c r="D118" i="5" s="1"/>
  <c r="D99" i="5" s="1"/>
  <c r="D20" i="7"/>
  <c r="D21" i="7" s="1"/>
  <c r="D19" i="7"/>
  <c r="D18" i="7"/>
  <c r="D17" i="7"/>
  <c r="D14" i="7"/>
  <c r="D13" i="7"/>
  <c r="D15" i="7"/>
  <c r="D5" i="3"/>
  <c r="D31" i="4"/>
  <c r="D40" i="4"/>
  <c r="D41" i="4" s="1"/>
  <c r="D8" i="5"/>
  <c r="D60" i="5" s="1"/>
  <c r="D24" i="4"/>
  <c r="D24" i="2"/>
  <c r="D23" i="2"/>
  <c r="D25" i="2" s="1"/>
  <c r="D22" i="2"/>
  <c r="D28" i="3"/>
  <c r="D6" i="7"/>
  <c r="D21" i="3"/>
  <c r="D22" i="3"/>
  <c r="D16" i="7"/>
  <c r="H18" i="6"/>
  <c r="H30" i="6"/>
  <c r="H25" i="6"/>
  <c r="D31" i="3"/>
  <c r="D21" i="5" s="1"/>
  <c r="D41" i="5" s="1"/>
  <c r="D42" i="5" s="1"/>
  <c r="D48" i="4"/>
  <c r="D24" i="5" s="1"/>
  <c r="D84" i="5" s="1"/>
  <c r="D45" i="4"/>
  <c r="D50" i="5" l="1"/>
  <c r="D51" i="5" s="1"/>
  <c r="D46" i="5"/>
  <c r="D43" i="5"/>
  <c r="D37" i="2"/>
  <c r="D35" i="2"/>
  <c r="D36" i="2" s="1"/>
  <c r="D40" i="2" s="1"/>
  <c r="D41" i="2" s="1"/>
  <c r="D117" i="5"/>
  <c r="D102" i="5" s="1"/>
  <c r="D131" i="7"/>
  <c r="D33" i="4"/>
  <c r="D146" i="5"/>
  <c r="D145" i="5"/>
  <c r="D120" i="5"/>
  <c r="D20" i="1" s="1"/>
  <c r="D4" i="4"/>
  <c r="D23" i="3"/>
  <c r="D25" i="3" s="1"/>
  <c r="D34" i="1"/>
  <c r="D25" i="5"/>
  <c r="D110" i="5" s="1"/>
  <c r="D22" i="1" s="1"/>
  <c r="D44" i="2"/>
  <c r="D14" i="5" s="1"/>
  <c r="D90" i="2"/>
  <c r="D19" i="1" s="1"/>
  <c r="D17" i="5"/>
  <c r="D24" i="3"/>
  <c r="D29" i="3"/>
  <c r="D12" i="5"/>
  <c r="D27" i="4"/>
  <c r="D29" i="2"/>
  <c r="D50" i="2"/>
  <c r="D62" i="5" l="1"/>
  <c r="D63" i="5" s="1"/>
  <c r="D64" i="5" s="1"/>
  <c r="D25" i="1" s="1"/>
  <c r="D47" i="5"/>
  <c r="D104" i="5"/>
  <c r="D48" i="2"/>
  <c r="D49" i="2" s="1"/>
  <c r="D19" i="5" s="1"/>
  <c r="D5" i="4"/>
  <c r="D13" i="5"/>
  <c r="D43" i="4"/>
  <c r="D44" i="4" s="1"/>
  <c r="D24" i="1" s="1"/>
  <c r="D13" i="4"/>
  <c r="D35" i="4"/>
  <c r="D41" i="1" s="1"/>
  <c r="D37" i="4"/>
  <c r="D133" i="7"/>
  <c r="D148" i="7"/>
  <c r="D6" i="5"/>
  <c r="D28" i="4"/>
  <c r="D16" i="5"/>
  <c r="D141" i="5" s="1"/>
  <c r="D42" i="2"/>
  <c r="D54" i="2"/>
  <c r="D31" i="1" s="1"/>
  <c r="D6" i="4"/>
  <c r="D140" i="5" l="1"/>
  <c r="D90" i="5"/>
  <c r="D132" i="5"/>
  <c r="D87" i="5" s="1"/>
  <c r="D16" i="4"/>
  <c r="D11" i="5" s="1"/>
  <c r="D8" i="7"/>
  <c r="D107" i="7" s="1"/>
  <c r="D108" i="7" s="1"/>
  <c r="D42" i="4"/>
  <c r="D71" i="5"/>
  <c r="D72" i="5" s="1"/>
  <c r="D79" i="5"/>
  <c r="D89" i="5"/>
  <c r="D59" i="5"/>
  <c r="D29" i="1" s="1"/>
  <c r="D48" i="5"/>
  <c r="D49" i="5" s="1"/>
  <c r="D52" i="5" s="1"/>
  <c r="D55" i="2"/>
  <c r="D32" i="1" s="1"/>
  <c r="D43" i="2"/>
  <c r="D14" i="4"/>
  <c r="D15" i="4"/>
  <c r="D10" i="5" s="1"/>
  <c r="D57" i="5" l="1"/>
  <c r="D131" i="5"/>
  <c r="D134" i="7"/>
  <c r="D54" i="5"/>
  <c r="D13" i="1"/>
  <c r="D14" i="1" s="1"/>
  <c r="D121" i="5"/>
  <c r="D112" i="5"/>
  <c r="D39" i="1" s="1"/>
  <c r="D86" i="5"/>
  <c r="D88" i="5" s="1"/>
  <c r="D65" i="5"/>
  <c r="D148" i="5"/>
  <c r="D98" i="5"/>
  <c r="D143" i="5"/>
  <c r="D144" i="5"/>
  <c r="D150" i="5"/>
  <c r="D151" i="5" l="1"/>
  <c r="D130" i="5"/>
  <c r="D27" i="1" s="1"/>
  <c r="D123" i="5"/>
  <c r="D149" i="5"/>
  <c r="D163" i="5" s="1"/>
  <c r="D153" i="5"/>
  <c r="D156" i="5"/>
  <c r="D73" i="5"/>
  <c r="D74" i="5" s="1"/>
  <c r="D135" i="5"/>
  <c r="D133" i="5"/>
  <c r="D134" i="5" s="1"/>
  <c r="D108" i="5"/>
  <c r="D128" i="5"/>
  <c r="D143" i="7"/>
  <c r="D154" i="7"/>
  <c r="D155" i="7"/>
  <c r="D113" i="5" l="1"/>
  <c r="D23" i="1" s="1"/>
  <c r="D38" i="1"/>
  <c r="D109" i="5"/>
  <c r="D21" i="1" s="1"/>
  <c r="D91" i="5"/>
  <c r="D94" i="5"/>
  <c r="D15" i="1" l="1"/>
  <c r="D16" i="1" s="1"/>
  <c r="D122" i="5"/>
  <c r="D92" i="5"/>
  <c r="D93" i="5"/>
  <c r="D164" i="5" l="1"/>
  <c r="D95" i="5"/>
  <c r="D28" i="1" s="1"/>
  <c r="D152" i="5"/>
  <c r="D124" i="5"/>
  <c r="D127" i="5"/>
  <c r="D129" i="5" s="1"/>
  <c r="D105" i="5"/>
  <c r="D77" i="5" l="1"/>
  <c r="D53" i="5"/>
  <c r="D55" i="5"/>
  <c r="D154" i="5"/>
  <c r="D155" i="5"/>
  <c r="D125" i="5"/>
  <c r="D100" i="5"/>
  <c r="D75" i="5" l="1"/>
  <c r="D76" i="5" s="1"/>
  <c r="D126" i="5"/>
  <c r="D26" i="1" s="1"/>
  <c r="D157" i="5"/>
  <c r="D80" i="5"/>
  <c r="D78" i="5"/>
  <c r="D56" i="5"/>
  <c r="D66" i="5"/>
  <c r="D158" i="5" l="1"/>
  <c r="D160" i="5" s="1"/>
  <c r="D159" i="5"/>
  <c r="D161" i="5" l="1"/>
  <c r="D162" i="5" s="1"/>
  <c r="D5" i="7" s="1"/>
  <c r="B85" i="7" l="1"/>
  <c r="B98" i="7"/>
  <c r="B66" i="7"/>
  <c r="B88" i="7"/>
  <c r="B56" i="7"/>
  <c r="B53" i="7"/>
  <c r="B79" i="7"/>
  <c r="B57" i="7"/>
  <c r="B91" i="7"/>
  <c r="B65" i="7"/>
  <c r="B96" i="7"/>
  <c r="B50" i="7"/>
  <c r="B64" i="7"/>
  <c r="C64" i="7" s="1"/>
  <c r="B67" i="7"/>
  <c r="B100" i="7"/>
  <c r="B58" i="7"/>
  <c r="C58" i="7" s="1"/>
  <c r="B52" i="7"/>
  <c r="B61" i="7"/>
  <c r="B82" i="7"/>
  <c r="B74" i="7"/>
  <c r="B68" i="7"/>
  <c r="B99" i="7"/>
  <c r="B78" i="7"/>
  <c r="C78" i="7" s="1"/>
  <c r="B90" i="7"/>
  <c r="C90" i="7" s="1"/>
  <c r="B84" i="7"/>
  <c r="C84" i="7" s="1"/>
  <c r="B63" i="7"/>
  <c r="B55" i="7"/>
  <c r="B62" i="7"/>
  <c r="C62" i="7" s="1"/>
  <c r="B95" i="7"/>
  <c r="C95" i="7" s="1"/>
  <c r="B87" i="7"/>
  <c r="C87" i="7" s="1"/>
  <c r="B92" i="7"/>
  <c r="B86" i="7"/>
  <c r="B70" i="7"/>
  <c r="B94" i="7"/>
  <c r="B75" i="7"/>
  <c r="B97" i="7"/>
  <c r="C97" i="7" s="1"/>
  <c r="B89" i="7"/>
  <c r="B51" i="7"/>
  <c r="C51" i="7" s="1"/>
  <c r="B93" i="7"/>
  <c r="B76" i="7"/>
  <c r="C76" i="7" s="1"/>
  <c r="B83" i="7"/>
  <c r="C83" i="7" s="1"/>
  <c r="B73" i="7"/>
  <c r="B77" i="7"/>
  <c r="B72" i="7"/>
  <c r="C72" i="7" s="1"/>
  <c r="B81" i="7"/>
  <c r="C81" i="7" s="1"/>
  <c r="B54" i="7"/>
  <c r="C54" i="7" s="1"/>
  <c r="B69" i="7"/>
  <c r="C69" i="7" s="1"/>
  <c r="B80" i="7"/>
  <c r="C80" i="7" s="1"/>
  <c r="B59" i="7"/>
  <c r="B60" i="7"/>
  <c r="C60" i="7" s="1"/>
  <c r="B71" i="7"/>
  <c r="C74" i="7" l="1"/>
  <c r="C89" i="7"/>
  <c r="C68" i="7"/>
  <c r="C56" i="7"/>
  <c r="C77" i="7"/>
  <c r="C65" i="7"/>
  <c r="C99" i="7"/>
  <c r="C86" i="7"/>
  <c r="C57" i="7"/>
  <c r="C93" i="7"/>
  <c r="C92" i="7"/>
  <c r="C79" i="7"/>
  <c r="C67" i="7"/>
  <c r="C88" i="7"/>
  <c r="C75" i="7"/>
  <c r="C55" i="7"/>
  <c r="C82" i="7"/>
  <c r="C96" i="7"/>
  <c r="C66" i="7"/>
  <c r="C50" i="7"/>
  <c r="D105" i="7"/>
  <c r="D103" i="7" s="1"/>
  <c r="C94" i="7"/>
  <c r="C63" i="7"/>
  <c r="C61" i="7"/>
  <c r="C98" i="7"/>
  <c r="C53" i="7"/>
  <c r="C71" i="7"/>
  <c r="C73" i="7"/>
  <c r="C59" i="7"/>
  <c r="C70" i="7"/>
  <c r="C52" i="7"/>
  <c r="C91" i="7"/>
  <c r="C85" i="7"/>
  <c r="D35" i="1" l="1"/>
  <c r="D104" i="7"/>
  <c r="D125" i="7" s="1"/>
  <c r="D110" i="7"/>
  <c r="D138" i="7"/>
  <c r="D139" i="7" s="1"/>
  <c r="D140" i="7" s="1"/>
  <c r="D157" i="7" l="1"/>
  <c r="D145" i="7"/>
  <c r="D156" i="7"/>
  <c r="D36" i="1" l="1"/>
  <c r="D109" i="7"/>
</calcChain>
</file>

<file path=xl/sharedStrings.xml><?xml version="1.0" encoding="utf-8"?>
<sst xmlns="http://schemas.openxmlformats.org/spreadsheetml/2006/main" count="1781" uniqueCount="1323">
  <si>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</si>
  <si>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</si>
  <si>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</si>
  <si>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</si>
  <si>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</si>
  <si>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</si>
  <si>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</si>
  <si>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</si>
  <si>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</si>
  <si>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</si>
  <si>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</si>
  <si>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</si>
  <si>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</si>
  <si>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</si>
  <si>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</si>
  <si>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</si>
  <si>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</si>
  <si>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</si>
  <si>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</si>
  <si>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</si>
  <si>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</si>
  <si>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</si>
  <si>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</si>
  <si>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</si>
  <si>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</si>
  <si>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</si>
  <si>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</si>
  <si>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</si>
  <si>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</si>
  <si>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</si>
  <si>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</si>
  <si>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</si>
  <si>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</si>
  <si>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</si>
  <si>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</si>
  <si>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</si>
  <si>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</si>
  <si>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</si>
  <si>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</si>
  <si>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</si>
  <si>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</si>
  <si>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</si>
  <si>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</si>
  <si>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Growth medium.</t>
  </si>
  <si>
    <t>LED intensity setpoint</t>
  </si>
  <si>
    <t>led_intensity</t>
  </si>
  <si>
    <t>%</t>
  </si>
  <si>
    <t>input</t>
  </si>
  <si>
    <t>Pioreactor LED channel % driving electrolysis current (Gerrit's Law, valid 3-25%).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</si>
  <si>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</si>
  <si>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</si>
  <si>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</si>
  <si>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</si>
  <si>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</si>
  <si>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</si>
  <si>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</si>
  <si>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</si>
  <si>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</si>
  <si>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</si>
  <si>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</si>
  <si>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</si>
  <si>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</si>
  <si>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</si>
  <si>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</si>
  <si>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</si>
  <si>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</si>
  <si>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</si>
  <si>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How long to open the CO2 solenoid each dose.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</si>
  <si>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</si>
  <si>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</si>
  <si>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</si>
  <si>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</si>
  <si>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</si>
  <si>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</si>
  <si>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</si>
  <si>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</si>
  <si>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</si>
  <si>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</si>
  <si>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</si>
  <si>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</si>
  <si>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</si>
  <si>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</si>
  <si>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</si>
  <si>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</si>
  <si>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</si>
  <si>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</si>
  <si>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</si>
  <si>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</si>
  <si>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</si>
  <si>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</si>
  <si>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</si>
  <si>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</si>
  <si>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</si>
  <si>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</si>
  <si>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</si>
  <si>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</si>
  <si>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</si>
  <si>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</si>
  <si>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</si>
  <si>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</si>
  <si>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</si>
  <si>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</si>
  <si>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</si>
  <si>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</si>
  <si>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</si>
  <si>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</si>
  <si>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</si>
  <si>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</si>
  <si>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</si>
  <si>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</si>
  <si>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</si>
  <si>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</si>
  <si>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</si>
  <si>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</si>
  <si>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</si>
  <si>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</si>
  <si>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</si>
  <si>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</si>
  <si>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</si>
  <si>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</si>
  <si>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</si>
  <si>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</si>
  <si>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</si>
  <si>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</si>
  <si>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</si>
  <si>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</si>
  <si>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</si>
  <si>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</si>
  <si>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</si>
  <si>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</si>
  <si>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</si>
  <si>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</si>
  <si>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</si>
  <si>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</si>
  <si>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</si>
  <si>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</si>
  <si>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</si>
  <si>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</si>
  <si>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</si>
  <si>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</si>
  <si>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</si>
  <si>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</si>
  <si>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</si>
  <si>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</si>
  <si>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</si>
  <si>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</si>
  <si>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</si>
  <si>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</si>
  <si>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</si>
  <si>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</si>
  <si>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</si>
  <si>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</si>
  <si>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</si>
  <si>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</si>
  <si>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</si>
  <si>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</si>
  <si>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</si>
  <si>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</si>
  <si>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</si>
  <si>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</si>
  <si>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</si>
  <si>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</si>
  <si>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</si>
  <si>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</si>
  <si>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</si>
  <si>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</si>
  <si>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</si>
  <si>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</si>
  <si>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</si>
  <si>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</si>
  <si>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</si>
  <si>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</si>
  <si>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</si>
  <si>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</si>
  <si>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</si>
  <si>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</si>
  <si>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</si>
  <si>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</si>
  <si>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</si>
  <si>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</si>
  <si>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</si>
  <si>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</si>
  <si>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</si>
  <si>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</si>
  <si>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</si>
  <si>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</si>
  <si>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</si>
  <si>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</si>
  <si>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</si>
  <si>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</si>
  <si>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</si>
  <si>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</si>
  <si>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</si>
  <si>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</si>
  <si>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</si>
  <si>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</si>
  <si>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</si>
  <si>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</si>
  <si>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</si>
  <si>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</si>
  <si>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</si>
  <si>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</si>
  <si>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</si>
  <si>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</si>
  <si>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</si>
  <si>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</si>
  <si>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</si>
  <si>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</si>
  <si>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</si>
  <si>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</si>
  <si>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</si>
  <si>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</si>
  <si>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</si>
  <si>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</si>
  <si>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</si>
  <si>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</si>
  <si>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</si>
  <si>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</si>
  <si>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</si>
  <si>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</si>
  <si>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</si>
  <si>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</si>
  <si>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</si>
  <si>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</si>
  <si>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</si>
  <si>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</si>
  <si>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</si>
  <si>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</si>
  <si>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</si>
  <si>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</si>
  <si>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</si>
  <si>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</si>
  <si>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</si>
  <si>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</si>
  <si>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</si>
  <si>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</si>
  <si>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</si>
  <si>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</si>
  <si>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</si>
  <si>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</si>
  <si>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</si>
  <si>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</si>
  <si>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</si>
  <si>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</si>
  <si>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</si>
  <si>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</si>
  <si>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</si>
  <si>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</si>
  <si>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</si>
  <si>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</si>
  <si>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</si>
  <si>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</si>
  <si>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</si>
  <si>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</si>
  <si>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</si>
  <si>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</si>
  <si>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</si>
  <si>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</si>
  <si>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</si>
  <si>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</si>
  <si>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</si>
  <si>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</si>
  <si>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</si>
  <si>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</si>
  <si>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</si>
  <si>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</si>
  <si>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</si>
  <si>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</si>
  <si>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</si>
  <si>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</si>
  <si>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</si>
  <si>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</si>
  <si>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</si>
  <si>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</si>
  <si>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</si>
  <si>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</si>
  <si>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</si>
  <si>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</si>
  <si>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</si>
  <si>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</si>
  <si>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</si>
  <si>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</si>
  <si>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</si>
  <si>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</si>
  <si>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</si>
  <si>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</si>
  <si>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</si>
  <si>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</si>
  <si>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</si>
  <si>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</si>
  <si>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</si>
  <si>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</si>
  <si>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</si>
  <si>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</si>
  <si>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</si>
  <si>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</si>
  <si>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</si>
  <si>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</si>
  <si>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</si>
  <si>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</si>
  <si>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</si>
  <si>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</si>
  <si>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</si>
  <si>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</si>
  <si>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</si>
  <si>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</si>
  <si>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</si>
  <si>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</si>
  <si>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</si>
  <si>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</si>
  <si>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</si>
  <si>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</si>
  <si>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</si>
  <si>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</si>
  <si>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</si>
  <si>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</si>
  <si>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</si>
  <si>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</si>
  <si>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</si>
  <si>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</si>
  <si>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</si>
  <si>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</si>
  <si>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</si>
  <si>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</si>
  <si>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</si>
  <si>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</si>
  <si>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</si>
  <si>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</si>
  <si>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</si>
  <si>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</si>
  <si>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</si>
  <si>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</si>
  <si>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</si>
  <si>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</si>
  <si>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</si>
  <si>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</si>
  <si>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</si>
  <si>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</si>
  <si>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</si>
  <si>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</si>
  <si>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</si>
  <si>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</si>
  <si>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</si>
  <si>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</si>
  <si>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</si>
  <si>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</si>
  <si>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</si>
  <si>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</si>
  <si>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</si>
  <si>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</si>
  <si>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</si>
  <si>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</si>
  <si>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</si>
  <si>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</si>
  <si>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</si>
  <si>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</si>
  <si>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</si>
  <si>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</si>
  <si>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</si>
  <si>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</si>
  <si>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</si>
  <si>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</si>
  <si>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</si>
  <si>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</si>
  <si>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</si>
  <si>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</si>
  <si>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</si>
  <si>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</si>
  <si>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</si>
  <si>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</si>
  <si>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</si>
  <si>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</si>
  <si>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</si>
  <si>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</si>
  <si>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</si>
  <si>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</si>
  <si>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</si>
  <si>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</si>
  <si>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</si>
  <si>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</si>
  <si>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</si>
  <si>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</si>
  <si>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</si>
  <si>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</si>
  <si>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</si>
  <si>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</si>
  <si>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</si>
  <si>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</si>
  <si>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</si>
  <si>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</si>
  <si>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</si>
  <si>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</si>
  <si>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</si>
  <si>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</si>
  <si>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</si>
  <si>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</si>
  <si>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</si>
  <si>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</si>
  <si>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</si>
  <si>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</si>
  <si>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</si>
  <si>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</si>
  <si>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</si>
  <si>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</si>
  <si>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</si>
  <si>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</si>
  <si>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</si>
  <si>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</si>
  <si>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</si>
  <si>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</si>
  <si>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</si>
  <si>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</si>
  <si>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</si>
  <si>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</si>
  <si>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</si>
  <si>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</si>
  <si>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</si>
  <si>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</si>
  <si>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</si>
  <si>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</si>
  <si>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</si>
  <si>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</si>
  <si>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</si>
  <si>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</si>
  <si>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</si>
  <si>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</si>
  <si>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</si>
  <si>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</si>
  <si>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</si>
  <si>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</si>
  <si>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</si>
  <si>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</si>
  <si>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</si>
  <si>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</si>
  <si>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</si>
  <si>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</si>
  <si>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</si>
  <si>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</si>
  <si>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</si>
  <si>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</si>
  <si>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</si>
  <si>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</si>
  <si>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</si>
  <si>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</si>
  <si>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</si>
  <si>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</si>
  <si>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</si>
  <si>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</si>
  <si>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</si>
  <si>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</si>
  <si>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</si>
  <si>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</si>
  <si>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</si>
  <si>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</si>
  <si>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</si>
  <si>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</si>
  <si>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</si>
  <si>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</si>
  <si>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</si>
  <si>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</si>
  <si>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</si>
  <si>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</si>
  <si>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</si>
  <si>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</si>
  <si>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</si>
  <si>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</si>
  <si>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</si>
  <si>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</si>
  <si>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</si>
  <si>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</si>
  <si>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</si>
  <si>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</si>
  <si>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</si>
  <si>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</si>
  <si>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</si>
  <si>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</si>
  <si>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</si>
  <si>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</si>
  <si>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</si>
  <si>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</si>
  <si>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</si>
  <si>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</si>
  <si>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</si>
  <si>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</si>
  <si>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</si>
  <si>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</si>
  <si>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</si>
  <si>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</si>
  <si>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</si>
  <si>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</si>
  <si>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</si>
  <si>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</si>
  <si>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</si>
  <si>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</si>
  <si>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</si>
  <si>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</si>
  <si>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</si>
  <si>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</si>
  <si>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</si>
  <si>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</si>
  <si>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</si>
  <si>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</si>
  <si>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</si>
  <si>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</si>
  <si>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</si>
  <si>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</si>
  <si>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</si>
  <si>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</si>
  <si>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</si>
  <si>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</si>
  <si>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</si>
  <si>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</si>
  <si>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</si>
  <si>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</si>
  <si>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</si>
  <si>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</si>
  <si>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</si>
  <si>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</si>
  <si>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</si>
  <si>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</si>
  <si>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</si>
  <si>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</si>
  <si>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</si>
  <si>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</si>
  <si>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</si>
  <si>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</si>
  <si>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</si>
  <si>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</si>
  <si>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</si>
  <si>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</si>
  <si>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</si>
  <si>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</si>
  <si>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</si>
  <si>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</si>
  <si>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</si>
  <si>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</si>
  <si>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</si>
  <si>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</si>
  <si>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</si>
  <si>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</si>
  <si>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</si>
  <si>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</si>
  <si>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</si>
  <si>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</si>
  <si>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</si>
  <si>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</si>
  <si>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</si>
  <si>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</si>
  <si>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</si>
  <si>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</si>
  <si>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</si>
  <si>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</si>
  <si>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</si>
  <si>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</si>
  <si>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</si>
  <si>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</si>
  <si>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</si>
  <si>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</si>
  <si>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</si>
  <si>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</si>
  <si>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</si>
  <si>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</si>
  <si>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</si>
  <si>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</si>
  <si>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</si>
  <si>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</si>
  <si>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</si>
  <si>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</si>
  <si>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</si>
  <si>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</si>
  <si>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</si>
  <si>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</si>
  <si>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</si>
  <si>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</si>
  <si>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</si>
  <si>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</si>
  <si>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</si>
  <si>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</si>
  <si>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</si>
  <si>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</si>
  <si>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</si>
  <si>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</si>
  <si>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</si>
  <si>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</si>
  <si>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</si>
  <si>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</si>
  <si>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</si>
  <si>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</si>
  <si>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</si>
  <si>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</si>
  <si>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</si>
  <si>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</si>
  <si>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</si>
  <si>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</si>
  <si>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</si>
  <si>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</si>
  <si>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</si>
  <si>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</si>
  <si>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</si>
  <si>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</si>
  <si>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</si>
  <si>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</si>
  <si>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</si>
  <si>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</si>
  <si>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</si>
  <si>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</si>
  <si>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</si>
  <si>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</si>
  <si>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</si>
  <si>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</si>
  <si>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</si>
  <si>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</si>
  <si>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</si>
  <si>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</si>
  <si>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</si>
  <si>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</si>
  <si>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</si>
  <si>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</si>
  <si>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</si>
  <si>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</si>
  <si>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</si>
  <si>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</si>
  <si>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</si>
  <si>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</si>
  <si>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</si>
  <si>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</si>
  <si>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</si>
  <si>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</si>
  <si>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</si>
  <si>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</si>
  <si>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</si>
  <si>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</si>
  <si>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</si>
  <si>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</si>
  <si>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</si>
  <si>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</si>
  <si>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</si>
  <si>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</si>
  <si>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</si>
  <si>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</si>
  <si>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</si>
  <si>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</si>
  <si>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</si>
  <si>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</si>
  <si>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</si>
  <si>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</si>
  <si>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</si>
  <si>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</si>
  <si>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</si>
  <si>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</si>
  <si>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</si>
  <si>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</si>
  <si>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</si>
  <si>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</si>
  <si>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</si>
  <si>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</si>
  <si>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</si>
  <si>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</si>
  <si>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</si>
  <si>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</si>
  <si>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</si>
  <si>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</si>
  <si>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</si>
  <si>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</si>
  <si>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</si>
  <si>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</si>
  <si>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</si>
  <si>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</si>
  <si>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</si>
  <si>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</si>
  <si>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</si>
  <si>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</si>
  <si>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</si>
  <si>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</si>
  <si>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</si>
  <si>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</si>
  <si>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</si>
  <si>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</si>
  <si>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</si>
  <si>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</si>
  <si>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</si>
  <si>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</si>
  <si>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</si>
  <si>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</si>
  <si>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</si>
  <si>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</si>
  <si>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</si>
  <si>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</si>
  <si>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</si>
  <si>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</si>
  <si>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</si>
  <si>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</si>
  <si>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</si>
  <si>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</si>
  <si>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</si>
  <si>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</si>
  <si>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</si>
  <si>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</si>
  <si>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</si>
  <si>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</si>
  <si>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</si>
  <si>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</si>
  <si>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</si>
  <si>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</si>
  <si>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</si>
  <si>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</si>
  <si>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</si>
  <si>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</si>
  <si>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</si>
  <si>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</si>
  <si>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</si>
  <si>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</si>
  <si>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</si>
  <si>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</si>
  <si>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</si>
  <si>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</si>
  <si>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</si>
  <si>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</si>
  <si>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</si>
  <si>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</si>
  <si>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</si>
  <si>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</si>
  <si>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</si>
  <si>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</si>
  <si>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</si>
  <si>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</si>
  <si>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</si>
  <si>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</si>
  <si>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</si>
  <si>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</si>
  <si>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</si>
  <si>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pulse duration</t>
  </si>
  <si>
    <t>spg_dur_man</t>
  </si>
  <si>
    <t>Manual sparge interval</t>
  </si>
  <si>
    <t>spg_int_man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</si>
  <si>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</si>
  <si>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</si>
  <si>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</si>
  <si>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</si>
  <si>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</si>
  <si>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</si>
  <si>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</si>
  <si>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</si>
  <si>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</si>
  <si>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</si>
  <si>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</si>
  <si>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Optimal duty cycle</t>
  </si>
  <si>
    <t>duty_opt</t>
  </si>
  <si>
    <t>Max interval — O₂ flush frequency</t>
  </si>
  <si>
    <t>spg_int_max</t>
  </si>
  <si>
    <t>► OPTIMAL pulse duration</t>
  </si>
  <si>
    <t>spg_dur_opt</t>
  </si>
  <si>
    <t>ANSWER. Shortest reliable pulse → most frequent, smoothest DO, best OD-read windows.</t>
  </si>
  <si>
    <t>► OPTIMAL sparge interval</t>
  </si>
  <si>
    <t>spg_int_opt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</si>
  <si>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</si>
  <si>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</si>
  <si>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</si>
  <si>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</si>
  <si>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</si>
  <si>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</si>
  <si>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</si>
  <si>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</si>
  <si>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</si>
  <si>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</si>
  <si>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</si>
  <si>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</si>
  <si>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</si>
  <si>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</si>
  <si>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</si>
  <si>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</si>
  <si>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</si>
  <si>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</si>
  <si>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</si>
  <si>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</si>
  <si>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</si>
  <si>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</si>
  <si>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</si>
  <si>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</si>
  <si>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</si>
  <si>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</si>
  <si>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</si>
  <si>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</si>
  <si>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</si>
  <si>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</si>
  <si>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</si>
  <si>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</si>
  <si>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</si>
  <si>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</si>
  <si>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</si>
  <si>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</si>
  <si>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</si>
  <si>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</si>
  <si>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</si>
  <si>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</si>
  <si>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</si>
  <si>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</si>
  <si>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</si>
  <si>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</si>
  <si>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</si>
  <si>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</si>
  <si>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</si>
  <si>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</si>
  <si>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</si>
  <si>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</si>
  <si>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</si>
  <si>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</si>
  <si>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</si>
  <si>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</si>
  <si>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</si>
  <si>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</si>
  <si>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</si>
  <si>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</si>
  <si>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</si>
  <si>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</si>
  <si>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</si>
  <si>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</si>
  <si>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</si>
  <si>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</si>
  <si>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</si>
  <si>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</si>
  <si>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</si>
  <si>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</si>
  <si>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</si>
  <si>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</si>
  <si>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</si>
  <si>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</si>
  <si>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</si>
  <si>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</si>
  <si>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</si>
  <si>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</si>
  <si>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</si>
  <si>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</si>
  <si>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</si>
  <si>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</si>
  <si>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</si>
  <si>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</si>
  <si>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</si>
  <si>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</si>
  <si>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</si>
  <si>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</si>
  <si>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</si>
  <si>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</si>
  <si>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</si>
  <si>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</si>
  <si>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</si>
  <si>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</si>
  <si>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CHEMISTRY — buffered pH &amp; anodic bleaching (open-system carbonate+phosphate charge balance, van't Hoff to reactor T)</t>
  </si>
  <si>
    <t>Parameter</t>
  </si>
  <si>
    <t>Name</t>
  </si>
  <si>
    <t>Unit</t>
  </si>
  <si>
    <t>Value</t>
  </si>
  <si>
    <t>Source / assumption</t>
  </si>
  <si>
    <t>IMPORTS (from other tabs)</t>
  </si>
  <si>
    <t>(import) Reactor temperature</t>
  </si>
  <si>
    <t>TKc</t>
  </si>
  <si>
    <t>K</t>
  </si>
  <si>
    <t>→ Biology</t>
  </si>
  <si>
    <t>(import) Dissolved CO₂ (worst case, full sparge)</t>
  </si>
  <si>
    <t>CO2aqc</t>
  </si>
  <si>
    <t>mol/L</t>
  </si>
  <si>
    <t>(import) Electrolysis current (Gerrit's Law)</t>
  </si>
  <si>
    <t>Iappc</t>
  </si>
  <si>
    <t>A</t>
  </si>
  <si>
    <t>→ Electrochemistry (I_app)</t>
  </si>
  <si>
    <t>(import) Faraday constant</t>
  </si>
  <si>
    <t>Fcc</t>
  </si>
  <si>
    <t>C/mol</t>
  </si>
  <si>
    <t>→ Electrochemistry (F_const)</t>
  </si>
  <si>
    <t>(import) Reactor liquid volume</t>
  </si>
  <si>
    <t>VLc</t>
  </si>
  <si>
    <t>L</t>
  </si>
  <si>
    <t>→ Biology (V_charge / 1000)</t>
  </si>
  <si>
    <t>Molar gas constant</t>
  </si>
  <si>
    <t>R_gas</t>
  </si>
  <si>
    <t>J/mol/K</t>
  </si>
  <si>
    <t>Handbook (CODATA)</t>
  </si>
  <si>
    <t>EQUILIBRIUM CONSTANTS (van't Hoff to reactor T)</t>
  </si>
  <si>
    <t>K(T)=K₂₅·exp(−ΔH/R·(1/T−1/298.15)). ΔH = standard enthalpy of dissociation; well documented. Same van't Hoff treatment your sheet already uses for the Henry constants.</t>
  </si>
  <si>
    <t>constant</t>
  </si>
  <si>
    <t>K₂₅</t>
  </si>
  <si>
    <t>ΔH kJ/mol</t>
  </si>
  <si>
    <t>K at reactor T</t>
  </si>
  <si>
    <t>source</t>
  </si>
  <si>
    <t>Handbook: K₂₅ (CRC/IUPAC); ΔH dissociation (CRC)</t>
  </si>
  <si>
    <t>Carbonate Ka1 (pKa 6.35)</t>
  </si>
  <si>
    <t>Carbonate Ka2 (pKa 10.33)</t>
  </si>
  <si>
    <t>Phosphate Ka1 (pKa 2.15)</t>
  </si>
  <si>
    <t>Phosphate Ka2 (pKa 7.20)</t>
  </si>
  <si>
    <t>Ammonium Ka (pKa 9.25)</t>
  </si>
  <si>
    <t>Water Kw</t>
  </si>
  <si>
    <t>Hypochlorous Ka (pKa 7.54)</t>
  </si>
  <si>
    <t>HOCl pKa at reactor T</t>
  </si>
  <si>
    <t>pKa_HOCl</t>
  </si>
  <si>
    <t>-</t>
  </si>
  <si>
    <t>= −log₁₀(Ka_HOCl at T)</t>
  </si>
  <si>
    <t>MEDIA IONIC COMPOSITION (per litre, as published; Excel derives the charge balance)</t>
  </si>
  <si>
    <t>Trace-metal salts omitted from SID (&lt;0.2 mM charge, negligible vs ~50–60 mM); their chloride is carried in the chloride row.</t>
  </si>
  <si>
    <t>Pous 2022 (BiTE 101010) / Pous 2023 (JECE 111550), UdG recipe</t>
  </si>
  <si>
    <t>Media/README.md (MC02); per Sydow 2017 SI Table S1</t>
  </si>
  <si>
    <t>salt</t>
  </si>
  <si>
    <t>MW g/mol</t>
  </si>
  <si>
    <t>MC02 g/L</t>
  </si>
  <si>
    <t>UdG g/L</t>
  </si>
  <si>
    <t>source</t>
  </si>
  <si>
    <t>KH₂PO₄</t>
  </si>
  <si>
    <t>Na₂HPO₄</t>
  </si>
  <si>
    <t>NaH₂PO₄·2H₂O</t>
  </si>
  <si>
    <t>NaHCO₃</t>
  </si>
  <si>
    <t>K₂SO₄</t>
  </si>
  <si>
    <t>CaSO₄·2H₂O</t>
  </si>
  <si>
    <t>MgSO₄·7H₂O</t>
  </si>
  <si>
    <t>(NH₄)₂SO₄</t>
  </si>
  <si>
    <t>CaCl₂</t>
  </si>
  <si>
    <t>MC02 — total phosphate</t>
  </si>
  <si>
    <t>PT_mc02</t>
  </si>
  <si>
    <t>mol/L</t>
  </si>
  <si>
    <t>Σ phosphate salts</t>
  </si>
  <si>
    <t>MC02 — strong-ion difference</t>
  </si>
  <si>
    <t>SID_mc02</t>
  </si>
  <si>
    <t>mol/L</t>
  </si>
  <si>
    <t>Σ strong cations − strong anions</t>
  </si>
  <si>
    <t>MC02 — total ammonium</t>
  </si>
  <si>
    <t>NT_mc02</t>
  </si>
  <si>
    <t>mol/L</t>
  </si>
  <si>
    <t/>
  </si>
  <si>
    <t>MC02 — chloride</t>
  </si>
  <si>
    <t>Cl_mc02</t>
  </si>
  <si>
    <t>mol/L</t>
  </si>
  <si>
    <t>no chloride salts</t>
  </si>
  <si>
    <t>UdG — total phosphate</t>
  </si>
  <si>
    <t>PT_udg</t>
  </si>
  <si>
    <t>mol/L</t>
  </si>
  <si>
    <t>Σ phosphate salts</t>
  </si>
  <si>
    <t>UdG — strong-ion difference</t>
  </si>
  <si>
    <t>SID_udg</t>
  </si>
  <si>
    <t>mol/L</t>
  </si>
  <si>
    <t>Σ strong cations − strong anions</t>
  </si>
  <si>
    <t>UdG — total ammonium</t>
  </si>
  <si>
    <t>NT_udg</t>
  </si>
  <si>
    <t>mol/L</t>
  </si>
  <si>
    <t/>
  </si>
  <si>
    <t>UdG — chloride</t>
  </si>
  <si>
    <t>Cl_udg</t>
  </si>
  <si>
    <t>mol/L</t>
  </si>
  <si>
    <t>trace-metal Cl excluded (negligible)</t>
  </si>
  <si>
    <t>(sel) strong-ion difference</t>
  </si>
  <si>
    <t>pH_SID</t>
  </si>
  <si>
    <t>mol/L</t>
  </si>
  <si>
    <t>by media_sel</t>
  </si>
  <si>
    <t>(sel) total phosphate</t>
  </si>
  <si>
    <t>pH_PT</t>
  </si>
  <si>
    <t>mol/L</t>
  </si>
  <si>
    <t>by media_sel</t>
  </si>
  <si>
    <t>(sel) total ammonium</t>
  </si>
  <si>
    <t>pH_NT</t>
  </si>
  <si>
    <t>mol/L</t>
  </si>
  <si>
    <t>by media_sel</t>
  </si>
  <si>
    <t>(sel) chloride</t>
  </si>
  <si>
    <t>pH_Cl</t>
  </si>
  <si>
    <t>mol/L</t>
  </si>
  <si>
    <t>by media_sel</t>
  </si>
  <si>
    <t>pH SOLVE GRID  (charge residual vs trial pH; root = operating pH)</t>
  </si>
  <si>
    <t>residual mol/L</t>
  </si>
  <si>
    <t>interp pH at root</t>
  </si>
  <si>
    <t>OPERATING pH (buffered, worst case)</t>
  </si>
  <si>
    <t>pH_op</t>
  </si>
  <si>
    <t>-</t>
  </si>
  <si>
    <t>root of charge-balance grid; full-sparge CO₂ trough</t>
  </si>
  <si>
    <t>WORST CASE: pH at full-sparge dissolved CO₂ (the trough during/after a CO₂ pulse). A real probe with response lag may read higher between pulses — a measurement that misses this trough is not the model being wrong.</t>
  </si>
  <si>
    <t>HOCl fraction at operating pH</t>
  </si>
  <si>
    <t>pH_fHOCl</t>
  </si>
  <si>
    <t>-</t>
  </si>
  <si>
    <t>Henderson–Hasselbalch; biocidal membrane-permeant form</t>
  </si>
  <si>
    <t>ANODIC BLEACHING (free-chlorine evolution; conservative FE=1)</t>
  </si>
  <si>
    <t>bleach_rate</t>
  </si>
  <si>
    <t>mg/L/h</t>
  </si>
  <si>
    <t>Time to ~1 ppm HOCl (FE=1)</t>
  </si>
  <si>
    <t>bleach_t1ppm</t>
  </si>
  <si>
    <t>min</t>
  </si>
  <si>
    <t>~1 mg/L HOCl ≈ bactericidal threshold</t>
  </si>
  <si>
    <t>Bleaching / hypochlorite flag</t>
  </si>
  <si>
    <t>bleach_flag</t>
  </si>
  <si>
    <t>-</t>
  </si>
  <si>
    <t>pH band flag (HOB optimum 6.5–7.5)</t>
  </si>
  <si>
    <t>pH_band_flag</t>
  </si>
  <si>
    <t>-</t>
  </si>
  <si>
    <t>Pous/Rovira-Alsina HOB optimum 6.5–7.5</t>
  </si>
  <si>
    <t>MEDIA LOOKUP (selector source)</t>
  </si>
  <si>
    <t>Media</t>
  </si>
  <si>
    <t>buffer</t>
  </si>
  <si>
    <t>buffer conc mM</t>
  </si>
  <si>
    <t>notes</t>
  </si>
  <si>
    <t>source</t>
  </si>
  <si>
    <t>MC02</t>
  </si>
  <si>
    <t>phosphate</t>
  </si>
  <si>
    <t>low-chloride, organic-free</t>
  </si>
  <si>
    <t>Media/README.md (MC02); per Sydow 2017 SI</t>
  </si>
  <si>
    <t>UdG phosphate</t>
  </si>
  <si>
    <t>phosphate</t>
  </si>
  <si>
    <t>low-chloride (trace Cl⁻); N varies urea/(NH₄)₂SO₄/NH₄Cl</t>
  </si>
  <si>
    <t>Pous 2022 &amp; 2023; Rovira-Alsina 2025</t>
  </si>
  <si>
    <t>HOCl_max</t>
  </si>
  <si>
    <t>mg/L</t>
  </si>
  <si>
    <t>Organism DO data present?</t>
  </si>
  <si>
    <t>Red = the selected organism has no measured DO thresholds, so every DO/sparge verdict above is running on missing data.</t>
  </si>
  <si>
    <t>Endpoint pH (worst-case, full sparge)</t>
  </si>
  <si>
    <t>Operating pH at the CO2 trough. Green 6.5-7.5; red outside 6-8.</t>
  </si>
  <si>
    <t>Worst-case hypochlorite from the medium's chloride. Green &lt;0.1, red &gt;1 mg/L. Zero for chloride-free media.</t>
  </si>
  <si>
    <t>O₂ guard source (surface-uncredited)</t>
  </si>
  <si>
    <t>O2_src_guard</t>
  </si>
  <si>
    <t>mol/h</t>
  </si>
  <si>
    <t>Worst-case O₂ source the safety guards size on: net O₂ generation with the surface-strip credit withheld (kL_surf is a ~375%-uncertain best-case proxy and must not gate a safety guard). = O2_net_gen.</t>
  </si>
  <si>
    <t>Sawtooth steady DO (surface-credited, STEADY src)</t>
  </si>
  <si>
    <t>DO_ss_sawtooth</t>
  </si>
  <si>
    <t>mol/m³</t>
  </si>
  <si>
    <t>Steady-state DO if surface stripping is credited and the source is the STEADY surplus (O2_excess). Diagnostic only — the SHIPPED guard sizes on the LAG cap (see D135). = D108/32.</t>
  </si>
  <si>
    <t>Sparge regime (surface-held vs sparge-needed)</t>
  </si>
  <si>
    <t>spg_int_regime</t>
  </si>
  <si>
    <t>-</t>
  </si>
  <si>
    <t>SURFACE-HELD if the steady surface path alone keeps DO below the target fraction of the ceiling; else SPARGE-NEEDED. Steady-state verdict only — the shipped 2.85-min cap is the LAG worst case.</t>
  </si>
  <si>
    <t>Sawtooth steady DO (LAG src — what the guard banks on)</t>
  </si>
  <si>
    <t>DO_ss_sawtooth_lag</t>
  </si>
  <si>
    <t>mol/m³</t>
  </si>
  <si>
    <t>Lag-source companion to D133: surface-credited steady DO using the LARGER lag source (O2_net_gen). Reads ~54% of ceiling — this is the worst case the shipped guard sizes on, NOT the 18% steady figure.</t>
  </si>
  <si>
    <t>O₂ removable across the stirred surface at ceiling driving force — a FEASIBILITY CEILING for surf_ratio / O2_removal_ratio only. NEVER subtracted inside a safety guard (kL_surf is a ~375%-uncertain best-case proxy); the guards size on O2_src_guard (D132) with this credit withheld.</t>
  </si>
  <si>
    <t>Dissolved O2 matching that vent headspace fraction. With the corrected mole fraction y_O2_vent = O2_excess/(O2_excess+CO2_supply), this evaluates to ~8.9 uM at the ed04 operating point - well below the ~336 uM inhibition ceiling, so at this CO2 dose the vent leg is a comfortable kL-independent backstop. (The old O2_excess/CO2_supply form was a ratio, not a mole fraction.) The margin shrinks as CO2 supply falls relative to the O2 surplus.</t>
  </si>
  <si>
    <t>Least feasible CO₂ (binding of the two floors). O₂-venting now binds (duty_O2vent ≈ 10× duty_carbon), not the carbon/pH floor — true post-fix.</t>
  </si>
  <si>
    <t>pH-grid crossings (must be exactly 1)</t>
  </si>
  <si>
    <t>n_cross</t>
  </si>
  <si>
    <t>-</t>
  </si>
  <si>
    <t>Count of +→− sign crossings of the charge residual on the pH grid. Exactly 1 = a single bracketed root inside [4,9]. 0 (root outside the grid) or &gt;1 (non-monotone) must NOT be read as pH 0.</t>
  </si>
  <si>
    <t>Phosphate Ka3 (pKa 12.38)</t>
  </si>
  <si>
    <t>HOCl-tolerance evidence (Comments)</t>
  </si>
  <si>
    <t>Threshold seed 0.2 mg/L free chlorine = conservative FIRST-IMPAIRMENT floor for suspended gram-negative environmental bacteria; deliberately below water-industry disinfection doses. Tiers: 0.02-0.1 no inhibition; 0.2 first-impairment (pick); 0.3-0.6 measurable die-off; 0.75-1.75 complete regrowth inhibition.</t>
  </si>
  <si>
    <t>C. necator: no direct HOCl MIC; genus-mate C. metallidurans is documented chlorine/chloramine-TOLERANT (Gomez-Alvarez/Wang 2018, STOTEN). 0.2 mg/L is a safety UNDERestimate, not its breaking point — do not assume necator is chlorine-fragile.</t>
  </si>
  <si>
    <t>Hydrogenophaga: dominant chlorine/chloramine-RESISTANT genus in chloraminated distribution systems; survives &gt;0.5 mg/L. Treat as resistant; 0.2 mg/L is a floor, not an observed inhibition point.</t>
  </si>
  <si>
    <t>Xanthobacter: no species value found in literature (genuine gap — not invented); use the 0.2 mg/L gram-negative fallback. CONSERVATIVE-FLOOR CAVEAT: the 0.2 seed is a safety floor; real impairment for these resistant genera is likely higher (mid-tenths to &gt;1 mg/L). necator/Xanthobacter rows are inferred, not measured.</t>
  </si>
  <si>
    <t>Measure surface kLa (kL_surf)</t>
  </si>
  <si>
    <t>HIGH</t>
  </si>
  <si>
    <t>med</t>
  </si>
  <si>
    <t>375% sensitivity — the single biggest lever; decides the safe sparge interval</t>
  </si>
  <si>
    <t>Measure / confirm vial total volume</t>
  </si>
  <si>
    <t>HIGH</t>
  </si>
  <si>
    <t>low</t>
  </si>
  <si>
    <t>~106% on the schedule — sets the liquid charge, headspace and flush sizing; water-fill</t>
  </si>
  <si>
    <t>Measure cathodic Faradaic efficiency (etaF)</t>
  </si>
  <si>
    <t>HIGH</t>
  </si>
  <si>
    <t>med</t>
  </si>
  <si>
    <t>~100% — sets the H2/O2 split; the O2 figures are an upper bound at etaF=1</t>
  </si>
  <si>
    <t>Confirm knallgas uptake ratio (H2:O2:CO2)</t>
  </si>
  <si>
    <t>MED</t>
  </si>
  <si>
    <t>high</t>
  </si>
  <si>
    <t>~95% on the O2 surplus + carbon demand; needs a growing culture</t>
  </si>
  <si>
    <t>Measure anodic Faradaic efficiency (etaF_OER)</t>
  </si>
  <si>
    <t>MED</t>
  </si>
  <si>
    <t>med</t>
  </si>
  <si>
    <t>~43% on the O2-removal duty; assumed 1, but un-measured</t>
  </si>
  <si>
    <t>Measure vial wall thickness</t>
  </si>
  <si>
    <t>MED</t>
  </si>
  <si>
    <t>low</t>
  </si>
  <si>
    <t>high-leverage caliper measurement — drives the headspace/displacement budget</t>
  </si>
  <si>
    <t>Bench-characterise the solenoid pulse floor</t>
  </si>
  <si>
    <t>LOW</t>
  </si>
  <si>
    <t>low</t>
  </si>
  <si>
    <t>~27% — the recommended pulse IS pulse_floor; trivial to characterise on the bench</t>
  </si>
  <si>
    <t>Determine organism minimum DO</t>
  </si>
  <si>
    <t>MED</t>
  </si>
  <si>
    <t>low</t>
  </si>
  <si>
    <t>lower DO guardrail; a gap for every organism</t>
  </si>
  <si>
    <t>Calibrate flow for each reactor</t>
  </si>
  <si>
    <t>MED</t>
  </si>
  <si>
    <t>low</t>
  </si>
  <si>
    <t>each experiment; only ed04 done</t>
  </si>
  <si>
    <t>Measure / confirm sinter porosity</t>
  </si>
  <si>
    <t>LOW</t>
  </si>
  <si>
    <t>low</t>
  </si>
  <si>
    <t>bubble size; currently grade 0 from Gerrit's disc</t>
  </si>
  <si>
    <t>Record lab ambient pressure</t>
  </si>
  <si>
    <t>LOW</t>
  </si>
  <si>
    <t>low</t>
  </si>
  <si>
    <t>~33% via the O2 ceiling; also Henry solubilities + gas volumes</t>
  </si>
  <si>
    <t>Sander (2023) compilation; CO₂ ~28× more soluble than O₂ (vs the 1.2e-5 O₂ Hcp).</t>
  </si>
  <si>
    <t>Sander (2023). H₂ ~1.5× less soluble than O₂ (vs the 1.2e-5 O₂ Hcp).</t>
  </si>
  <si>
    <t>Penetration-theory / surface-renewal proxy (Higbie form, t=1/s_renew) — coarse; measure by gassing-out (§15).</t>
  </si>
  <si>
    <t>CO₂ sparge interval (rounded)</t>
  </si>
  <si>
    <t>CO₂ sparge duration</t>
  </si>
  <si>
    <t>CO₂ sparge duration (rounded)</t>
  </si>
  <si>
    <t>Naïve FE=1 production ceiling (NOT operative)</t>
  </si>
  <si>
    <t>Naïve FE=1 ceiling: all chloride → free chlorine (NOT operative)</t>
  </si>
  <si>
    <t>Naïve FE=1 upper bound (all anode current→Cl₂). Superseded by Cl2_prod (D134, realistic). Kept only to show the ~40× overstatement.</t>
  </si>
  <si>
    <t>Naïve FE=1 ceiling (all chloride→free chlorine). Superseded by free_HOCl (D139). Overstates ~40× (chloride mass-transport cap) and ignores the ammonium demand.</t>
  </si>
  <si>
    <t>Pous 2022 (BiTE 101010) / Pous 2023 (JECE 111550), UdG recipe = 0.01 g/L.</t>
  </si>
  <si>
    <t>ANSWER. Recommended on the best kL_surf estimate: when surface stripping holds DO (SURFACE-HELD, D134) the binding limit is carbon supply → the carbon-limited interval (D112); otherwise the O₂-limited fallback (D89). An estimated kL_surf&gt;0 beats assuming zero — measure it to confirm (improvement #1).</t>
  </si>
  <si>
    <t>O₂-limited FALLBACK interval: zero-surface worst case (sparge vents all O₂; no surface credit). Applies only if measured kL_surf &lt; kL_surf_crit (D131). The recommended interval (D91) credits the surface estimate.</t>
  </si>
  <si>
    <t>Conservative O₂-vent duty: net O₂ with the surface-strip credit withheld (O2_src_guard). Sizes the O₂-limited fallback; the recommended schedule credits the surface estimate when DO is held.</t>
  </si>
  <si>
    <t>FREE-CHLORINE PENALTY MODEL (graded, kinetic — operative; supersedes the naïve FE=1 ceiling above)</t>
  </si>
  <si>
    <t>Max active-Cl evolution efficiency (high-Cl plateau)</t>
  </si>
  <si>
    <t>FE_CER</t>
  </si>
  <si>
    <t>-</t>
  </si>
  <si>
    <t>Active-chlorine current efficiency on the high-chloride plateau (~100% &gt;50 mM; Vos &amp; Koper, JACS 140:10270 / JEAC 819:260). At trace Cl⁻ the chloride mass-transport limit (D132) binds instead, so production scales with chloride, not this value.</t>
  </si>
  <si>
    <t>Cl⁻ mass-transfer coefficient</t>
  </si>
  <si>
    <t>km_Cl</t>
  </si>
  <si>
    <t>cm/s</t>
  </si>
  <si>
    <t>Stirred small cell, k_m = D/δ; 1e-3–1e-2 cm/s (Bard &amp; Faulkner Ch.1; measured stirred cells 2–8e-3). Central 3e-3.</t>
  </si>
  <si>
    <t>Anode wetted area</t>
  </si>
  <si>
    <t>A_anode</t>
  </si>
  <si>
    <t>cm²</t>
  </si>
  <si>
    <t>Pt/Ti rod 6 mm dia × ~3.5 cm submerged ≈ 6 cm²; ~5 used. Estimate.</t>
  </si>
  <si>
    <t>Cl₂ current — efficiency-limited</t>
  </si>
  <si>
    <t>I_Cl_FE</t>
  </si>
  <si>
    <t>A</t>
  </si>
  <si>
    <t>Applied anode current × plateau efficiency.</t>
  </si>
  <si>
    <t>Cl₂ current — chloride mass-transport limit</t>
  </si>
  <si>
    <t>I_Cl_mt</t>
  </si>
  <si>
    <t>i_lim = n·F·k_m·[Cl⁻]·A; n=1; [Cl⁻] mol/cm³ = pH_Cl/1000. Caps chlorine at the chloride flux — binds at trace Cl⁻ (~0.26 mA for UdG), so production scales with chloride.</t>
  </si>
  <si>
    <t>Realistic chlorine current (binding limit)</t>
  </si>
  <si>
    <t>I_Cl</t>
  </si>
  <si>
    <t>Smaller of efficiency- and mass-transport-limited.</t>
  </si>
  <si>
    <t>Volumetric free-chlorine production</t>
  </si>
  <si>
    <t>P_HOCl</t>
  </si>
  <si>
    <t>mol/L/s</t>
  </si>
  <si>
    <t>P_HOCl = I_Cl/(2·F·V). 2 e⁻ per Cl₂→HOCl.</t>
  </si>
  <si>
    <t>Medium ammonium (as N)</t>
  </si>
  <si>
    <t>NH3_N</t>
  </si>
  <si>
    <t>mg/L</t>
  </si>
  <si>
    <t>Active-medium total ammonium × 14.007 g/mol N.</t>
  </si>
  <si>
    <t>Monochloramine formation rate constant</t>
  </si>
  <si>
    <t>k1_NH2Cl</t>
  </si>
  <si>
    <t>M⁻¹s⁻¹</t>
  </si>
  <si>
    <t>HOCl + NH₃ → NH₂Cl, k₁ = 4.2e6 M⁻¹s⁻¹ (Morris &amp; Isaac 1983; Jafvert &amp; Valentine 1992, ES&amp;T 26:577, DOI 10.1021/es00027a022). Fast but NOT instantaneous.</t>
  </si>
  <si>
    <t>Ammonium pKa (NH₄⁺/NH₃)</t>
  </si>
  <si>
    <t>pKa_NH4</t>
  </si>
  <si>
    <t>Only free NH₃ reacts with HOCl; at pH 7 just ~0.6% of the ammonium pool is free NH₃ — so the sink is finite and a steady residual coexists.</t>
  </si>
  <si>
    <t>Free ammonia</t>
  </si>
  <si>
    <t>NH3_free</t>
  </si>
  <si>
    <t>mol/L</t>
  </si>
  <si>
    <t>NH₃ = NH₄_tot/(1+10^(pKa_NH4−pH)). The reactive fraction that scavenges HOCl.</t>
  </si>
  <si>
    <t>Steady bulk free HOCl</t>
  </si>
  <si>
    <t>HOCl_ss</t>
  </si>
  <si>
    <t>[HOCl]_ss = production/(k₁·NH₃_free). Non-zero by construction; rises with current, falls with ammonium/pH.</t>
  </si>
  <si>
    <t>Steady bulk free HOCl (mass)</t>
  </si>
  <si>
    <t>HOCl_ss_mgL</t>
  </si>
  <si>
    <t>Bulk free chlorine, mg/L. Small for UdG — below the impairment onset, so no bulk sterilisation (UdG runs for days).</t>
  </si>
  <si>
    <t>Anode boundary-layer enrichment</t>
  </si>
  <si>
    <t>f_local</t>
  </si>
  <si>
    <t>Local HOCl at the anode is higher than bulk before it diffuses out and meets ammonia (boundary-layer time ~0.1–10 s ≫ ms bulk scavenging). f_local ≥ 1; sub-mM value unmeasured — SENSITIVITY parameter.</t>
  </si>
  <si>
    <t>Monochloramine effective residence</t>
  </si>
  <si>
    <t>tau_NH2Cl</t>
  </si>
  <si>
    <t>h</t>
  </si>
  <si>
    <t>Time combined chlorine persists before consumption (growth N-uptake, cathodic reduction, dilution). Lit: minutes–hours; system-specific value unknown — SENSITIVITY parameter.</t>
  </si>
  <si>
    <t>Steady combined chlorine (monochloramine)</t>
  </si>
  <si>
    <t>NH2Cl_mgL</t>
  </si>
  <si>
    <t>Production held as monochloramine over its residence, capped at the ammonium capacity (5.06 mg Cl₂/mg N). Longer-lived and still biocidal — not harmless.</t>
  </si>
  <si>
    <t>Monochloramine potency divisor</t>
  </si>
  <si>
    <t>R_chloramine</t>
  </si>
  <si>
    <t>Monochloramine is ~18–70× less biocidal than free chlorine (EPA SWTR ~18×, Giardia; IWA 2008 ~70×, E. coli). 25 = conservative (kinder-to-chloramine).</t>
  </si>
  <si>
    <t>EFFECTIVE biocidal chlorine load</t>
  </si>
  <si>
    <t>C_eff</t>
  </si>
  <si>
    <t>OPERATIVE bleaching value: local-weighted free HOCl + combined chlorine ÷ potency. Graded, non-zero; scales with chloride and current. Supersedes the FE=1 ceiling (D125).</t>
  </si>
  <si>
    <t>Free-chlorine impairment onset (sub-lethal)</t>
  </si>
  <si>
    <t>Cl_onset</t>
  </si>
  <si>
    <t>Growth measurably slowed above ~0.1 mg/L free-Cl-equiv (graded, gram-negative proxy; Murray 2017 Ecotox 26:1115; HOCl oxidative-stress onset). Distinct from kill.</t>
  </si>
  <si>
    <t>Free-chlorine kill threshold</t>
  </si>
  <si>
    <t>Cl_kill</t>
  </si>
  <si>
    <t>~1–5 mg/L for tolerant gram-negatives; 2 used. Above C_eff this → biofilm/electrode damage (Baek 2021, CEJ 405:126742).</t>
  </si>
  <si>
    <t>Operative flag: effective biocidal chlorine (C_eff, D145) vs the sub-lethal onset (D146) and kill (D147). Graded — MILD for trace-chloride UdG, SEVERE only at high chloride/current.</t>
  </si>
  <si>
    <t>Effective biocidal chlorine</t>
  </si>
  <si>
    <t>Set by the Summary 'Your setting' override (G13/G15) when filled; otherwise this Manual/Optimal selector + the manual cells below apply. Optimal = recommended schedule.</t>
  </si>
  <si>
    <t>Your pulse length when sched_mode=Manual. Easiest: type into the Summary 'Your setting' column (G13) instead — it overrides everything.</t>
  </si>
  <si>
    <t>Your interval when sched_mode=Manual. Easiest: type into the Summary 'Your setting' column (G15) instead — it overrides everything.</t>
  </si>
  <si>
    <t>≥5 s gap between pulses for an OD read (uses the schedule IN USE, so it responds to your override). Can't measure OD while sparging.</t>
  </si>
  <si>
    <t>Override</t>
  </si>
  <si>
    <t>Schedule → dissolved-CO₂ sawtooth model</t>
  </si>
  <si>
    <t>Limit-cycle dissolved CO₂ from the sparge pulse/gap schedule; feeds Chemistry CO2aqc (D5).</t>
  </si>
  <si>
    <t>CO₂ molecular diffusivity</t>
  </si>
  <si>
    <t>D_CO2</t>
  </si>
  <si>
    <t>pCO2_air</t>
  </si>
  <si>
    <t>CO₂ saturation (pure sparge)</t>
  </si>
  <si>
    <t>C_sat_CO2</t>
  </si>
  <si>
    <t>CO₂ air-equilibrium</t>
  </si>
  <si>
    <t>C_air_CO2</t>
  </si>
  <si>
    <t>sqrtD_CO2</t>
  </si>
  <si>
    <t>kLa_CO2_off</t>
  </si>
  <si>
    <t>Pulse duration</t>
  </si>
  <si>
    <t>t_on_CO2</t>
  </si>
  <si>
    <t>Gap duration</t>
  </si>
  <si>
    <t>t_off_CO2</t>
  </si>
  <si>
    <t>CO2_int_on</t>
  </si>
  <si>
    <t>mol.s/m³</t>
  </si>
  <si>
    <t>CO2_int_off</t>
  </si>
  <si>
    <t>Cycle-average CO₂</t>
  </si>
  <si>
    <t>CO2_cyc_avg</t>
  </si>
  <si>
    <t>Steady dissolved CO₂</t>
  </si>
  <si>
    <t>CO2aqc_ss</t>
  </si>
  <si>
    <t>Schedule validity</t>
  </si>
  <si>
    <t>sched_valid</t>
  </si>
  <si>
    <t>Schedule-dependent steady-state dissolved CO₂ (sawtooth limit cycle, bounded air-eq..saturation) - was the fixed full-sparge worst case</t>
  </si>
  <si>
    <t>CO₂ diffusivity in water ~25°C, Cussler/Tamimi 1994.</t>
  </si>
  <si>
    <t>Atmospheric CO₂ partial pressure</t>
  </si>
  <si>
    <t>Atmospheric pCO₂ (~400 ppm).</t>
  </si>
  <si>
    <t>Headspace volume (SI)</t>
  </si>
  <si>
    <t>headspace_V_m3</t>
  </si>
  <si>
    <t>m³</t>
  </si>
  <si>
    <t>Geometry headspace volume converted mL→m³.</t>
  </si>
  <si>
    <t>Liquid volume (SI)</t>
  </si>
  <si>
    <t>V_L_m3</t>
  </si>
  <si>
    <t>Charged liquid volume converted mL→m³.</t>
  </si>
  <si>
    <t>Headspace vent bleed</t>
  </si>
  <si>
    <t>Q_vent</t>
  </si>
  <si>
    <t>Slow restricted vent bleed - dead-volume + tube + near-closed solenoid leak. KEY NEW UNCERTAIN PARAMETER - measure. NOT free membrane diffusion, which would clear in seconds and could not reproduce the run-2 acidification.</t>
  </si>
  <si>
    <t>Headspace vent rate</t>
  </si>
  <si>
    <t>k_vent</t>
  </si>
  <si>
    <t>First-order headspace clearance from the vent volumetric bleed.</t>
  </si>
  <si>
    <t>Headspace residence time</t>
  </si>
  <si>
    <t>tau_hs</t>
  </si>
  <si>
    <t>Time constant for the headspace to clear through the vent.</t>
  </si>
  <si>
    <t>Henry-law dissolved CO₂ at pure-CO₂ saturation.</t>
  </si>
  <si>
    <t>Henry-law dissolved CO₂ in equilibrium with room air.</t>
  </si>
  <si>
    <t>Diffusivity scaling (CO₂/O₂)</t>
  </si>
  <si>
    <t>Penetration-theory √(D_CO₂/D_O₂) scaling of the O₂ transfer coefficient.</t>
  </si>
  <si>
    <t>CO₂ surface transfer coefficient</t>
  </si>
  <si>
    <t>Surface kLa for CO₂ between pulses (surface path).</t>
  </si>
  <si>
    <t>Surface-relaxation time</t>
  </si>
  <si>
    <t>tau_surf_floor</t>
  </si>
  <si>
    <t>Time constant for the liquid to relax to the headspace via the surface.</t>
  </si>
  <si>
    <t>Headspace gas inventory</t>
  </si>
  <si>
    <t>n_hs_gas</t>
  </si>
  <si>
    <t>Moles of gas in the headspace at P_atm, T_K (ideal-gas).</t>
  </si>
  <si>
    <t>Sparge pulse on-time from the schedule.</t>
  </si>
  <si>
    <t>Time between pulses, guard-floored at 0.</t>
  </si>
  <si>
    <t>On-phase surface decay</t>
  </si>
  <si>
    <t>eon_CO2</t>
  </si>
  <si>
    <t>Surface-path liquid decay factor over the pulse.</t>
  </si>
  <si>
    <t>Off-phase surface decay</t>
  </si>
  <si>
    <t>e1_CO2</t>
  </si>
  <si>
    <t>Surface-path liquid decay factor over the gap.</t>
  </si>
  <si>
    <t>Off-phase vent decay</t>
  </si>
  <si>
    <t>e2_CO2</t>
  </si>
  <si>
    <t>Headspace vent decay factor over the gap.</t>
  </si>
  <si>
    <t>Two-compartment coupling coef</t>
  </si>
  <si>
    <t>coef_CO2</t>
  </si>
  <si>
    <t>Coupling coefficient linking the venting headspace to the liquid relaxation.</t>
  </si>
  <si>
    <t>Cycle-start liquid CO₂</t>
  </si>
  <si>
    <t>Ca_CO2</t>
  </si>
  <si>
    <t>Closed-form limit-cycle dissolved CO₂ at the start of each pulse.</t>
  </si>
  <si>
    <t>End-of-pulse liquid CO₂</t>
  </si>
  <si>
    <t>Cb_CO2</t>
  </si>
  <si>
    <t>Dissolved CO₂ at the end of the pulse (start of the gap).</t>
  </si>
  <si>
    <t>On-phase CO₂ integral</t>
  </si>
  <si>
    <t>Time-integral of dissolved CO₂ over the pulse.</t>
  </si>
  <si>
    <t>Off-phase CO₂ integral</t>
  </si>
  <si>
    <t>Time-integral of dissolved CO₂ over the gap, including the venting-headspace term.</t>
  </si>
  <si>
    <t>Limit-cycle time-average dissolved CO₂ over one pulse+gap.</t>
  </si>
  <si>
    <t>Bounded steady dissolved CO₂; the value Chemistry D5 is repointed to (two-compartment headspace model).</t>
  </si>
  <si>
    <t>Vent-path sanity check</t>
  </si>
  <si>
    <t>vent_floor_chk</t>
  </si>
  <si>
    <t>Confirms the vent is the rate-limiting path; if the surface cleared faster, run 2 could not stay acidic.</t>
  </si>
  <si>
    <t>Surfaces an interval&lt;pulse misconfiguration.</t>
  </si>
  <si>
    <t>electrons per produced HOCl</t>
  </si>
  <si>
    <t>n_e_Cl</t>
  </si>
  <si>
    <t>e-/HOCl</t>
  </si>
  <si>
    <t>n-electron count in the binding regime: 1 e-/Cl- when chloride-arrival-limited, 2 e-/Cl2 on the FE route</t>
  </si>
  <si>
    <t>chloride-pool ceiling on chlorine</t>
  </si>
  <si>
    <t>Cl_pool_mgL</t>
  </si>
  <si>
    <t>mg/L</t>
  </si>
  <si>
    <t>Total chloride pool as HOCl-equivalent; chlorine (free+combined) cannot exceed this. UdG CaCl2-derived (closed batch also depletes it)</t>
  </si>
  <si>
    <t>monochloramine residence (low)</t>
  </si>
  <si>
    <t>tau_NH2Cl_lo</t>
  </si>
  <si>
    <t>h</t>
  </si>
  <si>
    <t>Low bound of monochloramine residence (~1 min); weak estimate, swept for the C_eff band</t>
  </si>
  <si>
    <t>monochloramine residence (high)</t>
  </si>
  <si>
    <t>tau_NH2Cl_hi</t>
  </si>
  <si>
    <t>h</t>
  </si>
  <si>
    <t>High bound of monochloramine residence (5 h); weak estimate, swept for the C_eff band</t>
  </si>
  <si>
    <t>chloramine potency divisor (low)</t>
  </si>
  <si>
    <t>R_chloramine_lo</t>
  </si>
  <si>
    <t>x</t>
  </si>
  <si>
    <t>Most-potent end of the monochloramine potency-divisor band (defensible)</t>
  </si>
  <si>
    <t>chloramine potency divisor (high)</t>
  </si>
  <si>
    <t>R_chloramine_hi</t>
  </si>
  <si>
    <t>x</t>
  </si>
  <si>
    <t>Least-potent end of the monochloramine potency-divisor band</t>
  </si>
  <si>
    <t>combined chlorine (low-tau)</t>
  </si>
  <si>
    <t>NH2Cl_lo</t>
  </si>
  <si>
    <t>mg/L</t>
  </si>
  <si>
    <t>Combined chlorine at the low-tau bound, chloride-pool-capped</t>
  </si>
  <si>
    <t>combined chlorine (high-tau)</t>
  </si>
  <si>
    <t>NH2Cl_hi</t>
  </si>
  <si>
    <t>mg/L</t>
  </si>
  <si>
    <t>Combined chlorine at the high-tau bound, chloride-pool-capped</t>
  </si>
  <si>
    <t>effective biocidal chlorine (low)</t>
  </si>
  <si>
    <t>C_eff_lo</t>
  </si>
  <si>
    <t>mg/L</t>
  </si>
  <si>
    <t>Low bound of effective biocidal chlorine (least chlorine, least potent)</t>
  </si>
  <si>
    <t>effective biocidal chlorine (high)</t>
  </si>
  <si>
    <t>C_eff_hi</t>
  </si>
  <si>
    <t>mg/L</t>
  </si>
  <si>
    <t>High bound (most chlorine, most potent); the chloride-pool cap keeps it below the kill threshold in UdG</t>
  </si>
  <si>
    <t>anodic charge to metal dissolution</t>
  </si>
  <si>
    <t>corr_I_frac</t>
  </si>
  <si>
    <t>-</t>
  </si>
  <si>
    <t>DATA GAP - fraction of anodic charge going to electrode metal dissolution; measure (the green anode points to Cu/Ni ammine)</t>
  </si>
  <si>
    <t>leached-metal molar mass</t>
  </si>
  <si>
    <t>metal_MW</t>
  </si>
  <si>
    <t>g/mol</t>
  </si>
  <si>
    <t>Cu molar mass, representative leached transition metal</t>
  </si>
  <si>
    <t>electrons per metal ion</t>
  </si>
  <si>
    <t>metal_z</t>
  </si>
  <si>
    <t>e-/ion</t>
  </si>
  <si>
    <t>Electrons per dissolved divalent metal ion</t>
  </si>
  <si>
    <t>dissolved-metal leach rate</t>
  </si>
  <si>
    <t>metal_leach_rate</t>
  </si>
  <si>
    <t>mg/L/h</t>
  </si>
  <si>
    <t>Dissolved-metal accumulation rate; #N/A until corr_I_frac is measured</t>
  </si>
  <si>
    <t>metal toxicity threshold</t>
  </si>
  <si>
    <t>metal_tox_thresh</t>
  </si>
  <si>
    <t>mg/L</t>
  </si>
  <si>
    <t>Order-of-magnitude bactericidal Cu/Ni concentration for gram-negatives (literature)</t>
  </si>
  <si>
    <t>electrode-corrosion verdict</t>
  </si>
  <si>
    <t>metal_flag</t>
  </si>
  <si>
    <t>-</t>
  </si>
  <si>
    <t>Verdict pointer: the unmodelled prime suspect for the Exp-2 death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</si>
</sst>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2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rgb="FFFFFC00"/>
      </left>
      <right style="medium">
        <color rgb="FFFFFC00"/>
      </right>
      <top style="medium">
        <color rgb="FFFFFC00"/>
      </top>
      <bottom style="medium">
        <color rgb="FFFFFC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11"/>
    <xf numFmtId="0" fontId="27" fillId="8" borderId="11"/>
    <xf numFmtId="0" fontId="28" fillId="10" borderId="11"/>
    <xf numFmtId="0" fontId="29" fillId="18" borderId="11"/>
  </cellStyleXfs>
  <cellXfs count="131">
    <xf numFmtId="0" fontId="0" fillId="0" borderId="0" xfId="0" applyBorder="1"/>
    <xf numFmtId="0" fontId="11" fillId="0" borderId="0" xfId="0" applyFont="1" applyBorder="1"/>
    <xf numFmtId="0" fontId="18" fillId="0" borderId="0" xfId="0" applyFont="1" applyBorder="1"/>
    <xf numFmtId="0" fontId="0" fillId="0" borderId="1" xfId="0" applyBorder="1"/>
    <xf numFmtId="0" fontId="8" fillId="0" borderId="1" xfId="0" applyFont="1" applyBorder="1"/>
    <xf numFmtId="0" fontId="9" fillId="13" borderId="1" xfId="0" applyFont="1" applyFill="1" applyBorder="1"/>
    <xf numFmtId="0" fontId="20" fillId="0" borderId="1" xfId="0" applyFont="1" applyBorder="1"/>
    <xf numFmtId="0" fontId="15" fillId="0" borderId="1" xfId="0" applyFont="1" applyBorder="1"/>
    <xf numFmtId="0" fontId="10" fillId="15" borderId="1" xfId="0" applyFont="1" applyFill="1" applyBorder="1"/>
    <xf numFmtId="14" fontId="0" fillId="0" borderId="1" xfId="0" applyNumberFormat="1" applyBorder="1"/>
    <xf numFmtId="0" fontId="10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1" fillId="0" borderId="1" xfId="0" applyFont="1" applyBorder="1"/>
    <xf numFmtId="0" fontId="22" fillId="0" borderId="1" xfId="0" applyFont="1" applyBorder="1"/>
    <xf numFmtId="0" fontId="0" fillId="0" borderId="2" xfId="0" applyBorder="1"/>
    <xf numFmtId="0" fontId="9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19" fillId="0" borderId="3" xfId="0" applyFont="1" applyBorder="1"/>
    <xf numFmtId="0" fontId="25" fillId="0" borderId="4" xfId="0" applyFont="1" applyBorder="1"/>
    <xf numFmtId="0" fontId="16" fillId="0" borderId="3" xfId="0" applyFont="1" applyBorder="1"/>
    <xf numFmtId="0" fontId="25" fillId="0" borderId="3" xfId="0" applyFont="1" applyBorder="1"/>
    <xf numFmtId="0" fontId="25" fillId="0" borderId="5" xfId="0" applyFont="1" applyBorder="1"/>
    <xf numFmtId="0" fontId="25" fillId="0" borderId="6" xfId="0" applyFont="1" applyBorder="1"/>
    <xf numFmtId="0" fontId="25" fillId="0" borderId="7" xfId="0" applyFont="1" applyBorder="1"/>
    <xf numFmtId="0" fontId="12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2" fillId="16" borderId="3" xfId="0" applyFont="1" applyFill="1" applyBorder="1"/>
    <xf numFmtId="0" fontId="12" fillId="10" borderId="3" xfId="0" applyFont="1" applyFill="1" applyBorder="1"/>
    <xf numFmtId="0" fontId="14" fillId="0" borderId="3" xfId="0" applyFont="1" applyBorder="1"/>
    <xf numFmtId="0" fontId="17" fillId="0" borderId="3" xfId="0" applyFont="1" applyBorder="1"/>
    <xf numFmtId="0" fontId="9" fillId="17" borderId="3" xfId="0" applyFont="1" applyFill="1" applyBorder="1"/>
    <xf numFmtId="0" fontId="24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5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5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165" fontId="26" fillId="0" borderId="3" xfId="0" applyNumberFormat="1" applyFont="1" applyBorder="1"/>
    <xf numFmtId="165" fontId="25" fillId="0" borderId="3" xfId="0" applyNumberFormat="1" applyFont="1" applyBorder="1"/>
    <xf numFmtId="166" fontId="26" fillId="0" borderId="3" xfId="0" applyNumberFormat="1" applyFont="1" applyBorder="1"/>
    <xf numFmtId="167" fontId="26" fillId="0" borderId="3" xfId="0" applyNumberFormat="1" applyFont="1" applyBorder="1"/>
    <xf numFmtId="1" fontId="25" fillId="0" borderId="3" xfId="0" applyNumberFormat="1" applyFont="1" applyBorder="1"/>
    <xf numFmtId="168" fontId="26" fillId="0" borderId="3" xfId="0" applyNumberFormat="1" applyFont="1" applyBorder="1"/>
    <xf numFmtId="1" fontId="12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5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6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5" fillId="0" borderId="8" xfId="0" applyNumberFormat="1" applyFont="1" applyBorder="1"/>
    <xf numFmtId="0" fontId="23" fillId="0" borderId="8" xfId="0" applyFont="1" applyBorder="1"/>
    <xf numFmtId="170" fontId="26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5" fillId="10" borderId="3" xfId="0" applyFont="1" applyFill="1" applyBorder="1"/>
    <xf numFmtId="168" fontId="25" fillId="0" borderId="5" xfId="0" applyNumberFormat="1" applyFont="1" applyBorder="1"/>
    <xf numFmtId="0" fontId="16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6" fillId="0" borderId="3" xfId="0" applyNumberFormat="1" applyFont="1" applyBorder="1"/>
    <xf numFmtId="166" fontId="7" fillId="0" borderId="3" xfId="0" applyNumberFormat="1" applyFont="1" applyBorder="1"/>
    <xf numFmtId="168" fontId="25" fillId="0" borderId="8" xfId="0" applyNumberFormat="1" applyFont="1" applyBorder="1"/>
    <xf numFmtId="168" fontId="25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3" fillId="0" borderId="3" xfId="0" applyFont="1" applyBorder="1"/>
    <xf numFmtId="0" fontId="0" fillId="9" borderId="3" xfId="0" applyFill="1" applyBorder="1"/>
    <xf numFmtId="0" fontId="25" fillId="0" borderId="9" xfId="0" applyFont="1" applyBorder="1"/>
    <xf numFmtId="0" fontId="30" fillId="8" borderId="3" xfId="1" applyFont="1" applyBorder="1"/>
    <xf numFmtId="0" fontId="30" fillId="18" borderId="3" xfId="3" applyFont="1" applyBorder="1"/>
    <xf numFmtId="0" fontId="30" fillId="10" borderId="3" xfId="2" applyFont="1" applyBorder="1"/>
    <xf numFmtId="0" fontId="0" fillId="19" borderId="3" xfId="0" applyFill="1" applyBorder="1"/>
    <xf numFmtId="0" fontId="31" fillId="0" borderId="3" xfId="0" applyFont="1" applyBorder="1"/>
    <xf numFmtId="0" fontId="32" fillId="0" borderId="3" xfId="0" applyFont="1" applyBorder="1"/>
    <xf numFmtId="0" fontId="32" fillId="0" borderId="10" xfId="0" applyFont="1" applyBorder="1"/>
    <xf numFmtId="0" fontId="32" fillId="0" borderId="11" xfId="0" applyFont="1"/>
    <xf numFmtId="0" fontId="33" fillId="0" borderId="3" xfId="0" applyFont="1" applyBorder="1"/>
    <xf numFmtId="0" fontId="33" fillId="0" borderId="11" xfId="0" applyFont="1"/>
    <xf numFmtId="0" fontId="32" fillId="0" borderId="12" xfId="0" applyFont="1" applyBorder="1"/>
    <xf numFmtId="0" fontId="32" fillId="0" borderId="13" xfId="0" applyFont="1" applyBorder="1"/>
    <xf numFmtId="0" fontId="32" fillId="0" borderId="14" xfId="0" applyFont="1" applyBorder="1"/>
    <xf numFmtId="0" fontId="0" fillId="0" borderId="11" xfId="0"/>
    <xf numFmtId="0" fontId="33" fillId="9" borderId="3" xfId="0" applyFont="1" applyFill="1" applyBorder="1"/>
    <xf numFmtId="0" fontId="34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5" fillId="0" borderId="12" xfId="0" applyFont="1" applyBorder="1"/>
    <xf numFmtId="0" fontId="35" fillId="0" borderId="14" xfId="0" applyFont="1" applyBorder="1"/>
    <xf numFmtId="0" fontId="35" fillId="0" borderId="13" xfId="0" applyFont="1" applyBorder="1"/>
    <xf numFmtId="0" fontId="35" fillId="0" borderId="11" xfId="0" applyFont="1"/>
    <xf numFmtId="0" fontId="36" fillId="0" borderId="3" xfId="0" applyFont="1" applyBorder="1"/>
    <xf numFmtId="0" fontId="35" fillId="0" borderId="3" xfId="0" applyFont="1" applyBorder="1"/>
    <xf numFmtId="0" fontId="37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165" fontId="39" fillId="0" borderId="3" xfId="0" applyNumberFormat="1" applyFont="1" applyBorder="1"/>
    <xf numFmtId="0" fontId="36" fillId="3" borderId="3" xfId="0" applyFont="1" applyFill="1" applyBorder="1" applyAlignment="1">
      <alignment vertical="top" wrapText="1"/>
    </xf>
    <xf numFmtId="2" fontId="39" fillId="0" borderId="3" xfId="0" applyNumberFormat="1" applyFont="1" applyBorder="1"/>
    <xf numFmtId="0" fontId="36" fillId="2" borderId="3" xfId="0" applyFont="1" applyFill="1" applyBorder="1" applyAlignment="1">
      <alignment vertical="top" wrapText="1"/>
    </xf>
    <xf numFmtId="0" fontId="36" fillId="7" borderId="3" xfId="0" applyFont="1" applyFill="1" applyBorder="1" applyAlignment="1">
      <alignment vertical="top" wrapText="1"/>
    </xf>
    <xf numFmtId="0" fontId="36" fillId="5" borderId="3" xfId="0" applyFont="1" applyFill="1" applyBorder="1" applyAlignment="1">
      <alignment vertical="top" wrapText="1"/>
    </xf>
    <xf numFmtId="0" fontId="36" fillId="6" borderId="3" xfId="0" applyFont="1" applyFill="1" applyBorder="1" applyAlignment="1">
      <alignment vertical="top" wrapText="1"/>
    </xf>
    <xf numFmtId="0" fontId="40" fillId="0" borderId="3" xfId="0" applyFont="1" applyBorder="1"/>
    <xf numFmtId="166" fontId="39" fillId="0" borderId="3" xfId="0" applyNumberFormat="1" applyFont="1" applyBorder="1"/>
    <xf numFmtId="167" fontId="39" fillId="0" borderId="3" xfId="0" applyNumberFormat="1" applyFont="1" applyBorder="1"/>
    <xf numFmtId="0" fontId="36" fillId="9" borderId="3" xfId="0" applyFont="1" applyFill="1" applyBorder="1" applyAlignment="1">
      <alignment vertical="top" wrapText="1"/>
    </xf>
    <xf numFmtId="0" fontId="36" fillId="19" borderId="3" xfId="0" applyFont="1" applyFill="1" applyBorder="1" applyAlignment="1">
      <alignment vertical="top" wrapText="1"/>
    </xf>
    <xf numFmtId="168" fontId="39" fillId="0" borderId="3" xfId="0" applyNumberFormat="1" applyFont="1" applyBorder="1"/>
    <xf numFmtId="0" fontId="36" fillId="4" borderId="3" xfId="0" applyFont="1" applyFill="1" applyBorder="1" applyAlignment="1">
      <alignment vertical="top" wrapText="1"/>
    </xf>
    <xf numFmtId="0" fontId="36" fillId="11" borderId="3" xfId="0" applyFont="1" applyFill="1" applyBorder="1" applyAlignment="1">
      <alignment vertical="top" wrapText="1"/>
    </xf>
    <xf numFmtId="168" fontId="41" fillId="0" borderId="3" xfId="0" applyNumberFormat="1" applyFont="1" applyBorder="1"/>
    <xf numFmtId="170" fontId="26" fillId="0" borderId="11" xfId="0" applyNumberFormat="1" applyFont="1"/>
    <xf numFmtId="165" fontId="32" fillId="0" borderId="15" xfId="0" applyNumberFormat="1" applyFont="1" applyBorder="1"/>
    <xf numFmtId="0" fontId="35" fillId="0" borderId="16" xfId="0" applyFont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31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ont>
        <color theme="0"/>
      </font>
      <fill>
        <patternFill patternType="solid">
          <fgColor rgb="FFBDD7EE"/>
          <bgColor theme="3"/>
        </patternFill>
      </fill>
    </dxf>
    <dxf>
      <font>
        <color theme="0"/>
      </font>
      <fill>
        <patternFill patternType="solid">
          <fgColor rgb="FFBDD7EE"/>
          <bgColor theme="3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G71"/>
  <sheetViews>
    <sheetView tabSelected="1" zoomScale="116" workbookViewId="0">
      <selection activeCell="D10" sqref="D10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7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7" ht="16" customHeight="1" thickBot="1" x14ac:dyDescent="0.25">
      <c r="A2" s="17" t="s">
        <v>1</v>
      </c>
      <c r="B2" s="18" t="s">
        <v>30</v>
      </c>
      <c r="C2" s="19"/>
      <c r="D2" s="103" t="s">
        <v>16</v>
      </c>
      <c r="E2" s="20" t="s">
        <v>31</v>
      </c>
      <c r="F2" s="21" t="s">
        <v>32</v>
      </c>
    </row>
    <row r="3" spans="1:7" ht="16" customHeight="1" thickBot="1" x14ac:dyDescent="0.25">
      <c r="A3" s="17" t="s">
        <v>33</v>
      </c>
      <c r="B3" s="18" t="s">
        <v>34</v>
      </c>
      <c r="C3" s="19"/>
      <c r="D3" s="104" t="s">
        <v>397</v>
      </c>
      <c r="E3" s="20" t="s">
        <v>31</v>
      </c>
      <c r="F3" s="21" t="s">
        <v>36</v>
      </c>
    </row>
    <row r="4" spans="1:7" x14ac:dyDescent="0.2">
      <c r="A4" s="17" t="s">
        <v>37</v>
      </c>
      <c r="B4" s="18" t="s">
        <v>38</v>
      </c>
      <c r="C4" s="19"/>
      <c r="D4" s="105" t="s">
        <v>540</v>
      </c>
      <c r="E4" s="20" t="s">
        <v>31</v>
      </c>
      <c r="F4" s="21" t="s">
        <v>40</v>
      </c>
    </row>
    <row r="5" spans="1:7" x14ac:dyDescent="0.2">
      <c r="A5" s="20" t="s">
        <v>41</v>
      </c>
      <c r="B5" s="18" t="s">
        <v>42</v>
      </c>
      <c r="C5" s="20"/>
      <c r="D5" s="105" t="s">
        <v>998</v>
      </c>
      <c r="E5" s="20" t="s">
        <v>31</v>
      </c>
      <c r="F5" s="21" t="s">
        <v>43</v>
      </c>
    </row>
    <row r="6" spans="1:7" x14ac:dyDescent="0.2">
      <c r="A6" s="20" t="s">
        <v>44</v>
      </c>
      <c r="B6" s="18" t="s">
        <v>45</v>
      </c>
      <c r="C6" s="20" t="s">
        <v>46</v>
      </c>
      <c r="D6" s="106">
        <v>3</v>
      </c>
      <c r="E6" s="20" t="s">
        <v>47</v>
      </c>
      <c r="F6" s="21" t="s">
        <v>48</v>
      </c>
    </row>
    <row r="7" spans="1:7" x14ac:dyDescent="0.2">
      <c r="A7" s="20" t="s">
        <v>49</v>
      </c>
      <c r="B7" s="18" t="s">
        <v>50</v>
      </c>
      <c r="C7" s="20" t="s">
        <v>51</v>
      </c>
      <c r="D7" s="106">
        <v>1000</v>
      </c>
      <c r="E7" s="20" t="s">
        <v>47</v>
      </c>
      <c r="F7" s="21" t="s">
        <v>52</v>
      </c>
    </row>
    <row r="8" spans="1:7" x14ac:dyDescent="0.2">
      <c r="A8" s="20" t="s">
        <v>53</v>
      </c>
      <c r="B8" s="18" t="s">
        <v>54</v>
      </c>
      <c r="C8" s="20" t="s">
        <v>55</v>
      </c>
      <c r="D8" s="106">
        <v>25</v>
      </c>
      <c r="E8" s="20" t="s">
        <v>47</v>
      </c>
      <c r="F8" s="21" t="s">
        <v>56</v>
      </c>
    </row>
    <row r="9" spans="1:7" x14ac:dyDescent="0.2">
      <c r="A9" s="20" t="s">
        <v>57</v>
      </c>
      <c r="B9" s="18" t="s">
        <v>58</v>
      </c>
      <c r="C9" s="20" t="s">
        <v>59</v>
      </c>
      <c r="D9" s="106"/>
      <c r="E9" s="20" t="s">
        <v>60</v>
      </c>
      <c r="F9" s="21" t="s">
        <v>61</v>
      </c>
    </row>
    <row r="10" spans="1:7" ht="16" customHeight="1" x14ac:dyDescent="0.2">
      <c r="A10" s="20" t="s">
        <v>62</v>
      </c>
      <c r="B10" s="18" t="s">
        <v>63</v>
      </c>
      <c r="C10" s="20" t="s">
        <v>64</v>
      </c>
      <c r="D10" s="106"/>
      <c r="E10" s="20" t="s">
        <v>60</v>
      </c>
      <c r="F10" s="107" t="s">
        <v>65</v>
      </c>
    </row>
    <row r="11" spans="1:7" x14ac:dyDescent="0.2">
      <c r="A11" s="20"/>
      <c r="B11" s="20"/>
      <c r="C11" s="20"/>
      <c r="D11" s="108"/>
      <c r="E11" s="20"/>
      <c r="F11" s="21"/>
    </row>
    <row r="12" spans="1:7" ht="16" customHeight="1" thickBot="1" x14ac:dyDescent="0.25">
      <c r="A12" s="16" t="s">
        <v>66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  <c r="G12" s="16" t="s">
        <v>1172</v>
      </c>
    </row>
    <row r="13" spans="1:7" ht="16" customHeight="1" thickBot="1" x14ac:dyDescent="0.25">
      <c r="A13" s="28" t="s">
        <v>1086</v>
      </c>
      <c r="B13" s="20"/>
      <c r="C13" s="20" t="s">
        <v>13</v>
      </c>
      <c r="D13" s="91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67</v>
      </c>
      <c r="G13" s="130"/>
    </row>
    <row r="14" spans="1:7" s="3" customFormat="1" ht="16" customHeight="1" thickBot="1" x14ac:dyDescent="0.25">
      <c r="A14" s="28" t="s">
        <v>1087</v>
      </c>
      <c r="B14" s="20"/>
      <c r="C14" s="20" t="s">
        <v>13</v>
      </c>
      <c r="D14" s="92">
        <f>IF(AND(ISNUMBER($G$13),$G$13&gt;0),$G$13,IF(D13&gt;0.5,ROUND(D13,0),ROUND(D13,1-(1+INT(LOG10(ABS(D13)))))))</f>
        <v>1</v>
      </c>
      <c r="E14" s="20"/>
      <c r="F14" s="21"/>
    </row>
    <row r="15" spans="1:7" ht="16" customHeight="1" thickBot="1" x14ac:dyDescent="0.25">
      <c r="A15" s="90" t="s">
        <v>68</v>
      </c>
      <c r="B15" s="20"/>
      <c r="C15" s="20" t="s">
        <v>69</v>
      </c>
      <c r="D15" s="91">
        <f>IFERROR('Mass Transfer'!$D$91,"calibrate this reactor first (see CO2 flows)")</f>
        <v>181.0677266956931</v>
      </c>
      <c r="E15" s="23" t="str">
        <f>HYPERLINK("#'Mass Transfer'!D91","→ Mass")</f>
        <v>→ Mass</v>
      </c>
      <c r="F15" s="21" t="s">
        <v>70</v>
      </c>
      <c r="G15" s="130"/>
    </row>
    <row r="16" spans="1:7" x14ac:dyDescent="0.2">
      <c r="A16" s="28" t="s">
        <v>1085</v>
      </c>
      <c r="B16" s="20"/>
      <c r="C16" s="20" t="s">
        <v>69</v>
      </c>
      <c r="D16" s="92">
        <f>IF(AND(ISNUMBER($G$15),$G$15&gt;0),$G$15,IF(D15&gt;0.5,ROUND(D15,0),ROUND(D15,1-(1+INT(LOG10(ABS(D15)))))))</f>
        <v>181</v>
      </c>
      <c r="E16" s="93"/>
      <c r="F16" s="21"/>
    </row>
    <row r="17" spans="1:6" s="3" customFormat="1" x14ac:dyDescent="0.2">
      <c r="A17" s="90"/>
      <c r="B17" s="20"/>
      <c r="C17" s="20"/>
      <c r="D17" s="94"/>
      <c r="E17" s="93"/>
      <c r="F17" s="21"/>
    </row>
    <row r="18" spans="1:6" x14ac:dyDescent="0.2">
      <c r="A18" s="16" t="s">
        <v>71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0" t="s">
        <v>72</v>
      </c>
      <c r="B19" s="20"/>
      <c r="C19" s="20"/>
      <c r="D19" s="95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73</v>
      </c>
    </row>
    <row r="20" spans="1:6" x14ac:dyDescent="0.2">
      <c r="A20" s="90" t="s">
        <v>74</v>
      </c>
      <c r="B20" s="20"/>
      <c r="C20" s="20"/>
      <c r="D20" s="91" t="str">
        <f>'Mass Transfer'!$D$120</f>
        <v>calibrated: ed04</v>
      </c>
      <c r="E20" s="23" t="str">
        <f>HYPERLINK("#'Mass Transfer'!D120","→ Mass")</f>
        <v>→ Mass</v>
      </c>
      <c r="F20" s="21" t="s">
        <v>75</v>
      </c>
    </row>
    <row r="21" spans="1:6" x14ac:dyDescent="0.2">
      <c r="A21" s="90" t="s">
        <v>76</v>
      </c>
      <c r="B21" s="20"/>
      <c r="C21" s="20"/>
      <c r="D21" s="91" t="str">
        <f>'Mass Transfer'!$D$109</f>
        <v>organism optimum unknown</v>
      </c>
      <c r="E21" s="23" t="str">
        <f>HYPERLINK("#'Mass Transfer'!D109","→ Mass")</f>
        <v>→ Mass</v>
      </c>
      <c r="F21" s="21" t="s">
        <v>77</v>
      </c>
    </row>
    <row r="22" spans="1:6" x14ac:dyDescent="0.2">
      <c r="A22" s="90" t="s">
        <v>78</v>
      </c>
      <c r="B22" s="20"/>
      <c r="C22" s="20"/>
      <c r="D22" s="91" t="str">
        <f>'Mass Transfer'!$D$110</f>
        <v>minimum DO unknown - measure</v>
      </c>
      <c r="E22" s="23" t="str">
        <f>HYPERLINK("#'Mass Transfer'!D110","→ Mass")</f>
        <v>→ Mass</v>
      </c>
      <c r="F22" s="21" t="s">
        <v>79</v>
      </c>
    </row>
    <row r="23" spans="1:6" x14ac:dyDescent="0.2">
      <c r="A23" s="90" t="s">
        <v>80</v>
      </c>
      <c r="B23" s="20"/>
      <c r="C23" s="20"/>
      <c r="D23" s="91" t="str">
        <f>'Mass Transfer'!$D$113</f>
        <v>organism DO unknown</v>
      </c>
      <c r="E23" s="23" t="str">
        <f>HYPERLINK("#'Mass Transfer'!D113","→ Mass")</f>
        <v>→ Mass</v>
      </c>
      <c r="F23" s="21" t="s">
        <v>81</v>
      </c>
    </row>
    <row r="24" spans="1:6" x14ac:dyDescent="0.2">
      <c r="A24" s="90" t="s">
        <v>82</v>
      </c>
      <c r="B24" s="20"/>
      <c r="C24" s="20"/>
      <c r="D24" s="96" t="str">
        <f>Biology!$D$44</f>
        <v>EXPLOSIVE</v>
      </c>
      <c r="E24" s="23" t="str">
        <f>HYPERLINK("#Biology!D44","→ Biology")</f>
        <v>→ Biology</v>
      </c>
      <c r="F24" s="21" t="s">
        <v>83</v>
      </c>
    </row>
    <row r="25" spans="1:6" x14ac:dyDescent="0.2">
      <c r="A25" s="90" t="s">
        <v>84</v>
      </c>
      <c r="B25" s="20"/>
      <c r="C25" s="20"/>
      <c r="D25" s="91" t="str">
        <f>'Mass Transfer'!$D$64</f>
        <v>Static</v>
      </c>
      <c r="E25" s="23" t="str">
        <f>HYPERLINK("#'Mass Transfer'!D64","→ Mass")</f>
        <v>→ Mass</v>
      </c>
      <c r="F25" s="21" t="s">
        <v>85</v>
      </c>
    </row>
    <row r="26" spans="1:6" x14ac:dyDescent="0.2">
      <c r="A26" s="90" t="s">
        <v>86</v>
      </c>
      <c r="B26" s="20"/>
      <c r="C26" s="20"/>
      <c r="D26" s="91" t="str">
        <f>IFERROR("×"&amp;TEXT('Mass Transfer'!$D$126,"0.0")&amp;IF('Mass Transfer'!$D$126&gt;=1," OK"," SHORTFALL (CO2 &lt; demand)"),"calibrate this reactor first")</f>
        <v>×2.0 OK</v>
      </c>
      <c r="E26" s="23" t="str">
        <f>HYPERLINK("#'Mass Transfer'!D126","→ Mass")</f>
        <v>→ Mass</v>
      </c>
      <c r="F26" s="21" t="s">
        <v>87</v>
      </c>
    </row>
    <row r="27" spans="1:6" x14ac:dyDescent="0.2">
      <c r="A27" s="90" t="s">
        <v>88</v>
      </c>
      <c r="B27" s="20"/>
      <c r="C27" s="20"/>
      <c r="D27" s="91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89</v>
      </c>
    </row>
    <row r="28" spans="1:6" x14ac:dyDescent="0.2">
      <c r="A28" s="90" t="s">
        <v>90</v>
      </c>
      <c r="B28" s="20"/>
      <c r="C28" s="20"/>
      <c r="D28" s="91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91</v>
      </c>
    </row>
    <row r="29" spans="1:6" x14ac:dyDescent="0.2">
      <c r="A29" s="90" t="s">
        <v>92</v>
      </c>
      <c r="B29" s="20"/>
      <c r="C29" s="20"/>
      <c r="D29" s="91" t="str">
        <f>'Mass Transfer'!$D$59</f>
        <v>OK</v>
      </c>
      <c r="E29" s="23" t="str">
        <f>HYPERLINK("#'Mass Transfer'!D59","→ Mass")</f>
        <v>→ Mass</v>
      </c>
      <c r="F29" s="21" t="s">
        <v>93</v>
      </c>
    </row>
    <row r="30" spans="1:6" x14ac:dyDescent="0.2">
      <c r="A30" s="90" t="s">
        <v>94</v>
      </c>
      <c r="B30" s="20"/>
      <c r="C30" s="20"/>
      <c r="D30" s="91" t="str">
        <f>'Mass Transfer'!$D$111</f>
        <v>OK</v>
      </c>
      <c r="E30" s="23" t="str">
        <f>HYPERLINK("#'Mass Transfer'!D111","→ Mass")</f>
        <v>→ Mass</v>
      </c>
      <c r="F30" s="21" t="s">
        <v>95</v>
      </c>
    </row>
    <row r="31" spans="1:6" x14ac:dyDescent="0.2">
      <c r="A31" s="90" t="s">
        <v>96</v>
      </c>
      <c r="B31" s="20"/>
      <c r="C31" s="20"/>
      <c r="D31" s="95" t="str">
        <f>Geometry!$D$54</f>
        <v>OK</v>
      </c>
      <c r="E31" s="23" t="str">
        <f>HYPERLINK("#Geometry!D54","→ Geometry")</f>
        <v>→ Geometry</v>
      </c>
      <c r="F31" s="21" t="s">
        <v>97</v>
      </c>
    </row>
    <row r="32" spans="1:6" x14ac:dyDescent="0.2">
      <c r="A32" s="90" t="s">
        <v>98</v>
      </c>
      <c r="B32" s="20"/>
      <c r="C32" s="20"/>
      <c r="D32" s="95" t="str">
        <f>Geometry!$D$55</f>
        <v>OK</v>
      </c>
      <c r="E32" s="23" t="str">
        <f>HYPERLINK("#Geometry!D55","→ Geometry")</f>
        <v>→ Geometry</v>
      </c>
      <c r="F32" s="21" t="s">
        <v>99</v>
      </c>
    </row>
    <row r="33" spans="1:6" ht="16" thickBot="1" x14ac:dyDescent="0.25">
      <c r="A33" s="90" t="s">
        <v>100</v>
      </c>
      <c r="B33" s="20"/>
      <c r="C33" s="20"/>
      <c r="D33" s="97" t="str">
        <f>Electrochemistry!$D$20</f>
        <v>OK</v>
      </c>
      <c r="E33" s="23" t="str">
        <f>HYPERLINK("#Electrochemistry!D20","→ Electrochemistry")</f>
        <v>→ Electrochemistry</v>
      </c>
      <c r="F33" s="21" t="s">
        <v>101</v>
      </c>
    </row>
    <row r="34" spans="1:6" ht="16" thickBot="1" x14ac:dyDescent="0.25">
      <c r="A34" s="90" t="s">
        <v>1004</v>
      </c>
      <c r="C34" s="20"/>
      <c r="D34" s="95" t="str">
        <f>IF(AND(ISNUMBER(Biology!$D$45),ISNUMBER(Biology!$D$46),ISNUMBER(Biology!$D$47),ISNUMBER(Biology!$D$48)),"inputs present","DATA GAP - organism DO thresholds unmeasured; results unreliable")</f>
        <v>DATA GAP - organism DO thresholds unmeasured; results unreliable</v>
      </c>
      <c r="E34" s="23" t="str">
        <f>HYPERLINK("#Biology!D45","→ Biology")</f>
        <v>→ Biology</v>
      </c>
      <c r="F34" s="21" t="s">
        <v>1005</v>
      </c>
    </row>
    <row r="35" spans="1:6" ht="16" thickBot="1" x14ac:dyDescent="0.25">
      <c r="A35" s="90" t="s">
        <v>1006</v>
      </c>
      <c r="C35" s="20"/>
      <c r="D35" s="129">
        <f>Chemistry!$D$103</f>
        <v>7.3761471820171503</v>
      </c>
      <c r="E35" s="23" t="str">
        <f>HYPERLINK("#Chemistry!D103","→ Chemistry")</f>
        <v>→ Chemistry</v>
      </c>
      <c r="F35" s="21" t="s">
        <v>1007</v>
      </c>
    </row>
    <row r="36" spans="1:6" ht="16" thickBot="1" x14ac:dyDescent="0.25">
      <c r="A36" s="90" t="s">
        <v>1167</v>
      </c>
      <c r="C36" s="20" t="s">
        <v>104</v>
      </c>
      <c r="D36" s="129">
        <f>Chemistry!$D$145</f>
        <v>0.37839805023646339</v>
      </c>
      <c r="E36" s="23" t="str">
        <f>HYPERLINK("#Chemistry!D139","→ Chemistry")</f>
        <v>→ Chemistry</v>
      </c>
      <c r="F36" s="21" t="s">
        <v>1008</v>
      </c>
    </row>
    <row r="37" spans="1:6" ht="16" thickBot="1" x14ac:dyDescent="0.25">
      <c r="A37" s="109" t="s">
        <v>102</v>
      </c>
      <c r="B37" s="20"/>
      <c r="C37" s="20"/>
      <c r="D37" s="20"/>
      <c r="E37" s="20"/>
      <c r="F37" s="21"/>
    </row>
    <row r="38" spans="1:6" x14ac:dyDescent="0.2">
      <c r="A38" s="90" t="s">
        <v>103</v>
      </c>
      <c r="B38" s="108"/>
      <c r="C38" s="20" t="s">
        <v>104</v>
      </c>
      <c r="D38" s="91">
        <f>'Mass Transfer'!$D$108</f>
        <v>1.3723253719399422</v>
      </c>
      <c r="E38" s="23" t="str">
        <f>HYPERLINK("#'Mass Transfer'!D108","→ Mass")</f>
        <v>→ Mass</v>
      </c>
      <c r="F38" s="21" t="s">
        <v>105</v>
      </c>
    </row>
    <row r="39" spans="1:6" x14ac:dyDescent="0.2">
      <c r="A39" s="90" t="s">
        <v>106</v>
      </c>
      <c r="B39" s="108"/>
      <c r="C39" s="20" t="s">
        <v>69</v>
      </c>
      <c r="D39" s="91">
        <f>'Mass Transfer'!$D$112</f>
        <v>181.0677266956931</v>
      </c>
      <c r="E39" s="23" t="str">
        <f>HYPERLINK("#'Mass Transfer'!D112","→ Mass")</f>
        <v>→ Mass</v>
      </c>
      <c r="F39" s="21" t="s">
        <v>107</v>
      </c>
    </row>
    <row r="40" spans="1:6" x14ac:dyDescent="0.2">
      <c r="A40" s="90" t="s">
        <v>108</v>
      </c>
      <c r="B40" s="20"/>
      <c r="C40" s="20" t="s">
        <v>109</v>
      </c>
      <c r="D40" s="91">
        <f>'Mass Transfer'!$D$68</f>
        <v>0.62831853071795862</v>
      </c>
      <c r="E40" s="23" t="str">
        <f>HYPERLINK("#'Mass Transfer'!D68","→ Mass")</f>
        <v>→ Mass</v>
      </c>
      <c r="F40" s="21" t="s">
        <v>110</v>
      </c>
    </row>
    <row r="41" spans="1:6" x14ac:dyDescent="0.2">
      <c r="A41" s="90" t="s">
        <v>111</v>
      </c>
      <c r="B41" s="20"/>
      <c r="C41" s="20" t="s">
        <v>112</v>
      </c>
      <c r="D41" s="96">
        <f>Biology!$D$35</f>
        <v>668.745</v>
      </c>
      <c r="E41" s="23" t="str">
        <f>HYPERLINK("#Biology!D35","→ Biology")</f>
        <v>→ Biology</v>
      </c>
      <c r="F41" s="21" t="s">
        <v>113</v>
      </c>
    </row>
    <row r="42" spans="1:6" x14ac:dyDescent="0.2">
      <c r="A42" s="20"/>
      <c r="B42" s="20"/>
      <c r="C42" s="20"/>
      <c r="D42" s="20"/>
      <c r="E42" s="20"/>
      <c r="F42" s="20"/>
    </row>
    <row r="43" spans="1:6" x14ac:dyDescent="0.2">
      <c r="A43" s="16" t="s">
        <v>114</v>
      </c>
      <c r="B43" s="16"/>
      <c r="C43" s="16"/>
      <c r="D43" s="16"/>
      <c r="E43" s="16"/>
      <c r="F43" s="16"/>
    </row>
    <row r="44" spans="1:6" x14ac:dyDescent="0.2">
      <c r="A44" s="88" t="s">
        <v>115</v>
      </c>
      <c r="B44" s="20"/>
      <c r="C44" s="20"/>
      <c r="D44" s="28"/>
      <c r="E44" s="20"/>
      <c r="F44" s="20"/>
    </row>
    <row r="45" spans="1:6" x14ac:dyDescent="0.2">
      <c r="A45" s="29" t="s">
        <v>116</v>
      </c>
      <c r="B45" s="20"/>
      <c r="C45" s="20"/>
      <c r="D45" s="28"/>
      <c r="E45" s="20"/>
      <c r="F45" s="20"/>
    </row>
    <row r="46" spans="1:6" x14ac:dyDescent="0.2">
      <c r="A46" s="99" t="s">
        <v>117</v>
      </c>
      <c r="B46" s="20"/>
      <c r="C46" s="20"/>
      <c r="D46" s="28"/>
      <c r="E46" s="20"/>
      <c r="F46" s="20"/>
    </row>
    <row r="47" spans="1:6" x14ac:dyDescent="0.2">
      <c r="A47" s="30" t="s">
        <v>118</v>
      </c>
      <c r="B47" s="20"/>
      <c r="C47" s="20"/>
      <c r="D47" s="28"/>
      <c r="E47" s="20"/>
      <c r="F47" s="20"/>
    </row>
    <row r="48" spans="1:6" x14ac:dyDescent="0.2">
      <c r="A48" s="31" t="s">
        <v>119</v>
      </c>
      <c r="B48" s="20"/>
      <c r="C48" s="20"/>
      <c r="D48" s="28"/>
      <c r="E48" s="93"/>
      <c r="F48" s="20"/>
    </row>
    <row r="49" spans="1:6" x14ac:dyDescent="0.2">
      <c r="A49" s="32" t="s">
        <v>120</v>
      </c>
      <c r="B49" s="20"/>
      <c r="C49" s="20"/>
      <c r="D49" s="28"/>
      <c r="E49" s="93"/>
      <c r="F49" s="20"/>
    </row>
    <row r="50" spans="1:6" x14ac:dyDescent="0.2">
      <c r="A50" s="89" t="s">
        <v>121</v>
      </c>
      <c r="B50" s="20"/>
      <c r="C50" s="20"/>
      <c r="D50" s="28"/>
      <c r="E50" s="93"/>
      <c r="F50" s="20"/>
    </row>
    <row r="51" spans="1:6" x14ac:dyDescent="0.2">
      <c r="A51" s="33" t="s">
        <v>122</v>
      </c>
      <c r="B51" s="20"/>
      <c r="C51" s="20"/>
      <c r="D51" s="20"/>
      <c r="E51" s="20"/>
      <c r="F51" s="20"/>
    </row>
    <row r="52" spans="1:6" x14ac:dyDescent="0.2">
      <c r="A52" s="34" t="s">
        <v>123</v>
      </c>
      <c r="B52" s="20"/>
      <c r="C52" s="20"/>
      <c r="D52" s="20"/>
      <c r="E52" s="20"/>
      <c r="F52" s="20"/>
    </row>
    <row r="53" spans="1:6" s="20" customFormat="1" x14ac:dyDescent="0.2">
      <c r="A53" s="85" t="s">
        <v>124</v>
      </c>
    </row>
    <row r="54" spans="1:6" s="20" customFormat="1" x14ac:dyDescent="0.2">
      <c r="A54" s="86" t="s">
        <v>125</v>
      </c>
    </row>
    <row r="55" spans="1:6" x14ac:dyDescent="0.2">
      <c r="A55" s="87" t="s">
        <v>126</v>
      </c>
      <c r="B55" s="20"/>
      <c r="C55" s="20"/>
      <c r="D55" s="20"/>
      <c r="E55" s="20"/>
      <c r="F55" s="20"/>
    </row>
    <row r="56" spans="1:6" x14ac:dyDescent="0.2">
      <c r="A56" s="20"/>
      <c r="B56" s="20"/>
      <c r="C56" s="20"/>
      <c r="D56" s="28"/>
      <c r="E56" s="93"/>
      <c r="F56" s="20"/>
    </row>
    <row r="57" spans="1:6" x14ac:dyDescent="0.2">
      <c r="A57" s="35" t="s">
        <v>127</v>
      </c>
      <c r="B57" s="35" t="s">
        <v>128</v>
      </c>
      <c r="C57" s="35" t="s">
        <v>129</v>
      </c>
      <c r="D57" s="35" t="s">
        <v>130</v>
      </c>
      <c r="E57" s="35"/>
      <c r="F57" s="35" t="s">
        <v>131</v>
      </c>
    </row>
    <row r="58" spans="1:6" x14ac:dyDescent="0.2">
      <c r="A58" s="20" t="s">
        <v>1038</v>
      </c>
      <c r="B58" s="20" t="s">
        <v>1039</v>
      </c>
      <c r="C58" s="20" t="s">
        <v>1040</v>
      </c>
      <c r="D58" s="36" t="str">
        <f>HYPERLINK("https://github.com/amy-bo/electroPioreactor/blob/CO2-modular/Media/protocols/surface-kla.md","surface-kla.md →")</f>
        <v>surface-kla.md →</v>
      </c>
      <c r="E58" s="109"/>
      <c r="F58" s="21" t="s">
        <v>1041</v>
      </c>
    </row>
    <row r="59" spans="1:6" x14ac:dyDescent="0.2">
      <c r="A59" s="20" t="s">
        <v>1042</v>
      </c>
      <c r="B59" s="20" t="s">
        <v>1043</v>
      </c>
      <c r="C59" s="20" t="s">
        <v>1044</v>
      </c>
      <c r="D59" s="36" t="str">
        <f>HYPERLINK("https://github.com/amy-bo/electroPioreactor/blob/CO2-modular/Media/protocols/vial-geometry.md","vial-geometry.md →")</f>
        <v>vial-geometry.md →</v>
      </c>
      <c r="E59" s="109"/>
      <c r="F59" s="21" t="s">
        <v>1045</v>
      </c>
    </row>
    <row r="60" spans="1:6" x14ac:dyDescent="0.2">
      <c r="A60" s="20" t="s">
        <v>1046</v>
      </c>
      <c r="B60" s="20" t="s">
        <v>1047</v>
      </c>
      <c r="C60" s="20" t="s">
        <v>1048</v>
      </c>
      <c r="D60" s="36" t="str">
        <f>HYPERLINK("https://github.com/amy-bo/electroPioreactor/blob/CO2-modular/Media/protocols/faradaic-efficiency.md","faradaic-efficiency.md →")</f>
        <v>faradaic-efficiency.md →</v>
      </c>
      <c r="E60" s="109"/>
      <c r="F60" s="21" t="s">
        <v>1049</v>
      </c>
    </row>
    <row r="61" spans="1:6" x14ac:dyDescent="0.2">
      <c r="A61" s="20" t="s">
        <v>1050</v>
      </c>
      <c r="B61" s="20" t="s">
        <v>1051</v>
      </c>
      <c r="C61" s="20" t="s">
        <v>1052</v>
      </c>
      <c r="D61" s="36" t="str">
        <f>HYPERLINK("https://github.com/amy-bo/electroPioreactor/blob/CO2-modular/Media/protocols/knallgas-stoichiometry.md","knallgas-stoichiometry.md →")</f>
        <v>knallgas-stoichiometry.md →</v>
      </c>
      <c r="E61" s="109"/>
      <c r="F61" s="21" t="s">
        <v>1053</v>
      </c>
    </row>
    <row r="62" spans="1:6" x14ac:dyDescent="0.2">
      <c r="A62" s="20" t="s">
        <v>1054</v>
      </c>
      <c r="B62" s="20" t="s">
        <v>1055</v>
      </c>
      <c r="C62" s="20" t="s">
        <v>1056</v>
      </c>
      <c r="D62" s="36" t="str">
        <f>HYPERLINK("https://github.com/amy-bo/electroPioreactor/blob/CO2-modular/Media/protocols/faradaic-efficiency.md","faradaic-efficiency.md →")</f>
        <v>faradaic-efficiency.md →</v>
      </c>
      <c r="E62" s="109"/>
      <c r="F62" s="21" t="s">
        <v>1057</v>
      </c>
    </row>
    <row r="63" spans="1:6" x14ac:dyDescent="0.2">
      <c r="A63" s="20" t="s">
        <v>1058</v>
      </c>
      <c r="B63" s="20" t="s">
        <v>1059</v>
      </c>
      <c r="C63" s="20" t="s">
        <v>1060</v>
      </c>
      <c r="D63" s="36" t="str">
        <f>HYPERLINK("https://github.com/amy-bo/electroPioreactor/blob/CO2-modular/Media/protocols/vial-geometry.md","vial-geometry.md →")</f>
        <v>vial-geometry.md →</v>
      </c>
      <c r="E63" s="109"/>
      <c r="F63" s="21" t="s">
        <v>1061</v>
      </c>
    </row>
    <row r="64" spans="1:6" x14ac:dyDescent="0.2">
      <c r="A64" s="20" t="s">
        <v>1062</v>
      </c>
      <c r="B64" s="20" t="s">
        <v>1063</v>
      </c>
      <c r="C64" s="20" t="s">
        <v>1064</v>
      </c>
      <c r="D64" s="36" t="str">
        <f>HYPERLINK("https://github.com/amy-bo/electroPioreactor/blob/CO2-modular/Media/protocols/flow-calibration.md","flow-calibration.md →")</f>
        <v>flow-calibration.md →</v>
      </c>
      <c r="E64" s="109"/>
      <c r="F64" s="21" t="s">
        <v>1065</v>
      </c>
    </row>
    <row r="65" spans="1:6" x14ac:dyDescent="0.2">
      <c r="A65" s="20" t="s">
        <v>1066</v>
      </c>
      <c r="B65" s="20" t="s">
        <v>1067</v>
      </c>
      <c r="C65" s="20" t="s">
        <v>1068</v>
      </c>
      <c r="D65" s="36" t="str">
        <f>HYPERLINK("https://github.com/amy-bo/electroPioreactor/blob/CO2-modular/Media/protocols/dissolved-oxygen.md","dissolved-oxygen.md →")</f>
        <v>dissolved-oxygen.md →</v>
      </c>
      <c r="E65" s="109"/>
      <c r="F65" s="21" t="s">
        <v>1069</v>
      </c>
    </row>
    <row r="66" spans="1:6" x14ac:dyDescent="0.2">
      <c r="A66" s="20" t="s">
        <v>1070</v>
      </c>
      <c r="B66" s="20" t="s">
        <v>1071</v>
      </c>
      <c r="C66" s="20" t="s">
        <v>1072</v>
      </c>
      <c r="D66" s="36" t="str">
        <f>HYPERLINK("https://github.com/amy-bo/electroPioreactor/blob/CO2-modular/Media/protocols/flow-calibration.md","flow-calibration.md →")</f>
        <v>flow-calibration.md →</v>
      </c>
      <c r="E66" s="109"/>
      <c r="F66" s="21" t="s">
        <v>1073</v>
      </c>
    </row>
    <row r="67" spans="1:6" x14ac:dyDescent="0.2">
      <c r="A67" s="20" t="s">
        <v>1074</v>
      </c>
      <c r="B67" s="20" t="s">
        <v>1075</v>
      </c>
      <c r="C67" s="20" t="s">
        <v>1076</v>
      </c>
      <c r="D67" s="36" t="str">
        <f>HYPERLINK("https://github.com/amy-bo/electroPioreactor/blob/CO2-modular/Media/protocols/sinter-porosity.md","sinter-porosity.md →")</f>
        <v>sinter-porosity.md →</v>
      </c>
      <c r="E67" s="109"/>
      <c r="F67" s="21" t="s">
        <v>1077</v>
      </c>
    </row>
    <row r="68" spans="1:6" x14ac:dyDescent="0.2">
      <c r="A68" s="20" t="s">
        <v>1078</v>
      </c>
      <c r="B68" s="20" t="s">
        <v>1079</v>
      </c>
      <c r="C68" s="20" t="s">
        <v>1080</v>
      </c>
      <c r="D68" s="36" t="str">
        <f>HYPERLINK("https://github.com/amy-bo/electroPioreactor/blob/CO2-modular/Media/protocols/README.md","README.md →")</f>
        <v>README.md →</v>
      </c>
      <c r="E68" s="109"/>
      <c r="F68" s="21" t="s">
        <v>1081</v>
      </c>
    </row>
    <row r="69" spans="1:6" x14ac:dyDescent="0.2">
      <c r="A69" s="20"/>
      <c r="B69" s="20"/>
      <c r="C69" s="20"/>
      <c r="D69" s="100"/>
      <c r="E69" s="20"/>
      <c r="F69" s="20"/>
    </row>
    <row r="70" spans="1:6" x14ac:dyDescent="0.2">
      <c r="A70" s="20"/>
      <c r="B70" s="20"/>
      <c r="C70" s="20"/>
      <c r="D70" s="28"/>
      <c r="E70" s="20"/>
      <c r="F70" s="20"/>
    </row>
    <row r="71" spans="1:6" x14ac:dyDescent="0.2">
      <c r="A71" s="20"/>
      <c r="B71" s="20"/>
      <c r="C71" s="20"/>
      <c r="D71" s="28"/>
      <c r="E71" s="20"/>
      <c r="F71" s="20"/>
    </row>
  </sheetData>
  <conditionalFormatting sqref="B56:B68">
    <cfRule type="expression" dxfId="30" priority="16" stopIfTrue="1">
      <formula>EXACT(B56,"HIGH")</formula>
    </cfRule>
    <cfRule type="expression" dxfId="29" priority="17" stopIfTrue="1">
      <formula>EXACT(B56,"MED")</formula>
    </cfRule>
    <cfRule type="expression" dxfId="28" priority="18" stopIfTrue="1">
      <formula>EXACT(B56,"LOW")</formula>
    </cfRule>
  </conditionalFormatting>
  <conditionalFormatting sqref="C56:C68">
    <cfRule type="expression" dxfId="27" priority="19" stopIfTrue="1">
      <formula>EXACT(C56,"low")</formula>
    </cfRule>
    <cfRule type="expression" dxfId="26" priority="20" stopIfTrue="1">
      <formula>EXACT(C56,"med")</formula>
    </cfRule>
    <cfRule type="expression" dxfId="25" priority="21" stopIfTrue="1">
      <formula>EXACT(C56,"high")</formula>
    </cfRule>
  </conditionalFormatting>
  <conditionalFormatting sqref="D13:D16">
    <cfRule type="expression" dxfId="24" priority="15" stopIfTrue="1">
      <formula>ISNUMBER(SEARCH("calibrate this",D13))</formula>
    </cfRule>
  </conditionalFormatting>
  <conditionalFormatting sqref="D14">
    <cfRule type="expression" dxfId="23" priority="1" stopIfTrue="1">
      <formula>AND(ISNUMBER($G$13),$G$13&gt;0)</formula>
    </cfRule>
  </conditionalFormatting>
  <conditionalFormatting sqref="D16">
    <cfRule type="expression" dxfId="22" priority="3" stopIfTrue="1">
      <formula>AND(ISNUMBER($G$15),$G$15&gt;0)</formula>
    </cfRule>
  </conditionalFormatting>
  <conditionalFormatting sqref="D19:D36">
    <cfRule type="expression" dxfId="21" priority="12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SPEED",D19)),ISNUMBER(SEARCH("SHORTFALL",D19)),EXACT(D19,"OUT"),EXACT(D19,"LOW"),ISNUMBER(SEARCH("GAP",D19)))</formula>
    </cfRule>
    <cfRule type="expression" dxfId="20" priority="13" stopIfTrue="1">
      <formula>OR(ISNUMBER(SEARCH("above optimum",D19)),ISNUMBER(SEARCH("watch",D19)),ISNUMBER(SEARCH("NEAREST",D19)),ISNUMBER(SEARCH("unknown",D19)),ISNUMBER(SEARCH("TIGHT",D19)))</formula>
    </cfRule>
    <cfRule type="expression" dxfId="19" priority="14" stopIfTrue="1">
      <formula>OR(EXACT(D19,"OK"),ISNUMBER(SEARCH("calibrated:",D19)),ISNUMBER(SEARCH("optimum",D19)),ISNUMBER(SEARCH("above min",D19)),ISNUMBER(SEARCH("CARBON-limited",D19)),ISNUMBER(SEARCH("Static",D19)),ISNUMBER(SEARCH("Dynamic",D19)),ISNUMBER(SEARCH("present",D19)))</formula>
    </cfRule>
  </conditionalFormatting>
  <conditionalFormatting sqref="D35">
    <cfRule type="expression" dxfId="18" priority="22" stopIfTrue="1">
      <formula>OR(D35&lt;6,D35&gt;8)</formula>
    </cfRule>
    <cfRule type="expression" dxfId="17" priority="23" stopIfTrue="1">
      <formula>OR(D35&lt;6.5,D35&gt;7.5)</formula>
    </cfRule>
    <cfRule type="expression" dxfId="16" priority="24" stopIfTrue="1">
      <formula>ISNUMBER(D35)</formula>
    </cfRule>
  </conditionalFormatting>
  <conditionalFormatting sqref="D36">
    <cfRule type="expression" dxfId="15" priority="25" stopIfTrue="1">
      <formula>D36&gt;1</formula>
    </cfRule>
    <cfRule type="expression" dxfId="14" priority="26" stopIfTrue="1">
      <formula>D36&gt;0.1</formula>
    </cfRule>
    <cfRule type="expression" dxfId="13" priority="27" stopIfTrue="1">
      <formula>ISNUMBER(D36)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Electrochemistry!$A$35:$A$37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Chemistry!$A$114:$A$115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topLeftCell="A70" zoomScale="174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0" t="s">
        <v>132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111"/>
      <c r="E3" s="37"/>
      <c r="F3" s="20"/>
      <c r="G3" s="20"/>
      <c r="H3" s="20"/>
      <c r="I3" s="20"/>
    </row>
    <row r="4" spans="1:9" ht="16" customHeight="1" x14ac:dyDescent="0.2">
      <c r="A4" s="110" t="s">
        <v>134</v>
      </c>
      <c r="B4" s="18"/>
      <c r="C4" s="19"/>
      <c r="D4" s="111"/>
      <c r="E4" s="37"/>
      <c r="F4" s="20"/>
      <c r="G4" s="20"/>
      <c r="H4" s="20"/>
      <c r="I4" s="20"/>
    </row>
    <row r="5" spans="1:9" x14ac:dyDescent="0.2">
      <c r="A5" s="20" t="s">
        <v>135</v>
      </c>
      <c r="B5" s="20" t="s">
        <v>136</v>
      </c>
      <c r="C5" s="20" t="s">
        <v>137</v>
      </c>
      <c r="D5" s="38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138</v>
      </c>
      <c r="B6" s="20" t="s">
        <v>58</v>
      </c>
      <c r="C6" s="20" t="s">
        <v>59</v>
      </c>
      <c r="D6" s="38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2"/>
      <c r="E7" s="39"/>
      <c r="F7" s="20"/>
      <c r="G7" s="20"/>
      <c r="H7" s="20"/>
      <c r="I7" s="20"/>
    </row>
    <row r="8" spans="1:9" ht="26" customHeight="1" x14ac:dyDescent="0.2">
      <c r="A8" s="17" t="s">
        <v>139</v>
      </c>
      <c r="B8" s="18" t="s">
        <v>140</v>
      </c>
      <c r="C8" s="19" t="s">
        <v>137</v>
      </c>
      <c r="D8" s="111" t="s">
        <v>141</v>
      </c>
      <c r="E8" s="113" t="s">
        <v>142</v>
      </c>
      <c r="F8" s="20"/>
      <c r="G8" s="20"/>
      <c r="H8" s="20"/>
      <c r="I8" s="20"/>
    </row>
    <row r="9" spans="1:9" x14ac:dyDescent="0.2">
      <c r="A9" s="17" t="s">
        <v>143</v>
      </c>
      <c r="B9" s="18" t="s">
        <v>144</v>
      </c>
      <c r="C9" s="19" t="s">
        <v>137</v>
      </c>
      <c r="D9" s="111" t="s">
        <v>145</v>
      </c>
      <c r="E9" s="113" t="s">
        <v>142</v>
      </c>
      <c r="F9" s="20"/>
      <c r="G9" s="20"/>
      <c r="H9" s="20"/>
      <c r="I9" s="20"/>
    </row>
    <row r="10" spans="1:9" ht="24" customHeight="1" x14ac:dyDescent="0.2">
      <c r="A10" s="17" t="s">
        <v>146</v>
      </c>
      <c r="B10" s="18" t="s">
        <v>147</v>
      </c>
      <c r="C10" s="19" t="s">
        <v>148</v>
      </c>
      <c r="D10" s="114">
        <v>27.48</v>
      </c>
      <c r="E10" s="115" t="s">
        <v>142</v>
      </c>
      <c r="F10" s="20"/>
      <c r="G10" s="20"/>
      <c r="H10" s="20"/>
      <c r="I10" s="20"/>
    </row>
    <row r="11" spans="1:9" x14ac:dyDescent="0.2">
      <c r="A11" s="17" t="s">
        <v>149</v>
      </c>
      <c r="B11" s="18" t="s">
        <v>150</v>
      </c>
      <c r="C11" s="19" t="s">
        <v>148</v>
      </c>
      <c r="D11" s="114">
        <v>27.48</v>
      </c>
      <c r="E11" s="116" t="s">
        <v>142</v>
      </c>
      <c r="F11" s="20"/>
      <c r="G11" s="20"/>
      <c r="H11" s="20"/>
      <c r="I11" s="20"/>
    </row>
    <row r="12" spans="1:9" x14ac:dyDescent="0.2">
      <c r="A12" s="17" t="s">
        <v>151</v>
      </c>
      <c r="B12" s="18" t="s">
        <v>152</v>
      </c>
      <c r="C12" s="19" t="s">
        <v>148</v>
      </c>
      <c r="D12" s="112">
        <v>55</v>
      </c>
      <c r="E12" s="117" t="s">
        <v>142</v>
      </c>
      <c r="F12" s="20"/>
      <c r="G12" s="20"/>
      <c r="H12" s="20"/>
      <c r="I12" s="20"/>
    </row>
    <row r="13" spans="1:9" x14ac:dyDescent="0.2">
      <c r="A13" s="17" t="s">
        <v>153</v>
      </c>
      <c r="B13" s="18" t="s">
        <v>154</v>
      </c>
      <c r="C13" s="19" t="s">
        <v>148</v>
      </c>
      <c r="D13" s="112">
        <v>95</v>
      </c>
      <c r="E13" s="117" t="s">
        <v>142</v>
      </c>
      <c r="F13" s="20"/>
      <c r="G13" s="20"/>
      <c r="H13" s="20"/>
      <c r="I13" s="20"/>
    </row>
    <row r="14" spans="1:9" ht="24" customHeight="1" x14ac:dyDescent="0.2">
      <c r="A14" s="17" t="s">
        <v>155</v>
      </c>
      <c r="B14" s="18" t="s">
        <v>156</v>
      </c>
      <c r="C14" s="19" t="s">
        <v>59</v>
      </c>
      <c r="D14" s="112">
        <v>16</v>
      </c>
      <c r="E14" s="115" t="s">
        <v>142</v>
      </c>
      <c r="F14" s="20"/>
      <c r="G14" s="20"/>
      <c r="H14" s="20"/>
      <c r="I14" s="20"/>
    </row>
    <row r="15" spans="1:9" ht="24" customHeight="1" x14ac:dyDescent="0.2">
      <c r="A15" s="17" t="s">
        <v>157</v>
      </c>
      <c r="B15" s="18" t="s">
        <v>158</v>
      </c>
      <c r="C15" s="19" t="s">
        <v>59</v>
      </c>
      <c r="D15" s="112">
        <v>30</v>
      </c>
      <c r="E15" s="115" t="s">
        <v>142</v>
      </c>
      <c r="F15" s="20"/>
      <c r="G15" s="20"/>
      <c r="H15" s="20"/>
      <c r="I15" s="20"/>
    </row>
    <row r="16" spans="1:9" x14ac:dyDescent="0.2">
      <c r="A16" s="17" t="s">
        <v>159</v>
      </c>
      <c r="B16" s="18" t="s">
        <v>160</v>
      </c>
      <c r="C16" s="19" t="s">
        <v>59</v>
      </c>
      <c r="D16" s="112">
        <v>20</v>
      </c>
      <c r="E16" s="118" t="s">
        <v>142</v>
      </c>
      <c r="F16" s="20"/>
      <c r="G16" s="20"/>
      <c r="H16" s="20"/>
      <c r="I16" s="20"/>
    </row>
    <row r="17" spans="1:9" x14ac:dyDescent="0.2">
      <c r="A17" s="17" t="s">
        <v>161</v>
      </c>
      <c r="B17" s="18" t="s">
        <v>162</v>
      </c>
      <c r="C17" s="19" t="s">
        <v>59</v>
      </c>
      <c r="D17" s="112">
        <v>42</v>
      </c>
      <c r="E17" s="118" t="s">
        <v>142</v>
      </c>
      <c r="F17" s="20"/>
      <c r="G17" s="20"/>
      <c r="H17" s="20"/>
      <c r="I17" s="20"/>
    </row>
    <row r="18" spans="1:9" x14ac:dyDescent="0.2">
      <c r="A18" s="17" t="s">
        <v>163</v>
      </c>
      <c r="B18" s="18" t="s">
        <v>164</v>
      </c>
      <c r="C18" s="19" t="s">
        <v>148</v>
      </c>
      <c r="D18" s="40">
        <f>VLOOKUP(rx_ver,$A$84:$I$87,7,FALSE)</f>
        <v>27.48</v>
      </c>
      <c r="E18" s="101" t="s">
        <v>165</v>
      </c>
      <c r="F18" s="20"/>
      <c r="G18" s="20"/>
      <c r="H18" s="20"/>
      <c r="I18" s="20"/>
    </row>
    <row r="19" spans="1:9" ht="24" customHeight="1" x14ac:dyDescent="0.2">
      <c r="A19" s="17" t="s">
        <v>166</v>
      </c>
      <c r="B19" s="18" t="s">
        <v>167</v>
      </c>
      <c r="C19" s="19" t="s">
        <v>148</v>
      </c>
      <c r="D19" s="114">
        <v>1.1000000000000001</v>
      </c>
      <c r="E19" s="41" t="s">
        <v>168</v>
      </c>
      <c r="F19" s="20"/>
      <c r="G19" s="20"/>
      <c r="H19" s="20"/>
      <c r="I19" s="20"/>
    </row>
    <row r="20" spans="1:9" x14ac:dyDescent="0.2">
      <c r="A20" s="17" t="s">
        <v>169</v>
      </c>
      <c r="B20" s="18" t="s">
        <v>170</v>
      </c>
      <c r="C20" s="19" t="s">
        <v>148</v>
      </c>
      <c r="D20" s="42">
        <f>vial_OD-2*vial_wall</f>
        <v>25.28</v>
      </c>
      <c r="E20" s="101" t="s">
        <v>171</v>
      </c>
      <c r="F20" s="20"/>
      <c r="G20" s="20"/>
      <c r="H20" s="20"/>
      <c r="I20" s="20"/>
    </row>
    <row r="21" spans="1:9" x14ac:dyDescent="0.2">
      <c r="A21" s="17" t="s">
        <v>172</v>
      </c>
      <c r="B21" s="18" t="s">
        <v>173</v>
      </c>
      <c r="C21" s="19" t="s">
        <v>174</v>
      </c>
      <c r="D21" s="43">
        <f>PI()/4*vial_ID^2</f>
        <v>501.93100162697988</v>
      </c>
      <c r="E21" s="101" t="s">
        <v>175</v>
      </c>
      <c r="F21" s="20"/>
      <c r="G21" s="20"/>
      <c r="H21" s="20"/>
      <c r="I21" s="20"/>
    </row>
    <row r="22" spans="1:9" x14ac:dyDescent="0.2">
      <c r="A22" s="17" t="s">
        <v>176</v>
      </c>
      <c r="B22" s="18" t="s">
        <v>177</v>
      </c>
      <c r="C22" s="19" t="s">
        <v>148</v>
      </c>
      <c r="D22" s="44">
        <f>VLOOKUP(rx_ver,$A$84:$I$87,4,FALSE)</f>
        <v>55</v>
      </c>
      <c r="E22" s="101" t="s">
        <v>178</v>
      </c>
      <c r="F22" s="20"/>
      <c r="G22" s="20"/>
      <c r="H22" s="20"/>
      <c r="I22" s="20"/>
    </row>
    <row r="23" spans="1:9" x14ac:dyDescent="0.2">
      <c r="A23" s="17" t="s">
        <v>179</v>
      </c>
      <c r="B23" s="18" t="s">
        <v>180</v>
      </c>
      <c r="C23" s="19" t="s">
        <v>59</v>
      </c>
      <c r="D23" s="44">
        <f>VLOOKUP(rx_ver,$A$84:$I$87,5,FALSE)</f>
        <v>16</v>
      </c>
      <c r="E23" s="101" t="s">
        <v>178</v>
      </c>
      <c r="F23" s="20"/>
      <c r="G23" s="20"/>
      <c r="H23" s="20"/>
      <c r="I23" s="20"/>
    </row>
    <row r="24" spans="1:9" x14ac:dyDescent="0.2">
      <c r="A24" s="17" t="s">
        <v>181</v>
      </c>
      <c r="B24" s="18" t="s">
        <v>182</v>
      </c>
      <c r="C24" s="19" t="s">
        <v>59</v>
      </c>
      <c r="D24" s="44">
        <f>VLOOKUP(rx_ver,$A$84:$I$87,6,FALSE)</f>
        <v>20</v>
      </c>
      <c r="E24" s="101" t="s">
        <v>178</v>
      </c>
      <c r="F24" s="20"/>
      <c r="G24" s="20"/>
      <c r="H24" s="20"/>
      <c r="I24" s="20"/>
    </row>
    <row r="25" spans="1:9" x14ac:dyDescent="0.2">
      <c r="A25" s="17" t="s">
        <v>183</v>
      </c>
      <c r="B25" s="18" t="s">
        <v>184</v>
      </c>
      <c r="C25" s="19" t="s">
        <v>148</v>
      </c>
      <c r="D25" s="42">
        <f>V_max*1000/A_x</f>
        <v>31.876891341911417</v>
      </c>
      <c r="E25" s="101" t="s">
        <v>185</v>
      </c>
      <c r="F25" s="20"/>
      <c r="G25" s="20"/>
      <c r="H25" s="20"/>
      <c r="I25" s="20"/>
    </row>
    <row r="26" spans="1:9" x14ac:dyDescent="0.2">
      <c r="A26" s="17" t="s">
        <v>186</v>
      </c>
      <c r="B26" s="18" t="s">
        <v>187</v>
      </c>
      <c r="C26" s="19" t="s">
        <v>148</v>
      </c>
      <c r="D26" s="112">
        <v>6</v>
      </c>
      <c r="E26" s="37" t="s">
        <v>188</v>
      </c>
      <c r="F26" s="20"/>
      <c r="G26" s="20"/>
      <c r="H26" s="20"/>
      <c r="I26" s="20"/>
    </row>
    <row r="27" spans="1:9" x14ac:dyDescent="0.2">
      <c r="A27" s="17" t="s">
        <v>189</v>
      </c>
      <c r="B27" s="18" t="s">
        <v>190</v>
      </c>
      <c r="C27" s="19" t="s">
        <v>137</v>
      </c>
      <c r="D27" s="111">
        <v>2</v>
      </c>
      <c r="E27" s="101" t="s">
        <v>191</v>
      </c>
      <c r="F27" s="20"/>
      <c r="G27" s="20"/>
      <c r="H27" s="20"/>
      <c r="I27" s="20"/>
    </row>
    <row r="28" spans="1:9" x14ac:dyDescent="0.2">
      <c r="A28" s="17" t="s">
        <v>192</v>
      </c>
      <c r="B28" s="18" t="s">
        <v>193</v>
      </c>
      <c r="C28" s="19" t="s">
        <v>148</v>
      </c>
      <c r="D28" s="112">
        <v>22</v>
      </c>
      <c r="E28" s="37" t="s">
        <v>194</v>
      </c>
      <c r="F28" s="20"/>
      <c r="G28" s="20"/>
      <c r="H28" s="20"/>
      <c r="I28" s="20"/>
    </row>
    <row r="29" spans="1:9" x14ac:dyDescent="0.2">
      <c r="A29" s="119" t="s">
        <v>195</v>
      </c>
      <c r="B29" s="18" t="s">
        <v>196</v>
      </c>
      <c r="C29" s="19" t="s">
        <v>148</v>
      </c>
      <c r="D29" s="43">
        <f>D_int-elec_clear</f>
        <v>33</v>
      </c>
      <c r="E29" s="101" t="s">
        <v>197</v>
      </c>
      <c r="F29" s="20"/>
      <c r="G29" s="20"/>
      <c r="H29" s="20"/>
      <c r="I29" s="20"/>
    </row>
    <row r="30" spans="1:9" x14ac:dyDescent="0.2">
      <c r="A30" s="17" t="s">
        <v>198</v>
      </c>
      <c r="B30" s="18" t="s">
        <v>199</v>
      </c>
      <c r="C30" s="19" t="s">
        <v>148</v>
      </c>
      <c r="D30" s="120">
        <v>3.1749999999999998</v>
      </c>
      <c r="E30" s="101" t="s">
        <v>200</v>
      </c>
      <c r="F30" s="20"/>
      <c r="G30" s="20"/>
      <c r="H30" s="20"/>
      <c r="I30" s="20"/>
    </row>
    <row r="31" spans="1:9" x14ac:dyDescent="0.2">
      <c r="A31" s="17" t="s">
        <v>201</v>
      </c>
      <c r="B31" s="18" t="s">
        <v>202</v>
      </c>
      <c r="C31" s="19" t="s">
        <v>148</v>
      </c>
      <c r="D31" s="121">
        <v>1.5874999999999999</v>
      </c>
      <c r="E31" s="101" t="s">
        <v>203</v>
      </c>
      <c r="F31" s="20"/>
      <c r="G31" s="20"/>
      <c r="H31" s="20"/>
      <c r="I31" s="20"/>
    </row>
    <row r="32" spans="1:9" x14ac:dyDescent="0.2">
      <c r="A32" s="17" t="s">
        <v>204</v>
      </c>
      <c r="B32" s="18" t="s">
        <v>205</v>
      </c>
      <c r="C32" s="19" t="s">
        <v>148</v>
      </c>
      <c r="D32" s="43">
        <f>elec_clear</f>
        <v>22</v>
      </c>
      <c r="E32" s="37" t="s">
        <v>206</v>
      </c>
      <c r="F32" s="20"/>
      <c r="G32" s="20"/>
      <c r="H32" s="20"/>
      <c r="I32" s="20"/>
    </row>
    <row r="33" spans="1:9" x14ac:dyDescent="0.2">
      <c r="A33" s="17" t="s">
        <v>207</v>
      </c>
      <c r="B33" s="18" t="s">
        <v>208</v>
      </c>
      <c r="C33" s="19" t="s">
        <v>148</v>
      </c>
      <c r="D33" s="120">
        <v>3.1749999999999998</v>
      </c>
      <c r="E33" s="101" t="s">
        <v>200</v>
      </c>
      <c r="F33" s="20"/>
      <c r="G33" s="20"/>
      <c r="H33" s="20"/>
      <c r="I33" s="20"/>
    </row>
    <row r="34" spans="1:9" x14ac:dyDescent="0.2">
      <c r="A34" s="17" t="s">
        <v>209</v>
      </c>
      <c r="B34" s="18" t="s">
        <v>210</v>
      </c>
      <c r="C34" s="19" t="s">
        <v>148</v>
      </c>
      <c r="D34" s="121">
        <v>1.5874999999999999</v>
      </c>
      <c r="E34" s="101" t="s">
        <v>203</v>
      </c>
      <c r="F34" s="20"/>
      <c r="G34" s="20"/>
      <c r="H34" s="20"/>
      <c r="I34" s="20"/>
    </row>
    <row r="35" spans="1:9" x14ac:dyDescent="0.2">
      <c r="A35" s="17" t="s">
        <v>211</v>
      </c>
      <c r="B35" s="18" t="s">
        <v>212</v>
      </c>
      <c r="C35" s="19" t="s">
        <v>148</v>
      </c>
      <c r="D35" s="42">
        <f>MAX(0,h_datum-elec_clear)</f>
        <v>9.876891341911417</v>
      </c>
      <c r="E35" s="101" t="s">
        <v>213</v>
      </c>
      <c r="F35" s="20"/>
      <c r="G35" s="20"/>
      <c r="H35" s="20"/>
      <c r="I35" s="20"/>
    </row>
    <row r="36" spans="1:9" x14ac:dyDescent="0.2">
      <c r="A36" s="17" t="s">
        <v>214</v>
      </c>
      <c r="B36" s="18" t="s">
        <v>215</v>
      </c>
      <c r="C36" s="19" t="s">
        <v>59</v>
      </c>
      <c r="D36" s="45">
        <f>rod_n*(PI()/4*rod_d^2)*elec_sub_L/1000</f>
        <v>0.55852504704096373</v>
      </c>
      <c r="E36" s="101" t="s">
        <v>216</v>
      </c>
      <c r="F36" s="20"/>
      <c r="G36" s="20"/>
      <c r="H36" s="20"/>
      <c r="I36" s="20"/>
    </row>
    <row r="37" spans="1:9" x14ac:dyDescent="0.2">
      <c r="A37" s="17" t="s">
        <v>217</v>
      </c>
      <c r="B37" s="18" t="s">
        <v>218</v>
      </c>
      <c r="C37" s="19" t="s">
        <v>59</v>
      </c>
      <c r="D37" s="45">
        <f>(PI()/4*spg_OD^2)*MAX(0,h_datum-spg_tip_h)/1000</f>
        <v>7.8198354893434921E-2</v>
      </c>
      <c r="E37" s="101" t="s">
        <v>219</v>
      </c>
      <c r="F37" s="20"/>
      <c r="G37" s="20"/>
      <c r="H37" s="20"/>
      <c r="I37" s="20"/>
    </row>
    <row r="38" spans="1:9" x14ac:dyDescent="0.2">
      <c r="A38" s="17" t="s">
        <v>220</v>
      </c>
      <c r="B38" s="18" t="s">
        <v>221</v>
      </c>
      <c r="C38" s="19" t="s">
        <v>148</v>
      </c>
      <c r="D38" s="45">
        <f>(eff_OD+eff_ID)/2</f>
        <v>2.3812499999999996</v>
      </c>
      <c r="E38" s="37" t="s">
        <v>222</v>
      </c>
      <c r="F38" s="20"/>
      <c r="G38" s="20"/>
      <c r="H38" s="20"/>
      <c r="I38" s="20"/>
    </row>
    <row r="39" spans="1:9" x14ac:dyDescent="0.2">
      <c r="A39" s="17" t="s">
        <v>223</v>
      </c>
      <c r="B39" s="18" t="s">
        <v>224</v>
      </c>
      <c r="C39" s="19" t="s">
        <v>59</v>
      </c>
      <c r="D39" s="46">
        <f>(PI()/4*(eff_OD^2-eff_ID^2))*eff_sub_L/1000</f>
        <v>1.4139810757041989E-2</v>
      </c>
      <c r="E39" s="37" t="s">
        <v>225</v>
      </c>
      <c r="F39" s="20"/>
      <c r="G39" s="20"/>
      <c r="H39" s="20"/>
      <c r="I39" s="20"/>
    </row>
    <row r="40" spans="1:9" x14ac:dyDescent="0.2">
      <c r="A40" s="17" t="s">
        <v>226</v>
      </c>
      <c r="B40" s="18" t="s">
        <v>227</v>
      </c>
      <c r="C40" s="19" t="s">
        <v>59</v>
      </c>
      <c r="D40" s="45">
        <f>elec_disp+spg_disp+eff_disp</f>
        <v>0.65086321269144065</v>
      </c>
      <c r="E40" s="101" t="s">
        <v>228</v>
      </c>
      <c r="F40" s="20"/>
      <c r="G40" s="20"/>
      <c r="H40" s="20"/>
      <c r="I40" s="20"/>
    </row>
    <row r="41" spans="1:9" x14ac:dyDescent="0.2">
      <c r="A41" s="119" t="s">
        <v>229</v>
      </c>
      <c r="B41" s="18" t="s">
        <v>230</v>
      </c>
      <c r="C41" s="19" t="s">
        <v>59</v>
      </c>
      <c r="D41" s="47">
        <f>IF(media_volume&gt;0,media_volume,ROUND(V_max-disp_tot,0))</f>
        <v>15</v>
      </c>
      <c r="E41" s="101" t="s">
        <v>231</v>
      </c>
      <c r="F41" s="20"/>
      <c r="G41" s="20"/>
      <c r="H41" s="20"/>
      <c r="I41" s="20"/>
    </row>
    <row r="42" spans="1:9" x14ac:dyDescent="0.2">
      <c r="A42" s="119" t="s">
        <v>232</v>
      </c>
      <c r="B42" s="18" t="s">
        <v>233</v>
      </c>
      <c r="C42" s="19" t="s">
        <v>148</v>
      </c>
      <c r="D42" s="42">
        <f>(V_charge+disp_tot)*1000/A_x</f>
        <v>31.18130412738023</v>
      </c>
      <c r="E42" s="101" t="s">
        <v>234</v>
      </c>
      <c r="F42" s="20"/>
      <c r="G42" s="20"/>
      <c r="H42" s="20"/>
      <c r="I42" s="20"/>
    </row>
    <row r="43" spans="1:9" x14ac:dyDescent="0.2">
      <c r="A43" s="119" t="s">
        <v>235</v>
      </c>
      <c r="B43" s="18" t="s">
        <v>236</v>
      </c>
      <c r="C43" s="19" t="s">
        <v>148</v>
      </c>
      <c r="D43" s="42">
        <f>MAX(0,h_actual-spg_tip_h)</f>
        <v>9.1813041273802298</v>
      </c>
      <c r="E43" s="101" t="s">
        <v>237</v>
      </c>
      <c r="F43" s="20"/>
      <c r="G43" s="20"/>
      <c r="H43" s="20"/>
      <c r="I43" s="20"/>
    </row>
    <row r="44" spans="1:9" x14ac:dyDescent="0.2">
      <c r="A44" s="119" t="s">
        <v>238</v>
      </c>
      <c r="B44" s="18" t="s">
        <v>239</v>
      </c>
      <c r="C44" s="19" t="s">
        <v>174</v>
      </c>
      <c r="D44" s="43">
        <f>A_x-(rod_n*(PI()/4*rod_d^2)+(PI()/4*spg_OD^2)+(PI()/4*eff_OD^2))</f>
        <v>429.5477251405668</v>
      </c>
      <c r="E44" s="37" t="s">
        <v>240</v>
      </c>
      <c r="F44" s="20"/>
      <c r="G44" s="20"/>
      <c r="H44" s="20"/>
      <c r="I44" s="20"/>
    </row>
    <row r="45" spans="1:9" x14ac:dyDescent="0.2">
      <c r="A45" s="17" t="s">
        <v>241</v>
      </c>
      <c r="B45" s="18" t="s">
        <v>242</v>
      </c>
      <c r="C45" s="19" t="s">
        <v>148</v>
      </c>
      <c r="D45" s="45">
        <f>eff_OD</f>
        <v>3.1749999999999998</v>
      </c>
      <c r="E45" s="37" t="s">
        <v>243</v>
      </c>
      <c r="F45" s="20"/>
      <c r="G45" s="20"/>
      <c r="H45" s="20"/>
      <c r="I45" s="20"/>
    </row>
    <row r="46" spans="1:9" x14ac:dyDescent="0.2">
      <c r="A46" s="17" t="s">
        <v>244</v>
      </c>
      <c r="B46" s="18" t="s">
        <v>245</v>
      </c>
      <c r="C46" s="19" t="s">
        <v>137</v>
      </c>
      <c r="D46" s="111">
        <v>3</v>
      </c>
      <c r="E46" s="37" t="s">
        <v>246</v>
      </c>
      <c r="F46" s="20"/>
      <c r="G46" s="20"/>
      <c r="H46" s="20"/>
      <c r="I46" s="20"/>
    </row>
    <row r="47" spans="1:9" x14ac:dyDescent="0.2">
      <c r="A47" s="17" t="s">
        <v>247</v>
      </c>
      <c r="B47" s="18" t="s">
        <v>248</v>
      </c>
      <c r="C47" s="19" t="s">
        <v>148</v>
      </c>
      <c r="D47" s="112">
        <v>5</v>
      </c>
      <c r="E47" s="41" t="s">
        <v>249</v>
      </c>
      <c r="F47" s="20"/>
      <c r="G47" s="20"/>
      <c r="H47" s="20"/>
      <c r="I47" s="20"/>
    </row>
    <row r="48" spans="1:9" x14ac:dyDescent="0.2">
      <c r="A48" s="17" t="s">
        <v>250</v>
      </c>
      <c r="B48" s="18" t="s">
        <v>251</v>
      </c>
      <c r="C48" s="19" t="s">
        <v>59</v>
      </c>
      <c r="D48" s="45">
        <f>(rod_n*(PI()/4*rod_d^2)*elec_ins+(PI()/4*spg_OD^2)*spg_len+(PI()/4*(eff_OD^2-eff_ID^2))*(D_int-h_actual)+xtube_n*(PI()/4*xtube_OD^2)*xtube_pro)/1000</f>
        <v>2.3875715440828644</v>
      </c>
      <c r="E48" s="37" t="s">
        <v>252</v>
      </c>
      <c r="F48" s="20"/>
      <c r="G48" s="20"/>
      <c r="H48" s="20"/>
      <c r="I48" s="20"/>
    </row>
    <row r="49" spans="1:9" x14ac:dyDescent="0.2">
      <c r="A49" s="119" t="s">
        <v>253</v>
      </c>
      <c r="B49" s="18" t="s">
        <v>254</v>
      </c>
      <c r="C49" s="19" t="s">
        <v>59</v>
      </c>
      <c r="D49" s="42">
        <f>V_vial_total-V_charge-V_inserts</f>
        <v>2.6124284559171356</v>
      </c>
      <c r="E49" s="37" t="s">
        <v>255</v>
      </c>
      <c r="F49" s="20"/>
      <c r="G49" s="20"/>
      <c r="H49" s="20"/>
      <c r="I49" s="20"/>
    </row>
    <row r="50" spans="1:9" x14ac:dyDescent="0.2">
      <c r="A50" s="17" t="s">
        <v>256</v>
      </c>
      <c r="B50" s="18" t="s">
        <v>257</v>
      </c>
      <c r="C50" s="19" t="s">
        <v>148</v>
      </c>
      <c r="D50" s="48">
        <f>D_int-spg_tip_h</f>
        <v>33</v>
      </c>
      <c r="E50" s="101" t="s">
        <v>258</v>
      </c>
      <c r="F50" s="20"/>
      <c r="G50" s="20"/>
      <c r="H50" s="20"/>
      <c r="I50" s="20"/>
    </row>
    <row r="51" spans="1:9" x14ac:dyDescent="0.2">
      <c r="A51" s="20" t="s">
        <v>259</v>
      </c>
      <c r="B51" s="20" t="s">
        <v>260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261</v>
      </c>
      <c r="B52" s="20" t="s">
        <v>262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7" t="s">
        <v>263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264</v>
      </c>
      <c r="B54" s="20" t="s">
        <v>265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266</v>
      </c>
      <c r="B55" s="20" t="s">
        <v>267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09" t="s">
        <v>268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09" t="s">
        <v>1</v>
      </c>
      <c r="B58" s="109" t="s">
        <v>269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270</v>
      </c>
      <c r="B59" s="20" t="s">
        <v>141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271</v>
      </c>
      <c r="B60" s="20" t="s">
        <v>141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272</v>
      </c>
      <c r="B61" s="20" t="s">
        <v>141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273</v>
      </c>
      <c r="B62" s="20" t="s">
        <v>141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274</v>
      </c>
      <c r="B63" s="20" t="s">
        <v>141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275</v>
      </c>
      <c r="B64" s="20" t="s">
        <v>141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276</v>
      </c>
      <c r="B65" s="20" t="s">
        <v>141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277</v>
      </c>
      <c r="B66" s="20" t="s">
        <v>141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278</v>
      </c>
      <c r="B67" s="20" t="s">
        <v>141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279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280</v>
      </c>
      <c r="B69" s="20" t="s">
        <v>279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281</v>
      </c>
      <c r="B70" s="20" t="s">
        <v>145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282</v>
      </c>
      <c r="B71" s="20" t="s">
        <v>145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283</v>
      </c>
      <c r="B72" s="20" t="s">
        <v>145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284</v>
      </c>
      <c r="B73" s="20" t="s">
        <v>145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285</v>
      </c>
      <c r="B74" s="20" t="s">
        <v>145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286</v>
      </c>
      <c r="B75" s="20" t="s">
        <v>145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287</v>
      </c>
      <c r="B76" s="20" t="s">
        <v>145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288</v>
      </c>
      <c r="B77" s="20" t="s">
        <v>145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289</v>
      </c>
      <c r="B78" s="20" t="s">
        <v>145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290</v>
      </c>
      <c r="B79" s="20" t="s">
        <v>291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292</v>
      </c>
      <c r="B80" s="20" t="s">
        <v>145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09" t="s">
        <v>293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09" t="s">
        <v>269</v>
      </c>
      <c r="B83" s="109" t="s">
        <v>294</v>
      </c>
      <c r="C83" s="109" t="s">
        <v>295</v>
      </c>
      <c r="D83" s="109" t="s">
        <v>296</v>
      </c>
      <c r="E83" s="109" t="s">
        <v>297</v>
      </c>
      <c r="F83" s="109" t="s">
        <v>298</v>
      </c>
      <c r="G83" s="109" t="s">
        <v>299</v>
      </c>
      <c r="H83" s="109" t="s">
        <v>300</v>
      </c>
      <c r="I83" s="109" t="s">
        <v>301</v>
      </c>
    </row>
    <row r="84" spans="1:9" x14ac:dyDescent="0.2">
      <c r="A84" s="20" t="s">
        <v>141</v>
      </c>
      <c r="B84" s="20" t="s">
        <v>302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279</v>
      </c>
      <c r="B85" s="20" t="s">
        <v>302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145</v>
      </c>
      <c r="B86" s="20" t="s">
        <v>303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291</v>
      </c>
      <c r="B87" s="20" t="s">
        <v>303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09" t="s">
        <v>304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305</v>
      </c>
      <c r="B90" s="20" t="s">
        <v>306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7" t="s">
        <v>307</v>
      </c>
      <c r="G90" s="20"/>
      <c r="H90" s="20"/>
      <c r="I90" s="20"/>
    </row>
  </sheetData>
  <conditionalFormatting sqref="D86:D87">
    <cfRule type="expression" dxfId="12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1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I39"/>
  <sheetViews>
    <sheetView topLeftCell="A19" zoomScale="181" workbookViewId="0">
      <selection activeCell="G34" sqref="G34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0" t="s">
        <v>308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49"/>
      <c r="E3" s="37"/>
      <c r="F3" s="20"/>
      <c r="G3" s="20"/>
      <c r="H3" s="20"/>
      <c r="I3" s="20"/>
    </row>
    <row r="4" spans="1:9" ht="16" customHeight="1" x14ac:dyDescent="0.2">
      <c r="A4" s="110" t="s">
        <v>134</v>
      </c>
      <c r="B4" s="18"/>
      <c r="C4" s="19"/>
      <c r="D4" s="50"/>
      <c r="E4" s="51"/>
      <c r="F4" s="20"/>
      <c r="G4" s="20"/>
      <c r="H4" s="20"/>
      <c r="I4" s="20"/>
    </row>
    <row r="5" spans="1:9" x14ac:dyDescent="0.2">
      <c r="A5" s="20" t="s">
        <v>309</v>
      </c>
      <c r="B5" s="20" t="s">
        <v>310</v>
      </c>
      <c r="C5" s="20" t="s">
        <v>311</v>
      </c>
      <c r="D5" s="26">
        <f>Biology!$D$18</f>
        <v>298.14999999999998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312</v>
      </c>
      <c r="B6" s="20" t="s">
        <v>313</v>
      </c>
      <c r="C6" s="20" t="s">
        <v>64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314</v>
      </c>
      <c r="B7" s="20" t="s">
        <v>315</v>
      </c>
      <c r="C7" s="20" t="s">
        <v>316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317</v>
      </c>
      <c r="B8" s="20" t="s">
        <v>34</v>
      </c>
      <c r="C8" s="20"/>
      <c r="D8" s="38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2"/>
      <c r="E9" s="101"/>
      <c r="F9" s="20"/>
      <c r="G9" s="20"/>
      <c r="H9" s="20"/>
      <c r="I9" s="20"/>
    </row>
    <row r="10" spans="1:9" x14ac:dyDescent="0.2">
      <c r="A10" s="17" t="s">
        <v>318</v>
      </c>
      <c r="B10" s="18" t="s">
        <v>319</v>
      </c>
      <c r="C10" s="19" t="s">
        <v>46</v>
      </c>
      <c r="D10" s="53">
        <f>Summary!$D$6</f>
        <v>3</v>
      </c>
      <c r="E10" s="37" t="s">
        <v>320</v>
      </c>
      <c r="F10" s="20"/>
      <c r="G10" s="20"/>
      <c r="H10" s="20"/>
      <c r="I10" s="20"/>
    </row>
    <row r="11" spans="1:9" ht="36" customHeight="1" x14ac:dyDescent="0.2">
      <c r="A11" s="17" t="s">
        <v>321</v>
      </c>
      <c r="B11" s="18" t="s">
        <v>322</v>
      </c>
      <c r="C11" s="19" t="s">
        <v>323</v>
      </c>
      <c r="D11" s="50">
        <v>1.03</v>
      </c>
      <c r="E11" s="115" t="s">
        <v>324</v>
      </c>
      <c r="F11" s="20"/>
      <c r="G11" s="20"/>
      <c r="H11" s="20"/>
      <c r="I11" s="20"/>
    </row>
    <row r="12" spans="1:9" x14ac:dyDescent="0.2">
      <c r="A12" s="17" t="s">
        <v>325</v>
      </c>
      <c r="B12" s="18" t="s">
        <v>326</v>
      </c>
      <c r="C12" s="19" t="s">
        <v>327</v>
      </c>
      <c r="D12" s="54">
        <v>2.6</v>
      </c>
      <c r="E12" s="115" t="s">
        <v>328</v>
      </c>
      <c r="F12" s="20"/>
      <c r="G12" s="20"/>
      <c r="H12" s="20"/>
      <c r="I12" s="20"/>
    </row>
    <row r="13" spans="1:9" x14ac:dyDescent="0.2">
      <c r="A13" s="17" t="s">
        <v>329</v>
      </c>
      <c r="B13" s="18" t="s">
        <v>330</v>
      </c>
      <c r="C13" s="19" t="s">
        <v>46</v>
      </c>
      <c r="D13" s="55">
        <v>3</v>
      </c>
      <c r="E13" s="51" t="s">
        <v>331</v>
      </c>
      <c r="F13" s="20"/>
      <c r="G13" s="20"/>
      <c r="H13" s="20"/>
      <c r="I13" s="20"/>
    </row>
    <row r="14" spans="1:9" x14ac:dyDescent="0.2">
      <c r="A14" s="17" t="s">
        <v>332</v>
      </c>
      <c r="B14" s="18" t="s">
        <v>333</v>
      </c>
      <c r="C14" s="19" t="s">
        <v>46</v>
      </c>
      <c r="D14" s="55">
        <v>25</v>
      </c>
      <c r="E14" s="51" t="s">
        <v>334</v>
      </c>
      <c r="F14" s="20"/>
      <c r="G14" s="20"/>
      <c r="H14" s="20"/>
      <c r="I14" s="20"/>
    </row>
    <row r="15" spans="1:9" x14ac:dyDescent="0.2">
      <c r="A15" s="17" t="s">
        <v>335</v>
      </c>
      <c r="B15" s="18" t="s">
        <v>336</v>
      </c>
      <c r="C15" s="19" t="s">
        <v>337</v>
      </c>
      <c r="D15" s="56">
        <v>96485.332120000006</v>
      </c>
      <c r="E15" s="102" t="s">
        <v>338</v>
      </c>
      <c r="F15" s="20"/>
      <c r="G15" s="20"/>
      <c r="H15" s="20"/>
      <c r="I15" s="20"/>
    </row>
    <row r="16" spans="1:9" x14ac:dyDescent="0.2">
      <c r="A16" s="17" t="s">
        <v>339</v>
      </c>
      <c r="B16" s="18" t="s">
        <v>340</v>
      </c>
      <c r="C16" s="19" t="s">
        <v>137</v>
      </c>
      <c r="D16" s="52">
        <v>2</v>
      </c>
      <c r="E16" s="101" t="s">
        <v>341</v>
      </c>
      <c r="F16" s="20"/>
      <c r="G16" s="20"/>
      <c r="H16" s="20"/>
      <c r="I16" s="20"/>
    </row>
    <row r="17" spans="1:9" x14ac:dyDescent="0.2">
      <c r="A17" s="17" t="s">
        <v>342</v>
      </c>
      <c r="B17" s="18" t="s">
        <v>343</v>
      </c>
      <c r="C17" s="19" t="s">
        <v>137</v>
      </c>
      <c r="D17" s="52">
        <v>4</v>
      </c>
      <c r="E17" s="101" t="s">
        <v>344</v>
      </c>
      <c r="F17" s="20"/>
      <c r="G17" s="20"/>
      <c r="H17" s="20"/>
      <c r="I17" s="20"/>
    </row>
    <row r="18" spans="1:9" ht="24" customHeight="1" x14ac:dyDescent="0.2">
      <c r="A18" s="17" t="s">
        <v>345</v>
      </c>
      <c r="B18" s="18" t="s">
        <v>346</v>
      </c>
      <c r="C18" s="19" t="s">
        <v>137</v>
      </c>
      <c r="D18" s="114">
        <v>1</v>
      </c>
      <c r="E18" s="57" t="s">
        <v>347</v>
      </c>
      <c r="F18" s="20"/>
      <c r="G18" s="20"/>
      <c r="H18" s="20"/>
      <c r="I18" s="20"/>
    </row>
    <row r="19" spans="1:9" ht="24" customHeight="1" x14ac:dyDescent="0.2">
      <c r="A19" s="17" t="s">
        <v>348</v>
      </c>
      <c r="B19" s="18" t="s">
        <v>349</v>
      </c>
      <c r="C19" s="19" t="s">
        <v>350</v>
      </c>
      <c r="D19" s="46">
        <f>(gerrit_slope*intensity+gerrit_int)/1000</f>
        <v>5.6899999999999997E-3</v>
      </c>
      <c r="E19" s="51" t="s">
        <v>351</v>
      </c>
      <c r="F19" s="20"/>
      <c r="G19" s="20"/>
      <c r="H19" s="20"/>
      <c r="I19" s="20"/>
    </row>
    <row r="20" spans="1:9" ht="24" customHeight="1" x14ac:dyDescent="0.2">
      <c r="A20" s="17" t="s">
        <v>352</v>
      </c>
      <c r="B20" s="18" t="s">
        <v>353</v>
      </c>
      <c r="C20" s="19" t="s">
        <v>137</v>
      </c>
      <c r="D20" s="58" t="str">
        <f>IF(AND(intensity&gt;=gerrit_min,intensity&lt;=gerrit_max),"OK","OUT")</f>
        <v>OK</v>
      </c>
      <c r="E20" s="51" t="s">
        <v>354</v>
      </c>
      <c r="F20" s="20"/>
      <c r="G20" s="20"/>
      <c r="H20" s="20"/>
      <c r="I20" s="20"/>
    </row>
    <row r="21" spans="1:9" x14ac:dyDescent="0.2">
      <c r="A21" s="17" t="s">
        <v>355</v>
      </c>
      <c r="B21" s="18" t="s">
        <v>356</v>
      </c>
      <c r="C21" s="19" t="s">
        <v>357</v>
      </c>
      <c r="D21" s="48">
        <f>I_app*etaF/(z_e_H2*F_const)*3600</f>
        <v>1.0615084982307878E-4</v>
      </c>
      <c r="E21" s="101" t="s">
        <v>358</v>
      </c>
      <c r="F21" s="20"/>
      <c r="G21" s="20"/>
      <c r="H21" s="20"/>
      <c r="I21" s="20"/>
    </row>
    <row r="22" spans="1:9" x14ac:dyDescent="0.2">
      <c r="A22" s="17" t="s">
        <v>359</v>
      </c>
      <c r="B22" s="18" t="s">
        <v>360</v>
      </c>
      <c r="C22" s="19" t="s">
        <v>357</v>
      </c>
      <c r="D22" s="48">
        <f>I_app*etaF_OER/(z_e_O2*F_const)*3600</f>
        <v>5.3075424911539388E-5</v>
      </c>
      <c r="E22" s="101" t="s">
        <v>361</v>
      </c>
      <c r="F22" s="20"/>
      <c r="G22" s="20"/>
      <c r="H22" s="20"/>
      <c r="I22" s="20"/>
    </row>
    <row r="23" spans="1:9" x14ac:dyDescent="0.2">
      <c r="A23" s="17" t="s">
        <v>362</v>
      </c>
      <c r="B23" s="18" t="s">
        <v>363</v>
      </c>
      <c r="C23" s="19" t="s">
        <v>364</v>
      </c>
      <c r="D23" s="48">
        <f>rH2_gen/60*R_gas*T_K/P_atm*1000000</f>
        <v>4.3283723227623763E-2</v>
      </c>
      <c r="E23" s="101" t="s">
        <v>365</v>
      </c>
      <c r="F23" s="20"/>
      <c r="G23" s="20"/>
      <c r="H23" s="20"/>
      <c r="I23" s="20"/>
    </row>
    <row r="24" spans="1:9" x14ac:dyDescent="0.2">
      <c r="A24" s="17" t="s">
        <v>366</v>
      </c>
      <c r="B24" s="18" t="s">
        <v>367</v>
      </c>
      <c r="C24" s="19" t="s">
        <v>364</v>
      </c>
      <c r="D24" s="48">
        <f>rO2_gen/60*R_gas*T_K/P_atm*1000000</f>
        <v>2.1641861613811882E-2</v>
      </c>
      <c r="E24" s="101" t="s">
        <v>368</v>
      </c>
      <c r="F24" s="20"/>
      <c r="G24" s="20"/>
      <c r="H24" s="20"/>
      <c r="I24" s="20"/>
    </row>
    <row r="25" spans="1:9" ht="24" customHeight="1" x14ac:dyDescent="0.2">
      <c r="A25" s="17" t="s">
        <v>369</v>
      </c>
      <c r="B25" s="18" t="s">
        <v>370</v>
      </c>
      <c r="C25" s="19" t="s">
        <v>364</v>
      </c>
      <c r="D25" s="48">
        <f>V_H2_gen+V_O2_gen</f>
        <v>6.4925584841435652E-2</v>
      </c>
      <c r="E25" s="101" t="s">
        <v>371</v>
      </c>
      <c r="F25" s="20"/>
      <c r="G25" s="20"/>
      <c r="H25" s="20"/>
      <c r="I25" s="20"/>
    </row>
    <row r="26" spans="1:9" x14ac:dyDescent="0.2">
      <c r="A26" s="17" t="s">
        <v>372</v>
      </c>
      <c r="B26" s="18" t="s">
        <v>373</v>
      </c>
      <c r="C26" s="19" t="s">
        <v>137</v>
      </c>
      <c r="D26" s="114">
        <v>1</v>
      </c>
      <c r="E26" s="122" t="s">
        <v>374</v>
      </c>
      <c r="F26" s="20"/>
      <c r="G26" s="20"/>
      <c r="H26" s="20"/>
      <c r="I26" s="20"/>
    </row>
    <row r="27" spans="1:9" ht="24" customHeight="1" x14ac:dyDescent="0.2">
      <c r="A27" s="17" t="s">
        <v>375</v>
      </c>
      <c r="B27" s="18" t="s">
        <v>376</v>
      </c>
      <c r="C27" s="19" t="s">
        <v>137</v>
      </c>
      <c r="D27" s="40">
        <f>VLOOKUP(electrode_sel,$A$35:$I$37,9,FALSE)</f>
        <v>2</v>
      </c>
      <c r="E27" s="122" t="s">
        <v>377</v>
      </c>
      <c r="F27" s="20"/>
      <c r="G27" s="20"/>
      <c r="H27" s="20"/>
      <c r="I27" s="20"/>
    </row>
    <row r="28" spans="1:9" x14ac:dyDescent="0.2">
      <c r="A28" s="17" t="s">
        <v>378</v>
      </c>
      <c r="B28" s="18" t="s">
        <v>379</v>
      </c>
      <c r="C28" s="19" t="s">
        <v>357</v>
      </c>
      <c r="D28" s="48">
        <f>I_app*(1-etaF)/(z_e_ORR*F_const)*3600</f>
        <v>0</v>
      </c>
      <c r="E28" s="101" t="s">
        <v>380</v>
      </c>
      <c r="F28" s="20"/>
      <c r="G28" s="20"/>
      <c r="H28" s="20"/>
      <c r="I28" s="20"/>
    </row>
    <row r="29" spans="1:9" x14ac:dyDescent="0.2">
      <c r="A29" s="17" t="s">
        <v>381</v>
      </c>
      <c r="B29" s="18" t="s">
        <v>382</v>
      </c>
      <c r="C29" s="19" t="s">
        <v>357</v>
      </c>
      <c r="D29" s="48">
        <f>rO2_gen-O2_cathode_ORR</f>
        <v>5.3075424911539388E-5</v>
      </c>
      <c r="E29" s="101" t="s">
        <v>383</v>
      </c>
      <c r="F29" s="20"/>
      <c r="G29" s="20"/>
      <c r="H29" s="20"/>
      <c r="I29" s="20"/>
    </row>
    <row r="30" spans="1:9" x14ac:dyDescent="0.2">
      <c r="A30" s="107" t="s">
        <v>384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385</v>
      </c>
      <c r="B31" s="20" t="s">
        <v>386</v>
      </c>
      <c r="C31" s="20"/>
      <c r="D31" s="24" t="str">
        <f>VLOOKUP(electrode_sel,$A$35:$I$37,4,FALSE)</f>
        <v>Tube</v>
      </c>
      <c r="E31" s="20"/>
      <c r="F31" s="20"/>
      <c r="G31" s="20"/>
      <c r="H31" s="20"/>
      <c r="I31" s="20"/>
    </row>
    <row r="32" spans="1:9" x14ac:dyDescent="0.2">
      <c r="A32" s="20" t="s">
        <v>387</v>
      </c>
      <c r="B32" s="20" t="s">
        <v>388</v>
      </c>
      <c r="C32" s="20"/>
      <c r="D32" s="24">
        <f>IF(ISNUMBER(VLOOKUP(electrode_sel,$A$35:$I$37,5,FALSE)),VLOOKUP(electrode_sel,$A$35:$I$37,5,FALSE),0)</f>
        <v>0</v>
      </c>
      <c r="E32" s="107" t="s">
        <v>389</v>
      </c>
      <c r="F32" s="20"/>
      <c r="G32" s="20"/>
      <c r="H32" s="59"/>
      <c r="I32" s="20"/>
    </row>
    <row r="33" spans="1:9" x14ac:dyDescent="0.2">
      <c r="A33" s="109" t="s">
        <v>390</v>
      </c>
      <c r="B33" s="20"/>
      <c r="C33" s="20"/>
      <c r="D33" s="20"/>
      <c r="E33" s="20"/>
      <c r="F33" s="20"/>
      <c r="G33" s="20"/>
      <c r="H33" s="20"/>
      <c r="I33" s="20"/>
    </row>
    <row r="34" spans="1:9" x14ac:dyDescent="0.2">
      <c r="A34" s="109" t="s">
        <v>33</v>
      </c>
      <c r="B34" s="109" t="s">
        <v>391</v>
      </c>
      <c r="C34" s="109" t="s">
        <v>392</v>
      </c>
      <c r="D34" s="109" t="s">
        <v>393</v>
      </c>
      <c r="E34" s="109" t="s">
        <v>394</v>
      </c>
      <c r="F34" s="109" t="s">
        <v>395</v>
      </c>
      <c r="G34" s="109" t="s">
        <v>396</v>
      </c>
      <c r="H34" s="109" t="s">
        <v>346</v>
      </c>
      <c r="I34" s="109" t="s">
        <v>376</v>
      </c>
    </row>
    <row r="35" spans="1:9" x14ac:dyDescent="0.2">
      <c r="A35" s="20" t="s">
        <v>397</v>
      </c>
      <c r="B35" s="20" t="s">
        <v>398</v>
      </c>
      <c r="C35" s="20">
        <v>6</v>
      </c>
      <c r="D35" s="20" t="s">
        <v>399</v>
      </c>
      <c r="E35" s="20" t="s">
        <v>400</v>
      </c>
      <c r="F35" s="20" t="s">
        <v>401</v>
      </c>
      <c r="G35" s="20">
        <v>6</v>
      </c>
      <c r="H35" s="59" t="s">
        <v>402</v>
      </c>
      <c r="I35" s="20">
        <v>2</v>
      </c>
    </row>
    <row r="36" spans="1:9" x14ac:dyDescent="0.2">
      <c r="A36" s="20" t="s">
        <v>403</v>
      </c>
      <c r="B36" s="20" t="s">
        <v>404</v>
      </c>
      <c r="C36" s="20">
        <v>6</v>
      </c>
      <c r="D36" s="20" t="s">
        <v>399</v>
      </c>
      <c r="E36" s="20" t="s">
        <v>400</v>
      </c>
      <c r="F36" s="20" t="s">
        <v>401</v>
      </c>
      <c r="G36" s="20">
        <v>6</v>
      </c>
      <c r="H36" s="59" t="s">
        <v>402</v>
      </c>
      <c r="I36" s="20">
        <v>2</v>
      </c>
    </row>
    <row r="37" spans="1:9" x14ac:dyDescent="0.2">
      <c r="A37" s="20" t="s">
        <v>35</v>
      </c>
      <c r="B37" s="20" t="s">
        <v>404</v>
      </c>
      <c r="C37" s="20">
        <v>6</v>
      </c>
      <c r="D37" s="20" t="s">
        <v>405</v>
      </c>
      <c r="E37" s="59">
        <v>0</v>
      </c>
      <c r="F37" s="20" t="s">
        <v>401</v>
      </c>
      <c r="G37" s="20">
        <v>6</v>
      </c>
      <c r="H37" s="59" t="s">
        <v>402</v>
      </c>
      <c r="I37" s="20">
        <v>2</v>
      </c>
    </row>
    <row r="38" spans="1:9" x14ac:dyDescent="0.2">
      <c r="A38" s="20"/>
      <c r="B38" s="20"/>
      <c r="C38" s="20"/>
      <c r="D38" s="28"/>
      <c r="E38" s="20"/>
      <c r="F38" s="20"/>
      <c r="G38" s="20"/>
      <c r="H38" s="20"/>
      <c r="I38" s="20"/>
    </row>
    <row r="39" spans="1:9" x14ac:dyDescent="0.2">
      <c r="A39" s="20"/>
      <c r="B39" s="20"/>
      <c r="C39" s="20"/>
      <c r="D39" s="28"/>
      <c r="E39" s="20"/>
      <c r="F39" s="20"/>
      <c r="G39" s="20"/>
      <c r="H39" s="20"/>
      <c r="I39" s="20"/>
    </row>
  </sheetData>
  <conditionalFormatting sqref="D13">
    <cfRule type="cellIs" dxfId="10" priority="1" operator="equal">
      <formula>"OK"</formula>
    </cfRule>
    <cfRule type="cellIs" dxfId="9" priority="2" operator="equal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C00"/>
  </sheetPr>
  <dimension ref="A1:G163"/>
  <sheetViews>
    <sheetView topLeftCell="A108" workbookViewId="0">
      <selection activeCell="E109" sqref="E109"/>
    </sheetView>
  </sheetViews>
  <sheetFormatPr baseColWidth="10" defaultColWidth="8.83203125" defaultRowHeight="15" x14ac:dyDescent="0.2"/>
  <cols>
    <col min="1" max="1" width="39.33203125" customWidth="1"/>
    <col min="2" max="2" width="12.33203125" bestFit="1" customWidth="1"/>
    <col min="3" max="3" width="13.83203125" bestFit="1" customWidth="1"/>
    <col min="4" max="4" width="15.33203125" customWidth="1"/>
    <col min="5" max="5" width="39.33203125" bestFit="1" customWidth="1"/>
  </cols>
  <sheetData>
    <row r="1" spans="1:6" ht="16" x14ac:dyDescent="0.2">
      <c r="A1" s="110" t="s">
        <v>847</v>
      </c>
    </row>
    <row r="2" spans="1:6" x14ac:dyDescent="0.2">
      <c r="A2" s="16" t="s">
        <v>848</v>
      </c>
      <c r="B2" s="16" t="s">
        <v>849</v>
      </c>
      <c r="C2" s="16" t="s">
        <v>850</v>
      </c>
      <c r="D2" s="16" t="s">
        <v>851</v>
      </c>
      <c r="E2" s="16" t="s">
        <v>852</v>
      </c>
    </row>
    <row r="3" spans="1:6" x14ac:dyDescent="0.2">
      <c r="A3" s="109" t="s">
        <v>853</v>
      </c>
    </row>
    <row r="4" spans="1:6" x14ac:dyDescent="0.2">
      <c r="A4" s="17" t="s">
        <v>854</v>
      </c>
      <c r="B4" s="18" t="s">
        <v>855</v>
      </c>
      <c r="C4" s="19" t="s">
        <v>856</v>
      </c>
      <c r="D4" s="64">
        <f>Biology!$D$18</f>
        <v>298.14999999999998</v>
      </c>
      <c r="E4" s="51" t="s">
        <v>857</v>
      </c>
    </row>
    <row r="5" spans="1:6" ht="36" x14ac:dyDescent="0.2">
      <c r="A5" s="17" t="s">
        <v>858</v>
      </c>
      <c r="B5" s="18" t="s">
        <v>859</v>
      </c>
      <c r="C5" s="19" t="s">
        <v>860</v>
      </c>
      <c r="D5" s="64">
        <f>'Mass Transfer'!$D$162</f>
        <v>9.8009182872224013E-4</v>
      </c>
      <c r="E5" s="51" t="s">
        <v>1197</v>
      </c>
    </row>
    <row r="6" spans="1:6" x14ac:dyDescent="0.2">
      <c r="A6" s="17" t="s">
        <v>861</v>
      </c>
      <c r="B6" s="18" t="s">
        <v>862</v>
      </c>
      <c r="C6" s="19" t="s">
        <v>863</v>
      </c>
      <c r="D6" s="64">
        <f>Electrochemistry!$D$19</f>
        <v>5.6899999999999997E-3</v>
      </c>
      <c r="E6" s="51" t="s">
        <v>864</v>
      </c>
    </row>
    <row r="7" spans="1:6" x14ac:dyDescent="0.2">
      <c r="A7" s="17" t="s">
        <v>865</v>
      </c>
      <c r="B7" s="18" t="s">
        <v>866</v>
      </c>
      <c r="C7" s="19" t="s">
        <v>867</v>
      </c>
      <c r="D7" s="64">
        <f>Electrochemistry!$D$15</f>
        <v>96485.332120000006</v>
      </c>
      <c r="E7" s="51" t="s">
        <v>868</v>
      </c>
    </row>
    <row r="8" spans="1:6" x14ac:dyDescent="0.2">
      <c r="A8" s="17" t="s">
        <v>869</v>
      </c>
      <c r="B8" s="18" t="s">
        <v>870</v>
      </c>
      <c r="C8" s="19" t="s">
        <v>871</v>
      </c>
      <c r="D8" s="64">
        <f>Biology!$D$6/1000</f>
        <v>1.4999999999999999E-2</v>
      </c>
      <c r="E8" s="51" t="s">
        <v>872</v>
      </c>
    </row>
    <row r="9" spans="1:6" x14ac:dyDescent="0.2">
      <c r="A9" s="17" t="s">
        <v>873</v>
      </c>
      <c r="B9" s="18" t="s">
        <v>874</v>
      </c>
      <c r="C9" s="19" t="s">
        <v>875</v>
      </c>
      <c r="D9" s="52">
        <v>8.3140000000000001</v>
      </c>
      <c r="E9" s="85" t="s">
        <v>876</v>
      </c>
    </row>
    <row r="11" spans="1:6" ht="16" x14ac:dyDescent="0.2">
      <c r="A11" s="110" t="s">
        <v>877</v>
      </c>
      <c r="F11" s="107" t="s">
        <v>878</v>
      </c>
    </row>
    <row r="12" spans="1:6" x14ac:dyDescent="0.2">
      <c r="A12" s="16" t="s">
        <v>879</v>
      </c>
      <c r="B12" s="16" t="s">
        <v>880</v>
      </c>
      <c r="C12" s="16" t="s">
        <v>881</v>
      </c>
      <c r="D12" s="16" t="s">
        <v>882</v>
      </c>
      <c r="E12" s="16" t="s">
        <v>883</v>
      </c>
    </row>
    <row r="13" spans="1:6" x14ac:dyDescent="0.2">
      <c r="A13" s="17" t="s">
        <v>885</v>
      </c>
      <c r="B13" s="52">
        <v>4.4499999999999997E-7</v>
      </c>
      <c r="C13" s="52">
        <v>9.15</v>
      </c>
      <c r="D13" s="64">
        <f t="shared" ref="D13:D20" si="0">B13*EXP(-C13*1000/R_gas*(1/TKc-1/298.15))</f>
        <v>4.4499999999999997E-7</v>
      </c>
      <c r="E13" s="85" t="s">
        <v>884</v>
      </c>
    </row>
    <row r="14" spans="1:6" x14ac:dyDescent="0.2">
      <c r="A14" s="17" t="s">
        <v>886</v>
      </c>
      <c r="B14" s="52">
        <v>4.6900000000000001E-11</v>
      </c>
      <c r="C14" s="52">
        <v>14.9</v>
      </c>
      <c r="D14" s="64">
        <f t="shared" si="0"/>
        <v>4.6900000000000001E-11</v>
      </c>
      <c r="E14" s="85" t="s">
        <v>884</v>
      </c>
    </row>
    <row r="15" spans="1:6" x14ac:dyDescent="0.2">
      <c r="A15" s="17" t="s">
        <v>887</v>
      </c>
      <c r="B15" s="52">
        <v>7.1000000000000004E-3</v>
      </c>
      <c r="C15" s="52">
        <v>-8</v>
      </c>
      <c r="D15" s="64">
        <f t="shared" si="0"/>
        <v>7.1000000000000004E-3</v>
      </c>
      <c r="E15" s="85" t="s">
        <v>884</v>
      </c>
    </row>
    <row r="16" spans="1:6" x14ac:dyDescent="0.2">
      <c r="A16" s="17" t="s">
        <v>888</v>
      </c>
      <c r="B16" s="52">
        <v>6.3100000000000003E-8</v>
      </c>
      <c r="C16" s="52">
        <v>3.6</v>
      </c>
      <c r="D16" s="64">
        <f t="shared" si="0"/>
        <v>6.3100000000000003E-8</v>
      </c>
      <c r="E16" s="85" t="s">
        <v>884</v>
      </c>
    </row>
    <row r="17" spans="1:6" x14ac:dyDescent="0.2">
      <c r="A17" s="17" t="s">
        <v>1032</v>
      </c>
      <c r="B17" s="52">
        <v>4.1999999999999998E-13</v>
      </c>
      <c r="C17" s="52">
        <v>16</v>
      </c>
      <c r="D17" s="64">
        <f t="shared" si="0"/>
        <v>4.1999999999999998E-13</v>
      </c>
      <c r="E17" s="85" t="s">
        <v>884</v>
      </c>
    </row>
    <row r="18" spans="1:6" x14ac:dyDescent="0.2">
      <c r="A18" s="17" t="s">
        <v>889</v>
      </c>
      <c r="B18" s="52">
        <v>5.6000000000000003E-10</v>
      </c>
      <c r="C18" s="52">
        <v>52.2</v>
      </c>
      <c r="D18" s="64">
        <f t="shared" si="0"/>
        <v>5.6000000000000003E-10</v>
      </c>
      <c r="E18" s="85" t="s">
        <v>884</v>
      </c>
    </row>
    <row r="19" spans="1:6" x14ac:dyDescent="0.2">
      <c r="A19" s="17" t="s">
        <v>890</v>
      </c>
      <c r="B19" s="52">
        <v>1E-14</v>
      </c>
      <c r="C19" s="52">
        <v>55.8</v>
      </c>
      <c r="D19" s="64">
        <f t="shared" si="0"/>
        <v>1E-14</v>
      </c>
      <c r="E19" s="85" t="s">
        <v>884</v>
      </c>
    </row>
    <row r="20" spans="1:6" x14ac:dyDescent="0.2">
      <c r="A20" s="17" t="s">
        <v>891</v>
      </c>
      <c r="B20" s="52">
        <v>2.8840315031266057E-8</v>
      </c>
      <c r="C20" s="52">
        <v>13.8</v>
      </c>
      <c r="D20" s="64">
        <f t="shared" si="0"/>
        <v>2.8840315031266057E-8</v>
      </c>
      <c r="E20" s="85" t="s">
        <v>884</v>
      </c>
    </row>
    <row r="21" spans="1:6" x14ac:dyDescent="0.2">
      <c r="A21" s="17" t="s">
        <v>892</v>
      </c>
      <c r="B21" s="18" t="s">
        <v>893</v>
      </c>
      <c r="C21" s="19" t="s">
        <v>894</v>
      </c>
      <c r="D21" s="62">
        <f>-LOG10(Ka_HOCl)</f>
        <v>7.54</v>
      </c>
      <c r="E21" s="51" t="s">
        <v>895</v>
      </c>
    </row>
    <row r="23" spans="1:6" ht="16" x14ac:dyDescent="0.2">
      <c r="A23" s="110" t="s">
        <v>896</v>
      </c>
      <c r="F23" s="107" t="s">
        <v>897</v>
      </c>
    </row>
    <row r="24" spans="1:6" x14ac:dyDescent="0.2">
      <c r="A24" s="16" t="s">
        <v>900</v>
      </c>
      <c r="B24" s="16" t="s">
        <v>901</v>
      </c>
      <c r="C24" s="16" t="s">
        <v>902</v>
      </c>
      <c r="D24" s="16" t="s">
        <v>903</v>
      </c>
      <c r="E24" s="16" t="s">
        <v>904</v>
      </c>
    </row>
    <row r="25" spans="1:6" x14ac:dyDescent="0.2">
      <c r="A25" s="17" t="s">
        <v>905</v>
      </c>
      <c r="B25" s="52">
        <v>136.08600000000001</v>
      </c>
      <c r="C25" s="20">
        <v>0</v>
      </c>
      <c r="D25" s="52">
        <v>2.2999999999999998</v>
      </c>
      <c r="E25" s="51" t="s">
        <v>898</v>
      </c>
    </row>
    <row r="26" spans="1:6" x14ac:dyDescent="0.2">
      <c r="A26" s="17" t="s">
        <v>906</v>
      </c>
      <c r="B26" s="52">
        <v>141.96</v>
      </c>
      <c r="C26" s="52">
        <v>2.895</v>
      </c>
      <c r="D26" s="52">
        <v>2.9</v>
      </c>
      <c r="E26" s="51" t="s">
        <v>899</v>
      </c>
    </row>
    <row r="27" spans="1:6" x14ac:dyDescent="0.2">
      <c r="A27" s="17" t="s">
        <v>907</v>
      </c>
      <c r="B27" s="52">
        <v>156.01</v>
      </c>
      <c r="C27" s="52">
        <v>3.06</v>
      </c>
      <c r="D27" s="20">
        <v>0</v>
      </c>
      <c r="E27" s="51" t="s">
        <v>899</v>
      </c>
    </row>
    <row r="28" spans="1:6" x14ac:dyDescent="0.2">
      <c r="A28" s="17" t="s">
        <v>908</v>
      </c>
      <c r="B28" s="52">
        <v>84.007000000000005</v>
      </c>
      <c r="C28" s="20">
        <v>0</v>
      </c>
      <c r="D28" s="52">
        <v>1.05</v>
      </c>
      <c r="E28" s="51" t="s">
        <v>898</v>
      </c>
    </row>
    <row r="29" spans="1:6" x14ac:dyDescent="0.2">
      <c r="A29" s="17" t="s">
        <v>909</v>
      </c>
      <c r="B29" s="52">
        <v>174.26</v>
      </c>
      <c r="C29" s="52">
        <v>0.17</v>
      </c>
      <c r="D29" s="20">
        <v>0</v>
      </c>
      <c r="E29" s="51" t="s">
        <v>899</v>
      </c>
    </row>
    <row r="30" spans="1:6" x14ac:dyDescent="0.2">
      <c r="A30" s="17" t="s">
        <v>910</v>
      </c>
      <c r="B30" s="52">
        <v>172.17</v>
      </c>
      <c r="C30" s="52">
        <v>9.7000000000000003E-2</v>
      </c>
      <c r="D30" s="20">
        <v>0</v>
      </c>
      <c r="E30" s="51" t="s">
        <v>899</v>
      </c>
    </row>
    <row r="31" spans="1:6" x14ac:dyDescent="0.2">
      <c r="A31" s="17" t="s">
        <v>911</v>
      </c>
      <c r="B31" s="52">
        <v>246.48</v>
      </c>
      <c r="C31" s="52">
        <v>0.8</v>
      </c>
      <c r="D31" s="52">
        <v>0.5</v>
      </c>
      <c r="E31" s="51" t="s">
        <v>899</v>
      </c>
    </row>
    <row r="32" spans="1:6" x14ac:dyDescent="0.2">
      <c r="A32" s="17" t="s">
        <v>912</v>
      </c>
      <c r="B32" s="52">
        <v>132.13999999999999</v>
      </c>
      <c r="C32" s="52">
        <v>0.94299999999999995</v>
      </c>
      <c r="D32" s="52">
        <v>0.47</v>
      </c>
      <c r="E32" s="51" t="s">
        <v>899</v>
      </c>
    </row>
    <row r="33" spans="1:5" ht="24" x14ac:dyDescent="0.2">
      <c r="A33" s="17" t="s">
        <v>913</v>
      </c>
      <c r="B33" s="52">
        <v>110.98</v>
      </c>
      <c r="C33" s="20">
        <v>0</v>
      </c>
      <c r="D33" s="52">
        <v>0.01</v>
      </c>
      <c r="E33" s="51" t="s">
        <v>1092</v>
      </c>
    </row>
    <row r="35" spans="1:5" x14ac:dyDescent="0.2">
      <c r="A35" s="17" t="s">
        <v>914</v>
      </c>
      <c r="B35" s="18" t="s">
        <v>915</v>
      </c>
      <c r="C35" s="19" t="s">
        <v>916</v>
      </c>
      <c r="D35" s="62">
        <f>mc_Na2HPO4/MW_Na2HPO4+mc_NaH2PO4_2H2O/MW_NaH2PO4_2H2O</f>
        <v>4.0007195769523628E-2</v>
      </c>
      <c r="E35" s="51" t="s">
        <v>917</v>
      </c>
    </row>
    <row r="36" spans="1:5" x14ac:dyDescent="0.2">
      <c r="A36" s="17" t="s">
        <v>918</v>
      </c>
      <c r="B36" s="18" t="s">
        <v>919</v>
      </c>
      <c r="C36" s="19" t="s">
        <v>920</v>
      </c>
      <c r="D36" s="62">
        <f>(2*mc_Na2HPO4/MW_Na2HPO4+mc_NaH2PO4_2H2O/MW_NaH2PO4_2H2O+2*mc_K2SO4/MW_K2SO4+2*mc_MgSO4_7H2O/MW_MgSO4_7H2O+2*mc_CaSO4_2H2O/MW_CaSO4_2H2O)-2*(mc_NH42SO4/MW_NH42SO4+mc_MgSO4_7H2O/MW_MgSO4_7H2O+mc_K2SO4/MW_K2SO4+mc_CaSO4_2H2O/MW_CaSO4_2H2O)</f>
        <v>4.6127523207276644E-2</v>
      </c>
      <c r="E36" s="51" t="s">
        <v>921</v>
      </c>
    </row>
    <row r="37" spans="1:5" x14ac:dyDescent="0.2">
      <c r="A37" s="17" t="s">
        <v>922</v>
      </c>
      <c r="B37" s="18" t="s">
        <v>923</v>
      </c>
      <c r="C37" s="19" t="s">
        <v>924</v>
      </c>
      <c r="D37" s="62">
        <f>2*mc_NH42SO4/MW_NH42SO4</f>
        <v>1.4272741032238535E-2</v>
      </c>
      <c r="E37" s="51" t="s">
        <v>925</v>
      </c>
    </row>
    <row r="38" spans="1:5" x14ac:dyDescent="0.2">
      <c r="A38" s="17" t="s">
        <v>926</v>
      </c>
      <c r="B38" s="18" t="s">
        <v>927</v>
      </c>
      <c r="C38" s="19" t="s">
        <v>928</v>
      </c>
      <c r="D38" s="62">
        <f>0</f>
        <v>0</v>
      </c>
      <c r="E38" s="51" t="s">
        <v>929</v>
      </c>
    </row>
    <row r="39" spans="1:5" x14ac:dyDescent="0.2">
      <c r="A39" s="17" t="s">
        <v>930</v>
      </c>
      <c r="B39" s="18" t="s">
        <v>931</v>
      </c>
      <c r="C39" s="19" t="s">
        <v>932</v>
      </c>
      <c r="D39" s="62">
        <f>udg_KH2PO4/MW_KH2PO4+udg_Na2HPO4/MW_Na2HPO4</f>
        <v>3.7329366919026843E-2</v>
      </c>
      <c r="E39" s="51" t="s">
        <v>933</v>
      </c>
    </row>
    <row r="40" spans="1:5" x14ac:dyDescent="0.2">
      <c r="A40" s="17" t="s">
        <v>934</v>
      </c>
      <c r="B40" s="18" t="s">
        <v>935</v>
      </c>
      <c r="C40" s="19" t="s">
        <v>936</v>
      </c>
      <c r="D40" s="62">
        <f>(udg_NaHCO3/MW_NaHCO3+2*udg_Na2HPO4/MW_Na2HPO4+udg_KH2PO4/MW_KH2PO4+2*udg_MgSO4_7H2O/MW_MgSO4_7H2O+2*udg_CaCl2/MW_CaCl2)-(2*(udg_NH42SO4/MW_NH42SO4+udg_MgSO4_7H2O/MW_MgSO4_7H2O)+2*udg_CaCl2/MW_CaCl2)</f>
        <v>6.3142947675680683E-2</v>
      </c>
      <c r="E40" s="51" t="s">
        <v>937</v>
      </c>
    </row>
    <row r="41" spans="1:5" x14ac:dyDescent="0.2">
      <c r="A41" s="17" t="s">
        <v>938</v>
      </c>
      <c r="B41" s="18" t="s">
        <v>939</v>
      </c>
      <c r="C41" s="19" t="s">
        <v>940</v>
      </c>
      <c r="D41" s="62">
        <f>2*udg_NH42SO4/MW_NH42SO4</f>
        <v>7.1136673225367037E-3</v>
      </c>
      <c r="E41" s="51" t="s">
        <v>941</v>
      </c>
    </row>
    <row r="42" spans="1:5" x14ac:dyDescent="0.2">
      <c r="A42" s="17" t="s">
        <v>942</v>
      </c>
      <c r="B42" s="18" t="s">
        <v>943</v>
      </c>
      <c r="C42" s="19" t="s">
        <v>944</v>
      </c>
      <c r="D42" s="62">
        <f>2*udg_CaCl2/MW_CaCl2</f>
        <v>1.8021265092809516E-4</v>
      </c>
      <c r="E42" s="51" t="s">
        <v>945</v>
      </c>
    </row>
    <row r="44" spans="1:5" x14ac:dyDescent="0.2">
      <c r="A44" s="17" t="s">
        <v>946</v>
      </c>
      <c r="B44" s="18" t="s">
        <v>947</v>
      </c>
      <c r="C44" s="19" t="s">
        <v>948</v>
      </c>
      <c r="D44" s="62">
        <f>IF(Summary!$D$5="MC02",SID_mc02,IF(Summary!$D$5="UdG phosphate",SID_udg,NA()))</f>
        <v>6.3142947675680683E-2</v>
      </c>
      <c r="E44" s="51" t="s">
        <v>949</v>
      </c>
    </row>
    <row r="45" spans="1:5" x14ac:dyDescent="0.2">
      <c r="A45" s="17" t="s">
        <v>950</v>
      </c>
      <c r="B45" s="18" t="s">
        <v>951</v>
      </c>
      <c r="C45" s="19" t="s">
        <v>952</v>
      </c>
      <c r="D45" s="62">
        <f>IF(Summary!$D$5="MC02",PT_mc02,IF(Summary!$D$5="UdG phosphate",PT_udg,NA()))</f>
        <v>3.7329366919026843E-2</v>
      </c>
      <c r="E45" s="51" t="s">
        <v>953</v>
      </c>
    </row>
    <row r="46" spans="1:5" x14ac:dyDescent="0.2">
      <c r="A46" s="17" t="s">
        <v>954</v>
      </c>
      <c r="B46" s="18" t="s">
        <v>955</v>
      </c>
      <c r="C46" s="19" t="s">
        <v>956</v>
      </c>
      <c r="D46" s="62">
        <f>IF(Summary!$D$5="MC02",NT_mc02,IF(Summary!$D$5="UdG phosphate",NT_udg,NA()))</f>
        <v>7.1136673225367037E-3</v>
      </c>
      <c r="E46" s="51" t="s">
        <v>957</v>
      </c>
    </row>
    <row r="47" spans="1:5" x14ac:dyDescent="0.2">
      <c r="A47" s="17" t="s">
        <v>958</v>
      </c>
      <c r="B47" s="18" t="s">
        <v>959</v>
      </c>
      <c r="C47" s="19" t="s">
        <v>960</v>
      </c>
      <c r="D47" s="62">
        <f>IF(Summary!$D$5="MC02",Cl_mc02,IF(Summary!$D$5="UdG phosphate",Cl_udg,NA()))</f>
        <v>1.8021265092809516E-4</v>
      </c>
      <c r="E47" s="51" t="s">
        <v>961</v>
      </c>
    </row>
    <row r="49" spans="1:3" x14ac:dyDescent="0.2">
      <c r="A49" s="16" t="s">
        <v>962</v>
      </c>
      <c r="B49" s="16" t="s">
        <v>963</v>
      </c>
      <c r="C49" s="16" t="s">
        <v>964</v>
      </c>
    </row>
    <row r="50" spans="1:3" x14ac:dyDescent="0.2">
      <c r="A50" s="20">
        <v>4</v>
      </c>
      <c r="B50" s="64">
        <f t="shared" ref="B50:B81" si="1"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3.3517774517338811E-2</v>
      </c>
      <c r="C50" s="64">
        <f t="shared" ref="C50:C81" si="2">IF(AND(B50&gt;=0,B51&lt;0),A50+0.1*B50/(B50-B51),0)</f>
        <v>0</v>
      </c>
    </row>
    <row r="51" spans="1:3" x14ac:dyDescent="0.2">
      <c r="A51" s="20">
        <v>4.0999999999999996</v>
      </c>
      <c r="B51" s="64">
        <f t="shared" si="1"/>
        <v>3.3384522985935881E-2</v>
      </c>
      <c r="C51" s="64">
        <f t="shared" si="2"/>
        <v>0</v>
      </c>
    </row>
    <row r="52" spans="1:3" x14ac:dyDescent="0.2">
      <c r="A52" s="20">
        <v>4.2</v>
      </c>
      <c r="B52" s="64">
        <f t="shared" si="1"/>
        <v>3.3274889786970713E-2</v>
      </c>
      <c r="C52" s="64">
        <f t="shared" si="2"/>
        <v>0</v>
      </c>
    </row>
    <row r="53" spans="1:3" x14ac:dyDescent="0.2">
      <c r="A53" s="20">
        <v>4.3</v>
      </c>
      <c r="B53" s="64">
        <f t="shared" si="1"/>
        <v>3.3183307892540218E-2</v>
      </c>
      <c r="C53" s="64">
        <f t="shared" si="2"/>
        <v>0</v>
      </c>
    </row>
    <row r="54" spans="1:3" x14ac:dyDescent="0.2">
      <c r="A54" s="20">
        <v>4.4000000000000004</v>
      </c>
      <c r="B54" s="64">
        <f t="shared" si="1"/>
        <v>3.3105074993299691E-2</v>
      </c>
      <c r="C54" s="64">
        <f t="shared" si="2"/>
        <v>0</v>
      </c>
    </row>
    <row r="55" spans="1:3" x14ac:dyDescent="0.2">
      <c r="A55" s="20">
        <v>4.5</v>
      </c>
      <c r="B55" s="64">
        <f t="shared" si="1"/>
        <v>3.3036139256554423E-2</v>
      </c>
      <c r="C55" s="64">
        <f t="shared" si="2"/>
        <v>0</v>
      </c>
    </row>
    <row r="56" spans="1:3" x14ac:dyDescent="0.2">
      <c r="A56" s="20">
        <v>4.5999999999999996</v>
      </c>
      <c r="B56" s="64">
        <f t="shared" si="1"/>
        <v>3.297290744358844E-2</v>
      </c>
      <c r="C56" s="64">
        <f t="shared" si="2"/>
        <v>0</v>
      </c>
    </row>
    <row r="57" spans="1:3" x14ac:dyDescent="0.2">
      <c r="A57" s="20">
        <v>4.7</v>
      </c>
      <c r="B57" s="64">
        <f t="shared" si="1"/>
        <v>3.291206994508325E-2</v>
      </c>
      <c r="C57" s="64">
        <f t="shared" si="2"/>
        <v>0</v>
      </c>
    </row>
    <row r="58" spans="1:3" x14ac:dyDescent="0.2">
      <c r="A58" s="20">
        <v>4.8</v>
      </c>
      <c r="B58" s="64">
        <f t="shared" si="1"/>
        <v>3.2850436754628849E-2</v>
      </c>
      <c r="C58" s="64">
        <f t="shared" si="2"/>
        <v>0</v>
      </c>
    </row>
    <row r="59" spans="1:3" x14ac:dyDescent="0.2">
      <c r="A59" s="20">
        <v>4.9000000000000004</v>
      </c>
      <c r="B59" s="64">
        <f t="shared" si="1"/>
        <v>3.2784778168851753E-2</v>
      </c>
      <c r="C59" s="64">
        <f t="shared" si="2"/>
        <v>0</v>
      </c>
    </row>
    <row r="60" spans="1:3" x14ac:dyDescent="0.2">
      <c r="A60" s="20">
        <v>5</v>
      </c>
      <c r="B60" s="64">
        <f t="shared" si="1"/>
        <v>3.2711663930267844E-2</v>
      </c>
      <c r="C60" s="64">
        <f t="shared" si="2"/>
        <v>0</v>
      </c>
    </row>
    <row r="61" spans="1:3" x14ac:dyDescent="0.2">
      <c r="A61" s="20">
        <v>5.0999999999999996</v>
      </c>
      <c r="B61" s="64">
        <f t="shared" si="1"/>
        <v>3.2627294556085151E-2</v>
      </c>
      <c r="C61" s="64">
        <f t="shared" si="2"/>
        <v>0</v>
      </c>
    </row>
    <row r="62" spans="1:3" x14ac:dyDescent="0.2">
      <c r="A62" s="20">
        <v>5.2</v>
      </c>
      <c r="B62" s="64">
        <f t="shared" si="1"/>
        <v>3.2527318743270667E-2</v>
      </c>
      <c r="C62" s="64">
        <f t="shared" si="2"/>
        <v>0</v>
      </c>
    </row>
    <row r="63" spans="1:3" x14ac:dyDescent="0.2">
      <c r="A63" s="20">
        <v>5.3</v>
      </c>
      <c r="B63" s="64">
        <f t="shared" si="1"/>
        <v>3.2406631110720986E-2</v>
      </c>
      <c r="C63" s="64">
        <f t="shared" si="2"/>
        <v>0</v>
      </c>
    </row>
    <row r="64" spans="1:3" x14ac:dyDescent="0.2">
      <c r="A64" s="20">
        <v>5.4</v>
      </c>
      <c r="B64" s="64">
        <f t="shared" si="1"/>
        <v>3.2259145334480252E-2</v>
      </c>
      <c r="C64" s="64">
        <f t="shared" si="2"/>
        <v>0</v>
      </c>
    </row>
    <row r="65" spans="1:3" x14ac:dyDescent="0.2">
      <c r="A65" s="20">
        <v>5.5</v>
      </c>
      <c r="B65" s="64">
        <f t="shared" si="1"/>
        <v>3.207753927489275E-2</v>
      </c>
      <c r="C65" s="64">
        <f t="shared" si="2"/>
        <v>0</v>
      </c>
    </row>
    <row r="66" spans="1:3" x14ac:dyDescent="0.2">
      <c r="A66" s="20">
        <v>5.6</v>
      </c>
      <c r="B66" s="64">
        <f t="shared" si="1"/>
        <v>3.1852971459638446E-2</v>
      </c>
      <c r="C66" s="64">
        <f t="shared" si="2"/>
        <v>0</v>
      </c>
    </row>
    <row r="67" spans="1:3" x14ac:dyDescent="0.2">
      <c r="A67" s="20">
        <v>5.7</v>
      </c>
      <c r="B67" s="64">
        <f t="shared" si="1"/>
        <v>3.1574772919404664E-2</v>
      </c>
      <c r="C67" s="64">
        <f t="shared" si="2"/>
        <v>0</v>
      </c>
    </row>
    <row r="68" spans="1:3" x14ac:dyDescent="0.2">
      <c r="A68" s="20">
        <v>5.8</v>
      </c>
      <c r="B68" s="64">
        <f t="shared" si="1"/>
        <v>3.1230125674441868E-2</v>
      </c>
      <c r="C68" s="64">
        <f t="shared" si="2"/>
        <v>0</v>
      </c>
    </row>
    <row r="69" spans="1:3" x14ac:dyDescent="0.2">
      <c r="A69" s="20">
        <v>5.9</v>
      </c>
      <c r="B69" s="64">
        <f t="shared" si="1"/>
        <v>3.0803749991778262E-2</v>
      </c>
      <c r="C69" s="64">
        <f t="shared" si="2"/>
        <v>0</v>
      </c>
    </row>
    <row r="70" spans="1:3" x14ac:dyDescent="0.2">
      <c r="A70" s="20">
        <v>6</v>
      </c>
      <c r="B70" s="64">
        <f t="shared" si="1"/>
        <v>3.0277637494317763E-2</v>
      </c>
      <c r="C70" s="64">
        <f t="shared" si="2"/>
        <v>0</v>
      </c>
    </row>
    <row r="71" spans="1:3" x14ac:dyDescent="0.2">
      <c r="A71" s="20">
        <v>6.1</v>
      </c>
      <c r="B71" s="64">
        <f t="shared" si="1"/>
        <v>2.9630886108782794E-2</v>
      </c>
      <c r="C71" s="64">
        <f t="shared" si="2"/>
        <v>0</v>
      </c>
    </row>
    <row r="72" spans="1:3" x14ac:dyDescent="0.2">
      <c r="A72" s="20">
        <v>6.2</v>
      </c>
      <c r="B72" s="64">
        <f t="shared" si="1"/>
        <v>2.8839713658810901E-2</v>
      </c>
      <c r="C72" s="64">
        <f t="shared" si="2"/>
        <v>0</v>
      </c>
    </row>
    <row r="73" spans="1:3" x14ac:dyDescent="0.2">
      <c r="A73" s="20">
        <v>6.3</v>
      </c>
      <c r="B73" s="64">
        <f t="shared" si="1"/>
        <v>2.7877744284005988E-2</v>
      </c>
      <c r="C73" s="64">
        <f t="shared" si="2"/>
        <v>0</v>
      </c>
    </row>
    <row r="74" spans="1:3" x14ac:dyDescent="0.2">
      <c r="A74" s="20">
        <v>6.4</v>
      </c>
      <c r="B74" s="64">
        <f t="shared" si="1"/>
        <v>2.6716665431949674E-2</v>
      </c>
      <c r="C74" s="64">
        <f t="shared" si="2"/>
        <v>0</v>
      </c>
    </row>
    <row r="75" spans="1:3" x14ac:dyDescent="0.2">
      <c r="A75" s="20">
        <v>6.5</v>
      </c>
      <c r="B75" s="64">
        <f t="shared" si="1"/>
        <v>2.532732668498941E-2</v>
      </c>
      <c r="C75" s="64">
        <f t="shared" si="2"/>
        <v>0</v>
      </c>
    </row>
    <row r="76" spans="1:3" x14ac:dyDescent="0.2">
      <c r="A76" s="20">
        <v>6.6</v>
      </c>
      <c r="B76" s="64">
        <f t="shared" si="1"/>
        <v>2.3681274978059403E-2</v>
      </c>
      <c r="C76" s="64">
        <f t="shared" si="2"/>
        <v>0</v>
      </c>
    </row>
    <row r="77" spans="1:3" x14ac:dyDescent="0.2">
      <c r="A77" s="20">
        <v>6.7</v>
      </c>
      <c r="B77" s="64">
        <f t="shared" si="1"/>
        <v>2.1752577334341151E-2</v>
      </c>
      <c r="C77" s="64">
        <f t="shared" si="2"/>
        <v>0</v>
      </c>
    </row>
    <row r="78" spans="1:3" x14ac:dyDescent="0.2">
      <c r="A78" s="20">
        <v>6.8</v>
      </c>
      <c r="B78" s="64">
        <f t="shared" si="1"/>
        <v>1.9519574225990561E-2</v>
      </c>
      <c r="C78" s="64">
        <f t="shared" si="2"/>
        <v>0</v>
      </c>
    </row>
    <row r="79" spans="1:3" x14ac:dyDescent="0.2">
      <c r="A79" s="20">
        <v>6.9</v>
      </c>
      <c r="B79" s="64">
        <f t="shared" si="1"/>
        <v>1.6965973789974383E-2</v>
      </c>
      <c r="C79" s="64">
        <f t="shared" si="2"/>
        <v>0</v>
      </c>
    </row>
    <row r="80" spans="1:3" x14ac:dyDescent="0.2">
      <c r="A80" s="20">
        <v>7</v>
      </c>
      <c r="B80" s="64">
        <f t="shared" si="1"/>
        <v>1.4080526789693596E-2</v>
      </c>
      <c r="C80" s="64">
        <f t="shared" si="2"/>
        <v>0</v>
      </c>
    </row>
    <row r="81" spans="1:3" x14ac:dyDescent="0.2">
      <c r="A81" s="20">
        <v>7.1</v>
      </c>
      <c r="B81" s="64">
        <f t="shared" si="1"/>
        <v>1.0854530162518642E-2</v>
      </c>
      <c r="C81" s="64">
        <f t="shared" si="2"/>
        <v>0</v>
      </c>
    </row>
    <row r="82" spans="1:3" x14ac:dyDescent="0.2">
      <c r="A82" s="20">
        <v>7.2</v>
      </c>
      <c r="B82" s="64">
        <f t="shared" ref="B82:B100" si="3"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7.276676554452138E-3</v>
      </c>
      <c r="C82" s="64">
        <f t="shared" ref="C82:C99" si="4">IF(AND(B82&gt;=0,B83&lt;0),A82+0.1*B82/(B82-B83),0)</f>
        <v>0</v>
      </c>
    </row>
    <row r="83" spans="1:3" x14ac:dyDescent="0.2">
      <c r="A83" s="20">
        <v>7.3</v>
      </c>
      <c r="B83" s="64">
        <f t="shared" si="3"/>
        <v>3.3252688428751227E-3</v>
      </c>
      <c r="C83" s="64">
        <f t="shared" si="4"/>
        <v>7.3761471820171503</v>
      </c>
    </row>
    <row r="84" spans="1:3" x14ac:dyDescent="0.2">
      <c r="A84" s="20">
        <v>7.4</v>
      </c>
      <c r="B84" s="64">
        <f t="shared" si="3"/>
        <v>-1.0416279414683588E-3</v>
      </c>
      <c r="C84" s="64">
        <f t="shared" si="4"/>
        <v>0</v>
      </c>
    </row>
    <row r="85" spans="1:3" x14ac:dyDescent="0.2">
      <c r="A85" s="20">
        <v>7.5</v>
      </c>
      <c r="B85" s="64">
        <f t="shared" si="3"/>
        <v>-5.8971860782859728E-3</v>
      </c>
      <c r="C85" s="64">
        <f t="shared" si="4"/>
        <v>0</v>
      </c>
    </row>
    <row r="86" spans="1:3" x14ac:dyDescent="0.2">
      <c r="A86" s="20">
        <v>7.6</v>
      </c>
      <c r="B86" s="64">
        <f t="shared" si="3"/>
        <v>-1.1357132390000149E-2</v>
      </c>
      <c r="C86" s="64">
        <f t="shared" si="4"/>
        <v>0</v>
      </c>
    </row>
    <row r="87" spans="1:3" x14ac:dyDescent="0.2">
      <c r="A87" s="20">
        <v>7.7</v>
      </c>
      <c r="B87" s="64">
        <f t="shared" si="3"/>
        <v>-1.7591051221532129E-2</v>
      </c>
      <c r="C87" s="64">
        <f t="shared" si="4"/>
        <v>0</v>
      </c>
    </row>
    <row r="88" spans="1:3" x14ac:dyDescent="0.2">
      <c r="A88" s="20">
        <v>7.8</v>
      </c>
      <c r="B88" s="64">
        <f t="shared" si="3"/>
        <v>-2.4834081383202963E-2</v>
      </c>
      <c r="C88" s="64">
        <f t="shared" si="4"/>
        <v>0</v>
      </c>
    </row>
    <row r="89" spans="1:3" x14ac:dyDescent="0.2">
      <c r="A89" s="20">
        <v>7.9</v>
      </c>
      <c r="B89" s="64">
        <f t="shared" si="3"/>
        <v>-3.3400148091886857E-2</v>
      </c>
      <c r="C89" s="64">
        <f t="shared" si="4"/>
        <v>0</v>
      </c>
    </row>
    <row r="90" spans="1:3" x14ac:dyDescent="0.2">
      <c r="A90" s="20">
        <v>8</v>
      </c>
      <c r="B90" s="64">
        <f t="shared" si="3"/>
        <v>-4.3698443776948967E-2</v>
      </c>
      <c r="C90" s="64">
        <f t="shared" si="4"/>
        <v>0</v>
      </c>
    </row>
    <row r="91" spans="1:3" x14ac:dyDescent="0.2">
      <c r="A91" s="20">
        <v>8.1</v>
      </c>
      <c r="B91" s="64">
        <f t="shared" si="3"/>
        <v>-5.6255294638319062E-2</v>
      </c>
      <c r="C91" s="64">
        <f t="shared" si="4"/>
        <v>0</v>
      </c>
    </row>
    <row r="92" spans="1:3" x14ac:dyDescent="0.2">
      <c r="A92" s="20">
        <v>8.1999999999999993</v>
      </c>
      <c r="B92" s="64">
        <f t="shared" si="3"/>
        <v>-7.1743965497692963E-2</v>
      </c>
      <c r="C92" s="64">
        <f t="shared" si="4"/>
        <v>0</v>
      </c>
    </row>
    <row r="93" spans="1:3" x14ac:dyDescent="0.2">
      <c r="A93" s="20">
        <v>8.3000000000000007</v>
      </c>
      <c r="B93" s="64">
        <f t="shared" si="3"/>
        <v>-9.1025569288744251E-2</v>
      </c>
      <c r="C93" s="64">
        <f t="shared" si="4"/>
        <v>0</v>
      </c>
    </row>
    <row r="94" spans="1:3" x14ac:dyDescent="0.2">
      <c r="A94" s="20">
        <v>8.4</v>
      </c>
      <c r="B94" s="64">
        <f t="shared" si="3"/>
        <v>-0.11520528483710941</v>
      </c>
      <c r="C94" s="64">
        <f t="shared" si="4"/>
        <v>0</v>
      </c>
    </row>
    <row r="95" spans="1:3" x14ac:dyDescent="0.2">
      <c r="A95" s="20">
        <v>8.5</v>
      </c>
      <c r="B95" s="64">
        <f t="shared" si="3"/>
        <v>-0.14570980052831864</v>
      </c>
      <c r="C95" s="64">
        <f t="shared" si="4"/>
        <v>0</v>
      </c>
    </row>
    <row r="96" spans="1:3" x14ac:dyDescent="0.2">
      <c r="A96" s="20">
        <v>8.6</v>
      </c>
      <c r="B96" s="64">
        <f t="shared" si="3"/>
        <v>-0.18439462545018237</v>
      </c>
      <c r="C96" s="64">
        <f t="shared" si="4"/>
        <v>0</v>
      </c>
    </row>
    <row r="97" spans="1:7" x14ac:dyDescent="0.2">
      <c r="A97" s="20">
        <v>8.6999999999999993</v>
      </c>
      <c r="B97" s="64">
        <f t="shared" si="3"/>
        <v>-0.23369414228106924</v>
      </c>
      <c r="C97" s="64">
        <f t="shared" si="4"/>
        <v>0</v>
      </c>
    </row>
    <row r="98" spans="1:7" x14ac:dyDescent="0.2">
      <c r="A98" s="20">
        <v>8.8000000000000007</v>
      </c>
      <c r="B98" s="64">
        <f t="shared" si="3"/>
        <v>-0.29683379986713238</v>
      </c>
      <c r="C98" s="64">
        <f t="shared" si="4"/>
        <v>0</v>
      </c>
    </row>
    <row r="99" spans="1:7" x14ac:dyDescent="0.2">
      <c r="A99" s="20">
        <v>8.9</v>
      </c>
      <c r="B99" s="64">
        <f t="shared" si="3"/>
        <v>-0.3781338949228632</v>
      </c>
      <c r="C99" s="64">
        <f t="shared" si="4"/>
        <v>0</v>
      </c>
    </row>
    <row r="100" spans="1:7" x14ac:dyDescent="0.2">
      <c r="A100" s="20">
        <v>9</v>
      </c>
      <c r="B100" s="64">
        <f t="shared" si="3"/>
        <v>-0.48344992527027159</v>
      </c>
      <c r="C100" s="64">
        <f>0</f>
        <v>0</v>
      </c>
    </row>
    <row r="101" spans="1:7" s="98" customFormat="1" x14ac:dyDescent="0.2">
      <c r="B101" s="128"/>
      <c r="C101" s="128"/>
    </row>
    <row r="102" spans="1:7" x14ac:dyDescent="0.2">
      <c r="A102" s="16" t="s">
        <v>24</v>
      </c>
      <c r="B102" s="16" t="s">
        <v>25</v>
      </c>
      <c r="C102" s="16" t="s">
        <v>26</v>
      </c>
      <c r="D102" s="16" t="s">
        <v>27</v>
      </c>
      <c r="E102" s="16" t="s">
        <v>133</v>
      </c>
    </row>
    <row r="103" spans="1:7" x14ac:dyDescent="0.2">
      <c r="A103" s="17" t="s">
        <v>965</v>
      </c>
      <c r="B103" s="18" t="s">
        <v>966</v>
      </c>
      <c r="C103" s="19" t="s">
        <v>967</v>
      </c>
      <c r="D103" s="62">
        <f>IF(n_cross=1,SUM(C50:C100),NA())</f>
        <v>7.3761471820171503</v>
      </c>
      <c r="E103" s="51" t="s">
        <v>968</v>
      </c>
      <c r="F103" s="107" t="s">
        <v>969</v>
      </c>
    </row>
    <row r="104" spans="1:7" x14ac:dyDescent="0.2">
      <c r="A104" s="17" t="s">
        <v>970</v>
      </c>
      <c r="B104" s="18" t="s">
        <v>971</v>
      </c>
      <c r="C104" s="19" t="s">
        <v>972</v>
      </c>
      <c r="D104" s="62">
        <f>1/(1+10^(pH_op-pKa_HOCl))</f>
        <v>0.59321812496000326</v>
      </c>
      <c r="E104" s="51" t="s">
        <v>973</v>
      </c>
    </row>
    <row r="105" spans="1:7" ht="36" x14ac:dyDescent="0.2">
      <c r="A105" s="17" t="s">
        <v>1028</v>
      </c>
      <c r="B105" s="18" t="s">
        <v>1029</v>
      </c>
      <c r="C105" s="19" t="s">
        <v>1030</v>
      </c>
      <c r="D105" s="62">
        <f>SUMPRODUCT((B50:B99&gt;=0)*(B51:B100&lt;0))</f>
        <v>1</v>
      </c>
      <c r="E105" s="51" t="s">
        <v>1031</v>
      </c>
      <c r="F105" s="20"/>
    </row>
    <row r="106" spans="1:7" ht="48" x14ac:dyDescent="0.2">
      <c r="A106" s="110" t="s">
        <v>974</v>
      </c>
      <c r="G106" s="69" t="s">
        <v>1033</v>
      </c>
    </row>
    <row r="107" spans="1:7" ht="328" x14ac:dyDescent="0.2">
      <c r="A107" s="17" t="s">
        <v>1088</v>
      </c>
      <c r="B107" s="18" t="s">
        <v>975</v>
      </c>
      <c r="C107" s="19" t="s">
        <v>976</v>
      </c>
      <c r="D107" s="62">
        <f>Iappc/(2*Fcc)*52460*3600/VLc</f>
        <v>371.24490544791416</v>
      </c>
      <c r="E107" s="51" t="s">
        <v>1090</v>
      </c>
      <c r="G107" s="69" t="s">
        <v>1034</v>
      </c>
    </row>
    <row r="108" spans="1:7" ht="284" x14ac:dyDescent="0.2">
      <c r="A108" s="17" t="s">
        <v>977</v>
      </c>
      <c r="B108" s="18" t="s">
        <v>978</v>
      </c>
      <c r="C108" s="19" t="s">
        <v>979</v>
      </c>
      <c r="D108" s="62">
        <f>1/(bleach_rate)*60</f>
        <v>0.16161837945657148</v>
      </c>
      <c r="E108" s="51" t="s">
        <v>980</v>
      </c>
      <c r="G108" s="69" t="s">
        <v>1035</v>
      </c>
    </row>
    <row r="109" spans="1:7" ht="204" x14ac:dyDescent="0.2">
      <c r="A109" s="17" t="s">
        <v>981</v>
      </c>
      <c r="B109" s="18" t="s">
        <v>982</v>
      </c>
      <c r="C109" s="19" t="s">
        <v>983</v>
      </c>
      <c r="D109" s="64" t="str">
        <f>IF(C_eff&lt;Cl_onset,"negligible free chlorine ("&amp;TEXT(C_eff,"0.00")&amp;" mg/L &lt; onset); does NOT account for the Exp-2 death - see metal_flag",IF(C_eff&lt;Cl_kill,"sub-lethal "&amp;TEXT(C_eff,"0.00")&amp;" mg/L (band "&amp;TEXT(C_eff_lo,"0.00")&amp;"-"&amp;TEXT(C_eff_hi,"0.00")&amp;"); chloride-pool-bounded, cannot reach the kill threshold in this medium; does NOT explain the death - see metal_flag","SEVERE free chlorine: "&amp;TEXT(C_eff,"0.0")&amp;" mg/L biofilm/electrode damage (Baek 2021)"))</f>
        <v>sub-lethal 0.38 mg/L (band 0.01-0.53); chloride-pool-bounded, cannot reach the kill threshold in this medium; does NOT explain the death - see metal_flag</v>
      </c>
      <c r="E109" s="51" t="s">
        <v>1166</v>
      </c>
      <c r="G109" s="69" t="s">
        <v>1036</v>
      </c>
    </row>
    <row r="110" spans="1:7" ht="328" x14ac:dyDescent="0.2">
      <c r="A110" s="17" t="s">
        <v>984</v>
      </c>
      <c r="B110" s="18" t="s">
        <v>985</v>
      </c>
      <c r="C110" s="19" t="s">
        <v>986</v>
      </c>
      <c r="D110" s="64" t="str">
        <f>IF(pH_op&lt;6.5,"pH BELOW HOB optimum (&lt;6.5) — reduce CO₂ dose",IF(pH_op&gt;7.5,"pH above optimum (&gt;7.5)","pH in HOB band 6.5–7.5"))</f>
        <v>pH in HOB band 6.5–7.5</v>
      </c>
      <c r="E110" s="51" t="s">
        <v>987</v>
      </c>
      <c r="G110" s="69" t="s">
        <v>1037</v>
      </c>
    </row>
    <row r="112" spans="1:7" ht="16" x14ac:dyDescent="0.2">
      <c r="A112" s="110" t="s">
        <v>988</v>
      </c>
    </row>
    <row r="113" spans="1:5" x14ac:dyDescent="0.2">
      <c r="A113" s="16" t="s">
        <v>989</v>
      </c>
      <c r="B113" s="16" t="s">
        <v>990</v>
      </c>
      <c r="C113" s="16" t="s">
        <v>991</v>
      </c>
      <c r="D113" s="16" t="s">
        <v>992</v>
      </c>
      <c r="E113" s="16" t="s">
        <v>993</v>
      </c>
    </row>
    <row r="114" spans="1:5" x14ac:dyDescent="0.2">
      <c r="A114" s="20" t="s">
        <v>994</v>
      </c>
      <c r="B114" s="20" t="s">
        <v>995</v>
      </c>
      <c r="C114" s="62">
        <f>PT_mc02*1000</f>
        <v>40.007195769523626</v>
      </c>
      <c r="D114" s="20" t="s">
        <v>996</v>
      </c>
      <c r="E114" s="20" t="s">
        <v>997</v>
      </c>
    </row>
    <row r="115" spans="1:5" x14ac:dyDescent="0.2">
      <c r="A115" s="20" t="s">
        <v>998</v>
      </c>
      <c r="B115" s="20" t="s">
        <v>999</v>
      </c>
      <c r="C115" s="62">
        <f>PT_udg*1000</f>
        <v>37.329366919026846</v>
      </c>
      <c r="D115" s="20" t="s">
        <v>1000</v>
      </c>
      <c r="E115" s="20" t="s">
        <v>1001</v>
      </c>
    </row>
    <row r="123" spans="1:5" ht="16" x14ac:dyDescent="0.2">
      <c r="A123" s="110"/>
    </row>
    <row r="125" spans="1:5" ht="36" x14ac:dyDescent="0.2">
      <c r="A125" s="17" t="s">
        <v>1089</v>
      </c>
      <c r="B125" s="18" t="s">
        <v>1002</v>
      </c>
      <c r="C125" s="19" t="s">
        <v>1003</v>
      </c>
      <c r="D125" s="62">
        <f>pH_Cl*pH_fHOCl*52460</f>
        <v>5.6082578546407955</v>
      </c>
      <c r="E125" s="51" t="s">
        <v>1091</v>
      </c>
    </row>
    <row r="127" spans="1:5" ht="16" x14ac:dyDescent="0.2">
      <c r="A127" s="110" t="s">
        <v>1096</v>
      </c>
    </row>
    <row r="128" spans="1:5" ht="48" x14ac:dyDescent="0.2">
      <c r="A128" s="17" t="s">
        <v>1097</v>
      </c>
      <c r="B128" s="18" t="s">
        <v>1098</v>
      </c>
      <c r="C128" s="19" t="s">
        <v>1099</v>
      </c>
      <c r="D128" s="52">
        <v>0.5</v>
      </c>
      <c r="E128" s="51" t="s">
        <v>1100</v>
      </c>
    </row>
    <row r="129" spans="1:5" ht="24" x14ac:dyDescent="0.2">
      <c r="A129" s="17" t="s">
        <v>1101</v>
      </c>
      <c r="B129" s="18" t="s">
        <v>1102</v>
      </c>
      <c r="C129" s="19" t="s">
        <v>1103</v>
      </c>
      <c r="D129" s="52">
        <v>3.0000000000000001E-3</v>
      </c>
      <c r="E129" s="51" t="s">
        <v>1104</v>
      </c>
    </row>
    <row r="130" spans="1:5" ht="24" x14ac:dyDescent="0.2">
      <c r="A130" s="17" t="s">
        <v>1105</v>
      </c>
      <c r="B130" s="18" t="s">
        <v>1106</v>
      </c>
      <c r="C130" s="19" t="s">
        <v>1107</v>
      </c>
      <c r="D130" s="52">
        <v>5</v>
      </c>
      <c r="E130" s="51" t="s">
        <v>1108</v>
      </c>
    </row>
    <row r="131" spans="1:5" x14ac:dyDescent="0.2">
      <c r="A131" s="17" t="s">
        <v>1109</v>
      </c>
      <c r="B131" s="18" t="s">
        <v>1110</v>
      </c>
      <c r="C131" s="19" t="s">
        <v>1111</v>
      </c>
      <c r="D131" s="62">
        <f>Iappc*FE_CER</f>
        <v>2.8449999999999999E-3</v>
      </c>
      <c r="E131" s="51" t="s">
        <v>1112</v>
      </c>
    </row>
    <row r="132" spans="1:5" ht="36" x14ac:dyDescent="0.2">
      <c r="A132" s="17" t="s">
        <v>1113</v>
      </c>
      <c r="B132" s="18" t="s">
        <v>1114</v>
      </c>
      <c r="C132" s="19" t="s">
        <v>1111</v>
      </c>
      <c r="D132" s="62">
        <f>Fcc*km_Cl*(pH_Cl/1000)*A_anode</f>
        <v>2.6081816215534336E-4</v>
      </c>
      <c r="E132" s="51" t="s">
        <v>1115</v>
      </c>
    </row>
    <row r="133" spans="1:5" x14ac:dyDescent="0.2">
      <c r="A133" s="17" t="s">
        <v>1116</v>
      </c>
      <c r="B133" s="18" t="s">
        <v>1117</v>
      </c>
      <c r="C133" s="19" t="s">
        <v>1111</v>
      </c>
      <c r="D133" s="62">
        <f>MIN(I_Cl_FE,I_Cl_mt)</f>
        <v>2.6081816215534336E-4</v>
      </c>
      <c r="E133" s="51" t="s">
        <v>1118</v>
      </c>
    </row>
    <row r="134" spans="1:5" x14ac:dyDescent="0.2">
      <c r="A134" s="17" t="s">
        <v>1119</v>
      </c>
      <c r="B134" s="18" t="s">
        <v>1120</v>
      </c>
      <c r="C134" s="19" t="s">
        <v>1121</v>
      </c>
      <c r="D134" s="62">
        <f>I_Cl/(n_e_Cl*Fcc*VLc)</f>
        <v>1.8021265092809519E-7</v>
      </c>
      <c r="E134" s="51" t="s">
        <v>1122</v>
      </c>
    </row>
    <row r="135" spans="1:5" x14ac:dyDescent="0.2">
      <c r="A135" s="17" t="s">
        <v>1123</v>
      </c>
      <c r="B135" s="18" t="s">
        <v>1124</v>
      </c>
      <c r="C135" s="19" t="s">
        <v>1125</v>
      </c>
      <c r="D135" s="62">
        <f>pH_NT*14007</f>
        <v>99.641138186771613</v>
      </c>
      <c r="E135" s="51" t="s">
        <v>1126</v>
      </c>
    </row>
    <row r="136" spans="1:5" ht="36" x14ac:dyDescent="0.2">
      <c r="A136" s="17" t="s">
        <v>1127</v>
      </c>
      <c r="B136" s="18" t="s">
        <v>1128</v>
      </c>
      <c r="C136" s="19" t="s">
        <v>1129</v>
      </c>
      <c r="D136" s="52">
        <v>4200000</v>
      </c>
      <c r="E136" s="51" t="s">
        <v>1130</v>
      </c>
    </row>
    <row r="137" spans="1:5" ht="36" x14ac:dyDescent="0.2">
      <c r="A137" s="17" t="s">
        <v>1131</v>
      </c>
      <c r="B137" s="18" t="s">
        <v>1132</v>
      </c>
      <c r="C137" s="19" t="s">
        <v>1099</v>
      </c>
      <c r="D137" s="52">
        <v>9.25</v>
      </c>
      <c r="E137" s="51" t="s">
        <v>1133</v>
      </c>
    </row>
    <row r="138" spans="1:5" ht="24" x14ac:dyDescent="0.2">
      <c r="A138" s="17" t="s">
        <v>1134</v>
      </c>
      <c r="B138" s="18" t="s">
        <v>1135</v>
      </c>
      <c r="C138" s="19" t="s">
        <v>1136</v>
      </c>
      <c r="D138" s="62">
        <f>pH_NT/(1+10^(pKa_NH4-pH_op))</f>
        <v>9.3858256339933826E-5</v>
      </c>
      <c r="E138" s="51" t="s">
        <v>1137</v>
      </c>
    </row>
    <row r="139" spans="1:5" ht="24" x14ac:dyDescent="0.2">
      <c r="A139" s="17" t="s">
        <v>1138</v>
      </c>
      <c r="B139" s="18" t="s">
        <v>1139</v>
      </c>
      <c r="C139" s="19" t="s">
        <v>1136</v>
      </c>
      <c r="D139" s="62">
        <f>P_HOCl/(k1_NH2Cl*NH3_free)</f>
        <v>4.5715503040133623E-10</v>
      </c>
      <c r="E139" s="51" t="s">
        <v>1140</v>
      </c>
    </row>
    <row r="140" spans="1:5" ht="24" x14ac:dyDescent="0.2">
      <c r="A140" s="17" t="s">
        <v>1141</v>
      </c>
      <c r="B140" s="18" t="s">
        <v>1142</v>
      </c>
      <c r="C140" s="19" t="s">
        <v>1125</v>
      </c>
      <c r="D140" s="62">
        <f>HOCl_ss*52460</f>
        <v>2.3982352894854098E-5</v>
      </c>
      <c r="E140" s="51" t="s">
        <v>1143</v>
      </c>
    </row>
    <row r="141" spans="1:5" ht="48" x14ac:dyDescent="0.2">
      <c r="A141" s="17" t="s">
        <v>1144</v>
      </c>
      <c r="B141" s="18" t="s">
        <v>1145</v>
      </c>
      <c r="C141" s="19" t="s">
        <v>1099</v>
      </c>
      <c r="D141" s="52">
        <v>10</v>
      </c>
      <c r="E141" s="51" t="s">
        <v>1146</v>
      </c>
    </row>
    <row r="142" spans="1:5" ht="36" x14ac:dyDescent="0.2">
      <c r="A142" s="17" t="s">
        <v>1147</v>
      </c>
      <c r="B142" s="18" t="s">
        <v>1148</v>
      </c>
      <c r="C142" s="19" t="s">
        <v>1149</v>
      </c>
      <c r="D142" s="52">
        <v>1</v>
      </c>
      <c r="E142" s="51" t="s">
        <v>1150</v>
      </c>
    </row>
    <row r="143" spans="1:5" ht="36" x14ac:dyDescent="0.2">
      <c r="A143" s="17" t="s">
        <v>1151</v>
      </c>
      <c r="B143" s="18" t="s">
        <v>1152</v>
      </c>
      <c r="C143" s="19" t="s">
        <v>1125</v>
      </c>
      <c r="D143" s="62">
        <f>MIN(P_HOCl*tau_NH2Cl*3600*52460,5.06*NH3_N,Cl_pool_mgL)</f>
        <v>9.4539556676878718</v>
      </c>
      <c r="E143" s="51" t="s">
        <v>1153</v>
      </c>
    </row>
    <row r="144" spans="1:5" ht="36" x14ac:dyDescent="0.2">
      <c r="A144" s="17" t="s">
        <v>1154</v>
      </c>
      <c r="B144" s="18" t="s">
        <v>1155</v>
      </c>
      <c r="C144" s="19" t="s">
        <v>1099</v>
      </c>
      <c r="D144" s="52">
        <v>25</v>
      </c>
      <c r="E144" s="51" t="s">
        <v>1156</v>
      </c>
    </row>
    <row r="145" spans="1:5" ht="36" x14ac:dyDescent="0.2">
      <c r="A145" s="17" t="s">
        <v>1157</v>
      </c>
      <c r="B145" s="18" t="s">
        <v>1158</v>
      </c>
      <c r="C145" s="19" t="s">
        <v>1125</v>
      </c>
      <c r="D145" s="62">
        <f>f_local*HOCl_ss_mgL+NH2Cl_mgL/R_chloramine</f>
        <v>0.37839805023646339</v>
      </c>
      <c r="E145" s="51" t="s">
        <v>1159</v>
      </c>
    </row>
    <row r="146" spans="1:5" ht="36" x14ac:dyDescent="0.2">
      <c r="A146" s="17" t="s">
        <v>1160</v>
      </c>
      <c r="B146" s="18" t="s">
        <v>1161</v>
      </c>
      <c r="C146" s="19" t="s">
        <v>1125</v>
      </c>
      <c r="D146" s="52">
        <v>0.1</v>
      </c>
      <c r="E146" s="51" t="s">
        <v>1162</v>
      </c>
    </row>
    <row r="147" spans="1:5" ht="24" x14ac:dyDescent="0.2">
      <c r="A147" s="17" t="s">
        <v>1163</v>
      </c>
      <c r="B147" s="18" t="s">
        <v>1164</v>
      </c>
      <c r="C147" s="19" t="s">
        <v>1125</v>
      </c>
      <c r="D147" s="52">
        <v>2</v>
      </c>
      <c r="E147" s="51" t="s">
        <v>1165</v>
      </c>
    </row>
    <row r="148" spans="1:5" ht="24" x14ac:dyDescent="0.2">
      <c r="A148" s="17" t="s">
        <v>1259</v>
      </c>
      <c r="B148" s="18" t="s">
        <v>1260</v>
      </c>
      <c r="C148" s="19" t="s">
        <v>1261</v>
      </c>
      <c r="D148" s="62">
        <f>IF(I_Cl_mt&lt;=I_Cl_FE,1,2)</f>
        <v>1</v>
      </c>
      <c r="E148" s="51" t="s">
        <v>1262</v>
      </c>
    </row>
    <row r="149" spans="1:5" ht="36" x14ac:dyDescent="0.2">
      <c r="A149" s="17" t="s">
        <v>1263</v>
      </c>
      <c r="B149" s="18" t="s">
        <v>1264</v>
      </c>
      <c r="C149" s="19" t="s">
        <v>1265</v>
      </c>
      <c r="D149" s="62">
        <f>pH_Cl*52460</f>
        <v>9.4539556676878718</v>
      </c>
      <c r="E149" s="51" t="s">
        <v>1266</v>
      </c>
    </row>
    <row r="150" spans="1:5" ht="24" x14ac:dyDescent="0.2">
      <c r="A150" s="17" t="s">
        <v>1267</v>
      </c>
      <c r="B150" s="18" t="s">
        <v>1268</v>
      </c>
      <c r="C150" s="19" t="s">
        <v>1269</v>
      </c>
      <c r="D150" s="52">
        <v>1.6666666666666666E-2</v>
      </c>
      <c r="E150" s="75" t="s">
        <v>1270</v>
      </c>
    </row>
    <row r="151" spans="1:5" ht="24" x14ac:dyDescent="0.2">
      <c r="A151" s="17" t="s">
        <v>1271</v>
      </c>
      <c r="B151" s="18" t="s">
        <v>1272</v>
      </c>
      <c r="C151" s="19" t="s">
        <v>1273</v>
      </c>
      <c r="D151" s="52">
        <v>5</v>
      </c>
      <c r="E151" s="75" t="s">
        <v>1274</v>
      </c>
    </row>
    <row r="152" spans="1:5" ht="24" x14ac:dyDescent="0.2">
      <c r="A152" s="17" t="s">
        <v>1275</v>
      </c>
      <c r="B152" s="18" t="s">
        <v>1276</v>
      </c>
      <c r="C152" s="19" t="s">
        <v>1277</v>
      </c>
      <c r="D152" s="52">
        <v>18</v>
      </c>
      <c r="E152" s="75" t="s">
        <v>1278</v>
      </c>
    </row>
    <row r="153" spans="1:5" x14ac:dyDescent="0.2">
      <c r="A153" s="17" t="s">
        <v>1279</v>
      </c>
      <c r="B153" s="18" t="s">
        <v>1280</v>
      </c>
      <c r="C153" s="19" t="s">
        <v>1281</v>
      </c>
      <c r="D153" s="52">
        <v>70</v>
      </c>
      <c r="E153" s="75" t="s">
        <v>1282</v>
      </c>
    </row>
    <row r="154" spans="1:5" x14ac:dyDescent="0.2">
      <c r="A154" s="17" t="s">
        <v>1283</v>
      </c>
      <c r="B154" s="18" t="s">
        <v>1284</v>
      </c>
      <c r="C154" s="19" t="s">
        <v>1285</v>
      </c>
      <c r="D154" s="62">
        <f>MIN(P_HOCl*tau_NH2Cl_lo*3600*52460,5.06*NH3_N,Cl_pool_mgL)</f>
        <v>0.56723734006127247</v>
      </c>
      <c r="E154" s="51" t="s">
        <v>1286</v>
      </c>
    </row>
    <row r="155" spans="1:5" x14ac:dyDescent="0.2">
      <c r="A155" s="17" t="s">
        <v>1287</v>
      </c>
      <c r="B155" s="18" t="s">
        <v>1288</v>
      </c>
      <c r="C155" s="19" t="s">
        <v>1289</v>
      </c>
      <c r="D155" s="62">
        <f>MIN(P_HOCl*tau_NH2Cl_hi*3600*52460,5.06*NH3_N,Cl_pool_mgL)</f>
        <v>9.4539556676878718</v>
      </c>
      <c r="E155" s="51" t="s">
        <v>1290</v>
      </c>
    </row>
    <row r="156" spans="1:5" x14ac:dyDescent="0.2">
      <c r="A156" s="17" t="s">
        <v>1291</v>
      </c>
      <c r="B156" s="18" t="s">
        <v>1292</v>
      </c>
      <c r="C156" s="19" t="s">
        <v>1293</v>
      </c>
      <c r="D156" s="62">
        <f>f_local*HOCl_ss_mgL+NH2Cl_lo/R_chloramine_hi</f>
        <v>8.3432141012524334E-3</v>
      </c>
      <c r="E156" s="51" t="s">
        <v>1294</v>
      </c>
    </row>
    <row r="157" spans="1:5" ht="24" x14ac:dyDescent="0.2">
      <c r="A157" s="17" t="s">
        <v>1295</v>
      </c>
      <c r="B157" s="18" t="s">
        <v>1296</v>
      </c>
      <c r="C157" s="19" t="s">
        <v>1297</v>
      </c>
      <c r="D157" s="62">
        <f>f_local*HOCl_ss_mgL+NH2Cl_hi/R_chloramine_lo</f>
        <v>0.52545958284494143</v>
      </c>
      <c r="E157" s="51" t="s">
        <v>1298</v>
      </c>
    </row>
    <row r="158" spans="1:5" ht="24" x14ac:dyDescent="0.2">
      <c r="A158" s="17" t="s">
        <v>1299</v>
      </c>
      <c r="B158" s="18" t="s">
        <v>1300</v>
      </c>
      <c r="C158" s="19" t="s">
        <v>1301</v>
      </c>
      <c r="D158" s="52"/>
      <c r="E158" s="57" t="s">
        <v>1302</v>
      </c>
    </row>
    <row r="159" spans="1:5" x14ac:dyDescent="0.2">
      <c r="A159" s="17" t="s">
        <v>1303</v>
      </c>
      <c r="B159" s="18" t="s">
        <v>1304</v>
      </c>
      <c r="C159" s="19" t="s">
        <v>1305</v>
      </c>
      <c r="D159" s="52">
        <v>63.55</v>
      </c>
      <c r="E159" s="51" t="s">
        <v>1306</v>
      </c>
    </row>
    <row r="160" spans="1:5" x14ac:dyDescent="0.2">
      <c r="A160" s="17" t="s">
        <v>1307</v>
      </c>
      <c r="B160" s="18" t="s">
        <v>1308</v>
      </c>
      <c r="C160" s="19" t="s">
        <v>1309</v>
      </c>
      <c r="D160" s="52">
        <v>2</v>
      </c>
      <c r="E160" s="51" t="s">
        <v>1310</v>
      </c>
    </row>
    <row r="161" spans="1:5" ht="24" x14ac:dyDescent="0.2">
      <c r="A161" s="17" t="s">
        <v>1311</v>
      </c>
      <c r="B161" s="18" t="s">
        <v>1312</v>
      </c>
      <c r="C161" s="19" t="s">
        <v>1313</v>
      </c>
      <c r="D161" s="62" t="e">
        <f>IF(ISNUMBER(corr_I_frac),corr_I_frac*Iappc/(metal_z*Fcc)*metal_MW*1000*3600/VLc,NA())</f>
        <v>#N/A</v>
      </c>
      <c r="E161" s="57" t="s">
        <v>1314</v>
      </c>
    </row>
    <row r="162" spans="1:5" ht="24" x14ac:dyDescent="0.2">
      <c r="A162" s="17" t="s">
        <v>1315</v>
      </c>
      <c r="B162" s="18" t="s">
        <v>1316</v>
      </c>
      <c r="C162" s="19" t="s">
        <v>1317</v>
      </c>
      <c r="D162" s="52">
        <v>0.5</v>
      </c>
      <c r="E162" s="51" t="s">
        <v>1318</v>
      </c>
    </row>
    <row r="163" spans="1:5" x14ac:dyDescent="0.2">
      <c r="A163" s="17" t="s">
        <v>1319</v>
      </c>
      <c r="B163" s="18" t="s">
        <v>1320</v>
      </c>
      <c r="C163" s="19" t="s">
        <v>1321</v>
      </c>
      <c r="D163" s="64" t="str">
        <f>IF(ISNUMBER(corr_I_frac),"metal leach "&amp;TEXT(metal_leach_rate,"0.00")&amp;" mg/L/h vs ~"&amp;TEXT(metal_tox_thresh,"0.0")&amp;" mg/L bactericidal threshold","DATA GAP - measure dissolved Cu/Ni/Fe in spent medium; the green anode implicates electrode corrosion / metal leaching as the unmodelled prime suspect for the Exp-2 death")</f>
        <v>DATA GAP - measure dissolved Cu/Ni/Fe in spent medium; the green anode implicates electrode corrosion / metal leaching as the unmodelled prime suspect for the Exp-2 death</v>
      </c>
      <c r="E163" s="57" t="s">
        <v>1322</v>
      </c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zoomScale="89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0" t="s">
        <v>406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ht="16" customHeight="1" x14ac:dyDescent="0.2">
      <c r="A3" s="110" t="s">
        <v>134</v>
      </c>
      <c r="B3" s="18"/>
      <c r="C3" s="19"/>
      <c r="D3" s="111"/>
      <c r="E3" s="20"/>
      <c r="F3" s="20"/>
    </row>
    <row r="4" spans="1:6" x14ac:dyDescent="0.2">
      <c r="A4" s="20" t="s">
        <v>407</v>
      </c>
      <c r="B4" s="18" t="s">
        <v>356</v>
      </c>
      <c r="C4" s="20" t="s">
        <v>357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408</v>
      </c>
      <c r="B5" s="18" t="s">
        <v>382</v>
      </c>
      <c r="C5" s="20" t="s">
        <v>357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409</v>
      </c>
      <c r="B6" s="18" t="s">
        <v>230</v>
      </c>
      <c r="C6" s="20" t="s">
        <v>59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410</v>
      </c>
      <c r="B7" s="18" t="s">
        <v>38</v>
      </c>
      <c r="C7" s="20"/>
      <c r="D7" s="38" t="str">
        <f>Summary!$D$4</f>
        <v>UdG (mixed)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410</v>
      </c>
      <c r="B8" s="18" t="s">
        <v>38</v>
      </c>
      <c r="C8" s="20"/>
      <c r="D8" s="38" t="str">
        <f>Summary!$D$4</f>
        <v>UdG (mixed)</v>
      </c>
      <c r="E8" s="23" t="str">
        <f>HYPERLINK("#Summary!D5","→ Summary")</f>
        <v>→ Summary</v>
      </c>
      <c r="F8" s="20"/>
    </row>
    <row r="9" spans="1:6" x14ac:dyDescent="0.2">
      <c r="A9" s="119"/>
      <c r="B9" s="18"/>
      <c r="C9" s="19"/>
      <c r="D9" s="60"/>
      <c r="E9" s="20"/>
      <c r="F9" s="20"/>
    </row>
    <row r="10" spans="1:6" ht="36" customHeight="1" x14ac:dyDescent="0.2">
      <c r="A10" s="17" t="s">
        <v>411</v>
      </c>
      <c r="B10" s="18" t="s">
        <v>412</v>
      </c>
      <c r="C10" s="19" t="s">
        <v>137</v>
      </c>
      <c r="D10" s="111">
        <v>6</v>
      </c>
      <c r="E10" s="61" t="s">
        <v>413</v>
      </c>
      <c r="F10" s="20"/>
    </row>
    <row r="11" spans="1:6" x14ac:dyDescent="0.2">
      <c r="A11" s="17" t="s">
        <v>414</v>
      </c>
      <c r="B11" s="18" t="s">
        <v>415</v>
      </c>
      <c r="C11" s="19" t="s">
        <v>137</v>
      </c>
      <c r="D11" s="111">
        <v>2</v>
      </c>
      <c r="E11" s="61" t="s">
        <v>416</v>
      </c>
      <c r="F11" s="20"/>
    </row>
    <row r="12" spans="1:6" x14ac:dyDescent="0.2">
      <c r="A12" s="17" t="s">
        <v>417</v>
      </c>
      <c r="B12" s="18" t="s">
        <v>418</v>
      </c>
      <c r="C12" s="19" t="s">
        <v>137</v>
      </c>
      <c r="D12" s="111">
        <v>1</v>
      </c>
      <c r="E12" s="61" t="s">
        <v>419</v>
      </c>
      <c r="F12" s="20"/>
    </row>
    <row r="13" spans="1:6" x14ac:dyDescent="0.2">
      <c r="A13" s="17" t="s">
        <v>420</v>
      </c>
      <c r="B13" s="18" t="s">
        <v>421</v>
      </c>
      <c r="C13" s="19" t="s">
        <v>357</v>
      </c>
      <c r="D13" s="48">
        <f>rH2_gen</f>
        <v>1.0615084982307878E-4</v>
      </c>
      <c r="E13" s="37" t="s">
        <v>422</v>
      </c>
      <c r="F13" s="20"/>
    </row>
    <row r="14" spans="1:6" ht="26" customHeight="1" x14ac:dyDescent="0.2">
      <c r="A14" s="17" t="s">
        <v>423</v>
      </c>
      <c r="B14" s="18" t="s">
        <v>424</v>
      </c>
      <c r="C14" s="19" t="s">
        <v>357</v>
      </c>
      <c r="D14" s="48">
        <f>H2_cons*bio_O2/bio_H2</f>
        <v>3.5383616607692927E-5</v>
      </c>
      <c r="E14" s="113" t="s">
        <v>425</v>
      </c>
      <c r="F14" s="20"/>
    </row>
    <row r="15" spans="1:6" x14ac:dyDescent="0.2">
      <c r="A15" s="17" t="s">
        <v>426</v>
      </c>
      <c r="B15" s="18" t="s">
        <v>427</v>
      </c>
      <c r="C15" s="19" t="s">
        <v>357</v>
      </c>
      <c r="D15" s="48">
        <f>H2_cons*bio_CO2/bio_H2</f>
        <v>1.7691808303846464E-5</v>
      </c>
      <c r="E15" s="37" t="s">
        <v>428</v>
      </c>
      <c r="F15" s="20"/>
    </row>
    <row r="16" spans="1:6" x14ac:dyDescent="0.2">
      <c r="A16" s="119" t="s">
        <v>429</v>
      </c>
      <c r="B16" s="18" t="s">
        <v>430</v>
      </c>
      <c r="C16" s="19" t="s">
        <v>357</v>
      </c>
      <c r="D16" s="48">
        <f>O2_net_gen-O2_cons</f>
        <v>1.769180830384646E-5</v>
      </c>
      <c r="E16" s="123" t="s">
        <v>431</v>
      </c>
      <c r="F16" s="20"/>
    </row>
    <row r="17" spans="1:6" x14ac:dyDescent="0.2">
      <c r="A17" s="17" t="s">
        <v>432</v>
      </c>
      <c r="B17" s="18" t="s">
        <v>433</v>
      </c>
      <c r="C17" s="19" t="s">
        <v>55</v>
      </c>
      <c r="D17" s="62">
        <f>Summary!$D$8</f>
        <v>25</v>
      </c>
      <c r="E17" s="37" t="s">
        <v>434</v>
      </c>
      <c r="F17" s="20"/>
    </row>
    <row r="18" spans="1:6" ht="24" customHeight="1" x14ac:dyDescent="0.2">
      <c r="A18" s="17" t="s">
        <v>435</v>
      </c>
      <c r="B18" s="18" t="s">
        <v>310</v>
      </c>
      <c r="C18" s="19" t="s">
        <v>311</v>
      </c>
      <c r="D18" s="42">
        <f>T_C+273.15</f>
        <v>298.14999999999998</v>
      </c>
      <c r="E18" s="101" t="s">
        <v>436</v>
      </c>
      <c r="F18" s="20"/>
    </row>
    <row r="19" spans="1:6" x14ac:dyDescent="0.2">
      <c r="A19" s="17" t="s">
        <v>437</v>
      </c>
      <c r="B19" s="18" t="s">
        <v>313</v>
      </c>
      <c r="C19" s="19" t="s">
        <v>64</v>
      </c>
      <c r="D19" s="63">
        <f>IF(Summary!$D$10&gt;0,Summary!$D$10,101325)</f>
        <v>101325</v>
      </c>
      <c r="E19" s="37" t="s">
        <v>438</v>
      </c>
      <c r="F19" s="20"/>
    </row>
    <row r="20" spans="1:6" x14ac:dyDescent="0.2">
      <c r="A20" s="17" t="s">
        <v>439</v>
      </c>
      <c r="B20" s="18" t="s">
        <v>440</v>
      </c>
      <c r="C20" s="19" t="s">
        <v>441</v>
      </c>
      <c r="D20" s="52">
        <v>101325</v>
      </c>
      <c r="E20" s="101" t="s">
        <v>442</v>
      </c>
      <c r="F20" s="20"/>
    </row>
    <row r="21" spans="1:6" x14ac:dyDescent="0.2">
      <c r="A21" s="17" t="s">
        <v>443</v>
      </c>
      <c r="B21" s="18" t="s">
        <v>444</v>
      </c>
      <c r="C21" s="19" t="s">
        <v>445</v>
      </c>
      <c r="D21" s="52">
        <v>1.2E-5</v>
      </c>
      <c r="E21" s="51" t="s">
        <v>446</v>
      </c>
      <c r="F21" s="20"/>
    </row>
    <row r="22" spans="1:6" x14ac:dyDescent="0.2">
      <c r="A22" s="17" t="s">
        <v>447</v>
      </c>
      <c r="B22" s="18" t="s">
        <v>448</v>
      </c>
      <c r="C22" s="19" t="s">
        <v>311</v>
      </c>
      <c r="D22" s="52">
        <v>1500</v>
      </c>
      <c r="E22" s="51" t="s">
        <v>449</v>
      </c>
      <c r="F22" s="20"/>
    </row>
    <row r="23" spans="1:6" x14ac:dyDescent="0.2">
      <c r="A23" s="17" t="s">
        <v>450</v>
      </c>
      <c r="B23" s="18" t="s">
        <v>451</v>
      </c>
      <c r="C23" s="19" t="s">
        <v>311</v>
      </c>
      <c r="D23" s="52">
        <v>298.14999999999998</v>
      </c>
      <c r="E23" s="101" t="s">
        <v>452</v>
      </c>
      <c r="F23" s="20"/>
    </row>
    <row r="24" spans="1:6" x14ac:dyDescent="0.2">
      <c r="A24" s="17" t="s">
        <v>453</v>
      </c>
      <c r="B24" s="18" t="s">
        <v>454</v>
      </c>
      <c r="C24" s="19" t="s">
        <v>445</v>
      </c>
      <c r="D24" s="64">
        <f>H_O2ref*EXP(H_O2T*(1/T_K-1/T_ref))</f>
        <v>1.2E-5</v>
      </c>
      <c r="E24" s="101" t="s">
        <v>455</v>
      </c>
      <c r="F24" s="20"/>
    </row>
    <row r="25" spans="1:6" ht="24" customHeight="1" x14ac:dyDescent="0.2">
      <c r="A25" s="17" t="s">
        <v>456</v>
      </c>
      <c r="B25" s="18" t="s">
        <v>457</v>
      </c>
      <c r="C25" s="19" t="s">
        <v>458</v>
      </c>
      <c r="D25" s="52">
        <v>0.3</v>
      </c>
      <c r="E25" s="51" t="s">
        <v>459</v>
      </c>
      <c r="F25" s="20"/>
    </row>
    <row r="26" spans="1:6" x14ac:dyDescent="0.2">
      <c r="A26" s="17" t="s">
        <v>460</v>
      </c>
      <c r="B26" s="18" t="s">
        <v>461</v>
      </c>
      <c r="C26" s="19" t="s">
        <v>64</v>
      </c>
      <c r="D26" s="43">
        <f>O2_ceil_atm*Pa_per_atm</f>
        <v>30397.5</v>
      </c>
      <c r="E26" s="101" t="s">
        <v>462</v>
      </c>
      <c r="F26" s="20"/>
    </row>
    <row r="27" spans="1:6" x14ac:dyDescent="0.2">
      <c r="A27" s="17" t="s">
        <v>463</v>
      </c>
      <c r="B27" s="18" t="s">
        <v>464</v>
      </c>
      <c r="C27" s="19" t="s">
        <v>465</v>
      </c>
      <c r="D27" s="46">
        <f>H_O2_T*O2_ceil_Pa</f>
        <v>0.36476999999999998</v>
      </c>
      <c r="E27" s="101" t="s">
        <v>466</v>
      </c>
      <c r="F27" s="20"/>
    </row>
    <row r="28" spans="1:6" x14ac:dyDescent="0.2">
      <c r="A28" s="119" t="s">
        <v>463</v>
      </c>
      <c r="B28" s="18" t="s">
        <v>467</v>
      </c>
      <c r="C28" s="19" t="s">
        <v>468</v>
      </c>
      <c r="D28" s="43">
        <f>O2_ceil_C*1000</f>
        <v>364.77</v>
      </c>
      <c r="E28" s="65" t="s">
        <v>469</v>
      </c>
      <c r="F28" s="20"/>
    </row>
    <row r="29" spans="1:6" x14ac:dyDescent="0.2">
      <c r="A29" s="17" t="s">
        <v>470</v>
      </c>
      <c r="B29" s="18" t="s">
        <v>471</v>
      </c>
      <c r="C29" s="19" t="s">
        <v>445</v>
      </c>
      <c r="D29" s="66">
        <v>3.3E-4</v>
      </c>
      <c r="E29" s="67" t="s">
        <v>1082</v>
      </c>
      <c r="F29" s="20"/>
    </row>
    <row r="30" spans="1:6" ht="24" customHeight="1" x14ac:dyDescent="0.2">
      <c r="A30" s="17" t="s">
        <v>472</v>
      </c>
      <c r="B30" s="18" t="s">
        <v>473</v>
      </c>
      <c r="C30" s="19" t="s">
        <v>311</v>
      </c>
      <c r="D30" s="66">
        <v>2400</v>
      </c>
      <c r="E30" s="67" t="s">
        <v>474</v>
      </c>
      <c r="F30" s="20"/>
    </row>
    <row r="31" spans="1:6" x14ac:dyDescent="0.2">
      <c r="A31" s="17" t="s">
        <v>475</v>
      </c>
      <c r="B31" s="18" t="s">
        <v>476</v>
      </c>
      <c r="C31" s="19" t="s">
        <v>445</v>
      </c>
      <c r="D31" s="48">
        <f>H_CO2ref*EXP(H_CO2T*(1/T_K-1/T_ref))</f>
        <v>3.3E-4</v>
      </c>
      <c r="E31" s="101" t="s">
        <v>477</v>
      </c>
      <c r="F31" s="20"/>
    </row>
    <row r="32" spans="1:6" x14ac:dyDescent="0.2">
      <c r="A32" s="17" t="s">
        <v>478</v>
      </c>
      <c r="B32" s="18" t="s">
        <v>479</v>
      </c>
      <c r="C32" s="19" t="s">
        <v>64</v>
      </c>
      <c r="D32" s="48">
        <f>P_atm</f>
        <v>101325</v>
      </c>
      <c r="E32" s="68" t="s">
        <v>480</v>
      </c>
      <c r="F32" s="20"/>
    </row>
    <row r="33" spans="1:6" x14ac:dyDescent="0.2">
      <c r="A33" s="17" t="s">
        <v>481</v>
      </c>
      <c r="B33" s="18" t="s">
        <v>482</v>
      </c>
      <c r="C33" s="19" t="s">
        <v>465</v>
      </c>
      <c r="D33" s="48">
        <f>H_CO2_T*p_CO2_sparge</f>
        <v>33.437249999999999</v>
      </c>
      <c r="E33" s="101" t="s">
        <v>483</v>
      </c>
      <c r="F33" s="20"/>
    </row>
    <row r="34" spans="1:6" x14ac:dyDescent="0.2">
      <c r="A34" s="17" t="s">
        <v>484</v>
      </c>
      <c r="B34" s="18" t="s">
        <v>485</v>
      </c>
      <c r="C34" s="19" t="s">
        <v>468</v>
      </c>
      <c r="D34" s="124">
        <v>50</v>
      </c>
      <c r="E34" s="69" t="s">
        <v>486</v>
      </c>
      <c r="F34" s="20"/>
    </row>
    <row r="35" spans="1:6" ht="24" customHeight="1" x14ac:dyDescent="0.2">
      <c r="A35" s="17" t="s">
        <v>487</v>
      </c>
      <c r="B35" s="18" t="s">
        <v>488</v>
      </c>
      <c r="C35" s="19" t="s">
        <v>112</v>
      </c>
      <c r="D35" s="48">
        <f>CO2_diss*1000/Km_CO2</f>
        <v>668.745</v>
      </c>
      <c r="E35" s="101" t="s">
        <v>489</v>
      </c>
      <c r="F35" s="20"/>
    </row>
    <row r="36" spans="1:6" x14ac:dyDescent="0.2">
      <c r="A36" s="17" t="s">
        <v>490</v>
      </c>
      <c r="B36" s="18" t="s">
        <v>491</v>
      </c>
      <c r="C36" s="19" t="s">
        <v>492</v>
      </c>
      <c r="D36" s="66">
        <v>4.4499999999999997E-7</v>
      </c>
      <c r="E36" s="67" t="s">
        <v>493</v>
      </c>
      <c r="F36" s="20"/>
    </row>
    <row r="37" spans="1:6" ht="24" customHeight="1" x14ac:dyDescent="0.2">
      <c r="A37" s="17" t="s">
        <v>494</v>
      </c>
      <c r="B37" s="18" t="s">
        <v>495</v>
      </c>
      <c r="C37" s="19" t="s">
        <v>137</v>
      </c>
      <c r="D37" s="48">
        <f>-LOG10(SQRT(Ka1_carb*(CO2_diss/1000)))</f>
        <v>3.913704718363725</v>
      </c>
      <c r="E37" s="69" t="s">
        <v>496</v>
      </c>
      <c r="F37" s="20"/>
    </row>
    <row r="38" spans="1:6" x14ac:dyDescent="0.2">
      <c r="A38" s="17" t="s">
        <v>497</v>
      </c>
      <c r="B38" s="18" t="s">
        <v>498</v>
      </c>
      <c r="C38" s="19" t="s">
        <v>445</v>
      </c>
      <c r="D38" s="66">
        <v>7.7999999999999999E-6</v>
      </c>
      <c r="E38" s="67" t="s">
        <v>1083</v>
      </c>
      <c r="F38" s="20"/>
    </row>
    <row r="39" spans="1:6" x14ac:dyDescent="0.2">
      <c r="A39" s="17" t="s">
        <v>499</v>
      </c>
      <c r="B39" s="18" t="s">
        <v>500</v>
      </c>
      <c r="C39" s="19" t="s">
        <v>311</v>
      </c>
      <c r="D39" s="66">
        <v>500</v>
      </c>
      <c r="E39" s="67" t="s">
        <v>501</v>
      </c>
      <c r="F39" s="20"/>
    </row>
    <row r="40" spans="1:6" x14ac:dyDescent="0.2">
      <c r="A40" s="17" t="s">
        <v>502</v>
      </c>
      <c r="B40" s="18" t="s">
        <v>503</v>
      </c>
      <c r="C40" s="19" t="s">
        <v>445</v>
      </c>
      <c r="D40" s="48">
        <f>H_H2ref*EXP(H_H2T*(1/T_K-1/T_ref))</f>
        <v>7.7999999999999999E-6</v>
      </c>
      <c r="E40" s="101" t="s">
        <v>477</v>
      </c>
      <c r="F40" s="20"/>
    </row>
    <row r="41" spans="1:6" x14ac:dyDescent="0.2">
      <c r="A41" s="17" t="s">
        <v>504</v>
      </c>
      <c r="B41" s="18" t="s">
        <v>505</v>
      </c>
      <c r="C41" s="19" t="s">
        <v>465</v>
      </c>
      <c r="D41" s="48">
        <f>H_H2_T*P_atm</f>
        <v>0.79033500000000001</v>
      </c>
      <c r="E41" s="101" t="s">
        <v>506</v>
      </c>
      <c r="F41" s="20"/>
    </row>
    <row r="42" spans="1:6" ht="24" customHeight="1" x14ac:dyDescent="0.2">
      <c r="A42" s="17" t="s">
        <v>507</v>
      </c>
      <c r="B42" s="18" t="s">
        <v>508</v>
      </c>
      <c r="C42" s="19" t="s">
        <v>69</v>
      </c>
      <c r="D42" s="48">
        <f>C_H2_sat*(V_charge/1000000)/rH2_gen*60</f>
        <v>6.7008554447328832</v>
      </c>
      <c r="E42" s="101" t="s">
        <v>509</v>
      </c>
      <c r="F42" s="20"/>
    </row>
    <row r="43" spans="1:6" x14ac:dyDescent="0.2">
      <c r="A43" s="17" t="s">
        <v>510</v>
      </c>
      <c r="B43" s="18" t="s">
        <v>511</v>
      </c>
      <c r="C43" s="19" t="s">
        <v>512</v>
      </c>
      <c r="D43" s="48">
        <f>rH2_gen/(V_charge/1000000)/C_H2_sat</f>
        <v>8.9540806386387857</v>
      </c>
      <c r="E43" s="69" t="s">
        <v>513</v>
      </c>
      <c r="F43" s="20"/>
    </row>
    <row r="44" spans="1:6" ht="24" customHeight="1" x14ac:dyDescent="0.2">
      <c r="A44" s="17" t="s">
        <v>514</v>
      </c>
      <c r="B44" s="18" t="s">
        <v>515</v>
      </c>
      <c r="C44" s="19" t="s">
        <v>137</v>
      </c>
      <c r="D44" s="48" t="str">
        <f>IF(H2_turnover&gt;1,"EXPLOSIVE","watch")</f>
        <v>EXPLOSIVE</v>
      </c>
      <c r="E44" s="70" t="s">
        <v>516</v>
      </c>
      <c r="F44" s="107" t="s">
        <v>517</v>
      </c>
    </row>
    <row r="45" spans="1:6" x14ac:dyDescent="0.2">
      <c r="A45" s="20" t="s">
        <v>518</v>
      </c>
      <c r="B45" s="20" t="s">
        <v>519</v>
      </c>
      <c r="C45" s="20" t="s">
        <v>104</v>
      </c>
      <c r="D45" s="71" t="e">
        <f>IF(ISNUMBER(VLOOKUP(organism_sel,$A$52:$F$57,2,FALSE)),VLOOKUP(organism_sel,$A$52:$F$57,2,FALSE),NA())</f>
        <v>#N/A</v>
      </c>
      <c r="E45" s="20"/>
      <c r="F45" s="20"/>
    </row>
    <row r="46" spans="1:6" x14ac:dyDescent="0.2">
      <c r="A46" s="20" t="s">
        <v>520</v>
      </c>
      <c r="B46" s="20" t="s">
        <v>521</v>
      </c>
      <c r="C46" s="20" t="s">
        <v>104</v>
      </c>
      <c r="D46" s="24" t="e">
        <f>IF(ISNUMBER(VLOOKUP(organism_sel,$A$52:$F$57,3,FALSE)),VLOOKUP(organism_sel,$A$52:$F$57,3,FALSE),NA())</f>
        <v>#N/A</v>
      </c>
      <c r="E46" s="20"/>
      <c r="F46" s="20"/>
    </row>
    <row r="47" spans="1:6" x14ac:dyDescent="0.2">
      <c r="A47" s="20" t="s">
        <v>522</v>
      </c>
      <c r="B47" s="20" t="s">
        <v>523</v>
      </c>
      <c r="C47" s="20" t="s">
        <v>104</v>
      </c>
      <c r="D47" s="24" t="e">
        <f>IF(ISNUMBER(VLOOKUP(organism_sel,$A$52:$F$57,4,FALSE)),VLOOKUP(organism_sel,$A$52:$F$57,4,FALSE),NA())</f>
        <v>#N/A</v>
      </c>
      <c r="E47" s="20"/>
      <c r="F47" s="20"/>
    </row>
    <row r="48" spans="1:6" x14ac:dyDescent="0.2">
      <c r="A48" s="20" t="s">
        <v>524</v>
      </c>
      <c r="B48" s="20" t="s">
        <v>525</v>
      </c>
      <c r="C48" s="20" t="s">
        <v>104</v>
      </c>
      <c r="D48" s="24" t="e">
        <f>IF(ISNUMBER(VLOOKUP(organism_sel,$A$52:$F$57,5,FALSE)),VLOOKUP(organism_sel,$A$52:$F$57,5,FALSE),NA())</f>
        <v>#N/A</v>
      </c>
      <c r="E48" s="20"/>
      <c r="F48" s="20"/>
    </row>
    <row r="49" spans="1:6" x14ac:dyDescent="0.2">
      <c r="A49" s="20"/>
      <c r="B49" s="59"/>
      <c r="C49" s="59"/>
      <c r="D49" s="59"/>
      <c r="E49" s="59"/>
      <c r="F49" s="20"/>
    </row>
    <row r="50" spans="1:6" x14ac:dyDescent="0.2">
      <c r="A50" s="109" t="s">
        <v>526</v>
      </c>
      <c r="B50" s="20"/>
      <c r="C50" s="20"/>
      <c r="D50" s="20"/>
      <c r="E50" s="20"/>
      <c r="F50" s="20"/>
    </row>
    <row r="51" spans="1:6" x14ac:dyDescent="0.2">
      <c r="A51" s="109" t="s">
        <v>527</v>
      </c>
      <c r="B51" s="109" t="s">
        <v>528</v>
      </c>
      <c r="C51" s="109" t="s">
        <v>529</v>
      </c>
      <c r="D51" s="109" t="s">
        <v>530</v>
      </c>
      <c r="E51" s="109" t="s">
        <v>531</v>
      </c>
      <c r="F51" s="109" t="s">
        <v>532</v>
      </c>
    </row>
    <row r="52" spans="1:6" x14ac:dyDescent="0.2">
      <c r="A52" s="20" t="s">
        <v>39</v>
      </c>
      <c r="B52" s="59" t="s">
        <v>402</v>
      </c>
      <c r="C52" s="20">
        <v>2.6</v>
      </c>
      <c r="D52" s="20">
        <v>3</v>
      </c>
      <c r="E52" s="20">
        <v>11.5</v>
      </c>
      <c r="F52" s="107" t="s">
        <v>533</v>
      </c>
    </row>
    <row r="53" spans="1:6" x14ac:dyDescent="0.2">
      <c r="A53" s="20" t="s">
        <v>534</v>
      </c>
      <c r="B53" s="59" t="s">
        <v>402</v>
      </c>
      <c r="C53" s="59" t="s">
        <v>402</v>
      </c>
      <c r="D53" s="59" t="s">
        <v>402</v>
      </c>
      <c r="E53" s="20">
        <v>11.5</v>
      </c>
      <c r="F53" s="20" t="s">
        <v>535</v>
      </c>
    </row>
    <row r="54" spans="1:6" x14ac:dyDescent="0.2">
      <c r="A54" s="20" t="s">
        <v>536</v>
      </c>
      <c r="B54" s="59" t="s">
        <v>402</v>
      </c>
      <c r="C54" s="59" t="s">
        <v>402</v>
      </c>
      <c r="D54" s="59" t="s">
        <v>402</v>
      </c>
      <c r="E54" s="59" t="s">
        <v>402</v>
      </c>
      <c r="F54" s="20" t="s">
        <v>537</v>
      </c>
    </row>
    <row r="55" spans="1:6" x14ac:dyDescent="0.2">
      <c r="A55" s="20" t="s">
        <v>538</v>
      </c>
      <c r="B55" s="59" t="s">
        <v>402</v>
      </c>
      <c r="C55" s="59" t="s">
        <v>402</v>
      </c>
      <c r="D55" s="59" t="s">
        <v>402</v>
      </c>
      <c r="E55" s="59" t="s">
        <v>402</v>
      </c>
      <c r="F55" s="20" t="s">
        <v>537</v>
      </c>
    </row>
    <row r="56" spans="1:6" x14ac:dyDescent="0.2">
      <c r="A56" s="20" t="s">
        <v>539</v>
      </c>
      <c r="B56" s="59" t="s">
        <v>402</v>
      </c>
      <c r="C56" s="59" t="s">
        <v>402</v>
      </c>
      <c r="D56" s="59" t="s">
        <v>402</v>
      </c>
      <c r="E56" s="59" t="s">
        <v>402</v>
      </c>
      <c r="F56" s="20" t="s">
        <v>537</v>
      </c>
    </row>
    <row r="57" spans="1:6" x14ac:dyDescent="0.2">
      <c r="A57" s="20" t="s">
        <v>540</v>
      </c>
      <c r="B57" s="59" t="s">
        <v>402</v>
      </c>
      <c r="C57" s="59" t="s">
        <v>402</v>
      </c>
      <c r="D57" s="59" t="s">
        <v>402</v>
      </c>
      <c r="E57" s="59" t="s">
        <v>402</v>
      </c>
      <c r="F57" s="20" t="s">
        <v>541</v>
      </c>
    </row>
    <row r="58" spans="1:6" x14ac:dyDescent="0.2">
      <c r="A58" s="20"/>
      <c r="B58" s="20"/>
      <c r="C58" s="20"/>
      <c r="D58" s="32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64"/>
  <sheetViews>
    <sheetView topLeftCell="A101" zoomScale="137" workbookViewId="0">
      <selection activeCell="D113" sqref="D113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0" t="s">
        <v>542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x14ac:dyDescent="0.2">
      <c r="A3" s="17"/>
      <c r="B3" s="18"/>
      <c r="C3" s="19"/>
      <c r="D3" s="111"/>
      <c r="E3" s="37"/>
      <c r="F3" s="20"/>
    </row>
    <row r="4" spans="1:6" ht="16" customHeight="1" x14ac:dyDescent="0.2">
      <c r="A4" s="110" t="s">
        <v>134</v>
      </c>
      <c r="B4" s="18"/>
      <c r="C4" s="19"/>
      <c r="D4" s="111"/>
      <c r="E4" s="37"/>
      <c r="F4" s="20"/>
    </row>
    <row r="5" spans="1:6" x14ac:dyDescent="0.2">
      <c r="A5" s="17" t="s">
        <v>543</v>
      </c>
      <c r="B5" s="18" t="s">
        <v>544</v>
      </c>
      <c r="C5" s="19" t="s">
        <v>148</v>
      </c>
      <c r="D5" s="72">
        <f>Geometry!$D$52</f>
        <v>12</v>
      </c>
      <c r="E5" s="73" t="str">
        <f>HYPERLINK("#Geometry!D52","→ Geometry")</f>
        <v>→ Geometry</v>
      </c>
      <c r="F5" s="107" t="s">
        <v>545</v>
      </c>
    </row>
    <row r="6" spans="1:6" x14ac:dyDescent="0.2">
      <c r="A6" s="20" t="s">
        <v>546</v>
      </c>
      <c r="B6" s="20" t="s">
        <v>464</v>
      </c>
      <c r="C6" s="20" t="s">
        <v>465</v>
      </c>
      <c r="D6" s="26">
        <f>Biology!$D$27</f>
        <v>0.36476999999999998</v>
      </c>
      <c r="E6" s="23" t="str">
        <f>HYPERLINK("#Biology!D27","→ Biology")</f>
        <v>→ Biology</v>
      </c>
      <c r="F6" s="20"/>
    </row>
    <row r="7" spans="1:6" x14ac:dyDescent="0.2">
      <c r="A7" s="20" t="s">
        <v>547</v>
      </c>
      <c r="B7" s="20" t="s">
        <v>461</v>
      </c>
      <c r="C7" s="20" t="s">
        <v>64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309</v>
      </c>
      <c r="B8" s="20" t="s">
        <v>310</v>
      </c>
      <c r="C8" s="20" t="s">
        <v>311</v>
      </c>
      <c r="D8" s="26">
        <f>Biology!$D$18</f>
        <v>298.14999999999998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312</v>
      </c>
      <c r="B9" s="20" t="s">
        <v>313</v>
      </c>
      <c r="C9" s="20" t="s">
        <v>64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548</v>
      </c>
      <c r="B10" s="20" t="s">
        <v>427</v>
      </c>
      <c r="C10" s="20" t="s">
        <v>357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549</v>
      </c>
      <c r="B11" s="20" t="s">
        <v>430</v>
      </c>
      <c r="C11" s="20" t="s">
        <v>357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550</v>
      </c>
      <c r="B12" s="20" t="s">
        <v>454</v>
      </c>
      <c r="C12" s="20" t="s">
        <v>445</v>
      </c>
      <c r="D12" s="26">
        <f>Biology!$D$24</f>
        <v>1.2E-5</v>
      </c>
      <c r="E12" s="23" t="str">
        <f>HYPERLINK("#Biology!D24","→ Biology")</f>
        <v>→ Biology</v>
      </c>
      <c r="F12" s="20"/>
    </row>
    <row r="13" spans="1:6" x14ac:dyDescent="0.2">
      <c r="A13" s="20" t="s">
        <v>408</v>
      </c>
      <c r="B13" s="20" t="s">
        <v>382</v>
      </c>
      <c r="C13" s="20" t="s">
        <v>357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551</v>
      </c>
      <c r="B14" s="20" t="s">
        <v>239</v>
      </c>
      <c r="C14" s="20" t="s">
        <v>174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552</v>
      </c>
      <c r="B15" s="20" t="s">
        <v>170</v>
      </c>
      <c r="C15" s="20" t="s">
        <v>148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409</v>
      </c>
      <c r="B16" s="20" t="s">
        <v>230</v>
      </c>
      <c r="C16" s="20" t="s">
        <v>59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553</v>
      </c>
      <c r="B17" s="20" t="s">
        <v>173</v>
      </c>
      <c r="C17" s="20" t="s">
        <v>174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554</v>
      </c>
      <c r="B18" s="20" t="s">
        <v>202</v>
      </c>
      <c r="C18" s="20" t="s">
        <v>148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555</v>
      </c>
      <c r="B19" s="20" t="s">
        <v>254</v>
      </c>
      <c r="C19" s="20" t="s">
        <v>59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556</v>
      </c>
      <c r="B20" s="20" t="s">
        <v>557</v>
      </c>
      <c r="C20" s="20" t="s">
        <v>558</v>
      </c>
      <c r="D20" s="27">
        <f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559</v>
      </c>
      <c r="B21" s="20" t="s">
        <v>393</v>
      </c>
      <c r="C21" s="20" t="s">
        <v>137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560</v>
      </c>
      <c r="B22" s="20" t="s">
        <v>521</v>
      </c>
      <c r="C22" s="20"/>
      <c r="D22" s="26" t="e">
        <f>Biology!$D$46</f>
        <v>#N/A</v>
      </c>
      <c r="E22" s="23" t="str">
        <f>HYPERLINK("#Biology!D46","→ Biology")</f>
        <v>→ Biology</v>
      </c>
      <c r="F22" s="20"/>
    </row>
    <row r="23" spans="1:6" x14ac:dyDescent="0.2">
      <c r="A23" s="20" t="s">
        <v>561</v>
      </c>
      <c r="B23" s="20" t="s">
        <v>523</v>
      </c>
      <c r="C23" s="20"/>
      <c r="D23" s="26" t="e">
        <f>Biology!$D$47</f>
        <v>#N/A</v>
      </c>
      <c r="E23" s="23" t="str">
        <f>HYPERLINK("#Biology!D47","→ Biology")</f>
        <v>→ Biology</v>
      </c>
      <c r="F23" s="20"/>
    </row>
    <row r="24" spans="1:6" x14ac:dyDescent="0.2">
      <c r="A24" s="20" t="s">
        <v>562</v>
      </c>
      <c r="B24" s="20" t="s">
        <v>525</v>
      </c>
      <c r="C24" s="20"/>
      <c r="D24" s="26" t="e">
        <f>Biology!$D$48</f>
        <v>#N/A</v>
      </c>
      <c r="E24" s="23" t="str">
        <f>HYPERLINK("#Biology!D48","→ Biology")</f>
        <v>→ Biology</v>
      </c>
      <c r="F24" s="20"/>
    </row>
    <row r="25" spans="1:6" x14ac:dyDescent="0.2">
      <c r="A25" s="20" t="s">
        <v>563</v>
      </c>
      <c r="B25" s="20" t="s">
        <v>519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4"/>
      <c r="E26" s="75"/>
      <c r="F26" s="20"/>
    </row>
    <row r="27" spans="1:6" x14ac:dyDescent="0.2">
      <c r="A27" s="17" t="s">
        <v>564</v>
      </c>
      <c r="B27" s="18" t="s">
        <v>565</v>
      </c>
      <c r="C27" s="19" t="s">
        <v>137</v>
      </c>
      <c r="D27" s="111" t="s">
        <v>399</v>
      </c>
      <c r="E27" s="37" t="s">
        <v>566</v>
      </c>
      <c r="F27" s="20"/>
    </row>
    <row r="28" spans="1:6" x14ac:dyDescent="0.2">
      <c r="A28" s="17" t="s">
        <v>567</v>
      </c>
      <c r="B28" s="18" t="s">
        <v>568</v>
      </c>
      <c r="C28" s="19" t="s">
        <v>137</v>
      </c>
      <c r="D28" s="111" t="s">
        <v>405</v>
      </c>
      <c r="E28" s="37" t="s">
        <v>569</v>
      </c>
      <c r="F28" s="20"/>
    </row>
    <row r="29" spans="1:6" x14ac:dyDescent="0.2">
      <c r="A29" s="17" t="s">
        <v>570</v>
      </c>
      <c r="B29" s="18" t="s">
        <v>571</v>
      </c>
      <c r="C29" s="19" t="s">
        <v>572</v>
      </c>
      <c r="D29" s="76">
        <v>7.1199999999999999E-2</v>
      </c>
      <c r="E29" s="51" t="s">
        <v>573</v>
      </c>
      <c r="F29" s="20"/>
    </row>
    <row r="30" spans="1:6" ht="24" customHeight="1" x14ac:dyDescent="0.2">
      <c r="A30" s="17" t="s">
        <v>574</v>
      </c>
      <c r="B30" s="18" t="s">
        <v>575</v>
      </c>
      <c r="C30" s="19" t="s">
        <v>576</v>
      </c>
      <c r="D30" s="50">
        <v>995.65</v>
      </c>
      <c r="E30" s="51" t="s">
        <v>577</v>
      </c>
      <c r="F30" s="20"/>
    </row>
    <row r="31" spans="1:6" x14ac:dyDescent="0.2">
      <c r="A31" s="17" t="s">
        <v>578</v>
      </c>
      <c r="B31" s="18" t="s">
        <v>579</v>
      </c>
      <c r="C31" s="19" t="s">
        <v>580</v>
      </c>
      <c r="D31" s="56">
        <v>9.8066499999999994</v>
      </c>
      <c r="E31" s="102" t="s">
        <v>581</v>
      </c>
      <c r="F31" s="20"/>
    </row>
    <row r="32" spans="1:6" ht="24" customHeight="1" x14ac:dyDescent="0.2">
      <c r="A32" s="17" t="s">
        <v>582</v>
      </c>
      <c r="B32" s="18" t="s">
        <v>583</v>
      </c>
      <c r="C32" s="19" t="s">
        <v>584</v>
      </c>
      <c r="D32" s="52">
        <v>2.249E-9</v>
      </c>
      <c r="E32" s="37" t="s">
        <v>585</v>
      </c>
      <c r="F32" s="20"/>
    </row>
    <row r="33" spans="1:6" x14ac:dyDescent="0.2">
      <c r="A33" s="17" t="s">
        <v>586</v>
      </c>
      <c r="B33" s="18" t="s">
        <v>587</v>
      </c>
      <c r="C33" s="19" t="s">
        <v>588</v>
      </c>
      <c r="D33" s="52">
        <v>205</v>
      </c>
      <c r="E33" s="51" t="s">
        <v>589</v>
      </c>
      <c r="F33" s="20"/>
    </row>
    <row r="34" spans="1:6" ht="24" customHeight="1" x14ac:dyDescent="0.2">
      <c r="A34" s="17" t="s">
        <v>590</v>
      </c>
      <c r="B34" s="18" t="s">
        <v>591</v>
      </c>
      <c r="C34" s="19" t="s">
        <v>588</v>
      </c>
      <c r="D34" s="52">
        <v>130</v>
      </c>
      <c r="E34" s="51" t="s">
        <v>592</v>
      </c>
      <c r="F34" s="20"/>
    </row>
    <row r="35" spans="1:6" x14ac:dyDescent="0.2">
      <c r="A35" s="17" t="s">
        <v>593</v>
      </c>
      <c r="B35" s="18" t="s">
        <v>594</v>
      </c>
      <c r="C35" s="19" t="s">
        <v>588</v>
      </c>
      <c r="D35" s="52">
        <v>70</v>
      </c>
      <c r="E35" s="51" t="s">
        <v>595</v>
      </c>
      <c r="F35" s="20"/>
    </row>
    <row r="36" spans="1:6" x14ac:dyDescent="0.2">
      <c r="A36" s="17" t="s">
        <v>596</v>
      </c>
      <c r="B36" s="18" t="s">
        <v>597</v>
      </c>
      <c r="C36" s="19" t="s">
        <v>588</v>
      </c>
      <c r="D36" s="52">
        <v>28</v>
      </c>
      <c r="E36" s="51" t="s">
        <v>598</v>
      </c>
      <c r="F36" s="20"/>
    </row>
    <row r="37" spans="1:6" x14ac:dyDescent="0.2">
      <c r="A37" s="17" t="s">
        <v>599</v>
      </c>
      <c r="B37" s="18" t="s">
        <v>600</v>
      </c>
      <c r="C37" s="19" t="s">
        <v>588</v>
      </c>
      <c r="D37" s="52">
        <v>13</v>
      </c>
      <c r="E37" s="51" t="s">
        <v>601</v>
      </c>
      <c r="F37" s="20"/>
    </row>
    <row r="38" spans="1:6" x14ac:dyDescent="0.2">
      <c r="A38" s="17" t="s">
        <v>602</v>
      </c>
      <c r="B38" s="18" t="s">
        <v>603</v>
      </c>
      <c r="C38" s="19" t="s">
        <v>588</v>
      </c>
      <c r="D38" s="54">
        <v>1.3</v>
      </c>
      <c r="E38" s="51" t="s">
        <v>604</v>
      </c>
      <c r="F38" s="20"/>
    </row>
    <row r="39" spans="1:6" x14ac:dyDescent="0.2">
      <c r="A39" s="17" t="s">
        <v>605</v>
      </c>
      <c r="B39" s="18" t="s">
        <v>606</v>
      </c>
      <c r="C39" s="19" t="s">
        <v>607</v>
      </c>
      <c r="D39" s="77">
        <f>CHOOSE(por_grade+1,por0_um,por1_um,por2_um,por3_um,por4_um,por5_um)/1000000</f>
        <v>2.05E-4</v>
      </c>
      <c r="E39" s="101" t="s">
        <v>608</v>
      </c>
      <c r="F39" s="20"/>
    </row>
    <row r="40" spans="1:6" ht="24" customHeight="1" x14ac:dyDescent="0.2">
      <c r="A40" s="17" t="s">
        <v>609</v>
      </c>
      <c r="B40" s="18" t="s">
        <v>610</v>
      </c>
      <c r="C40" s="19" t="s">
        <v>607</v>
      </c>
      <c r="D40" s="77">
        <f>spg_ID/1000</f>
        <v>1.5874999999999999E-3</v>
      </c>
      <c r="E40" s="101" t="s">
        <v>611</v>
      </c>
      <c r="F40" s="20"/>
    </row>
    <row r="41" spans="1:6" x14ac:dyDescent="0.2">
      <c r="A41" s="17" t="s">
        <v>612</v>
      </c>
      <c r="B41" s="18" t="s">
        <v>613</v>
      </c>
      <c r="C41" s="19" t="s">
        <v>607</v>
      </c>
      <c r="D41" s="77">
        <f>IF(sparger=spg_name_1,tube_d_m,IF(sparger=spg_name_2,por_pore,NA()))</f>
        <v>1.5874999999999999E-3</v>
      </c>
      <c r="E41" s="101" t="s">
        <v>614</v>
      </c>
      <c r="F41" s="20"/>
    </row>
    <row r="42" spans="1:6" ht="24" customHeight="1" x14ac:dyDescent="0.2">
      <c r="A42" s="119" t="s">
        <v>615</v>
      </c>
      <c r="B42" s="18" t="s">
        <v>616</v>
      </c>
      <c r="C42" s="19" t="s">
        <v>607</v>
      </c>
      <c r="D42" s="48">
        <f>(6*d_orifice*sigma/(rho_L*g_const))^(1/3)</f>
        <v>4.1106061542088958E-3</v>
      </c>
      <c r="E42" s="75" t="s">
        <v>617</v>
      </c>
      <c r="F42" s="20"/>
    </row>
    <row r="43" spans="1:6" x14ac:dyDescent="0.2">
      <c r="A43" s="119" t="s">
        <v>618</v>
      </c>
      <c r="B43" s="18" t="s">
        <v>619</v>
      </c>
      <c r="C43" s="19" t="s">
        <v>148</v>
      </c>
      <c r="D43" s="45">
        <f>d_bubble*1000</f>
        <v>4.1106061542088961</v>
      </c>
      <c r="E43" s="75"/>
      <c r="F43" s="20"/>
    </row>
    <row r="44" spans="1:6" x14ac:dyDescent="0.2">
      <c r="A44" s="17" t="s">
        <v>620</v>
      </c>
      <c r="B44" s="18" t="s">
        <v>621</v>
      </c>
      <c r="C44" s="19" t="s">
        <v>137</v>
      </c>
      <c r="D44" s="50">
        <v>2.14</v>
      </c>
      <c r="E44" s="75" t="s">
        <v>622</v>
      </c>
      <c r="F44" s="20"/>
    </row>
    <row r="45" spans="1:6" x14ac:dyDescent="0.2">
      <c r="A45" s="17" t="s">
        <v>623</v>
      </c>
      <c r="B45" s="18" t="s">
        <v>624</v>
      </c>
      <c r="C45" s="19" t="s">
        <v>137</v>
      </c>
      <c r="D45" s="78">
        <v>0.505</v>
      </c>
      <c r="E45" s="75" t="s">
        <v>625</v>
      </c>
      <c r="F45" s="20"/>
    </row>
    <row r="46" spans="1:6" ht="36" customHeight="1" x14ac:dyDescent="0.2">
      <c r="A46" s="17" t="s">
        <v>626</v>
      </c>
      <c r="B46" s="18" t="s">
        <v>627</v>
      </c>
      <c r="C46" s="19" t="s">
        <v>109</v>
      </c>
      <c r="D46" s="46">
        <f>SQRT(mend_a*sigma/(rho_L*d_bubble)+mend_b*g_const*d_bubble)</f>
        <v>0.23997120602218533</v>
      </c>
      <c r="E46" s="75" t="s">
        <v>628</v>
      </c>
      <c r="F46" s="20"/>
    </row>
    <row r="47" spans="1:6" x14ac:dyDescent="0.2">
      <c r="A47" s="17" t="s">
        <v>629</v>
      </c>
      <c r="B47" s="18" t="s">
        <v>630</v>
      </c>
      <c r="C47" s="19" t="s">
        <v>109</v>
      </c>
      <c r="D47" s="48">
        <f>(Q_CO2/1000000/60)/(A_x/1000000)</f>
        <v>6.6343780105353137E-3</v>
      </c>
      <c r="E47" s="101" t="s">
        <v>631</v>
      </c>
      <c r="F47" s="20"/>
    </row>
    <row r="48" spans="1:6" x14ac:dyDescent="0.2">
      <c r="A48" s="17" t="s">
        <v>632</v>
      </c>
      <c r="B48" s="18" t="s">
        <v>633</v>
      </c>
      <c r="C48" s="19" t="s">
        <v>137</v>
      </c>
      <c r="D48" s="48">
        <f>u_sg/u_rise</f>
        <v>2.764655860387669E-2</v>
      </c>
      <c r="E48" s="75" t="s">
        <v>634</v>
      </c>
      <c r="F48" s="20"/>
    </row>
    <row r="49" spans="1:6" x14ac:dyDescent="0.2">
      <c r="A49" s="17" t="s">
        <v>635</v>
      </c>
      <c r="B49" s="18" t="s">
        <v>636</v>
      </c>
      <c r="C49" s="19" t="s">
        <v>637</v>
      </c>
      <c r="D49" s="42">
        <f>6*holdup/d_bubble</f>
        <v>40.353988049527544</v>
      </c>
      <c r="E49" s="75" t="s">
        <v>638</v>
      </c>
      <c r="F49" s="20"/>
    </row>
    <row r="50" spans="1:6" x14ac:dyDescent="0.2">
      <c r="A50" s="17" t="s">
        <v>639</v>
      </c>
      <c r="B50" s="18" t="s">
        <v>640</v>
      </c>
      <c r="C50" s="19" t="s">
        <v>13</v>
      </c>
      <c r="D50" s="46">
        <f>d_bubble/u_rise</f>
        <v>1.7129580762405595E-2</v>
      </c>
      <c r="E50" s="75" t="s">
        <v>641</v>
      </c>
      <c r="F50" s="20"/>
    </row>
    <row r="51" spans="1:6" x14ac:dyDescent="0.2">
      <c r="A51" s="17" t="s">
        <v>642</v>
      </c>
      <c r="B51" s="18" t="s">
        <v>643</v>
      </c>
      <c r="C51" s="19" t="s">
        <v>109</v>
      </c>
      <c r="D51" s="48">
        <f>2*SQRT(D_O2/(PI()*t_contact))</f>
        <v>4.088616905871452E-4</v>
      </c>
      <c r="E51" s="75" t="s">
        <v>644</v>
      </c>
      <c r="F51" s="20"/>
    </row>
    <row r="52" spans="1:6" x14ac:dyDescent="0.2">
      <c r="A52" s="119" t="s">
        <v>645</v>
      </c>
      <c r="B52" s="18" t="s">
        <v>646</v>
      </c>
      <c r="C52" s="19" t="s">
        <v>647</v>
      </c>
      <c r="D52" s="48">
        <f>kL*a_int</f>
        <v>1.6499199775863286E-2</v>
      </c>
      <c r="E52" s="75" t="s">
        <v>648</v>
      </c>
      <c r="F52" s="20"/>
    </row>
    <row r="53" spans="1:6" x14ac:dyDescent="0.2">
      <c r="A53" s="17" t="s">
        <v>649</v>
      </c>
      <c r="B53" s="18" t="s">
        <v>650</v>
      </c>
      <c r="C53" s="19" t="s">
        <v>647</v>
      </c>
      <c r="D53" s="64">
        <f>kLa_sparge*duty</f>
        <v>1.1914360970566213E-6</v>
      </c>
      <c r="E53" s="125" t="s">
        <v>651</v>
      </c>
      <c r="F53" s="20"/>
    </row>
    <row r="54" spans="1:6" ht="24" customHeight="1" x14ac:dyDescent="0.2">
      <c r="A54" s="17" t="s">
        <v>652</v>
      </c>
      <c r="B54" s="18" t="s">
        <v>653</v>
      </c>
      <c r="C54" s="19" t="s">
        <v>357</v>
      </c>
      <c r="D54" s="48">
        <f>IF(d_bubble&lt;0.001,0,kLa_sparge*(V_charge/1000000)*O2_ceil_C*3600)</f>
        <v>3.2499430752104915E-4</v>
      </c>
      <c r="E54" s="75" t="s">
        <v>654</v>
      </c>
      <c r="F54" s="20"/>
    </row>
    <row r="55" spans="1:6" ht="24" customHeight="1" x14ac:dyDescent="0.2">
      <c r="A55" s="119" t="s">
        <v>655</v>
      </c>
      <c r="B55" s="18" t="s">
        <v>656</v>
      </c>
      <c r="C55" s="19" t="s">
        <v>357</v>
      </c>
      <c r="D55" s="48">
        <f>strip_sparge*duty</f>
        <v>2.3468407836660565E-8</v>
      </c>
      <c r="E55" s="75" t="s">
        <v>657</v>
      </c>
      <c r="F55" s="20"/>
    </row>
    <row r="56" spans="1:6" x14ac:dyDescent="0.2">
      <c r="A56" s="119" t="s">
        <v>658</v>
      </c>
      <c r="B56" s="18" t="s">
        <v>659</v>
      </c>
      <c r="C56" s="19" t="s">
        <v>112</v>
      </c>
      <c r="D56" s="45">
        <f>IF(O2_excess&gt;0,strip_avg/O2_excess,NA())</f>
        <v>1.3265126681006479E-3</v>
      </c>
      <c r="E56" s="75" t="s">
        <v>660</v>
      </c>
      <c r="F56" s="20"/>
    </row>
    <row r="57" spans="1:6" ht="36" customHeight="1" x14ac:dyDescent="0.2">
      <c r="A57" s="17" t="s">
        <v>661</v>
      </c>
      <c r="B57" s="18" t="s">
        <v>662</v>
      </c>
      <c r="C57" s="19" t="s">
        <v>647</v>
      </c>
      <c r="D57" s="48">
        <f>IF(O2_excess&gt;0,O2_excess/3600/((V_charge/1000000)*O2_ceil_C),NA())</f>
        <v>8.9817166899926085E-4</v>
      </c>
      <c r="E57" s="75" t="s">
        <v>663</v>
      </c>
      <c r="F57" s="20"/>
    </row>
    <row r="58" spans="1:6" ht="24" customHeight="1" x14ac:dyDescent="0.2">
      <c r="A58" s="17" t="s">
        <v>664</v>
      </c>
      <c r="B58" s="18" t="s">
        <v>665</v>
      </c>
      <c r="C58" s="19" t="s">
        <v>109</v>
      </c>
      <c r="D58" s="120">
        <v>0.05</v>
      </c>
      <c r="E58" s="75" t="s">
        <v>666</v>
      </c>
      <c r="F58" s="20"/>
    </row>
    <row r="59" spans="1:6" x14ac:dyDescent="0.2">
      <c r="A59" s="119" t="s">
        <v>667</v>
      </c>
      <c r="B59" s="18" t="s">
        <v>668</v>
      </c>
      <c r="C59" s="19" t="s">
        <v>137</v>
      </c>
      <c r="D59" s="58" t="str">
        <f>IF(u_sg&gt;u_g_max,"RISK","OK")</f>
        <v>OK</v>
      </c>
      <c r="E59" s="75" t="s">
        <v>669</v>
      </c>
      <c r="F59" s="20"/>
    </row>
    <row r="60" spans="1:6" x14ac:dyDescent="0.2">
      <c r="A60" s="17" t="s">
        <v>670</v>
      </c>
      <c r="B60" s="18" t="s">
        <v>671</v>
      </c>
      <c r="C60" s="19" t="s">
        <v>576</v>
      </c>
      <c r="D60" s="48">
        <f>P_atm*(M_CO2/1000)/(R_gas*T_K)</f>
        <v>1.7988462624934765</v>
      </c>
      <c r="E60" s="101" t="s">
        <v>672</v>
      </c>
      <c r="F60" s="20"/>
    </row>
    <row r="61" spans="1:6" x14ac:dyDescent="0.2">
      <c r="A61" s="17" t="s">
        <v>673</v>
      </c>
      <c r="B61" s="18" t="s">
        <v>674</v>
      </c>
      <c r="C61" s="19" t="s">
        <v>137</v>
      </c>
      <c r="D61" s="114">
        <v>1</v>
      </c>
      <c r="E61" s="70" t="s">
        <v>675</v>
      </c>
      <c r="F61" s="20"/>
    </row>
    <row r="62" spans="1:6" x14ac:dyDescent="0.2">
      <c r="A62" s="17" t="s">
        <v>676</v>
      </c>
      <c r="B62" s="18" t="s">
        <v>677</v>
      </c>
      <c r="C62" s="19" t="s">
        <v>109</v>
      </c>
      <c r="D62" s="48">
        <f>(Q_CO2/1000000/60)/(n_pores_active*(PI()/4*d_orifice^2))</f>
        <v>1.6823907977801345</v>
      </c>
      <c r="E62" s="123" t="s">
        <v>651</v>
      </c>
      <c r="F62" s="20"/>
    </row>
    <row r="63" spans="1:6" x14ac:dyDescent="0.2">
      <c r="A63" s="17" t="s">
        <v>678</v>
      </c>
      <c r="B63" s="18" t="s">
        <v>679</v>
      </c>
      <c r="C63" s="19" t="s">
        <v>137</v>
      </c>
      <c r="D63" s="48">
        <f>rho_CO2*v_orifice^2*d_orifice/sigma</f>
        <v>0.11352239813517449</v>
      </c>
      <c r="E63" s="123" t="s">
        <v>651</v>
      </c>
      <c r="F63" s="20"/>
    </row>
    <row r="64" spans="1:6" ht="24" customHeight="1" x14ac:dyDescent="0.2">
      <c r="A64" s="17" t="s">
        <v>680</v>
      </c>
      <c r="B64" s="18" t="s">
        <v>681</v>
      </c>
      <c r="C64" s="19" t="s">
        <v>137</v>
      </c>
      <c r="D64" s="48" t="str">
        <f>IF(d_bubble&lt;0.001,"Sinter OOR – add fine-bubble model",IF(We_orifice&lt;2,"Static","Dynamic"))</f>
        <v>Static</v>
      </c>
      <c r="E64" s="101" t="s">
        <v>682</v>
      </c>
      <c r="F64" s="20"/>
    </row>
    <row r="65" spans="1:6" ht="24" customHeight="1" x14ac:dyDescent="0.2">
      <c r="A65" s="17" t="s">
        <v>683</v>
      </c>
      <c r="B65" s="18" t="s">
        <v>684</v>
      </c>
      <c r="C65" s="19" t="s">
        <v>69</v>
      </c>
      <c r="D65" s="48">
        <f>O2_ceil_C*(V_charge/1000000)/O2_excess*60</f>
        <v>18.556215077721834</v>
      </c>
      <c r="E65" s="101" t="s">
        <v>685</v>
      </c>
      <c r="F65" s="20"/>
    </row>
    <row r="66" spans="1:6" ht="24" customHeight="1" x14ac:dyDescent="0.2">
      <c r="A66" s="17" t="s">
        <v>686</v>
      </c>
      <c r="B66" s="18" t="s">
        <v>687</v>
      </c>
      <c r="C66" s="19" t="s">
        <v>69</v>
      </c>
      <c r="D66" s="48">
        <f>IF(O2_excess-strip_avg&gt;0,O2_ceil_C*(V_charge/1000000)/(O2_excess-strip_avg)*60,9999)</f>
        <v>18.580862827646946</v>
      </c>
      <c r="E66" s="101" t="s">
        <v>688</v>
      </c>
      <c r="F66" s="20"/>
    </row>
    <row r="67" spans="1:6" x14ac:dyDescent="0.2">
      <c r="A67" s="17" t="s">
        <v>689</v>
      </c>
      <c r="B67" s="18" t="s">
        <v>690</v>
      </c>
      <c r="C67" s="19" t="s">
        <v>691</v>
      </c>
      <c r="D67" s="79">
        <f>Summary!$D$7</f>
        <v>1000</v>
      </c>
      <c r="E67" s="68" t="s">
        <v>692</v>
      </c>
      <c r="F67" s="20"/>
    </row>
    <row r="68" spans="1:6" ht="24" customHeight="1" x14ac:dyDescent="0.2">
      <c r="A68" s="17" t="s">
        <v>108</v>
      </c>
      <c r="B68" s="18" t="s">
        <v>693</v>
      </c>
      <c r="C68" s="19" t="s">
        <v>109</v>
      </c>
      <c r="D68" s="48">
        <f>PI()*(stir_len/1000)*stir_rpm/60</f>
        <v>0.62831853071795862</v>
      </c>
      <c r="E68" s="101" t="s">
        <v>694</v>
      </c>
      <c r="F68" s="20"/>
    </row>
    <row r="69" spans="1:6" x14ac:dyDescent="0.2">
      <c r="A69" s="17" t="s">
        <v>695</v>
      </c>
      <c r="B69" s="18" t="s">
        <v>696</v>
      </c>
      <c r="C69" s="19" t="s">
        <v>647</v>
      </c>
      <c r="D69" s="48">
        <f>tip_speed/(vial_ID/1000)</f>
        <v>24.854372259412919</v>
      </c>
      <c r="E69" s="69" t="s">
        <v>697</v>
      </c>
      <c r="F69" s="20"/>
    </row>
    <row r="70" spans="1:6" ht="24" x14ac:dyDescent="0.2">
      <c r="A70" s="17" t="s">
        <v>698</v>
      </c>
      <c r="B70" s="18" t="s">
        <v>699</v>
      </c>
      <c r="C70" s="19" t="s">
        <v>109</v>
      </c>
      <c r="D70" s="48">
        <f>2*SQRT(D_O2*s_renew/PI())</f>
        <v>2.6677872118283601E-4</v>
      </c>
      <c r="E70" s="69" t="s">
        <v>1084</v>
      </c>
      <c r="F70" s="20"/>
    </row>
    <row r="71" spans="1:6" x14ac:dyDescent="0.2">
      <c r="A71" s="17" t="s">
        <v>700</v>
      </c>
      <c r="B71" s="18" t="s">
        <v>701</v>
      </c>
      <c r="C71" s="19" t="s">
        <v>637</v>
      </c>
      <c r="D71" s="48">
        <f>interface_A/V_charge</f>
        <v>28.63651500937112</v>
      </c>
      <c r="E71" s="101" t="s">
        <v>702</v>
      </c>
      <c r="F71" s="20"/>
    </row>
    <row r="72" spans="1:6" x14ac:dyDescent="0.2">
      <c r="A72" s="17" t="s">
        <v>703</v>
      </c>
      <c r="B72" s="18" t="s">
        <v>704</v>
      </c>
      <c r="C72" s="19" t="s">
        <v>647</v>
      </c>
      <c r="D72" s="48">
        <f>kL_surf*a_surf</f>
        <v>7.6396128533331165E-3</v>
      </c>
      <c r="E72" s="69" t="s">
        <v>705</v>
      </c>
      <c r="F72" s="20"/>
    </row>
    <row r="73" spans="1:6" ht="36" customHeight="1" x14ac:dyDescent="0.2">
      <c r="A73" s="17" t="s">
        <v>706</v>
      </c>
      <c r="B73" s="18" t="s">
        <v>707</v>
      </c>
      <c r="C73" s="19" t="s">
        <v>357</v>
      </c>
      <c r="D73" s="48">
        <f>kLa_surf_used*(V_charge/1000000)*O2_ceil_C*3600</f>
        <v>1.5048188534755734E-4</v>
      </c>
      <c r="E73" s="69" t="s">
        <v>1025</v>
      </c>
      <c r="F73" s="20"/>
    </row>
    <row r="74" spans="1:6" ht="24" customHeight="1" x14ac:dyDescent="0.2">
      <c r="A74" s="17" t="s">
        <v>708</v>
      </c>
      <c r="B74" s="18" t="s">
        <v>709</v>
      </c>
      <c r="C74" s="19" t="s">
        <v>112</v>
      </c>
      <c r="D74" s="48">
        <f>IF(O2_excess&gt;0,surf_strip/O2_excess,NA())</f>
        <v>8.5057379530186488</v>
      </c>
      <c r="E74" s="69" t="s">
        <v>710</v>
      </c>
      <c r="F74" s="20"/>
    </row>
    <row r="75" spans="1:6" ht="24" customHeight="1" x14ac:dyDescent="0.2">
      <c r="A75" s="17" t="s">
        <v>711</v>
      </c>
      <c r="B75" s="18" t="s">
        <v>712</v>
      </c>
      <c r="C75" s="19" t="s">
        <v>137</v>
      </c>
      <c r="D75" s="48">
        <f>IF(CO2_supply&gt;0,O2_excess/(O2_excess+CO2_supply),NA())</f>
        <v>0.33333333333333326</v>
      </c>
      <c r="E75" s="101" t="s">
        <v>713</v>
      </c>
      <c r="F75" s="20"/>
    </row>
    <row r="76" spans="1:6" ht="60" x14ac:dyDescent="0.2">
      <c r="A76" s="17" t="s">
        <v>714</v>
      </c>
      <c r="B76" s="18" t="s">
        <v>715</v>
      </c>
      <c r="C76" s="19" t="s">
        <v>468</v>
      </c>
      <c r="D76" s="48">
        <f>H_O2_T*y_O2_vent*P_atm*1000</f>
        <v>405.2999999999999</v>
      </c>
      <c r="E76" s="69" t="s">
        <v>1026</v>
      </c>
      <c r="F76" s="20"/>
    </row>
    <row r="77" spans="1:6" x14ac:dyDescent="0.2">
      <c r="A77" s="17" t="s">
        <v>716</v>
      </c>
      <c r="B77" s="18" t="s">
        <v>717</v>
      </c>
      <c r="C77" s="19" t="s">
        <v>69</v>
      </c>
      <c r="D77" s="48">
        <f>headspace_V/(Q_CO2*duty)</f>
        <v>181.0677266956931</v>
      </c>
      <c r="E77" s="101" t="s">
        <v>718</v>
      </c>
      <c r="F77" s="20"/>
    </row>
    <row r="78" spans="1:6" ht="26" customHeight="1" x14ac:dyDescent="0.2">
      <c r="A78" s="17" t="s">
        <v>719</v>
      </c>
      <c r="B78" s="18" t="s">
        <v>720</v>
      </c>
      <c r="C78" s="19" t="s">
        <v>112</v>
      </c>
      <c r="D78" s="48">
        <f>IF(O2_excess&gt;0,(strip_avg+surf_strip)/O2_excess,NA())</f>
        <v>8.5070644656867511</v>
      </c>
      <c r="E78" s="126" t="s">
        <v>721</v>
      </c>
      <c r="F78" s="20"/>
    </row>
    <row r="79" spans="1:6" x14ac:dyDescent="0.2">
      <c r="A79" s="17" t="s">
        <v>722</v>
      </c>
      <c r="B79" s="18" t="s">
        <v>723</v>
      </c>
      <c r="C79" s="19" t="s">
        <v>69</v>
      </c>
      <c r="D79" s="48">
        <f>O2_ceil_C*(V_charge/1000000)/O2_net_gen*60</f>
        <v>6.1854050259072775</v>
      </c>
      <c r="E79" s="101" t="s">
        <v>724</v>
      </c>
      <c r="F79" s="20"/>
    </row>
    <row r="80" spans="1:6" ht="36" customHeight="1" x14ac:dyDescent="0.2">
      <c r="A80" s="17" t="s">
        <v>725</v>
      </c>
      <c r="B80" s="18" t="s">
        <v>726</v>
      </c>
      <c r="C80" s="19" t="s">
        <v>69</v>
      </c>
      <c r="D80" s="48">
        <f>IF(O2_net_gen-strip_avg-surf_strip&gt;0,O2_ceil_C*(V_charge/1000000)/(O2_net_gen-strip_avg-surf_strip)*60,9999)</f>
        <v>9999</v>
      </c>
      <c r="E80" s="69" t="s">
        <v>727</v>
      </c>
      <c r="F80" s="20"/>
    </row>
    <row r="81" spans="1:6" ht="24" customHeight="1" x14ac:dyDescent="0.2">
      <c r="A81" s="17" t="s">
        <v>728</v>
      </c>
      <c r="B81" s="18" t="s">
        <v>729</v>
      </c>
      <c r="C81" s="19" t="s">
        <v>137</v>
      </c>
      <c r="D81" s="124" t="s">
        <v>730</v>
      </c>
      <c r="E81" s="68" t="s">
        <v>1168</v>
      </c>
      <c r="F81" s="20"/>
    </row>
    <row r="82" spans="1:6" ht="24" x14ac:dyDescent="0.2">
      <c r="A82" s="17" t="s">
        <v>731</v>
      </c>
      <c r="B82" s="18" t="s">
        <v>732</v>
      </c>
      <c r="C82" s="19" t="s">
        <v>13</v>
      </c>
      <c r="D82" s="124">
        <v>1</v>
      </c>
      <c r="E82" s="68" t="s">
        <v>1169</v>
      </c>
      <c r="F82" s="20"/>
    </row>
    <row r="83" spans="1:6" ht="24" x14ac:dyDescent="0.2">
      <c r="A83" s="17" t="s">
        <v>733</v>
      </c>
      <c r="B83" s="18" t="s">
        <v>734</v>
      </c>
      <c r="C83" s="19" t="s">
        <v>69</v>
      </c>
      <c r="D83" s="124">
        <v>1</v>
      </c>
      <c r="E83" s="68" t="s">
        <v>1170</v>
      </c>
      <c r="F83" s="20"/>
    </row>
    <row r="84" spans="1:6" x14ac:dyDescent="0.2">
      <c r="A84" s="17" t="s">
        <v>735</v>
      </c>
      <c r="B84" s="18" t="s">
        <v>736</v>
      </c>
      <c r="C84" s="19" t="s">
        <v>137</v>
      </c>
      <c r="D84" s="80">
        <f>IF(AND(ISNUMBER(DO_opt),ISNUMBER(DO_toxic)),DO_opt/DO_toxic,0.5)</f>
        <v>0.5</v>
      </c>
      <c r="E84" s="68" t="s">
        <v>737</v>
      </c>
      <c r="F84" s="20"/>
    </row>
    <row r="85" spans="1:6" x14ac:dyDescent="0.2">
      <c r="A85" s="17" t="s">
        <v>738</v>
      </c>
      <c r="B85" s="18" t="s">
        <v>739</v>
      </c>
      <c r="C85" s="19" t="s">
        <v>137</v>
      </c>
      <c r="D85" s="124">
        <v>2</v>
      </c>
      <c r="E85" s="68" t="s">
        <v>740</v>
      </c>
      <c r="F85" s="20"/>
    </row>
    <row r="86" spans="1:6" x14ac:dyDescent="0.2">
      <c r="A86" s="17" t="s">
        <v>741</v>
      </c>
      <c r="B86" s="18" t="s">
        <v>742</v>
      </c>
      <c r="C86" s="19" t="s">
        <v>137</v>
      </c>
      <c r="D86" s="48">
        <f>carbon_margin_min*CO2_cons/(nCO2_rate*3600)</f>
        <v>7.2211750463169476E-5</v>
      </c>
      <c r="E86" s="101" t="s">
        <v>743</v>
      </c>
      <c r="F86" s="20"/>
    </row>
    <row r="87" spans="1:6" ht="24" customHeight="1" x14ac:dyDescent="0.2">
      <c r="A87" s="17" t="s">
        <v>744</v>
      </c>
      <c r="B87" s="18" t="s">
        <v>745</v>
      </c>
      <c r="C87" s="19" t="s">
        <v>137</v>
      </c>
      <c r="D87" s="48">
        <f>O2_src_guard/(target_DO_frac*(O2_ceil_Pa/P_atm))/(nCO2_rate*3600)</f>
        <v>7.2211750463169471E-4</v>
      </c>
      <c r="E87" s="101" t="s">
        <v>1095</v>
      </c>
      <c r="F87" s="20"/>
    </row>
    <row r="88" spans="1:6" ht="24" customHeight="1" x14ac:dyDescent="0.2">
      <c r="A88" s="17" t="s">
        <v>746</v>
      </c>
      <c r="B88" s="18" t="s">
        <v>747</v>
      </c>
      <c r="C88" s="19" t="s">
        <v>137</v>
      </c>
      <c r="D88" s="48">
        <f>MAX(duty_carbon,duty_O2vent)</f>
        <v>7.2211750463169471E-4</v>
      </c>
      <c r="E88" s="69" t="s">
        <v>1027</v>
      </c>
      <c r="F88" s="20"/>
    </row>
    <row r="89" spans="1:6" ht="36" x14ac:dyDescent="0.2">
      <c r="A89" s="17" t="s">
        <v>748</v>
      </c>
      <c r="B89" s="18" t="s">
        <v>749</v>
      </c>
      <c r="C89" s="19" t="s">
        <v>69</v>
      </c>
      <c r="D89" s="48">
        <f>target_DO_frac*O2_ceil_C*(V_charge/1000000)/O2_src_guard*60</f>
        <v>3.0927025129536387</v>
      </c>
      <c r="E89" s="101" t="s">
        <v>1094</v>
      </c>
      <c r="F89" s="20"/>
    </row>
    <row r="90" spans="1:6" x14ac:dyDescent="0.2">
      <c r="A90" s="17" t="s">
        <v>750</v>
      </c>
      <c r="B90" s="18" t="s">
        <v>751</v>
      </c>
      <c r="C90" s="19" t="s">
        <v>13</v>
      </c>
      <c r="D90" s="127">
        <f>MAX(pulse_floor,flush_factor*headspace_V/(Q_CO2/60))</f>
        <v>0.78451304982496561</v>
      </c>
      <c r="E90" s="81" t="s">
        <v>752</v>
      </c>
      <c r="F90" s="20"/>
    </row>
    <row r="91" spans="1:6" ht="24" customHeight="1" x14ac:dyDescent="0.2">
      <c r="A91" s="17" t="s">
        <v>753</v>
      </c>
      <c r="B91" s="18" t="s">
        <v>754</v>
      </c>
      <c r="C91" s="19" t="s">
        <v>69</v>
      </c>
      <c r="D91" s="127">
        <f>IF(spg_int_regime="SURFACE-HELD",spg_int_carbon,MIN(spg_dur_opt/(60*duty_opt),spg_int_max))</f>
        <v>181.0677266956931</v>
      </c>
      <c r="E91" s="81" t="s">
        <v>1093</v>
      </c>
      <c r="F91" s="20"/>
    </row>
    <row r="92" spans="1:6" x14ac:dyDescent="0.2">
      <c r="A92" s="17" t="s">
        <v>755</v>
      </c>
      <c r="B92" s="18" t="s">
        <v>756</v>
      </c>
      <c r="C92" s="19" t="s">
        <v>13</v>
      </c>
      <c r="D92" s="48">
        <f>spg_int_opt*60</f>
        <v>10864.063601741585</v>
      </c>
      <c r="E92" s="81" t="s">
        <v>757</v>
      </c>
      <c r="F92" s="20"/>
    </row>
    <row r="93" spans="1:6" x14ac:dyDescent="0.2">
      <c r="A93" s="17" t="s">
        <v>758</v>
      </c>
      <c r="B93" s="18" t="s">
        <v>759</v>
      </c>
      <c r="C93" s="19" t="s">
        <v>137</v>
      </c>
      <c r="D93" s="48">
        <f>spg_dur_opt/(spg_int_opt*60)</f>
        <v>7.2211750463169476E-5</v>
      </c>
      <c r="E93" s="101" t="s">
        <v>760</v>
      </c>
      <c r="F93" s="20"/>
    </row>
    <row r="94" spans="1:6" x14ac:dyDescent="0.2">
      <c r="A94" s="17" t="s">
        <v>761</v>
      </c>
      <c r="B94" s="18" t="s">
        <v>762</v>
      </c>
      <c r="C94" s="19" t="s">
        <v>137</v>
      </c>
      <c r="D94" s="48" t="str">
        <f>IF(spg_int_regime="SURFACE-HELD","CARBON (surface holds DO)",IF(spg_int_opt&gt;=spg_int_max-0.0001,"O2-CEILING",IF(spg_int_opt&lt;spg_dur_opt/(60*duty_opt)-0.0001,"O2-FREQ",IF(duty_O2vent&gt;=duty_carbon,"O2-VENT","CARBON"))))</f>
        <v>CARBON (surface holds DO)</v>
      </c>
      <c r="E94" s="101" t="s">
        <v>763</v>
      </c>
      <c r="F94" s="20"/>
    </row>
    <row r="95" spans="1:6" ht="24" x14ac:dyDescent="0.2">
      <c r="A95" s="17" t="s">
        <v>764</v>
      </c>
      <c r="B95" s="18" t="s">
        <v>765</v>
      </c>
      <c r="C95" s="19" t="s">
        <v>137</v>
      </c>
      <c r="D95" s="48" t="str">
        <f>IF(spg_int*60-spg_dur&gt;=5,"OK","TIGHT")</f>
        <v>OK</v>
      </c>
      <c r="E95" s="101" t="s">
        <v>1171</v>
      </c>
      <c r="F95" s="20"/>
    </row>
    <row r="96" spans="1:6" ht="36" customHeight="1" x14ac:dyDescent="0.2">
      <c r="A96" s="17" t="s">
        <v>766</v>
      </c>
      <c r="B96" s="18" t="s">
        <v>767</v>
      </c>
      <c r="C96" s="19" t="s">
        <v>137</v>
      </c>
      <c r="D96" s="48" t="str">
        <f>"see note →"</f>
        <v>see note →</v>
      </c>
      <c r="E96" s="69" t="s">
        <v>768</v>
      </c>
      <c r="F96" s="20"/>
    </row>
    <row r="97" spans="1:6" ht="24" customHeight="1" x14ac:dyDescent="0.2">
      <c r="A97" s="17" t="s">
        <v>769</v>
      </c>
      <c r="B97" s="18" t="s">
        <v>770</v>
      </c>
      <c r="C97" s="19" t="s">
        <v>512</v>
      </c>
      <c r="D97" s="124">
        <v>0</v>
      </c>
      <c r="E97" s="69" t="s">
        <v>771</v>
      </c>
      <c r="F97" s="20"/>
    </row>
    <row r="98" spans="1:6" ht="24" customHeight="1" x14ac:dyDescent="0.2">
      <c r="A98" s="17" t="s">
        <v>772</v>
      </c>
      <c r="B98" s="18" t="s">
        <v>773</v>
      </c>
      <c r="C98" s="19" t="s">
        <v>647</v>
      </c>
      <c r="D98" s="48">
        <f>IF(kLa_meas&gt;0,kLa_meas/3600,kLa_surf)</f>
        <v>7.6396128533331165E-3</v>
      </c>
      <c r="E98" s="101" t="s">
        <v>774</v>
      </c>
      <c r="F98" s="20"/>
    </row>
    <row r="99" spans="1:6" x14ac:dyDescent="0.2">
      <c r="A99" s="20" t="s">
        <v>775</v>
      </c>
      <c r="B99" s="20" t="s">
        <v>776</v>
      </c>
      <c r="C99" s="20" t="s">
        <v>13</v>
      </c>
      <c r="D99" s="24">
        <f>min_sparge_cal</f>
        <v>0.25</v>
      </c>
      <c r="E99" s="20" t="s">
        <v>777</v>
      </c>
      <c r="F99" s="20"/>
    </row>
    <row r="100" spans="1:6" x14ac:dyDescent="0.2">
      <c r="A100" s="20" t="s">
        <v>778</v>
      </c>
      <c r="B100" s="20" t="s">
        <v>779</v>
      </c>
      <c r="C100" s="20" t="s">
        <v>357</v>
      </c>
      <c r="D100" s="24">
        <f>CO2_pulse*pulses_h</f>
        <v>3.5383616607692934E-5</v>
      </c>
      <c r="E100" s="20" t="s">
        <v>777</v>
      </c>
      <c r="F100" s="20"/>
    </row>
    <row r="101" spans="1:6" x14ac:dyDescent="0.2">
      <c r="A101" s="20" t="s">
        <v>780</v>
      </c>
      <c r="B101" s="20" t="s">
        <v>315</v>
      </c>
      <c r="C101" s="20" t="s">
        <v>316</v>
      </c>
      <c r="D101" s="82">
        <v>8.3144626180000003</v>
      </c>
      <c r="E101" s="20" t="s">
        <v>777</v>
      </c>
      <c r="F101" s="20"/>
    </row>
    <row r="102" spans="1:6" x14ac:dyDescent="0.2">
      <c r="A102" s="20" t="s">
        <v>781</v>
      </c>
      <c r="B102" s="20" t="s">
        <v>782</v>
      </c>
      <c r="C102" s="20" t="s">
        <v>364</v>
      </c>
      <c r="D102" s="24">
        <f>IF(has_cal&gt;0,flowrate_cal*60,NA())</f>
        <v>199.8</v>
      </c>
      <c r="E102" s="20" t="s">
        <v>777</v>
      </c>
      <c r="F102" s="20"/>
    </row>
    <row r="103" spans="1:6" x14ac:dyDescent="0.2">
      <c r="A103" s="20" t="s">
        <v>783</v>
      </c>
      <c r="B103" s="20" t="s">
        <v>784</v>
      </c>
      <c r="C103" s="20" t="s">
        <v>785</v>
      </c>
      <c r="D103" s="82">
        <v>44.009500000000003</v>
      </c>
      <c r="E103" s="20" t="s">
        <v>777</v>
      </c>
      <c r="F103" s="20"/>
    </row>
    <row r="104" spans="1:6" x14ac:dyDescent="0.2">
      <c r="A104" s="20" t="s">
        <v>786</v>
      </c>
      <c r="B104" s="20" t="s">
        <v>787</v>
      </c>
      <c r="C104" s="20" t="s">
        <v>788</v>
      </c>
      <c r="D104" s="24">
        <f>P_atm*(Q_CO2/1000000/60)/(R_gas*T_K)</f>
        <v>1.36110568266017E-4</v>
      </c>
      <c r="E104" s="20" t="s">
        <v>777</v>
      </c>
      <c r="F104" s="20"/>
    </row>
    <row r="105" spans="1:6" x14ac:dyDescent="0.2">
      <c r="A105" s="20" t="s">
        <v>789</v>
      </c>
      <c r="B105" s="20" t="s">
        <v>790</v>
      </c>
      <c r="C105" s="20" t="s">
        <v>137</v>
      </c>
      <c r="D105" s="24">
        <f>spg_dur/(spg_int*60)</f>
        <v>7.2211750463169476E-5</v>
      </c>
      <c r="E105" s="20" t="s">
        <v>777</v>
      </c>
      <c r="F105" s="20"/>
    </row>
    <row r="106" spans="1:6" x14ac:dyDescent="0.2">
      <c r="A106" s="20" t="s">
        <v>791</v>
      </c>
      <c r="B106" s="20" t="s">
        <v>792</v>
      </c>
      <c r="C106" s="20" t="s">
        <v>137</v>
      </c>
      <c r="D106" s="82">
        <v>1</v>
      </c>
      <c r="E106" s="20" t="s">
        <v>777</v>
      </c>
      <c r="F106" s="20"/>
    </row>
    <row r="107" spans="1:6" x14ac:dyDescent="0.2">
      <c r="A107" s="109" t="s">
        <v>793</v>
      </c>
      <c r="B107" s="20"/>
      <c r="C107" s="20"/>
      <c r="D107" s="20"/>
      <c r="E107" s="20"/>
      <c r="F107" s="20"/>
    </row>
    <row r="108" spans="1:6" x14ac:dyDescent="0.2">
      <c r="A108" s="20" t="s">
        <v>794</v>
      </c>
      <c r="B108" s="20" t="s">
        <v>795</v>
      </c>
      <c r="C108" s="20" t="s">
        <v>104</v>
      </c>
      <c r="D108" s="24">
        <f>O2_excess/(kLa_surf_used*3600*(V_charge/1000000))*32</f>
        <v>1.3723253719399422</v>
      </c>
      <c r="E108" s="20"/>
      <c r="F108" s="20"/>
    </row>
    <row r="109" spans="1:6" x14ac:dyDescent="0.2">
      <c r="A109" s="20" t="s">
        <v>796</v>
      </c>
      <c r="B109" s="20" t="s">
        <v>797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organism optimum unknown</v>
      </c>
      <c r="E109" s="20"/>
      <c r="F109" s="20"/>
    </row>
    <row r="110" spans="1:6" x14ac:dyDescent="0.2">
      <c r="A110" s="20" t="s">
        <v>798</v>
      </c>
      <c r="B110" s="20" t="s">
        <v>799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800</v>
      </c>
      <c r="B111" s="20" t="s">
        <v>801</v>
      </c>
      <c r="C111" s="20"/>
      <c r="D111" s="24" t="str">
        <f>IF(tip_speed&gt;1.5,"TIP SPEED &gt; 1.5 m/s","OK")</f>
        <v>OK</v>
      </c>
      <c r="E111" s="83" t="s">
        <v>802</v>
      </c>
      <c r="F111" s="20"/>
    </row>
    <row r="112" spans="1:6" x14ac:dyDescent="0.2">
      <c r="A112" s="20" t="s">
        <v>803</v>
      </c>
      <c r="B112" s="20" t="s">
        <v>804</v>
      </c>
      <c r="C112" s="20" t="s">
        <v>69</v>
      </c>
      <c r="D112" s="24">
        <f>spg_dur_opt/(60*duty_carbon)</f>
        <v>181.0677266956931</v>
      </c>
      <c r="E112" s="20"/>
      <c r="F112" s="20"/>
    </row>
    <row r="113" spans="1:6" x14ac:dyDescent="0.2">
      <c r="A113" s="20" t="s">
        <v>805</v>
      </c>
      <c r="B113" s="20" t="s">
        <v>806</v>
      </c>
      <c r="C113" s="20"/>
      <c r="D113" s="24" t="str">
        <f>IF(AND(ISNUMBER(DO_ss),ISNUMBER(DO_impair)),IF(DO_ss&lt;DO_impair,"Surface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organism DO unknown</v>
      </c>
      <c r="E113" s="83" t="s">
        <v>807</v>
      </c>
      <c r="F113" s="20"/>
    </row>
    <row r="114" spans="1:6" x14ac:dyDescent="0.2">
      <c r="A114" s="109" t="s">
        <v>808</v>
      </c>
      <c r="B114" s="20"/>
      <c r="C114" s="20"/>
      <c r="D114" s="20"/>
      <c r="E114" s="20"/>
      <c r="F114" s="20"/>
    </row>
    <row r="115" spans="1:6" x14ac:dyDescent="0.2">
      <c r="A115" s="20" t="s">
        <v>809</v>
      </c>
      <c r="B115" s="20" t="s">
        <v>1</v>
      </c>
      <c r="C115" s="20"/>
      <c r="D115" s="38" t="str">
        <f>Summary!$D$2</f>
        <v>ed04</v>
      </c>
      <c r="E115" s="20"/>
      <c r="F115" s="20"/>
    </row>
    <row r="116" spans="1:6" x14ac:dyDescent="0.2">
      <c r="A116" s="20" t="s">
        <v>810</v>
      </c>
      <c r="B116" s="20" t="s">
        <v>811</v>
      </c>
      <c r="C116" s="20"/>
      <c r="D116" s="84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812</v>
      </c>
      <c r="B117" s="20" t="s">
        <v>813</v>
      </c>
      <c r="C117" s="20" t="s">
        <v>14</v>
      </c>
      <c r="D117" s="84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814</v>
      </c>
      <c r="B118" s="20" t="s">
        <v>815</v>
      </c>
      <c r="C118" s="20" t="s">
        <v>13</v>
      </c>
      <c r="D118" s="84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816</v>
      </c>
      <c r="B119" s="20" t="s">
        <v>817</v>
      </c>
      <c r="C119" s="20" t="s">
        <v>818</v>
      </c>
      <c r="D119" s="84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819</v>
      </c>
      <c r="B120" s="20" t="s">
        <v>820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821</v>
      </c>
      <c r="B121" s="20" t="s">
        <v>822</v>
      </c>
      <c r="C121" s="20" t="s">
        <v>13</v>
      </c>
      <c r="D121" s="24">
        <f>IF(AND(ISNUMBER(Summary!$G$13),Summary!$G$13&gt;0),Summary!$G$13,IF(sched_mode="Manual",spg_dur_man,spg_dur_opt))</f>
        <v>0.78451304982496561</v>
      </c>
      <c r="E121" s="20"/>
      <c r="F121" s="20"/>
    </row>
    <row r="122" spans="1:6" x14ac:dyDescent="0.2">
      <c r="A122" s="20" t="s">
        <v>823</v>
      </c>
      <c r="B122" s="20" t="s">
        <v>824</v>
      </c>
      <c r="C122" s="20" t="s">
        <v>69</v>
      </c>
      <c r="D122" s="24">
        <f>IF(AND(ISNUMBER(Summary!$G$15),Summary!$G$15&gt;0),Summary!$G$15,IF(sched_mode="Manual",spg_int_man,spg_int_opt))</f>
        <v>181.0677266956931</v>
      </c>
      <c r="E122" s="20"/>
      <c r="F122" s="20"/>
    </row>
    <row r="123" spans="1:6" x14ac:dyDescent="0.2">
      <c r="A123" s="20" t="s">
        <v>825</v>
      </c>
      <c r="B123" s="20" t="s">
        <v>826</v>
      </c>
      <c r="C123" s="20" t="s">
        <v>827</v>
      </c>
      <c r="D123" s="24">
        <f>nCO2_rate*spg_dur</f>
        <v>1.0678051702378218E-4</v>
      </c>
      <c r="E123" s="20"/>
      <c r="F123" s="20"/>
    </row>
    <row r="124" spans="1:6" x14ac:dyDescent="0.2">
      <c r="A124" s="20" t="s">
        <v>828</v>
      </c>
      <c r="B124" s="20" t="s">
        <v>829</v>
      </c>
      <c r="C124" s="20" t="s">
        <v>830</v>
      </c>
      <c r="D124" s="24">
        <f>60/spg_int</f>
        <v>0.3313677213214119</v>
      </c>
      <c r="E124" s="20"/>
      <c r="F124" s="20"/>
    </row>
    <row r="125" spans="1:6" x14ac:dyDescent="0.2">
      <c r="A125" s="20" t="s">
        <v>831</v>
      </c>
      <c r="B125" s="20" t="s">
        <v>832</v>
      </c>
      <c r="C125" s="20" t="s">
        <v>833</v>
      </c>
      <c r="D125" s="24">
        <f>pulses_h*24</f>
        <v>7.9528253117138856</v>
      </c>
      <c r="E125" s="20"/>
      <c r="F125" s="20"/>
    </row>
    <row r="126" spans="1:6" x14ac:dyDescent="0.2">
      <c r="A126" s="20" t="s">
        <v>834</v>
      </c>
      <c r="B126" s="20" t="s">
        <v>835</v>
      </c>
      <c r="C126" s="20" t="s">
        <v>112</v>
      </c>
      <c r="D126" s="24">
        <f>IF(CO2_cons&gt;0,CO2_supply/CO2_cons,NA())</f>
        <v>2.0000000000000004</v>
      </c>
      <c r="E126" s="20"/>
      <c r="F126" s="20"/>
    </row>
    <row r="127" spans="1:6" x14ac:dyDescent="0.2">
      <c r="A127" s="20" t="s">
        <v>836</v>
      </c>
      <c r="B127" s="20" t="s">
        <v>837</v>
      </c>
      <c r="C127" s="20" t="s">
        <v>827</v>
      </c>
      <c r="D127" s="24">
        <f>O2_excess/60*spg_int</f>
        <v>5.3390258511891068E-5</v>
      </c>
      <c r="E127" s="20"/>
      <c r="F127" s="20"/>
    </row>
    <row r="128" spans="1:6" x14ac:dyDescent="0.2">
      <c r="A128" s="20" t="s">
        <v>838</v>
      </c>
      <c r="B128" s="20" t="s">
        <v>839</v>
      </c>
      <c r="C128" s="20" t="s">
        <v>827</v>
      </c>
      <c r="D128" s="24">
        <f>strip_sparge/3600*spg_dur</f>
        <v>7.0822854269191952E-8</v>
      </c>
      <c r="E128" s="20"/>
      <c r="F128" s="20"/>
    </row>
    <row r="129" spans="1:6" x14ac:dyDescent="0.2">
      <c r="A129" s="20" t="s">
        <v>840</v>
      </c>
      <c r="B129" s="20" t="s">
        <v>841</v>
      </c>
      <c r="C129" s="20" t="s">
        <v>112</v>
      </c>
      <c r="D129" s="24">
        <f>IF(O2_accum&gt;0,O2_strip_pulse/O2_accum,NA())</f>
        <v>1.3265126681006479E-3</v>
      </c>
      <c r="E129" s="20"/>
      <c r="F129" s="20"/>
    </row>
    <row r="130" spans="1:6" x14ac:dyDescent="0.2">
      <c r="A130" s="20" t="s">
        <v>842</v>
      </c>
      <c r="B130" s="20" t="s">
        <v>843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844</v>
      </c>
      <c r="B131" s="20" t="s">
        <v>845</v>
      </c>
      <c r="C131" s="20" t="s">
        <v>109</v>
      </c>
      <c r="D131" s="24" t="e">
        <f>IF(ISNUMBER(DO_impair),O2_excess*32/(DO_impair*3600*(V_charge/1000000)*a_surf),NA())</f>
        <v>#N/A</v>
      </c>
      <c r="E131" s="107" t="s">
        <v>846</v>
      </c>
      <c r="F131" s="20"/>
    </row>
    <row r="132" spans="1:6" ht="24" x14ac:dyDescent="0.2">
      <c r="A132" s="17" t="s">
        <v>1009</v>
      </c>
      <c r="B132" s="18" t="s">
        <v>1010</v>
      </c>
      <c r="C132" s="19" t="s">
        <v>1011</v>
      </c>
      <c r="D132" s="28">
        <f>O2_net_gen</f>
        <v>5.3075424911539388E-5</v>
      </c>
      <c r="E132" s="69" t="s">
        <v>1012</v>
      </c>
      <c r="F132" s="20"/>
    </row>
    <row r="133" spans="1:6" ht="24" x14ac:dyDescent="0.2">
      <c r="A133" s="17" t="s">
        <v>1013</v>
      </c>
      <c r="B133" s="18" t="s">
        <v>1014</v>
      </c>
      <c r="C133" s="19" t="s">
        <v>1015</v>
      </c>
      <c r="D133" s="28">
        <f>O2_excess/(kLa_surf_used*3600*(V_charge/1000000))</f>
        <v>4.2885167873123194E-2</v>
      </c>
      <c r="E133" s="69" t="s">
        <v>1016</v>
      </c>
      <c r="F133" s="20"/>
    </row>
    <row r="134" spans="1:6" ht="24" x14ac:dyDescent="0.2">
      <c r="A134" s="20" t="s">
        <v>1017</v>
      </c>
      <c r="B134" s="20" t="s">
        <v>1018</v>
      </c>
      <c r="C134" s="20" t="s">
        <v>1019</v>
      </c>
      <c r="D134" s="28" t="str">
        <f>IF(DO_ss_sawtooth&lt;target_DO_frac*O2_ceil_C,"SURFACE-HELD","SPARGE-NEEDED")</f>
        <v>SURFACE-HELD</v>
      </c>
      <c r="E134" s="69" t="s">
        <v>1020</v>
      </c>
      <c r="F134" s="20"/>
    </row>
    <row r="135" spans="1:6" ht="36" x14ac:dyDescent="0.2">
      <c r="A135" s="20" t="s">
        <v>1021</v>
      </c>
      <c r="B135" s="20" t="s">
        <v>1022</v>
      </c>
      <c r="C135" s="20" t="s">
        <v>1023</v>
      </c>
      <c r="D135" s="28">
        <f>O2_net_gen/(kLa_surf_used*3600*(V_charge/1000000))</f>
        <v>0.12865550361936959</v>
      </c>
      <c r="E135" s="69" t="s">
        <v>1024</v>
      </c>
      <c r="F135" s="20"/>
    </row>
    <row r="137" spans="1:6" x14ac:dyDescent="0.2">
      <c r="A137" s="20" t="s">
        <v>1173</v>
      </c>
      <c r="B137" s="20"/>
      <c r="C137" s="20"/>
      <c r="D137" s="20"/>
      <c r="E137" s="20" t="s">
        <v>1174</v>
      </c>
      <c r="F137" s="20"/>
    </row>
    <row r="138" spans="1:6" x14ac:dyDescent="0.2">
      <c r="A138" s="17" t="s">
        <v>1175</v>
      </c>
      <c r="B138" s="18" t="s">
        <v>1176</v>
      </c>
      <c r="C138" s="19" t="s">
        <v>584</v>
      </c>
      <c r="D138" s="124">
        <v>1.92E-9</v>
      </c>
      <c r="E138" s="67" t="s">
        <v>1198</v>
      </c>
      <c r="F138" s="20"/>
    </row>
    <row r="139" spans="1:6" x14ac:dyDescent="0.2">
      <c r="A139" s="17" t="s">
        <v>1199</v>
      </c>
      <c r="B139" s="18" t="s">
        <v>1177</v>
      </c>
      <c r="C139" s="19" t="s">
        <v>64</v>
      </c>
      <c r="D139" s="124">
        <v>40</v>
      </c>
      <c r="E139" s="67" t="s">
        <v>1200</v>
      </c>
      <c r="F139" s="20"/>
    </row>
    <row r="140" spans="1:6" x14ac:dyDescent="0.2">
      <c r="A140" s="17" t="s">
        <v>1201</v>
      </c>
      <c r="B140" s="18" t="s">
        <v>1202</v>
      </c>
      <c r="C140" s="19" t="s">
        <v>1203</v>
      </c>
      <c r="D140" s="48">
        <f>headspace_V/1000000</f>
        <v>2.6124284559171357E-6</v>
      </c>
      <c r="E140" s="67" t="s">
        <v>1204</v>
      </c>
      <c r="F140" s="20"/>
    </row>
    <row r="141" spans="1:6" x14ac:dyDescent="0.2">
      <c r="A141" s="17" t="s">
        <v>1205</v>
      </c>
      <c r="B141" s="18" t="s">
        <v>1206</v>
      </c>
      <c r="C141" s="19" t="s">
        <v>1203</v>
      </c>
      <c r="D141" s="48">
        <f>V_charge/1000000</f>
        <v>1.5E-5</v>
      </c>
      <c r="E141" s="67" t="s">
        <v>1207</v>
      </c>
      <c r="F141" s="20"/>
    </row>
    <row r="142" spans="1:6" ht="36" x14ac:dyDescent="0.2">
      <c r="A142" s="17" t="s">
        <v>1208</v>
      </c>
      <c r="B142" s="18" t="s">
        <v>1209</v>
      </c>
      <c r="C142" s="19" t="s">
        <v>364</v>
      </c>
      <c r="D142" s="124">
        <v>0.5</v>
      </c>
      <c r="E142" s="69" t="s">
        <v>1210</v>
      </c>
      <c r="F142" s="20"/>
    </row>
    <row r="143" spans="1:6" x14ac:dyDescent="0.2">
      <c r="A143" s="17" t="s">
        <v>1211</v>
      </c>
      <c r="B143" s="18" t="s">
        <v>1212</v>
      </c>
      <c r="C143" s="19" t="s">
        <v>647</v>
      </c>
      <c r="D143" s="48">
        <f>(Q_vent/1000000/60)/headspace_V_m3</f>
        <v>3.1898800192818222E-3</v>
      </c>
      <c r="E143" s="67" t="s">
        <v>1213</v>
      </c>
      <c r="F143" s="20"/>
    </row>
    <row r="144" spans="1:6" x14ac:dyDescent="0.2">
      <c r="A144" s="17" t="s">
        <v>1214</v>
      </c>
      <c r="B144" s="18" t="s">
        <v>1215</v>
      </c>
      <c r="C144" s="19" t="s">
        <v>69</v>
      </c>
      <c r="D144" s="48">
        <f>headspace_V_m3/(Q_vent/1000000/60)/60</f>
        <v>5.2248569118342711</v>
      </c>
      <c r="E144" s="67" t="s">
        <v>1216</v>
      </c>
      <c r="F144" s="20"/>
    </row>
    <row r="145" spans="1:6" x14ac:dyDescent="0.2">
      <c r="A145" s="17" t="s">
        <v>1178</v>
      </c>
      <c r="B145" s="18" t="s">
        <v>1179</v>
      </c>
      <c r="C145" s="19" t="s">
        <v>465</v>
      </c>
      <c r="D145" s="48">
        <f>Biology!$D$31*P_atm</f>
        <v>33.437249999999999</v>
      </c>
      <c r="E145" s="67" t="s">
        <v>1217</v>
      </c>
      <c r="F145" s="20"/>
    </row>
    <row r="146" spans="1:6" x14ac:dyDescent="0.2">
      <c r="A146" s="17" t="s">
        <v>1180</v>
      </c>
      <c r="B146" s="18" t="s">
        <v>1181</v>
      </c>
      <c r="C146" s="19" t="s">
        <v>465</v>
      </c>
      <c r="D146" s="48">
        <f>Biology!$D$31*pCO2_air</f>
        <v>1.32E-2</v>
      </c>
      <c r="E146" s="67" t="s">
        <v>1218</v>
      </c>
      <c r="F146" s="20"/>
    </row>
    <row r="147" spans="1:6" x14ac:dyDescent="0.2">
      <c r="A147" s="17" t="s">
        <v>1219</v>
      </c>
      <c r="B147" s="18" t="s">
        <v>1182</v>
      </c>
      <c r="C147" s="19" t="s">
        <v>137</v>
      </c>
      <c r="D147" s="48">
        <f>SQRT(D_CO2/D_O2)</f>
        <v>0.92396577925116474</v>
      </c>
      <c r="E147" s="67" t="s">
        <v>1220</v>
      </c>
      <c r="F147" s="20"/>
    </row>
    <row r="148" spans="1:6" x14ac:dyDescent="0.2">
      <c r="A148" s="17" t="s">
        <v>1221</v>
      </c>
      <c r="B148" s="18" t="s">
        <v>1183</v>
      </c>
      <c r="C148" s="19" t="s">
        <v>647</v>
      </c>
      <c r="D148" s="48">
        <f>kLa_surf*sqrtD_CO2</f>
        <v>7.0587408432071473E-3</v>
      </c>
      <c r="E148" s="67" t="s">
        <v>1222</v>
      </c>
      <c r="F148" s="20"/>
    </row>
    <row r="149" spans="1:6" x14ac:dyDescent="0.2">
      <c r="A149" s="17" t="s">
        <v>1223</v>
      </c>
      <c r="B149" s="18" t="s">
        <v>1224</v>
      </c>
      <c r="C149" s="19" t="s">
        <v>69</v>
      </c>
      <c r="D149" s="48">
        <f>1/kLa_CO2_off/60</f>
        <v>2.3611387692049264</v>
      </c>
      <c r="E149" s="67" t="s">
        <v>1225</v>
      </c>
      <c r="F149" s="20"/>
    </row>
    <row r="150" spans="1:6" x14ac:dyDescent="0.2">
      <c r="A150" s="17" t="s">
        <v>1226</v>
      </c>
      <c r="B150" s="18" t="s">
        <v>1227</v>
      </c>
      <c r="C150" s="19" t="s">
        <v>827</v>
      </c>
      <c r="D150" s="48">
        <f>P_atm*headspace_V_m3/(R_gas*T_K)</f>
        <v>1.0678051702378222E-4</v>
      </c>
      <c r="E150" s="67" t="s">
        <v>1228</v>
      </c>
      <c r="F150" s="20"/>
    </row>
    <row r="151" spans="1:6" x14ac:dyDescent="0.2">
      <c r="A151" s="17" t="s">
        <v>1184</v>
      </c>
      <c r="B151" s="18" t="s">
        <v>1185</v>
      </c>
      <c r="C151" s="19" t="s">
        <v>13</v>
      </c>
      <c r="D151" s="48">
        <f>spg_dur</f>
        <v>0.78451304982496561</v>
      </c>
      <c r="E151" s="67" t="s">
        <v>1229</v>
      </c>
      <c r="F151" s="20"/>
    </row>
    <row r="152" spans="1:6" x14ac:dyDescent="0.2">
      <c r="A152" s="17" t="s">
        <v>1186</v>
      </c>
      <c r="B152" s="18" t="s">
        <v>1187</v>
      </c>
      <c r="C152" s="19" t="s">
        <v>13</v>
      </c>
      <c r="D152" s="48">
        <f>MAX(0,spg_int*60-spg_dur)</f>
        <v>10863.279088691761</v>
      </c>
      <c r="E152" s="67" t="s">
        <v>1230</v>
      </c>
      <c r="F152" s="20"/>
    </row>
    <row r="153" spans="1:6" x14ac:dyDescent="0.2">
      <c r="A153" s="17" t="s">
        <v>1231</v>
      </c>
      <c r="B153" s="18" t="s">
        <v>1232</v>
      </c>
      <c r="C153" s="19" t="s">
        <v>137</v>
      </c>
      <c r="D153" s="48">
        <f>EXP(-kLa_CO2_off*t_on_CO2)</f>
        <v>0.99447763034777281</v>
      </c>
      <c r="E153" s="67" t="s">
        <v>1233</v>
      </c>
      <c r="F153" s="20"/>
    </row>
    <row r="154" spans="1:6" x14ac:dyDescent="0.2">
      <c r="A154" s="17" t="s">
        <v>1234</v>
      </c>
      <c r="B154" s="18" t="s">
        <v>1235</v>
      </c>
      <c r="C154" s="19" t="s">
        <v>137</v>
      </c>
      <c r="D154" s="48">
        <f>EXP(-kLa_CO2_off*t_off_CO2)</f>
        <v>4.9869343751369273E-34</v>
      </c>
      <c r="E154" s="67" t="s">
        <v>1236</v>
      </c>
      <c r="F154" s="20"/>
    </row>
    <row r="155" spans="1:6" x14ac:dyDescent="0.2">
      <c r="A155" s="17" t="s">
        <v>1237</v>
      </c>
      <c r="B155" s="18" t="s">
        <v>1238</v>
      </c>
      <c r="C155" s="19" t="s">
        <v>137</v>
      </c>
      <c r="D155" s="48">
        <f>EXP(-k_vent*t_off_CO2)</f>
        <v>8.9245381551518439E-16</v>
      </c>
      <c r="E155" s="67" t="s">
        <v>1239</v>
      </c>
      <c r="F155" s="20"/>
    </row>
    <row r="156" spans="1:6" x14ac:dyDescent="0.2">
      <c r="A156" s="17" t="s">
        <v>1240</v>
      </c>
      <c r="B156" s="18" t="s">
        <v>1241</v>
      </c>
      <c r="C156" s="19" t="s">
        <v>465</v>
      </c>
      <c r="D156" s="48">
        <f>(C_sat_CO2-C_air_CO2)*kLa_CO2_off/(kLa_CO2_off-k_vent)</f>
        <v>60.982216114205634</v>
      </c>
      <c r="E156" s="67" t="s">
        <v>1242</v>
      </c>
      <c r="F156" s="20"/>
    </row>
    <row r="157" spans="1:6" x14ac:dyDescent="0.2">
      <c r="A157" s="17" t="s">
        <v>1243</v>
      </c>
      <c r="B157" s="18" t="s">
        <v>1244</v>
      </c>
      <c r="C157" s="19" t="s">
        <v>465</v>
      </c>
      <c r="D157" s="48">
        <f>(e1_CO2*C_sat_CO2*(1-eon_CO2)+C_air_CO2*(1-e1_CO2)+coef_CO2*(e2_CO2-e1_CO2))/(1-e1_CO2*eon_CO2)</f>
        <v>1.3200000000054423E-2</v>
      </c>
      <c r="E157" s="67" t="s">
        <v>1245</v>
      </c>
      <c r="F157" s="20"/>
    </row>
    <row r="158" spans="1:6" x14ac:dyDescent="0.2">
      <c r="A158" s="17" t="s">
        <v>1246</v>
      </c>
      <c r="B158" s="18" t="s">
        <v>1247</v>
      </c>
      <c r="C158" s="19" t="s">
        <v>465</v>
      </c>
      <c r="D158" s="48">
        <f>C_sat_CO2+(Ca_CO2-C_sat_CO2)*eon_CO2</f>
        <v>0.1977799593745786</v>
      </c>
      <c r="E158" s="67" t="s">
        <v>1248</v>
      </c>
      <c r="F158" s="20"/>
    </row>
    <row r="159" spans="1:6" x14ac:dyDescent="0.2">
      <c r="A159" s="17" t="s">
        <v>1249</v>
      </c>
      <c r="B159" s="18" t="s">
        <v>1188</v>
      </c>
      <c r="C159" s="19" t="s">
        <v>1189</v>
      </c>
      <c r="D159" s="48">
        <f>C_sat_CO2*t_on_CO2+(Ca_CO2-C_sat_CO2)/kLa_CO2_off*(1-eon_CO2)</f>
        <v>8.2825089412320807E-2</v>
      </c>
      <c r="E159" s="67" t="s">
        <v>1250</v>
      </c>
      <c r="F159" s="20"/>
    </row>
    <row r="160" spans="1:6" x14ac:dyDescent="0.2">
      <c r="A160" s="17" t="s">
        <v>1251</v>
      </c>
      <c r="B160" s="18" t="s">
        <v>1190</v>
      </c>
      <c r="C160" s="19" t="s">
        <v>1189</v>
      </c>
      <c r="D160" s="48">
        <f>C_air_CO2*t_off_CO2+(Cb_CO2-C_air_CO2)/kLa_CO2_off*(1-e1_CO2)+coef_CO2*((1-e2_CO2)/k_vent-(1-e1_CO2)/kLa_CO2_off)</f>
        <v>10647.697137696226</v>
      </c>
      <c r="E160" s="67" t="s">
        <v>1252</v>
      </c>
      <c r="F160" s="20"/>
    </row>
    <row r="161" spans="1:6" x14ac:dyDescent="0.2">
      <c r="A161" s="17" t="s">
        <v>1191</v>
      </c>
      <c r="B161" s="18" t="s">
        <v>1192</v>
      </c>
      <c r="C161" s="19" t="s">
        <v>465</v>
      </c>
      <c r="D161" s="48">
        <f>(CO2_int_on+CO2_int_off)/(t_on_CO2+t_off_CO2)</f>
        <v>0.98009182872224021</v>
      </c>
      <c r="E161" s="67" t="s">
        <v>1253</v>
      </c>
      <c r="F161" s="20"/>
    </row>
    <row r="162" spans="1:6" ht="24" x14ac:dyDescent="0.2">
      <c r="A162" s="17" t="s">
        <v>1193</v>
      </c>
      <c r="B162" s="18" t="s">
        <v>1194</v>
      </c>
      <c r="C162" s="19" t="s">
        <v>492</v>
      </c>
      <c r="D162" s="48">
        <f>MIN(C_sat_CO2,MAX(C_air_CO2,CO2_cyc_avg))/1000</f>
        <v>9.8009182872224013E-4</v>
      </c>
      <c r="E162" s="67" t="s">
        <v>1254</v>
      </c>
      <c r="F162" s="20"/>
    </row>
    <row r="163" spans="1:6" x14ac:dyDescent="0.2">
      <c r="A163" s="17" t="s">
        <v>1255</v>
      </c>
      <c r="B163" s="18" t="s">
        <v>1256</v>
      </c>
      <c r="C163" s="19" t="s">
        <v>137</v>
      </c>
      <c r="D163" s="48" t="str">
        <f>IF(tau_hs&gt;=tau_surf_floor,"vent is slow path - OK","WARNING: surface clears faster than vent - run2 cannot stay acidic")</f>
        <v>vent is slow path - OK</v>
      </c>
      <c r="E163" s="67" t="s">
        <v>1257</v>
      </c>
      <c r="F163" s="20"/>
    </row>
    <row r="164" spans="1:6" x14ac:dyDescent="0.2">
      <c r="A164" s="17" t="s">
        <v>1195</v>
      </c>
      <c r="B164" s="18" t="s">
        <v>1196</v>
      </c>
      <c r="C164" s="19" t="s">
        <v>137</v>
      </c>
      <c r="D164" s="48" t="str">
        <f>IF(spg_int*60&gt;=spg_dur,"OK","INVALID: interval &lt; pulse")</f>
        <v>OK</v>
      </c>
      <c r="E164" s="67" t="s">
        <v>1258</v>
      </c>
      <c r="F164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>
      <selection activeCell="I4" sqref="I4"/>
    </sheetView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375</vt:i4>
      </vt:variant>
    </vt:vector>
  </HeadingPairs>
  <TitlesOfParts>
    <vt:vector size="382" baseType="lpstr">
      <vt:lpstr>Summary</vt:lpstr>
      <vt:lpstr>Geometry</vt:lpstr>
      <vt:lpstr>Electrochemistry</vt:lpstr>
      <vt:lpstr>Chemistry</vt:lpstr>
      <vt:lpstr>Biology</vt:lpstr>
      <vt:lpstr>Mass Transfer</vt:lpstr>
      <vt:lpstr>CO2 flows</vt:lpstr>
      <vt:lpstr>Chemistry!A_anode</vt:lpstr>
      <vt:lpstr>'Mass Transfer'!a_int</vt:lpstr>
      <vt:lpstr>'Mass Transfer'!a_surf</vt:lpstr>
      <vt:lpstr>Geometry!A_x</vt:lpstr>
      <vt:lpstr>'Mass Transfer'!A_x</vt:lpstr>
      <vt:lpstr>Biology!bio_CO2</vt:lpstr>
      <vt:lpstr>Biology!bio_H2</vt:lpstr>
      <vt:lpstr>Biology!bio_O2</vt:lpstr>
      <vt:lpstr>Chemistry!bleach_flag</vt:lpstr>
      <vt:lpstr>Chemistry!bleach_rate</vt:lpstr>
      <vt:lpstr>Chemistry!bleach_t1ppm</vt:lpstr>
      <vt:lpstr>'Mass Transfer'!bubble_regime</vt:lpstr>
      <vt:lpstr>'Mass Transfer'!C_air_CO2</vt:lpstr>
      <vt:lpstr>Chemistry!C_eff</vt:lpstr>
      <vt:lpstr>Chemistry!C_eff_hi</vt:lpstr>
      <vt:lpstr>Chemistry!C_eff_lo</vt:lpstr>
      <vt:lpstr>Biology!C_H2_sat</vt:lpstr>
      <vt:lpstr>'Mass Transfer'!C_sat_CO2</vt:lpstr>
      <vt:lpstr>'Mass Transfer'!Ca_CO2</vt:lpstr>
      <vt:lpstr>'Mass Transfer'!cal_warning</vt:lpstr>
      <vt:lpstr>'Mass Transfer'!carbon_margin_min</vt:lpstr>
      <vt:lpstr>'Mass Transfer'!carry_flag</vt:lpstr>
      <vt:lpstr>'Mass Transfer'!Cb_CO2</vt:lpstr>
      <vt:lpstr>Chemistry!Cl_kill</vt:lpstr>
      <vt:lpstr>Chemistry!Cl_mc02</vt:lpstr>
      <vt:lpstr>Chemistry!Cl_onset</vt:lpstr>
      <vt:lpstr>Chemistry!Cl_pool_mgL</vt:lpstr>
      <vt:lpstr>Chemistry!Cl_udg</vt:lpstr>
      <vt:lpstr>Biology!CO2_carbon_margin</vt:lpstr>
      <vt:lpstr>Biology!CO2_cons</vt:lpstr>
      <vt:lpstr>'Mass Transfer'!CO2_cons</vt:lpstr>
      <vt:lpstr>'Mass Transfer'!CO2_cyc_avg</vt:lpstr>
      <vt:lpstr>Biology!CO2_diss</vt:lpstr>
      <vt:lpstr>'Mass Transfer'!CO2_int_off</vt:lpstr>
      <vt:lpstr>'Mass Transfer'!CO2_int_on</vt:lpstr>
      <vt:lpstr>'Mass Transfer'!CO2_pulse</vt:lpstr>
      <vt:lpstr>'Mass Transfer'!CO2_sd_ratio</vt:lpstr>
      <vt:lpstr>'Mass Transfer'!CO2_supply</vt:lpstr>
      <vt:lpstr>Chemistry!CO2aqc</vt:lpstr>
      <vt:lpstr>'Mass Transfer'!CO2aqc_ss</vt:lpstr>
      <vt:lpstr>'Mass Transfer'!coef_CO2</vt:lpstr>
      <vt:lpstr>Chemistry!corr_I_frac</vt:lpstr>
      <vt:lpstr>'Mass Transfer'!d_bubble</vt:lpstr>
      <vt:lpstr>'Mass Transfer'!d_bubble_mm</vt:lpstr>
      <vt:lpstr>'Mass Transfer'!D_CO2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Transfer'!DO_ss_sawtooth</vt:lpstr>
      <vt:lpstr>'Mass Transfer'!DO_ss_sawtooth_lag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'Mass Transfer'!e1_CO2</vt:lpstr>
      <vt:lpstr>'Mass Transfer'!e2_CO2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'Mass Transfer'!eon_CO2</vt:lpstr>
      <vt:lpstr>Electrochemistry!etaF</vt:lpstr>
      <vt:lpstr>Electrochemistry!etaF_OER</vt:lpstr>
      <vt:lpstr>Electrochemistry!F_const</vt:lpstr>
      <vt:lpstr>Chemistry!f_local</vt:lpstr>
      <vt:lpstr>Chemistry!Fcc</vt:lpstr>
      <vt:lpstr>Chemistry!FE_CER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'Mass Transfer'!headspace_V_m3</vt:lpstr>
      <vt:lpstr>Chemistry!HOCl_max</vt:lpstr>
      <vt:lpstr>Chemistry!HOCl_ss</vt:lpstr>
      <vt:lpstr>Chemistry!HOCl_ss_mgL</vt:lpstr>
      <vt:lpstr>'Mass Transfer'!holdup</vt:lpstr>
      <vt:lpstr>'Mass Transfer'!hs_flush_time</vt:lpstr>
      <vt:lpstr>Electrochemistry!I_app</vt:lpstr>
      <vt:lpstr>Chemistry!I_Cl</vt:lpstr>
      <vt:lpstr>Chemistry!I_Cl_FE</vt:lpstr>
      <vt:lpstr>Chemistry!I_Cl_mt</vt:lpstr>
      <vt:lpstr>Electrochemistry!I_valid</vt:lpstr>
      <vt:lpstr>Chemistry!Iappc</vt:lpstr>
      <vt:lpstr>Electrochemistry!intensity</vt:lpstr>
      <vt:lpstr>Geometry!interface_A</vt:lpstr>
      <vt:lpstr>'Mass Transfer'!interface_A</vt:lpstr>
      <vt:lpstr>'Mass Transfer'!k_vent</vt:lpstr>
      <vt:lpstr>Chemistry!k1_NH2Cl</vt:lpstr>
      <vt:lpstr>Chemistry!Ka_HOCl</vt:lpstr>
      <vt:lpstr>Chemistry!Ka_NH4</vt:lpstr>
      <vt:lpstr>Biology!Ka1_carb</vt:lpstr>
      <vt:lpstr>Chemistry!Ka1c</vt:lpstr>
      <vt:lpstr>Chemistry!Ka1p</vt:lpstr>
      <vt:lpstr>Chemistry!Ka2c</vt:lpstr>
      <vt:lpstr>Chemistry!Ka2p</vt:lpstr>
      <vt:lpstr>Chemistry!Ka3p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Transfer'!kLa_CO2_off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Chemistry!km_Cl</vt:lpstr>
      <vt:lpstr>Biology!Km_CO2</vt:lpstr>
      <vt:lpstr>Chemistry!Kw_w</vt:lpstr>
      <vt:lpstr>'Mass Transfer'!latest_date</vt:lpstr>
      <vt:lpstr>Summary!led_intensity</vt:lpstr>
      <vt:lpstr>'Mass Transfer'!M_CO2</vt:lpstr>
      <vt:lpstr>Chemistry!mc_CaSO4_2H2O</vt:lpstr>
      <vt:lpstr>Chemistry!mc_K2SO4</vt:lpstr>
      <vt:lpstr>Chemistry!mc_MgSO4_7H2O</vt:lpstr>
      <vt:lpstr>Chemistry!mc_Na2HPO4</vt:lpstr>
      <vt:lpstr>Chemistry!mc_NaH2PO4_2H2O</vt:lpstr>
      <vt:lpstr>Chemistry!mc_NH42SO4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Chemistry!metal_flag</vt:lpstr>
      <vt:lpstr>Chemistry!metal_leach_rate</vt:lpstr>
      <vt:lpstr>Chemistry!metal_MW</vt:lpstr>
      <vt:lpstr>Chemistry!metal_tox_thresh</vt:lpstr>
      <vt:lpstr>Chemistry!metal_z</vt:lpstr>
      <vt:lpstr>'Mass Transfer'!min_sparge_cal</vt:lpstr>
      <vt:lpstr>Chemistry!MW_CaCl2</vt:lpstr>
      <vt:lpstr>Chemistry!MW_CaSO4_2H2O</vt:lpstr>
      <vt:lpstr>Chemistry!MW_K2SO4</vt:lpstr>
      <vt:lpstr>Chemistry!MW_KH2PO4</vt:lpstr>
      <vt:lpstr>Chemistry!MW_MgSO4_7H2O</vt:lpstr>
      <vt:lpstr>Chemistry!MW_Na2HPO4</vt:lpstr>
      <vt:lpstr>Chemistry!MW_NaH2PO4_2H2O</vt:lpstr>
      <vt:lpstr>Chemistry!MW_NaHCO3</vt:lpstr>
      <vt:lpstr>Chemistry!MW_NH42SO4</vt:lpstr>
      <vt:lpstr>Chemistry!n_cross</vt:lpstr>
      <vt:lpstr>Chemistry!n_e_Cl</vt:lpstr>
      <vt:lpstr>'Mass Transfer'!n_hs_gas</vt:lpstr>
      <vt:lpstr>'Mass Transfer'!n_pores_active</vt:lpstr>
      <vt:lpstr>'Mass Transfer'!nCO2_rate</vt:lpstr>
      <vt:lpstr>Chemistry!NH2Cl_hi</vt:lpstr>
      <vt:lpstr>Chemistry!NH2Cl_lo</vt:lpstr>
      <vt:lpstr>Chemistry!NH2Cl_mgL</vt:lpstr>
      <vt:lpstr>Chemistry!NH3_free</vt:lpstr>
      <vt:lpstr>Chemistry!NH3_N</vt:lpstr>
      <vt:lpstr>Chemistry!NT_mc02</vt:lpstr>
      <vt:lpstr>Chemistry!NT_udg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Transfer'!O2_src_guard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Biology!P_atm</vt:lpstr>
      <vt:lpstr>Electrochemistry!P_atm</vt:lpstr>
      <vt:lpstr>'Mass Transfer'!P_atm</vt:lpstr>
      <vt:lpstr>Summary!P_atm_set</vt:lpstr>
      <vt:lpstr>Biology!p_CO2_sparge</vt:lpstr>
      <vt:lpstr>Chemistry!P_HOCl</vt:lpstr>
      <vt:lpstr>Biology!Pa_per_atm</vt:lpstr>
      <vt:lpstr>'Mass Transfer'!pCO2_air</vt:lpstr>
      <vt:lpstr>Chemistry!pH_band_flag</vt:lpstr>
      <vt:lpstr>Chemistry!pH_Cl</vt:lpstr>
      <vt:lpstr>Biology!pH_CO2_unbuf</vt:lpstr>
      <vt:lpstr>Chemistry!pH_fHOCl</vt:lpstr>
      <vt:lpstr>Chemistry!pH_NT</vt:lpstr>
      <vt:lpstr>Chemistry!pH_op</vt:lpstr>
      <vt:lpstr>Chemistry!pH_PT</vt:lpstr>
      <vt:lpstr>Chemistry!pH_SID</vt:lpstr>
      <vt:lpstr>Chemistry!pKa_HOCl</vt:lpstr>
      <vt:lpstr>Chemistry!pKa_NH4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Chemistry!PT_mc02</vt:lpstr>
      <vt:lpstr>Chemistry!PT_udg</vt:lpstr>
      <vt:lpstr>'Mass Transfer'!pulse_floor</vt:lpstr>
      <vt:lpstr>'Mass Transfer'!pulses_d</vt:lpstr>
      <vt:lpstr>'Mass Transfer'!pulses_h</vt:lpstr>
      <vt:lpstr>'Mass Transfer'!Q_CO2</vt:lpstr>
      <vt:lpstr>'Mass Transfer'!Q_vent</vt:lpstr>
      <vt:lpstr>Chemistry!R_chloramine</vt:lpstr>
      <vt:lpstr>Chemistry!R_chloramine_hi</vt:lpstr>
      <vt:lpstr>Chemistry!R_chloramine_lo</vt:lpstr>
      <vt:lpstr>Chemistry!R_gas</vt:lpstr>
      <vt:lpstr>Electrochemistry!R_gas</vt:lpstr>
      <vt:lpstr>'Mass Transfer'!R_gas</vt:lpstr>
      <vt:lpstr>'Mass Transfer'!Reactor</vt:lpstr>
      <vt:lpstr>Geometry!reactor_sel</vt:lpstr>
      <vt:lpstr>Summary!Reactor_sel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'Mass Transfer'!sched_valid</vt:lpstr>
      <vt:lpstr>Chemistry!SID_mc02</vt:lpstr>
      <vt:lpstr>Chemistry!SID_udg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'Mass Transfer'!spg_int_regime</vt:lpstr>
      <vt:lpstr>Geometry!spg_len</vt:lpstr>
      <vt:lpstr>'Mass Transfer'!spg_name_1</vt:lpstr>
      <vt:lpstr>'Mass Transfer'!spg_name_2</vt:lpstr>
      <vt:lpstr>Geometry!spg_OD</vt:lpstr>
      <vt:lpstr>Geometry!spg_tip_h</vt:lpstr>
      <vt:lpstr>'Mass Transfer'!sqrtD_CO2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'Mass Transfer'!t_off_CO2</vt:lpstr>
      <vt:lpstr>'Mass Transfer'!t_on_CO2</vt:lpstr>
      <vt:lpstr>Biology!T_ref</vt:lpstr>
      <vt:lpstr>'Mass Transfer'!target_DO_frac</vt:lpstr>
      <vt:lpstr>'Mass Transfer'!tau_hs</vt:lpstr>
      <vt:lpstr>Chemistry!tau_NH2Cl</vt:lpstr>
      <vt:lpstr>Chemistry!tau_NH2Cl_hi</vt:lpstr>
      <vt:lpstr>Chemistry!tau_NH2Cl_lo</vt:lpstr>
      <vt:lpstr>'Mass Transfer'!tau_surf_floor</vt:lpstr>
      <vt:lpstr>Summary!temp_C</vt:lpstr>
      <vt:lpstr>'Mass Transfer'!tip_speed</vt:lpstr>
      <vt:lpstr>'Mass Transfer'!tip_warn</vt:lpstr>
      <vt:lpstr>Chemistry!TKc</vt:lpstr>
      <vt:lpstr>'Mass Transfer'!tube_d_m</vt:lpstr>
      <vt:lpstr>'Mass Transfer'!u_g_max</vt:lpstr>
      <vt:lpstr>'Mass Transfer'!u_rise</vt:lpstr>
      <vt:lpstr>'Mass Transfer'!u_sg</vt:lpstr>
      <vt:lpstr>Chemistry!udg_CaCl2</vt:lpstr>
      <vt:lpstr>Chemistry!udg_KH2PO4</vt:lpstr>
      <vt:lpstr>Chemistry!udg_MgSO4_7H2O</vt:lpstr>
      <vt:lpstr>Chemistry!udg_Na2HPO4</vt:lpstr>
      <vt:lpstr>Chemistry!udg_NaHCO3</vt:lpstr>
      <vt:lpstr>Chemistry!udg_NH42SO4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'Mass Transfer'!V_L_m3</vt:lpstr>
      <vt:lpstr>Geometry!V_max</vt:lpstr>
      <vt:lpstr>Electrochemistry!V_O2_gen</vt:lpstr>
      <vt:lpstr>'Mass Transfer'!v_orifice</vt:lpstr>
      <vt:lpstr>Geometry!V_vial_total</vt:lpstr>
      <vt:lpstr>'Mass Transfer'!vent_floor_chk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Chemistry!VLc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2026-06-28T00:23:07Z</dcterms:modified>
  <dc:language>en-US</dc:language>
</cp:coreProperties>
</file>