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<sst xmlns="http://schemas.openxmlformats.org/spreadsheetml/2006/main" count="3953" uniqueCount="2838">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</sst>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7.43645448177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7.2</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6.487746914065</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2.27402079505</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7.43645448177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212.498008545659</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1.001250748913</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c r="A33" s="64" t="inlineStr">
        <is>
          <t xml:space="preserve">Start-up schedule: lag-phase DO and H₂</t>
        </is>
      </c>
      <c r="B33" s="19" t="inlineStr">
        <is>
          <t xml:space="preserve">res_su_state</t>
        </is>
      </c>
      <c r="D33" s="6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c r="A35" s="64" t="s">
        <v>63</v>
      </c>
      <c r="B35" s="19" t="s">
        <v>1717</v>
      </c>
      <c r="C35" s="21"/>
      <c r="D35" s="69" t="str">
        <f>Geometry!geom_check</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c r="A37" s="64" t="s">
        <v>1721</v>
      </c>
      <c r="B37" s="19" t="s">
        <v>1722</v>
      </c>
      <c r="C37" s="21"/>
      <c r="D37" s="6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c r="A39" s="64" t="s">
        <v>1725</v>
      </c>
      <c r="B39" s="19" t="s">
        <v>1726</v>
      </c>
      <c r="C39" s="21"/>
      <c r="D39" s="65" t="str">
        <f>'Mass Transfer'!sched_regime</f>
        <v>Do NOT relax: at the carbon-limited interval (185 min) the cycle-mean DO would be ≈13 mg/L, above the 10.1 mg/L inhibition ceiling (peaks higher)</v>
      </c>
      <c r="E39" s="24" t="str">
        <f>HYPERLINK("#'Mass Transfer'!D113","→ Mass")</f>
        <v>→ Mass</v>
      </c>
      <c r="F39" s="22" t="s">
        <v>1727</v>
      </c>
    </row>
    <row r="40" spans="1:6" x14ac:dyDescent="0.2">
      <c r="A40" s="64" t="s">
        <v>1728</v>
      </c>
      <c r="B40" s="19" t="s">
        <v>1729</v>
      </c>
      <c r="C40" s="21"/>
      <c r="D40" s="70" t="str">
        <f>Biology!H2_safety</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c r="A42" s="64" t="s">
        <v>69</v>
      </c>
      <c r="B42" s="19" t="s">
        <v>1732</v>
      </c>
      <c r="C42" s="21"/>
      <c r="D42" s="65" t="str">
        <f>IFERROR("×"&amp;TEXT('Mass Transfer'!CO2_sd_ratio,"0.0")&amp;IF('Mass Transfer'!CO2_sd_ratio&gt;=1," OK"," SHORTFALL (CO2 &lt; demand)")&amp;" delivered; ×"&amp;TEXT('Mass Transfer'!CO2_uptake_ratio,"0.0")&amp;" absorbed per pulse (row 77)","calibrate this reactor first")</f>
        <v>×49.7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c r="A45" s="64" t="s">
        <v>73</v>
      </c>
      <c r="B45" s="19" t="s">
        <v>1737</v>
      </c>
      <c r="C45" s="21"/>
      <c r="D45" s="6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ht="16" thickBot="1" x14ac:dyDescent="0.25">
      <c r="A50" s="64" t="s">
        <v>897</v>
      </c>
      <c r="B50" s="19" t="s">
        <v>1743</v>
      </c>
      <c r="C50" s="21"/>
      <c r="D50" s="69"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c r="A51" s="64" t="s">
        <v>1836</v>
      </c>
      <c r="B51" s="19" t="s">
        <v>1837</v>
      </c>
      <c r="D51" s="6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c r="A52" s="64" t="s">
        <v>1827</v>
      </c>
      <c r="D52" s="111"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0.051056592553</v>
      </c>
      <c r="E53" s="24" t="str">
        <f>HYPERLINK("#'Mass Transfer'!D389","→ Mass Transfer")</f>
        <v>→ Mass Transfer</v>
      </c>
      <c r="F53" s="22" t="s">
        <v>1830</v>
      </c>
    </row>
    <row r="54" spans="1:6" x14ac:dyDescent="0.2">
      <c r="A54" s="64" t="s">
        <v>1831</v>
      </c>
      <c r="D54" s="6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2.27402079505</v>
      </c>
      <c r="E59" s="24" t="str">
        <f>HYPERLINK("#'Mass Transfer'!D343","→ Mass Transfer")</f>
        <v>→ Mass Transfer</v>
      </c>
      <c r="F59" s="22" t="s">
        <v>1802</v>
      </c>
    </row>
    <row r="60" spans="1:6" x14ac:dyDescent="0.2">
      <c r="A60" s="64" t="s">
        <v>1803</v>
      </c>
      <c r="C60" s="21" t="s">
        <v>83</v>
      </c>
      <c r="D60" s="65">
        <f>'Mass Transfer'!DO_peak_g_mgL</f>
        <v>2.452781859604</v>
      </c>
      <c r="E60" s="24" t="str">
        <f>HYPERLINK("#'Mass Transfer'!D344","→ Mass Transfer")</f>
        <v>→ Mass Transfer</v>
      </c>
      <c r="F60" s="22" t="s">
        <v>1804</v>
      </c>
    </row>
    <row r="61" spans="1:6" x14ac:dyDescent="0.2">
      <c r="A61" s="64" t="s">
        <v>1805</v>
      </c>
      <c r="C61" s="21" t="s">
        <v>83</v>
      </c>
      <c r="D61" s="65">
        <f>'Mass Transfer'!DO_avg_l_mgL</f>
        <v>5.601306937651</v>
      </c>
      <c r="E61" s="24" t="str">
        <f>HYPERLINK("#'Mass Transfer'!D364","→ Mass Transfer")</f>
        <v>→ Mass Transfer</v>
      </c>
      <c r="F61" s="22" t="s">
        <v>1806</v>
      </c>
    </row>
    <row r="62" spans="1:6" x14ac:dyDescent="0.2">
      <c r="A62" s="64" t="s">
        <v>1807</v>
      </c>
      <c r="C62" s="21" t="s">
        <v>83</v>
      </c>
      <c r="D62" s="65">
        <f>'Mass Transfer'!DO_peak_l_mgL</f>
        <v>5.963675971962</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s">
        <v>1810</v>
      </c>
    </row>
    <row r="64" spans="1:6" x14ac:dyDescent="0.2">
      <c r="A64" s="64" t="s">
        <v>1811</v>
      </c>
      <c r="D64" s="65" t="str">
        <f>'Mass Transfer'!DO_peak_chk_l</f>
        <v>peak 6.0 mg/L under the 10.1 mg/L ceiling</v>
      </c>
      <c r="E64" s="24" t="str">
        <f>HYPERLINK("#'Mass Transfer'!D369","→ Mass Transfer")</f>
        <v>→ Mass Transfer</v>
      </c>
      <c r="F64" s="22" t="s">
        <v>1812</v>
      </c>
    </row>
    <row r="65" spans="1:6" x14ac:dyDescent="0.2">
      <c r="A65" s="64" t="s">
        <v>1813</v>
      </c>
      <c r="D65" s="65" t="str">
        <f>'Mass Transfer'!DO_feas_g</f>
        <v>reachable – kLa margin 1.74×</v>
      </c>
      <c r="E65" s="24" t="str">
        <f>HYPERLINK("#'Mass Transfer'!D347","→ Mass Transfer")</f>
        <v>→ Mass Transfer</v>
      </c>
      <c r="F65" s="22" t="s">
        <v>1814</v>
      </c>
    </row>
    <row r="66" spans="1:6" x14ac:dyDescent="0.2">
      <c r="A66" s="64" t="s">
        <v>1815</v>
      </c>
      <c r="D66" s="6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15.833923097207</v>
      </c>
      <c r="E67" s="24" t="str">
        <f>HYPERLINK("#'Mass Transfer'!D345","→ Mass Transfer")</f>
        <v>→ Mass Transfer</v>
      </c>
      <c r="F67" s="22" t="s">
        <v>1817</v>
      </c>
    </row>
    <row r="68" spans="1:6" x14ac:dyDescent="0.2">
      <c r="A68" s="64" t="s">
        <v>1818</v>
      </c>
      <c r="C68" s="21" t="s">
        <v>449</v>
      </c>
      <c r="D68" s="65">
        <f>'Mass Transfer'!kLa_surf_req_l*3600</f>
        <v>44.975226114474</v>
      </c>
      <c r="E68" s="24" t="str">
        <f>HYPERLINK("#'Mass Transfer'!D366","→ Mass Transfer")</f>
        <v>→ Mass Transfer</v>
      </c>
      <c r="F68" s="22" t="s">
        <v>1817</v>
      </c>
    </row>
    <row r="69" spans="1:6" x14ac:dyDescent="0.2">
      <c r="A69" s="64" t="s">
        <v>1819</v>
      </c>
      <c r="C69" s="21" t="s">
        <v>111</v>
      </c>
      <c r="D69" s="65">
        <f>'Mass Transfer'!y_O2_mf_g</f>
        <v>0.02767992028</v>
      </c>
      <c r="E69" s="24" t="str">
        <f>HYPERLINK("#'Mass Transfer'!D329","→ Mass Transfer")</f>
        <v>→ Mass Transfer</v>
      </c>
      <c r="F69" s="22" t="s">
        <v>1820</v>
      </c>
    </row>
    <row r="70" spans="1:6" x14ac:dyDescent="0.2">
      <c r="A70" s="64" t="s">
        <v>1821</v>
      </c>
      <c r="C70" s="21" t="s">
        <v>111</v>
      </c>
      <c r="D70" s="65">
        <f>'Mass Transfer'!y_O2_mf_l</f>
        <v>0.054000710175</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0.09401303663</v>
      </c>
      <c r="E71" s="24" t="str">
        <f>HYPERLINK("#'Mass Transfer'!D352","→ Mass Transfer")</f>
        <v>→ Mass Transfer</v>
      </c>
      <c r="F71" s="22" t="s">
        <v>1824</v>
      </c>
    </row>
    <row r="72" spans="1:6" x14ac:dyDescent="0.2">
      <c r="A72" s="64" t="s">
        <v>1825</v>
      </c>
      <c r="C72" s="21" t="s">
        <v>111</v>
      </c>
      <c r="D72" s="65">
        <f>'Mass Transfer'!y_CO2_mf</f>
        <v>0.939999076882</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508.62941164546</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2.501215469962</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0.122570685611</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1.459053240931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0.337157868618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c r="A98" t="s">
        <v>1517</v>
      </c>
      <c r="B98" s="19" t="s">
        <v>1777</v>
      </c>
      <c r="C98" s="20" t="s">
        <v>1140</v>
      </c>
      <c r="D98" s="23" t="str">
        <f>Electrochemistry!H2O2_flag</f>
        <v>watch — steady growth is clear (0.048 mg/L) but LAG PHASE is not: peroxide passes the threshold in 6 min before biomass can scavenge it</v>
      </c>
      <c r="E98" s="24" t="str">
        <f>HYPERLINK("#Electrochemistry!D99","→ Electrochemistry")</f>
        <v>→ Electrochemistry</v>
      </c>
      <c r="F98" t="s">
        <v>1664</v>
      </c>
    </row>
    <row r="99" spans="1:6" x14ac:dyDescent="0.2">
      <c r="A99" t="s">
        <v>1665</v>
      </c>
      <c r="B99" s="19" t="s">
        <v>1778</v>
      </c>
      <c r="C99" s="20" t="s">
        <v>1140</v>
      </c>
      <c r="D99" s="23"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1.248881383882</v>
      </c>
      <c r="E101" s="24" t="str">
        <f>HYPERLINK("#Chemistry!D211","→ Chemistry")</f>
        <v>→ Chemistry</v>
      </c>
      <c r="F101" t="s">
        <v>1783</v>
      </c>
    </row>
    <row r="102" spans="1:6" x14ac:dyDescent="0.2">
      <c r="A102" t="s">
        <v>1468</v>
      </c>
      <c r="B102" s="19" t="s">
        <v>1784</v>
      </c>
      <c r="C102" s="20" t="s">
        <v>1140</v>
      </c>
      <c r="D102" s="23">
        <f>Chemistry!pH_meas</f>
        <v>6.487746914065</v>
      </c>
      <c r="E102" s="24" t="str">
        <f>HYPERLINK("#Chemistry!D220","→ Chemistry")</f>
        <v>→ Chemistry</v>
      </c>
      <c r="F102" t="s">
        <v>1667</v>
      </c>
    </row>
    <row r="103" spans="1:6" x14ac:dyDescent="0.2">
      <c r="A103" t="s">
        <v>1668</v>
      </c>
      <c r="B103" s="19" t="s">
        <v>1785</v>
      </c>
      <c r="C103" s="20" t="s">
        <v>449</v>
      </c>
      <c r="D103" s="23">
        <f>'Mass Transfer'!kLa_surf_req*3600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("&amp;IF(ISNUMBER(D18),TEXT(D18,"0.00")&amp;" s","not yet computed")&amp;"): "&amp;IF(AND(ISNUMBER(D18),'Mass Transfer'!pulse_floor&gt;=D18),"it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s">
        <v>943</v>
      </c>
      <c r="B113" s="21" t="s">
        <v>944</v>
      </c>
      <c r="C113" s="21" t="s">
        <v>945</v>
      </c>
      <c r="D113" s="33" t="str">
        <f>HYPERLINK("https://github.com/amy-bo/electroPioreactor/blob/AEP02/Media/protocols/dissolved-oxygen.md","dissolved-oxygen.md →")</f>
        <v>dissolved-oxygen.md →</v>
      </c>
      <c r="E113" s="77"/>
      <c r="F113" s="22" t="inlineStr">
        <is>
          <t xml:space="preserve">Lower DO guardrail for the organism; a data gap for every organism today (row 38).</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exact for the mean-field fractions. Pulsing N₂ midway between CO₂ pulses adds a second flush per cycle, which would lower the pre-pulse O₂ and H₂ peaks a little further.</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IF(ISNUMBER(cal_Dint),cal_Dint,VLOOKUP(rx_ver,tbl_rxtype,MATCH("usable depth (mm)",tbl_rxtype_hdr,0),FALSE))</f>
        <v>55.0</v>
      </c>
      <c r="E22" s="74" t="s">
        <v>131</v>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21"/>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0.175051782538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0.199713685496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0.025552754205</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0.069961117495</v>
      </c>
      <c r="C50" s="49">
        <f t="shared" ref="C50:C81" si="2">IF(AND(B50&gt;=0,B51&lt;0),A50+pH_step*B50/(B50-B51),0)</f>
        <v>0.0</v>
      </c>
    </row>
    <row r="51" spans="1:3" x14ac:dyDescent="0.2">
      <c r="A51" s="155">
        <v>4.0999999999999996</v>
      </c>
      <c r="B51" s="49">
        <f t="shared" si="1"/>
        <v>0.069751453005</v>
      </c>
      <c r="C51" s="49">
        <f t="shared" si="2"/>
        <v>0.0</v>
      </c>
    </row>
    <row r="52" spans="1:3" x14ac:dyDescent="0.2">
      <c r="A52" s="155">
        <v>4.2</v>
      </c>
      <c r="B52" s="49">
        <f t="shared" si="1"/>
        <v>0.06954348529</v>
      </c>
      <c r="C52" s="49">
        <f t="shared" si="2"/>
        <v>0.0</v>
      </c>
    </row>
    <row r="53" spans="1:3" x14ac:dyDescent="0.2">
      <c r="A53" s="155">
        <v>4.3</v>
      </c>
      <c r="B53" s="49">
        <f t="shared" si="1"/>
        <v>0.06932632941</v>
      </c>
      <c r="C53" s="49">
        <f t="shared" si="2"/>
        <v>0.0</v>
      </c>
    </row>
    <row r="54" spans="1:3" x14ac:dyDescent="0.2">
      <c r="A54" s="155">
        <v>4.4000000000000004</v>
      </c>
      <c r="B54" s="49">
        <f t="shared" si="1"/>
        <v>0.06908857853</v>
      </c>
      <c r="C54" s="49">
        <f t="shared" si="2"/>
        <v>0.0</v>
      </c>
    </row>
    <row r="55" spans="1:3" x14ac:dyDescent="0.2">
      <c r="A55" s="155">
        <v>4.5</v>
      </c>
      <c r="B55" s="49">
        <f t="shared" si="1"/>
        <v>0.06881772969</v>
      </c>
      <c r="C55" s="49">
        <f t="shared" si="2"/>
        <v>0.0</v>
      </c>
    </row>
    <row r="56" spans="1:3" x14ac:dyDescent="0.2">
      <c r="A56" s="155">
        <v>4.5999999999999996</v>
      </c>
      <c r="B56" s="49">
        <f t="shared" si="1"/>
        <v>0.068499551328</v>
      </c>
      <c r="C56" s="49">
        <f t="shared" si="2"/>
        <v>0.0</v>
      </c>
    </row>
    <row r="57" spans="1:3" x14ac:dyDescent="0.2">
      <c r="A57" s="155">
        <v>4.7</v>
      </c>
      <c r="B57" s="49">
        <f t="shared" si="1"/>
        <v>0.068117365699</v>
      </c>
      <c r="C57" s="49">
        <f t="shared" si="2"/>
        <v>0.0</v>
      </c>
    </row>
    <row r="58" spans="1:3" x14ac:dyDescent="0.2">
      <c r="A58" s="155">
        <v>4.8</v>
      </c>
      <c r="B58" s="49">
        <f t="shared" si="1"/>
        <v>0.067651216105</v>
      </c>
      <c r="C58" s="49">
        <f t="shared" si="2"/>
        <v>0.0</v>
      </c>
    </row>
    <row r="59" spans="1:3" x14ac:dyDescent="0.2">
      <c r="A59" s="155">
        <v>4.9000000000000004</v>
      </c>
      <c r="B59" s="49">
        <f t="shared" si="1"/>
        <v>0.067076885534</v>
      </c>
      <c r="C59" s="49">
        <f t="shared" si="2"/>
        <v>0.0</v>
      </c>
    </row>
    <row r="60" spans="1:3" x14ac:dyDescent="0.2">
      <c r="A60" s="155">
        <v>5</v>
      </c>
      <c r="B60" s="49">
        <f t="shared" si="1"/>
        <v>0.066364730093</v>
      </c>
      <c r="C60" s="49">
        <f t="shared" si="2"/>
        <v>0.0</v>
      </c>
    </row>
    <row r="61" spans="1:3" x14ac:dyDescent="0.2">
      <c r="A61" s="155">
        <v>5.0999999999999996</v>
      </c>
      <c r="B61" s="49">
        <f t="shared" si="1"/>
        <v>0.06547828794</v>
      </c>
      <c r="C61" s="49">
        <f t="shared" si="2"/>
        <v>0.0</v>
      </c>
    </row>
    <row r="62" spans="1:3" x14ac:dyDescent="0.2">
      <c r="A62" s="155">
        <v>5.2</v>
      </c>
      <c r="B62" s="49">
        <f t="shared" si="1"/>
        <v>0.064372623002</v>
      </c>
      <c r="C62" s="49">
        <f t="shared" si="2"/>
        <v>0.0</v>
      </c>
    </row>
    <row r="63" spans="1:3" x14ac:dyDescent="0.2">
      <c r="A63" s="155">
        <v>5.3</v>
      </c>
      <c r="B63" s="49">
        <f t="shared" si="1"/>
        <v>0.062992363243</v>
      </c>
      <c r="C63" s="49">
        <f t="shared" si="2"/>
        <v>0.0</v>
      </c>
    </row>
    <row r="64" spans="1:3" x14ac:dyDescent="0.2">
      <c r="A64" s="155">
        <v>5.4</v>
      </c>
      <c r="B64" s="49">
        <f t="shared" si="1"/>
        <v>0.061269396419</v>
      </c>
      <c r="C64" s="49">
        <f t="shared" si="2"/>
        <v>0.0</v>
      </c>
    </row>
    <row r="65" spans="1:3" x14ac:dyDescent="0.2">
      <c r="A65" s="155">
        <v>5.5</v>
      </c>
      <c r="B65" s="49">
        <f t="shared" si="1"/>
        <v>0.059120191996</v>
      </c>
      <c r="C65" s="49">
        <f t="shared" si="2"/>
        <v>0.0</v>
      </c>
    </row>
    <row r="66" spans="1:3" x14ac:dyDescent="0.2">
      <c r="A66" s="155">
        <v>5.6</v>
      </c>
      <c r="B66" s="49">
        <f t="shared" si="1"/>
        <v>0.056442724361</v>
      </c>
      <c r="C66" s="49">
        <f t="shared" si="2"/>
        <v>0.0</v>
      </c>
    </row>
    <row r="67" spans="1:3" x14ac:dyDescent="0.2">
      <c r="A67" s="155">
        <v>5.7</v>
      </c>
      <c r="B67" s="49">
        <f t="shared" si="1"/>
        <v>0.053112974068</v>
      </c>
      <c r="C67" s="49">
        <f t="shared" si="2"/>
        <v>0.0</v>
      </c>
    </row>
    <row r="68" spans="1:3" x14ac:dyDescent="0.2">
      <c r="A68" s="155">
        <v>5.8</v>
      </c>
      <c r="B68" s="49">
        <f t="shared" si="1"/>
        <v>0.048980968782</v>
      </c>
      <c r="C68" s="49">
        <f t="shared" si="2"/>
        <v>0.0</v>
      </c>
    </row>
    <row r="69" spans="1:3" x14ac:dyDescent="0.2">
      <c r="A69" s="155">
        <v>5.9</v>
      </c>
      <c r="B69" s="49">
        <f t="shared" si="1"/>
        <v>0.043866272831</v>
      </c>
      <c r="C69" s="49">
        <f t="shared" si="2"/>
        <v>0.0</v>
      </c>
    </row>
    <row r="70" spans="1:3" x14ac:dyDescent="0.2">
      <c r="A70" s="155">
        <v>6</v>
      </c>
      <c r="B70" s="49">
        <f t="shared" si="1"/>
        <v>0.037552713096</v>
      </c>
      <c r="C70" s="49">
        <f t="shared" si="2"/>
        <v>0.0</v>
      </c>
    </row>
    <row r="71" spans="1:3" x14ac:dyDescent="0.2">
      <c r="A71" s="155">
        <v>6.1</v>
      </c>
      <c r="B71" s="49">
        <f t="shared" si="1"/>
        <v>0.02978190285</v>
      </c>
      <c r="C71" s="49">
        <f t="shared" si="2"/>
        <v>0.0</v>
      </c>
    </row>
    <row r="72" spans="1:3" x14ac:dyDescent="0.2">
      <c r="A72" s="155">
        <v>6.2</v>
      </c>
      <c r="B72" s="49">
        <f t="shared" si="1"/>
        <v>0.020244766664</v>
      </c>
      <c r="C72" s="49">
        <f t="shared" si="2"/>
        <v>0.0</v>
      </c>
    </row>
    <row r="73" spans="1:3" x14ac:dyDescent="0.2">
      <c r="A73" s="155">
        <v>6.3</v>
      </c>
      <c r="B73" s="49">
        <f t="shared" si="1"/>
        <v>0.008569785763</v>
      </c>
      <c r="C73" s="49">
        <f t="shared" si="2"/>
        <v>6.360081336767</v>
      </c>
    </row>
    <row r="74" spans="1:3" x14ac:dyDescent="0.2">
      <c r="A74" s="155">
        <v>6.4</v>
      </c>
      <c r="B74" s="49">
        <f t="shared" si="1"/>
        <v>-0.005693854535</v>
      </c>
      <c r="C74" s="49">
        <f t="shared" si="2"/>
        <v>0.0</v>
      </c>
    </row>
    <row r="75" spans="1:3" x14ac:dyDescent="0.2">
      <c r="A75" s="155">
        <v>6.5</v>
      </c>
      <c r="B75" s="49">
        <f t="shared" si="1"/>
        <v>-0.023100482075</v>
      </c>
      <c r="C75" s="49">
        <f t="shared" si="2"/>
        <v>0.0</v>
      </c>
    </row>
    <row r="76" spans="1:3" x14ac:dyDescent="0.2">
      <c r="A76" s="155">
        <v>6.6</v>
      </c>
      <c r="B76" s="49">
        <f t="shared" si="1"/>
        <v>-0.044341975628</v>
      </c>
      <c r="C76" s="49">
        <f t="shared" si="2"/>
        <v>0.0</v>
      </c>
    </row>
    <row r="77" spans="1:3" x14ac:dyDescent="0.2">
      <c r="A77" s="155">
        <v>6.7</v>
      </c>
      <c r="B77" s="49">
        <f t="shared" si="1"/>
        <v>-0.070293923739</v>
      </c>
      <c r="C77" s="49">
        <f t="shared" si="2"/>
        <v>0.0</v>
      </c>
    </row>
    <row r="78" spans="1:3" x14ac:dyDescent="0.2">
      <c r="A78" s="155">
        <v>6.8</v>
      </c>
      <c r="B78" s="49">
        <f t="shared" si="1"/>
        <v>-0.102075832535</v>
      </c>
      <c r="C78" s="49">
        <f t="shared" si="2"/>
        <v>0.0</v>
      </c>
    </row>
    <row r="79" spans="1:3" x14ac:dyDescent="0.2">
      <c r="A79" s="155">
        <v>6.9</v>
      </c>
      <c r="B79" s="49">
        <f t="shared" si="1"/>
        <v>-0.141127094472</v>
      </c>
      <c r="C79" s="49">
        <f t="shared" si="2"/>
        <v>0.0</v>
      </c>
    </row>
    <row r="80" spans="1:3" x14ac:dyDescent="0.2">
      <c r="A80" s="155">
        <v>7</v>
      </c>
      <c r="B80" s="49">
        <f t="shared" si="1"/>
        <v>-0.189300856602</v>
      </c>
      <c r="C80" s="49">
        <f t="shared" si="2"/>
        <v>0.0</v>
      </c>
    </row>
    <row r="81" spans="1:3" x14ac:dyDescent="0.2">
      <c r="A81" s="155">
        <v>7.1</v>
      </c>
      <c r="B81" s="49">
        <f t="shared" si="1"/>
        <v>-0.248979349044</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-0.323216709229</v>
      </c>
      <c r="C82" s="49">
        <f t="shared" ref="C82:C99" si="4">IF(AND(B82&gt;=0,B83&lt;0),A82+pH_step*B82/(B82-B83),0)</f>
        <v>0.0</v>
      </c>
    </row>
    <row r="83" spans="1:3" x14ac:dyDescent="0.2">
      <c r="A83" s="155">
        <v>7.3</v>
      </c>
      <c r="B83" s="49">
        <f t="shared" si="3"/>
        <v>-0.415918699938</v>
      </c>
      <c r="C83" s="49">
        <f t="shared" si="4"/>
        <v>0.0</v>
      </c>
    </row>
    <row r="84" spans="1:3" x14ac:dyDescent="0.2">
      <c r="A84" s="155">
        <v>7.4</v>
      </c>
      <c r="B84" s="49">
        <f t="shared" si="3"/>
        <v>-0.532072848103</v>
      </c>
      <c r="C84" s="49">
        <f t="shared" si="4"/>
        <v>0.0</v>
      </c>
    </row>
    <row r="85" spans="1:3" x14ac:dyDescent="0.2">
      <c r="A85" s="155">
        <v>7.5</v>
      </c>
      <c r="B85" s="49">
        <f t="shared" si="3"/>
        <v>-0.678047625082</v>
      </c>
      <c r="C85" s="49">
        <f t="shared" si="4"/>
        <v>0.0</v>
      </c>
    </row>
    <row r="86" spans="1:3" x14ac:dyDescent="0.2">
      <c r="A86" s="155">
        <v>7.6</v>
      </c>
      <c r="B86" s="49">
        <f t="shared" si="3"/>
        <v>-0.861986009846</v>
      </c>
      <c r="C86" s="49">
        <f t="shared" si="4"/>
        <v>0.0</v>
      </c>
    </row>
    <row r="87" spans="1:3" x14ac:dyDescent="0.2">
      <c r="A87" s="155">
        <v>7.7</v>
      </c>
      <c r="B87" s="49">
        <f t="shared" si="3"/>
        <v>-1.094328289102</v>
      </c>
      <c r="C87" s="49">
        <f t="shared" si="4"/>
        <v>0.0</v>
      </c>
    </row>
    <row r="88" spans="1:3" x14ac:dyDescent="0.2">
      <c r="A88" s="155">
        <v>7.8</v>
      </c>
      <c r="B88" s="49">
        <f t="shared" si="3"/>
        <v>-1.38851298453</v>
      </c>
      <c r="C88" s="49">
        <f t="shared" si="4"/>
        <v>0.0</v>
      </c>
    </row>
    <row r="89" spans="1:3" x14ac:dyDescent="0.2">
      <c r="A89" s="155">
        <v>7.9</v>
      </c>
      <c r="B89" s="49">
        <f t="shared" si="3"/>
        <v>-1.761925875846</v>
      </c>
      <c r="C89" s="49">
        <f t="shared" si="4"/>
        <v>0.0</v>
      </c>
    </row>
    <row r="90" spans="1:3" x14ac:dyDescent="0.2">
      <c r="A90" s="155">
        <v>8</v>
      </c>
      <c r="B90" s="49">
        <f t="shared" si="3"/>
        <v>-2.237198975494</v>
      </c>
      <c r="C90" s="49">
        <f t="shared" si="4"/>
        <v>0.0</v>
      </c>
    </row>
    <row r="91" spans="1:3" x14ac:dyDescent="0.2">
      <c r="A91" s="155">
        <v>8.1</v>
      </c>
      <c r="B91" s="49">
        <f t="shared" si="3"/>
        <v>-2.844009796487</v>
      </c>
      <c r="C91" s="49">
        <f t="shared" si="4"/>
        <v>0.0</v>
      </c>
    </row>
    <row r="92" spans="1:3" x14ac:dyDescent="0.2">
      <c r="A92" s="155">
        <v>8.1999999999999993</v>
      </c>
      <c r="B92" s="49">
        <f t="shared" si="3"/>
        <v>-3.621605374646</v>
      </c>
      <c r="C92" s="49">
        <f t="shared" si="4"/>
        <v>0.0</v>
      </c>
    </row>
    <row r="93" spans="1:3" x14ac:dyDescent="0.2">
      <c r="A93" s="155">
        <v>8.3000000000000007</v>
      </c>
      <c r="B93" s="49">
        <f t="shared" si="3"/>
        <v>-4.622389442909</v>
      </c>
      <c r="C93" s="49">
        <f t="shared" si="4"/>
        <v>0.0</v>
      </c>
    </row>
    <row r="94" spans="1:3" x14ac:dyDescent="0.2">
      <c r="A94" s="155">
        <v>8.4</v>
      </c>
      <c r="B94" s="49">
        <f t="shared" si="3"/>
        <v>-5.917087221084</v>
      </c>
      <c r="C94" s="49">
        <f t="shared" si="4"/>
        <v>0.0</v>
      </c>
    </row>
    <row r="95" spans="1:3" x14ac:dyDescent="0.2">
      <c r="A95" s="155">
        <v>8.5</v>
      </c>
      <c r="B95" s="49">
        <f t="shared" si="3"/>
        <v>-7.602275622058</v>
      </c>
      <c r="C95" s="49">
        <f t="shared" si="4"/>
        <v>0.0</v>
      </c>
    </row>
    <row r="96" spans="1:3" x14ac:dyDescent="0.2">
      <c r="A96" s="155">
        <v>8.6</v>
      </c>
      <c r="B96" s="49">
        <f t="shared" si="3"/>
        <v>-9.811492688911</v>
      </c>
      <c r="C96" s="49">
        <f t="shared" si="4"/>
        <v>0.0</v>
      </c>
    </row>
    <row r="97" spans="1:7" x14ac:dyDescent="0.2">
      <c r="A97" s="155">
        <v>8.6999999999999993</v>
      </c>
      <c r="B97" s="49">
        <f t="shared" si="3"/>
        <v>-12.731806191691</v>
      </c>
      <c r="C97" s="49">
        <f t="shared" si="4"/>
        <v>0.0</v>
      </c>
    </row>
    <row r="98" spans="1:7" x14ac:dyDescent="0.2">
      <c r="A98" s="155">
        <v>8.8000000000000007</v>
      </c>
      <c r="B98" s="49">
        <f t="shared" si="3"/>
        <v>-16.628765595603</v>
      </c>
      <c r="C98" s="49">
        <f t="shared" si="4"/>
        <v>0.0</v>
      </c>
    </row>
    <row r="99" spans="1:7" x14ac:dyDescent="0.2">
      <c r="A99" s="155">
        <v>8.9</v>
      </c>
      <c r="B99" s="49">
        <f t="shared" si="3"/>
        <v>-21.884302272467</v>
      </c>
      <c r="C99" s="49">
        <f t="shared" si="4"/>
        <v>0.0</v>
      </c>
    </row>
    <row r="100" spans="1:7" x14ac:dyDescent="0.2">
      <c r="A100" s="155">
        <v>9</v>
      </c>
      <c r="B100" s="49">
        <f t="shared" si="3"/>
        <v>-29.054724946604</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6.360081336767</v>
      </c>
      <c r="E103" s="138" t="s">
        <v>1670</v>
      </c>
      <c r="F103" s="75" t="s">
        <v>1967</v>
      </c>
    </row>
    <row r="104" spans="1:7" ht="36" x14ac:dyDescent="0.2">
      <c r="A104" s="18" t="s">
        <v>865</v>
      </c>
      <c r="B104" s="19" t="s">
        <v>866</v>
      </c>
      <c r="C104" s="20" t="s">
        <v>867</v>
      </c>
      <c r="D104" s="119">
        <f>1/(1+KaHOCl_c/10^-pH_op)</f>
        <v>0.884640145726</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2.587155078009e-05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0.838752571502</v>
      </c>
      <c r="E206" s="74" t="s">
        <v>1438</v>
      </c>
    </row>
    <row r="207" spans="1:5" x14ac:dyDescent="0.2">
      <c r="A207" t="s">
        <v>1439</v>
      </c>
      <c r="B207" s="19" t="s">
        <v>1440</v>
      </c>
      <c r="C207" s="20" t="s">
        <v>1423</v>
      </c>
      <c r="D207" s="111">
        <f>E0_HER-nernst_slope*pH_meas</f>
        <v>-0.390247428498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0.304752571502</v>
      </c>
      <c r="E210" s="51" t="s">
        <v>1448</v>
      </c>
    </row>
    <row r="211" spans="1:5" ht="48" x14ac:dyDescent="0.2">
      <c r="A211" t="s">
        <v>1981</v>
      </c>
      <c r="B211" s="19" t="s">
        <v>1450</v>
      </c>
      <c r="C211" s="20" t="s">
        <v>1445</v>
      </c>
      <c r="D211" s="111">
        <f>E_anode_op-E0_Cu</f>
        <v>1.248881383882</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16.462619621318</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0.199713685496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6.487746914065</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0.049848196699</v>
      </c>
      <c r="E252" s="51" t="s">
        <v>2022</v>
      </c>
    </row>
    <row r="253" spans="1:5" ht="24" x14ac:dyDescent="0.2">
      <c r="A253" t="s">
        <v>2023</v>
      </c>
      <c r="B253" s="19" t="s">
        <v>2024</v>
      </c>
      <c r="C253" s="20" t="s">
        <v>429</v>
      </c>
      <c r="D253" s="111">
        <f>pH_PT/(1+10^(-LOG10(Ka2p_c)-pH_op))</f>
        <v>0.019459581708</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1.590781383882</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-0.001459053241</v>
      </c>
      <c r="E305" s="60" t="s">
        <v>2734</v>
      </c>
    </row>
    <row r="306" spans="1:5" x14ac:dyDescent="0.2">
      <c r="A306" t="inlineStr">
        <is>
          <t xml:space="preserve">Extra alkalinity still needed for the target pH</t>
        </is>
      </c>
      <c r="B306" s="19" t="s">
        <v>2736</v>
      </c>
      <c r="C306" s="20" t="s">
        <v>429</v>
      </c>
      <c r="D306" s="111">
        <f>MAX(0,-alk_resid_t)</f>
        <v>0.001459053241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0.122570685611</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5.101232932065e-05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21"/>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21"/>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21"/>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0.0008483937115674</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0.09401303663</v>
      </c>
      <c r="E84" s="53" t="s">
        <v>2154</v>
      </c>
    </row>
    <row r="85" spans="1:5" ht="24" x14ac:dyDescent="0.2">
      <c r="A85" s="18" t="s">
        <v>2155</v>
      </c>
      <c r="B85" s="19" t="s">
        <v>2156</v>
      </c>
      <c r="C85" s="20" t="s">
        <v>111</v>
      </c>
      <c r="D85" s="41">
        <f>(O2_src_l_b+y_O2_air_b*F_vent_ex_b)/(n_flamm_src+CO2_supply_b+F_dil_b)</f>
        <v>0.054000710175</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25.431470582273</v>
      </c>
      <c r="E97" s="51" t="s">
        <v>2185</v>
      </c>
    </row>
    <row r="98" spans="1:5" ht="36" x14ac:dyDescent="0.2">
      <c r="A98" s="18" t="s">
        <v>2186</v>
      </c>
      <c r="B98" s="19" t="s">
        <v>2187</v>
      </c>
      <c r="C98" s="20" t="s">
        <v>87</v>
      </c>
      <c r="D98" s="41">
        <f>C_cycle_start_b*1000/Km_CO2</f>
        <v>508.62941164546</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0.146643438994</v>
      </c>
      <c r="E114" s="140" t="s">
        <v>2201</v>
      </c>
    </row>
    <row r="115" spans="1:5" x14ac:dyDescent="0.2">
      <c r="A115" s="21" t="s">
        <v>2202</v>
      </c>
      <c r="B115" s="19" t="s">
        <v>2203</v>
      </c>
      <c r="C115" s="21" t="s">
        <v>307</v>
      </c>
      <c r="D115" s="120">
        <f>'Mass Transfer'!O2_src_l</f>
        <v>4.800606064204e-05</v>
      </c>
      <c r="E115" s="140" t="s">
        <v>2204</v>
      </c>
    </row>
    <row r="116" spans="1:5" x14ac:dyDescent="0.2">
      <c r="A116" s="21" t="s">
        <v>2205</v>
      </c>
      <c r="B116" s="19" t="s">
        <v>2206</v>
      </c>
      <c r="C116" s="21" t="s">
        <v>307</v>
      </c>
      <c r="D116" s="120">
        <f>'Mass Transfer'!F_gap_l</f>
        <v>0.0001809584867395</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0.084231401644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1.6900954994e-05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5.101232932065e-05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6.289123826689e-05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1.068906831601e-06</v>
      </c>
      <c r="E55" s="57" t="s">
        <v>587</v>
      </c>
      <c r="F55" s="21"/>
    </row>
    <row r="56" spans="1:6" x14ac:dyDescent="0.2">
      <c r="A56" s="86" t="s">
        <v>588</v>
      </c>
      <c r="B56" s="19" t="s">
        <v>589</v>
      </c>
      <c r="C56" s="20" t="s">
        <v>87</v>
      </c>
      <c r="D56" s="39">
        <f>IF(O2_excess&gt;0,strip_avg/O2_excess,NA())</f>
        <v>0.063245351046</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17.892101546969</v>
      </c>
      <c r="E66" s="74" t="s">
        <v>2233</v>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7.427164963265</v>
      </c>
      <c r="E77" s="74" t="s">
        <v>2236</v>
      </c>
      <c r="F77" s="21"/>
    </row>
    <row r="78" spans="1:6" ht="26" customHeight="1" x14ac:dyDescent="0.2">
      <c r="A78" s="18" t="s">
        <v>638</v>
      </c>
      <c r="B78" s="19" t="s">
        <v>639</v>
      </c>
      <c r="C78" s="20" t="s">
        <v>87</v>
      </c>
      <c r="D78" s="41">
        <f>IF(O2_excess&gt;0,(strip_avg+surf_strip)/O2_excess,NA())</f>
        <v>7.746803334691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7.43645448177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446.187268906222</v>
      </c>
      <c r="E92" s="129" t="s">
        <v>672</v>
      </c>
      <c r="F92" s="21"/>
    </row>
    <row r="93" spans="1:6" ht="24" x14ac:dyDescent="0.2">
      <c r="A93" s="18" t="s">
        <v>2244</v>
      </c>
      <c r="B93" s="19" t="s">
        <v>673</v>
      </c>
      <c r="C93" s="20" t="s">
        <v>111</v>
      </c>
      <c r="D93" s="41">
        <f>spg_dur_eq_opt/(spg_int_opt*60)</f>
        <v>0.001758259602</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0.0008483937115674</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0.00150462963</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2.27402079505</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≈13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21"/>
      <c r="F115" s="21"/>
    </row>
    <row r="116" spans="1:6" x14ac:dyDescent="0.2">
      <c r="A116" s="21" t="s">
        <v>715</v>
      </c>
      <c r="B116" s="21" t="s">
        <v>716</v>
      </c>
      <c r="C116" s="21"/>
      <c r="D116" s="131">
        <f>SUMPRODUCT(MAX((co2f_reactor=Reactor)*(co2f_nominal&gt;0)*co2f_date))</f>
        <v>46190.0</v>
      </c>
      <c r="E116" s="21"/>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7.2</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8.333333333333</v>
      </c>
      <c r="E124" s="21"/>
      <c r="F124" s="21"/>
    </row>
    <row r="125" spans="1:6" x14ac:dyDescent="0.2">
      <c r="A125" s="21" t="s">
        <v>736</v>
      </c>
      <c r="B125" s="21" t="s">
        <v>737</v>
      </c>
      <c r="C125" s="21" t="s">
        <v>738</v>
      </c>
      <c r="D125" s="25">
        <f>pulses_h*24</f>
        <v>200.0</v>
      </c>
      <c r="E125" s="21"/>
      <c r="F125" s="21"/>
    </row>
    <row r="126" spans="1:6" x14ac:dyDescent="0.2">
      <c r="A126" s="21" t="s">
        <v>739</v>
      </c>
      <c r="B126" s="21" t="s">
        <v>740</v>
      </c>
      <c r="C126" s="21" t="s">
        <v>87</v>
      </c>
      <c r="D126" s="25">
        <f>IF(CO2_cons&gt;0,CO2_supply/CO2_cons,NA())</f>
        <v>49.742569938305</v>
      </c>
      <c r="E126" s="21"/>
      <c r="F126" s="21"/>
    </row>
    <row r="127" spans="1:6" x14ac:dyDescent="0.2">
      <c r="A127" s="21" t="s">
        <v>741</v>
      </c>
      <c r="B127" s="21" t="s">
        <v>742</v>
      </c>
      <c r="C127" s="21" t="s">
        <v>732</v>
      </c>
      <c r="D127" s="25">
        <f>O2_excess/60*spg_int</f>
        <v>2.028114599281e-06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0.063245351046</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0.07106759157</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0.175051782538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431.35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0.025552754205</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0.001758259602</v>
      </c>
      <c r="E184" s="51" t="s">
        <v>2274</v>
      </c>
    </row>
    <row r="185" spans="1:5" ht="24" x14ac:dyDescent="0.2">
      <c r="A185" t="s">
        <v>1628</v>
      </c>
      <c r="B185" s="19" t="s">
        <v>1629</v>
      </c>
      <c r="C185" s="20" t="s">
        <v>873</v>
      </c>
      <c r="D185" s="111">
        <f>IF(ISNUMBER(duty_DO),IF(duty_DO&gt;0,spg_dur_eq_opt/(60*duty_DO),spg_int_carbon),NA())</f>
        <v>7.43645448177</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0.02767992028</v>
      </c>
      <c r="E187" s="51" t="s">
        <v>2276</v>
      </c>
    </row>
    <row r="188" spans="1:5" ht="36" x14ac:dyDescent="0.2">
      <c r="A188" t="s">
        <v>1635</v>
      </c>
      <c r="B188" s="19" t="s">
        <v>1636</v>
      </c>
      <c r="C188" s="20" t="s">
        <v>909</v>
      </c>
      <c r="D188" s="111">
        <f>IF(ISNUMBER(y_O2_actual),H_O2_T*y_O2_actual*P_dry,NA())</f>
        <v>0.027825952177</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0.993755986726</v>
      </c>
      <c r="E197" s="74" t="s">
        <v>1654</v>
      </c>
    </row>
    <row r="198" spans="1:5" ht="36" x14ac:dyDescent="0.2">
      <c r="A198" t="s">
        <v>1655</v>
      </c>
      <c r="B198" s="19" t="s">
        <v>1656</v>
      </c>
      <c r="C198" s="20" t="s">
        <v>909</v>
      </c>
      <c r="D198" s="111">
        <f>(pool_D_gap+pool_b*pool_e)/(1-pool_ret*pool_e)</f>
        <v>25.431470582273</v>
      </c>
      <c r="E198" s="74" t="s">
        <v>2284</v>
      </c>
    </row>
    <row r="199" spans="1:5" ht="24" x14ac:dyDescent="0.2">
      <c r="A199" t="s">
        <v>1657</v>
      </c>
      <c r="B199" s="19" t="s">
        <v>1658</v>
      </c>
      <c r="C199" s="20" t="s">
        <v>909</v>
      </c>
      <c r="D199" s="111">
        <f>pool_ret*C_cycle_start+pool_b</f>
        <v>25.674291315914</v>
      </c>
      <c r="E199" s="74" t="s">
        <v>2285</v>
      </c>
    </row>
    <row r="200" spans="1:5" ht="36" x14ac:dyDescent="0.2">
      <c r="A200" t="s">
        <v>1659</v>
      </c>
      <c r="B200" s="19" t="s">
        <v>1660</v>
      </c>
      <c r="C200" s="20" t="s">
        <v>909</v>
      </c>
      <c r="D200" s="111">
        <f>C_cycle_peak*pool_phi+pool_D_raw*pool_psi</f>
        <v>25.552754205077</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0.421278376056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0.119819444444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0.000848238979398</v>
      </c>
      <c r="E328" s="51" t="s">
        <v>2403</v>
      </c>
    </row>
    <row r="329" spans="1:5" ht="36" x14ac:dyDescent="0.2">
      <c r="A329" s="18" t="s">
        <v>2404</v>
      </c>
      <c r="B329" s="19" t="s">
        <v>2405</v>
      </c>
      <c r="C329" s="20" t="s">
        <v>111</v>
      </c>
      <c r="D329" s="41">
        <f>IF(F_dil+F_hs_net_g&gt;0,S_O2_g/(F_dil+F_hs_net_g),NA())</f>
        <v>0.02767992028</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0.04307992103</v>
      </c>
      <c r="E332" s="51" t="s">
        <v>2415</v>
      </c>
    </row>
    <row r="333" spans="1:5" x14ac:dyDescent="0.2">
      <c r="A333" s="18" t="s">
        <v>2416</v>
      </c>
      <c r="B333" s="19" t="s">
        <v>2417</v>
      </c>
      <c r="C333" s="20" t="s">
        <v>111</v>
      </c>
      <c r="D333" s="41">
        <f>IF(x_hs_g&gt;0,(1-EXP(-x_hs_g))/x_hs_g,1)</f>
        <v>0.978766049951</v>
      </c>
      <c r="E333" s="51" t="s">
        <v>2418</v>
      </c>
    </row>
    <row r="334" spans="1:5" x14ac:dyDescent="0.2">
      <c r="A334" s="18" t="s">
        <v>2419</v>
      </c>
      <c r="B334" s="19" t="s">
        <v>2420</v>
      </c>
      <c r="C334" s="20" t="s">
        <v>111</v>
      </c>
      <c r="D334" s="41">
        <f>IF(x_hs_g&gt;0,(x_hs_g-1+EXP(-x_hs_g))/x_hs_g^2,1/2)</f>
        <v>0.492896679973</v>
      </c>
      <c r="E334" s="51" t="s">
        <v>2421</v>
      </c>
    </row>
    <row r="335" spans="1:5" x14ac:dyDescent="0.2">
      <c r="A335" s="18" t="s">
        <v>2422</v>
      </c>
      <c r="B335" s="19" t="s">
        <v>2423</v>
      </c>
      <c r="C335" s="20" t="s">
        <v>111</v>
      </c>
      <c r="D335" s="41">
        <f>S_O2_g*t_gap_h/n_hs_gas</f>
        <v>0.029149450626</v>
      </c>
      <c r="E335" s="51" t="s">
        <v>2424</v>
      </c>
    </row>
    <row r="336" spans="1:5" ht="24" x14ac:dyDescent="0.2">
      <c r="A336" s="18" t="s">
        <v>2425</v>
      </c>
      <c r="B336" s="19" t="s">
        <v>2426</v>
      </c>
      <c r="C336" s="20" t="s">
        <v>111</v>
      </c>
      <c r="D336" s="41">
        <f>dy_O2_g*phi_hs_g/(1-flush_ret*EXP(-x_hs_g))</f>
        <v>0.043776099169</v>
      </c>
      <c r="E336" s="52" t="s">
        <v>2427</v>
      </c>
    </row>
    <row r="337" spans="1:5" x14ac:dyDescent="0.2">
      <c r="A337" s="18" t="s">
        <v>2428</v>
      </c>
      <c r="B337" s="19" t="s">
        <v>2429</v>
      </c>
      <c r="C337" s="20" t="s">
        <v>111</v>
      </c>
      <c r="D337" s="41">
        <f>y_O2_end_g*flush_ret</f>
        <v>0.015916738409</v>
      </c>
      <c r="E337" s="52" t="s">
        <v>2430</v>
      </c>
    </row>
    <row r="338" spans="1:5" x14ac:dyDescent="0.2">
      <c r="A338" s="18" t="s">
        <v>2431</v>
      </c>
      <c r="B338" s="19" t="s">
        <v>2432</v>
      </c>
      <c r="C338" s="20" t="s">
        <v>111</v>
      </c>
      <c r="D338" s="41">
        <f>y_O2_post_g*phi_hs_g+dy_O2_g*psi_hs_g</f>
        <v>0.029946430617</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0.068789123727</v>
      </c>
      <c r="E340" s="51" t="s">
        <v>2439</v>
      </c>
    </row>
    <row r="341" spans="1:5" ht="24" x14ac:dyDescent="0.2">
      <c r="A341" s="18" t="s">
        <v>2440</v>
      </c>
      <c r="B341" s="19" t="s">
        <v>2441</v>
      </c>
      <c r="C341" s="20" t="s">
        <v>406</v>
      </c>
      <c r="D341" s="41">
        <f>DO_surf_excess_g+H_O2_T*P_dry*y_O2_avg_g</f>
        <v>0.07106759157</v>
      </c>
      <c r="E341" s="52" t="s">
        <v>2442</v>
      </c>
    </row>
    <row r="342" spans="1:5" ht="36" x14ac:dyDescent="0.2">
      <c r="A342" s="18" t="s">
        <v>2443</v>
      </c>
      <c r="B342" s="19" t="s">
        <v>2444</v>
      </c>
      <c r="C342" s="20" t="s">
        <v>406</v>
      </c>
      <c r="D342" s="41">
        <f>DO_surf_excess_g+H_O2_T*P_dry*MAX(y_O2_avg_g,y_O2_end_g-(S_O2_g-F_gap_g*y_O2_end_g)/n_hs_gas*tau_L_h)</f>
        <v>0.076654224002</v>
      </c>
      <c r="E342" s="52" t="s">
        <v>2445</v>
      </c>
    </row>
    <row r="343" spans="1:5" x14ac:dyDescent="0.2">
      <c r="A343" s="18" t="s">
        <v>2446</v>
      </c>
      <c r="B343" s="19" t="s">
        <v>2447</v>
      </c>
      <c r="C343" s="20" t="s">
        <v>83</v>
      </c>
      <c r="D343" s="41">
        <f>DO_avg_g*M_O2</f>
        <v>2.27402079505</v>
      </c>
      <c r="E343" s="52" t="s">
        <v>2448</v>
      </c>
    </row>
    <row r="344" spans="1:5" x14ac:dyDescent="0.2">
      <c r="A344" s="18" t="s">
        <v>2449</v>
      </c>
      <c r="B344" s="19" t="s">
        <v>2450</v>
      </c>
      <c r="C344" s="20" t="s">
        <v>83</v>
      </c>
      <c r="D344" s="41">
        <f>DO_peak_g*M_O2</f>
        <v>2.452781859604</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2.5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0.0009931722981339</v>
      </c>
      <c r="E350" s="51" t="s">
        <v>2403</v>
      </c>
    </row>
    <row r="351" spans="1:5" ht="36" x14ac:dyDescent="0.2">
      <c r="A351" s="18" t="s">
        <v>2466</v>
      </c>
      <c r="B351" s="19" t="s">
        <v>2467</v>
      </c>
      <c r="C351" s="20" t="s">
        <v>111</v>
      </c>
      <c r="D351" s="41">
        <f>IF(F_dil+F_hs_net_l&gt;0,S_O2_l/(F_dil+F_hs_net_l),NA())</f>
        <v>0.054000710175</v>
      </c>
      <c r="E351" s="51" t="s">
        <v>2406</v>
      </c>
    </row>
    <row r="352" spans="1:5" x14ac:dyDescent="0.2">
      <c r="A352" s="18" t="s">
        <v>2468</v>
      </c>
      <c r="B352" s="19" t="s">
        <v>2469</v>
      </c>
      <c r="C352" s="20" t="s">
        <v>111</v>
      </c>
      <c r="D352" s="41">
        <f>IF(F_dil+F_hs_net_l&gt;0,H2_src_l/(F_dil+F_hs_net_l),NA())</f>
        <v>0.09401303663</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0.215469840469</v>
      </c>
      <c r="E354" s="51" t="s">
        <v>2415</v>
      </c>
    </row>
    <row r="355" spans="1:5" x14ac:dyDescent="0.2">
      <c r="A355" s="18" t="s">
        <v>2474</v>
      </c>
      <c r="B355" s="19" t="s">
        <v>2475</v>
      </c>
      <c r="C355" s="20" t="s">
        <v>111</v>
      </c>
      <c r="D355" s="41">
        <f>IF(x_hs_l&gt;0,(1-EXP(-x_hs_l))/x_hs_l,1)</f>
        <v>0.89960347212</v>
      </c>
      <c r="E355" s="51" t="s">
        <v>2418</v>
      </c>
    </row>
    <row r="356" spans="1:5" x14ac:dyDescent="0.2">
      <c r="A356" s="18" t="s">
        <v>2476</v>
      </c>
      <c r="B356" s="19" t="s">
        <v>2477</v>
      </c>
      <c r="C356" s="20" t="s">
        <v>111</v>
      </c>
      <c r="D356" s="41">
        <f>IF(x_hs_l&gt;0,(x_hs_l-1+EXP(-x_hs_l))/x_hs_l^2,1/2)</f>
        <v>0.465942368831</v>
      </c>
      <c r="E356" s="51" t="s">
        <v>2421</v>
      </c>
    </row>
    <row r="357" spans="1:5" x14ac:dyDescent="0.2">
      <c r="A357" s="18" t="s">
        <v>2478</v>
      </c>
      <c r="B357" s="19" t="s">
        <v>2479</v>
      </c>
      <c r="C357" s="20" t="s">
        <v>111</v>
      </c>
      <c r="D357" s="41">
        <f>S_O2_l*t_gap_h/n_hs_gas</f>
        <v>0.066186741734</v>
      </c>
      <c r="E357" s="51" t="s">
        <v>2424</v>
      </c>
    </row>
    <row r="358" spans="1:5" ht="24" x14ac:dyDescent="0.2">
      <c r="A358" s="18" t="s">
        <v>2480</v>
      </c>
      <c r="B358" s="19" t="s">
        <v>2481</v>
      </c>
      <c r="C358" s="20" t="s">
        <v>111</v>
      </c>
      <c r="D358" s="41">
        <f>dy_O2_l*phi_hs_l/(1-flush_ret*EXP(-x_hs_l))</f>
        <v>0.084231401644</v>
      </c>
      <c r="E358" s="52" t="s">
        <v>2427</v>
      </c>
    </row>
    <row r="359" spans="1:5" x14ac:dyDescent="0.2">
      <c r="A359" s="18" t="s">
        <v>2482</v>
      </c>
      <c r="B359" s="19" t="s">
        <v>2483</v>
      </c>
      <c r="C359" s="20" t="s">
        <v>111</v>
      </c>
      <c r="D359" s="41">
        <f>y_O2_end_l*flush_ret</f>
        <v>0.030626054199</v>
      </c>
      <c r="E359" s="52" t="s">
        <v>2430</v>
      </c>
    </row>
    <row r="360" spans="1:5" x14ac:dyDescent="0.2">
      <c r="A360" s="18" t="s">
        <v>2484</v>
      </c>
      <c r="B360" s="19" t="s">
        <v>2485</v>
      </c>
      <c r="C360" s="20" t="s">
        <v>111</v>
      </c>
      <c r="D360" s="41">
        <f>y_O2_post_l*phi_hs_l+dy_O2_l*psi_hs_l</f>
        <v>0.058390511924</v>
      </c>
      <c r="E360" s="52" t="s">
        <v>2433</v>
      </c>
    </row>
    <row r="361" spans="1:5" ht="24" x14ac:dyDescent="0.2">
      <c r="A361" s="18" t="s">
        <v>2486</v>
      </c>
      <c r="B361" s="19" t="s">
        <v>2487</v>
      </c>
      <c r="C361" s="20" t="s">
        <v>406</v>
      </c>
      <c r="D361" s="41">
        <f>DO_surf_excess_lag+H_O2_T*P_dry*y_O2_mf_l</f>
        <v>0.170638821363</v>
      </c>
      <c r="E361" s="51" t="s">
        <v>2439</v>
      </c>
    </row>
    <row r="362" spans="1:5" ht="24" x14ac:dyDescent="0.2">
      <c r="A362" s="18" t="s">
        <v>2488</v>
      </c>
      <c r="B362" s="19" t="s">
        <v>2489</v>
      </c>
      <c r="C362" s="20" t="s">
        <v>406</v>
      </c>
      <c r="D362" s="41">
        <f>DO_surf_excess_lag+H_O2_T*P_dry*y_O2_avg_l</f>
        <v>0.175051782538</v>
      </c>
      <c r="E362" s="52" t="s">
        <v>2442</v>
      </c>
    </row>
    <row r="363" spans="1:5" ht="36" x14ac:dyDescent="0.2">
      <c r="A363" s="18" t="s">
        <v>2490</v>
      </c>
      <c r="B363" s="19" t="s">
        <v>2491</v>
      </c>
      <c r="C363" s="20" t="s">
        <v>406</v>
      </c>
      <c r="D363" s="41">
        <f>DO_surf_excess_lag+H_O2_T*P_dry*MAX(y_O2_avg_l,y_O2_end_l-(S_O2_l-F_gap_l*y_O2_end_l)/n_hs_gas*tau_L_h)</f>
        <v>0.186376522656</v>
      </c>
      <c r="E363" s="52" t="s">
        <v>2445</v>
      </c>
    </row>
    <row r="364" spans="1:5" x14ac:dyDescent="0.2">
      <c r="A364" s="18" t="s">
        <v>2492</v>
      </c>
      <c r="B364" s="19" t="s">
        <v>2493</v>
      </c>
      <c r="C364" s="20" t="s">
        <v>83</v>
      </c>
      <c r="D364" s="41">
        <f>DO_avg_l*M_O2</f>
        <v>5.601306937651</v>
      </c>
      <c r="E364" s="52" t="s">
        <v>2448</v>
      </c>
    </row>
    <row r="365" spans="1:5" x14ac:dyDescent="0.2">
      <c r="A365" s="18" t="s">
        <v>2494</v>
      </c>
      <c r="B365" s="19" t="s">
        <v>2495</v>
      </c>
      <c r="C365" s="20" t="s">
        <v>83</v>
      </c>
      <c r="D365" s="41">
        <f>DO_peak_l*M_O2</f>
        <v>5.963675971962</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0.07106759157</v>
      </c>
      <c r="E372" s="52" t="s">
        <v>2508</v>
      </c>
    </row>
    <row r="373" spans="1:5" x14ac:dyDescent="0.2">
      <c r="A373" s="18" t="s">
        <v>2509</v>
      </c>
      <c r="B373" s="19" t="s">
        <v>2510</v>
      </c>
      <c r="C373" s="20" t="s">
        <v>406</v>
      </c>
      <c r="D373" s="41">
        <f>IF(O2_sizing_phase=phase_name_1,DO_peak_g,IF(O2_sizing_phase=phase_name_2,DO_peak_l,NA()))</f>
        <v>0.076654224002</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-0.082768792327</v>
      </c>
      <c r="E375" s="51" t="s">
        <v>2517</v>
      </c>
    </row>
    <row r="376" spans="1:5" x14ac:dyDescent="0.2">
      <c r="A376" s="18" t="s">
        <v>2518</v>
      </c>
      <c r="B376" s="19" t="s">
        <v>2519</v>
      </c>
      <c r="C376" s="20" t="s">
        <v>111</v>
      </c>
      <c r="D376" s="41">
        <f>k_eff_CO2*t_off_CO2</f>
        <v>0.006263588654</v>
      </c>
      <c r="E376" s="51" t="s">
        <v>2520</v>
      </c>
    </row>
    <row r="377" spans="1:5" ht="24" x14ac:dyDescent="0.2">
      <c r="A377" s="18" t="s">
        <v>2521</v>
      </c>
      <c r="B377" s="19" t="s">
        <v>2522</v>
      </c>
      <c r="C377" s="20" t="s">
        <v>111</v>
      </c>
      <c r="D377" s="41">
        <f>IF(pool_x&gt;0,(1-EXP(-pool_x))/pool_x,1)</f>
        <v>0.996874734204</v>
      </c>
      <c r="E377" s="51" t="s">
        <v>2523</v>
      </c>
    </row>
    <row r="378" spans="1:5" x14ac:dyDescent="0.2">
      <c r="A378" s="18" t="s">
        <v>2524</v>
      </c>
      <c r="B378" s="19" t="s">
        <v>2525</v>
      </c>
      <c r="C378" s="20" t="s">
        <v>111</v>
      </c>
      <c r="D378" s="41">
        <f>IF(pool_x&gt;0,(pool_x-1+EXP(-pool_x))/pool_x^2,1/2)</f>
        <v>0.498957701201</v>
      </c>
      <c r="E378" s="51" t="s">
        <v>2526</v>
      </c>
    </row>
    <row r="379" spans="1:5" x14ac:dyDescent="0.2">
      <c r="A379" s="18" t="s">
        <v>2527</v>
      </c>
      <c r="B379" s="19" t="s">
        <v>2528</v>
      </c>
      <c r="C379" s="20" t="s">
        <v>406</v>
      </c>
      <c r="D379" s="41">
        <f>pool_D_raw*pool_phi</f>
        <v>-0.082510117852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0.939999076882</v>
      </c>
      <c r="E381" s="51" t="s">
        <v>2535</v>
      </c>
    </row>
    <row r="382" spans="1:5" x14ac:dyDescent="0.2">
      <c r="A382" s="18" t="s">
        <v>2536</v>
      </c>
      <c r="B382" s="19" t="s">
        <v>2537</v>
      </c>
      <c r="C382" s="20" t="s">
        <v>406</v>
      </c>
      <c r="D382" s="41">
        <f>y_CO2_mf*C_sat_CO2</f>
        <v>26.372340901797</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0.146643438994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0.051056592553</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4.800606064204e-05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2.501215469962</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7.2</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0.337157868618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spg_dur/60+interval_res</f>
        <v>0.020833333333</v>
      </c>
      <c r="E430" s="51" t="inlineStr">
        <is>
          <t xml:space="preserve">The pulse plus one command step: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1.119602770852</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212.498008545659</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219.202467199145</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0.020833333333</v>
      </c>
      <c r="B440" s="41">
        <f>MAX(0,A440*60-spg_dur)</f>
        <v>0.6</v>
      </c>
      <c r="C440" s="41">
        <f>k_eff_CO2*B440</f>
        <v>8.712537828489e-06</v>
      </c>
      <c r="D440" s="41">
        <f>EXP(-C440)</f>
        <v>0.9999912875</v>
      </c>
      <c r="E440" s="41">
        <f>IF(C440&gt;0,(1-D440)/C440,1)</f>
        <v>0.999995643744</v>
      </c>
      <c r="F440" s="41">
        <f>IF(C440&gt;0,(C440-1+D440)/C440^2,1/2)</f>
        <v>0.499999033221</v>
      </c>
      <c r="G440" s="41">
        <f>(C_air_CO2/C_sat_CO2*F_vent_ex-CO2_fix_sched)*(B440/3600)/(V_L_CO2+Vg_CO2)</f>
        <v>-0.0001151298838448</v>
      </c>
      <c r="H440" s="41">
        <f>(G440*E440+pool_b*D440)/(1-pool_ret*D440)</f>
        <v>28.05182376683</v>
      </c>
      <c r="I440" s="41">
        <f>MIN(C_sat_CO2,MAX(C_air_CO2,(pool_ret*H440+pool_b)*E440+G440*F440))</f>
        <v>28.052003533527</v>
      </c>
      <c r="J440" s="41">
        <f>IF(AND(I440&gt;=CO2_pH_hi_mt,I441&lt;CO2_pH_hi_mt),EXP(LN(A440)+(LN(A441)-LN(A440))*(I440-CO2_pH_hi_mt)/(I440-I441)),0)</f>
        <v>0.0</v>
      </c>
      <c r="L440" s="41">
        <f>k_eff_CO2_l*B440</f>
        <v>4.357689362233e-05</v>
      </c>
      <c r="M440" s="41">
        <f>EXP(-L440)</f>
        <v>0.999956424056</v>
      </c>
      <c r="N440" s="41">
        <f>IF(L440&gt;0,(1-M440)/L440,1)</f>
        <v>0.999978211869</v>
      </c>
      <c r="O440" s="41">
        <f>IF(L440&gt;0,(L440-1+M440)/L440^2,1/2)</f>
        <v>0.49999275284</v>
      </c>
      <c r="P440" s="41">
        <f>(C_air_CO2/C_sat_CO2*F_vent_ex-CO2_fix_l)*(B440/3600)/(V_L_CO2+Vg_CO2)</f>
        <v>1.007068014881e-07</v>
      </c>
      <c r="Q440" s="41">
        <f>(P440*N440+pool_b*M440)/(1-pool_ret*M440)</f>
        <v>28.042503574753</v>
      </c>
      <c r="R440" s="41">
        <f>MIN(C_sat_CO2,MAX(C_air_CO2,(pool_ret*Q440+pool_b)*N440+P440*O440))</f>
        <v>28.043114535854</v>
      </c>
      <c r="S440" s="41">
        <f>IF(AND(R440&gt;=CO2_pH_hi_mt,R441&lt;CO2_pH_hi_mt),EXP(LN(A440)+(LN(A441)-LN(A440))*(R440-CO2_pH_hi_mt)/(R440-R441)),0)</f>
        <v>0.0</v>
      </c>
    </row>
    <row r="441">
      <c r="A441" s="41">
        <f>A440*grid_ratio</f>
        <v>0.023325057726</v>
      </c>
      <c r="B441" s="41">
        <f>MAX(0,A441*60-spg_dur)</f>
        <v>0.749503463565</v>
      </c>
      <c r="C441" s="41">
        <f>k_eff_CO2*B441</f>
        <v>1.088346213149e-05</v>
      </c>
      <c r="D441" s="41">
        <f>EXP(-C441)</f>
        <v>0.999989116597</v>
      </c>
      <c r="E441" s="41">
        <f>IF(C441&gt;0,(1-D441)/C441,1)</f>
        <v>0.999994558284</v>
      </c>
      <c r="F441" s="41">
        <f>IF(C441&gt;0,(C441-1+D441)/C441^2,1/2)</f>
        <v>0.499998836996</v>
      </c>
      <c r="G441" s="41">
        <f>(C_air_CO2/C_sat_CO2*F_vent_ex-CO2_fix_sched)*(B441/3600)/(V_L_CO2+Vg_CO2)</f>
        <v>-0.0001438170778359</v>
      </c>
      <c r="H441" s="41">
        <f>(G441*E441+pool_b*D441)/(1-pool_ret*D441)</f>
        <v>28.050855692136</v>
      </c>
      <c r="I441" s="41">
        <f>MIN(C_sat_CO2,MAX(C_air_CO2,(pool_ret*H441+pool_b)*E441+G441*F441))</f>
        <v>28.051080246474</v>
      </c>
      <c r="J441" s="41">
        <f>IF(AND(I441&gt;=CO2_pH_hi_mt,I442&lt;CO2_pH_hi_mt),EXP(LN(A441)+(LN(A442)-LN(A441))*(I441-CO2_pH_hi_mt)/(I441-I442)),0)</f>
        <v>0.0</v>
      </c>
      <c r="L441" s="41">
        <f>k_eff_CO2_l*B441</f>
        <v>5.443505450225e-05</v>
      </c>
      <c r="M441" s="41">
        <f>EXP(-L441)</f>
        <v>0.999945566427</v>
      </c>
      <c r="N441" s="41">
        <f>IF(L441&gt;0,(1-M441)/L441,1)</f>
        <v>0.999972782966</v>
      </c>
      <c r="O441" s="41">
        <f>IF(L441&gt;0,(L441-1+M441)/L441^2,1/2)</f>
        <v>0.499990912656</v>
      </c>
      <c r="P441" s="41">
        <f>(C_air_CO2/C_sat_CO2*F_vent_ex-CO2_fix_l)*(B441/3600)/(V_L_CO2+Vg_CO2)</f>
        <v>1.258001608665e-07</v>
      </c>
      <c r="Q441" s="41">
        <f>(P441*N441+pool_b*M441)/(1-pool_ret*M441)</f>
        <v>28.039214901674</v>
      </c>
      <c r="R441" s="41">
        <f>MIN(C_sat_CO2,MAX(C_air_CO2,(pool_ret*Q441+pool_b)*N441+P441*O441))</f>
        <v>28.039978010713</v>
      </c>
      <c r="S441" s="41">
        <f>IF(AND(R441&gt;=CO2_pH_hi_mt,R442&lt;CO2_pH_hi_mt),EXP(LN(A441)+(LN(A442)-LN(A441))*(R441-CO2_pH_hi_mt)/(R441-R442)),0)</f>
        <v>0.0</v>
      </c>
    </row>
    <row r="442">
      <c r="A442" s="41">
        <f>A441*grid_ratio</f>
        <v>0.02611479926</v>
      </c>
      <c r="B442" s="41">
        <f>MAX(0,A442*60-spg_dur)</f>
        <v>0.916887955625</v>
      </c>
      <c r="C442" s="41">
        <f>k_eff_CO2*B442</f>
        <v>1.331403499645e-05</v>
      </c>
      <c r="D442" s="41">
        <f>EXP(-C442)</f>
        <v>0.999986686054</v>
      </c>
      <c r="E442" s="41">
        <f>IF(C442&gt;0,(1-D442)/C442,1)</f>
        <v>0.999993343011</v>
      </c>
      <c r="F442" s="41">
        <f>IF(C442&gt;0,(C442-1+D442)/C442^2,1/2)</f>
        <v>0.499998147283</v>
      </c>
      <c r="G442" s="41">
        <f>(C_air_CO2/C_sat_CO2*F_vent_ex-CO2_fix_sched)*(B442/3600)/(V_L_CO2+Vg_CO2)</f>
        <v>-0.0001759353397163</v>
      </c>
      <c r="H442" s="41">
        <f>(G442*E442+pool_b*D442)/(1-pool_ret*D442)</f>
        <v>28.049771884426</v>
      </c>
      <c r="I442" s="41">
        <f>MIN(C_sat_CO2,MAX(C_air_CO2,(pool_ret*H442+pool_b)*E442+G442*F442))</f>
        <v>28.050046581035</v>
      </c>
      <c r="J442" s="41">
        <f>IF(AND(I442&gt;=CO2_pH_hi_mt,I443&lt;CO2_pH_hi_mt),EXP(LN(A442)+(LN(A443)-LN(A442))*(I442-CO2_pH_hi_mt)/(I442-I443)),0)</f>
        <v>0.0</v>
      </c>
      <c r="L442" s="41">
        <f>k_eff_CO2_l*B442</f>
        <v>6.659188150977e-05</v>
      </c>
      <c r="M442" s="41">
        <f>EXP(-L442)</f>
        <v>0.999933410336</v>
      </c>
      <c r="N442" s="41">
        <f>IF(L442&gt;0,(1-M442)/L442,1)</f>
        <v>0.999966704798</v>
      </c>
      <c r="O442" s="41">
        <f>IF(L442&gt;0,(L442-1+M442)/L442^2,1/2)</f>
        <v>0.499988920389</v>
      </c>
      <c r="P442" s="41">
        <f>(C_air_CO2/C_sat_CO2*F_vent_ex-CO2_fix_l)*(B442/3600)/(V_L_CO2+Vg_CO2)</f>
        <v>1.538947555566e-07</v>
      </c>
      <c r="Q442" s="41">
        <f>(P442*N442+pool_b*M442)/(1-pool_ret*M442)</f>
        <v>28.035533767039</v>
      </c>
      <c r="R442" s="41">
        <f>MIN(C_sat_CO2,MAX(C_air_CO2,(pool_ret*Q442+pool_b)*N442+P442*O442))</f>
        <v>28.036467180267</v>
      </c>
      <c r="S442" s="41">
        <f>IF(AND(R442&gt;=CO2_pH_hi_mt,R443&lt;CO2_pH_hi_mt),EXP(LN(A442)+(LN(A443)-LN(A442))*(R442-CO2_pH_hi_mt)/(R442-R443)),0)</f>
        <v>0.0</v>
      </c>
    </row>
    <row r="443">
      <c r="A443" s="41">
        <f>A442*grid_ratio</f>
        <v>0.029238201612</v>
      </c>
      <c r="B443" s="41">
        <f>MAX(0,A443*60-spg_dur)</f>
        <v>1.104292096732</v>
      </c>
      <c r="C443" s="41">
        <f>k_eff_CO2*B443</f>
        <v>1.60353111108e-05</v>
      </c>
      <c r="D443" s="41">
        <f>EXP(-C443)</f>
        <v>0.999983964817</v>
      </c>
      <c r="E443" s="41">
        <f>IF(C443&gt;0,(1-D443)/C443,1)</f>
        <v>0.999991982387</v>
      </c>
      <c r="F443" s="41">
        <f>IF(C443&gt;0,(C443-1+D443)/C443^2,1/2)</f>
        <v>0.4999974148</v>
      </c>
      <c r="G443" s="41">
        <f>(C_air_CO2/C_sat_CO2*F_vent_ex-CO2_fix_sched)*(B443/3600)/(V_L_CO2+Vg_CO2)</f>
        <v>-0.0002118950347125</v>
      </c>
      <c r="H443" s="41">
        <f>(G443*E443+pool_b*D443)/(1-pool_ret*D443)</f>
        <v>28.048558514736</v>
      </c>
      <c r="I443" s="41">
        <f>MIN(C_sat_CO2,MAX(C_air_CO2,(pool_ret*H443+pool_b)*E443+G443*F443))</f>
        <v>28.048889347688</v>
      </c>
      <c r="J443" s="41">
        <f>IF(AND(I443&gt;=CO2_pH_hi_mt,I444&lt;CO2_pH_hi_mt),EXP(LN(A443)+(LN(A444)-LN(A443))*(I443-CO2_pH_hi_mt)/(I443-I444)),0)</f>
        <v>0.0</v>
      </c>
      <c r="L443" s="41">
        <f>k_eff_CO2_l*B443</f>
        <v>8.020269871215e-05</v>
      </c>
      <c r="M443" s="41">
        <f>EXP(-L443)</f>
        <v>0.999919800517</v>
      </c>
      <c r="N443" s="41">
        <f>IF(L443&gt;0,(1-M443)/L443,1)</f>
        <v>0.999959899722</v>
      </c>
      <c r="O443" s="41">
        <f>IF(L443&gt;0,(L443-1+M443)/L443^2,1/2)</f>
        <v>0.499986632934</v>
      </c>
      <c r="P443" s="41">
        <f>(C_air_CO2/C_sat_CO2*F_vent_ex-CO2_fix_l)*(B443/3600)/(V_L_CO2+Vg_CO2)</f>
        <v>1.853495416176e-07</v>
      </c>
      <c r="Q443" s="41">
        <f>(P443*N443+pool_b*M443)/(1-pool_ret*M443)</f>
        <v>28.031413452226</v>
      </c>
      <c r="R443" s="41">
        <f>MIN(C_sat_CO2,MAX(C_air_CO2,(pool_ret*Q443+pool_b)*N443+P443*O443))</f>
        <v>28.032537487093</v>
      </c>
      <c r="S443" s="41">
        <f>IF(AND(R443&gt;=CO2_pH_hi_mt,R444&lt;CO2_pH_hi_mt),EXP(LN(A443)+(LN(A444)-LN(A443))*(R443-CO2_pH_hi_mt)/(R443-R444)),0)</f>
        <v>0.0</v>
      </c>
    </row>
    <row r="444">
      <c r="A444" s="41">
        <f>A443*grid_ratio</f>
        <v>0.03273517154</v>
      </c>
      <c r="B444" s="41">
        <f>MAX(0,A444*60-spg_dur)</f>
        <v>1.314110292386</v>
      </c>
      <c r="C444" s="41">
        <f>k_eff_CO2*B444</f>
        <v>1.90820593887e-05</v>
      </c>
      <c r="D444" s="41">
        <f>EXP(-C444)</f>
        <v>0.999980918123</v>
      </c>
      <c r="E444" s="41">
        <f>IF(C444&gt;0,(1-D444)/C444,1)</f>
        <v>0.999990459031</v>
      </c>
      <c r="F444" s="41">
        <f>IF(C444&gt;0,(C444-1+D444)/C444^2,1/2)</f>
        <v>0.499996898665</v>
      </c>
      <c r="G444" s="41">
        <f>(C_air_CO2/C_sat_CO2*F_vent_ex-CO2_fix_sched)*(B444/3600)/(V_L_CO2+Vg_CO2)</f>
        <v>-0.0002521556088694</v>
      </c>
      <c r="H444" s="41">
        <f>(G444*E444+pool_b*D444)/(1-pool_ret*D444)</f>
        <v>28.047200103418</v>
      </c>
      <c r="I444" s="41">
        <f>MIN(C_sat_CO2,MAX(C_air_CO2,(pool_ret*H444+pool_b)*E444+G444*F444))</f>
        <v>28.04759378287</v>
      </c>
      <c r="J444" s="41">
        <f>IF(AND(I444&gt;=CO2_pH_hi_mt,I445&lt;CO2_pH_hi_mt),EXP(LN(A444)+(LN(A445)-LN(A444))*(I444-CO2_pH_hi_mt)/(I444-I445)),0)</f>
        <v>0.0</v>
      </c>
      <c r="L444" s="41">
        <f>k_eff_CO2_l*B444</f>
        <v>9.544140736551e-05</v>
      </c>
      <c r="M444" s="41">
        <f>EXP(-L444)</f>
        <v>0.999904563147</v>
      </c>
      <c r="N444" s="41">
        <f>IF(L444&gt;0,(1-M444)/L444,1)</f>
        <v>0.999952280815</v>
      </c>
      <c r="O444" s="41">
        <f>IF(L444&gt;0,(L444-1+M444)/L444^2,1/2)</f>
        <v>0.499984090739</v>
      </c>
      <c r="P444" s="41">
        <f>(C_air_CO2/C_sat_CO2*F_vent_ex-CO2_fix_l)*(B444/3600)/(V_L_CO2+Vg_CO2)</f>
        <v>2.20566407248e-07</v>
      </c>
      <c r="Q444" s="41">
        <f>(P444*N444+pool_b*M444)/(1-pool_ret*M444)</f>
        <v>28.02680170676</v>
      </c>
      <c r="R444" s="41">
        <f>MIN(C_sat_CO2,MAX(C_air_CO2,(pool_ret*Q444+pool_b)*N444+P444*O444))</f>
        <v>28.02813909773</v>
      </c>
      <c r="S444" s="41">
        <f>IF(AND(R444&gt;=CO2_pH_hi_mt,R445&lt;CO2_pH_hi_mt),EXP(LN(A444)+(LN(A445)-LN(A444))*(R444-CO2_pH_hi_mt)/(R444-R445)),0)</f>
        <v>0.0</v>
      </c>
    </row>
    <row r="445">
      <c r="A445" s="41">
        <f>A444*grid_ratio</f>
        <v>0.03665038876</v>
      </c>
      <c r="B445" s="41">
        <f>MAX(0,A445*60-spg_dur)</f>
        <v>1.549023325614</v>
      </c>
      <c r="C445" s="41">
        <f>k_eff_CO2*B445</f>
        <v>2.249320720271e-05</v>
      </c>
      <c r="D445" s="41">
        <f>EXP(-C445)</f>
        <v>0.999977507046</v>
      </c>
      <c r="E445" s="41">
        <f>IF(C445&gt;0,(1-D445)/C445,1)</f>
        <v>0.99998875348</v>
      </c>
      <c r="F445" s="41">
        <f>IF(C445&gt;0,(C445-1+D445)/C445^2,1/2)</f>
        <v>0.499996296496</v>
      </c>
      <c r="G445" s="41">
        <f>(C_air_CO2/C_sat_CO2*F_vent_ex-CO2_fix_sched)*(B445/3600)/(V_L_CO2+Vg_CO2)</f>
        <v>-0.0002972314592514</v>
      </c>
      <c r="H445" s="41">
        <f>(G445*E445+pool_b*D445)/(1-pool_ret*D445)</f>
        <v>28.045679323555</v>
      </c>
      <c r="I445" s="41">
        <f>MIN(C_sat_CO2,MAX(C_air_CO2,(pool_ret*H445+pool_b)*E445+G445*F445))</f>
        <v>28.046143361362</v>
      </c>
      <c r="J445" s="41">
        <f>IF(AND(I445&gt;=CO2_pH_hi_mt,I446&lt;CO2_pH_hi_mt),EXP(LN(A445)+(LN(A446)-LN(A445))*(I445-CO2_pH_hi_mt)/(I445-I446)),0)</f>
        <v>0.0</v>
      </c>
      <c r="L445" s="41">
        <f>k_eff_CO2_l*B445</f>
        <v>0.000112502707798</v>
      </c>
      <c r="M445" s="41">
        <f>EXP(-L445)</f>
        <v>0.99988750362</v>
      </c>
      <c r="N445" s="41">
        <f>IF(L445&gt;0,(1-M445)/L445,1)</f>
        <v>0.999943750755</v>
      </c>
      <c r="O445" s="41">
        <f>IF(L445&gt;0,(L445-1+M445)/L445^2,1/2)</f>
        <v>0.499981257877</v>
      </c>
      <c r="P445" s="41">
        <f>(C_air_CO2/C_sat_CO2*F_vent_ex-CO2_fix_l)*(B445/3600)/(V_L_CO2+Vg_CO2)</f>
        <v>2.599953075885e-07</v>
      </c>
      <c r="Q445" s="41">
        <f>(P445*N445+pool_b*M445)/(1-pool_ret*M445)</f>
        <v>28.021640100775</v>
      </c>
      <c r="R445" s="41">
        <f>MIN(C_sat_CO2,MAX(C_air_CO2,(pool_ret*Q445+pool_b)*N445+P445*O445))</f>
        <v>28.023216285067</v>
      </c>
      <c r="S445" s="41">
        <f>IF(AND(R445&gt;=CO2_pH_hi_mt,R446&lt;CO2_pH_hi_mt),EXP(LN(A445)+(LN(A446)-LN(A445))*(R445-CO2_pH_hi_mt)/(R445-R446)),0)</f>
        <v>0.0</v>
      </c>
    </row>
    <row r="446">
      <c r="A446" s="41">
        <f>A445*grid_ratio</f>
        <v>0.041033876809</v>
      </c>
      <c r="B446" s="41">
        <f>MAX(0,A446*60-spg_dur)</f>
        <v>1.812032608526</v>
      </c>
      <c r="C446" s="41">
        <f>k_eff_CO2*B446</f>
        <v>2.631233774707e-05</v>
      </c>
      <c r="D446" s="41">
        <f>EXP(-C446)</f>
        <v>0.999973688008</v>
      </c>
      <c r="E446" s="41">
        <f>IF(C446&gt;0,(1-D446)/C446,1)</f>
        <v>0.999986843946</v>
      </c>
      <c r="F446" s="41">
        <f>IF(C446&gt;0,(C446-1+D446)/C446^2,1/2)</f>
        <v>0.499995639448</v>
      </c>
      <c r="G446" s="41">
        <f>(C_air_CO2/C_sat_CO2*F_vent_ex-CO2_fix_sched)*(B446/3600)/(V_L_CO2+Vg_CO2)</f>
        <v>-0.0003476985062377</v>
      </c>
      <c r="H446" s="41">
        <f>(G446*E446+pool_b*D446)/(1-pool_ret*D446)</f>
        <v>28.043976781064</v>
      </c>
      <c r="I446" s="41">
        <f>MIN(C_sat_CO2,MAX(C_air_CO2,(pool_ret*H446+pool_b)*E446+G446*F446))</f>
        <v>28.044519586358</v>
      </c>
      <c r="J446" s="41">
        <f>IF(AND(I446&gt;=CO2_pH_hi_mt,I447&lt;CO2_pH_hi_mt),EXP(LN(A446)+(LN(A447)-LN(A446))*(I446-CO2_pH_hi_mt)/(I446-I447)),0)</f>
        <v>0.0</v>
      </c>
      <c r="L446" s="41">
        <f>k_eff_CO2_l*B446</f>
        <v>0.0001316045870366</v>
      </c>
      <c r="M446" s="41">
        <f>EXP(-L446)</f>
        <v>0.999868404072</v>
      </c>
      <c r="N446" s="41">
        <f>IF(L446&gt;0,(1-M446)/L446,1)</f>
        <v>0.999934200593</v>
      </c>
      <c r="O446" s="41">
        <f>IF(L446&gt;0,(L446-1+M446)/L446^2,1/2)</f>
        <v>0.499978066459</v>
      </c>
      <c r="P446" s="41">
        <f>(C_air_CO2/C_sat_CO2*F_vent_ex-CO2_fix_l)*(B446/3600)/(V_L_CO2+Vg_CO2)</f>
        <v>3.041400136614e-07</v>
      </c>
      <c r="Q446" s="41">
        <f>(P446*N446+pool_b*M446)/(1-pool_ret*M446)</f>
        <v>28.015863303576</v>
      </c>
      <c r="R446" s="41">
        <f>MIN(C_sat_CO2,MAX(C_air_CO2,(pool_ret*Q446+pool_b)*N446+P446*O446))</f>
        <v>28.017706740424</v>
      </c>
      <c r="S446" s="41">
        <f>IF(AND(R446&gt;=CO2_pH_hi_mt,R447&lt;CO2_pH_hi_mt),EXP(LN(A446)+(LN(A447)-LN(A446))*(R446-CO2_pH_hi_mt)/(R446-R447)),0)</f>
        <v>0.0</v>
      </c>
    </row>
    <row r="447">
      <c r="A447" s="41">
        <f>A446*grid_ratio</f>
        <v>0.045941642174</v>
      </c>
      <c r="B447" s="41">
        <f>MAX(0,A447*60-spg_dur)</f>
        <v>2.106498530435</v>
      </c>
      <c r="C447" s="41">
        <f>k_eff_CO2*B447</f>
        <v>3.058824688678e-05</v>
      </c>
      <c r="D447" s="41">
        <f>EXP(-C447)</f>
        <v>0.999969412221</v>
      </c>
      <c r="E447" s="41">
        <f>IF(C447&gt;0,(1-D447)/C447,1)</f>
        <v>0.999984706034</v>
      </c>
      <c r="F447" s="41">
        <f>IF(C447&gt;0,(C447-1+D447)/C447^2,1/2)</f>
        <v>0.499994805979</v>
      </c>
      <c r="G447" s="41">
        <f>(C_air_CO2/C_sat_CO2*F_vent_ex-CO2_fix_sched)*(B447/3600)/(V_L_CO2+Vg_CO2)</f>
        <v>-0.0004042015518802</v>
      </c>
      <c r="H447" s="41">
        <f>(G447*E447+pool_b*D447)/(1-pool_ret*D447)</f>
        <v>28.042070768769</v>
      </c>
      <c r="I447" s="41">
        <f>MIN(C_sat_CO2,MAX(C_air_CO2,(pool_ret*H447+pool_b)*E447+G447*F447))</f>
        <v>28.042701754949</v>
      </c>
      <c r="J447" s="41">
        <f>IF(AND(I447&gt;=CO2_pH_hi_mt,I448&lt;CO2_pH_hi_mt),EXP(LN(A447)+(LN(A448)-LN(A447))*(I447-CO2_pH_hi_mt)/(I447-I448)),0)</f>
        <v>0.0</v>
      </c>
      <c r="L447" s="41">
        <f>k_eff_CO2_l*B447</f>
        <v>0.0001529911039606</v>
      </c>
      <c r="M447" s="41">
        <f>EXP(-L447)</f>
        <v>0.999847020599</v>
      </c>
      <c r="N447" s="41">
        <f>IF(L447&gt;0,(1-M447)/L447,1)</f>
        <v>0.999923508349</v>
      </c>
      <c r="O447" s="41">
        <f>IF(L447&gt;0,(L447-1+M447)/L447^2,1/2)</f>
        <v>0.49997450308</v>
      </c>
      <c r="P447" s="41">
        <f>(C_air_CO2/C_sat_CO2*F_vent_ex-CO2_fix_l)*(B447/3600)/(V_L_CO2+Vg_CO2)</f>
        <v>3.535645488991e-07</v>
      </c>
      <c r="Q447" s="41">
        <f>(P447*N447+pool_b*M447)/(1-pool_ret*M447)</f>
        <v>28.009398280333</v>
      </c>
      <c r="R447" s="41">
        <f>MIN(C_sat_CO2,MAX(C_air_CO2,(pool_ret*Q447+pool_b)*N447+P447*O447))</f>
        <v>28.011540807198</v>
      </c>
      <c r="S447" s="41">
        <f>IF(AND(R447&gt;=CO2_pH_hi_mt,R448&lt;CO2_pH_hi_mt),EXP(LN(A447)+(LN(A448)-LN(A447))*(R447-CO2_pH_hi_mt)/(R447-R448)),0)</f>
        <v>0.0</v>
      </c>
    </row>
    <row r="448">
      <c r="A448" s="41">
        <f>A447*grid_ratio</f>
        <v>0.051436389875</v>
      </c>
      <c r="B448" s="41">
        <f>MAX(0,A448*60-spg_dur)</f>
        <v>2.436183392524</v>
      </c>
      <c r="C448" s="41">
        <f>k_eff_CO2*B448</f>
        <v>3.537556660751e-05</v>
      </c>
      <c r="D448" s="41">
        <f>EXP(-C448)</f>
        <v>0.999964625059</v>
      </c>
      <c r="E448" s="41">
        <f>IF(C448&gt;0,(1-D448)/C448,1)</f>
        <v>0.999982312426</v>
      </c>
      <c r="F448" s="41">
        <f>IF(C448&gt;0,(C448-1+D448)/C448^2,1/2)</f>
        <v>0.499994065602</v>
      </c>
      <c r="G448" s="41">
        <f>(C_air_CO2/C_sat_CO2*F_vent_ex-CO2_fix_sched)*(B448/3600)/(V_L_CO2+Vg_CO2)</f>
        <v>-0.0004674625183432</v>
      </c>
      <c r="H448" s="41">
        <f>(G448*E448+pool_b*D448)/(1-pool_ret*D448)</f>
        <v>28.039936991402</v>
      </c>
      <c r="I448" s="41">
        <f>MIN(C_sat_CO2,MAX(C_air_CO2,(pool_ret*H448+pool_b)*E448+G448*F448))</f>
        <v>28.040666695634</v>
      </c>
      <c r="J448" s="41">
        <f>IF(AND(I448&gt;=CO2_pH_hi_mt,I449&lt;CO2_pH_hi_mt),EXP(LN(A448)+(LN(A449)-LN(A448))*(I448-CO2_pH_hi_mt)/(I448-I449)),0)</f>
        <v>0.0</v>
      </c>
      <c r="L448" s="41">
        <f>k_eff_CO2_l*B448</f>
        <v>0.0001769355075675</v>
      </c>
      <c r="M448" s="41">
        <f>EXP(-L448)</f>
        <v>0.999823080145</v>
      </c>
      <c r="N448" s="41">
        <f>IF(L448&gt;0,(1-M448)/L448,1)</f>
        <v>0.999911537464</v>
      </c>
      <c r="O448" s="41">
        <f>IF(L448&gt;0,(L448-1+M448)/L448^2,1/2)</f>
        <v>0.499970512788</v>
      </c>
      <c r="P448" s="41">
        <f>(C_air_CO2/C_sat_CO2*F_vent_ex-CO2_fix_l)*(B448/3600)/(V_L_CO2+Vg_CO2)</f>
        <v>4.089003954993e-07</v>
      </c>
      <c r="Q448" s="41">
        <f>(P448*N448+pool_b*M448)/(1-pool_ret*M448)</f>
        <v>28.002163398255</v>
      </c>
      <c r="R448" s="41">
        <f>MIN(C_sat_CO2,MAX(C_air_CO2,(pool_ret*Q448+pool_b)*N448+P448*O448))</f>
        <v>28.004640628406</v>
      </c>
      <c r="S448" s="41">
        <f>IF(AND(R448&gt;=CO2_pH_hi_mt,R449&lt;CO2_pH_hi_mt),EXP(LN(A448)+(LN(A449)-LN(A448))*(R448-CO2_pH_hi_mt)/(R448-R449)),0)</f>
        <v>0.0</v>
      </c>
    </row>
    <row r="449">
      <c r="A449" s="41">
        <f>A448*grid_ratio</f>
        <v>0.057588324627</v>
      </c>
      <c r="B449" s="41">
        <f>MAX(0,A449*60-spg_dur)</f>
        <v>2.805299477628</v>
      </c>
      <c r="C449" s="41">
        <f>k_eff_CO2*B449</f>
        <v>4.073546303179e-05</v>
      </c>
      <c r="D449" s="41">
        <f>EXP(-C449)</f>
        <v>0.999959265367</v>
      </c>
      <c r="E449" s="41">
        <f>IF(C449&gt;0,(1-D449)/C449,1)</f>
        <v>0.999979632545</v>
      </c>
      <c r="F449" s="41">
        <f>IF(C449&gt;0,(C449-1+D449)/C449^2,1/2)</f>
        <v>0.499993248508</v>
      </c>
      <c r="G449" s="41">
        <f>(C_air_CO2/C_sat_CO2*F_vent_ex-CO2_fix_sched)*(B449/3600)/(V_L_CO2+Vg_CO2)</f>
        <v>-0.000538289671682</v>
      </c>
      <c r="H449" s="41">
        <f>(G449*E449+pool_b*D449)/(1-pool_ret*D449)</f>
        <v>28.037548258109</v>
      </c>
      <c r="I449" s="41">
        <f>MIN(C_sat_CO2,MAX(C_air_CO2,(pool_ret*H449+pool_b)*E449+G449*F449))</f>
        <v>28.038388475583</v>
      </c>
      <c r="J449" s="41">
        <f>IF(AND(I449&gt;=CO2_pH_hi_mt,I450&lt;CO2_pH_hi_mt),EXP(LN(A449)+(LN(A450)-LN(A449))*(I449-CO2_pH_hi_mt)/(I449-I450)),0)</f>
        <v>0.0</v>
      </c>
      <c r="L449" s="41">
        <f>k_eff_CO2_l*B449</f>
        <v>0.0002037437281923</v>
      </c>
      <c r="M449" s="41">
        <f>EXP(-L449)</f>
        <v>0.999796277026</v>
      </c>
      <c r="N449" s="41">
        <f>IF(L449&gt;0,(1-M449)/L449,1)</f>
        <v>0.999898135054</v>
      </c>
      <c r="O449" s="41">
        <f>IF(L449&gt;0,(L449-1+M449)/L449^2,1/2)</f>
        <v>0.499966043397</v>
      </c>
      <c r="P449" s="41">
        <f>(C_air_CO2/C_sat_CO2*F_vent_ex-CO2_fix_l)*(B449/3600)/(V_L_CO2+Vg_CO2)</f>
        <v>4.708545626804e-07</v>
      </c>
      <c r="Q449" s="41">
        <f>(P449*N449+pool_b*M449)/(1-pool_ret*M449)</f>
        <v>27.99406743277</v>
      </c>
      <c r="R449" s="41">
        <f>MIN(C_sat_CO2,MAX(C_air_CO2,(pool_ret*Q449+pool_b)*N449+P449*O449))</f>
        <v>27.996919198855</v>
      </c>
      <c r="S449" s="41">
        <f>IF(AND(R449&gt;=CO2_pH_hi_mt,R450&lt;CO2_pH_hi_mt),EXP(LN(A449)+(LN(A450)-LN(A449))*(R449-CO2_pH_hi_mt)/(R449-R450)),0)</f>
        <v>0.0</v>
      </c>
    </row>
    <row r="450">
      <c r="A450" s="41">
        <f>A449*grid_ratio</f>
        <v>0.064476047821</v>
      </c>
      <c r="B450" s="41">
        <f>MAX(0,A450*60-spg_dur)</f>
        <v>3.218562869277</v>
      </c>
      <c r="C450" s="41">
        <f>k_eff_CO2*B450</f>
        <v>4.673641791991e-05</v>
      </c>
      <c r="D450" s="41">
        <f>EXP(-C450)</f>
        <v>0.999953264674</v>
      </c>
      <c r="E450" s="41">
        <f>IF(C450&gt;0,(1-D450)/C450,1)</f>
        <v>0.999976632156</v>
      </c>
      <c r="F450" s="41">
        <f>IF(C450&gt;0,(C450-1+D450)/C450^2,1/2)</f>
        <v>0.499992169507</v>
      </c>
      <c r="G450" s="41">
        <f>(C_air_CO2/C_sat_CO2*F_vent_ex-CO2_fix_sched)*(B450/3600)/(V_L_CO2+Vg_CO2)</f>
        <v>-0.0006175879488116</v>
      </c>
      <c r="H450" s="41">
        <f>(G450*E450+pool_b*D450)/(1-pool_ret*D450)</f>
        <v>28.034874138721</v>
      </c>
      <c r="I450" s="41">
        <f>MIN(C_sat_CO2,MAX(C_air_CO2,(pool_ret*H450+pool_b)*E450+G450*F450))</f>
        <v>28.03583807256</v>
      </c>
      <c r="J450" s="41">
        <f>IF(AND(I450&gt;=CO2_pH_hi_mt,I451&lt;CO2_pH_hi_mt),EXP(LN(A450)+(LN(A451)-LN(A450))*(I450-CO2_pH_hi_mt)/(I450-I451)),0)</f>
        <v>0.0</v>
      </c>
      <c r="L450" s="41">
        <f>k_eff_CO2_l*B450</f>
        <v>0.0002337582862854</v>
      </c>
      <c r="M450" s="41">
        <f>EXP(-L450)</f>
        <v>0.999766269033</v>
      </c>
      <c r="N450" s="41">
        <f>IF(L450&gt;0,(1-M450)/L450,1)</f>
        <v>0.999883129964</v>
      </c>
      <c r="O450" s="41">
        <f>IF(L450&gt;0,(L450-1+M450)/L450^2,1/2)</f>
        <v>0.499961042609</v>
      </c>
      <c r="P450" s="41">
        <f>(C_air_CO2/C_sat_CO2*F_vent_ex-CO2_fix_l)*(B450/3600)/(V_L_CO2+Vg_CO2)</f>
        <v>5.402186199221e-07</v>
      </c>
      <c r="Q450" s="41">
        <f>(P450*N450+pool_b*M450)/(1-pool_ret*M450)</f>
        <v>27.985008463495</v>
      </c>
      <c r="R450" s="41">
        <f>MIN(C_sat_CO2,MAX(C_air_CO2,(pool_ret*Q450+pool_b)*N450+P450*O450))</f>
        <v>27.988279312057</v>
      </c>
      <c r="S450" s="41">
        <f>IF(AND(R450&gt;=CO2_pH_hi_mt,R451&lt;CO2_pH_hi_mt),EXP(LN(A450)+(LN(A451)-LN(A450))*(R450-CO2_pH_hi_mt)/(R450-R451)),0)</f>
        <v>0.0</v>
      </c>
    </row>
    <row r="451">
      <c r="A451" s="41">
        <f>A450*grid_ratio</f>
        <v>0.072187561794</v>
      </c>
      <c r="B451" s="41">
        <f>MAX(0,A451*60-spg_dur)</f>
        <v>3.681253707658</v>
      </c>
      <c r="C451" s="41">
        <f>k_eff_CO2*B451</f>
        <v>5.345510364039e-05</v>
      </c>
      <c r="D451" s="41">
        <f>EXP(-C451)</f>
        <v>0.999946546325</v>
      </c>
      <c r="E451" s="41">
        <f>IF(C451&gt;0,(1-D451)/C451,1)</f>
        <v>0.999973272925</v>
      </c>
      <c r="F451" s="41">
        <f>IF(C451&gt;0,(C451-1+D451)/C451^2,1/2)</f>
        <v>0.499991093894</v>
      </c>
      <c r="G451" s="41">
        <f>(C_air_CO2/C_sat_CO2*F_vent_ex-CO2_fix_sched)*(B451/3600)/(V_L_CO2+Vg_CO2)</f>
        <v>-0.0007063705196098</v>
      </c>
      <c r="H451" s="41">
        <f>(G451*E451+pool_b*D451)/(1-pool_ret*D451)</f>
        <v>28.031880579551</v>
      </c>
      <c r="I451" s="41">
        <f>MIN(C_sat_CO2,MAX(C_air_CO2,(pool_ret*H451+pool_b)*E451+G451*F451))</f>
        <v>28.032983007997</v>
      </c>
      <c r="J451" s="41">
        <f>IF(AND(I451&gt;=CO2_pH_hi_mt,I452&lt;CO2_pH_hi_mt),EXP(LN(A451)+(LN(A452)-LN(A451))*(I451-CO2_pH_hi_mt)/(I451-I452)),0)</f>
        <v>0.0</v>
      </c>
      <c r="L451" s="41">
        <f>k_eff_CO2_l*B451</f>
        <v>0.0002673626686924</v>
      </c>
      <c r="M451" s="41">
        <f>EXP(-L451)</f>
        <v>0.99973267307</v>
      </c>
      <c r="N451" s="41">
        <f>IF(L451&gt;0,(1-M451)/L451,1)</f>
        <v>0.999866330579</v>
      </c>
      <c r="O451" s="41">
        <f>IF(L451&gt;0,(L451-1+M451)/L451^2,1/2)</f>
        <v>0.49995544344</v>
      </c>
      <c r="P451" s="41">
        <f>(C_air_CO2/C_sat_CO2*F_vent_ex-CO2_fix_l)*(B451/3600)/(V_L_CO2+Vg_CO2)</f>
        <v>6.178788106075e-07</v>
      </c>
      <c r="Q451" s="41">
        <f>(P451*N451+pool_b*M451)/(1-pool_ret*M451)</f>
        <v>27.974872648963</v>
      </c>
      <c r="R451" s="41">
        <f>MIN(C_sat_CO2,MAX(C_air_CO2,(pool_ret*Q451+pool_b)*N451+P451*O451))</f>
        <v>27.978612391607</v>
      </c>
      <c r="S451" s="41">
        <f>IF(AND(R451&gt;=CO2_pH_hi_mt,R452&lt;CO2_pH_hi_mt),EXP(LN(A451)+(LN(A452)-LN(A451))*(R451-CO2_pH_hi_mt)/(R451-R452)),0)</f>
        <v>0.0</v>
      </c>
    </row>
    <row r="452">
      <c r="A452" s="41">
        <f>A451*grid_ratio</f>
        <v>0.080821394206</v>
      </c>
      <c r="B452" s="41">
        <f>MAX(0,A452*60-spg_dur)</f>
        <v>4.199283652358</v>
      </c>
      <c r="C452" s="41">
        <f>k_eff_CO2*B452</f>
        <v>6.097736278954e-05</v>
      </c>
      <c r="D452" s="41">
        <f>EXP(-C452)</f>
        <v>0.999939024496</v>
      </c>
      <c r="E452" s="41">
        <f>IF(C452&gt;0,(1-D452)/C452,1)</f>
        <v>0.999969511939</v>
      </c>
      <c r="F452" s="41">
        <f>IF(C452&gt;0,(C452-1+D452)/C452^2,1/2)</f>
        <v>0.499989825555</v>
      </c>
      <c r="G452" s="41">
        <f>(C_air_CO2/C_sat_CO2*F_vent_ex-CO2_fix_sched)*(B452/3600)/(V_L_CO2+Vg_CO2)</f>
        <v>-0.0008057717318788</v>
      </c>
      <c r="H452" s="41">
        <f>(G452*E452+pool_b*D452)/(1-pool_ret*D452)</f>
        <v>28.028529474069</v>
      </c>
      <c r="I452" s="41">
        <f>MIN(C_sat_CO2,MAX(C_air_CO2,(pool_ret*H452+pool_b)*E452+G452*F452))</f>
        <v>28.029786938429</v>
      </c>
      <c r="J452" s="41">
        <f>IF(AND(I452&gt;=CO2_pH_hi_mt,I453&lt;CO2_pH_hi_mt),EXP(LN(A452)+(LN(A453)-LN(A452))*(I452-CO2_pH_hi_mt)/(I452-I453)),0)</f>
        <v>0.0</v>
      </c>
      <c r="L452" s="41">
        <f>k_eff_CO2_l*B452</f>
        <v>0.000304986228348</v>
      </c>
      <c r="M452" s="41">
        <f>EXP(-L452)</f>
        <v>0.999695060275</v>
      </c>
      <c r="N452" s="41">
        <f>IF(L452&gt;0,(1-M452)/L452,1)</f>
        <v>0.999847522387</v>
      </c>
      <c r="O452" s="41">
        <f>IF(L452&gt;0,(L452-1+M452)/L452^2,1/2)</f>
        <v>0.499949173075</v>
      </c>
      <c r="P452" s="41">
        <f>(C_air_CO2/C_sat_CO2*F_vent_ex-CO2_fix_l)*(B452/3600)/(V_L_CO2+Vg_CO2)</f>
        <v>7.048273752838e-07</v>
      </c>
      <c r="Q452" s="41">
        <f>(P452*N452+pool_b*M452)/(1-pool_ret*M452)</f>
        <v>27.96353286828</v>
      </c>
      <c r="R452" s="41">
        <f>MIN(C_sat_CO2,MAX(C_air_CO2,(pool_ret*Q452+pool_b)*N452+P452*O452))</f>
        <v>27.967797195582</v>
      </c>
      <c r="S452" s="41">
        <f>IF(AND(R452&gt;=CO2_pH_hi_mt,R453&lt;CO2_pH_hi_mt),EXP(LN(A452)+(LN(A453)-LN(A452))*(R452-CO2_pH_hi_mt)/(R452-R453)),0)</f>
        <v>0.0</v>
      </c>
    </row>
    <row r="453">
      <c r="A453" s="41">
        <f>A452*grid_ratio</f>
        <v>0.090487856897</v>
      </c>
      <c r="B453" s="41">
        <f>MAX(0,A453*60-spg_dur)</f>
        <v>4.779271413828</v>
      </c>
      <c r="C453" s="41">
        <f>k_eff_CO2*B453</f>
        <v>6.939930497598e-05</v>
      </c>
      <c r="D453" s="41">
        <f>EXP(-C453)</f>
        <v>0.999930603103</v>
      </c>
      <c r="E453" s="41">
        <f>IF(C453&gt;0,(1-D453)/C453,1)</f>
        <v>0.99996530115</v>
      </c>
      <c r="F453" s="41">
        <f>IF(C453&gt;0,(C453-1+D453)/C453^2,1/2)</f>
        <v>0.499988436327</v>
      </c>
      <c r="G453" s="41">
        <f>(C_air_CO2/C_sat_CO2*F_vent_ex-CO2_fix_sched)*(B453/3600)/(V_L_CO2+Vg_CO2)</f>
        <v>-0.0009170616045612</v>
      </c>
      <c r="H453" s="41">
        <f>(G453*E453+pool_b*D453)/(1-pool_ret*D453)</f>
        <v>28.02477818324</v>
      </c>
      <c r="I453" s="41">
        <f>MIN(C_sat_CO2,MAX(C_air_CO2,(pool_ret*H453+pool_b)*E453+G453*F453))</f>
        <v>28.026209197192</v>
      </c>
      <c r="J453" s="41">
        <f>IF(AND(I453&gt;=CO2_pH_hi_mt,I454&lt;CO2_pH_hi_mt),EXP(LN(A453)+(LN(A454)-LN(A453))*(I453-CO2_pH_hi_mt)/(I453-I454)),0)</f>
        <v>0.0</v>
      </c>
      <c r="L453" s="41">
        <f>k_eff_CO2_l*B453</f>
        <v>0.0003471096699877</v>
      </c>
      <c r="M453" s="41">
        <f>EXP(-L453)</f>
        <v>0.999652950566</v>
      </c>
      <c r="N453" s="41">
        <f>IF(L453&gt;0,(1-M453)/L453,1)</f>
        <v>0.999826465244</v>
      </c>
      <c r="O453" s="41">
        <f>IF(L453&gt;0,(L453-1+M453)/L453^2,1/2)</f>
        <v>0.499942153425</v>
      </c>
      <c r="P453" s="41">
        <f>(C_air_CO2/C_sat_CO2*F_vent_ex-CO2_fix_l)*(B453/3600)/(V_L_CO2+Vg_CO2)</f>
        <v>8.02175229217e-07</v>
      </c>
      <c r="Q453" s="41">
        <f>(P453*N453+pool_b*M453)/(1-pool_ret*M453)</f>
        <v>27.950847217141</v>
      </c>
      <c r="R453" s="41">
        <f>MIN(C_sat_CO2,MAX(C_air_CO2,(pool_ret*Q453+pool_b)*N453+P453*O453))</f>
        <v>27.955698382012</v>
      </c>
      <c r="S453" s="41">
        <f>IF(AND(R453&gt;=CO2_pH_hi_mt,R454&lt;CO2_pH_hi_mt),EXP(LN(A453)+(LN(A454)-LN(A453))*(R453-CO2_pH_hi_mt)/(R453-R454)),0)</f>
        <v>0.0</v>
      </c>
    </row>
    <row r="454">
      <c r="A454" s="41">
        <f>A453*grid_ratio</f>
        <v>0.101310455311</v>
      </c>
      <c r="B454" s="41">
        <f>MAX(0,A454*60-spg_dur)</f>
        <v>5.42862731863</v>
      </c>
      <c r="C454" s="41">
        <f>k_eff_CO2*B454</f>
        <v>7.882853478389e-05</v>
      </c>
      <c r="D454" s="41">
        <f>EXP(-C454)</f>
        <v>0.999921174572</v>
      </c>
      <c r="E454" s="41">
        <f>IF(C454&gt;0,(1-D454)/C454,1)</f>
        <v>0.999960586769</v>
      </c>
      <c r="F454" s="41">
        <f>IF(C454&gt;0,(C454-1+D454)/C454^2,1/2)</f>
        <v>0.499986860972</v>
      </c>
      <c r="G454" s="41">
        <f>(C_air_CO2/C_sat_CO2*F_vent_ex-CO2_fix_sched)*(B454/3600)/(V_L_CO2+Vg_CO2)</f>
        <v>-0.001041662054</v>
      </c>
      <c r="H454" s="41">
        <f>(G454*E454+pool_b*D454)/(1-pool_ret*D454)</f>
        <v>28.02057899979</v>
      </c>
      <c r="I454" s="41">
        <f>MIN(C_sat_CO2,MAX(C_air_CO2,(pool_ret*H454+pool_b)*E454+G454*F454))</f>
        <v>28.022204284129</v>
      </c>
      <c r="J454" s="41">
        <f>IF(AND(I454&gt;=CO2_pH_hi_mt,I455&lt;CO2_pH_hi_mt),EXP(LN(A454)+(LN(A455)-LN(A454))*(I454-CO2_pH_hi_mt)/(I454-I455)),0)</f>
        <v>0.0</v>
      </c>
      <c r="L454" s="41">
        <f>k_eff_CO2_l*B454</f>
        <v>0.0003942711919654</v>
      </c>
      <c r="M454" s="41">
        <f>EXP(-L454)</f>
        <v>0.999605806523</v>
      </c>
      <c r="N454" s="41">
        <f>IF(L454&gt;0,(1-M454)/L454,1)</f>
        <v>0.99980289031</v>
      </c>
      <c r="O454" s="41">
        <f>IF(L454&gt;0,(L454-1+M454)/L454^2,1/2)</f>
        <v>0.499934294328</v>
      </c>
      <c r="P454" s="41">
        <f>(C_air_CO2/C_sat_CO2*F_vent_ex-CO2_fix_l)*(B454/3600)/(V_L_CO2+Vg_CO2)</f>
        <v>9.111661562171e-07</v>
      </c>
      <c r="Q454" s="41">
        <f>(P454*N454+pool_b*M454)/(1-pool_ret*M454)</f>
        <v>27.936657344929</v>
      </c>
      <c r="R454" s="41">
        <f>MIN(C_sat_CO2,MAX(C_air_CO2,(pool_ret*Q454+pool_b)*N454+P454*O454))</f>
        <v>27.942164922743</v>
      </c>
      <c r="S454" s="41">
        <f>IF(AND(R454&gt;=CO2_pH_hi_mt,R455&lt;CO2_pH_hi_mt),EXP(LN(A454)+(LN(A455)-LN(A454))*(R454-CO2_pH_hi_mt)/(R454-R455)),0)</f>
        <v>0.0</v>
      </c>
    </row>
    <row r="455">
      <c r="A455" s="41">
        <f>A454*grid_ratio</f>
        <v>0.113427466482</v>
      </c>
      <c r="B455" s="41">
        <f>MAX(0,A455*60-spg_dur)</f>
        <v>6.155647988916</v>
      </c>
      <c r="C455" s="41">
        <f>k_eff_CO2*B455</f>
        <v>8.938552660382e-05</v>
      </c>
      <c r="D455" s="41">
        <f>EXP(-C455)</f>
        <v>0.999910618468</v>
      </c>
      <c r="E455" s="41">
        <f>IF(C455&gt;0,(1-D455)/C455,1)</f>
        <v>0.999955308569</v>
      </c>
      <c r="F455" s="41">
        <f>IF(C455&gt;0,(C455-1+D455)/C455^2,1/2)</f>
        <v>0.499985106033</v>
      </c>
      <c r="G455" s="41">
        <f>(C_air_CO2/C_sat_CO2*F_vent_ex-CO2_fix_sched)*(B455/3600)/(V_L_CO2+Vg_CO2)</f>
        <v>-0.001181165063</v>
      </c>
      <c r="H455" s="41">
        <f>(G455*E455+pool_b*D455)/(1-pool_ret*D455)</f>
        <v>28.015878549986</v>
      </c>
      <c r="I455" s="41">
        <f>MIN(C_sat_CO2,MAX(C_air_CO2,(pool_ret*H455+pool_b)*E455+G455*F455))</f>
        <v>28.017721294454</v>
      </c>
      <c r="J455" s="41">
        <f>IF(AND(I455&gt;=CO2_pH_hi_mt,I456&lt;CO2_pH_hi_mt),EXP(LN(A455)+(LN(A456)-LN(A455))*(I455-CO2_pH_hi_mt)/(I455-I456)),0)</f>
        <v>0.0</v>
      </c>
      <c r="L455" s="41">
        <f>k_eff_CO2_l*B455</f>
        <v>0.0004470733626492</v>
      </c>
      <c r="M455" s="41">
        <f>EXP(-L455)</f>
        <v>0.99955302656</v>
      </c>
      <c r="N455" s="41">
        <f>IF(L455&gt;0,(1-M455)/L455,1)</f>
        <v>0.999776496627</v>
      </c>
      <c r="O455" s="41">
        <f>IF(L455&gt;0,(L455-1+M455)/L455^2,1/2)</f>
        <v>0.499925496061</v>
      </c>
      <c r="P455" s="41">
        <f>(C_air_CO2/C_sat_CO2*F_vent_ex-CO2_fix_l)*(B455/3600)/(V_L_CO2+Vg_CO2)</f>
        <v>1.033192700084e-06</v>
      </c>
      <c r="Q455" s="41">
        <f>(P455*N455+pool_b*M455)/(1-pool_ret*M455)</f>
        <v>27.92078661905</v>
      </c>
      <c r="R455" s="41">
        <f>MIN(C_sat_CO2,MAX(C_air_CO2,(pool_ret*Q455+pool_b)*N455+P455*O455))</f>
        <v>27.927028352569</v>
      </c>
      <c r="S455" s="41">
        <f>IF(AND(R455&gt;=CO2_pH_hi_mt,R456&lt;CO2_pH_hi_mt),EXP(LN(A455)+(LN(A456)-LN(A455))*(R455-CO2_pH_hi_mt)/(R455-R456)),0)</f>
        <v>0.0</v>
      </c>
    </row>
    <row r="456">
      <c r="A456" s="41">
        <f>A455*grid_ratio</f>
        <v>0.126993705764</v>
      </c>
      <c r="B456" s="41">
        <f>MAX(0,A456*60-spg_dur)</f>
        <v>6.969622345835</v>
      </c>
      <c r="C456" s="41">
        <f>k_eff_CO2*B456</f>
        <v>0.0001012051638973</v>
      </c>
      <c r="D456" s="41">
        <f>EXP(-C456)</f>
        <v>0.999898799957</v>
      </c>
      <c r="E456" s="41">
        <f>IF(C456&gt;0,(1-D456)/C456,1)</f>
        <v>0.999949399125</v>
      </c>
      <c r="F456" s="41">
        <f>IF(C456&gt;0,(C456-1+D456)/C456^2,1/2)</f>
        <v>0.499983139027</v>
      </c>
      <c r="G456" s="41">
        <f>(C_air_CO2/C_sat_CO2*F_vent_ex-CO2_fix_sched)*(B456/3600)/(V_L_CO2+Vg_CO2)</f>
        <v>-0.001337353019</v>
      </c>
      <c r="H456" s="41">
        <f>(G456*E456+pool_b*D456)/(1-pool_ret*D456)</f>
        <v>28.010617125888</v>
      </c>
      <c r="I456" s="41">
        <f>MIN(C_sat_CO2,MAX(C_air_CO2,(pool_ret*H456+pool_b)*E456+G456*F456))</f>
        <v>28.012703282311</v>
      </c>
      <c r="J456" s="41">
        <f>IF(AND(I456&gt;=CO2_pH_hi_mt,I457&lt;CO2_pH_hi_mt),EXP(LN(A456)+(LN(A457)-LN(A456))*(I456-CO2_pH_hi_mt)/(I456-I457)),0)</f>
        <v>0.0</v>
      </c>
      <c r="L456" s="41">
        <f>k_eff_CO2_l*B456</f>
        <v>0.0005061908192538</v>
      </c>
      <c r="M456" s="41">
        <f>EXP(-L456)</f>
        <v>0.999493937274</v>
      </c>
      <c r="N456" s="41">
        <f>IF(L456&gt;0,(1-M456)/L456,1)</f>
        <v>0.99974694729</v>
      </c>
      <c r="O456" s="41">
        <f>IF(L456&gt;0,(L456-1+M456)/L456^2,1/2)</f>
        <v>0.499915645568</v>
      </c>
      <c r="P456" s="41">
        <f>(C_air_CO2/C_sat_CO2*F_vent_ex-CO2_fix_l)*(B456/3600)/(V_L_CO2+Vg_CO2)</f>
        <v>1.169813956715e-06</v>
      </c>
      <c r="Q456" s="41">
        <f>(P456*N456+pool_b*M456)/(1-pool_ret*M456)</f>
        <v>27.90303810225</v>
      </c>
      <c r="R456" s="41">
        <f>MIN(C_sat_CO2,MAX(C_air_CO2,(pool_ret*Q456+pool_b)*N456+P456*O456))</f>
        <v>27.910100839851</v>
      </c>
      <c r="S456" s="41">
        <f>IF(AND(R456&gt;=CO2_pH_hi_mt,R457&lt;CO2_pH_hi_mt),EXP(LN(A456)+(LN(A457)-LN(A456))*(R456-CO2_pH_hi_mt)/(R456-R457)),0)</f>
        <v>0.0</v>
      </c>
    </row>
    <row r="457">
      <c r="A457" s="41">
        <f>A456*grid_ratio</f>
        <v>0.142182504854</v>
      </c>
      <c r="B457" s="41">
        <f>MAX(0,A457*60-spg_dur)</f>
        <v>7.880950291244</v>
      </c>
      <c r="C457" s="41">
        <f>k_eff_CO2*B457</f>
        <v>0.0001144384625615</v>
      </c>
      <c r="D457" s="41">
        <f>EXP(-C457)</f>
        <v>0.999885568085</v>
      </c>
      <c r="E457" s="41">
        <f>IF(C457&gt;0,(1-D457)/C457,1)</f>
        <v>0.999942782951</v>
      </c>
      <c r="F457" s="41">
        <f>IF(C457&gt;0,(C457-1+D457)/C457^2,1/2)</f>
        <v>0.499980934066</v>
      </c>
      <c r="G457" s="41">
        <f>(C_air_CO2/C_sat_CO2*F_vent_ex-CO2_fix_sched)*(B457/3600)/(V_L_CO2+Vg_CO2)</f>
        <v>-0.001512221486</v>
      </c>
      <c r="H457" s="41">
        <f>(G457*E457+pool_b*D457)/(1-pool_ret*D457)</f>
        <v>28.004727940249</v>
      </c>
      <c r="I457" s="41">
        <f>MIN(C_sat_CO2,MAX(C_air_CO2,(pool_ret*H457+pool_b)*E457+G457*F457))</f>
        <v>28.007086549945</v>
      </c>
      <c r="J457" s="41">
        <f>IF(AND(I457&gt;=CO2_pH_hi_mt,I458&lt;CO2_pH_hi_mt),EXP(LN(A457)+(LN(A458)-LN(A457))*(I457-CO2_pH_hi_mt)/(I457-I458)),0)</f>
        <v>0.0</v>
      </c>
      <c r="L457" s="41">
        <f>k_eff_CO2_l*B457</f>
        <v>0.000572378887474</v>
      </c>
      <c r="M457" s="41">
        <f>EXP(-L457)</f>
        <v>0.99942778489</v>
      </c>
      <c r="N457" s="41">
        <f>IF(L457&gt;0,(1-M457)/L457,1)</f>
        <v>0.999713865151</v>
      </c>
      <c r="O457" s="41">
        <f>IF(L457&gt;0,(L457-1+M457)/L457^2,1/2)</f>
        <v>0.499904617456</v>
      </c>
      <c r="P457" s="41">
        <f>(C_air_CO2/C_sat_CO2*F_vent_ex-CO2_fix_l)*(B457/3600)/(V_L_CO2+Vg_CO2)</f>
        <v>1.322775494197e-06</v>
      </c>
      <c r="Q457" s="41">
        <f>(P457*N457+pool_b*M457)/(1-pool_ret*M457)</f>
        <v>27.883192328466</v>
      </c>
      <c r="R457" s="41">
        <f>MIN(C_sat_CO2,MAX(C_air_CO2,(pool_ret*Q457+pool_b)*N457+P457*O457))</f>
        <v>27.891173064973</v>
      </c>
      <c r="S457" s="41">
        <f>IF(AND(R457&gt;=CO2_pH_hi_mt,R458&lt;CO2_pH_hi_mt),EXP(LN(A457)+(LN(A458)-LN(A457))*(R457-CO2_pH_hi_mt)/(R457-R458)),0)</f>
        <v>0.0</v>
      </c>
    </row>
    <row r="458">
      <c r="A458" s="41">
        <f>A457*grid_ratio</f>
        <v>0.159187926401</v>
      </c>
      <c r="B458" s="41">
        <f>MAX(0,A458*60-spg_dur)</f>
        <v>8.901275584079</v>
      </c>
      <c r="C458" s="41">
        <f>k_eff_CO2*B458</f>
        <v>0.0001292545004135</v>
      </c>
      <c r="D458" s="41">
        <f>EXP(-C458)</f>
        <v>0.999870753853</v>
      </c>
      <c r="E458" s="41">
        <f>IF(C458&gt;0,(1-D458)/C458,1)</f>
        <v>0.999935375534</v>
      </c>
      <c r="F458" s="41">
        <f>IF(C458&gt;0,(C458-1+D458)/C458^2,1/2)</f>
        <v>0.49997845948</v>
      </c>
      <c r="G458" s="41">
        <f>(C_air_CO2/C_sat_CO2*F_vent_ex-CO2_fix_sched)*(B458/3600)/(V_L_CO2+Vg_CO2)</f>
        <v>-0.001708004707</v>
      </c>
      <c r="H458" s="41">
        <f>(G458*E458+pool_b*D458)/(1-pool_ret*D458)</f>
        <v>27.998136295439</v>
      </c>
      <c r="I458" s="41">
        <f>MIN(C_sat_CO2,MAX(C_air_CO2,(pool_ret*H458+pool_b)*E458+G458*F458))</f>
        <v>28.000799855097</v>
      </c>
      <c r="J458" s="41">
        <f>IF(AND(I458&gt;=CO2_pH_hi_mt,I459&lt;CO2_pH_hi_mt),EXP(LN(A458)+(LN(A459)-LN(A458))*(I458-CO2_pH_hi_mt)/(I458-I459)),0)</f>
        <v>0.0</v>
      </c>
      <c r="L458" s="41">
        <f>k_eff_CO2_l*B458</f>
        <v>0.0006464832320508</v>
      </c>
      <c r="M458" s="41">
        <f>EXP(-L458)</f>
        <v>0.999353725693</v>
      </c>
      <c r="N458" s="41">
        <f>IF(L458&gt;0,(1-M458)/L458,1)</f>
        <v>0.999676828029</v>
      </c>
      <c r="O458" s="41">
        <f>IF(L458&gt;0,(L458-1+M458)/L458^2,1/2)</f>
        <v>0.499892270137</v>
      </c>
      <c r="P458" s="41">
        <f>(C_air_CO2/C_sat_CO2*F_vent_ex-CO2_fix_l)*(B458/3600)/(V_L_CO2+Vg_CO2)</f>
        <v>1.494031655395e-06</v>
      </c>
      <c r="Q458" s="41">
        <f>(P458*N458+pool_b*M458)/(1-pool_ret*M458)</f>
        <v>27.861004862968</v>
      </c>
      <c r="R458" s="41">
        <f>MIN(C_sat_CO2,MAX(C_air_CO2,(pool_ret*Q458+pool_b)*N458+P458*O458))</f>
        <v>27.870011893048</v>
      </c>
      <c r="S458" s="41">
        <f>IF(AND(R458&gt;=CO2_pH_hi_mt,R459&lt;CO2_pH_hi_mt),EXP(LN(A458)+(LN(A459)-LN(A458))*(R458-CO2_pH_hi_mt)/(R458-R459)),0)</f>
        <v>0.0</v>
      </c>
    </row>
    <row r="459">
      <c r="A459" s="41">
        <f>A458*grid_ratio</f>
        <v>0.178227243485</v>
      </c>
      <c r="B459" s="41">
        <f>MAX(0,A459*60-spg_dur)</f>
        <v>10.043634609108</v>
      </c>
      <c r="C459" s="41">
        <f>k_eff_CO2*B459</f>
        <v>0.0001458425774456</v>
      </c>
      <c r="D459" s="41">
        <f>EXP(-C459)</f>
        <v>0.999854168057</v>
      </c>
      <c r="E459" s="41">
        <f>IF(C459&gt;0,(1-D459)/C459,1)</f>
        <v>0.999927082256</v>
      </c>
      <c r="F459" s="41">
        <f>IF(C459&gt;0,(C459-1+D459)/C459^2,1/2)</f>
        <v>0.499975694362</v>
      </c>
      <c r="G459" s="41">
        <f>(C_air_CO2/C_sat_CO2*F_vent_ex-CO2_fix_sched)*(B459/3600)/(V_L_CO2+Vg_CO2)</f>
        <v>-0.001927204143</v>
      </c>
      <c r="H459" s="41">
        <f>(G459*E459+pool_b*D459)/(1-pool_ret*D459)</f>
        <v>27.990758656922</v>
      </c>
      <c r="I459" s="41">
        <f>MIN(C_sat_CO2,MAX(C_air_CO2,(pool_ret*H459+pool_b)*E459+G459*F459))</f>
        <v>27.993763527269</v>
      </c>
      <c r="J459" s="41">
        <f>IF(AND(I459&gt;=CO2_pH_hi_mt,I460&lt;CO2_pH_hi_mt),EXP(LN(A459)+(LN(A460)-LN(A459))*(I459-CO2_pH_hi_mt)/(I459-I460)),0)</f>
        <v>0.0</v>
      </c>
      <c r="L459" s="41">
        <f>k_eff_CO2_l*B459</f>
        <v>0.0007294506615711</v>
      </c>
      <c r="M459" s="41">
        <f>EXP(-L459)</f>
        <v>0.999270815323</v>
      </c>
      <c r="N459" s="41">
        <f>IF(L459&gt;0,(1-M459)/L459,1)</f>
        <v>0.999635363336</v>
      </c>
      <c r="O459" s="41">
        <f>IF(L459&gt;0,(L459-1+M459)/L459^2,1/2)</f>
        <v>0.499878446982</v>
      </c>
      <c r="P459" s="41">
        <f>(C_air_CO2/C_sat_CO2*F_vent_ex-CO2_fix_l)*(B459/3600)/(V_L_CO2+Vg_CO2)</f>
        <v>1.685770527998e-06</v>
      </c>
      <c r="Q459" s="41">
        <f>(P459*N459+pool_b*M459)/(1-pool_ret*M459)</f>
        <v>27.836203633125</v>
      </c>
      <c r="R459" s="41">
        <f>MIN(C_sat_CO2,MAX(C_air_CO2,(pool_ret*Q459+pool_b)*N459+P459*O459))</f>
        <v>27.846357827662</v>
      </c>
      <c r="S459" s="41">
        <f>IF(AND(R459&gt;=CO2_pH_hi_mt,R460&lt;CO2_pH_hi_mt),EXP(LN(A459)+(LN(A460)-LN(A459))*(R459-CO2_pH_hi_mt)/(R459-R460)),0)</f>
        <v>0.0</v>
      </c>
    </row>
    <row r="460">
      <c r="A460" s="41">
        <f>A459*grid_ratio</f>
        <v>0.199543715647</v>
      </c>
      <c r="B460" s="41">
        <f>MAX(0,A460*60-spg_dur)</f>
        <v>11.322622938838</v>
      </c>
      <c r="C460" s="41">
        <f>k_eff_CO2*B460</f>
        <v>0.0001644146344539</v>
      </c>
      <c r="D460" s="41">
        <f>EXP(-C460)</f>
        <v>0.999835598881</v>
      </c>
      <c r="E460" s="41">
        <f>IF(C460&gt;0,(1-D460)/C460,1)</f>
        <v>0.999917797188</v>
      </c>
      <c r="F460" s="41">
        <f>IF(C460&gt;0,(C460-1+D460)/C460^2,1/2)</f>
        <v>0.499972598431</v>
      </c>
      <c r="G460" s="41">
        <f>(C_air_CO2/C_sat_CO2*F_vent_ex-CO2_fix_sched)*(B460/3600)/(V_L_CO2+Vg_CO2)</f>
        <v>-0.00217262044</v>
      </c>
      <c r="H460" s="41">
        <f>(G460*E460+pool_b*D460)/(1-pool_ret*D460)</f>
        <v>27.982501620827</v>
      </c>
      <c r="I460" s="41">
        <f>MIN(C_sat_CO2,MAX(C_air_CO2,(pool_ret*H460+pool_b)*E460+G460*F460))</f>
        <v>27.985888483057</v>
      </c>
      <c r="J460" s="41">
        <f>IF(AND(I460&gt;=CO2_pH_hi_mt,I461&lt;CO2_pH_hi_mt),EXP(LN(A460)+(LN(A461)-LN(A460))*(I460-CO2_pH_hi_mt)/(I460-I461)),0)</f>
        <v>0.0</v>
      </c>
      <c r="L460" s="41">
        <f>k_eff_CO2_l*B460</f>
        <v>0.0008223412255525</v>
      </c>
      <c r="M460" s="41">
        <f>EXP(-L460)</f>
        <v>0.999177996804</v>
      </c>
      <c r="N460" s="41">
        <f>IF(L460&gt;0,(1-M460)/L460,1)</f>
        <v>0.999588942072</v>
      </c>
      <c r="O460" s="41">
        <f>IF(L460&gt;0,(L460-1+M460)/L460^2,1/2)</f>
        <v>0.499862971309</v>
      </c>
      <c r="P460" s="41">
        <f>(C_air_CO2/C_sat_CO2*F_vent_ex-CO2_fix_l)*(B460/3600)/(V_L_CO2+Vg_CO2)</f>
        <v>1.900441901044e-06</v>
      </c>
      <c r="Q460" s="41">
        <f>(P460*N460+pool_b*M460)/(1-pool_ret*M460)</f>
        <v>27.808486017372</v>
      </c>
      <c r="R460" s="41">
        <f>MIN(C_sat_CO2,MAX(C_air_CO2,(pool_ret*Q460+pool_b)*N460+P460*O460))</f>
        <v>27.819922233996</v>
      </c>
      <c r="S460" s="41">
        <f>IF(AND(R460&gt;=CO2_pH_hi_mt,R461&lt;CO2_pH_hi_mt),EXP(LN(A460)+(LN(A461)-LN(A460))*(R460-CO2_pH_hi_mt)/(R460-R461)),0)</f>
        <v>0.0</v>
      </c>
    </row>
    <row r="461">
      <c r="A461" s="41">
        <f>A460*grid_ratio</f>
        <v>0.223409696945</v>
      </c>
      <c r="B461" s="41">
        <f>MAX(0,A461*60-spg_dur)</f>
        <v>12.754581816691</v>
      </c>
      <c r="C461" s="41">
        <f>k_eff_CO2*B461</f>
        <v>0.0001852079609408</v>
      </c>
      <c r="D461" s="41">
        <f>EXP(-C461)</f>
        <v>0.999814809189</v>
      </c>
      <c r="E461" s="41">
        <f>IF(C461&gt;0,(1-D461)/C461,1)</f>
        <v>0.999907401736</v>
      </c>
      <c r="F461" s="41">
        <f>IF(C461&gt;0,(C461-1+D461)/C461^2,1/2)</f>
        <v>0.499969132543</v>
      </c>
      <c r="G461" s="41">
        <f>(C_air_CO2/C_sat_CO2*F_vent_ex-CO2_fix_sched)*(B461/3600)/(V_L_CO2+Vg_CO2)</f>
        <v>-0.002447389205</v>
      </c>
      <c r="H461" s="41">
        <f>(G461*E461+pool_b*D461)/(1-pool_ret*D461)</f>
        <v>27.973260764213</v>
      </c>
      <c r="I461" s="41">
        <f>MIN(C_sat_CO2,MAX(C_air_CO2,(pool_ret*H461+pool_b)*E461+G461*F461))</f>
        <v>27.977075129596</v>
      </c>
      <c r="J461" s="41">
        <f>IF(AND(I461&gt;=CO2_pH_hi_mt,I462&lt;CO2_pH_hi_mt),EXP(LN(A461)+(LN(A462)-LN(A461))*(I461-CO2_pH_hi_mt)/(I461-I462)),0)</f>
        <v>0.0</v>
      </c>
      <c r="L461" s="41">
        <f>k_eff_CO2_l*B461</f>
        <v>0.0009263417583721</v>
      </c>
      <c r="M461" s="41">
        <f>EXP(-L461)</f>
        <v>0.999074087164</v>
      </c>
      <c r="N461" s="41">
        <f>IF(L461&gt;0,(1-M461)/L461,1)</f>
        <v>0.999536972106</v>
      </c>
      <c r="O461" s="41">
        <f>IF(L461&gt;0,(L461-1+M461)/L461^2,1/2)</f>
        <v>0.499845645475</v>
      </c>
      <c r="P461" s="41">
        <f>(C_air_CO2/C_sat_CO2*F_vent_ex-CO2_fix_l)*(B461/3600)/(V_L_CO2+Vg_CO2)</f>
        <v>2.140788565129e-06</v>
      </c>
      <c r="Q461" s="41">
        <f>(P461*N461+pool_b*M461)/(1-pool_ret*M461)</f>
        <v>27.777515681928</v>
      </c>
      <c r="R461" s="41">
        <f>MIN(C_sat_CO2,MAX(C_air_CO2,(pool_ret*Q461+pool_b)*N461+P461*O461))</f>
        <v>27.790384321174</v>
      </c>
      <c r="S461" s="41">
        <f>IF(AND(R461&gt;=CO2_pH_hi_mt,R462&lt;CO2_pH_hi_mt),EXP(LN(A461)+(LN(A462)-LN(A461))*(R461-CO2_pH_hi_mt)/(R461-R462)),0)</f>
        <v>0.0</v>
      </c>
    </row>
    <row r="462">
      <c r="A462" s="41">
        <f>A461*grid_ratio</f>
        <v>0.250130115735</v>
      </c>
      <c r="B462" s="41">
        <f>MAX(0,A462*60-spg_dur)</f>
        <v>14.357806944082</v>
      </c>
      <c r="C462" s="41">
        <f>k_eff_CO2*B462</f>
        <v>0.0002084882268908</v>
      </c>
      <c r="D462" s="41">
        <f>EXP(-C462)</f>
        <v>0.999791533505</v>
      </c>
      <c r="E462" s="41">
        <f>IF(C462&gt;0,(1-D462)/C462,1)</f>
        <v>0.999895763131</v>
      </c>
      <c r="F462" s="41">
        <f>IF(C462&gt;0,(C462-1+D462)/C462^2,1/2)</f>
        <v>0.499965254269</v>
      </c>
      <c r="G462" s="41">
        <f>(C_air_CO2/C_sat_CO2*F_vent_ex-CO2_fix_sched)*(B462/3600)/(V_L_CO2+Vg_CO2)</f>
        <v>-0.002755021076</v>
      </c>
      <c r="H462" s="41">
        <f>(G462*E462+pool_b*D462)/(1-pool_ret*D462)</f>
        <v>27.962919365507</v>
      </c>
      <c r="I462" s="41">
        <f>MIN(C_sat_CO2,MAX(C_air_CO2,(pool_ret*H462+pool_b)*E462+G462*F462))</f>
        <v>27.967212144111</v>
      </c>
      <c r="J462" s="41">
        <f>IF(AND(I462&gt;=CO2_pH_hi_mt,I463&lt;CO2_pH_hi_mt),EXP(LN(A462)+(LN(A463)-LN(A462))*(I462-CO2_pH_hi_mt)/(I462-I463)),0)</f>
        <v>0.0</v>
      </c>
      <c r="L462" s="41">
        <f>k_eff_CO2_l*B462</f>
        <v>0.001042781043</v>
      </c>
      <c r="M462" s="41">
        <f>EXP(-L462)</f>
        <v>0.998957762464</v>
      </c>
      <c r="N462" s="41">
        <f>IF(L462&gt;0,(1-M462)/L462,1)</f>
        <v>0.999478790663</v>
      </c>
      <c r="O462" s="41">
        <f>IF(L462&gt;0,(L462-1+M462)/L462^2,1/2)</f>
        <v>0.49982624853</v>
      </c>
      <c r="P462" s="41">
        <f>(C_air_CO2/C_sat_CO2*F_vent_ex-CO2_fix_l)*(B462/3600)/(V_L_CO2+Vg_CO2)</f>
        <v>2.409881356204e-06</v>
      </c>
      <c r="Q462" s="41">
        <f>(P462*N462+pool_b*M462)/(1-pool_ret*M462)</f>
        <v>27.742919157814</v>
      </c>
      <c r="R462" s="41">
        <f>MIN(C_sat_CO2,MAX(C_air_CO2,(pool_ret*Q462+pool_b)*N462+P462*O462))</f>
        <v>27.757387876759</v>
      </c>
      <c r="S462" s="41">
        <f>IF(AND(R462&gt;=CO2_pH_hi_mt,R463&lt;CO2_pH_hi_mt),EXP(LN(A462)+(LN(A463)-LN(A462))*(R462-CO2_pH_hi_mt)/(R462-R463)),0)</f>
        <v>0.0</v>
      </c>
    </row>
    <row r="463">
      <c r="A463" s="41">
        <f>A462*grid_ratio</f>
        <v>0.28004637065</v>
      </c>
      <c r="B463" s="41">
        <f>MAX(0,A463*60-spg_dur)</f>
        <v>16.152782239009</v>
      </c>
      <c r="C463" s="41">
        <f>k_eff_CO2*B463</f>
        <v>0.0002345528771545</v>
      </c>
      <c r="D463" s="41">
        <f>EXP(-C463)</f>
        <v>0.999765474628</v>
      </c>
      <c r="E463" s="41">
        <f>IF(C463&gt;0,(1-D463)/C463,1)</f>
        <v>0.99988273273</v>
      </c>
      <c r="F463" s="41">
        <f>IF(C463&gt;0,(C463-1+D463)/C463^2,1/2)</f>
        <v>0.499960909644</v>
      </c>
      <c r="G463" s="41">
        <f>(C_air_CO2/C_sat_CO2*F_vent_ex-CO2_fix_sched)*(B463/3600)/(V_L_CO2+Vg_CO2)</f>
        <v>-0.003099446572</v>
      </c>
      <c r="H463" s="41">
        <f>(G463*E463+pool_b*D463)/(1-pool_ret*D463)</f>
        <v>27.951346981546</v>
      </c>
      <c r="I463" s="41">
        <f>MIN(C_sat_CO2,MAX(C_air_CO2,(pool_ret*H463+pool_b)*E463+G463*F463))</f>
        <v>27.956175116735</v>
      </c>
      <c r="J463" s="41">
        <f>IF(AND(I463&gt;=CO2_pH_hi_mt,I464&lt;CO2_pH_hi_mt),EXP(LN(A463)+(LN(A464)-LN(A463))*(I463-CO2_pH_hi_mt)/(I463-I464)),0)</f>
        <v>0.0</v>
      </c>
      <c r="L463" s="41">
        <f>k_eff_CO2_l*B463</f>
        <v>0.001173146789</v>
      </c>
      <c r="M463" s="41">
        <f>EXP(-L463)</f>
        <v>0.998827541079</v>
      </c>
      <c r="N463" s="41">
        <f>IF(L463&gt;0,(1-M463)/L463,1)</f>
        <v>0.999413655917</v>
      </c>
      <c r="O463" s="41">
        <f>IF(L463&gt;0,(L463-1+M463)/L463^2,1/2)</f>
        <v>0.499804532868</v>
      </c>
      <c r="P463" s="41">
        <f>(C_air_CO2/C_sat_CO2*F_vent_ex-CO2_fix_l)*(B463/3600)/(V_L_CO2+Vg_CO2)</f>
        <v>2.711158390708e-06</v>
      </c>
      <c r="Q463" s="41">
        <f>(P463*N463+pool_b*M463)/(1-pool_ret*M463)</f>
        <v>27.704282154947</v>
      </c>
      <c r="R463" s="41">
        <f>MIN(C_sat_CO2,MAX(C_air_CO2,(pool_ret*Q463+pool_b)*N463+P463*O463))</f>
        <v>27.720537750303</v>
      </c>
      <c r="S463" s="41">
        <f>IF(AND(R463&gt;=CO2_pH_hi_mt,R464&lt;CO2_pH_hi_mt),EXP(LN(A463)+(LN(A464)-LN(A463))*(R463-CO2_pH_hi_mt)/(R463-R464)),0)</f>
        <v>0.0</v>
      </c>
    </row>
    <row r="464">
      <c r="A464" s="41">
        <f>A463*grid_ratio</f>
        <v>0.313540692547</v>
      </c>
      <c r="B464" s="41">
        <f>MAX(0,A464*60-spg_dur)</f>
        <v>18.16244155282</v>
      </c>
      <c r="C464" s="41">
        <f>k_eff_CO2*B464</f>
        <v>0.0002637349318111</v>
      </c>
      <c r="D464" s="41">
        <f>EXP(-C464)</f>
        <v>0.999736299843</v>
      </c>
      <c r="E464" s="41">
        <f>IF(C464&gt;0,(1-D464)/C464,1)</f>
        <v>0.999868144126</v>
      </c>
      <c r="F464" s="41">
        <f>IF(C464&gt;0,(C464-1+D464)/C464^2,1/2)</f>
        <v>0.499956046294</v>
      </c>
      <c r="G464" s="41">
        <f>(C_air_CO2/C_sat_CO2*F_vent_ex-CO2_fix_sched)*(B464/3600)/(V_L_CO2+Vg_CO2)</f>
        <v>-0.003485066311</v>
      </c>
      <c r="H464" s="41">
        <f>(G464*E464+pool_b*D464)/(1-pool_ret*D464)</f>
        <v>27.938397866434</v>
      </c>
      <c r="I464" s="41">
        <f>MIN(C_sat_CO2,MAX(C_air_CO2,(pool_ret*H464+pool_b)*E464+G464*F464))</f>
        <v>27.943825042427</v>
      </c>
      <c r="J464" s="41">
        <f>IF(AND(I464&gt;=CO2_pH_hi_mt,I465&lt;CO2_pH_hi_mt),EXP(LN(A464)+(LN(A465)-LN(A464))*(I464-CO2_pH_hi_mt)/(I464-I465)),0)</f>
        <v>0.0</v>
      </c>
      <c r="L464" s="41">
        <f>k_eff_CO2_l*B464</f>
        <v>0.001319104639</v>
      </c>
      <c r="M464" s="41">
        <f>EXP(-L464)</f>
        <v>0.998681764997</v>
      </c>
      <c r="N464" s="41">
        <f>IF(L464&gt;0,(1-M464)/L464,1)</f>
        <v>0.999340737591</v>
      </c>
      <c r="O464" s="41">
        <f>IF(L464&gt;0,(L464-1+M464)/L464^2,1/2)</f>
        <v>0.499780221663</v>
      </c>
      <c r="P464" s="41">
        <f>(C_air_CO2/C_sat_CO2*F_vent_ex-CO2_fix_l)*(B464/3600)/(V_L_CO2+Vg_CO2)</f>
        <v>3.048468993332e-06</v>
      </c>
      <c r="Q464" s="41">
        <f>(P464*N464+pool_b*M464)/(1-pool_ret*M464)</f>
        <v>27.661145615928</v>
      </c>
      <c r="R464" s="41">
        <f>MIN(C_sat_CO2,MAX(C_air_CO2,(pool_ret*Q464+pool_b)*N464+P464*O464))</f>
        <v>27.679396088326</v>
      </c>
      <c r="S464" s="41">
        <f>IF(AND(R464&gt;=CO2_pH_hi_mt,R465&lt;CO2_pH_hi_mt),EXP(LN(A464)+(LN(A465)-LN(A464))*(R464-CO2_pH_hi_mt)/(R464-R465)),0)</f>
        <v>0.0</v>
      </c>
    </row>
    <row r="465">
      <c r="A465" s="41">
        <f>A464*grid_ratio</f>
        <v>0.351041028151</v>
      </c>
      <c r="B465" s="41">
        <f>MAX(0,A465*60-spg_dur)</f>
        <v>20.412461689031</v>
      </c>
      <c r="C465" s="41">
        <f>k_eff_CO2*B465</f>
        <v>0.0002964072410638</v>
      </c>
      <c r="D465" s="41">
        <f>EXP(-C465)</f>
        <v>0.999703636683</v>
      </c>
      <c r="E465" s="41">
        <f>IF(C465&gt;0,(1-D465)/C465,1)</f>
        <v>0.999851811021</v>
      </c>
      <c r="F465" s="41">
        <f>IF(C465&gt;0,(C465-1+D465)/C465^2,1/2)</f>
        <v>0.499950602163</v>
      </c>
      <c r="G465" s="41">
        <f>(C_air_CO2/C_sat_CO2*F_vent_ex-CO2_fix_sched)*(B465/3600)/(V_L_CO2+Vg_CO2)</f>
        <v>-0.003916807239</v>
      </c>
      <c r="H465" s="41">
        <f>(G465*E465+pool_b*D465)/(1-pool_ret*D465)</f>
        <v>27.923909216325</v>
      </c>
      <c r="I465" s="41">
        <f>MIN(C_sat_CO2,MAX(C_air_CO2,(pool_ret*H465+pool_b)*E465+G465*F465))</f>
        <v>27.930006646815</v>
      </c>
      <c r="J465" s="41">
        <f>IF(AND(I465&gt;=CO2_pH_hi_mt,I466&lt;CO2_pH_hi_mt),EXP(LN(A465)+(LN(A466)-LN(A465))*(I465-CO2_pH_hi_mt)/(I465-I466)),0)</f>
        <v>0.0</v>
      </c>
      <c r="L465" s="41">
        <f>k_eff_CO2_l*B465</f>
        <v>0.001482519453</v>
      </c>
      <c r="M465" s="41">
        <f>EXP(-L465)</f>
        <v>0.998518578936</v>
      </c>
      <c r="N465" s="41">
        <f>IF(L465&gt;0,(1-M465)/L465,1)</f>
        <v>0.999259106449</v>
      </c>
      <c r="O465" s="41">
        <f>IF(L465&gt;0,(L465-1+M465)/L465^2,1/2)</f>
        <v>0.499753004995</v>
      </c>
      <c r="P465" s="41">
        <f>(C_air_CO2/C_sat_CO2*F_vent_ex-CO2_fix_l)*(B465/3600)/(V_L_CO2+Vg_CO2)</f>
        <v>3.426122878668e-06</v>
      </c>
      <c r="Q465" s="41">
        <f>(P465*N465+pool_b*M465)/(1-pool_ret*M465)</f>
        <v>27.613001519876</v>
      </c>
      <c r="R465" s="41">
        <f>MIN(C_sat_CO2,MAX(C_air_CO2,(pool_ret*Q465+pool_b)*N465+P465*O465))</f>
        <v>27.633478330604</v>
      </c>
      <c r="S465" s="41">
        <f>IF(AND(R465&gt;=CO2_pH_hi_mt,R466&lt;CO2_pH_hi_mt),EXP(LN(A465)+(LN(A466)-LN(A465))*(R465-CO2_pH_hi_mt)/(R465-R466)),0)</f>
        <v>0.0</v>
      </c>
    </row>
    <row r="466">
      <c r="A466" s="41">
        <f>A465*grid_ratio</f>
        <v>0.3930265078</v>
      </c>
      <c r="B466" s="41">
        <f>MAX(0,A466*60-spg_dur)</f>
        <v>22.931590468007</v>
      </c>
      <c r="C466" s="41">
        <f>k_eff_CO2*B466</f>
        <v>0.0003329872490332</v>
      </c>
      <c r="D466" s="41">
        <f>EXP(-C466)</f>
        <v>0.999667068185</v>
      </c>
      <c r="E466" s="41">
        <f>IF(C466&gt;0,(1-D466)/C466,1)</f>
        <v>0.999833524854</v>
      </c>
      <c r="F466" s="41">
        <f>IF(C466&gt;0,(C466-1+D466)/C466^2,1/2)</f>
        <v>0.49994450653</v>
      </c>
      <c r="G466" s="41">
        <f>(C_air_CO2/C_sat_CO2*F_vent_ex-CO2_fix_sched)*(B466/3600)/(V_L_CO2+Vg_CO2)</f>
        <v>-0.004400185578</v>
      </c>
      <c r="H466" s="41">
        <f>(G466*E466+pool_b*D466)/(1-pool_ret*D466)</f>
        <v>27.907699223007</v>
      </c>
      <c r="I466" s="41">
        <f>MIN(C_sat_CO2,MAX(C_air_CO2,(pool_ret*H466+pool_b)*E466+G466*F466))</f>
        <v>27.914546529794</v>
      </c>
      <c r="J466" s="41">
        <f>IF(AND(I466&gt;=CO2_pH_hi_mt,I467&lt;CO2_pH_hi_mt),EXP(LN(A466)+(LN(A467)-LN(A466))*(I466-CO2_pH_hi_mt)/(I466-I467)),0)</f>
        <v>0.0</v>
      </c>
      <c r="L466" s="41">
        <f>k_eff_CO2_l*B466</f>
        <v>0.001665479131</v>
      </c>
      <c r="M466" s="41">
        <f>EXP(-L466)</f>
        <v>0.99833590701</v>
      </c>
      <c r="N466" s="41">
        <f>IF(L466&gt;0,(1-M466)/L466,1)</f>
        <v>0.999167722546</v>
      </c>
      <c r="O466" s="41">
        <f>IF(L466&gt;0,(L466-1+M466)/L466^2,1/2)</f>
        <v>0.499722535674</v>
      </c>
      <c r="P466" s="41">
        <f>(C_air_CO2/C_sat_CO2*F_vent_ex-CO2_fix_l)*(B466/3600)/(V_L_CO2+Vg_CO2)</f>
        <v>3.848945215114e-06</v>
      </c>
      <c r="Q466" s="41">
        <f>(P466*N466+pool_b*M466)/(1-pool_ret*M466)</f>
        <v>27.559288456815</v>
      </c>
      <c r="R466" s="41">
        <f>MIN(C_sat_CO2,MAX(C_air_CO2,(pool_ret*Q466+pool_b)*N466+P466*O466))</f>
        <v>27.582248987226</v>
      </c>
      <c r="S466" s="41">
        <f>IF(AND(R466&gt;=CO2_pH_hi_mt,R467&lt;CO2_pH_hi_mt),EXP(LN(A466)+(LN(A467)-LN(A466))*(R466-CO2_pH_hi_mt)/(R466-R467)),0)</f>
        <v>0.0</v>
      </c>
    </row>
    <row r="467">
      <c r="A467" s="41">
        <f>A466*grid_ratio</f>
        <v>0.440033567151</v>
      </c>
      <c r="B467" s="41">
        <f>MAX(0,A467*60-spg_dur)</f>
        <v>25.752014029082</v>
      </c>
      <c r="C467" s="41">
        <f>k_eff_CO2*B467</f>
        <v>0.0003739423273136</v>
      </c>
      <c r="D467" s="41">
        <f>EXP(-C467)</f>
        <v>0.99962612758</v>
      </c>
      <c r="E467" s="41">
        <f>IF(C467&gt;0,(1-D467)/C467,1)</f>
        <v>0.99981305214</v>
      </c>
      <c r="F467" s="41">
        <f>IF(C467&gt;0,(C467-1+D467)/C467^2,1/2)</f>
        <v>0.499937681813</v>
      </c>
      <c r="G467" s="41">
        <f>(C_air_CO2/C_sat_CO2*F_vent_ex-CO2_fix_sched)*(B467/3600)/(V_L_CO2+Vg_CO2)</f>
        <v>-0.004941377307</v>
      </c>
      <c r="H467" s="41">
        <f>(G467*E467+pool_b*D467)/(1-pool_ret*D467)</f>
        <v>27.889564918088</v>
      </c>
      <c r="I467" s="41">
        <f>MIN(C_sat_CO2,MAX(C_air_CO2,(pool_ret*H467+pool_b)*E467+G467*F467))</f>
        <v>27.897251109186</v>
      </c>
      <c r="J467" s="41">
        <f>IF(AND(I467&gt;=CO2_pH_hi_mt,I468&lt;CO2_pH_hi_mt),EXP(LN(A467)+(LN(A468)-LN(A467))*(I467-CO2_pH_hi_mt)/(I467-I468)),0)</f>
        <v>0.0</v>
      </c>
      <c r="L467" s="41">
        <f>k_eff_CO2_l*B467</f>
        <v>0.001870321293</v>
      </c>
      <c r="M467" s="41">
        <f>EXP(-L467)</f>
        <v>0.998131426668</v>
      </c>
      <c r="N467" s="41">
        <f>IF(L467&gt;0,(1-M467)/L467,1)</f>
        <v>0.999065422098</v>
      </c>
      <c r="O467" s="41">
        <f>IF(L467&gt;0,(L467-1+M467)/L467^2,1/2)</f>
        <v>0.499688425495</v>
      </c>
      <c r="P467" s="41">
        <f>(C_air_CO2/C_sat_CO2*F_vent_ex-CO2_fix_l)*(B467/3600)/(V_L_CO2+Vg_CO2)</f>
        <v>4.322338274577e-06</v>
      </c>
      <c r="Q467" s="41">
        <f>(P467*N467+pool_b*M467)/(1-pool_ret*M467)</f>
        <v>27.499387006132</v>
      </c>
      <c r="R467" s="41">
        <f>MIN(C_sat_CO2,MAX(C_air_CO2,(pool_ret*Q467+pool_b)*N467+P467*O467))</f>
        <v>27.525117228256</v>
      </c>
      <c r="S467" s="41">
        <f>IF(AND(R467&gt;=CO2_pH_hi_mt,R468&lt;CO2_pH_hi_mt),EXP(LN(A467)+(LN(A468)-LN(A467))*(R467-CO2_pH_hi_mt)/(R467-R468)),0)</f>
        <v>0.0</v>
      </c>
    </row>
    <row r="468">
      <c r="A468" s="41">
        <f>A467*grid_ratio</f>
        <v>0.492662801051</v>
      </c>
      <c r="B468" s="41">
        <f>MAX(0,A468*60-spg_dur)</f>
        <v>28.909768063039</v>
      </c>
      <c r="C468" s="41">
        <f>k_eff_CO2*B468</f>
        <v>0.0004197957464368</v>
      </c>
      <c r="D468" s="41">
        <f>EXP(-C468)</f>
        <v>0.999580292355</v>
      </c>
      <c r="E468" s="41">
        <f>IF(C468&gt;0,(1-D468)/C468,1)</f>
        <v>0.999790131495</v>
      </c>
      <c r="F468" s="41">
        <f>IF(C468&gt;0,(C468-1+D468)/C468^2,1/2)</f>
        <v>0.499930041363</v>
      </c>
      <c r="G468" s="41">
        <f>(C_air_CO2/C_sat_CO2*F_vent_ex-CO2_fix_sched)*(B468/3600)/(V_L_CO2+Vg_CO2)</f>
        <v>-0.005547297065</v>
      </c>
      <c r="H468" s="41">
        <f>(G468*E468+pool_b*D468)/(1-pool_ret*D468)</f>
        <v>27.869279788498</v>
      </c>
      <c r="I468" s="41">
        <f>MIN(C_sat_CO2,MAX(C_air_CO2,(pool_ret*H468+pool_b)*E468+G468*F468))</f>
        <v>27.877904346398</v>
      </c>
      <c r="J468" s="41">
        <f>IF(AND(I468&gt;=CO2_pH_hi_mt,I469&lt;CO2_pH_hi_mt),EXP(LN(A468)+(LN(A469)-LN(A468))*(I468-CO2_pH_hi_mt)/(I468-I469)),0)</f>
        <v>0.0</v>
      </c>
      <c r="L468" s="41">
        <f>k_eff_CO2_l*B468</f>
        <v>0.002099663146</v>
      </c>
      <c r="M468" s="41">
        <f>EXP(-L468)</f>
        <v>0.997902539605</v>
      </c>
      <c r="N468" s="41">
        <f>IF(L468&gt;0,(1-M468)/L468,1)</f>
        <v>0.998950902806</v>
      </c>
      <c r="O468" s="41">
        <f>IF(L468&gt;0,(L468-1+M468)/L468^2,1/2)</f>
        <v>0.499650239746</v>
      </c>
      <c r="P468" s="41">
        <f>(C_air_CO2/C_sat_CO2*F_vent_ex-CO2_fix_l)*(B468/3600)/(V_L_CO2+Vg_CO2)</f>
        <v>4.852350455653e-06</v>
      </c>
      <c r="Q468" s="41">
        <f>(P468*N468+pool_b*M468)/(1-pool_ret*M468)</f>
        <v>27.432614969007</v>
      </c>
      <c r="R468" s="41">
        <f>MIN(C_sat_CO2,MAX(C_air_CO2,(pool_ret*Q468+pool_b)*N468+P468*O468))</f>
        <v>27.461432333545</v>
      </c>
      <c r="S468" s="41">
        <f>IF(AND(R468&gt;=CO2_pH_hi_mt,R469&lt;CO2_pH_hi_mt),EXP(LN(A468)+(LN(A469)-LN(A468))*(R468-CO2_pH_hi_mt)/(R468-R469)),0)</f>
        <v>0.0</v>
      </c>
    </row>
    <row r="469">
      <c r="A469" s="41">
        <f>A468*grid_ratio</f>
        <v>0.551586637152</v>
      </c>
      <c r="B469" s="41">
        <f>MAX(0,A469*60-spg_dur)</f>
        <v>32.445198229126</v>
      </c>
      <c r="C469" s="41">
        <f>k_eff_CO2*B469</f>
        <v>0.0004711333615401</v>
      </c>
      <c r="D469" s="41">
        <f>EXP(-C469)</f>
        <v>0.999528977604</v>
      </c>
      <c r="E469" s="41">
        <f>IF(C469&gt;0,(1-D469)/C469,1)</f>
        <v>0.999764470309</v>
      </c>
      <c r="F469" s="41">
        <f>IF(C469&gt;0,(C469-1+D469)/C469^2,1/2)</f>
        <v>0.499921487028</v>
      </c>
      <c r="G469" s="41">
        <f>(C_air_CO2/C_sat_CO2*F_vent_ex-CO2_fix_sched)*(B469/3600)/(V_L_CO2+Vg_CO2)</f>
        <v>-0.006225686506</v>
      </c>
      <c r="H469" s="41">
        <f>(G469*E469+pool_b*D469)/(1-pool_ret*D469)</f>
        <v>27.846591143152</v>
      </c>
      <c r="I469" s="41">
        <f>MIN(C_sat_CO2,MAX(C_air_CO2,(pool_ret*H469+pool_b)*E469+G469*F469))</f>
        <v>27.856265234656</v>
      </c>
      <c r="J469" s="41">
        <f>IF(AND(I469&gt;=CO2_pH_hi_mt,I470&lt;CO2_pH_hi_mt),EXP(LN(A469)+(LN(A470)-LN(A469))*(I469-CO2_pH_hi_mt)/(I469-I470)),0)</f>
        <v>0.0</v>
      </c>
      <c r="L469" s="41">
        <f>k_eff_CO2_l*B469</f>
        <v>0.00235643492</v>
      </c>
      <c r="M469" s="41">
        <f>EXP(-L469)</f>
        <v>0.997646339294</v>
      </c>
      <c r="N469" s="41">
        <f>IF(L469&gt;0,(1-M469)/L469,1)</f>
        <v>0.998822707459</v>
      </c>
      <c r="O469" s="41">
        <f>IF(L469&gt;0,(L469-1+M469)/L469^2,1/2)</f>
        <v>0.499607492109</v>
      </c>
      <c r="P469" s="41">
        <f>(C_air_CO2/C_sat_CO2*F_vent_ex-CO2_fix_l)*(B469/3600)/(V_L_CO2+Vg_CO2)</f>
        <v>5.445753562172e-06</v>
      </c>
      <c r="Q469" s="41">
        <f>(P469*N469+pool_b*M469)/(1-pool_ret*M469)</f>
        <v>27.358222525202</v>
      </c>
      <c r="R469" s="41">
        <f>MIN(C_sat_CO2,MAX(C_air_CO2,(pool_ret*Q469+pool_b)*N469+P469*O469))</f>
        <v>27.390479069614</v>
      </c>
      <c r="S469" s="41">
        <f>IF(AND(R469&gt;=CO2_pH_hi_mt,R470&lt;CO2_pH_hi_mt),EXP(LN(A469)+(LN(A470)-LN(A469))*(R469-CO2_pH_hi_mt)/(R469-R470)),0)</f>
        <v>0.0</v>
      </c>
    </row>
    <row r="470">
      <c r="A470" s="41">
        <f>A469*grid_ratio</f>
        <v>0.617557927321</v>
      </c>
      <c r="B470" s="41">
        <f>MAX(0,A470*60-spg_dur)</f>
        <v>36.403475639231</v>
      </c>
      <c r="C470" s="41">
        <f>k_eff_CO2*B470</f>
        <v>0.0005286110976588</v>
      </c>
      <c r="D470" s="41">
        <f>EXP(-C470)</f>
        <v>0.999471528593</v>
      </c>
      <c r="E470" s="41">
        <f>IF(C470&gt;0,(1-D470)/C470,1)</f>
        <v>0.999735741017</v>
      </c>
      <c r="F470" s="41">
        <f>IF(C470&gt;0,(C470-1+D470)/C470^2,1/2)</f>
        <v>0.499911909817</v>
      </c>
      <c r="G470" s="41">
        <f>(C_air_CO2/C_sat_CO2*F_vent_ex-CO2_fix_sched)*(B470/3600)/(V_L_CO2+Vg_CO2)</f>
        <v>-0.006985213203</v>
      </c>
      <c r="H470" s="41">
        <f>(G470*E470+pool_b*D470)/(1-pool_ret*D470)</f>
        <v>27.821217209909</v>
      </c>
      <c r="I470" s="41">
        <f>MIN(C_sat_CO2,MAX(C_air_CO2,(pool_ret*H470+pool_b)*E470+G470*F470))</f>
        <v>27.832065029935</v>
      </c>
      <c r="J470" s="41">
        <f>IF(AND(I470&gt;=CO2_pH_hi_mt,I471&lt;CO2_pH_hi_mt),EXP(LN(A470)+(LN(A471)-LN(A470))*(I470-CO2_pH_hi_mt)/(I470-I471)),0)</f>
        <v>0.0</v>
      </c>
      <c r="L470" s="41">
        <f>k_eff_CO2_l*B470</f>
        <v>0.002643917309</v>
      </c>
      <c r="M470" s="41">
        <f>EXP(-L470)</f>
        <v>0.997359574762</v>
      </c>
      <c r="N470" s="41">
        <f>IF(L470&gt;0,(1-M470)/L470,1)</f>
        <v>0.998679205626</v>
      </c>
      <c r="O470" s="41">
        <f>IF(L470&gt;0,(L470-1+M470)/L470^2,1/2)</f>
        <v>0.499559638217</v>
      </c>
      <c r="P470" s="41">
        <f>(C_air_CO2/C_sat_CO2*F_vent_ex-CO2_fix_l)*(B470/3600)/(V_L_CO2+Vg_CO2)</f>
        <v>6.110129324462e-06</v>
      </c>
      <c r="Q470" s="41">
        <f>(P470*N470+pool_b*M470)/(1-pool_ret*M470)</f>
        <v>27.275387409583</v>
      </c>
      <c r="R470" s="41">
        <f>MIN(C_sat_CO2,MAX(C_air_CO2,(pool_ret*Q470+pool_b)*N470+P470*O470))</f>
        <v>27.311473084466</v>
      </c>
      <c r="S470" s="41">
        <f>IF(AND(R470&gt;=CO2_pH_hi_mt,R471&lt;CO2_pH_hi_mt),EXP(LN(A470)+(LN(A471)-LN(A470))*(R470-CO2_pH_hi_mt)/(R470-R471)),0)</f>
        <v>0.0</v>
      </c>
    </row>
    <row r="471">
      <c r="A471" s="41">
        <f>A470*grid_ratio</f>
        <v>0.69141956659</v>
      </c>
      <c r="B471" s="41">
        <f>MAX(0,A471*60-spg_dur)</f>
        <v>40.835173995387</v>
      </c>
      <c r="C471" s="41">
        <f>k_eff_CO2*B471</f>
        <v>0.0005929633302795</v>
      </c>
      <c r="D471" s="41">
        <f>EXP(-C471)</f>
        <v>0.999407212438</v>
      </c>
      <c r="E471" s="41">
        <f>IF(C471&gt;0,(1-D471)/C471,1)</f>
        <v>0.999703576927</v>
      </c>
      <c r="F471" s="41">
        <f>IF(C471&gt;0,(C471-1+D471)/C471^2,1/2)</f>
        <v>0.499901187413</v>
      </c>
      <c r="G471" s="41">
        <f>(C_air_CO2/C_sat_CO2*F_vent_ex-CO2_fix_sched)*(B471/3600)/(V_L_CO2+Vg_CO2)</f>
        <v>-0.007835581398</v>
      </c>
      <c r="H471" s="41">
        <f>(G471*E471+pool_b*D471)/(1-pool_ret*D471)</f>
        <v>27.792843941638</v>
      </c>
      <c r="I471" s="41">
        <f>MIN(C_sat_CO2,MAX(C_air_CO2,(pool_ret*H471+pool_b)*E471+G471*F471))</f>
        <v>27.805004204401</v>
      </c>
      <c r="J471" s="41">
        <f>IF(AND(I471&gt;=CO2_pH_hi_mt,I472&lt;CO2_pH_hi_mt),EXP(LN(A471)+(LN(A472)-LN(A471))*(I471-CO2_pH_hi_mt)/(I471-I472)),0)</f>
        <v>0.0</v>
      </c>
      <c r="L471" s="41">
        <f>k_eff_CO2_l*B471</f>
        <v>0.002965783389</v>
      </c>
      <c r="M471" s="41">
        <f>EXP(-L471)</f>
        <v>0.997038610202</v>
      </c>
      <c r="N471" s="41">
        <f>IF(L471&gt;0,(1-M471)/L471,1)</f>
        <v>0.998518573198</v>
      </c>
      <c r="O471" s="41">
        <f>IF(L471&gt;0,(L471-1+M471)/L471^2,1/2)</f>
        <v>0.499506069045</v>
      </c>
      <c r="P471" s="41">
        <f>(C_air_CO2/C_sat_CO2*F_vent_ex-CO2_fix_l)*(B471/3600)/(V_L_CO2+Vg_CO2)</f>
        <v>6.85396626881e-06</v>
      </c>
      <c r="Q471" s="41">
        <f>(P471*N471+pool_b*M471)/(1-pool_ret*M471)</f>
        <v>27.183210234116</v>
      </c>
      <c r="R471" s="41">
        <f>MIN(C_sat_CO2,MAX(C_air_CO2,(pool_ret*Q471+pool_b)*N471+P471*O471))</f>
        <v>27.223556439992</v>
      </c>
      <c r="S471" s="41">
        <f>IF(AND(R471&gt;=CO2_pH_hi_mt,R472&lt;CO2_pH_hi_mt),EXP(LN(A471)+(LN(A472)-LN(A471))*(R471-CO2_pH_hi_mt)/(R471-R472)),0)</f>
        <v>0.0</v>
      </c>
    </row>
    <row r="472">
      <c r="A472" s="41">
        <f>A471*grid_ratio</f>
        <v>0.774115262575</v>
      </c>
      <c r="B472" s="41">
        <f>MAX(0,A472*60-spg_dur)</f>
        <v>45.796915754519</v>
      </c>
      <c r="C472" s="41">
        <f>k_eff_CO2*B472</f>
        <v>0.0006650122682323</v>
      </c>
      <c r="D472" s="41">
        <f>EXP(-C472)</f>
        <v>0.999335208803</v>
      </c>
      <c r="E472" s="41">
        <f>IF(C472&gt;0,(1-D472)/C472,1)</f>
        <v>0.999667567561</v>
      </c>
      <c r="F472" s="41">
        <f>IF(C472&gt;0,(C472-1+D472)/C472^2,1/2)</f>
        <v>0.499889182882</v>
      </c>
      <c r="G472" s="41">
        <f>(C_air_CO2/C_sat_CO2*F_vent_ex-CO2_fix_sched)*(B472/3600)/(V_L_CO2+Vg_CO2)</f>
        <v>-0.008787655985</v>
      </c>
      <c r="H472" s="41">
        <f>(G472*E472+pool_b*D472)/(1-pool_ret*D472)</f>
        <v>27.761121510307</v>
      </c>
      <c r="I472" s="41">
        <f>MIN(C_sat_CO2,MAX(C_air_CO2,(pool_ret*H472+pool_b)*E472+G472*F472))</f>
        <v>27.774749102166</v>
      </c>
      <c r="J472" s="41">
        <f>IF(AND(I472&gt;=CO2_pH_hi_mt,I473&lt;CO2_pH_hi_mt),EXP(LN(A472)+(LN(A473)-LN(A472))*(I472-CO2_pH_hi_mt)/(I472-I473)),0)</f>
        <v>0.0</v>
      </c>
      <c r="L472" s="41">
        <f>k_eff_CO2_l*B472</f>
        <v>0.003326145543</v>
      </c>
      <c r="M472" s="41">
        <f>EXP(-L472)</f>
        <v>0.996679379951</v>
      </c>
      <c r="N472" s="41">
        <f>IF(L472&gt;0,(1-M472)/L472,1)</f>
        <v>0.99833876957</v>
      </c>
      <c r="O472" s="41">
        <f>IF(L472&gt;0,(L472-1+M472)/L472^2,1/2)</f>
        <v>0.499446103069</v>
      </c>
      <c r="P472" s="41">
        <f>(C_air_CO2/C_sat_CO2*F_vent_ex-CO2_fix_l)*(B472/3600)/(V_L_CO2+Vg_CO2)</f>
        <v>7.686768172764e-06</v>
      </c>
      <c r="Q472" s="41">
        <f>(P472*N472+pool_b*M472)/(1-pool_ret*M472)</f>
        <v>27.080710117111</v>
      </c>
      <c r="R472" s="41">
        <f>MIN(C_sat_CO2,MAX(C_air_CO2,(pool_ret*Q472+pool_b)*N472+P472*O472))</f>
        <v>27.125793436064</v>
      </c>
      <c r="S472" s="41">
        <f>IF(AND(R472&gt;=CO2_pH_hi_mt,R473&lt;CO2_pH_hi_mt),EXP(LN(A472)+(LN(A473)-LN(A472))*(R472-CO2_pH_hi_mt)/(R472-R473)),0)</f>
        <v>0.0</v>
      </c>
    </row>
    <row r="473">
      <c r="A473" s="41">
        <f>A472*grid_ratio</f>
        <v>0.866701592938</v>
      </c>
      <c r="B473" s="41">
        <f>MAX(0,A473*60-spg_dur)</f>
        <v>51.352095576298</v>
      </c>
      <c r="C473" s="41">
        <f>k_eff_CO2*B473</f>
        <v>0.0007456784588011</v>
      </c>
      <c r="D473" s="41">
        <f>EXP(-C473)</f>
        <v>0.99925459949</v>
      </c>
      <c r="E473" s="41">
        <f>IF(C473&gt;0,(1-D473)/C473,1)</f>
        <v>0.999627253426</v>
      </c>
      <c r="F473" s="41">
        <f>IF(C473&gt;0,(C473-1+D473)/C473^2,1/2)</f>
        <v>0.499875743548</v>
      </c>
      <c r="G473" s="41">
        <f>(C_air_CO2/C_sat_CO2*F_vent_ex-CO2_fix_sched)*(B473/3600)/(V_L_CO2+Vg_CO2)</f>
        <v>-0.009853601331</v>
      </c>
      <c r="H473" s="41">
        <f>(G473*E473+pool_b*D473)/(1-pool_ret*D473)</f>
        <v>27.725660468698</v>
      </c>
      <c r="I473" s="41">
        <f>MIN(C_sat_CO2,MAX(C_air_CO2,(pool_ret*H473+pool_b)*E473+G473*F473))</f>
        <v>27.740928277968</v>
      </c>
      <c r="J473" s="41">
        <f>IF(AND(I473&gt;=CO2_pH_hi_mt,I474&lt;CO2_pH_hi_mt),EXP(LN(A473)+(LN(A474)-LN(A473))*(I473-CO2_pH_hi_mt)/(I473-I474)),0)</f>
        <v>0.0</v>
      </c>
      <c r="L473" s="41">
        <f>k_eff_CO2_l*B473</f>
        <v>0.00372960801</v>
      </c>
      <c r="M473" s="41">
        <f>EXP(-L473)</f>
        <v>0.996277338339</v>
      </c>
      <c r="N473" s="41">
        <f>IF(L473&gt;0,(1-M473)/L473,1)</f>
        <v>0.998137512164</v>
      </c>
      <c r="O473" s="41">
        <f>IF(L473&gt;0,(L473-1+M473)/L473^2,1/2)</f>
        <v>0.499378977813</v>
      </c>
      <c r="P473" s="41">
        <f>(C_air_CO2/C_sat_CO2*F_vent_ex-CO2_fix_l)*(B473/3600)/(V_L_CO2+Vg_CO2)</f>
        <v>8.619175492001e-06</v>
      </c>
      <c r="Q473" s="41">
        <f>(P473*N473+pool_b*M473)/(1-pool_ret*M473)</f>
        <v>26.966820823819</v>
      </c>
      <c r="R473" s="41">
        <f>MIN(C_sat_CO2,MAX(C_air_CO2,(pool_ret*Q473+pool_b)*N473+P473*O473))</f>
        <v>27.017166920655</v>
      </c>
      <c r="S473" s="41">
        <f>IF(AND(R473&gt;=CO2_pH_hi_mt,R474&lt;CO2_pH_hi_mt),EXP(LN(A473)+(LN(A474)-LN(A473))*(R473-CO2_pH_hi_mt)/(R473-R474)),0)</f>
        <v>0.0</v>
      </c>
    </row>
    <row r="474">
      <c r="A474" s="41">
        <f>A473*grid_ratio</f>
        <v>0.970361504956</v>
      </c>
      <c r="B474" s="41">
        <f>MAX(0,A474*60-spg_dur)</f>
        <v>57.571690297342</v>
      </c>
      <c r="C474" s="41">
        <f>k_eff_CO2*B474</f>
        <v>0.0008359925492761</v>
      </c>
      <c r="D474" s="41">
        <f>EXP(-C474)</f>
        <v>0.999164356795</v>
      </c>
      <c r="E474" s="41">
        <f>IF(C474&gt;0,(1-D474)/C474,1)</f>
        <v>0.999582120182</v>
      </c>
      <c r="F474" s="41">
        <f>IF(C474&gt;0,(C474-1+D474)/C474^2,1/2)</f>
        <v>0.499860696957</v>
      </c>
      <c r="G474" s="41">
        <f>(C_air_CO2/C_sat_CO2*F_vent_ex-CO2_fix_sched)*(B474/3600)/(V_L_CO2+Vg_CO2)</f>
        <v>-0.011047036694</v>
      </c>
      <c r="H474" s="41">
        <f>(G474*E474+pool_b*D474)/(1-pool_ret*D474)</f>
        <v>27.686027560932</v>
      </c>
      <c r="I474" s="41">
        <f>MIN(C_sat_CO2,MAX(C_air_CO2,(pool_ret*H474+pool_b)*E474+G474*F474))</f>
        <v>27.703128500748</v>
      </c>
      <c r="J474" s="41">
        <f>IF(AND(I474&gt;=CO2_pH_hi_mt,I475&lt;CO2_pH_hi_mt),EXP(LN(A474)+(LN(A475)-LN(A474))*(I474-CO2_pH_hi_mt)/(I474-I475)),0)</f>
        <v>0.0</v>
      </c>
      <c r="L474" s="41">
        <f>k_eff_CO2_l*B474</f>
        <v>0.004181325706</v>
      </c>
      <c r="M474" s="41">
        <f>EXP(-L474)</f>
        <v>0.995827403865</v>
      </c>
      <c r="N474" s="41">
        <f>IF(L474&gt;0,(1-M474)/L474,1)</f>
        <v>0.997912248018</v>
      </c>
      <c r="O474" s="41">
        <f>IF(L474&gt;0,(L474-1+M474)/L474^2,1/2)</f>
        <v>0.499303840247</v>
      </c>
      <c r="P474" s="41">
        <f>(C_air_CO2/C_sat_CO2*F_vent_ex-CO2_fix_l)*(B474/3600)/(V_L_CO2+Vg_CO2)</f>
        <v>9.663101310183e-06</v>
      </c>
      <c r="Q474" s="41">
        <f>(P474*N474+pool_b*M474)/(1-pool_ret*M474)</f>
        <v>26.840387671113</v>
      </c>
      <c r="R474" s="41">
        <f>MIN(C_sat_CO2,MAX(C_air_CO2,(pool_ret*Q474+pool_b)*N474+P474*O474))</f>
        <v>26.896575326698</v>
      </c>
      <c r="S474" s="41">
        <f>IF(AND(R474&gt;=CO2_pH_hi_mt,R475&lt;CO2_pH_hi_mt),EXP(LN(A474)+(LN(A475)-LN(A474))*(R474-CO2_pH_hi_mt)/(R474-R475)),0)</f>
        <v>0.0</v>
      </c>
    </row>
    <row r="475">
      <c r="A475" s="41">
        <f>A474*grid_ratio</f>
        <v>1.086419429677</v>
      </c>
      <c r="B475" s="41">
        <f>MAX(0,A475*60-spg_dur)</f>
        <v>64.535165780602</v>
      </c>
      <c r="C475" s="41">
        <f>k_eff_CO2*B475</f>
        <v>0.0009371084552188</v>
      </c>
      <c r="D475" s="41">
        <f>EXP(-C475)</f>
        <v>0.999063330494</v>
      </c>
      <c r="E475" s="41">
        <f>IF(C475&gt;0,(1-D475)/C475,1)</f>
        <v>0.9995315921</v>
      </c>
      <c r="F475" s="41">
        <f>IF(C475&gt;0,(C475-1+D475)/C475^2,1/2)</f>
        <v>0.499843851758</v>
      </c>
      <c r="G475" s="41">
        <f>(C_air_CO2/C_sat_CO2*F_vent_ex-CO2_fix_sched)*(B475/3600)/(V_L_CO2+Vg_CO2)</f>
        <v>-0.012383210234</v>
      </c>
      <c r="H475" s="41">
        <f>(G475*E475+pool_b*D475)/(1-pool_ret*D475)</f>
        <v>27.641741165587</v>
      </c>
      <c r="I475" s="41">
        <f>MIN(C_sat_CO2,MAX(C_air_CO2,(pool_ret*H475+pool_b)*E475+G475*F475))</f>
        <v>27.660890406559</v>
      </c>
      <c r="J475" s="41">
        <f>IF(AND(I475&gt;=CO2_pH_hi_mt,I476&lt;CO2_pH_hi_mt),EXP(LN(A475)+(LN(A476)-LN(A475))*(I475-CO2_pH_hi_mt)/(I475-I476)),0)</f>
        <v>0.0</v>
      </c>
      <c r="L475" s="41">
        <f>k_eff_CO2_l*B475</f>
        <v>0.00468707009</v>
      </c>
      <c r="M475" s="41">
        <f>EXP(-L475)</f>
        <v>0.995323897081</v>
      </c>
      <c r="N475" s="41">
        <f>IF(L475&gt;0,(1-M475)/L475,1)</f>
        <v>0.997660122106</v>
      </c>
      <c r="O475" s="41">
        <f>IF(L475&gt;0,(L475-1+M475)/L475^2,1/2)</f>
        <v>0.499219736153</v>
      </c>
      <c r="P475" s="41">
        <f>(C_air_CO2/C_sat_CO2*F_vent_ex-CO2_fix_l)*(B475/3600)/(V_L_CO2+Vg_CO2)</f>
        <v>1.083188354878e-05</v>
      </c>
      <c r="Q475" s="41">
        <f>(P475*N475+pool_b*M475)/(1-pool_ret*M475)</f>
        <v>26.700165503794</v>
      </c>
      <c r="R475" s="41">
        <f>MIN(C_sat_CO2,MAX(C_air_CO2,(pool_ret*Q475+pool_b)*N475+P475*O475))</f>
        <v>26.762830728601</v>
      </c>
      <c r="S475" s="41">
        <f>IF(AND(R475&gt;=CO2_pH_hi_mt,R476&lt;CO2_pH_hi_mt),EXP(LN(A475)+(LN(A476)-LN(A475))*(R475-CO2_pH_hi_mt)/(R475-R476)),0)</f>
        <v>0.0</v>
      </c>
    </row>
    <row r="476">
      <c r="A476" s="41">
        <f>A475*grid_ratio</f>
        <v>1.216358203774</v>
      </c>
      <c r="B476" s="41">
        <f>MAX(0,A476*60-spg_dur)</f>
        <v>72.33149222642</v>
      </c>
      <c r="C476" s="41">
        <f>k_eff_CO2*B476</f>
        <v>0.001050318104</v>
      </c>
      <c r="D476" s="41">
        <f>EXP(-C476)</f>
        <v>0.998950233287</v>
      </c>
      <c r="E476" s="41">
        <f>IF(C476&gt;0,(1-D476)/C476,1)</f>
        <v>0.999475024761</v>
      </c>
      <c r="F476" s="41">
        <f>IF(C476&gt;0,(C476-1+D476)/C476^2,1/2)</f>
        <v>0.499824992881</v>
      </c>
      <c r="G476" s="41">
        <f>(C_air_CO2/C_sat_CO2*F_vent_ex-CO2_fix_sched)*(B476/3600)/(V_L_CO2+Vg_CO2)</f>
        <v>-0.013879193831</v>
      </c>
      <c r="H476" s="41">
        <f>(G476*E476+pool_b*D476)/(1-pool_ret*D476)</f>
        <v>27.592266359161</v>
      </c>
      <c r="I476" s="41">
        <f>MIN(C_sat_CO2,MAX(C_air_CO2,(pool_ret*H476+pool_b)*E476+G476*F476))</f>
        <v>27.613703789233</v>
      </c>
      <c r="J476" s="41">
        <f>IF(AND(I476&gt;=CO2_pH_hi_mt,I477&lt;CO2_pH_hi_mt),EXP(LN(A476)+(LN(A477)-LN(A476))*(I476-CO2_pH_hi_mt)/(I476-I477)),0)</f>
        <v>0.0</v>
      </c>
      <c r="L476" s="41">
        <f>k_eff_CO2_l*B476</f>
        <v>0.005253302904</v>
      </c>
      <c r="M476" s="41">
        <f>EXP(-L476)</f>
        <v>0.994760471561</v>
      </c>
      <c r="N476" s="41">
        <f>IF(L476&gt;0,(1-M476)/L476,1)</f>
        <v>0.997377942046</v>
      </c>
      <c r="O476" s="41">
        <f>IF(L476&gt;0,(L476-1+M476)/L476^2,1/2)</f>
        <v>0.499125598194</v>
      </c>
      <c r="P476" s="41">
        <f>(C_air_CO2/C_sat_CO2*F_vent_ex-CO2_fix_l)*(B476/3600)/(V_L_CO2+Vg_CO2)</f>
        <v>1.214045538164e-05</v>
      </c>
      <c r="Q476" s="41">
        <f>(P476*N476+pool_b*M476)/(1-pool_ret*M476)</f>
        <v>26.544818110158</v>
      </c>
      <c r="R476" s="41">
        <f>MIN(C_sat_CO2,MAX(C_air_CO2,(pool_ret*Q476+pool_b)*N476+P476*O476))</f>
        <v>26.614658268572</v>
      </c>
      <c r="S476" s="41">
        <f>IF(AND(R476&gt;=CO2_pH_hi_mt,R477&lt;CO2_pH_hi_mt),EXP(LN(A476)+(LN(A477)-LN(A476))*(R476-CO2_pH_hi_mt)/(R476-R477)),0)</f>
        <v>0.0</v>
      </c>
    </row>
    <row r="477">
      <c r="A477" s="41">
        <f>A476*grid_ratio</f>
        <v>1.361838015294</v>
      </c>
      <c r="B477" s="41">
        <f>MAX(0,A477*60-spg_dur)</f>
        <v>81.060280917626</v>
      </c>
      <c r="C477" s="41">
        <f>k_eff_CO2*B477</f>
        <v>0.00117706794</v>
      </c>
      <c r="D477" s="41">
        <f>EXP(-C477)</f>
        <v>0.998823624533</v>
      </c>
      <c r="E477" s="41">
        <f>IF(C477&gt;0,(1-D477)/C477,1)</f>
        <v>0.999411696877</v>
      </c>
      <c r="F477" s="41">
        <f>IF(C477&gt;0,(C477-1+D477)/C477^2,1/2)</f>
        <v>0.499803879679</v>
      </c>
      <c r="G477" s="41">
        <f>(C_air_CO2/C_sat_CO2*F_vent_ex-CO2_fix_sched)*(B477/3600)/(V_L_CO2+Vg_CO2)</f>
        <v>-0.015554101211</v>
      </c>
      <c r="H477" s="41">
        <f>(G477*E477+pool_b*D477)/(1-pool_ret*D477)</f>
        <v>27.537009593386</v>
      </c>
      <c r="I477" s="41">
        <f>MIN(C_sat_CO2,MAX(C_air_CO2,(pool_ret*H477+pool_b)*E477+G477*F477))</f>
        <v>27.561002522414</v>
      </c>
      <c r="J477" s="41">
        <f>IF(AND(I477&gt;=CO2_pH_hi_mt,I478&lt;CO2_pH_hi_mt),EXP(LN(A477)+(LN(A478)-LN(A477))*(I477-CO2_pH_hi_mt)/(I477-I478)),0)</f>
        <v>0.0</v>
      </c>
      <c r="L477" s="41">
        <f>k_eff_CO2_l*B477</f>
        <v>0.005887258731</v>
      </c>
      <c r="M477" s="41">
        <f>EXP(-L477)</f>
        <v>0.994130037218</v>
      </c>
      <c r="N477" s="41">
        <f>IF(L477&gt;0,(1-M477)/L477,1)</f>
        <v>0.997062138778</v>
      </c>
      <c r="O477" s="41">
        <f>IF(L477&gt;0,(L477-1+M477)/L477^2,1/2)</f>
        <v>0.499020232671</v>
      </c>
      <c r="P477" s="41">
        <f>(C_air_CO2/C_sat_CO2*F_vent_ex-CO2_fix_l)*(B477/3600)/(V_L_CO2+Vg_CO2)</f>
        <v>1.360553603157e-05</v>
      </c>
      <c r="Q477" s="41">
        <f>(P477*N477+pool_b*M477)/(1-pool_ret*M477)</f>
        <v>26.372919508298</v>
      </c>
      <c r="R477" s="41">
        <f>MIN(C_sat_CO2,MAX(C_air_CO2,(pool_ret*Q477+pool_b)*N477+P477*O477))</f>
        <v>26.450697363721</v>
      </c>
      <c r="S477" s="41">
        <f>IF(AND(R477&gt;=CO2_pH_hi_mt,R478&lt;CO2_pH_hi_mt),EXP(LN(A477)+(LN(A478)-LN(A477))*(R477-CO2_pH_hi_mt)/(R477-R478)),0)</f>
        <v>0.0</v>
      </c>
    </row>
    <row r="478">
      <c r="A478" s="41">
        <f>A477*grid_ratio</f>
        <v>1.524717615375</v>
      </c>
      <c r="B478" s="41">
        <f>MAX(0,A478*60-spg_dur)</f>
        <v>90.833056922484</v>
      </c>
      <c r="C478" s="41">
        <f>k_eff_CO2*B478</f>
        <v>0.001318977408</v>
      </c>
      <c r="D478" s="41">
        <f>EXP(-C478)</f>
        <v>0.998681892061</v>
      </c>
      <c r="E478" s="41">
        <f>IF(C478&gt;0,(1-D478)/C478,1)</f>
        <v>0.999340801151</v>
      </c>
      <c r="F478" s="41">
        <f>IF(C478&gt;0,(C478-1+D478)/C478^2,1/2)</f>
        <v>0.499780242911</v>
      </c>
      <c r="G478" s="41">
        <f>(C_air_CO2/C_sat_CO2*F_vent_ex-CO2_fix_sched)*(B478/3600)/(V_L_CO2+Vg_CO2)</f>
        <v>-0.017429332155</v>
      </c>
      <c r="H478" s="41">
        <f>(G478*E478+pool_b*D478)/(1-pool_ret*D478)</f>
        <v>27.475312987828</v>
      </c>
      <c r="I478" s="41">
        <f>MIN(C_sat_CO2,MAX(C_air_CO2,(pool_ret*H478+pool_b)*E478+G478*F478))</f>
        <v>27.502159114301</v>
      </c>
      <c r="J478" s="41">
        <f>IF(AND(I478&gt;=CO2_pH_hi_mt,I479&lt;CO2_pH_hi_mt),EXP(LN(A478)+(LN(A479)-LN(A478))*(I478-CO2_pH_hi_mt)/(I478-I479)),0)</f>
        <v>0.0</v>
      </c>
      <c r="L478" s="41">
        <f>k_eff_CO2_l*B478</f>
        <v>0.006597037432</v>
      </c>
      <c r="M478" s="41">
        <f>EXP(-L478)</f>
        <v>0.993424675247</v>
      </c>
      <c r="N478" s="41">
        <f>IF(L478&gt;0,(1-M478)/L478,1)</f>
        <v>0.996708722821</v>
      </c>
      <c r="O478" s="41">
        <f>IF(L478&gt;0,(L478-1+M478)/L478^2,1/2)</f>
        <v>0.498902304744</v>
      </c>
      <c r="P478" s="41">
        <f>(C_air_CO2/C_sat_CO2*F_vent_ex-CO2_fix_l)*(B478/3600)/(V_L_CO2+Vg_CO2)</f>
        <v>1.524584438675e-05</v>
      </c>
      <c r="Q478" s="41">
        <f>(P478*N478+pool_b*M478)/(1-pool_ret*M478)</f>
        <v>26.182957599407</v>
      </c>
      <c r="R478" s="41">
        <f>MIN(C_sat_CO2,MAX(C_air_CO2,(pool_ret*Q478+pool_b)*N478+P478*O478))</f>
        <v>26.269505166665</v>
      </c>
      <c r="S478" s="41">
        <f>IF(AND(R478&gt;=CO2_pH_hi_mt,R479&lt;CO2_pH_hi_mt),EXP(LN(A478)+(LN(A479)-LN(A478))*(R478-CO2_pH_hi_mt)/(R478-R479)),0)</f>
        <v>0.0</v>
      </c>
    </row>
    <row r="479">
      <c r="A479" s="41">
        <f>A478*grid_ratio</f>
        <v>1.707078066941</v>
      </c>
      <c r="B479" s="41">
        <f>MAX(0,A479*60-spg_dur)</f>
        <v>101.77468401644</v>
      </c>
      <c r="C479" s="41">
        <f>k_eff_CO2*B479</f>
        <v>0.001477859641</v>
      </c>
      <c r="D479" s="41">
        <f>EXP(-C479)</f>
        <v>0.998523231856</v>
      </c>
      <c r="E479" s="41">
        <f>IF(C479&gt;0,(1-D479)/C479,1)</f>
        <v>0.999261434057</v>
      </c>
      <c r="F479" s="41">
        <f>IF(C479&gt;0,(C479-1+D479)/C479^2,1/2)</f>
        <v>0.499753781043</v>
      </c>
      <c r="G479" s="41">
        <f>(C_air_CO2/C_sat_CO2*F_vent_ex-CO2_fix_sched)*(B479/3600)/(V_L_CO2+Vg_CO2)</f>
        <v>-0.019528845915</v>
      </c>
      <c r="H479" s="41">
        <f>(G479*E479+pool_b*D479)/(1-pool_ret*D479)</f>
        <v>27.406448249807</v>
      </c>
      <c r="I479" s="41">
        <f>MIN(C_sat_CO2,MAX(C_air_CO2,(pool_ret*H479+pool_b)*E479+G479*F479))</f>
        <v>27.436478906523</v>
      </c>
      <c r="J479" s="41">
        <f>IF(AND(I479&gt;=CO2_pH_hi_mt,I480&lt;CO2_pH_hi_mt),EXP(LN(A479)+(LN(A480)-LN(A479))*(I479-CO2_pH_hi_mt)/(I479-I480)),0)</f>
        <v>0.0</v>
      </c>
      <c r="L479" s="41">
        <f>k_eff_CO2_l*B479</f>
        <v>0.007391707631</v>
      </c>
      <c r="M479" s="41">
        <f>EXP(-L479)</f>
        <v>0.992635543853</v>
      </c>
      <c r="N479" s="41">
        <f>IF(L479&gt;0,(1-M479)/L479,1)</f>
        <v>0.996313235605</v>
      </c>
      <c r="O479" s="41">
        <f>IF(L479&gt;0,(L479-1+M479)/L479^2,1/2)</f>
        <v>0.498770321923</v>
      </c>
      <c r="P479" s="41">
        <f>(C_air_CO2/C_sat_CO2*F_vent_ex-CO2_fix_l)*(B479/3600)/(V_L_CO2+Vg_CO2)</f>
        <v>1.708233816627e-05</v>
      </c>
      <c r="Q479" s="41">
        <f>(P479*N479+pool_b*M479)/(1-pool_ret*M479)</f>
        <v>25.973340746103</v>
      </c>
      <c r="R479" s="41">
        <f>MIN(C_sat_CO2,MAX(C_air_CO2,(pool_ret*Q479+pool_b)*N479+P479*O479))</f>
        <v>26.069562811119</v>
      </c>
      <c r="S479" s="41">
        <f>IF(AND(R479&gt;=CO2_pH_hi_mt,R480&lt;CO2_pH_hi_mt),EXP(LN(A479)+(LN(A480)-LN(A479))*(R479-CO2_pH_hi_mt)/(R479-R480)),0)</f>
        <v>0.0</v>
      </c>
    </row>
    <row r="480">
      <c r="A480" s="41">
        <f>A479*grid_ratio</f>
        <v>1.911249333808</v>
      </c>
      <c r="B480" s="41">
        <f>MAX(0,A480*60-spg_dur)</f>
        <v>114.024960028465</v>
      </c>
      <c r="C480" s="41">
        <f>k_eff_CO2*B480</f>
        <v>0.001655744629</v>
      </c>
      <c r="D480" s="41">
        <f>EXP(-C480)</f>
        <v>0.99834562536</v>
      </c>
      <c r="E480" s="41">
        <f>IF(C480&gt;0,(1-D480)/C480,1)</f>
        <v>0.999172584411</v>
      </c>
      <c r="F480" s="41">
        <f>IF(C480&gt;0,(C480-1+D480)/C480^2,1/2)</f>
        <v>0.499724156752</v>
      </c>
      <c r="G480" s="41">
        <f>(C_air_CO2/C_sat_CO2*F_vent_ex-CO2_fix_sched)*(B480/3600)/(V_L_CO2+Vg_CO2)</f>
        <v>-0.021879467339</v>
      </c>
      <c r="H480" s="41">
        <f>(G480*E480+pool_b*D480)/(1-pool_ret*D480)</f>
        <v>27.329610247678</v>
      </c>
      <c r="I480" s="41">
        <f>MIN(C_sat_CO2,MAX(C_air_CO2,(pool_ret*H480+pool_b)*E480+G480*F480))</f>
        <v>27.363193941827</v>
      </c>
      <c r="J480" s="41">
        <f>IF(AND(I480&gt;=CO2_pH_hi_mt,I481&lt;CO2_pH_hi_mt),EXP(LN(A480)+(LN(A481)-LN(A480))*(I480-CO2_pH_hi_mt)/(I480-I481)),0)</f>
        <v>0.0</v>
      </c>
      <c r="L480" s="41">
        <f>k_eff_CO2_l*B480</f>
        <v>0.008281422589</v>
      </c>
      <c r="M480" s="41">
        <f>EXP(-L480)</f>
        <v>0.991752773927</v>
      </c>
      <c r="N480" s="41">
        <f>IF(L480&gt;0,(1-M480)/L480,1)</f>
        <v>0.995870695406</v>
      </c>
      <c r="O480" s="41">
        <f>IF(L480&gt;0,(L480-1+M480)/L480^2,1/2)</f>
        <v>0.498622615757</v>
      </c>
      <c r="P480" s="41">
        <f>(C_air_CO2/C_sat_CO2*F_vent_ex-CO2_fix_l)*(B480/3600)/(V_L_CO2+Vg_CO2)</f>
        <v>1.913848169046e-05</v>
      </c>
      <c r="Q480" s="41">
        <f>(P480*N480+pool_b*M480)/(1-pool_ret*M480)</f>
        <v>25.742407886601</v>
      </c>
      <c r="R480" s="41">
        <f>MIN(C_sat_CO2,MAX(C_air_CO2,(pool_ret*Q480+pool_b)*N480+P480*O480))</f>
        <v>25.849285024307</v>
      </c>
      <c r="S480" s="41">
        <f>IF(AND(R480&gt;=CO2_pH_hi_mt,R481&lt;CO2_pH_hi_mt),EXP(LN(A480)+(LN(A481)-LN(A480))*(R480-CO2_pH_hi_mt)/(R480-R481)),0)</f>
        <v>0.0</v>
      </c>
    </row>
    <row r="481">
      <c r="A481" s="41">
        <f>A480*grid_ratio</f>
        <v>2.139840049921</v>
      </c>
      <c r="B481" s="41">
        <f>MAX(0,A481*60-spg_dur)</f>
        <v>127.740402995232</v>
      </c>
      <c r="C481" s="41">
        <f>k_eff_CO2*B481</f>
        <v>0.001854905156</v>
      </c>
      <c r="D481" s="41">
        <f>EXP(-C481)</f>
        <v>0.998146814118</v>
      </c>
      <c r="E481" s="41">
        <f>IF(C481&gt;0,(1-D481)/C481,1)</f>
        <v>0.999073120602</v>
      </c>
      <c r="F481" s="41">
        <f>IF(C481&gt;0,(C481-1+D481)/C481^2,1/2)</f>
        <v>0.499690992438</v>
      </c>
      <c r="G481" s="41">
        <f>(C_air_CO2/C_sat_CO2*F_vent_ex-CO2_fix_sched)*(B481/3600)/(V_L_CO2+Vg_CO2)</f>
        <v>-0.024511229599</v>
      </c>
      <c r="H481" s="41">
        <f>(G481*E481+pool_b*D481)/(1-pool_ret*D481)</f>
        <v>27.243910281477</v>
      </c>
      <c r="I481" s="41">
        <f>MIN(C_sat_CO2,MAX(C_air_CO2,(pool_ret*H481+pool_b)*E481+G481*F481))</f>
        <v>27.281456542425</v>
      </c>
      <c r="J481" s="41">
        <f>IF(AND(I481&gt;=CO2_pH_hi_mt,I482&lt;CO2_pH_hi_mt),EXP(LN(A481)+(LN(A482)-LN(A481))*(I481-CO2_pH_hi_mt)/(I481-I482)),0)</f>
        <v>0.0</v>
      </c>
      <c r="L481" s="41">
        <f>k_eff_CO2_l*B481</f>
        <v>0.009277549921</v>
      </c>
      <c r="M481" s="41">
        <f>EXP(-L481)</f>
        <v>0.990765353762</v>
      </c>
      <c r="N481" s="41">
        <f>IF(L481&gt;0,(1-M481)/L481,1)</f>
        <v>0.995375537317</v>
      </c>
      <c r="O481" s="41">
        <f>IF(L481&gt;0,(L481-1+M481)/L481^2,1/2)</f>
        <v>0.498457321408</v>
      </c>
      <c r="P481" s="41">
        <f>(C_air_CO2/C_sat_CO2*F_vent_ex-CO2_fix_l)*(B481/3600)/(V_L_CO2+Vg_CO2)</f>
        <v>2.144054567742e-05</v>
      </c>
      <c r="Q481" s="41">
        <f>(P481*N481+pool_b*M481)/(1-pool_ret*M481)</f>
        <v>25.488442831805</v>
      </c>
      <c r="R481" s="41">
        <f>MIN(C_sat_CO2,MAX(C_air_CO2,(pool_ret*Q481+pool_b)*N481+P481*O481))</f>
        <v>25.607033722509</v>
      </c>
      <c r="S481" s="41">
        <f>IF(AND(R481&gt;=CO2_pH_hi_mt,R482&lt;CO2_pH_hi_mt),EXP(LN(A481)+(LN(A482)-LN(A481))*(R481-CO2_pH_hi_mt)/(R481-R482)),0)</f>
        <v>0.0</v>
      </c>
    </row>
    <row r="482">
      <c r="A482" s="41">
        <f>A481*grid_ratio</f>
        <v>2.395770849071</v>
      </c>
      <c r="B482" s="41">
        <f>MAX(0,A482*60-spg_dur)</f>
        <v>143.096250944289</v>
      </c>
      <c r="C482" s="41">
        <f>k_eff_CO2*B482</f>
        <v>0.002077885832</v>
      </c>
      <c r="D482" s="41">
        <f>EXP(-C482)</f>
        <v>0.997924271478</v>
      </c>
      <c r="E482" s="41">
        <f>IF(C482&gt;0,(1-D482)/C482,1)</f>
        <v>0.998961776312</v>
      </c>
      <c r="F482" s="41">
        <f>IF(C482&gt;0,(C482-1+D482)/C482^2,1/2)</f>
        <v>0.49965386553</v>
      </c>
      <c r="G482" s="41">
        <f>(C_air_CO2/C_sat_CO2*F_vent_ex-CO2_fix_sched)*(B482/3600)/(V_L_CO2+Vg_CO2)</f>
        <v>-0.027457757916</v>
      </c>
      <c r="H482" s="41">
        <f>(G482*E482+pool_b*D482)/(1-pool_ret*D482)</f>
        <v>27.148369117716</v>
      </c>
      <c r="I482" s="41">
        <f>MIN(C_sat_CO2,MAX(C_air_CO2,(pool_ret*H482+pool_b)*E482+G482*F482))</f>
        <v>27.190332662574</v>
      </c>
      <c r="J482" s="41">
        <f>IF(AND(I482&gt;=CO2_pH_hi_mt,I483&lt;CO2_pH_hi_mt),EXP(LN(A482)+(LN(A483)-LN(A482))*(I482-CO2_pH_hi_mt)/(I482-I483)),0)</f>
        <v>0.0</v>
      </c>
      <c r="L482" s="41">
        <f>k_eff_CO2_l*B482</f>
        <v>0.010392816842</v>
      </c>
      <c r="M482" s="41">
        <f>EXP(-L482)</f>
        <v>0.989661001875</v>
      </c>
      <c r="N482" s="41">
        <f>IF(L482&gt;0,(1-M482)/L482,1)</f>
        <v>0.994821546677</v>
      </c>
      <c r="O482" s="41">
        <f>IF(L482&gt;0,(L482-1+M482)/L482^2,1/2)</f>
        <v>0.498272354964</v>
      </c>
      <c r="P482" s="41">
        <f>(C_air_CO2/C_sat_CO2*F_vent_ex-CO2_fix_l)*(B482/3600)/(V_L_CO2+Vg_CO2)</f>
        <v>2.40179428959e-05</v>
      </c>
      <c r="Q482" s="41">
        <f>(P482*N482+pool_b*M482)/(1-pool_ret*M482)</f>
        <v>25.209693402067</v>
      </c>
      <c r="R482" s="41">
        <f>MIN(C_sat_CO2,MAX(C_air_CO2,(pool_ret*Q482+pool_b)*N482+P482*O482))</f>
        <v>25.341136215233</v>
      </c>
      <c r="S482" s="41">
        <f>IF(AND(R482&gt;=CO2_pH_hi_mt,R483&lt;CO2_pH_hi_mt),EXP(LN(A482)+(LN(A483)-LN(A482))*(R482-CO2_pH_hi_mt)/(R482-R483)),0)</f>
        <v>0.0</v>
      </c>
    </row>
    <row r="483">
      <c r="A483" s="41">
        <f>A482*grid_ratio</f>
        <v>2.682311680947</v>
      </c>
      <c r="B483" s="41">
        <f>MAX(0,A483*60-spg_dur)</f>
        <v>160.288700856838</v>
      </c>
      <c r="C483" s="41">
        <f>k_eff_CO2*B483</f>
        <v>0.002327535616</v>
      </c>
      <c r="D483" s="41">
        <f>EXP(-C483)</f>
        <v>0.997675170995</v>
      </c>
      <c r="E483" s="41">
        <f>IF(C483&gt;0,(1-D483)/C483,1)</f>
        <v>0.99883713457</v>
      </c>
      <c r="F483" s="41">
        <f>IF(C483&gt;0,(C483-1+D483)/C483^2,1/2)</f>
        <v>0.499612303007</v>
      </c>
      <c r="G483" s="41">
        <f>(C_air_CO2/C_sat_CO2*F_vent_ex-CO2_fix_sched)*(B483/3600)/(V_L_CO2+Vg_CO2)</f>
        <v>-0.030756699185</v>
      </c>
      <c r="H483" s="41">
        <f>(G483*E483+pool_b*D483)/(1-pool_ret*D483)</f>
        <v>27.041909883622</v>
      </c>
      <c r="I483" s="41">
        <f>MIN(C_sat_CO2,MAX(C_air_CO2,(pool_ret*H483+pool_b)*E483+G483*F483))</f>
        <v>27.088795106026</v>
      </c>
      <c r="J483" s="41">
        <f>IF(AND(I483&gt;=CO2_pH_hi_mt,I484&lt;CO2_pH_hi_mt),EXP(LN(A483)+(LN(A484)-LN(A483))*(I483-CO2_pH_hi_mt)/(I483-I484)),0)</f>
        <v>0.0</v>
      </c>
      <c r="L483" s="41">
        <f>k_eff_CO2_l*B483</f>
        <v>0.011641472777</v>
      </c>
      <c r="M483" s="41">
        <f>EXP(-L483)</f>
        <v>0.988426026981</v>
      </c>
      <c r="N483" s="41">
        <f>IF(L483&gt;0,(1-M483)/L483,1)</f>
        <v>0.994201785342</v>
      </c>
      <c r="O483" s="41">
        <f>IF(L483&gt;0,(L483-1+M483)/L483^2,1/2)</f>
        <v>0.498065388244</v>
      </c>
      <c r="P483" s="41">
        <f>(C_air_CO2/C_sat_CO2*F_vent_ex-CO2_fix_l)*(B483/3600)/(V_L_CO2+Vg_CO2)</f>
        <v>2.69036039633e-05</v>
      </c>
      <c r="Q483" s="41">
        <f>(P483*N483+pool_b*M483)/(1-pool_ret*M483)</f>
        <v>24.904396031604</v>
      </c>
      <c r="R483" s="41">
        <f>MIN(C_sat_CO2,MAX(C_air_CO2,(pool_ret*Q483+pool_b)*N483+P483*O483))</f>
        <v>25.049908616063</v>
      </c>
      <c r="S483" s="41">
        <f>IF(AND(R483&gt;=CO2_pH_hi_mt,R484&lt;CO2_pH_hi_mt),EXP(LN(A483)+(LN(A484)-LN(A483))*(R483-CO2_pH_hi_mt)/(R483-R484)),0)</f>
        <v>0.0</v>
      </c>
    </row>
    <row r="484">
      <c r="A484" s="41">
        <f>A483*grid_ratio</f>
        <v>3.003123590278</v>
      </c>
      <c r="B484" s="41">
        <f>MAX(0,A484*60-spg_dur)</f>
        <v>179.537415416665</v>
      </c>
      <c r="C484" s="41">
        <f>k_eff_CO2*B484</f>
        <v>0.002607044206</v>
      </c>
      <c r="D484" s="41">
        <f>EXP(-C484)</f>
        <v>0.997396351183</v>
      </c>
      <c r="E484" s="41">
        <f>IF(C484&gt;0,(1-D484)/C484,1)</f>
        <v>0.998697609939</v>
      </c>
      <c r="F484" s="41">
        <f>IF(C484&gt;0,(C484-1+D484)/C484^2,1/2)</f>
        <v>0.499565775682</v>
      </c>
      <c r="G484" s="41">
        <f>(C_air_CO2/C_sat_CO2*F_vent_ex-CO2_fix_sched)*(B484/3600)/(V_L_CO2+Vg_CO2)</f>
        <v>-0.034450202971</v>
      </c>
      <c r="H484" s="41">
        <f>(G484*E484+pool_b*D484)/(1-pool_ret*D484)</f>
        <v>26.923350951111</v>
      </c>
      <c r="I484" s="41">
        <f>MIN(C_sat_CO2,MAX(C_air_CO2,(pool_ret*H484+pool_b)*E484+G484*F484))</f>
        <v>26.975716732392</v>
      </c>
      <c r="J484" s="41">
        <f>IF(AND(I484&gt;=CO2_pH_hi_mt,I485&lt;CO2_pH_hi_mt),EXP(LN(A484)+(LN(A485)-LN(A484))*(I484-CO2_pH_hi_mt)/(I484-I485)),0)</f>
        <v>0.0</v>
      </c>
      <c r="L484" s="41">
        <f>k_eff_CO2_l*B484</f>
        <v>0.013039471421</v>
      </c>
      <c r="M484" s="41">
        <f>EXP(-L484)</f>
        <v>0.987045174175</v>
      </c>
      <c r="N484" s="41">
        <f>IF(L484&gt;0,(1-M484)/L484,1)</f>
        <v>0.993508510121</v>
      </c>
      <c r="O484" s="41">
        <f>IF(L484&gt;0,(L484-1+M484)/L484^2,1/2)</f>
        <v>0.49783382082</v>
      </c>
      <c r="P484" s="41">
        <f>(C_air_CO2/C_sat_CO2*F_vent_ex-CO2_fix_l)*(B484/3600)/(V_L_CO2+Vg_CO2)</f>
        <v>3.013439809009e-05</v>
      </c>
      <c r="Q484" s="41">
        <f>(P484*N484+pool_b*M484)/(1-pool_ret*M484)</f>
        <v>24.570806387617</v>
      </c>
      <c r="R484" s="41">
        <f>MIN(C_sat_CO2,MAX(C_air_CO2,(pool_ret*Q484+pool_b)*N484+P484*O484))</f>
        <v>24.731684981049</v>
      </c>
      <c r="S484" s="41">
        <f>IF(AND(R484&gt;=CO2_pH_hi_mt,R485&lt;CO2_pH_hi_mt),EXP(LN(A484)+(LN(A485)-LN(A484))*(R484-CO2_pH_hi_mt)/(R484-R485)),0)</f>
        <v>0.0</v>
      </c>
    </row>
    <row r="485">
      <c r="A485" s="41">
        <f>A484*grid_ratio</f>
        <v>3.362305492886</v>
      </c>
      <c r="B485" s="41">
        <f>MAX(0,A485*60-spg_dur)</f>
        <v>201.08832957319</v>
      </c>
      <c r="C485" s="41">
        <f>k_eff_CO2*B485</f>
        <v>0.002919982797</v>
      </c>
      <c r="D485" s="41">
        <f>EXP(-C485)</f>
        <v>0.997084276206</v>
      </c>
      <c r="E485" s="41">
        <f>IF(C485&gt;0,(1-D485)/C485,1)</f>
        <v>0.998541428615</v>
      </c>
      <c r="F485" s="41">
        <f>IF(C485&gt;0,(C485-1+D485)/C485^2,1/2)</f>
        <v>0.499513691247</v>
      </c>
      <c r="G485" s="41">
        <f>(C_air_CO2/C_sat_CO2*F_vent_ex-CO2_fix_sched)*(B485/3600)/(V_L_CO2+Vg_CO2)</f>
        <v>-0.038585460044</v>
      </c>
      <c r="H485" s="41">
        <f>(G485*E485+pool_b*D485)/(1-pool_ret*D485)</f>
        <v>26.791398983352</v>
      </c>
      <c r="I485" s="41">
        <f>MIN(C_sat_CO2,MAX(C_air_CO2,(pool_ret*H485+pool_b)*E485+G485*F485))</f>
        <v>26.849863817032</v>
      </c>
      <c r="J485" s="41">
        <f>IF(AND(I485&gt;=CO2_pH_hi_mt,I486&lt;CO2_pH_hi_mt),EXP(LN(A485)+(LN(A486)-LN(A485))*(I485-CO2_pH_hi_mt)/(I485-I486)),0)</f>
        <v>0.0</v>
      </c>
      <c r="L485" s="41">
        <f>k_eff_CO2_l*B485</f>
        <v>0.014604674578</v>
      </c>
      <c r="M485" s="41">
        <f>EXP(-L485)</f>
        <v>0.985501456385</v>
      </c>
      <c r="N485" s="41">
        <f>IF(L485&gt;0,(1-M485)/L485,1)</f>
        <v>0.992733082712</v>
      </c>
      <c r="O485" s="41">
        <f>IF(L485&gt;0,(L485-1+M485)/L485^2,1/2)</f>
        <v>0.497574749029</v>
      </c>
      <c r="P485" s="41">
        <f>(C_air_CO2/C_sat_CO2*F_vent_ex-CO2_fix_l)*(B485/3600)/(V_L_CO2+Vg_CO2)</f>
        <v>3.375160414651e-05</v>
      </c>
      <c r="Q485" s="41">
        <f>(P485*N485+pool_b*M485)/(1-pool_ret*M485)</f>
        <v>24.207236403419</v>
      </c>
      <c r="R485" s="41">
        <f>MIN(C_sat_CO2,MAX(C_air_CO2,(pool_ret*Q485+pool_b)*N485+P485*O485))</f>
        <v>24.384852554644</v>
      </c>
      <c r="S485" s="41">
        <f>IF(AND(R485&gt;=CO2_pH_hi_mt,R486&lt;CO2_pH_hi_mt),EXP(LN(A485)+(LN(A486)-LN(A485))*(R485-CO2_pH_hi_mt)/(R485-R486)),0)</f>
        <v>0.0</v>
      </c>
    </row>
    <row r="486">
      <c r="A486" s="41">
        <f>A485*grid_ratio</f>
        <v>3.764446546287</v>
      </c>
      <c r="B486" s="41">
        <f>MAX(0,A486*60-spg_dur)</f>
        <v>225.216792777232</v>
      </c>
      <c r="C486" s="41">
        <f>k_eff_CO2*B486</f>
        <v>0.003270349711</v>
      </c>
      <c r="D486" s="41">
        <f>EXP(-C486)</f>
        <v>0.996734992058</v>
      </c>
      <c r="E486" s="41">
        <f>IF(C486&gt;0,(1-D486)/C486,1)</f>
        <v>0.998366606219</v>
      </c>
      <c r="F486" s="41">
        <f>IF(C486&gt;0,(C486-1+D486)/C486^2,1/2)</f>
        <v>0.499455387062</v>
      </c>
      <c r="G486" s="41">
        <f>(C_air_CO2/C_sat_CO2*F_vent_ex-CO2_fix_sched)*(B486/3600)/(V_L_CO2+Vg_CO2)</f>
        <v>-0.043215305321</v>
      </c>
      <c r="H486" s="41">
        <f>(G486*E486+pool_b*D486)/(1-pool_ret*D486)</f>
        <v>26.644642367602</v>
      </c>
      <c r="I486" s="41">
        <f>MIN(C_sat_CO2,MAX(C_air_CO2,(pool_ret*H486+pool_b)*E486+G486*F486))</f>
        <v>26.709889777391</v>
      </c>
      <c r="J486" s="41">
        <f>IF(AND(I486&gt;=CO2_pH_hi_mt,I487&lt;CO2_pH_hi_mt),EXP(LN(A486)+(LN(A487)-LN(A486))*(I486-CO2_pH_hi_mt)/(I486-I487)),0)</f>
        <v>0.0</v>
      </c>
      <c r="L486" s="41">
        <f>k_eff_CO2_l*B486</f>
        <v>0.016357080368</v>
      </c>
      <c r="M486" s="41">
        <f>EXP(-L486)</f>
        <v>0.983775970243</v>
      </c>
      <c r="N486" s="41">
        <f>IF(L486&gt;0,(1-M486)/L486,1)</f>
        <v>0.991865870407</v>
      </c>
      <c r="O486" s="41">
        <f>IF(L486&gt;0,(L486-1+M486)/L486^2,1/2)</f>
        <v>0.497284931655</v>
      </c>
      <c r="P486" s="41">
        <f>(C_air_CO2/C_sat_CO2*F_vent_ex-CO2_fix_l)*(B486/3600)/(V_L_CO2+Vg_CO2)</f>
        <v>3.780143807001e-05</v>
      </c>
      <c r="Q486" s="41">
        <f>(P486*N486+pool_b*M486)/(1-pool_ret*M486)</f>
        <v>23.812097896271</v>
      </c>
      <c r="R486" s="41">
        <f>MIN(C_sat_CO2,MAX(C_air_CO2,(pool_ret*Q486+pool_b)*N486+P486*O486))</f>
        <v>24.007893285287</v>
      </c>
      <c r="S486" s="41">
        <f>IF(AND(R486&gt;=CO2_pH_hi_mt,R487&lt;CO2_pH_hi_mt),EXP(LN(A486)+(LN(A487)-LN(A486))*(R486-CO2_pH_hi_mt)/(R486-R487)),0)</f>
        <v>0.0</v>
      </c>
    </row>
    <row r="487">
      <c r="A487" s="41">
        <f>A486*grid_ratio</f>
        <v>4.214684783948</v>
      </c>
      <c r="B487" s="41">
        <f>MAX(0,A487*60-spg_dur)</f>
        <v>252.231087036883</v>
      </c>
      <c r="C487" s="41">
        <f>k_eff_CO2*B487</f>
        <v>0.003662621479</v>
      </c>
      <c r="D487" s="41">
        <f>EXP(-C487)</f>
        <v>0.996344077738</v>
      </c>
      <c r="E487" s="41">
        <f>IF(C487&gt;0,(1-D487)/C487,1)</f>
        <v>0.998170923014</v>
      </c>
      <c r="F487" s="41">
        <f>IF(C487&gt;0,(C487-1+D487)/C487^2,1/2)</f>
        <v>0.499390121626</v>
      </c>
      <c r="G487" s="41">
        <f>(C_air_CO2/C_sat_CO2*F_vent_ex-CO2_fix_sched)*(B487/3600)/(V_L_CO2+Vg_CO2)</f>
        <v>-0.048398892921</v>
      </c>
      <c r="H487" s="41">
        <f>(G487*E487+pool_b*D487)/(1-pool_ret*D487)</f>
        <v>26.481545317871</v>
      </c>
      <c r="I487" s="41">
        <f>MIN(C_sat_CO2,MAX(C_air_CO2,(pool_ret*H487+pool_b)*E487+G487*F487))</f>
        <v>26.554329535888</v>
      </c>
      <c r="J487" s="41">
        <f>IF(AND(I487&gt;=CO2_pH_hi_mt,I488&lt;CO2_pH_hi_mt),EXP(LN(A487)+(LN(A488)-LN(A487))*(I487-CO2_pH_hi_mt)/(I487-I488)),0)</f>
        <v>0.0</v>
      </c>
      <c r="L487" s="41">
        <f>k_eff_CO2_l*B487</f>
        <v>0.018319078747</v>
      </c>
      <c r="M487" s="41">
        <f>EXP(-L487)</f>
        <v>0.981847695639</v>
      </c>
      <c r="N487" s="41">
        <f>IF(L487&gt;0,(1-M487)/L487,1)</f>
        <v>0.99089613685</v>
      </c>
      <c r="O487" s="41">
        <f>IF(L487&gt;0,(L487-1+M487)/L487^2,1/2)</f>
        <v>0.496960751994</v>
      </c>
      <c r="P487" s="41">
        <f>(C_air_CO2/C_sat_CO2*F_vent_ex-CO2_fix_l)*(B487/3600)/(V_L_CO2+Vg_CO2)</f>
        <v>4.233564335226e-05</v>
      </c>
      <c r="Q487" s="41">
        <f>(P487*N487+pool_b*M487)/(1-pool_ret*M487)</f>
        <v>23.383952619704</v>
      </c>
      <c r="R487" s="41">
        <f>MIN(C_sat_CO2,MAX(C_air_CO2,(pool_ret*Q487+pool_b)*N487+P487*O487))</f>
        <v>23.599431466807</v>
      </c>
      <c r="S487" s="41">
        <f>IF(AND(R487&gt;=CO2_pH_hi_mt,R488&lt;CO2_pH_hi_mt),EXP(LN(A487)+(LN(A488)-LN(A487))*(R487-CO2_pH_hi_mt)/(R487-R488)),0)</f>
        <v>0.0</v>
      </c>
    </row>
    <row r="488">
      <c r="A488" s="41">
        <f>A487*grid_ratio</f>
        <v>4.718772762377</v>
      </c>
      <c r="B488" s="41">
        <f>MAX(0,A488*60-spg_dur)</f>
        <v>282.476365742605</v>
      </c>
      <c r="C488" s="41">
        <f>k_eff_CO2*B488</f>
        <v>0.004101810037</v>
      </c>
      <c r="D488" s="41">
        <f>EXP(-C488)</f>
        <v>0.995906590896</v>
      </c>
      <c r="E488" s="41">
        <f>IF(C488&gt;0,(1-D488)/C488,1)</f>
        <v>0.997951896249</v>
      </c>
      <c r="F488" s="41">
        <f>IF(C488&gt;0,(C488-1+D488)/C488^2,1/2)</f>
        <v>0.499317065452</v>
      </c>
      <c r="G488" s="41">
        <f>(C_air_CO2/C_sat_CO2*F_vent_ex-CO2_fix_sched)*(B488/3600)/(V_L_CO2+Vg_CO2)</f>
        <v>-0.054202451961</v>
      </c>
      <c r="H488" s="41">
        <f>(G488*E488+pool_b*D488)/(1-pool_ret*D488)</f>
        <v>26.300443000129</v>
      </c>
      <c r="I488" s="41">
        <f>MIN(C_sat_CO2,MAX(C_air_CO2,(pool_ret*H488+pool_b)*E488+G488*F488))</f>
        <v>26.381594855208</v>
      </c>
      <c r="J488" s="41">
        <f>IF(AND(I488&gt;=CO2_pH_hi_mt,I489&lt;CO2_pH_hi_mt),EXP(LN(A488)+(LN(A489)-LN(A488))*(I488-CO2_pH_hi_mt)/(I488-I489)),0)</f>
        <v>0.0</v>
      </c>
      <c r="L488" s="41">
        <f>k_eff_CO2_l*B488</f>
        <v>0.020515737568</v>
      </c>
      <c r="M488" s="41">
        <f>EXP(-L488)</f>
        <v>0.979693278364</v>
      </c>
      <c r="N488" s="41">
        <f>IF(L488&gt;0,(1-M488)/L488,1)</f>
        <v>0.989811922144</v>
      </c>
      <c r="O488" s="41">
        <f>IF(L488&gt;0,(L488-1+M488)/L488^2,1/2)</f>
        <v>0.496598176005</v>
      </c>
      <c r="P488" s="41">
        <f>(C_air_CO2/C_sat_CO2*F_vent_ex-CO2_fix_l)*(B488/3600)/(V_L_CO2+Vg_CO2)</f>
        <v>4.741215214987e-05</v>
      </c>
      <c r="Q488" s="41">
        <f>(P488*N488+pool_b*M488)/(1-pool_ret*M488)</f>
        <v>22.921568180846</v>
      </c>
      <c r="R488" s="41">
        <f>MIN(C_sat_CO2,MAX(C_air_CO2,(pool_ret*Q488+pool_b)*N488+P488*O488))</f>
        <v>23.158286962239</v>
      </c>
      <c r="S488" s="41">
        <f>IF(AND(R488&gt;=CO2_pH_hi_mt,R489&lt;CO2_pH_hi_mt),EXP(LN(A488)+(LN(A489)-LN(A488))*(R488-CO2_pH_hi_mt)/(R488-R489)),0)</f>
        <v>0.0</v>
      </c>
    </row>
    <row r="489">
      <c r="A489" s="41">
        <f>A488*grid_ratio</f>
        <v>5.283151059779</v>
      </c>
      <c r="B489" s="41">
        <f>MAX(0,A489*60-spg_dur)</f>
        <v>316.339063586726</v>
      </c>
      <c r="C489" s="41">
        <f>k_eff_CO2*B489</f>
        <v>0.004593526764</v>
      </c>
      <c r="D489" s="41">
        <f>EXP(-C489)</f>
        <v>0.995417007345</v>
      </c>
      <c r="E489" s="41">
        <f>IF(C489&gt;0,(1-D489)/C489,1)</f>
        <v>0.997706749331</v>
      </c>
      <c r="F489" s="41">
        <f>IF(C489&gt;0,(C489-1+D489)/C489^2,1/2)</f>
        <v>0.499235290584</v>
      </c>
      <c r="G489" s="41">
        <f>(C_air_CO2/C_sat_CO2*F_vent_ex-CO2_fix_sched)*(B489/3600)/(V_L_CO2+Vg_CO2)</f>
        <v>-0.060700132744</v>
      </c>
      <c r="H489" s="41">
        <f>(G489*E489+pool_b*D489)/(1-pool_ret*D489)</f>
        <v>26.099538111173</v>
      </c>
      <c r="I489" s="41">
        <f>MIN(C_sat_CO2,MAX(C_air_CO2,(pool_ret*H489+pool_b)*E489+G489*F489))</f>
        <v>26.189971056657</v>
      </c>
      <c r="J489" s="41">
        <f>IF(AND(I489&gt;=CO2_pH_hi_mt,I490&lt;CO2_pH_hi_mt),EXP(LN(A489)+(LN(A490)-LN(A489))*(I489-CO2_pH_hi_mt)/(I489-I490)),0)</f>
        <v>0.0</v>
      </c>
      <c r="L489" s="41">
        <f>k_eff_CO2_l*B489</f>
        <v>0.022975122871</v>
      </c>
      <c r="M489" s="41">
        <f>EXP(-L489)</f>
        <v>0.977286795561</v>
      </c>
      <c r="N489" s="41">
        <f>IF(L489&gt;0,(1-M489)/L489,1)</f>
        <v>0.988599911608</v>
      </c>
      <c r="O489" s="41">
        <f>IF(L489&gt;0,(L489-1+M489)/L489^2,1/2)</f>
        <v>0.496192706189</v>
      </c>
      <c r="P489" s="41">
        <f>(C_air_CO2/C_sat_CO2*F_vent_ex-CO2_fix_l)*(B489/3600)/(V_L_CO2+Vg_CO2)</f>
        <v>5.309582546594e-05</v>
      </c>
      <c r="Q489" s="41">
        <f>(P489*N489+pool_b*M489)/(1-pool_ret*M489)</f>
        <v>22.423978738955</v>
      </c>
      <c r="R489" s="41">
        <f>MIN(C_sat_CO2,MAX(C_air_CO2,(pool_ret*Q489+pool_b)*N489+P489*O489))</f>
        <v>22.683532976354</v>
      </c>
      <c r="S489" s="41">
        <f>IF(AND(R489&gt;=CO2_pH_hi_mt,R490&lt;CO2_pH_hi_mt),EXP(LN(A489)+(LN(A490)-LN(A489))*(R489-CO2_pH_hi_mt)/(R489-R490)),0)</f>
        <v>0.0</v>
      </c>
    </row>
    <row r="490">
      <c r="A490" s="41">
        <f>A489*grid_ratio</f>
        <v>5.915030565359</v>
      </c>
      <c r="B490" s="41">
        <f>MAX(0,A490*60-spg_dur)</f>
        <v>354.251833921535</v>
      </c>
      <c r="C490" s="41">
        <f>k_eff_CO2*B490</f>
        <v>0.005144054173</v>
      </c>
      <c r="D490" s="41">
        <f>EXP(-C490)</f>
        <v>0.994869153816</v>
      </c>
      <c r="E490" s="41">
        <f>IF(C490&gt;0,(1-D490)/C490,1)</f>
        <v>0.997432377463</v>
      </c>
      <c r="F490" s="41">
        <f>IF(C490&gt;0,(C490-1+D490)/C490^2,1/2)</f>
        <v>0.499143759061</v>
      </c>
      <c r="G490" s="41">
        <f>(C_air_CO2/C_sat_CO2*F_vent_ex-CO2_fix_sched)*(B490/3600)/(V_L_CO2+Vg_CO2)</f>
        <v>-0.067974954152</v>
      </c>
      <c r="H490" s="41">
        <f>(G490*E490+pool_b*D490)/(1-pool_ret*D490)</f>
        <v>25.876899428841</v>
      </c>
      <c r="I490" s="41">
        <f>MIN(C_sat_CO2,MAX(C_air_CO2,(pool_ret*H490+pool_b)*E490+G490*F490))</f>
        <v>25.977615614613</v>
      </c>
      <c r="J490" s="41">
        <f>IF(AND(I490&gt;=CO2_pH_hi_mt,I491&lt;CO2_pH_hi_mt),EXP(LN(A490)+(LN(A491)-LN(A490))*(I490-CO2_pH_hi_mt)/(I490-I491)),0)</f>
        <v>0.0</v>
      </c>
      <c r="L490" s="41">
        <f>k_eff_CO2_l*B490</f>
        <v>0.025728657471</v>
      </c>
      <c r="M490" s="41">
        <f>EXP(-L490)</f>
        <v>0.974599504028</v>
      </c>
      <c r="N490" s="41">
        <f>IF(L490&gt;0,(1-M490)/L490,1)</f>
        <v>0.98724529256</v>
      </c>
      <c r="O490" s="41">
        <f>IF(L490&gt;0,(L490-1+M490)/L490^2,1/2)</f>
        <v>0.495739330925</v>
      </c>
      <c r="P490" s="41">
        <f>(C_air_CO2/C_sat_CO2*F_vent_ex-CO2_fix_l)*(B490/3600)/(V_L_CO2+Vg_CO2)</f>
        <v>5.945928185923e-05</v>
      </c>
      <c r="Q490" s="41">
        <f>(P490*N490+pool_b*M490)/(1-pool_ret*M490)</f>
        <v>21.890548807581</v>
      </c>
      <c r="R490" s="41">
        <f>MIN(C_sat_CO2,MAX(C_air_CO2,(pool_ret*Q490+pool_b)*N490+P490*O490))</f>
        <v>22.174556777343</v>
      </c>
      <c r="S490" s="41">
        <f>IF(AND(R490&gt;=CO2_pH_hi_mt,R491&lt;CO2_pH_hi_mt),EXP(LN(A490)+(LN(A491)-LN(A490))*(R490-CO2_pH_hi_mt)/(R490-R491)),0)</f>
        <v>0.0</v>
      </c>
    </row>
    <row r="491">
      <c r="A491" s="41">
        <f>A490*grid_ratio</f>
        <v>6.622484610651</v>
      </c>
      <c r="B491" s="41">
        <f>MAX(0,A491*60-spg_dur)</f>
        <v>396.699076639069</v>
      </c>
      <c r="C491" s="41">
        <f>k_eff_CO2*B491</f>
        <v>0.005760426186</v>
      </c>
      <c r="D491" s="41">
        <f>EXP(-C491)</f>
        <v>0.994256133257</v>
      </c>
      <c r="E491" s="41">
        <f>IF(C491&gt;0,(1-D491)/C491,1)</f>
        <v>0.99712530937</v>
      </c>
      <c r="F491" s="41">
        <f>IF(C491&gt;0,(C491-1+D491)/C491^2,1/2)</f>
        <v>0.499041309981</v>
      </c>
      <c r="G491" s="41">
        <f>(C_air_CO2/C_sat_CO2*F_vent_ex-CO2_fix_sched)*(B491/3600)/(V_L_CO2+Vg_CO2)</f>
        <v>-0.076119864358</v>
      </c>
      <c r="H491" s="41">
        <f>(G491*E491+pool_b*D491)/(1-pool_ret*D491)</f>
        <v>25.630462944044</v>
      </c>
      <c r="I491" s="41">
        <f>MIN(C_sat_CO2,MAX(C_air_CO2,(pool_ret*H491+pool_b)*E491+G491*F491))</f>
        <v>25.742559208567</v>
      </c>
      <c r="J491" s="41">
        <f>IF(AND(I491&gt;=CO2_pH_hi_mt,I492&lt;CO2_pH_hi_mt),EXP(LN(A491)+(LN(A492)-LN(A491))*(I491-CO2_pH_hi_mt)/(I491-I492)),0)</f>
        <v>0.0</v>
      </c>
      <c r="L491" s="41">
        <f>k_eff_CO2_l*B491</f>
        <v>0.028811522438</v>
      </c>
      <c r="M491" s="41">
        <f>EXP(-L491)</f>
        <v>0.971599571929</v>
      </c>
      <c r="N491" s="41">
        <f>IF(L491&gt;0,(1-M491)/L491,1)</f>
        <v>0.98573159861</v>
      </c>
      <c r="O491" s="41">
        <f>IF(L491&gt;0,(L491-1+M491)/L491^2,1/2)</f>
        <v>0.495232468902</v>
      </c>
      <c r="P491" s="41">
        <f>(C_air_CO2/C_sat_CO2*F_vent_ex-CO2_fix_l)*(B491/3600)/(V_L_CO2+Vg_CO2)</f>
        <v>6.658382526935e-05</v>
      </c>
      <c r="Q491" s="41">
        <f>(P491*N491+pool_b*M491)/(1-pool_ret*M491)</f>
        <v>21.321037841887</v>
      </c>
      <c r="R491" s="41">
        <f>MIN(C_sat_CO2,MAX(C_air_CO2,(pool_ret*Q491+pool_b)*N491+P491*O491))</f>
        <v>21.631121157126</v>
      </c>
      <c r="S491" s="41">
        <f>IF(AND(R491&gt;=CO2_pH_hi_mt,R492&lt;CO2_pH_hi_mt),EXP(LN(A491)+(LN(A492)-LN(A491))*(R491-CO2_pH_hi_mt)/(R491-R492)),0)</f>
        <v>0.0</v>
      </c>
    </row>
    <row r="492">
      <c r="A492" s="41">
        <f>A491*grid_ratio</f>
        <v>7.414552120011</v>
      </c>
      <c r="B492" s="41">
        <f>MAX(0,A492*60-spg_dur)</f>
        <v>444.223127200655</v>
      </c>
      <c r="C492" s="41">
        <f>k_eff_CO2*B492</f>
        <v>0.006450518</v>
      </c>
      <c r="D492" s="41">
        <f>EXP(-C492)</f>
        <v>0.99357024193</v>
      </c>
      <c r="E492" s="41">
        <f>IF(C492&gt;0,(1-D492)/C492,1)</f>
        <v>0.996781664695</v>
      </c>
      <c r="F492" s="41">
        <f>IF(C492&gt;0,(C492-1+D492)/C492^2,1/2)</f>
        <v>0.498926645151</v>
      </c>
      <c r="G492" s="41">
        <f>(C_air_CO2/C_sat_CO2*F_vent_ex-CO2_fix_sched)*(B492/3600)/(V_L_CO2+Vg_CO2)</f>
        <v>-0.085238928393</v>
      </c>
      <c r="H492" s="41">
        <f>(G492*E492+pool_b*D492)/(1-pool_ret*D492)</f>
        <v>25.358036280514</v>
      </c>
      <c r="I492" s="41">
        <f>MIN(C_sat_CO2,MAX(C_air_CO2,(pool_ret*H492+pool_b)*E492+G492*F492))</f>
        <v>25.482709905105</v>
      </c>
      <c r="J492" s="41">
        <f>IF(AND(I492&gt;=CO2_pH_hi_mt,I493&lt;CO2_pH_hi_mt),EXP(LN(A492)+(LN(A493)-LN(A492))*(I492-CO2_pH_hi_mt)/(I492-I493)),0)</f>
        <v>0.0</v>
      </c>
      <c r="L492" s="41">
        <f>k_eff_CO2_l*B492</f>
        <v>0.032263106598</v>
      </c>
      <c r="M492" s="41">
        <f>EXP(-L492)</f>
        <v>0.968251795127</v>
      </c>
      <c r="N492" s="41">
        <f>IF(L492&gt;0,(1-M492)/L492,1)</f>
        <v>0.984040541068</v>
      </c>
      <c r="O492" s="41">
        <f>IF(L492&gt;0,(L492-1+M492)/L492^2,1/2)</f>
        <v>0.494665908376</v>
      </c>
      <c r="P492" s="41">
        <f>(C_air_CO2/C_sat_CO2*F_vent_ex-CO2_fix_l)*(B492/3600)/(V_L_CO2+Vg_CO2)</f>
        <v>7.456048381238e-05</v>
      </c>
      <c r="Q492" s="41">
        <f>(P492*N492+pool_b*M492)/(1-pool_ret*M492)</f>
        <v>20.715662654793</v>
      </c>
      <c r="R492" s="41">
        <f>MIN(C_sat_CO2,MAX(C_air_CO2,(pool_ret*Q492+pool_b)*N492+P492*O492))</f>
        <v>21.053423811846</v>
      </c>
      <c r="S492" s="41">
        <f>IF(AND(R492&gt;=CO2_pH_hi_mt,R493&lt;CO2_pH_hi_mt),EXP(LN(A492)+(LN(A493)-LN(A492))*(R492-CO2_pH_hi_mt)/(R492-R493)),0)</f>
        <v>0.0</v>
      </c>
    </row>
    <row r="493">
      <c r="A493" s="41">
        <f>A492*grid_ratio</f>
        <v>8.301353098192</v>
      </c>
      <c r="B493" s="41">
        <f>MAX(0,A493*60-spg_dur)</f>
        <v>497.431185891525</v>
      </c>
      <c r="C493" s="41">
        <f>k_eff_CO2*B493</f>
        <v>0.007223146707</v>
      </c>
      <c r="D493" s="41">
        <f>EXP(-C493)</f>
        <v>0.992802877521</v>
      </c>
      <c r="E493" s="41">
        <f>IF(C493&gt;0,(1-D493)/C493,1)</f>
        <v>0.996397106608</v>
      </c>
      <c r="F493" s="41">
        <f>IF(C493&gt;0,(C493-1+D493)/C493^2,1/2)</f>
        <v>0.498798312989</v>
      </c>
      <c r="G493" s="41">
        <f>(C_air_CO2/C_sat_CO2*F_vent_ex-CO2_fix_sched)*(B493/3600)/(V_L_CO2+Vg_CO2)</f>
        <v>-0.095448657754</v>
      </c>
      <c r="H493" s="41">
        <f>(G493*E493+pool_b*D493)/(1-pool_ret*D493)</f>
        <v>25.057307200781</v>
      </c>
      <c r="I493" s="41">
        <f>MIN(C_sat_CO2,MAX(C_air_CO2,(pool_ret*H493+pool_b)*E493+G493*F493))</f>
        <v>25.195861230448</v>
      </c>
      <c r="J493" s="41">
        <f>IF(AND(I493&gt;=CO2_pH_hi_mt,I494&lt;CO2_pH_hi_mt),EXP(LN(A493)+(LN(A494)-LN(A493))*(I493-CO2_pH_hi_mt)/(I493-I494)),0)</f>
        <v>0.0</v>
      </c>
      <c r="L493" s="41">
        <f>k_eff_CO2_l*B493</f>
        <v>0.036127509787</v>
      </c>
      <c r="M493" s="41">
        <f>EXP(-L493)</f>
        <v>0.964517300247</v>
      </c>
      <c r="N493" s="41">
        <f>IF(L493&gt;0,(1-M493)/L493,1)</f>
        <v>0.982151827315</v>
      </c>
      <c r="O493" s="41">
        <f>IF(L493&gt;0,(L493-1+M493)/L493^2,1/2)</f>
        <v>0.494032740984</v>
      </c>
      <c r="P493" s="41">
        <f>(C_air_CO2/C_sat_CO2*F_vent_ex-CO2_fix_l)*(B493/3600)/(V_L_CO2+Vg_CO2)</f>
        <v>8.349117281929e-05</v>
      </c>
      <c r="Q493" s="41">
        <f>(P493*N493+pool_b*M493)/(1-pool_ret*M493)</f>
        <v>20.075154139629</v>
      </c>
      <c r="R493" s="41">
        <f>MIN(C_sat_CO2,MAX(C_air_CO2,(pool_ret*Q493+pool_b)*N493+P493*O493))</f>
        <v>20.442151284579</v>
      </c>
      <c r="S493" s="41">
        <f>IF(AND(R493&gt;=CO2_pH_hi_mt,R494&lt;CO2_pH_hi_mt),EXP(LN(A493)+(LN(A494)-LN(A493))*(R493-CO2_pH_hi_mt)/(R493-R494)),0)</f>
        <v>0.0</v>
      </c>
    </row>
    <row r="494">
      <c r="A494" s="41">
        <f>A493*grid_ratio</f>
        <v>9.294217930558</v>
      </c>
      <c r="B494" s="41">
        <f>MAX(0,A494*60-spg_dur)</f>
        <v>557.003075833489</v>
      </c>
      <c r="C494" s="41">
        <f>k_eff_CO2*B494</f>
        <v>0.008088183948</v>
      </c>
      <c r="D494" s="41">
        <f>EXP(-C494)</f>
        <v>0.991944437403</v>
      </c>
      <c r="E494" s="41">
        <f>IF(C494&gt;0,(1-D494)/C494,1)</f>
        <v>0.995966789135</v>
      </c>
      <c r="F494" s="41">
        <f>IF(C494&gt;0,(C494-1+D494)/C494^2,1/2)</f>
        <v>0.498654690718</v>
      </c>
      <c r="G494" s="41">
        <f>(C_air_CO2/C_sat_CO2*F_vent_ex-CO2_fix_sched)*(B494/3600)/(V_L_CO2+Vg_CO2)</f>
        <v>-0.106879499036</v>
      </c>
      <c r="H494" s="41">
        <f>(G494*E494+pool_b*D494)/(1-pool_ret*D494)</f>
        <v>24.725857078843</v>
      </c>
      <c r="I494" s="41">
        <f>MIN(C_sat_CO2,MAX(C_air_CO2,(pool_ret*H494+pool_b)*E494+G494*F494))</f>
        <v>24.879704972157</v>
      </c>
      <c r="J494" s="41">
        <f>IF(AND(I494&gt;=CO2_pH_hi_mt,I495&lt;CO2_pH_hi_mt),EXP(LN(A494)+(LN(A495)-LN(A494))*(I494-CO2_pH_hi_mt)/(I494-I495)),0)</f>
        <v>0.0</v>
      </c>
      <c r="L494" s="41">
        <f>k_eff_CO2_l*B494</f>
        <v>0.040454106305</v>
      </c>
      <c r="M494" s="41">
        <f>EXP(-L494)</f>
        <v>0.960353237659</v>
      </c>
      <c r="N494" s="41">
        <f>IF(L494&gt;0,(1-M494)/L494,1)</f>
        <v>0.98004296628</v>
      </c>
      <c r="O494" s="41">
        <f>IF(L494&gt;0,(L494-1+M494)/L494^2,1/2)</f>
        <v>0.49332528989</v>
      </c>
      <c r="P494" s="41">
        <f>(C_air_CO2/C_sat_CO2*F_vent_ex-CO2_fix_l)*(B494/3600)/(V_L_CO2+Vg_CO2)</f>
        <v>9.348999697705e-05</v>
      </c>
      <c r="Q494" s="41">
        <f>(P494*N494+pool_b*M494)/(1-pool_ret*M494)</f>
        <v>19.400804365815</v>
      </c>
      <c r="R494" s="41">
        <f>MIN(C_sat_CO2,MAX(C_air_CO2,(pool_ret*Q494+pool_b)*N494+P494*O494))</f>
        <v>19.798523720302</v>
      </c>
      <c r="S494" s="41">
        <f>IF(AND(R494&gt;=CO2_pH_hi_mt,R495&lt;CO2_pH_hi_mt),EXP(LN(A494)+(LN(A495)-LN(A494))*(R494-CO2_pH_hi_mt)/(R494-R495)),0)</f>
        <v>0.0</v>
      </c>
    </row>
    <row r="495">
      <c r="A495" s="41">
        <f>A494*grid_ratio</f>
        <v>10.405832147957</v>
      </c>
      <c r="B495" s="41">
        <f>MAX(0,A495*60-spg_dur)</f>
        <v>623.699928877412</v>
      </c>
      <c r="C495" s="41">
        <f>k_eff_CO2*B495</f>
        <v>0.00905668204</v>
      </c>
      <c r="D495" s="41">
        <f>EXP(-C495)</f>
        <v>0.990984206175</v>
      </c>
      <c r="E495" s="41">
        <f>IF(C495&gt;0,(1-D495)/C495,1)</f>
        <v>0.995485298665</v>
      </c>
      <c r="F495" s="41">
        <f>IF(C495&gt;0,(C495-1+D495)/C495^2,1/2)</f>
        <v>0.498493964458</v>
      </c>
      <c r="G495" s="41">
        <f>(C_air_CO2/C_sat_CO2*F_vent_ex-CO2_fix_sched)*(B495/3600)/(V_L_CO2+Vg_CO2)</f>
        <v>-0.119677500609</v>
      </c>
      <c r="H495" s="41">
        <f>(G495*E495+pool_b*D495)/(1-pool_ret*D495)</f>
        <v>24.361180280672</v>
      </c>
      <c r="I495" s="41">
        <f>MIN(C_sat_CO2,MAX(C_air_CO2,(pool_ret*H495+pool_b)*E495+G495*F495))</f>
        <v>24.53184960645</v>
      </c>
      <c r="J495" s="41">
        <f>IF(AND(I495&gt;=CO2_pH_hi_mt,I496&lt;CO2_pH_hi_mt),EXP(LN(A495)+(LN(A496)-LN(A495))*(I495-CO2_pH_hi_mt)/(I495-I496)),0)</f>
        <v>0.0</v>
      </c>
      <c r="L495" s="41">
        <f>k_eff_CO2_l*B495</f>
        <v>0.045298175755</v>
      </c>
      <c r="M495" s="41">
        <f>EXP(-L495)</f>
        <v>0.955712469056</v>
      </c>
      <c r="N495" s="41">
        <f>IF(L495&gt;0,(1-M495)/L495,1)</f>
        <v>0.977689061548</v>
      </c>
      <c r="O495" s="41">
        <f>IF(L495&gt;0,(L495-1+M495)/L495^2,1/2)</f>
        <v>0.492535032144</v>
      </c>
      <c r="P495" s="41">
        <f>(C_air_CO2/C_sat_CO2*F_vent_ex-CO2_fix_l)*(B495/3600)/(V_L_CO2+Vg_CO2)</f>
        <v>0.0001046847082093</v>
      </c>
      <c r="Q495" s="41">
        <f>(P495*N495+pool_b*M495)/(1-pool_ret*M495)</f>
        <v>18.694499947454</v>
      </c>
      <c r="R495" s="41">
        <f>MIN(C_sat_CO2,MAX(C_air_CO2,(pool_ret*Q495+pool_b)*N495+P495*O495))</f>
        <v>19.124326524256</v>
      </c>
      <c r="S495" s="41">
        <f>IF(AND(R495&gt;=CO2_pH_hi_mt,R496&lt;CO2_pH_hi_mt),EXP(LN(A495)+(LN(A496)-LN(A495))*(R495-CO2_pH_hi_mt)/(R495-R496)),0)</f>
        <v>0.0</v>
      </c>
    </row>
    <row r="496">
      <c r="A496" s="41">
        <f>A495*grid_ratio</f>
        <v>11.650398505875</v>
      </c>
      <c r="B496" s="41">
        <f>MAX(0,A496*60-spg_dur)</f>
        <v>698.373910352509</v>
      </c>
      <c r="C496" s="41">
        <f>k_eff_CO2*B496</f>
        <v>0.010141015187</v>
      </c>
      <c r="D496" s="41">
        <f>EXP(-C496)</f>
        <v>0.98991023153</v>
      </c>
      <c r="E496" s="41">
        <f>IF(C496&gt;0,(1-D496)/C496,1)</f>
        <v>0.994946589072</v>
      </c>
      <c r="F496" s="41">
        <f>IF(C496&gt;0,(C496-1+D496)/C496^2,1/2)</f>
        <v>0.498314107134</v>
      </c>
      <c r="G496" s="41">
        <f>(C_air_CO2/C_sat_CO2*F_vent_ex-CO2_fix_sched)*(B496/3600)/(V_L_CO2+Vg_CO2)</f>
        <v>-0.134006178632</v>
      </c>
      <c r="H496" s="41">
        <f>(G496*E496+pool_b*D496)/(1-pool_ret*D496)</f>
        <v>23.96071041934</v>
      </c>
      <c r="I496" s="41">
        <f>MIN(C_sat_CO2,MAX(C_air_CO2,(pool_ret*H496+pool_b)*E496+G496*F496))</f>
        <v>24.149845271929</v>
      </c>
      <c r="J496" s="41">
        <f>IF(AND(I496&gt;=CO2_pH_hi_mt,I497&lt;CO2_pH_hi_mt),EXP(LN(A496)+(LN(A497)-LN(A496))*(I496-CO2_pH_hi_mt)/(I496-I497)),0)</f>
        <v>0.0</v>
      </c>
      <c r="L496" s="41">
        <f>k_eff_CO2_l*B496</f>
        <v>0.050721609333</v>
      </c>
      <c r="M496" s="41">
        <f>EXP(-L496)</f>
        <v>0.950543256072</v>
      </c>
      <c r="N496" s="41">
        <f>IF(L496&gt;0,(1-M496)/L496,1)</f>
        <v>0.975062593195</v>
      </c>
      <c r="O496" s="41">
        <f>IF(L496&gt;0,(L496-1+M496)/L496^2,1/2)</f>
        <v>0.491652515218</v>
      </c>
      <c r="P496" s="41">
        <f>(C_air_CO2/C_sat_CO2*F_vent_ex-CO2_fix_l)*(B496/3600)/(V_L_CO2+Vg_CO2)</f>
        <v>0.0001172183379239</v>
      </c>
      <c r="Q496" s="41">
        <f>(P496*N496+pool_b*M496)/(1-pool_ret*M496)</f>
        <v>17.95873774632</v>
      </c>
      <c r="R496" s="41">
        <f>MIN(C_sat_CO2,MAX(C_air_CO2,(pool_ret*Q496+pool_b)*N496+P496*O496))</f>
        <v>18.421925168636</v>
      </c>
      <c r="S496" s="41">
        <f>IF(AND(R496&gt;=CO2_pH_hi_mt,R497&lt;CO2_pH_hi_mt),EXP(LN(A496)+(LN(A497)-LN(A496))*(R496-CO2_pH_hi_mt)/(R496-R497)),0)</f>
        <v>0.0</v>
      </c>
    </row>
    <row r="497">
      <c r="A497" s="41">
        <f>A496*grid_ratio</f>
        <v>13.04381844871</v>
      </c>
      <c r="B497" s="41">
        <f>MAX(0,A497*60-spg_dur)</f>
        <v>781.979106922591</v>
      </c>
      <c r="C497" s="41">
        <f>k_eff_CO2*B497</f>
        <v>0.011355037584</v>
      </c>
      <c r="D497" s="41">
        <f>EXP(-C497)</f>
        <v>0.988709187533</v>
      </c>
      <c r="E497" s="41">
        <f>IF(C497&gt;0,(1-D497)/C497,1)</f>
        <v>0.994343909823</v>
      </c>
      <c r="F497" s="41">
        <f>IF(C497&gt;0,(C497-1+D497)/C497^2,1/2)</f>
        <v>0.498112853928</v>
      </c>
      <c r="G497" s="41">
        <f>(C_air_CO2/C_sat_CO2*F_vent_ex-CO2_fix_sched)*(B497/3600)/(V_L_CO2+Vg_CO2)</f>
        <v>-0.150048606248</v>
      </c>
      <c r="H497" s="41">
        <f>(G497*E497+pool_b*D497)/(1-pool_ret*D497)</f>
        <v>23.521854425349</v>
      </c>
      <c r="I497" s="41">
        <f>MIN(C_sat_CO2,MAX(C_air_CO2,(pool_ret*H497+pool_b)*E497+G497*F497))</f>
        <v>23.731216185463</v>
      </c>
      <c r="J497" s="41">
        <f>IF(AND(I497&gt;=CO2_pH_hi_mt,I498&lt;CO2_pH_hi_mt),EXP(LN(A497)+(LN(A498)-LN(A497))*(I497-CO2_pH_hi_mt)/(I497-I498)),0)</f>
        <v>0.0</v>
      </c>
      <c r="L497" s="41">
        <f>k_eff_CO2_l*B497</f>
        <v>0.056793700595</v>
      </c>
      <c r="M497" s="41">
        <f>EXP(-L497)</f>
        <v>0.944788958663</v>
      </c>
      <c r="N497" s="41">
        <f>IF(L497&gt;0,(1-M497)/L497,1)</f>
        <v>0.972133190098</v>
      </c>
      <c r="O497" s="41">
        <f>IF(L497&gt;0,(L497-1+M497)/L497^2,1/2)</f>
        <v>0.49066726784</v>
      </c>
      <c r="P497" s="41">
        <f>(C_air_CO2/C_sat_CO2*F_vent_ex-CO2_fix_l)*(B497/3600)/(V_L_CO2+Vg_CO2)</f>
        <v>0.0001312510244812</v>
      </c>
      <c r="Q497" s="41">
        <f>(P497*N497+pool_b*M497)/(1-pool_ret*M497)</f>
        <v>17.196619522697</v>
      </c>
      <c r="R497" s="41">
        <f>MIN(C_sat_CO2,MAX(C_air_CO2,(pool_ret*Q497+pool_b)*N497+P497*O497))</f>
        <v>17.694259918399</v>
      </c>
      <c r="S497" s="41">
        <f>IF(AND(R497&gt;=CO2_pH_hi_mt,R498&lt;CO2_pH_hi_mt),EXP(LN(A497)+(LN(A498)-LN(A497))*(R497-CO2_pH_hi_mt)/(R497-R498)),0)</f>
        <v>0.0</v>
      </c>
    </row>
    <row r="498">
      <c r="A498" s="41">
        <f>A497*grid_ratio</f>
        <v>14.603895277668</v>
      </c>
      <c r="B498" s="41">
        <f>MAX(0,A498*60-spg_dur)</f>
        <v>875.583716660096</v>
      </c>
      <c r="C498" s="41">
        <f>k_eff_CO2*B498</f>
        <v>0.012714260422</v>
      </c>
      <c r="D498" s="41">
        <f>EXP(-C498)</f>
        <v>0.987366224324</v>
      </c>
      <c r="E498" s="41">
        <f>IF(C498&gt;0,(1-D498)/C498,1)</f>
        <v>0.993669726439</v>
      </c>
      <c r="F498" s="41">
        <f>IF(C498&gt;0,(C498-1+D498)/C498^2,1/2)</f>
        <v>0.497887675023</v>
      </c>
      <c r="G498" s="41">
        <f>(C_air_CO2/C_sat_CO2*F_vent_ex-CO2_fix_sched)*(B498/3600)/(V_L_CO2+Vg_CO2)</f>
        <v>-0.168009752659</v>
      </c>
      <c r="H498" s="41">
        <f>(G498*E498+pool_b*D498)/(1-pool_ret*D498)</f>
        <v>23.042035275074</v>
      </c>
      <c r="I498" s="41">
        <f>MIN(C_sat_CO2,MAX(C_air_CO2,(pool_ret*H498+pool_b)*E498+G498*F498))</f>
        <v>23.273501302854</v>
      </c>
      <c r="J498" s="41">
        <f>IF(AND(I498&gt;=CO2_pH_hi_mt,I499&lt;CO2_pH_hi_mt),EXP(LN(A498)+(LN(A499)-LN(A498))*(I498-CO2_pH_hi_mt)/(I498-I499)),0)</f>
        <v>0.0</v>
      </c>
      <c r="L498" s="41">
        <f>k_eff_CO2_l*B498</f>
        <v>0.063592030797</v>
      </c>
      <c r="M498" s="41">
        <f>EXP(-L498)</f>
        <v>0.938387754753</v>
      </c>
      <c r="N498" s="41">
        <f>IF(L498&gt;0,(1-M498)/L498,1)</f>
        <v>0.968867395398</v>
      </c>
      <c r="O498" s="41">
        <f>IF(L498&gt;0,(L498-1+M498)/L498^2,1/2)</f>
        <v>0.489567705452</v>
      </c>
      <c r="P498" s="41">
        <f>(C_air_CO2/C_sat_CO2*F_vent_ex-CO2_fix_l)*(B498/3600)/(V_L_CO2+Vg_CO2)</f>
        <v>0.0001469620592332</v>
      </c>
      <c r="Q498" s="41">
        <f>(P498*N498+pool_b*M498)/(1-pool_ret*M498)</f>
        <v>16.411823113243</v>
      </c>
      <c r="R498" s="41">
        <f>MIN(C_sat_CO2,MAX(C_air_CO2,(pool_ret*Q498+pool_b)*N498+P498*O498))</f>
        <v>16.944818167157</v>
      </c>
      <c r="S498" s="41">
        <f>IF(AND(R498&gt;=CO2_pH_hi_mt,R499&lt;CO2_pH_hi_mt),EXP(LN(A498)+(LN(A499)-LN(A498))*(R498-CO2_pH_hi_mt)/(R498-R499)),0)</f>
        <v>0.0</v>
      </c>
    </row>
    <row r="499">
      <c r="A499" s="41">
        <f>A498*grid_ratio</f>
        <v>16.350561618112</v>
      </c>
      <c r="B499" s="41">
        <f>MAX(0,A499*60-spg_dur)</f>
        <v>980.383697086743</v>
      </c>
      <c r="C499" s="41">
        <f>k_eff_CO2*B499</f>
        <v>0.014236050079</v>
      </c>
      <c r="D499" s="41">
        <f>EXP(-C499)</f>
        <v>0.98586480333</v>
      </c>
      <c r="E499" s="41">
        <f>IF(C499&gt;0,(1-D499)/C499,1)</f>
        <v>0.992915632608</v>
      </c>
      <c r="F499" s="41">
        <f>IF(C499&gt;0,(C499-1+D499)/C499^2,1/2)</f>
        <v>0.497635745381</v>
      </c>
      <c r="G499" s="41">
        <f>(C_air_CO2/C_sat_CO2*F_vent_ex-CO2_fix_sched)*(B499/3600)/(V_L_CO2+Vg_CO2)</f>
        <v>-0.188119101948</v>
      </c>
      <c r="H499" s="41">
        <f>(G499*E499+pool_b*D499)/(1-pool_ret*D499)</f>
        <v>22.51874402981</v>
      </c>
      <c r="I499" s="41">
        <f>MIN(C_sat_CO2,MAX(C_air_CO2,(pool_ret*H499+pool_b)*E499+G499*F499))</f>
        <v>22.774303845362</v>
      </c>
      <c r="J499" s="41">
        <f>IF(AND(I499&gt;=CO2_pH_hi_mt,I500&lt;CO2_pH_hi_mt),EXP(LN(A499)+(LN(A500)-LN(A499))*(I499-CO2_pH_hi_mt)/(I499-I500)),0)</f>
        <v>0.0</v>
      </c>
      <c r="L499" s="41">
        <f>k_eff_CO2_l*B499</f>
        <v>0.071203460128</v>
      </c>
      <c r="M499" s="41">
        <f>EXP(-L499)</f>
        <v>0.93127239605</v>
      </c>
      <c r="N499" s="41">
        <f>IF(L499&gt;0,(1-M499)/L499,1)</f>
        <v>0.965228428879</v>
      </c>
      <c r="O499" s="41">
        <f>IF(L499&gt;0,(L499-1+M499)/L499^2,1/2)</f>
        <v>0.488341030877</v>
      </c>
      <c r="P499" s="41">
        <f>(C_air_CO2/C_sat_CO2*F_vent_ex-CO2_fix_l)*(B499/3600)/(V_L_CO2+Vg_CO2)</f>
        <v>0.0001645521772745</v>
      </c>
      <c r="Q499" s="41">
        <f>(P499*N499+pool_b*M499)/(1-pool_ret*M499)</f>
        <v>15.608549065484</v>
      </c>
      <c r="R499" s="41">
        <f>MIN(C_sat_CO2,MAX(C_air_CO2,(pool_ret*Q499+pool_b)*N499+P499*O499))</f>
        <v>16.177583360793</v>
      </c>
      <c r="S499" s="41">
        <f>IF(AND(R499&gt;=CO2_pH_hi_mt,R500&lt;CO2_pH_hi_mt),EXP(LN(A499)+(LN(A500)-LN(A499))*(R499-CO2_pH_hi_mt)/(R499-R500)),0)</f>
        <v>0.0</v>
      </c>
    </row>
    <row r="500">
      <c r="A500" s="41">
        <f>A499*grid_ratio</f>
        <v>18.306134092628</v>
      </c>
      <c r="B500" s="41">
        <f>MAX(0,A500*60-spg_dur)</f>
        <v>1097.71804555767</v>
      </c>
      <c r="C500" s="41">
        <f>k_eff_CO2*B500</f>
        <v>0.015939849995</v>
      </c>
      <c r="D500" s="41">
        <f>EXP(-C500)</f>
        <v>0.984186517099</v>
      </c>
      <c r="E500" s="41">
        <f>IF(C500&gt;0,(1-D500)/C500,1)</f>
        <v>0.99207225326</v>
      </c>
      <c r="F500" s="41">
        <f>IF(C500&gt;0,(C500-1+D500)/C500^2,1/2)</f>
        <v>0.497353911291</v>
      </c>
      <c r="G500" s="41">
        <f>(C_air_CO2/C_sat_CO2*F_vent_ex-CO2_fix_sched)*(B500/3600)/(V_L_CO2+Vg_CO2)</f>
        <v>-0.210633585132</v>
      </c>
      <c r="H500" s="41">
        <f>(G500*E500+pool_b*D500)/(1-pool_ret*D500)</f>
        <v>21.949601533565</v>
      </c>
      <c r="I500" s="41">
        <f>MIN(C_sat_CO2,MAX(C_air_CO2,(pool_ret*H500+pool_b)*E500+G500*F500))</f>
        <v>22.231350023011</v>
      </c>
      <c r="J500" s="41">
        <f>IF(AND(I500&gt;=CO2_pH_hi_mt,I501&lt;CO2_pH_hi_mt),EXP(LN(A500)+(LN(A501)-LN(A500))*(I500-CO2_pH_hi_mt)/(I500-I501)),0)</f>
        <v>0.0</v>
      </c>
      <c r="L500" s="41">
        <f>k_eff_CO2_l*B500</f>
        <v>0.079725237498</v>
      </c>
      <c r="M500" s="41">
        <f>EXP(-L500)</f>
        <v>0.923370018992</v>
      </c>
      <c r="N500" s="41">
        <f>IF(L500&gt;0,(1-M500)/L500,1)</f>
        <v>0.961175951468</v>
      </c>
      <c r="O500" s="41">
        <f>IF(L500&gt;0,(L500-1+M500)/L500^2,1/2)</f>
        <v>0.486973131102</v>
      </c>
      <c r="P500" s="41">
        <f>(C_air_CO2/C_sat_CO2*F_vent_ex-CO2_fix_l)*(B500/3600)/(V_L_CO2+Vg_CO2)</f>
        <v>0.0001842461221732</v>
      </c>
      <c r="Q500" s="41">
        <f>(P500*N500+pool_b*M500)/(1-pool_ret*M500)</f>
        <v>14.791443303611</v>
      </c>
      <c r="R500" s="41">
        <f>MIN(C_sat_CO2,MAX(C_air_CO2,(pool_ret*Q500+pool_b)*N500+P500*O500))</f>
        <v>15.396961054051</v>
      </c>
      <c r="S500" s="41">
        <f>IF(AND(R500&gt;=CO2_pH_hi_mt,R501&lt;CO2_pH_hi_mt),EXP(LN(A500)+(LN(A501)-LN(A500))*(R500-CO2_pH_hi_mt)/(R500-R501)),0)</f>
        <v>0.0</v>
      </c>
    </row>
    <row r="501">
      <c r="A501" s="41">
        <f>A500*grid_ratio</f>
        <v>20.495598453698</v>
      </c>
      <c r="B501" s="41">
        <f>MAX(0,A501*60-spg_dur)</f>
        <v>1229.085907221855</v>
      </c>
      <c r="C501" s="41">
        <f>k_eff_CO2*B501</f>
        <v>0.017847429102</v>
      </c>
      <c r="D501" s="41">
        <f>EXP(-C501)</f>
        <v>0.982310892981</v>
      </c>
      <c r="E501" s="41">
        <f>IF(C501&gt;0,(1-D501)/C501,1)</f>
        <v>0.991129137873</v>
      </c>
      <c r="F501" s="41">
        <f>IF(C501&gt;0,(C501-1+D501)/C501^2,1/2)</f>
        <v>0.497038653363</v>
      </c>
      <c r="G501" s="41">
        <f>(C_air_CO2/C_sat_CO2*F_vent_ex-CO2_fix_sched)*(B501/3600)/(V_L_CO2+Vg_CO2)</f>
        <v>-0.23584086289</v>
      </c>
      <c r="H501" s="41">
        <f>(G501*E501+pool_b*D501)/(1-pool_ret*D501)</f>
        <v>21.332429681276</v>
      </c>
      <c r="I501" s="41">
        <f>MIN(C_sat_CO2,MAX(C_air_CO2,(pool_ret*H501+pool_b)*E501+G501*F501))</f>
        <v>21.642556869588</v>
      </c>
      <c r="J501" s="41">
        <f>IF(AND(I501&gt;=CO2_pH_hi_mt,I502&lt;CO2_pH_hi_mt),EXP(LN(A501)+(LN(A502)-LN(A501))*(I501-CO2_pH_hi_mt)/(I501-I502)),0)</f>
        <v>0.0</v>
      </c>
      <c r="L501" s="41">
        <f>k_eff_CO2_l*B501</f>
        <v>0.089266243053</v>
      </c>
      <c r="M501" s="41">
        <f>EXP(-L501)</f>
        <v>0.914602034718</v>
      </c>
      <c r="N501" s="41">
        <f>IF(L501&gt;0,(1-M501)/L501,1)</f>
        <v>0.95666583875</v>
      </c>
      <c r="O501" s="41">
        <f>IF(L501&gt;0,(L501-1+M501)/L501^2,1/2)</f>
        <v>0.485448471536</v>
      </c>
      <c r="P501" s="41">
        <f>(C_air_CO2/C_sat_CO2*F_vent_ex-CO2_fix_l)*(B501/3600)/(V_L_CO2+Vg_CO2)</f>
        <v>0.0002062955174507</v>
      </c>
      <c r="Q501" s="41">
        <f>(P501*N501+pool_b*M501)/(1-pool_ret*M501)</f>
        <v>13.965498192547</v>
      </c>
      <c r="R501" s="41">
        <f>MIN(C_sat_CO2,MAX(C_air_CO2,(pool_ret*Q501+pool_b)*N501+P501*O501))</f>
        <v>14.607684353152</v>
      </c>
      <c r="S501" s="41">
        <f>IF(AND(R501&gt;=CO2_pH_hi_mt,R502&lt;CO2_pH_hi_mt),EXP(LN(A501)+(LN(A502)-LN(A501))*(R501-CO2_pH_hi_mt)/(R501-R502)),0)</f>
        <v>0.0</v>
      </c>
    </row>
    <row r="502">
      <c r="A502" s="41">
        <f>A501*grid_ratio</f>
        <v>22.946928819033</v>
      </c>
      <c r="B502" s="41">
        <f>MAX(0,A502*60-spg_dur)</f>
        <v>1376.165729142002</v>
      </c>
      <c r="C502" s="41">
        <f>k_eff_CO2*B502</f>
        <v>0.019983159956</v>
      </c>
      <c r="D502" s="41">
        <f>EXP(-C502)</f>
        <v>0.980215180035</v>
      </c>
      <c r="E502" s="41">
        <f>IF(C502&gt;0,(1-D502)/C502,1)</f>
        <v>0.990074643302</v>
      </c>
      <c r="F502" s="41">
        <f>IF(C502&gt;0,(C502-1+D502)/C502^2,1/2)</f>
        <v>0.496686045675</v>
      </c>
      <c r="G502" s="41">
        <f>(C_air_CO2/C_sat_CO2*F_vent_ex-CO2_fix_sched)*(B502/3600)/(V_L_CO2+Vg_CO2)</f>
        <v>-0.264063000912</v>
      </c>
      <c r="H502" s="41">
        <f>(G502*E502+pool_b*D502)/(1-pool_ret*D502)</f>
        <v>20.665331589318</v>
      </c>
      <c r="I502" s="41">
        <f>MIN(C_sat_CO2,MAX(C_air_CO2,(pool_ret*H502+pool_b)*E502+G502*F502))</f>
        <v>21.006108551568</v>
      </c>
      <c r="J502" s="41">
        <f>IF(AND(I502&gt;=CO2_pH_hi_mt,I503&lt;CO2_pH_hi_mt),EXP(LN(A502)+(LN(A503)-LN(A502))*(I502-CO2_pH_hi_mt)/(I502-I503)),0)</f>
        <v>0.0</v>
      </c>
      <c r="L502" s="41">
        <f>k_eff_CO2_l*B502</f>
        <v>0.099948379309</v>
      </c>
      <c r="M502" s="41">
        <f>EXP(-L502)</f>
        <v>0.904884127574</v>
      </c>
      <c r="N502" s="41">
        <f>IF(L502&gt;0,(1-M502)/L502,1)</f>
        <v>0.951649972549</v>
      </c>
      <c r="O502" s="41">
        <f>IF(L502&gt;0,(L502-1+M502)/L502^2,1/2)</f>
        <v>0.4837499896</v>
      </c>
      <c r="P502" s="41">
        <f>(C_air_CO2/C_sat_CO2*F_vent_ex-CO2_fix_l)*(B502/3600)/(V_L_CO2+Vg_CO2)</f>
        <v>0.0002309820814991</v>
      </c>
      <c r="Q502" s="41">
        <f>(P502*N502+pool_b*M502)/(1-pool_ret*M502)</f>
        <v>13.135936116114</v>
      </c>
      <c r="R502" s="41">
        <f>MIN(C_sat_CO2,MAX(C_air_CO2,(pool_ret*Q502+pool_b)*N502+P502*O502))</f>
        <v>13.814702663977</v>
      </c>
      <c r="S502" s="41">
        <f>IF(AND(R502&gt;=CO2_pH_hi_mt,R503&lt;CO2_pH_hi_mt),EXP(LN(A502)+(LN(A503)-LN(A502))*(R502-CO2_pH_hi_mt)/(R502-R503)),0)</f>
        <v>0.0</v>
      </c>
    </row>
    <row r="503">
      <c r="A503" s="41">
        <f>A502*grid_ratio</f>
        <v>25.691445088337</v>
      </c>
      <c r="B503" s="41">
        <f>MAX(0,A503*60-spg_dur)</f>
        <v>1540.836705300242</v>
      </c>
      <c r="C503" s="41">
        <f>k_eff_CO2*B503</f>
        <v>0.022374330137</v>
      </c>
      <c r="D503" s="41">
        <f>EXP(-C503)</f>
        <v>0.977874118778</v>
      </c>
      <c r="E503" s="41">
        <f>IF(C503&gt;0,(1-D503)/C503,1)</f>
        <v>0.988895805419</v>
      </c>
      <c r="F503" s="41">
        <f>IF(C503&gt;0,(C503-1+D503)/C503^2,1/2)</f>
        <v>0.496291710761</v>
      </c>
      <c r="G503" s="41">
        <f>(C_air_CO2/C_sat_CO2*F_vent_ex-CO2_fix_sched)*(B503/3600)/(V_L_CO2+Vg_CO2)</f>
        <v>-0.295660584842</v>
      </c>
      <c r="H503" s="41">
        <f>(G503*E503+pool_b*D503)/(1-pool_ret*D503)</f>
        <v>19.946779277723</v>
      </c>
      <c r="I503" s="41">
        <f>MIN(C_sat_CO2,MAX(C_air_CO2,(pool_ret*H503+pool_b)*E503+G503*F503))</f>
        <v>20.320539824605</v>
      </c>
      <c r="J503" s="41">
        <f>IF(AND(I503&gt;=CO2_pH_hi_mt,I504&lt;CO2_pH_hi_mt),EXP(LN(A503)+(LN(A504)-LN(A503))*(I503-CO2_pH_hi_mt)/(I503-I504)),0)</f>
        <v>0.0</v>
      </c>
      <c r="L503" s="41">
        <f>k_eff_CO2_l*B503</f>
        <v>0.11190812866</v>
      </c>
      <c r="M503" s="41">
        <f>EXP(-L503)</f>
        <v>0.894126398317</v>
      </c>
      <c r="N503" s="41">
        <f>IF(L503&gt;0,(1-M503)/L503,1)</f>
        <v>0.946076062126</v>
      </c>
      <c r="O503" s="41">
        <f>IF(L503&gt;0,(L503-1+M503)/L503^2,1/2)</f>
        <v>0.481858990224</v>
      </c>
      <c r="P503" s="41">
        <f>(C_air_CO2/C_sat_CO2*F_vent_ex-CO2_fix_l)*(B503/3600)/(V_L_CO2+Vg_CO2)</f>
        <v>0.0002586212270105</v>
      </c>
      <c r="Q503" s="41">
        <f>(P503*N503+pool_b*M503)/(1-pool_ret*M503)</f>
        <v>12.308081183342</v>
      </c>
      <c r="R503" s="41">
        <f>MIN(C_sat_CO2,MAX(C_air_CO2,(pool_ret*Q503+pool_b)*N503+P503*O503))</f>
        <v>13.023059092976</v>
      </c>
      <c r="S503" s="41">
        <f>IF(AND(R503&gt;=CO2_pH_hi_mt,R504&lt;CO2_pH_hi_mt),EXP(LN(A503)+(LN(A504)-LN(A503))*(R503-CO2_pH_hi_mt)/(R503-R504)),0)</f>
        <v>0.0</v>
      </c>
    </row>
    <row r="504">
      <c r="A504" s="41">
        <f>A503*grid_ratio</f>
        <v>28.764213108099</v>
      </c>
      <c r="B504" s="41">
        <f>MAX(0,A504*60-spg_dur)</f>
        <v>1725.202786485941</v>
      </c>
      <c r="C504" s="41">
        <f>k_eff_CO2*B504</f>
        <v>0.025051490898</v>
      </c>
      <c r="D504" s="41">
        <f>EXP(-C504)</f>
        <v>0.975259693738</v>
      </c>
      <c r="E504" s="41">
        <f>IF(C504&gt;0,(1-D504)/C504,1)</f>
        <v>0.987578198946</v>
      </c>
      <c r="F504" s="41">
        <f>IF(C504&gt;0,(C504-1+D504)/C504^2,1/2)</f>
        <v>0.495850770097</v>
      </c>
      <c r="G504" s="41">
        <f>(C_air_CO2/C_sat_CO2*F_vent_ex-CO2_fix_sched)*(B504/3600)/(V_L_CO2+Vg_CO2)</f>
        <v>-0.331037327361</v>
      </c>
      <c r="H504" s="41">
        <f>(G504*E504+pool_b*D504)/(1-pool_ret*D504)</f>
        <v>19.175706626452</v>
      </c>
      <c r="I504" s="41">
        <f>MIN(C_sat_CO2,MAX(C_air_CO2,(pool_ret*H504+pool_b)*E504+G504*F504))</f>
        <v>19.584824503823</v>
      </c>
      <c r="J504" s="41">
        <f>IF(AND(I504&gt;=CO2_pH_hi_mt,I505&lt;CO2_pH_hi_mt),EXP(LN(A504)+(LN(A505)-LN(A504))*(I504-CO2_pH_hi_mt)/(I504-I505)),0)</f>
        <v>0.0</v>
      </c>
      <c r="L504" s="41">
        <f>k_eff_CO2_l*B504</f>
        <v>0.125298297173</v>
      </c>
      <c r="M504" s="41">
        <f>EXP(-L504)</f>
        <v>0.882233695513</v>
      </c>
      <c r="N504" s="41">
        <f>IF(L504&gt;0,(1-M504)/L504,1)</f>
        <v>0.939887509605</v>
      </c>
      <c r="O504" s="41">
        <f>IF(L504&gt;0,(L504-1+M504)/L504^2,1/2)</f>
        <v>0.479755046565</v>
      </c>
      <c r="P504" s="41">
        <f>(C_air_CO2/C_sat_CO2*F_vent_ex-CO2_fix_l)*(B504/3600)/(V_L_CO2+Vg_CO2)</f>
        <v>0.000289566090909</v>
      </c>
      <c r="Q504" s="41">
        <f>(P504*N504+pool_b*M504)/(1-pool_ret*M504)</f>
        <v>11.487225733613</v>
      </c>
      <c r="R504" s="41">
        <f>MIN(C_sat_CO2,MAX(C_air_CO2,(pool_ret*Q504+pool_b)*N504+P504*O504))</f>
        <v>12.237762854898</v>
      </c>
      <c r="S504" s="41">
        <f>IF(AND(R504&gt;=CO2_pH_hi_mt,R505&lt;CO2_pH_hi_mt),EXP(LN(A504)+(LN(A505)-LN(A504))*(R504-CO2_pH_hi_mt)/(R504-R505)),0)</f>
        <v>0.0</v>
      </c>
    </row>
    <row r="505">
      <c r="A505" s="41">
        <f>A504*grid_ratio</f>
        <v>32.20449269721</v>
      </c>
      <c r="B505" s="41">
        <f>MAX(0,A505*60-spg_dur)</f>
        <v>1931.619561832606</v>
      </c>
      <c r="C505" s="41">
        <f>k_eff_CO2*B505</f>
        <v>0.028048847505</v>
      </c>
      <c r="D505" s="41">
        <f>EXP(-C505)</f>
        <v>0.972340869216</v>
      </c>
      <c r="E505" s="41">
        <f>IF(C505&gt;0,(1-D505)/C505,1)</f>
        <v>0.986105784894</v>
      </c>
      <c r="F505" s="41">
        <f>IF(C505&gt;0,(C505-1+D505)/C505^2,1/2)</f>
        <v>0.49535778979</v>
      </c>
      <c r="G505" s="41">
        <f>(C_air_CO2/C_sat_CO2*F_vent_ex-CO2_fix_sched)*(B505/3600)/(V_L_CO2+Vg_CO2)</f>
        <v>-0.37064522631</v>
      </c>
      <c r="H505" s="41">
        <f>(G505*E505+pool_b*D505)/(1-pool_ret*D505)</f>
        <v>18.351604437128</v>
      </c>
      <c r="I505" s="41">
        <f>MIN(C_sat_CO2,MAX(C_air_CO2,(pool_ret*H505+pool_b)*E505+G505*F505))</f>
        <v>18.798465926851</v>
      </c>
      <c r="J505" s="41">
        <f>IF(AND(I505&gt;=CO2_pH_hi_mt,I506&lt;CO2_pH_hi_mt),EXP(LN(A505)+(LN(A506)-LN(A505))*(I505-CO2_pH_hi_mt)/(I505-I506)),0)</f>
        <v>0.0</v>
      </c>
      <c r="L505" s="41">
        <f>k_eff_CO2_l*B505</f>
        <v>0.140289966941</v>
      </c>
      <c r="M505" s="41">
        <f>EXP(-L505)</f>
        <v>0.869106186795</v>
      </c>
      <c r="N505" s="41">
        <f>IF(L505&gt;0,(1-M505)/L505,1)</f>
        <v>0.933023337725</v>
      </c>
      <c r="O505" s="41">
        <f>IF(L505&gt;0,(L505-1+M505)/L505^2,1/2)</f>
        <v>0.47741591031</v>
      </c>
      <c r="P505" s="41">
        <f>(C_air_CO2/C_sat_CO2*F_vent_ex-CO2_fix_l)*(B505/3600)/(V_L_CO2+Vg_CO2)</f>
        <v>0.0003242120462734</v>
      </c>
      <c r="Q505" s="41">
        <f>(P505*N505+pool_b*M505)/(1-pool_ret*M505)</f>
        <v>10.678498785625</v>
      </c>
      <c r="R505" s="41">
        <f>MIN(C_sat_CO2,MAX(C_air_CO2,(pool_ret*Q505+pool_b)*N505+P505*O505))</f>
        <v>11.463663493393</v>
      </c>
      <c r="S505" s="41">
        <f>IF(AND(R505&gt;=CO2_pH_hi_mt,R506&lt;CO2_pH_hi_mt),EXP(LN(A505)+(LN(A506)-LN(A505))*(R505-CO2_pH_hi_mt)/(R505-R506)),0)</f>
        <v>0.0</v>
      </c>
    </row>
    <row r="506">
      <c r="A506" s="41">
        <f>A505*grid_ratio</f>
        <v>36.056239257685</v>
      </c>
      <c r="B506" s="41">
        <f>MAX(0,A506*60-spg_dur)</f>
        <v>2162.724355461104</v>
      </c>
      <c r="C506" s="41">
        <f>k_eff_CO2*B506</f>
        <v>0.031404696266</v>
      </c>
      <c r="D506" s="41">
        <f>EXP(-C506)</f>
        <v>0.969083309311</v>
      </c>
      <c r="E506" s="41">
        <f>IF(C506&gt;0,(1-D506)/C506,1)</f>
        <v>0.984460745212</v>
      </c>
      <c r="F506" s="41">
        <f>IF(C506&gt;0,(C506-1+D506)/C506^2,1/2)</f>
        <v>0.494806721148</v>
      </c>
      <c r="G506" s="41">
        <f>(C_air_CO2/C_sat_CO2*F_vent_ex-CO2_fix_sched)*(B506/3600)/(V_L_CO2+Vg_CO2)</f>
        <v>-0.414990339721</v>
      </c>
      <c r="H506" s="41">
        <f>(G506*E506+pool_b*D506)/(1-pool_ret*D506)</f>
        <v>17.474613484038</v>
      </c>
      <c r="I506" s="41">
        <f>MIN(C_sat_CO2,MAX(C_air_CO2,(pool_ret*H506+pool_b)*E506+G506*F506))</f>
        <v>17.961585485315</v>
      </c>
      <c r="J506" s="41">
        <f>IF(AND(I506&gt;=CO2_pH_hi_mt,I507&lt;CO2_pH_hi_mt),EXP(LN(A506)+(LN(A507)-LN(A506))*(I506-CO2_pH_hi_mt)/(I506-I507)),0)</f>
        <v>0.0</v>
      </c>
      <c r="L506" s="41">
        <f>k_eff_CO2_l*B506</f>
        <v>0.157074681954</v>
      </c>
      <c r="M506" s="41">
        <f>EXP(-L506)</f>
        <v>0.854640230232</v>
      </c>
      <c r="N506" s="41">
        <f>IF(L506&gt;0,(1-M506)/L506,1)</f>
        <v>0.925418202092</v>
      </c>
      <c r="O506" s="41">
        <f>IF(L506&gt;0,(L506-1+M506)/L506^2,1/2)</f>
        <v>0.474817437031</v>
      </c>
      <c r="P506" s="41">
        <f>(C_air_CO2/C_sat_CO2*F_vent_ex-CO2_fix_l)*(B506/3600)/(V_L_CO2+Vg_CO2)</f>
        <v>0.0003630017538982</v>
      </c>
      <c r="Q506" s="41">
        <f>(P506*N506+pool_b*M506)/(1-pool_ret*M506)</f>
        <v>9.886743402216</v>
      </c>
      <c r="R506" s="41">
        <f>MIN(C_sat_CO2,MAX(C_air_CO2,(pool_ret*Q506+pool_b)*N506+P506*O506))</f>
        <v>10.705333555939</v>
      </c>
      <c r="S506" s="41">
        <f>IF(AND(R506&gt;=CO2_pH_hi_mt,R507&lt;CO2_pH_hi_mt),EXP(LN(A506)+(LN(A507)-LN(A506))*(R506-CO2_pH_hi_mt)/(R506-R507)),0)</f>
        <v>0.0</v>
      </c>
    </row>
    <row r="507">
      <c r="A507" s="41">
        <f>A506*grid_ratio</f>
        <v>40.368665379413</v>
      </c>
      <c r="B507" s="41">
        <f>MAX(0,A507*60-spg_dur)</f>
        <v>2421.469922764789</v>
      </c>
      <c r="C507" s="41">
        <f>k_eff_CO2*B507</f>
        <v>0.035161913838</v>
      </c>
      <c r="D507" s="41">
        <f>EXP(-C507)</f>
        <v>0.965449084035</v>
      </c>
      <c r="E507" s="41">
        <f>IF(C507&gt;0,(1-D507)/C507,1)</f>
        <v>0.98262330441</v>
      </c>
      <c r="F507" s="41">
        <f>IF(C507&gt;0,(C507-1+D507)/C507^2,1/2)</f>
        <v>0.494190835874</v>
      </c>
      <c r="G507" s="41">
        <f>(C_air_CO2/C_sat_CO2*F_vent_ex-CO2_fix_sched)*(B507/3600)/(V_L_CO2+Vg_CO2)</f>
        <v>-0.464639251569</v>
      </c>
      <c r="H507" s="41">
        <f>(G507*E507+pool_b*D507)/(1-pool_ret*D507)</f>
        <v>16.545610568366</v>
      </c>
      <c r="I507" s="41">
        <f>MIN(C_sat_CO2,MAX(C_air_CO2,(pool_ret*H507+pool_b)*E507+G507*F507))</f>
        <v>17.07500447137</v>
      </c>
      <c r="J507" s="41">
        <f>IF(AND(I507&gt;=CO2_pH_hi_mt,I508&lt;CO2_pH_hi_mt),EXP(LN(A507)+(LN(A508)-LN(A507))*(I507-CO2_pH_hi_mt)/(I507-I508)),0)</f>
        <v>0.0</v>
      </c>
      <c r="L507" s="41">
        <f>k_eff_CO2_l*B507</f>
        <v>0.17586689539</v>
      </c>
      <c r="M507" s="41">
        <f>EXP(-L507)</f>
        <v>0.838729614686</v>
      </c>
      <c r="N507" s="41">
        <f>IF(L507&gt;0,(1-M507)/L507,1)</f>
        <v>0.917002514638</v>
      </c>
      <c r="O507" s="41">
        <f>IF(L507&gt;0,(L507-1+M507)/L507^2,1/2)</f>
        <v>0.471933533473</v>
      </c>
      <c r="P507" s="41">
        <f>(C_air_CO2/C_sat_CO2*F_vent_ex-CO2_fix_l)*(B507/3600)/(V_L_CO2+Vg_CO2)</f>
        <v>0.0004064308180355</v>
      </c>
      <c r="Q507" s="41">
        <f>(P507*N507+pool_b*M507)/(1-pool_ret*M507)</f>
        <v>9.116409146645</v>
      </c>
      <c r="R507" s="41">
        <f>MIN(C_sat_CO2,MAX(C_air_CO2,(pool_ret*Q507+pool_b)*N507+P507*O507))</f>
        <v>9.966965605859</v>
      </c>
      <c r="S507" s="41">
        <f>IF(AND(R507&gt;=CO2_pH_hi_mt,R508&lt;CO2_pH_hi_mt),EXP(LN(A507)+(LN(A508)-LN(A507))*(R507-CO2_pH_hi_mt)/(R507-R508)),0)</f>
        <v>0.0</v>
      </c>
    </row>
    <row r="508">
      <c r="A508" s="41">
        <f>A507*grid_ratio</f>
        <v>45.196869614395</v>
      </c>
      <c r="B508" s="41">
        <f>MAX(0,A508*60-spg_dur)</f>
        <v>2711.162176863714</v>
      </c>
      <c r="C508" s="41">
        <f>k_eff_CO2*B508</f>
        <v>0.039368505042</v>
      </c>
      <c r="D508" s="41">
        <f>EXP(-C508)</f>
        <v>0.961396364454</v>
      </c>
      <c r="E508" s="41">
        <f>IF(C508&gt;0,(1-D508)/C508,1)</f>
        <v>0.980571538213</v>
      </c>
      <c r="F508" s="41">
        <f>IF(C508&gt;0,(C508-1+D508)/C508^2,1/2)</f>
        <v>0.49350265564</v>
      </c>
      <c r="G508" s="41">
        <f>(C_air_CO2/C_sat_CO2*F_vent_ex-CO2_fix_sched)*(B508/3600)/(V_L_CO2+Vg_CO2)</f>
        <v>-0.520226310845</v>
      </c>
      <c r="H508" s="41">
        <f>(G508*E508+pool_b*D508)/(1-pool_ret*D508)</f>
        <v>15.566281915165</v>
      </c>
      <c r="I508" s="41">
        <f>MIN(C_sat_CO2,MAX(C_air_CO2,(pool_ret*H508+pool_b)*E508+G508*F508))</f>
        <v>16.140313842913</v>
      </c>
      <c r="J508" s="41">
        <f>IF(AND(I508&gt;=CO2_pH_hi_mt,I509&lt;CO2_pH_hi_mt),EXP(LN(A508)+(LN(A509)-LN(A508))*(I508-CO2_pH_hi_mt)/(I508-I509)),0)</f>
        <v>0.0</v>
      </c>
      <c r="L508" s="41">
        <f>k_eff_CO2_l*B508</f>
        <v>0.196906709623</v>
      </c>
      <c r="M508" s="41">
        <f>EXP(-L508)</f>
        <v>0.82126724607</v>
      </c>
      <c r="N508" s="41">
        <f>IF(L508&gt;0,(1-M508)/L508,1)</f>
        <v>0.907702709939</v>
      </c>
      <c r="O508" s="41">
        <f>IF(L508&gt;0,(L508-1+M508)/L508^2,1/2)</f>
        <v>0.468736135185</v>
      </c>
      <c r="P508" s="41">
        <f>(C_air_CO2/C_sat_CO2*F_vent_ex-CO2_fix_l)*(B508/3600)/(V_L_CO2+Vg_CO2)</f>
        <v>0.0004550541185792</v>
      </c>
      <c r="Q508" s="41">
        <f>(P508*N508+pool_b*M508)/(1-pool_ret*M508)</f>
        <v>8.371464493265</v>
      </c>
      <c r="R508" s="41">
        <f>MIN(C_sat_CO2,MAX(C_air_CO2,(pool_ret*Q508+pool_b)*N508+P508*O508))</f>
        <v>9.252288204007</v>
      </c>
      <c r="S508" s="41">
        <f>IF(AND(R508&gt;=CO2_pH_hi_mt,R509&lt;CO2_pH_hi_mt),EXP(LN(A508)+(LN(A509)-LN(A508))*(R508-CO2_pH_hi_mt)/(R508-R509)),0)</f>
        <v>0.0</v>
      </c>
    </row>
    <row r="509">
      <c r="A509" s="41">
        <f>A508*grid_ratio</f>
        <v>50.602540454121</v>
      </c>
      <c r="B509" s="41">
        <f>MAX(0,A509*60-spg_dur)</f>
        <v>3035.502427247282</v>
      </c>
      <c r="C509" s="41">
        <f>k_eff_CO2*B509</f>
        <v>0.04407821621</v>
      </c>
      <c r="D509" s="41">
        <f>EXP(-C509)</f>
        <v>0.956879111089</v>
      </c>
      <c r="E509" s="41">
        <f>IF(C509&gt;0,(1-D509)/C509,1)</f>
        <v>0.978281169684</v>
      </c>
      <c r="F509" s="41">
        <f>IF(C509&gt;0,(C509-1+D509)/C509^2,1/2)</f>
        <v>0.492733875897</v>
      </c>
      <c r="G509" s="41">
        <f>(C_air_CO2/C_sat_CO2*F_vent_ex-CO2_fix_sched)*(B509/3600)/(V_L_CO2+Vg_CO2)</f>
        <v>-0.582461736433</v>
      </c>
      <c r="H509" s="41">
        <f>(G509*E509+pool_b*D509)/(1-pool_ret*D509)</f>
        <v>14.539177904466</v>
      </c>
      <c r="I509" s="41">
        <f>MIN(C_sat_CO2,MAX(C_air_CO2,(pool_ret*H509+pool_b)*E509+G509*F509))</f>
        <v>15.159926179164</v>
      </c>
      <c r="J509" s="41">
        <f>IF(AND(I509&gt;=CO2_pH_hi_mt,I510&lt;CO2_pH_hi_mt),EXP(LN(A509)+(LN(A510)-LN(A509))*(I509-CO2_pH_hi_mt)/(I509-I510)),0)</f>
        <v>0.0</v>
      </c>
      <c r="L509" s="41">
        <f>k_eff_CO2_l*B509</f>
        <v>0.220462943937</v>
      </c>
      <c r="M509" s="41">
        <f>EXP(-L509)</f>
        <v>0.802147362734</v>
      </c>
      <c r="N509" s="41">
        <f>IF(L509&gt;0,(1-M509)/L509,1)</f>
        <v>0.897441691255</v>
      </c>
      <c r="O509" s="41">
        <f>IF(L509&gt;0,(L509-1+M509)/L509^2,1/2)</f>
        <v>0.46519522471</v>
      </c>
      <c r="P509" s="41">
        <f>(C_air_CO2/C_sat_CO2*F_vent_ex-CO2_fix_l)*(B509/3600)/(V_L_CO2+Vg_CO2)</f>
        <v>0.0005094929005958</v>
      </c>
      <c r="Q509" s="41">
        <f>(P509*N509+pool_b*M509)/(1-pool_ret*M509)</f>
        <v>7.655332397999</v>
      </c>
      <c r="R509" s="41">
        <f>MIN(C_sat_CO2,MAX(C_air_CO2,(pool_ret*Q509+pool_b)*N509+P509*O509))</f>
        <v>8.564503914168</v>
      </c>
      <c r="S509" s="41">
        <f>IF(AND(R509&gt;=CO2_pH_hi_mt,R510&lt;CO2_pH_hi_mt),EXP(LN(A509)+(LN(A510)-LN(A509))*(R509-CO2_pH_hi_mt)/(R509-R510)),0)</f>
        <v>0.0</v>
      </c>
    </row>
    <row r="510">
      <c r="A510" s="41">
        <f>A509*grid_ratio</f>
        <v>56.654744504594</v>
      </c>
      <c r="B510" s="41">
        <f>MAX(0,A510*60-spg_dur)</f>
        <v>3398.634670275613</v>
      </c>
      <c r="C510" s="41">
        <f>k_eff_CO2*B510</f>
        <v>0.049351221883</v>
      </c>
      <c r="D510" s="41">
        <f>EXP(-C510)</f>
        <v>0.951846761571</v>
      </c>
      <c r="E510" s="41">
        <f>IF(C510&gt;0,(1-D510)/C510,1)</f>
        <v>0.975725353728</v>
      </c>
      <c r="F510" s="41">
        <f>IF(C510&gt;0,(C510-1+D510)/C510^2,1/2)</f>
        <v>0.491875283854</v>
      </c>
      <c r="G510" s="41">
        <f>(C_air_CO2/C_sat_CO2*F_vent_ex-CO2_fix_sched)*(B510/3600)/(V_L_CO2+Vg_CO2)</f>
        <v>-0.652140691366</v>
      </c>
      <c r="H510" s="41">
        <f>(G510*E510+pool_b*D510)/(1-pool_ret*D510)</f>
        <v>13.467743233409</v>
      </c>
      <c r="I510" s="41">
        <f>MIN(C_sat_CO2,MAX(C_air_CO2,(pool_ret*H510+pool_b)*E510+G510*F510))</f>
        <v>14.137104198585</v>
      </c>
      <c r="J510" s="41">
        <f>IF(AND(I510&gt;=CO2_pH_hi_mt,I511&lt;CO2_pH_hi_mt),EXP(LN(A510)+(LN(A511)-LN(A510))*(I510-CO2_pH_hi_mt)/(I510-I511)),0)</f>
        <v>0.0</v>
      </c>
      <c r="L510" s="41">
        <f>k_eff_CO2_l*B510</f>
        <v>0.246836569146</v>
      </c>
      <c r="M510" s="41">
        <f>EXP(-L510)</f>
        <v>0.781268366454</v>
      </c>
      <c r="N510" s="41">
        <f>IF(L510&gt;0,(1-M510)/L510,1)</f>
        <v>0.886139498301</v>
      </c>
      <c r="O510" s="41">
        <f>IF(L510&gt;0,(L510-1+M510)/L510^2,1/2)</f>
        <v>0.461278902444</v>
      </c>
      <c r="P510" s="41">
        <f>(C_air_CO2/C_sat_CO2*F_vent_ex-CO2_fix_l)*(B510/3600)/(V_L_CO2+Vg_CO2)</f>
        <v>0.0005704427117835</v>
      </c>
      <c r="Q510" s="41">
        <f>(P510*N510+pool_b*M510)/(1-pool_ret*M510)</f>
        <v>6.97085043499</v>
      </c>
      <c r="R510" s="41">
        <f>MIN(C_sat_CO2,MAX(C_air_CO2,(pool_ret*Q510+pool_b)*N510+P510*O510))</f>
        <v>7.906250673627</v>
      </c>
      <c r="S510" s="41">
        <f>IF(AND(R510&gt;=CO2_pH_hi_mt,R511&lt;CO2_pH_hi_mt),EXP(LN(A510)+(LN(A511)-LN(A510))*(R510-CO2_pH_hi_mt)/(R510-R511)),0)</f>
        <v>0.0</v>
      </c>
    </row>
    <row r="511">
      <c r="A511" s="41">
        <f>A510*grid_ratio</f>
        <v>63.430808929265</v>
      </c>
      <c r="B511" s="41">
        <f>MAX(0,A511*60-spg_dur)</f>
        <v>3805.198535755897</v>
      </c>
      <c r="C511" s="41">
        <f>k_eff_CO2*B511</f>
        <v>0.055254893646</v>
      </c>
      <c r="D511" s="41">
        <f>EXP(-C511)</f>
        <v>0.946243925647</v>
      </c>
      <c r="E511" s="41">
        <f>IF(C511&gt;0,(1-D511)/C511,1)</f>
        <v>0.97287445157</v>
      </c>
      <c r="F511" s="41">
        <f>IF(C511&gt;0,(C511-1+D511)/C511^2,1/2)</f>
        <v>0.490916670716</v>
      </c>
      <c r="G511" s="41">
        <f>(C_air_CO2/C_sat_CO2*F_vent_ex-CO2_fix_sched)*(B511/3600)/(V_L_CO2+Vg_CO2)</f>
        <v>-0.73015344238</v>
      </c>
      <c r="H511" s="41">
        <f>(G511*E511+pool_b*D511)/(1-pool_ret*D511)</f>
        <v>12.356317267138</v>
      </c>
      <c r="I511" s="41">
        <f>MIN(C_sat_CO2,MAX(C_air_CO2,(pool_ret*H511+pool_b)*E511+G511*F511))</f>
        <v>13.075960840651</v>
      </c>
      <c r="J511" s="41">
        <f>IF(AND(I511&gt;=CO2_pH_hi_mt,I512&lt;CO2_pH_hi_mt),EXP(LN(A511)+(LN(A512)-LN(A511))*(I511-CO2_pH_hi_mt)/(I511-I512)),0)</f>
        <v>0.0</v>
      </c>
      <c r="L511" s="41">
        <f>k_eff_CO2_l*B511</f>
        <v>0.276364553007</v>
      </c>
      <c r="M511" s="41">
        <f>EXP(-L511)</f>
        <v>0.758536353642</v>
      </c>
      <c r="N511" s="41">
        <f>IF(L511&gt;0,(1-M511)/L511,1)</f>
        <v>0.873714243489</v>
      </c>
      <c r="O511" s="41">
        <f>IF(L511&gt;0,(L511-1+M511)/L511^2,1/2)</f>
        <v>0.456953524381</v>
      </c>
      <c r="P511" s="41">
        <f>(C_air_CO2/C_sat_CO2*F_vent_ex-CO2_fix_l)*(B511/3600)/(V_L_CO2+Vg_CO2)</f>
        <v>0.0006386822892721</v>
      </c>
      <c r="Q511" s="41">
        <f>(P511*N511+pool_b*M511)/(1-pool_ret*M511)</f>
        <v>6.320255167452</v>
      </c>
      <c r="R511" s="41">
        <f>MIN(C_sat_CO2,MAX(C_air_CO2,(pool_ret*Q511+pool_b)*N511+P511*O511))</f>
        <v>7.279586216388</v>
      </c>
      <c r="S511" s="41">
        <f>IF(AND(R511&gt;=CO2_pH_hi_mt,R512&lt;CO2_pH_hi_mt),EXP(LN(A511)+(LN(A512)-LN(A511))*(R511-CO2_pH_hi_mt)/(R511-R512)),0)</f>
        <v>0.0</v>
      </c>
    </row>
    <row r="512">
      <c r="A512" s="41">
        <f>A511*grid_ratio</f>
        <v>71.0173094346</v>
      </c>
      <c r="B512" s="41">
        <f>MAX(0,A512*60-spg_dur)</f>
        <v>4260.388566075995</v>
      </c>
      <c r="C512" s="41">
        <f>k_eff_CO2*B512</f>
        <v>0.06186466091</v>
      </c>
      <c r="D512" s="41">
        <f>EXP(-C512)</f>
        <v>0.940010098294</v>
      </c>
      <c r="E512" s="41">
        <f>IF(C512&gt;0,(1-D512)/C512,1)</f>
        <v>0.969695797629</v>
      </c>
      <c r="F512" s="41">
        <f>IF(C512&gt;0,(C512-1+D512)/C512^2,1/2)</f>
        <v>0.489846738436</v>
      </c>
      <c r="G512" s="41">
        <f>(C_air_CO2/C_sat_CO2*F_vent_ex-CO2_fix_sched)*(B512/3600)/(V_L_CO2+Vg_CO2)</f>
        <v>-0.817496734577</v>
      </c>
      <c r="H512" s="41">
        <f>(G512*E512+pool_b*D512)/(1-pool_ret*D512)</f>
        <v>11.210100603508</v>
      </c>
      <c r="I512" s="41">
        <f>MIN(C_sat_CO2,MAX(C_air_CO2,(pool_ret*H512+pool_b)*E512+G512*F512))</f>
        <v>11.981427120452</v>
      </c>
      <c r="J512" s="41">
        <f>IF(AND(I512&gt;=CO2_pH_hi_mt,I513&lt;CO2_pH_hi_mt),EXP(LN(A512)+(LN(A513)-LN(A512))*(I512-CO2_pH_hi_mt)/(I512-I513)),0)</f>
        <v>0.0</v>
      </c>
      <c r="L512" s="41">
        <f>k_eff_CO2_l*B512</f>
        <v>0.309424165556</v>
      </c>
      <c r="M512" s="41">
        <f>EXP(-L512)</f>
        <v>0.733869421868</v>
      </c>
      <c r="N512" s="41">
        <f>IF(L512&gt;0,(1-M512)/L512,1)</f>
        <v>0.860083366966</v>
      </c>
      <c r="O512" s="41">
        <f>IF(L512&gt;0,(L512-1+M512)/L512^2,1/2)</f>
        <v>0.452183922942</v>
      </c>
      <c r="P512" s="41">
        <f>(C_air_CO2/C_sat_CO2*F_vent_ex-CO2_fix_l)*(B512/3600)/(V_L_CO2+Vg_CO2)</f>
        <v>0.0007150835093101</v>
      </c>
      <c r="Q512" s="41">
        <f>(P512*N512+pool_b*M512)/(1-pool_ret*M512)</f>
        <v>5.705188912995</v>
      </c>
      <c r="R512" s="41">
        <f>MIN(C_sat_CO2,MAX(C_air_CO2,(pool_ret*Q512+pool_b)*N512+P512*O512))</f>
        <v>6.685993803653</v>
      </c>
      <c r="S512" s="41">
        <f>IF(AND(R512&gt;=CO2_pH_hi_mt,R513&lt;CO2_pH_hi_mt),EXP(LN(A512)+(LN(A513)-LN(A512))*(R512-CO2_pH_hi_mt)/(R512-R513)),0)</f>
        <v>0.0</v>
      </c>
    </row>
    <row r="513">
      <c r="A513" s="41">
        <f>A512*grid_ratio</f>
        <v>79.511176421444</v>
      </c>
      <c r="B513" s="41">
        <f>MAX(0,A513*60-spg_dur)</f>
        <v>4770.020585286661</v>
      </c>
      <c r="C513" s="41">
        <f>k_eff_CO2*B513</f>
        <v>0.069264974653</v>
      </c>
      <c r="D513" s="41">
        <f>EXP(-C513)</f>
        <v>0.933079404927</v>
      </c>
      <c r="E513" s="41">
        <f>IF(C513&gt;0,(1-D513)/C513,1)</f>
        <v>0.966153462236</v>
      </c>
      <c r="F513" s="41">
        <f>IF(C513&gt;0,(C513-1+D513)/C513^2,1/2)</f>
        <v>0.488653001508</v>
      </c>
      <c r="G513" s="41">
        <f>(C_air_CO2/C_sat_CO2*F_vent_ex-CO2_fix_sched)*(B513/3600)/(V_L_CO2+Vg_CO2)</f>
        <v>-0.915286526536</v>
      </c>
      <c r="H513" s="41">
        <f>(G513*E513+pool_b*D513)/(1-pool_ret*D513)</f>
        <v>10.035085728589</v>
      </c>
      <c r="I513" s="41">
        <f>MIN(C_sat_CO2,MAX(C_air_CO2,(pool_ret*H513+pool_b)*E513+G513*F513))</f>
        <v>10.859185729672</v>
      </c>
      <c r="J513" s="41">
        <f>IF(AND(I513&gt;=CO2_pH_hi_mt,I514&lt;CO2_pH_hi_mt),EXP(LN(A513)+(LN(A514)-LN(A513))*(I513-CO2_pH_hi_mt)/(I513-I514)),0)</f>
        <v>0.0</v>
      </c>
      <c r="L513" s="41">
        <f>k_eff_CO2_l*B513</f>
        <v>0.346437799369</v>
      </c>
      <c r="M513" s="41">
        <f>EXP(-L513)</f>
        <v>0.70720280638</v>
      </c>
      <c r="N513" s="41">
        <f>IF(L513&gt;0,(1-M513)/L513,1)</f>
        <v>0.845165262432</v>
      </c>
      <c r="O513" s="41">
        <f>IF(L513&gt;0,(L513-1+M513)/L513^2,1/2)</f>
        <v>0.446933729086</v>
      </c>
      <c r="P513" s="41">
        <f>(C_air_CO2/C_sat_CO2*F_vent_ex-CO2_fix_l)*(B513/3600)/(V_L_CO2+Vg_CO2)</f>
        <v>0.0008006225269611</v>
      </c>
      <c r="Q513" s="41">
        <f>(P513*N513+pool_b*M513)/(1-pool_ret*M513)</f>
        <v>5.126725904032</v>
      </c>
      <c r="R513" s="41">
        <f>MIN(C_sat_CO2,MAX(C_air_CO2,(pool_ret*Q513+pool_b)*N513+P513*O513))</f>
        <v>6.126406416764</v>
      </c>
      <c r="S513" s="41">
        <f>IF(AND(R513&gt;=CO2_pH_hi_mt,R514&lt;CO2_pH_hi_mt),EXP(LN(A513)+(LN(A514)-LN(A513))*(R513-CO2_pH_hi_mt)/(R513-R514)),0)</f>
        <v>0.0</v>
      </c>
    </row>
    <row r="514">
      <c r="A514" s="41">
        <f>A513*grid_ratio</f>
        <v>89.020933435165</v>
      </c>
      <c r="B514" s="41">
        <f>MAX(0,A514*60-spg_dur)</f>
        <v>5340.606006109912</v>
      </c>
      <c r="C514" s="41">
        <f>k_eff_CO2*B514</f>
        <v>0.077550386425</v>
      </c>
      <c r="D514" s="41">
        <f>EXP(-C514)</f>
        <v>0.925380396612</v>
      </c>
      <c r="E514" s="41">
        <f>IF(C514&gt;0,(1-D514)/C514,1)</f>
        <v>0.962208015045</v>
      </c>
      <c r="F514" s="41">
        <f>IF(C514&gt;0,(C514-1+D514)/C514^2,1/2)</f>
        <v>0.487321684607</v>
      </c>
      <c r="G514" s="41">
        <f>(C_air_CO2/C_sat_CO2*F_vent_ex-CO2_fix_sched)*(B514/3600)/(V_L_CO2+Vg_CO2)</f>
        <v>-1.024772248574</v>
      </c>
      <c r="H514" s="41">
        <f>(G514*E514+pool_b*D514)/(1-pool_ret*D514)</f>
        <v>8.837951967092</v>
      </c>
      <c r="I514" s="41">
        <f>MIN(C_sat_CO2,MAX(C_air_CO2,(pool_ret*H514+pool_b)*E514+G514*F514))</f>
        <v>9.715570574979</v>
      </c>
      <c r="J514" s="41">
        <f>IF(AND(I514&gt;=CO2_pH_hi_mt,I515&lt;CO2_pH_hi_mt),EXP(LN(A514)+(LN(A515)-LN(A514))*(I514-CO2_pH_hi_mt)/(I514-I515)),0)</f>
        <v>0.0</v>
      </c>
      <c r="L514" s="41">
        <f>k_eff_CO2_l*B514</f>
        <v>0.387878366345</v>
      </c>
      <c r="M514" s="41">
        <f>EXP(-L514)</f>
        <v>0.678494866056</v>
      </c>
      <c r="N514" s="41">
        <f>IF(L514&gt;0,(1-M514)/L514,1)</f>
        <v>0.828881324251</v>
      </c>
      <c r="O514" s="41">
        <f>IF(L514&gt;0,(L514-1+M514)/L514^2,1/2)</f>
        <v>0.44116581536</v>
      </c>
      <c r="P514" s="41">
        <f>(C_air_CO2/C_sat_CO2*F_vent_ex-CO2_fix_l)*(B514/3600)/(V_L_CO2+Vg_CO2)</f>
        <v>0.0008963922481392</v>
      </c>
      <c r="Q514" s="41">
        <f>(P514*N514+pool_b*M514)/(1-pool_ret*M514)</f>
        <v>4.585414089127</v>
      </c>
      <c r="R514" s="41">
        <f>MIN(C_sat_CO2,MAX(C_air_CO2,(pool_ret*Q514+pool_b)*N514+P514*O514))</f>
        <v>5.601245856658</v>
      </c>
      <c r="S514" s="41">
        <f>IF(AND(R514&gt;=CO2_pH_hi_mt,R515&lt;CO2_pH_hi_mt),EXP(LN(A514)+(LN(A515)-LN(A514))*(R514-CO2_pH_hi_mt)/(R514-R515)),0)</f>
        <v>0.0</v>
      </c>
    </row>
    <row r="515">
      <c r="A515" s="41">
        <f>A514*grid_ratio</f>
        <v>99.668083737858</v>
      </c>
      <c r="B515" s="41">
        <f>MAX(0,A515*60-spg_dur)</f>
        <v>5979.435024271477</v>
      </c>
      <c r="C515" s="41">
        <f>k_eff_CO2*B515</f>
        <v>0.086826756403</v>
      </c>
      <c r="D515" s="41">
        <f>EXP(-C515)</f>
        <v>0.916835917827</v>
      </c>
      <c r="E515" s="41">
        <f>IF(C515&gt;0,(1-D515)/C515,1)</f>
        <v>0.957816295549</v>
      </c>
      <c r="F515" s="41">
        <f>IF(C515&gt;0,(C515-1+D515)/C515^2,1/2)</f>
        <v>0.485837617328</v>
      </c>
      <c r="G515" s="41">
        <f>(C_air_CO2/C_sat_CO2*F_vent_ex-CO2_fix_sched)*(B515/3600)/(V_L_CO2+Vg_CO2)</f>
        <v>-1.147352766336</v>
      </c>
      <c r="H515" s="41">
        <f>(G515*E515+pool_b*D515)/(1-pool_ret*D515)</f>
        <v>7.625927537375</v>
      </c>
      <c r="I515" s="41">
        <f>MIN(C_sat_CO2,MAX(C_air_CO2,(pool_ret*H515+pool_b)*E515+G515*F515))</f>
        <v>8.557434927585</v>
      </c>
      <c r="J515" s="41">
        <f>IF(AND(I515&gt;=CO2_pH_hi_mt,I516&lt;CO2_pH_hi_mt),EXP(LN(A515)+(LN(A516)-LN(A515))*(I515-CO2_pH_hi_mt)/(I515-I516)),0)</f>
        <v>0.0</v>
      </c>
      <c r="L515" s="41">
        <f>k_eff_CO2_l*B515</f>
        <v>0.434275339957</v>
      </c>
      <c r="M515" s="41">
        <f>EXP(-L515)</f>
        <v>0.64773388391</v>
      </c>
      <c r="N515" s="41">
        <f>IF(L515&gt;0,(1-M515)/L515,1)</f>
        <v>0.811158460263</v>
      </c>
      <c r="O515" s="41">
        <f>IF(L515&gt;0,(L515-1+M515)/L515^2,1/2)</f>
        <v>0.434842880454</v>
      </c>
      <c r="P515" s="41">
        <f>(C_air_CO2/C_sat_CO2*F_vent_ex-CO2_fix_l)*(B515/3600)/(V_L_CO2+Vg_CO2)</f>
        <v>0.001003616293</v>
      </c>
      <c r="Q515" s="41">
        <f>(P515*N515+pool_b*M515)/(1-pool_ret*M515)</f>
        <v>4.081328470053</v>
      </c>
      <c r="R515" s="41">
        <f>MIN(C_sat_CO2,MAX(C_air_CO2,(pool_ret*Q515+pool_b)*N515+P515*O515))</f>
        <v>5.110472870687</v>
      </c>
      <c r="S515" s="41">
        <f>IF(AND(R515&gt;=CO2_pH_hi_mt,R516&lt;CO2_pH_hi_mt),EXP(LN(A515)+(LN(A516)-LN(A515))*(R515-CO2_pH_hi_mt)/(R515-R516)),0)</f>
        <v>0.0</v>
      </c>
    </row>
    <row r="516">
      <c r="A516" s="41">
        <f>A515*grid_ratio</f>
        <v>111.588662718432</v>
      </c>
      <c r="B516" s="41">
        <f>MAX(0,A516*60-spg_dur)</f>
        <v>6694.669763105942</v>
      </c>
      <c r="C516" s="41">
        <f>k_eff_CO2*B516</f>
        <v>0.097212605934</v>
      </c>
      <c r="D516" s="41">
        <f>EXP(-C516)</f>
        <v>0.907363074851</v>
      </c>
      <c r="E516" s="41">
        <f>IF(C516&gt;0,(1-D516)/C516,1)</f>
        <v>0.952931199191</v>
      </c>
      <c r="F516" s="41">
        <f>IF(C516&gt;0,(C516-1+D516)/C516^2,1/2)</f>
        <v>0.484184127734</v>
      </c>
      <c r="G516" s="41">
        <f>(C_air_CO2/C_sat_CO2*F_vent_ex-CO2_fix_sched)*(B516/3600)/(V_L_CO2+Vg_CO2)</f>
        <v>-1.284594253676</v>
      </c>
      <c r="H516" s="41">
        <f>(G516*E516+pool_b*D516)/(1-pool_ret*D516)</f>
        <v>6.406624137165</v>
      </c>
      <c r="I516" s="41">
        <f>MIN(C_sat_CO2,MAX(C_air_CO2,(pool_ret*H516+pool_b)*E516+G516*F516))</f>
        <v>7.391993350973</v>
      </c>
      <c r="J516" s="41">
        <f>IF(AND(I516&gt;=CO2_pH_hi_mt,I517&lt;CO2_pH_hi_mt),EXP(LN(A516)+(LN(A517)-LN(A516))*(I516-CO2_pH_hi_mt)/(I516-I517)),0)</f>
        <v>0.0</v>
      </c>
      <c r="L516" s="41">
        <f>k_eff_CO2_l*B516</f>
        <v>0.486221520173</v>
      </c>
      <c r="M516" s="41">
        <f>EXP(-L516)</f>
        <v>0.614945569376</v>
      </c>
      <c r="N516" s="41">
        <f>IF(L516&gt;0,(1-M516)/L516,1)</f>
        <v>0.791932102239</v>
      </c>
      <c r="O516" s="41">
        <f>IF(L516&gt;0,(L516-1+M516)/L516^2,1/2)</f>
        <v>0.427928195541</v>
      </c>
      <c r="P516" s="41">
        <f>(C_air_CO2/C_sat_CO2*F_vent_ex-CO2_fix_l)*(B516/3600)/(V_L_CO2+Vg_CO2)</f>
        <v>0.001123664631</v>
      </c>
      <c r="Q516" s="41">
        <f>(P516*N516+pool_b*M516)/(1-pool_ret*M516)</f>
        <v>3.614131874932</v>
      </c>
      <c r="R516" s="41">
        <f>MIN(C_sat_CO2,MAX(C_air_CO2,(pool_ret*Q516+pool_b)*N516+P516*O516))</f>
        <v>4.653644448686</v>
      </c>
      <c r="S516" s="41">
        <f>IF(AND(R516&gt;=CO2_pH_hi_mt,R517&lt;CO2_pH_hi_mt),EXP(LN(A516)+(LN(A517)-LN(A516))*(R516-CO2_pH_hi_mt)/(R516-R517)),0)</f>
        <v>0.0</v>
      </c>
    </row>
    <row r="517">
      <c r="A517" s="41">
        <f>A516*grid_ratio</f>
        <v>124.934975975246</v>
      </c>
      <c r="B517" s="41">
        <f>MAX(0,A517*60-spg_dur)</f>
        <v>7495.448558514738</v>
      </c>
      <c r="C517" s="41">
        <f>k_eff_CO2*B517</f>
        <v>0.108840631846</v>
      </c>
      <c r="D517" s="41">
        <f>EXP(-C517)</f>
        <v>0.896873339158</v>
      </c>
      <c r="E517" s="41">
        <f>IF(C517&gt;0,(1-D517)/C517,1)</f>
        <v>0.947501489959</v>
      </c>
      <c r="F517" s="41">
        <f>IF(C517&gt;0,(C517-1+D517)/C517^2,1/2)</f>
        <v>0.482342937101</v>
      </c>
      <c r="G517" s="41">
        <f>(C_air_CO2/C_sat_CO2*F_vent_ex-CO2_fix_sched)*(B517/3600)/(V_L_CO2+Vg_CO2)</f>
        <v>-1.438250203177</v>
      </c>
      <c r="H517" s="41">
        <f>(G517*E517+pool_b*D517)/(1-pool_ret*D517)</f>
        <v>5.187851810703</v>
      </c>
      <c r="I517" s="41">
        <f>MIN(C_sat_CO2,MAX(C_air_CO2,(pool_ret*H517+pool_b)*E517+G517*F517))</f>
        <v>6.226644788808</v>
      </c>
      <c r="J517" s="41">
        <f>IF(AND(I517&gt;=CO2_pH_hi_mt,I518&lt;CO2_pH_hi_mt),EXP(LN(A517)+(LN(A518)-LN(A517))*(I517-CO2_pH_hi_mt)/(I517-I518)),0)</f>
        <v>0.0</v>
      </c>
      <c r="L517" s="41">
        <f>k_eff_CO2_l*B517</f>
        <v>0.544380607477</v>
      </c>
      <c r="M517" s="41">
        <f>EXP(-L517)</f>
        <v>0.580201044255</v>
      </c>
      <c r="N517" s="41">
        <f>IF(L517&gt;0,(1-M517)/L517,1)</f>
        <v>0.771149724988</v>
      </c>
      <c r="O517" s="41">
        <f>IF(L517&gt;0,(L517-1+M517)/L517^2,1/2)</f>
        <v>0.4203865308</v>
      </c>
      <c r="P517" s="41">
        <f>(C_air_CO2/C_sat_CO2*F_vent_ex-CO2_fix_l)*(B517/3600)/(V_L_CO2+Vg_CO2)</f>
        <v>0.001258071083</v>
      </c>
      <c r="Q517" s="41">
        <f>(P517*N517+pool_b*M517)/(1-pool_ret*M517)</f>
        <v>3.183139352948</v>
      </c>
      <c r="R517" s="41">
        <f>MIN(C_sat_CO2,MAX(C_air_CO2,(pool_ret*Q517+pool_b)*N517+P517*O517))</f>
        <v>4.229974723232</v>
      </c>
      <c r="S517" s="41">
        <f>IF(AND(R517&gt;=CO2_pH_hi_mt,R518&lt;CO2_pH_hi_mt),EXP(LN(A517)+(LN(A518)-LN(A517))*(R517-CO2_pH_hi_mt)/(R517-R518)),0)</f>
        <v>0.0</v>
      </c>
    </row>
    <row r="518">
      <c r="A518" s="41">
        <f>A517*grid_ratio</f>
        <v>139.877545278235</v>
      </c>
      <c r="B518" s="41">
        <f>MAX(0,A518*60-spg_dur)</f>
        <v>8392.002716694094</v>
      </c>
      <c r="C518" s="41">
        <f>k_eff_CO2*B518</f>
        <v>0.121859401877</v>
      </c>
      <c r="D518" s="41">
        <f>EXP(-C518)</f>
        <v>0.885272827451</v>
      </c>
      <c r="E518" s="41">
        <f>IF(C518&gt;0,(1-D518)/C518,1)</f>
        <v>0.941471653249</v>
      </c>
      <c r="F518" s="41">
        <f>IF(C518&gt;0,(C518-1+D518)/C518^2,1/2)</f>
        <v>0.480294058971</v>
      </c>
      <c r="G518" s="41">
        <f>(C_air_CO2/C_sat_CO2*F_vent_ex-CO2_fix_sched)*(B518/3600)/(V_L_CO2+Vg_CO2)</f>
        <v>-1.610283829997</v>
      </c>
      <c r="H518" s="41">
        <f>(G518*E518+pool_b*D518)/(1-pool_ret*D518)</f>
        <v>3.977423588974</v>
      </c>
      <c r="I518" s="41">
        <f>MIN(C_sat_CO2,MAX(C_air_CO2,(pool_ret*H518+pool_b)*E518+G518*F518))</f>
        <v>5.068785854101</v>
      </c>
      <c r="J518" s="41">
        <f>IF(AND(I518&gt;=CO2_pH_hi_mt,I519&lt;CO2_pH_hi_mt),EXP(LN(A518)+(LN(A519)-LN(A518))*(I518-CO2_pH_hi_mt)/(I518-I519)),0)</f>
        <v>0.0</v>
      </c>
      <c r="L518" s="41">
        <f>k_eff_CO2_l*B518</f>
        <v>0.609495682773</v>
      </c>
      <c r="M518" s="41">
        <f>EXP(-L518)</f>
        <v>0.543624959387</v>
      </c>
      <c r="N518" s="41">
        <f>IF(L518&gt;0,(1-M518)/L518,1)</f>
        <v>0.74877485356</v>
      </c>
      <c r="O518" s="41">
        <f>IF(L518&gt;0,(L518-1+M518)/L518^2,1/2)</f>
        <v>0.412185276354</v>
      </c>
      <c r="P518" s="41">
        <f>(C_air_CO2/C_sat_CO2*F_vent_ex-CO2_fix_l)*(B518/3600)/(V_L_CO2+Vg_CO2)</f>
        <v>0.001408552919</v>
      </c>
      <c r="Q518" s="41">
        <f>(P518*N518+pool_b*M518)/(1-pool_ret*M518)</f>
        <v>2.787382850486</v>
      </c>
      <c r="R518" s="41">
        <f>MIN(C_sat_CO2,MAX(C_air_CO2,(pool_ret*Q518+pool_b)*N518+P518*O518))</f>
        <v>3.838396389691</v>
      </c>
      <c r="S518" s="41">
        <f>IF(AND(R518&gt;=CO2_pH_hi_mt,R519&lt;CO2_pH_hi_mt),EXP(LN(A518)+(LN(A519)-LN(A518))*(R518-CO2_pH_hi_mt)/(R518-R519)),0)</f>
        <v>0.0</v>
      </c>
    </row>
    <row r="519">
      <c r="A519" s="41">
        <f>A518*grid_ratio</f>
        <v>156.607287273512</v>
      </c>
      <c r="B519" s="41">
        <f>MAX(0,A519*60-spg_dur)</f>
        <v>9395.78723641074</v>
      </c>
      <c r="C519" s="41">
        <f>k_eff_CO2*B519</f>
        <v>0.136435252876</v>
      </c>
      <c r="D519" s="41">
        <f>EXP(-C519)</f>
        <v>0.872462807888</v>
      </c>
      <c r="E519" s="41">
        <f>IF(C519&gt;0,(1-D519)/C519,1)</f>
        <v>0.934781806191</v>
      </c>
      <c r="F519" s="41">
        <f>IF(C519&gt;0,(C519-1+D519)/C519^2,1/2)</f>
        <v>0.478015706605</v>
      </c>
      <c r="G519" s="41">
        <f>(C_air_CO2/C_sat_CO2*F_vent_ex-CO2_fix_sched)*(B519/3600)/(V_L_CO2+Vg_CO2)</f>
        <v>-1.802893155264</v>
      </c>
      <c r="H519" s="41">
        <f>(G519*E519+pool_b*D519)/(1-pool_ret*D519)</f>
        <v>2.782960322285</v>
      </c>
      <c r="I519" s="41">
        <f>MIN(C_sat_CO2,MAX(C_air_CO2,(pool_ret*H519+pool_b)*E519+G519*F519))</f>
        <v>3.925624244557</v>
      </c>
      <c r="J519" s="41">
        <f>IF(AND(I519&gt;=CO2_pH_hi_mt,I520&lt;CO2_pH_hi_mt),EXP(LN(A519)+(LN(A520)-LN(A519))*(I519-CO2_pH_hi_mt)/(I519-I520)),0)</f>
        <v>0.0</v>
      </c>
      <c r="L519" s="41">
        <f>k_eff_CO2_l*B519</f>
        <v>0.682398701499</v>
      </c>
      <c r="M519" s="41">
        <f>EXP(-L519)</f>
        <v>0.505403225741</v>
      </c>
      <c r="N519" s="41">
        <f>IF(L519&gt;0,(1-M519)/L519,1)</f>
        <v>0.724791493848</v>
      </c>
      <c r="O519" s="41">
        <f>IF(L519&gt;0,(L519-1+M519)/L519^2,1/2)</f>
        <v>0.403295764701</v>
      </c>
      <c r="P519" s="41">
        <f>(C_air_CO2/C_sat_CO2*F_vent_ex-CO2_fix_l)*(B519/3600)/(V_L_CO2+Vg_CO2)</f>
        <v>0.0015770328</v>
      </c>
      <c r="Q519" s="41">
        <f>(P519*N519+pool_b*M519)/(1-pool_ret*M519)</f>
        <v>2.42567340283</v>
      </c>
      <c r="R519" s="41">
        <f>MIN(C_sat_CO2,MAX(C_air_CO2,(pool_ret*Q519+pool_b)*N519+P519*O519))</f>
        <v>3.477620146447</v>
      </c>
      <c r="S519" s="41">
        <f>IF(AND(R519&gt;=CO2_pH_hi_mt,R520&lt;CO2_pH_hi_mt),EXP(LN(A519)+(LN(A520)-LN(A519))*(R519-CO2_pH_hi_mt)/(R519-R520)),0)</f>
        <v>0.0</v>
      </c>
    </row>
    <row r="520">
      <c r="A520" s="41">
        <f>A519*grid_ratio</f>
        <v>175.337952767067</v>
      </c>
      <c r="B520" s="41">
        <f>MAX(0,A520*60-spg_dur)</f>
        <v>10519.62716602</v>
      </c>
      <c r="C520" s="41">
        <f>k_eff_CO2*B520</f>
        <v>0.152754416043</v>
      </c>
      <c r="D520" s="41">
        <f>EXP(-C520)</f>
        <v>0.858340490584</v>
      </c>
      <c r="E520" s="41">
        <f>IF(C520&gt;0,(1-D520)/C520,1)</f>
        <v>0.927367686551</v>
      </c>
      <c r="F520" s="41">
        <f>IF(C520&gt;0,(C520-1+D520)/C520^2,1/2)</f>
        <v>0.475484214011</v>
      </c>
      <c r="G520" s="41">
        <f>(C_air_CO2/C_sat_CO2*F_vent_ex-CO2_fix_sched)*(B520/3600)/(V_L_CO2+Vg_CO2)</f>
        <v>-2.018539089525</v>
      </c>
      <c r="H520" s="41">
        <f>(G520*E520+pool_b*D520)/(1-pool_ret*D520)</f>
        <v>1.611706112263</v>
      </c>
      <c r="I520" s="41">
        <f>MIN(C_sat_CO2,MAX(C_air_CO2,(pool_ret*H520+pool_b)*E520+G520*F520))</f>
        <v>2.804002197687</v>
      </c>
      <c r="J520" s="41">
        <f>IF(AND(I520&gt;=CO2_pH_hi_mt,I521&lt;CO2_pH_hi_mt),EXP(LN(A520)+(LN(A521)-LN(A520))*(I520-CO2_pH_hi_mt)/(I520-I521)),0)</f>
        <v>0.0</v>
      </c>
      <c r="L520" s="41">
        <f>k_eff_CO2_l*B520</f>
        <v>0.764021123267</v>
      </c>
      <c r="M520" s="41">
        <f>EXP(-L520)</f>
        <v>0.465789658546</v>
      </c>
      <c r="N520" s="41">
        <f>IF(L520&gt;0,(1-M520)/L520,1)</f>
        <v>0.699208863714</v>
      </c>
      <c r="O520" s="41">
        <f>IF(L520&gt;0,(L520-1+M520)/L520^2,1/2)</f>
        <v>0.393694790792</v>
      </c>
      <c r="P520" s="41">
        <f>(C_air_CO2/C_sat_CO2*F_vent_ex-CO2_fix_l)*(B520/3600)/(V_L_CO2+Vg_CO2)</f>
        <v>0.001765663341</v>
      </c>
      <c r="Q520" s="41">
        <f>(P520*N520+pool_b*M520)/(1-pool_ret*M520)</f>
        <v>2.096658671896</v>
      </c>
      <c r="R520" s="41">
        <f>MIN(C_sat_CO2,MAX(C_air_CO2,(pool_ret*Q520+pool_b)*N520+P520*O520))</f>
        <v>3.146190272124</v>
      </c>
      <c r="S520" s="41">
        <f>IF(AND(R520&gt;=CO2_pH_hi_mt,R521&lt;CO2_pH_hi_mt),EXP(LN(A520)+(LN(A521)-LN(A520))*(R520-CO2_pH_hi_mt)/(R520-R521)),0)</f>
        <v>0.0</v>
      </c>
    </row>
    <row r="521">
      <c r="A521" s="41">
        <f>A520*grid_ratio</f>
        <v>196.308857753556</v>
      </c>
      <c r="B521" s="41">
        <f>MAX(0,A521*60-spg_dur)</f>
        <v>11777.88146521</v>
      </c>
      <c r="C521" s="41">
        <f>k_eff_CO2*B521</f>
        <v>0.171025396342</v>
      </c>
      <c r="D521" s="41">
        <f>EXP(-C521)</f>
        <v>0.842800169159</v>
      </c>
      <c r="E521" s="41">
        <f>IF(C521&gt;0,(1-D521)/C521,1)</f>
        <v>0.919160745736</v>
      </c>
      <c r="F521" s="41">
        <f>IF(C521&gt;0,(C521-1+D521)/C521^2,1/2)</f>
        <v>0.472673977041</v>
      </c>
      <c r="G521" s="41">
        <f>(C_air_CO2/C_sat_CO2*F_vent_ex-CO2_fix_sched)*(B521/3600)/(V_L_CO2+Vg_CO2)</f>
        <v>-2.259976875046</v>
      </c>
      <c r="H521" s="41">
        <f>(G521*E521+pool_b*D521)/(1-pool_ret*D521)</f>
        <v>0.470363800177</v>
      </c>
      <c r="I521" s="41">
        <f>MIN(C_sat_CO2,MAX(C_air_CO2,(pool_ret*H521+pool_b)*E521+G521*F521))</f>
        <v>1.710238994187</v>
      </c>
      <c r="J521" s="41">
        <f>IF(AND(I521&gt;=CO2_pH_hi_mt,I522&lt;CO2_pH_hi_mt),EXP(LN(A521)+(LN(A522)-LN(A521))*(I521-CO2_pH_hi_mt)/(I521-I522)),0)</f>
        <v>212.498008545659</v>
      </c>
      <c r="L521" s="41">
        <f>k_eff_CO2_l*B521</f>
        <v>0.855405812843</v>
      </c>
      <c r="M521" s="41">
        <f>EXP(-L521)</f>
        <v>0.425110640715</v>
      </c>
      <c r="N521" s="41">
        <f>IF(L521&gt;0,(1-M521)/L521,1)</f>
        <v>0.672066229447</v>
      </c>
      <c r="O521" s="41">
        <f>IF(L521&gt;0,(L521-1+M521)/L521^2,1/2)</f>
        <v>0.38336631062</v>
      </c>
      <c r="P521" s="41">
        <f>(C_air_CO2/C_sat_CO2*F_vent_ex-CO2_fix_l)*(B521/3600)/(V_L_CO2+Vg_CO2)</f>
        <v>0.001976854618</v>
      </c>
      <c r="Q521" s="41">
        <f>(P521*N521+pool_b*M521)/(1-pool_ret*M521)</f>
        <v>1.798874218534</v>
      </c>
      <c r="R521" s="41">
        <f>MIN(C_sat_CO2,MAX(C_air_CO2,(pool_ret*Q521+pool_b)*N521+P521*O521))</f>
        <v>2.84253504805</v>
      </c>
      <c r="S521" s="41">
        <f>IF(AND(R521&gt;=CO2_pH_hi_mt,R522&lt;CO2_pH_hi_mt),EXP(LN(A521)+(LN(A522)-LN(A521))*(R521-CO2_pH_hi_mt)/(R521-R522)),0)</f>
        <v>0.0</v>
      </c>
    </row>
    <row r="522">
      <c r="A522" s="41">
        <f>A521*grid_ratio</f>
        <v>219.787941083707</v>
      </c>
      <c r="B522" s="41">
        <f>MAX(0,A522*60-spg_dur)</f>
        <v>13186.62646502</v>
      </c>
      <c r="C522" s="41">
        <f>k_eff_CO2*B522</f>
        <v>0.191481636511</v>
      </c>
      <c r="D522" s="41">
        <f>EXP(-C522)</f>
        <v>0.825734788339</v>
      </c>
      <c r="E522" s="41">
        <f>IF(C522&gt;0,(1-D522)/C522,1)</f>
        <v>0.910088376287</v>
      </c>
      <c r="F522" s="41">
        <f>IF(C522&gt;0,(C522-1+D522)/C522^2,1/2)</f>
        <v>0.469557422589</v>
      </c>
      <c r="G522" s="41">
        <f>(C_air_CO2/C_sat_CO2*F_vent_ex-CO2_fix_sched)*(B522/3600)/(V_L_CO2+Vg_CO2)</f>
        <v>-2.530291288704</v>
      </c>
      <c r="H522" s="41">
        <f>(G522*E522+pool_b*D522)/(1-pool_ret*D522)</f>
        <v>-0.635041790933</v>
      </c>
      <c r="I522" s="41">
        <f>MIN(C_sat_CO2,MAX(C_air_CO2,(pool_ret*H522+pool_b)*E522+G522*F522))</f>
        <v>0.649999842252</v>
      </c>
      <c r="J522" s="41">
        <f>IF(AND(I522&gt;=CO2_pH_hi_mt,I523&lt;CO2_pH_hi_mt),EXP(LN(A522)+(LN(A523)-LN(A522))*(I522-CO2_pH_hi_mt)/(I522-I523)),0)</f>
        <v>0.0</v>
      </c>
      <c r="L522" s="41">
        <f>k_eff_CO2_l*B522</f>
        <v>0.957720364506</v>
      </c>
      <c r="M522" s="41">
        <f>EXP(-L522)</f>
        <v>0.383766737842</v>
      </c>
      <c r="N522" s="41">
        <f>IF(L522&gt;0,(1-M522)/L522,1)</f>
        <v>0.643437567996</v>
      </c>
      <c r="O522" s="41">
        <f>IF(L522&gt;0,(L522-1+M522)/L522^2,1/2)</f>
        <v>0.37230327893</v>
      </c>
      <c r="P522" s="41">
        <f>(C_air_CO2/C_sat_CO2*F_vent_ex-CO2_fix_l)*(B522/3600)/(V_L_CO2+Vg_CO2)</f>
        <v>0.002213304956</v>
      </c>
      <c r="Q522" s="41">
        <f>(P522*N522+pool_b*M522)/(1-pool_ret*M522)</f>
        <v>1.53078737767</v>
      </c>
      <c r="R522" s="41">
        <f>MIN(C_sat_CO2,MAX(C_air_CO2,(pool_ret*Q522+pool_b)*N522+P522*O522))</f>
        <v>2.56501126199</v>
      </c>
      <c r="S522" s="41">
        <f>IF(AND(R522&gt;=CO2_pH_hi_mt,R523&lt;CO2_pH_hi_mt),EXP(LN(A522)+(LN(A523)-LN(A522))*(R522-CO2_pH_hi_mt)/(R522-R523)),0)</f>
        <v>0.0</v>
      </c>
    </row>
    <row r="523">
      <c r="A523" s="41">
        <f>A522*grid_ratio</f>
        <v>246.075187837212</v>
      </c>
      <c r="B523" s="41">
        <f>MAX(0,A523*60-spg_dur)</f>
        <v>14763.86127023</v>
      </c>
      <c r="C523" s="41">
        <f>k_eff_CO2*B523</f>
        <v>0.214384499686</v>
      </c>
      <c r="D523" s="41">
        <f>EXP(-C523)</f>
        <v>0.807038019494</v>
      </c>
      <c r="E523" s="41">
        <f>IF(C523&gt;0,(1-D523)/C523,1)</f>
        <v>0.900074309425</v>
      </c>
      <c r="F523" s="41">
        <f>IF(C523&gt;0,(C523-1+D523)/C523^2,1/2)</f>
        <v>0.466105015621</v>
      </c>
      <c r="G523" s="41">
        <f>(C_air_CO2/C_sat_CO2*F_vent_ex-CO2_fix_sched)*(B523/3600)/(V_L_CO2+Vg_CO2)</f>
        <v>-2.832936055237</v>
      </c>
      <c r="H523" s="41">
        <f>(G523*E523+pool_b*D523)/(1-pool_ret*D523)</f>
        <v>-1.699267499596</v>
      </c>
      <c r="I523" s="41">
        <f>MIN(C_sat_CO2,MAX(C_air_CO2,(pool_ret*H523+pool_b)*E523+G523*F523))</f>
        <v>0.011558836641</v>
      </c>
      <c r="J523" s="41">
        <f>IF(AND(I523&gt;=CO2_pH_hi_mt,I524&lt;CO2_pH_hi_mt),EXP(LN(A523)+(LN(A524)-LN(A523))*(I523-CO2_pH_hi_mt)/(I523-I524)),0)</f>
        <v>0.0</v>
      </c>
      <c r="L523" s="41">
        <f>k_eff_CO2_l*B523</f>
        <v>1.072272020046</v>
      </c>
      <c r="M523" s="41">
        <f>EXP(-L523)</f>
        <v>0.342230079839</v>
      </c>
      <c r="N523" s="41">
        <f>IF(L523&gt;0,(1-M523)/L523,1)</f>
        <v>0.613435684103</v>
      </c>
      <c r="O523" s="41">
        <f>IF(L523&gt;0,(L523-1+M523)/L523^2,1/2)</f>
        <v>0.360509561632</v>
      </c>
      <c r="P523" s="41">
        <f>(C_air_CO2/C_sat_CO2*F_vent_ex-CO2_fix_l)*(B523/3600)/(V_L_CO2+Vg_CO2)</f>
        <v>0.00247803541</v>
      </c>
      <c r="Q523" s="41">
        <f>(P523*N523+pool_b*M523)/(1-pool_ret*M523)</f>
        <v>1.290832986826</v>
      </c>
      <c r="R523" s="41">
        <f>MIN(C_sat_CO2,MAX(C_air_CO2,(pool_ret*Q523+pool_b)*N523+P523*O523))</f>
        <v>2.311942471044</v>
      </c>
      <c r="S523" s="41">
        <f>IF(AND(R523&gt;=CO2_pH_hi_mt,R524&lt;CO2_pH_hi_mt),EXP(LN(A523)+(LN(A524)-LN(A523))*(R523-CO2_pH_hi_mt)/(R523-R524)),0)</f>
        <v>0.0</v>
      </c>
    </row>
    <row r="524">
      <c r="A524" s="41">
        <f>A523*grid_ratio</f>
        <v>275.506462140512</v>
      </c>
      <c r="B524" s="41">
        <f>MAX(0,A524*60-spg_dur)</f>
        <v>16529.73772843</v>
      </c>
      <c r="C524" s="41">
        <f>k_eff_CO2*B524</f>
        <v>0.240026608757</v>
      </c>
      <c r="D524" s="41">
        <f>EXP(-C524)</f>
        <v>0.786606930156</v>
      </c>
      <c r="E524" s="41">
        <f>IF(C524&gt;0,(1-D524)/C524,1)</f>
        <v>0.8890392234</v>
      </c>
      <c r="F524" s="41">
        <f>IF(C524&gt;0,(C524-1+D524)/C524^2,1/2)</f>
        <v>0.462285315678</v>
      </c>
      <c r="G524" s="41">
        <f>(C_air_CO2/C_sat_CO2*F_vent_ex-CO2_fix_sched)*(B524/3600)/(V_L_CO2+Vg_CO2)</f>
        <v>-3.171777974432</v>
      </c>
      <c r="H524" s="41">
        <f>(G524*E524+pool_b*D524)/(1-pool_ret*D524)</f>
        <v>-2.717919615979</v>
      </c>
      <c r="I524" s="41">
        <f>MIN(C_sat_CO2,MAX(C_air_CO2,(pool_ret*H524+pool_b)*E524+G524*F524))</f>
        <v>0.011558836641</v>
      </c>
      <c r="J524" s="41">
        <f>IF(AND(I524&gt;=CO2_pH_hi_mt,I525&lt;CO2_pH_hi_mt),EXP(LN(A524)+(LN(A525)-LN(A524))*(I524-CO2_pH_hi_mt)/(I524-I525)),0)</f>
        <v>0.0</v>
      </c>
      <c r="L524" s="41">
        <f>k_eff_CO2_l*B524</f>
        <v>1.200524370995</v>
      </c>
      <c r="M524" s="41">
        <f>EXP(-L524)</f>
        <v>0.301036315805</v>
      </c>
      <c r="N524" s="41">
        <f>IF(L524&gt;0,(1-M524)/L524,1)</f>
        <v>0.582215322806</v>
      </c>
      <c r="O524" s="41">
        <f>IF(L524&gt;0,(L524-1+M524)/L524^2,1/2)</f>
        <v>0.348001829274</v>
      </c>
      <c r="P524" s="41">
        <f>(C_air_CO2/C_sat_CO2*F_vent_ex-CO2_fix_l)*(B524/3600)/(V_L_CO2+Vg_CO2)</f>
        <v>0.00277442836</v>
      </c>
      <c r="Q524" s="41">
        <f>(P524*N524+pool_b*M524)/(1-pool_ret*M524)</f>
        <v>1.077440504603</v>
      </c>
      <c r="R524" s="41">
        <f>MIN(C_sat_CO2,MAX(C_air_CO2,(pool_ret*Q524+pool_b)*N524+P524*O524))</f>
        <v>2.081651049164</v>
      </c>
      <c r="S524" s="41">
        <f>IF(AND(R524&gt;=CO2_pH_hi_mt,R525&lt;CO2_pH_hi_mt),EXP(LN(A524)+(LN(A525)-LN(A524))*(R524-CO2_pH_hi_mt)/(R524-R525)),0)</f>
        <v>0.0</v>
      </c>
    </row>
    <row r="525">
      <c r="A525" s="41">
        <f>A524*grid_ratio</f>
        <v>308.457798400197</v>
      </c>
      <c r="B525" s="41">
        <f>MAX(0,A525*60-spg_dur)</f>
        <v>18506.81790401</v>
      </c>
      <c r="C525" s="41">
        <f>k_eff_CO2*B525</f>
        <v>0.268735585123</v>
      </c>
      <c r="D525" s="41">
        <f>EXP(-C525)</f>
        <v>0.764345333208</v>
      </c>
      <c r="E525" s="41">
        <f>IF(C525&gt;0,(1-D525)/C525,1)</f>
        <v>0.876901608263</v>
      </c>
      <c r="F525" s="41">
        <f>IF(C525&gt;0,(C525-1+D525)/C525^2,1/2)</f>
        <v>0.458065096517</v>
      </c>
      <c r="G525" s="41">
        <f>(C_air_CO2/C_sat_CO2*F_vent_ex-CO2_fix_sched)*(B525/3600)/(V_L_CO2+Vg_CO2)</f>
        <v>-3.551146326043</v>
      </c>
      <c r="H525" s="41">
        <f>(G525*E525+pool_b*D525)/(1-pool_ret*D525)</f>
        <v>-3.687485684897</v>
      </c>
      <c r="I525" s="41">
        <f>MIN(C_sat_CO2,MAX(C_air_CO2,(pool_ret*H525+pool_b)*E525+G525*F525))</f>
        <v>0.011558836641</v>
      </c>
      <c r="J525" s="41">
        <f>IF(AND(I525&gt;=CO2_pH_hi_mt,I526&lt;CO2_pH_hi_mt),EXP(LN(A525)+(LN(A526)-LN(A525))*(I525-CO2_pH_hi_mt)/(I525-I526)),0)</f>
        <v>0.0</v>
      </c>
      <c r="L525" s="41">
        <f>k_eff_CO2_l*B525</f>
        <v>1.344116058485</v>
      </c>
      <c r="M525" s="41">
        <f>EXP(-L525)</f>
        <v>0.260770111541</v>
      </c>
      <c r="N525" s="41">
        <f>IF(L525&gt;0,(1-M525)/L525,1)</f>
        <v>0.549974746446</v>
      </c>
      <c r="O525" s="41">
        <f>IF(L525&gt;0,(L525-1+M525)/L525^2,1/2)</f>
        <v>0.334811306444</v>
      </c>
      <c r="P525" s="41">
        <f>(C_air_CO2/C_sat_CO2*F_vent_ex-CO2_fix_l)*(B525/3600)/(V_L_CO2+Vg_CO2)</f>
        <v>0.003106270728</v>
      </c>
      <c r="Q525" s="41">
        <f>(P525*N525+pool_b*M525)/(1-pool_ret*M525)</f>
        <v>0.889052267869</v>
      </c>
      <c r="R525" s="41">
        <f>MIN(C_sat_CO2,MAX(C_air_CO2,(pool_ret*Q525+pool_b)*N525+P525*O525))</f>
        <v>1.872484299746</v>
      </c>
      <c r="S525" s="41">
        <f>IF(AND(R525&gt;=CO2_pH_hi_mt,R526&lt;CO2_pH_hi_mt),EXP(LN(A525)+(LN(A526)-LN(A525))*(R525-CO2_pH_hi_mt)/(R525-R526)),0)</f>
        <v>0.0</v>
      </c>
    </row>
    <row r="526">
      <c r="A526" s="41">
        <f>A525*grid_ratio</f>
        <v>345.350205779822</v>
      </c>
      <c r="B526" s="41">
        <f>MAX(0,A526*60-spg_dur)</f>
        <v>20720.36234679</v>
      </c>
      <c r="C526" s="41">
        <f>k_eff_CO2*B526</f>
        <v>0.300878234611</v>
      </c>
      <c r="D526" s="41">
        <f>EXP(-C526)</f>
        <v>0.740167894092</v>
      </c>
      <c r="E526" s="41">
        <f>IF(C526&gt;0,(1-D526)/C526,1)</f>
        <v>0.863578936657</v>
      </c>
      <c r="F526" s="41">
        <f>IF(C526&gt;0,(C526-1+D526)/C526^2,1/2)</f>
        <v>0.453409544626</v>
      </c>
      <c r="G526" s="41">
        <f>(C_air_CO2/C_sat_CO2*F_vent_ex-CO2_fix_sched)*(B526/3600)/(V_L_CO2+Vg_CO2)</f>
        <v>-3.97588818368</v>
      </c>
      <c r="H526" s="41">
        <f>(G526*E526+pool_b*D526)/(1-pool_ret*D526)</f>
        <v>-4.605332510535</v>
      </c>
      <c r="I526" s="41">
        <f>MIN(C_sat_CO2,MAX(C_air_CO2,(pool_ret*H526+pool_b)*E526+G526*F526))</f>
        <v>0.011558836641</v>
      </c>
      <c r="J526" s="41">
        <f>IF(AND(I526&gt;=CO2_pH_hi_mt,I527&lt;CO2_pH_hi_mt),EXP(LN(A526)+(LN(A527)-LN(A526))*(I526-CO2_pH_hi_mt)/(I526-I527)),0)</f>
        <v>0.0</v>
      </c>
      <c r="L526" s="41">
        <f>k_eff_CO2_l*B526</f>
        <v>1.50488170967</v>
      </c>
      <c r="M526" s="41">
        <f>EXP(-L526)</f>
        <v>0.222043557884</v>
      </c>
      <c r="N526" s="41">
        <f>IF(L526&gt;0,(1-M526)/L526,1)</f>
        <v>0.516955211241</v>
      </c>
      <c r="O526" s="41">
        <f>IF(L526&gt;0,(L526-1+M526)/L526^2,1/2)</f>
        <v>0.3209852214</v>
      </c>
      <c r="P526" s="41">
        <f>(C_air_CO2/C_sat_CO2*F_vent_ex-CO2_fix_l)*(B526/3600)/(V_L_CO2+Vg_CO2)</f>
        <v>0.003477802363</v>
      </c>
      <c r="Q526" s="41">
        <f>(P526*N526+pool_b*M526)/(1-pool_ret*M526)</f>
        <v>0.724132819138</v>
      </c>
      <c r="R526" s="41">
        <f>MIN(C_sat_CO2,MAX(C_air_CO2,(pool_ret*Q526+pool_b)*N526+P526*O526))</f>
        <v>1.682835084932</v>
      </c>
      <c r="S526" s="41">
        <f>IF(AND(R526&gt;=CO2_pH_hi_mt,R527&lt;CO2_pH_hi_mt),EXP(LN(A526)+(LN(A527)-LN(A526))*(R526-CO2_pH_hi_mt)/(R526-R527)),0)</f>
        <v>0.0</v>
      </c>
    </row>
    <row r="527">
      <c r="A527" s="41">
        <f>A526*grid_ratio</f>
        <v>386.655047305458</v>
      </c>
      <c r="B527" s="41">
        <f>MAX(0,A527*60-spg_dur)</f>
        <v>23198.65283833</v>
      </c>
      <c r="C527" s="41">
        <f>k_eff_CO2*B527</f>
        <v>0.33686523404</v>
      </c>
      <c r="D527" s="41">
        <f>EXP(-C527)</f>
        <v>0.714005056996</v>
      </c>
      <c r="E527" s="41">
        <f>IF(C527&gt;0,(1-D527)/C527,1)</f>
        <v>0.848989192426</v>
      </c>
      <c r="F527" s="41">
        <f>IF(C527&gt;0,(C527-1+D527)/C527^2,1/2)</f>
        <v>0.448282554312</v>
      </c>
      <c r="G527" s="41">
        <f>(C_air_CO2/C_sat_CO2*F_vent_ex-CO2_fix_sched)*(B527/3600)/(V_L_CO2+Vg_CO2)</f>
        <v>-4.451430344387</v>
      </c>
      <c r="H527" s="41">
        <f>(G527*E527+pool_b*D527)/(1-pool_ret*D527)</f>
        <v>-5.469674397633</v>
      </c>
      <c r="I527" s="41">
        <f>MIN(C_sat_CO2,MAX(C_air_CO2,(pool_ret*H527+pool_b)*E527+G527*F527))</f>
        <v>0.011558836641</v>
      </c>
      <c r="J527" s="41">
        <f>IF(AND(I527&gt;=CO2_pH_hi_mt,I528&lt;CO2_pH_hi_mt),EXP(LN(A527)+(LN(A528)-LN(A527))*(I527-CO2_pH_hi_mt)/(I527-I528)),0)</f>
        <v>0.0</v>
      </c>
      <c r="L527" s="41">
        <f>k_eff_CO2_l*B527</f>
        <v>1.684875378195</v>
      </c>
      <c r="M527" s="41">
        <f>EXP(-L527)</f>
        <v>0.185467543816</v>
      </c>
      <c r="N527" s="41">
        <f>IF(L527&gt;0,(1-M527)/L527,1)</f>
        <v>0.48343780598</v>
      </c>
      <c r="O527" s="41">
        <f>IF(L527&gt;0,(L527-1+M527)/L527^2,1/2)</f>
        <v>0.306587775396</v>
      </c>
      <c r="P527" s="41">
        <f>(C_air_CO2/C_sat_CO2*F_vent_ex-CO2_fix_l)*(B527/3600)/(V_L_CO2+Vg_CO2)</f>
        <v>0.00389377021</v>
      </c>
      <c r="Q527" s="41">
        <f>(P527*N527+pool_b*M527)/(1-pool_ret*M527)</f>
        <v>0.581169457595</v>
      </c>
      <c r="R527" s="41">
        <f>MIN(C_sat_CO2,MAX(C_air_CO2,(pool_ret*Q527+pool_b)*N527+P527*O527))</f>
        <v>1.511157522955</v>
      </c>
      <c r="S527" s="41">
        <f>IF(AND(R527&gt;=CO2_pH_hi_mt,R528&lt;CO2_pH_hi_mt),EXP(LN(A527)+(LN(A528)-LN(A527))*(R527-CO2_pH_hi_mt)/(R527-R528)),0)</f>
        <v>0.0</v>
      </c>
    </row>
    <row r="528">
      <c r="A528" s="41">
        <f>A527*grid_ratio</f>
        <v>432.900062327169</v>
      </c>
      <c r="B528" s="41">
        <f>MAX(0,A528*60-spg_dur)</f>
        <v>25973.35373963</v>
      </c>
      <c r="C528" s="41">
        <f>k_eff_CO2*B528</f>
        <v>0.377156378315</v>
      </c>
      <c r="D528" s="41">
        <f>EXP(-C528)</f>
        <v>0.685808819882</v>
      </c>
      <c r="E528" s="41">
        <f>IF(C528&gt;0,(1-D528)/C528,1)</f>
        <v>0.833052808284</v>
      </c>
      <c r="F528" s="41">
        <f>IF(C528&gt;0,(C528-1+D528)/C528^2,1/2)</f>
        <v>0.442647138733</v>
      </c>
      <c r="G528" s="41">
        <f>(C_air_CO2/C_sat_CO2*F_vent_ex-CO2_fix_sched)*(B528/3600)/(V_L_CO2+Vg_CO2)</f>
        <v>-4.983848665172</v>
      </c>
      <c r="H528" s="41">
        <f>(G528*E528+pool_b*D528)/(1-pool_ret*D528)</f>
        <v>-6.279516927089</v>
      </c>
      <c r="I528" s="41">
        <f>MIN(C_sat_CO2,MAX(C_air_CO2,(pool_ret*H528+pool_b)*E528+G528*F528))</f>
        <v>0.011558836641</v>
      </c>
      <c r="J528" s="41">
        <f>IF(AND(I528&gt;=CO2_pH_hi_mt,I529&lt;CO2_pH_hi_mt),EXP(LN(A528)+(LN(A529)-LN(A528))*(I528-CO2_pH_hi_mt)/(I528-I529)),0)</f>
        <v>0.0</v>
      </c>
      <c r="L528" s="41">
        <f>k_eff_CO2_l*B528</f>
        <v>1.886396788212</v>
      </c>
      <c r="M528" s="41">
        <f>EXP(-L528)</f>
        <v>0.151617134431</v>
      </c>
      <c r="N528" s="41">
        <f>IF(L528&gt;0,(1-M528)/L528,1)</f>
        <v>0.44973722966</v>
      </c>
      <c r="O528" s="41">
        <f>IF(L528&gt;0,(L528-1+M528)/L528^2,1/2)</f>
        <v>0.291700438518</v>
      </c>
      <c r="P528" s="41">
        <f>(C_air_CO2/C_sat_CO2*F_vent_ex-CO2_fix_l)*(B528/3600)/(V_L_CO2+Vg_CO2)</f>
        <v>0.004359488965</v>
      </c>
      <c r="Q528" s="41">
        <f>(P528*N528+pool_b*M528)/(1-pool_ret*M528)</f>
        <v>0.458664521089</v>
      </c>
      <c r="R528" s="41">
        <f>MIN(C_sat_CO2,MAX(C_air_CO2,(pool_ret*Q528+pool_b)*N528+P528*O528))</f>
        <v>1.355978347583</v>
      </c>
      <c r="S528" s="41">
        <f>IF(AND(R528&gt;=CO2_pH_hi_mt,R529&lt;CO2_pH_hi_mt),EXP(LN(A528)+(LN(A529)-LN(A528))*(R528-CO2_pH_hi_mt)/(R528-R529)),0)</f>
        <v>0.0</v>
      </c>
    </row>
    <row r="529">
      <c r="A529" s="41">
        <f>A528*grid_ratio</f>
        <v>484.676109283578</v>
      </c>
      <c r="B529" s="41">
        <f>MAX(0,A529*60-spg_dur)</f>
        <v>29079.91655701</v>
      </c>
      <c r="C529" s="41">
        <f>k_eff_CO2*B529</f>
        <v>0.422266455087</v>
      </c>
      <c r="D529" s="41">
        <f>EXP(-C529)</f>
        <v>0.655559338999</v>
      </c>
      <c r="E529" s="41">
        <f>IF(C529&gt;0,(1-D529)/C529,1)</f>
        <v>0.815695059012</v>
      </c>
      <c r="F529" s="41">
        <f>IF(C529&gt;0,(C529-1+D529)/C529^2,1/2)</f>
        <v>0.436465977269</v>
      </c>
      <c r="G529" s="41">
        <f>(C_air_CO2/C_sat_CO2*F_vent_ex-CO2_fix_sched)*(B529/3600)/(V_L_CO2+Vg_CO2)</f>
        <v>-5.579945692375</v>
      </c>
      <c r="H529" s="41">
        <f>(G529*E529+pool_b*D529)/(1-pool_ret*D529)</f>
        <v>-7.034582225858</v>
      </c>
      <c r="I529" s="41">
        <f>MIN(C_sat_CO2,MAX(C_air_CO2,(pool_ret*H529+pool_b)*E529+G529*F529))</f>
        <v>0.011558836641</v>
      </c>
      <c r="J529" s="41">
        <f>IF(AND(I529&gt;=CO2_pH_hi_mt,I530&lt;CO2_pH_hi_mt),EXP(LN(A529)+(LN(A530)-LN(A529))*(I529-CO2_pH_hi_mt)/(I529-I530)),0)</f>
        <v>0.0</v>
      </c>
      <c r="L529" s="41">
        <f>k_eff_CO2_l*B529</f>
        <v>2.112020717252</v>
      </c>
      <c r="M529" s="41">
        <f>EXP(-L529)</f>
        <v>0.120993226142</v>
      </c>
      <c r="N529" s="41">
        <f>IF(L529&gt;0,(1-M529)/L529,1)</f>
        <v>0.41619230658</v>
      </c>
      <c r="O529" s="41">
        <f>IF(L529&gt;0,(L529-1+M529)/L529^2,1/2)</f>
        <v>0.276421385762</v>
      </c>
      <c r="P529" s="41">
        <f>(C_air_CO2/C_sat_CO2*F_vent_ex-CO2_fix_l)*(B529/3600)/(V_L_CO2+Vg_CO2)</f>
        <v>0.004880908973</v>
      </c>
      <c r="Q529" s="41">
        <f>(P529*N529+pool_b*M529)/(1-pool_ret*M529)</f>
        <v>0.355120500404</v>
      </c>
      <c r="R529" s="41">
        <f>MIN(C_sat_CO2,MAX(C_air_CO2,(pool_ret*Q529+pool_b)*N529+P529*O529))</f>
        <v>1.21590452397</v>
      </c>
      <c r="S529" s="41">
        <f>IF(AND(R529&gt;=CO2_pH_hi_mt,R530&lt;CO2_pH_hi_mt),EXP(LN(A529)+(LN(A530)-LN(A529))*(R529-CO2_pH_hi_mt)/(R529-R530)),0)</f>
        <v>0.0</v>
      </c>
    </row>
    <row r="530">
      <c r="A530" s="41">
        <f>A529*grid_ratio</f>
        <v>542.644714919745</v>
      </c>
      <c r="B530" s="41">
        <f>MAX(0,A530*60-spg_dur)</f>
        <v>32558.03289518</v>
      </c>
      <c r="C530" s="41">
        <f>k_eff_CO2*B530</f>
        <v>0.472771822034</v>
      </c>
      <c r="D530" s="41">
        <f>EXP(-C530)</f>
        <v>0.623272271953</v>
      </c>
      <c r="E530" s="41">
        <f>IF(C530&gt;0,(1-D530)/C530,1)</f>
        <v>0.796848945917</v>
      </c>
      <c r="F530" s="41">
        <f>IF(C530&gt;0,(C530-1+D530)/C530^2,1/2)</f>
        <v>0.429702119743</v>
      </c>
      <c r="G530" s="41">
        <f>(C_air_CO2/C_sat_CO2*F_vent_ex-CO2_fix_sched)*(B530/3600)/(V_L_CO2+Vg_CO2)</f>
        <v>-6.247337575729</v>
      </c>
      <c r="H530" s="41">
        <f>(G530*E530+pool_b*D530)/(1-pool_ret*D530)</f>
        <v>-7.735221805819</v>
      </c>
      <c r="I530" s="41">
        <f>MIN(C_sat_CO2,MAX(C_air_CO2,(pool_ret*H530+pool_b)*E530+G530*F530))</f>
        <v>0.011558836641</v>
      </c>
      <c r="J530" s="41">
        <f>IF(AND(I530&gt;=CO2_pH_hi_mt,I531&lt;CO2_pH_hi_mt),EXP(LN(A530)+(LN(A531)-LN(A530))*(I530-CO2_pH_hi_mt)/(I530-I531)),0)</f>
        <v>0.0</v>
      </c>
      <c r="L530" s="41">
        <f>k_eff_CO2_l*B530</f>
        <v>2.364629893376</v>
      </c>
      <c r="M530" s="41">
        <f>EXP(-L530)</f>
        <v>0.093984078062</v>
      </c>
      <c r="N530" s="41">
        <f>IF(L530&gt;0,(1-M530)/L530,1)</f>
        <v>0.383153374012</v>
      </c>
      <c r="O530" s="41">
        <f>IF(L530&gt;0,(L530-1+M530)/L530^2,1/2)</f>
        <v>0.260863921122</v>
      </c>
      <c r="P530" s="41">
        <f>(C_air_CO2/C_sat_CO2*F_vent_ex-CO2_fix_l)*(B530/3600)/(V_L_CO2+Vg_CO2)</f>
        <v>0.005464692259</v>
      </c>
      <c r="Q530" s="41">
        <f>(P530*N530+pool_b*M530)/(1-pool_ret*M530)</f>
        <v>0.26902001882</v>
      </c>
      <c r="R530" s="41">
        <f>MIN(C_sat_CO2,MAX(C_air_CO2,(pool_ret*Q530+pool_b)*N530+P530*O530))</f>
        <v>1.089627687717</v>
      </c>
      <c r="S530" s="41">
        <f>IF(AND(R530&gt;=CO2_pH_hi_mt,R531&lt;CO2_pH_hi_mt),EXP(LN(A530)+(LN(A531)-LN(A530))*(R530-CO2_pH_hi_mt)/(R530-R531)),0)</f>
        <v>0.0</v>
      </c>
    </row>
    <row r="531">
      <c r="A531" s="41">
        <f>A530*grid_ratio</f>
        <v>607.546526412435</v>
      </c>
      <c r="B531" s="41">
        <f>MAX(0,A531*60-spg_dur)</f>
        <v>36452.14158475</v>
      </c>
      <c r="C531" s="41">
        <f>k_eff_CO2*B531</f>
        <v>0.529317770811</v>
      </c>
      <c r="D531" s="41">
        <f>EXP(-C531)</f>
        <v>0.58900667018</v>
      </c>
      <c r="E531" s="41">
        <f>IF(C531&gt;0,(1-D531)/C531,1)</f>
        <v>0.776458589687</v>
      </c>
      <c r="F531" s="41">
        <f>IF(C531&gt;0,(C531-1+D531)/C531^2,1/2)</f>
        <v>0.422319866515</v>
      </c>
      <c r="G531" s="41">
        <f>(C_air_CO2/C_sat_CO2*F_vent_ex-CO2_fix_sched)*(B531/3600)/(V_L_CO2+Vg_CO2)</f>
        <v>-6.994551377576</v>
      </c>
      <c r="H531" s="41">
        <f>(G531*E531+pool_b*D531)/(1-pool_ret*D531)</f>
        <v>-8.382322718648</v>
      </c>
      <c r="I531" s="41">
        <f>MIN(C_sat_CO2,MAX(C_air_CO2,(pool_ret*H531+pool_b)*E531+G531*F531))</f>
        <v>0.011558836641</v>
      </c>
      <c r="J531" s="41">
        <f>IF(AND(I531&gt;=CO2_pH_hi_mt,I532&lt;CO2_pH_hi_mt),EXP(LN(A531)+(LN(A532)-LN(A531))*(I531-CO2_pH_hi_mt)/(I531-I532)),0)</f>
        <v>0.0</v>
      </c>
      <c r="L531" s="41">
        <f>k_eff_CO2_l*B531</f>
        <v>2.647451826908</v>
      </c>
      <c r="M531" s="41">
        <f>EXP(-L531)</f>
        <v>0.070831474151</v>
      </c>
      <c r="N531" s="41">
        <f>IF(L531&gt;0,(1-M531)/L531,1)</f>
        <v>0.350967113511</v>
      </c>
      <c r="O531" s="41">
        <f>IF(L531&gt;0,(L531-1+M531)/L531^2,1/2)</f>
        <v>0.245153804082</v>
      </c>
      <c r="P531" s="41">
        <f>(C_air_CO2/C_sat_CO2*F_vent_ex-CO2_fix_l)*(B531/3600)/(V_L_CO2+Vg_CO2)</f>
        <v>0.006118297644</v>
      </c>
      <c r="Q531" s="41">
        <f>(P531*N531+pool_b*M531)/(1-pool_ret*M531)</f>
        <v>0.198804010724</v>
      </c>
      <c r="R531" s="41">
        <f>MIN(C_sat_CO2,MAX(C_air_CO2,(pool_ret*Q531+pool_b)*N531+P531*O531))</f>
        <v>0.97592593271</v>
      </c>
      <c r="S531" s="41">
        <f>IF(AND(R531&gt;=CO2_pH_hi_mt,R532&lt;CO2_pH_hi_mt),EXP(LN(A531)+(LN(A532)-LN(A531))*(R531-CO2_pH_hi_mt)/(R531-R532)),0)</f>
        <v>613.868974371681</v>
      </c>
    </row>
    <row r="532">
      <c r="A532" s="41">
        <f>A531*grid_ratio</f>
        <v>680.210774392977</v>
      </c>
      <c r="B532" s="41">
        <f>MAX(0,A532*60-spg_dur)</f>
        <v>40811.99646358</v>
      </c>
      <c r="C532" s="41">
        <f>k_eff_CO2*B532</f>
        <v>0.592626771742</v>
      </c>
      <c r="D532" s="41">
        <f>EXP(-C532)</f>
        <v>0.552873104224</v>
      </c>
      <c r="E532" s="41">
        <f>IF(C532&gt;0,(1-D532)/C532,1)</f>
        <v>0.754483120063</v>
      </c>
      <c r="F532" s="41">
        <f>IF(C532&gt;0,(C532-1+D532)/C532^2,1/2)</f>
        <v>0.41428584</v>
      </c>
      <c r="G532" s="41">
        <f>(C_air_CO2/C_sat_CO2*F_vent_ex-CO2_fix_sched)*(B532/3600)/(V_L_CO2+Vg_CO2)</f>
        <v>-7.831134020543</v>
      </c>
      <c r="H532" s="41">
        <f>(G532*E532+pool_b*D532)/(1-pool_ret*D532)</f>
        <v>-8.977212133689</v>
      </c>
      <c r="I532" s="41">
        <f>MIN(C_sat_CO2,MAX(C_air_CO2,(pool_ret*H532+pool_b)*E532+G532*F532))</f>
        <v>0.011558836641</v>
      </c>
      <c r="J532" s="41">
        <f>IF(AND(I532&gt;=CO2_pH_hi_mt,I533&lt;CO2_pH_hi_mt),EXP(LN(A532)+(LN(A533)-LN(A532))*(I532-CO2_pH_hi_mt)/(I532-I533)),0)</f>
        <v>0.0</v>
      </c>
      <c r="L532" s="41">
        <f>k_eff_CO2_l*B532</f>
        <v>2.964100047347</v>
      </c>
      <c r="M532" s="41">
        <f>EXP(-L532)</f>
        <v>0.051606892112</v>
      </c>
      <c r="N532" s="41">
        <f>IF(L532&gt;0,(1-M532)/L532,1)</f>
        <v>0.319959884194</v>
      </c>
      <c r="O532" s="41">
        <f>IF(L532&gt;0,(L532-1+M532)/L532^2,1/2)</f>
        <v>0.229425493385</v>
      </c>
      <c r="P532" s="41">
        <f>(C_air_CO2/C_sat_CO2*F_vent_ex-CO2_fix_l)*(B532/3600)/(V_L_CO2+Vg_CO2)</f>
        <v>0.006850076044</v>
      </c>
      <c r="Q532" s="41">
        <f>(P532*N532+pool_b*M532)/(1-pool_ret*M532)</f>
        <v>0.142852976835</v>
      </c>
      <c r="R532" s="41">
        <f>MIN(C_sat_CO2,MAX(C_air_CO2,(pool_ret*Q532+pool_b)*N532+P532*O532))</f>
        <v>0.87366343172</v>
      </c>
      <c r="S532" s="41">
        <f>IF(AND(R532&gt;=CO2_pH_hi_mt,R533&lt;CO2_pH_hi_mt),EXP(LN(A532)+(LN(A533)-LN(A532))*(R532-CO2_pH_hi_mt)/(R532-R533)),0)</f>
        <v>0.0</v>
      </c>
    </row>
    <row r="533">
      <c r="A533" s="41">
        <f>A532*grid_ratio</f>
        <v>761.56586777388</v>
      </c>
      <c r="B533" s="41">
        <f>MAX(0,A533*60-spg_dur)</f>
        <v>45693.30206643</v>
      </c>
      <c r="C533" s="41">
        <f>k_eff_CO2*B533</f>
        <v>0.663507704604</v>
      </c>
      <c r="D533" s="41">
        <f>EXP(-C533)</f>
        <v>0.515041548639</v>
      </c>
      <c r="E533" s="41">
        <f>IF(C533&gt;0,(1-D533)/C533,1)</f>
        <v>0.730901009884</v>
      </c>
      <c r="F533" s="41">
        <f>IF(C533&gt;0,(C533-1+D533)/C533^2,1/2)</f>
        <v>0.405570256756</v>
      </c>
      <c r="G533" s="41">
        <f>(C_air_CO2/C_sat_CO2*F_vent_ex-CO2_fix_sched)*(B533/3600)/(V_L_CO2+Vg_CO2)</f>
        <v>-8.767774265655</v>
      </c>
      <c r="H533" s="41">
        <f>(G533*E533+pool_b*D533)/(1-pool_ret*D533)</f>
        <v>-9.521564626819</v>
      </c>
      <c r="I533" s="41">
        <f>MIN(C_sat_CO2,MAX(C_air_CO2,(pool_ret*H533+pool_b)*E533+G533*F533))</f>
        <v>0.011558836641</v>
      </c>
      <c r="J533" s="41">
        <f>IF(AND(I533&gt;=CO2_pH_hi_mt,I534&lt;CO2_pH_hi_mt),EXP(LN(A533)+(LN(A534)-LN(A533))*(I533-CO2_pH_hi_mt)/(I533-I534)),0)</f>
        <v>0.0</v>
      </c>
      <c r="L533" s="41">
        <f>k_eff_CO2_l*B533</f>
        <v>3.318620272337</v>
      </c>
      <c r="M533" s="41">
        <f>EXP(-L533)</f>
        <v>0.036202747243</v>
      </c>
      <c r="N533" s="41">
        <f>IF(L533&gt;0,(1-M533)/L533,1)</f>
        <v>0.290421070705</v>
      </c>
      <c r="O533" s="41">
        <f>IF(L533&gt;0,(L533-1+M533)/L533^2,1/2)</f>
        <v>0.21381745155</v>
      </c>
      <c r="P533" s="41">
        <f>(C_air_CO2/C_sat_CO2*F_vent_ex-CO2_fix_l)*(B533/3600)/(V_L_CO2+Vg_CO2)</f>
        <v>0.007669377168</v>
      </c>
      <c r="Q533" s="41">
        <f>(P533*N533+pool_b*M533)/(1-pool_ret*M533)</f>
        <v>0.09947758872</v>
      </c>
      <c r="R533" s="41">
        <f>MIN(C_sat_CO2,MAX(C_air_CO2,(pool_ret*Q533+pool_b)*N533+P533*O533))</f>
        <v>0.781788343007</v>
      </c>
      <c r="S533" s="41">
        <f>IF(AND(R533&gt;=CO2_pH_hi_mt,R534&lt;CO2_pH_hi_mt),EXP(LN(A533)+(LN(A534)-LN(A533))*(R533-CO2_pH_hi_mt)/(R533-R534)),0)</f>
        <v>0.0</v>
      </c>
    </row>
    <row r="534">
      <c r="A534" s="41">
        <f>A533*grid_ratio</f>
        <v>852.651255746077</v>
      </c>
      <c r="B534" s="41">
        <f>MAX(0,A534*60-spg_dur)</f>
        <v>51158.42534476</v>
      </c>
      <c r="C534" s="41">
        <f>k_eff_CO2*B534</f>
        <v>0.742866193437</v>
      </c>
      <c r="D534" s="41">
        <f>EXP(-C534)</f>
        <v>0.475748372638</v>
      </c>
      <c r="E534" s="41">
        <f>IF(C534&gt;0,(1-D534)/C534,1)</f>
        <v>0.70571474647</v>
      </c>
      <c r="F534" s="41">
        <f>IF(C534&gt;0,(C534-1+D534)/C534^2,1/2)</f>
        <v>0.396148399443</v>
      </c>
      <c r="G534" s="41">
        <f>(C_air_CO2/C_sat_CO2*F_vent_ex-CO2_fix_sched)*(B534/3600)/(V_L_CO2+Vg_CO2)</f>
        <v>-9.816439279375</v>
      </c>
      <c r="H534" s="41">
        <f>(G534*E534+pool_b*D534)/(1-pool_ret*D534)</f>
        <v>-10.017315590121</v>
      </c>
      <c r="I534" s="41">
        <f>MIN(C_sat_CO2,MAX(C_air_CO2,(pool_ret*H534+pool_b)*E534+G534*F534))</f>
        <v>0.011558836641</v>
      </c>
      <c r="J534" s="41">
        <f>IF(AND(I534&gt;=CO2_pH_hi_mt,I535&lt;CO2_pH_hi_mt),EXP(LN(A534)+(LN(A535)-LN(A534))*(I534-CO2_pH_hi_mt)/(I534-I535)),0)</f>
        <v>0.0</v>
      </c>
      <c r="L534" s="41">
        <f>k_eff_CO2_l*B534</f>
        <v>3.715542098558</v>
      </c>
      <c r="M534" s="41">
        <f>EXP(-L534)</f>
        <v>0.024342241644</v>
      </c>
      <c r="N534" s="41">
        <f>IF(L534&gt;0,(1-M534)/L534,1)</f>
        <v>0.262588266389</v>
      </c>
      <c r="O534" s="41">
        <f>IF(L534&gt;0,(L534-1+M534)/L534^2,1/2)</f>
        <v>0.198466795437</v>
      </c>
      <c r="P534" s="41">
        <f>(C_air_CO2/C_sat_CO2*F_vent_ex-CO2_fix_l)*(B534/3600)/(V_L_CO2+Vg_CO2)</f>
        <v>0.008586668976</v>
      </c>
      <c r="Q534" s="41">
        <f>(P534*N534+pool_b*M534)/(1-pool_ret*M534)</f>
        <v>0.066925443266</v>
      </c>
      <c r="R534" s="41">
        <f>MIN(C_sat_CO2,MAX(C_air_CO2,(pool_ret*Q534+pool_b)*N534+P534*O534))</f>
        <v>0.699329442563</v>
      </c>
      <c r="S534" s="41">
        <f>IF(AND(R534&gt;=CO2_pH_hi_mt,R535&lt;CO2_pH_hi_mt),EXP(LN(A534)+(LN(A535)-LN(A534))*(R534-CO2_pH_hi_mt)/(R534-R535)),0)</f>
        <v>0.0</v>
      </c>
    </row>
    <row r="535">
      <c r="A535" s="41">
        <f>A534*grid_ratio</f>
        <v>954.630708503894</v>
      </c>
      <c r="B535" s="41">
        <f>MAX(0,A535*60-spg_dur)</f>
        <v>57277.19251023</v>
      </c>
      <c r="C535" s="41">
        <f>k_eff_CO2*B535</f>
        <v>0.831716177425</v>
      </c>
      <c r="D535" s="41">
        <f>EXP(-C535)</f>
        <v>0.435301590153</v>
      </c>
      <c r="E535" s="41">
        <f>IF(C535&gt;0,(1-D535)/C535,1)</f>
        <v>0.678955664413</v>
      </c>
      <c r="F535" s="41">
        <f>IF(C535&gt;0,(C535-1+D535)/C535^2,1/2)</f>
        <v>0.386002273733</v>
      </c>
      <c r="G535" s="41">
        <f>(C_air_CO2/C_sat_CO2*F_vent_ex-CO2_fix_sched)*(B535/3600)/(V_L_CO2+Vg_CO2)</f>
        <v>-10.990527534431</v>
      </c>
      <c r="H535" s="41">
        <f>(G535*E535+pool_b*D535)/(1-pool_ret*D535)</f>
        <v>-10.466583330659</v>
      </c>
      <c r="I535" s="41">
        <f>MIN(C_sat_CO2,MAX(C_air_CO2,(pool_ret*H535+pool_b)*E535+G535*F535))</f>
        <v>0.011558836641</v>
      </c>
      <c r="J535" s="41">
        <f>IF(AND(I535&gt;=CO2_pH_hi_mt,I536&lt;CO2_pH_hi_mt),EXP(LN(A535)+(LN(A536)-LN(A535))*(I535-CO2_pH_hi_mt)/(I535-I536)),0)</f>
        <v>0.0</v>
      </c>
      <c r="L535" s="41">
        <f>k_eff_CO2_l*B535</f>
        <v>4.159936875007</v>
      </c>
      <c r="M535" s="41">
        <f>EXP(-L535)</f>
        <v>0.015608543178</v>
      </c>
      <c r="N535" s="41">
        <f>IF(L535&gt;0,(1-M535)/L535,1)</f>
        <v>0.236636152519</v>
      </c>
      <c r="O535" s="41">
        <f>IF(L535&gt;0,(L535-1+M535)/L535^2,1/2)</f>
        <v>0.183503709411</v>
      </c>
      <c r="P535" s="41">
        <f>(C_air_CO2/C_sat_CO2*F_vent_ex-CO2_fix_l)*(B535/3600)/(V_L_CO2+Vg_CO2)</f>
        <v>0.009613671427</v>
      </c>
      <c r="Q535" s="41">
        <f>(P535*N535+pool_b*M535)/(1-pool_ret*M535)</f>
        <v>0.043409489877</v>
      </c>
      <c r="R535" s="41">
        <f>MIN(C_sat_CO2,MAX(C_air_CO2,(pool_ret*Q535+pool_b)*N535+P535*O535))</f>
        <v>0.625391921962</v>
      </c>
      <c r="S535" s="41">
        <f>IF(AND(R535&gt;=CO2_pH_hi_mt,R536&lt;CO2_pH_hi_mt),EXP(LN(A535)+(LN(A536)-LN(A535))*(R535-CO2_pH_hi_mt)/(R535-R536)),0)</f>
        <v>0.0</v>
      </c>
    </row>
    <row r="536">
      <c r="A536" s="41">
        <f>A535*grid_ratio</f>
        <v>1068.807186381535</v>
      </c>
      <c r="B536" s="41">
        <f>MAX(0,A536*60-spg_dur)</f>
        <v>64127.78118289</v>
      </c>
      <c r="C536" s="41">
        <f>k_eff_CO2*B536</f>
        <v>0.931192865688</v>
      </c>
      <c r="D536" s="41">
        <f>EXP(-C536)</f>
        <v>0.394083341388</v>
      </c>
      <c r="E536" s="41">
        <f>IF(C536&gt;0,(1-D536)/C536,1)</f>
        <v>0.650688682161</v>
      </c>
      <c r="F536" s="41">
        <f>IF(C536&gt;0,(C536-1+D536)/C536^2,1/2)</f>
        <v>0.375122416322</v>
      </c>
      <c r="G536" s="41">
        <f>(C_air_CO2/C_sat_CO2*F_vent_ex-CO2_fix_sched)*(B536/3600)/(V_L_CO2+Vg_CO2)</f>
        <v>-12.305039998017</v>
      </c>
      <c r="H536" s="41">
        <f>(G536*E536+pool_b*D536)/(1-pool_ret*D536)</f>
        <v>-10.871601688325</v>
      </c>
      <c r="I536" s="41">
        <f>MIN(C_sat_CO2,MAX(C_air_CO2,(pool_ret*H536+pool_b)*E536+G536*F536))</f>
        <v>0.011558836641</v>
      </c>
      <c r="J536" s="41">
        <f>IF(AND(I536&gt;=CO2_pH_hi_mt,I537&lt;CO2_pH_hi_mt),EXP(LN(A536)+(LN(A537)-LN(A536))*(I536-CO2_pH_hi_mt)/(I536-I537)),0)</f>
        <v>0.0</v>
      </c>
      <c r="L536" s="41">
        <f>k_eff_CO2_l*B536</f>
        <v>4.657482498072</v>
      </c>
      <c r="M536" s="41">
        <f>EXP(-L536)</f>
        <v>0.009490324263</v>
      </c>
      <c r="N536" s="41">
        <f>IF(L536&gt;0,(1-M536)/L536,1)</f>
        <v>0.212670616829</v>
      </c>
      <c r="O536" s="41">
        <f>IF(L536&gt;0,(L536-1+M536)/L536^2,1/2)</f>
        <v>0.169046128138</v>
      </c>
      <c r="P536" s="41">
        <f>(C_air_CO2/C_sat_CO2*F_vent_ex-CO2_fix_l)*(B536/3600)/(V_L_CO2+Vg_CO2)</f>
        <v>0.010763506216</v>
      </c>
      <c r="Q536" s="41">
        <f>(P536*N536+pool_b*M536)/(1-pool_ret*M536)</f>
        <v>0.027159810949</v>
      </c>
      <c r="R536" s="41">
        <f>MIN(C_sat_CO2,MAX(C_air_CO2,(pool_ret*Q536+pool_b)*N536+P536*O536))</f>
        <v>0.559152790302</v>
      </c>
      <c r="S536" s="41">
        <f>IF(AND(R536&gt;=CO2_pH_hi_mt,R537&lt;CO2_pH_hi_mt),EXP(LN(A536)+(LN(A537)-LN(A536))*(R536-CO2_pH_hi_mt)/(R536-R537)),0)</f>
        <v>0.0</v>
      </c>
    </row>
    <row r="537">
      <c r="A537" s="41">
        <f>A536*grid_ratio</f>
        <v>1196.639487379483</v>
      </c>
      <c r="B537" s="41">
        <f>MAX(0,A537*60-spg_dur)</f>
        <v>71797.71924277</v>
      </c>
      <c r="C537" s="41">
        <f>k_eff_CO2*B537</f>
        <v>1.042567241503</v>
      </c>
      <c r="D537" s="41">
        <f>EXP(-C537)</f>
        <v>0.352548442196</v>
      </c>
      <c r="E537" s="41">
        <f>IF(C537&gt;0,(1-D537)/C537,1)</f>
        <v>0.621016594451</v>
      </c>
      <c r="F537" s="41">
        <f>IF(C537&gt;0,(C537-1+D537)/C537^2,1/2)</f>
        <v>0.363509796263</v>
      </c>
      <c r="G537" s="41">
        <f>(C_air_CO2/C_sat_CO2*F_vent_ex-CO2_fix_sched)*(B537/3600)/(V_L_CO2+Vg_CO2)</f>
        <v>-13.776771794568</v>
      </c>
      <c r="H537" s="41">
        <f>(G537*E537+pool_b*D537)/(1-pool_ret*D537)</f>
        <v>-11.234664403484</v>
      </c>
      <c r="I537" s="41">
        <f>MIN(C_sat_CO2,MAX(C_air_CO2,(pool_ret*H537+pool_b)*E537+G537*F537))</f>
        <v>0.011558836641</v>
      </c>
      <c r="J537" s="41">
        <f>IF(AND(I537&gt;=CO2_pH_hi_mt,I538&lt;CO2_pH_hi_mt),EXP(LN(A537)+(LN(A538)-LN(A537))*(I537-CO2_pH_hi_mt)/(I537-I538)),0)</f>
        <v>0.0</v>
      </c>
      <c r="L537" s="41">
        <f>k_eff_CO2_l*B537</f>
        <v>5.21453595628</v>
      </c>
      <c r="M537" s="41">
        <f>EXP(-L537)</f>
        <v>0.005436955876</v>
      </c>
      <c r="N537" s="41">
        <f>IF(L537&gt;0,(1-M537)/L537,1)</f>
        <v>0.19072896466</v>
      </c>
      <c r="O537" s="41">
        <f>IF(L537&gt;0,(L537-1+M537)/L537^2,1/2)</f>
        <v>0.155195216243</v>
      </c>
      <c r="P537" s="41">
        <f>(C_air_CO2/C_sat_CO2*F_vent_ex-CO2_fix_l)*(B537/3600)/(V_L_CO2+Vg_CO2)</f>
        <v>0.012050864432</v>
      </c>
      <c r="Q537" s="41">
        <f>(P537*N537+pool_b*M537)/(1-pool_ret*M537)</f>
        <v>0.016494133305</v>
      </c>
      <c r="R537" s="41">
        <f>MIN(C_sat_CO2,MAX(C_air_CO2,(pool_ret*Q537+pool_b)*N537+P537*O537))</f>
        <v>0.499856288167</v>
      </c>
      <c r="S537" s="41">
        <f>IF(AND(R537&gt;=CO2_pH_hi_mt,R538&lt;CO2_pH_hi_mt),EXP(LN(A537)+(LN(A538)-LN(A537))*(R537-CO2_pH_hi_mt)/(R537-R538)),0)</f>
        <v>0.0</v>
      </c>
    </row>
    <row r="538">
      <c r="A538" s="41">
        <f>A537*grid_ratio</f>
        <v>1339.760885781195</v>
      </c>
      <c r="B538" s="41">
        <f>MAX(0,A538*60-spg_dur)</f>
        <v>80385.00314687</v>
      </c>
      <c r="C538" s="41">
        <f>k_eff_CO2*B538</f>
        <v>1.167262301267</v>
      </c>
      <c r="D538" s="41">
        <f>EXP(-C538)</f>
        <v>0.311217796609</v>
      </c>
      <c r="E538" s="41">
        <f>IF(C538&gt;0,(1-D538)/C538,1)</f>
        <v>0.590083482216</v>
      </c>
      <c r="F538" s="41">
        <f>IF(C538&gt;0,(C538-1+D538)/C538^2,1/2)</f>
        <v>0.351177723584</v>
      </c>
      <c r="G538" s="41">
        <f>(C_air_CO2/C_sat_CO2*F_vent_ex-CO2_fix_sched)*(B538/3600)/(V_L_CO2+Vg_CO2)</f>
        <v>-15.424526791937</v>
      </c>
      <c r="H538" s="41">
        <f>(G538*E538+pool_b*D538)/(1-pool_ret*D538)</f>
        <v>-11.558082010635</v>
      </c>
      <c r="I538" s="41">
        <f>MIN(C_sat_CO2,MAX(C_air_CO2,(pool_ret*H538+pool_b)*E538+G538*F538))</f>
        <v>0.011558836641</v>
      </c>
      <c r="J538" s="41">
        <f>IF(AND(I538&gt;=CO2_pH_hi_mt,I539&lt;CO2_pH_hi_mt),EXP(LN(A538)+(LN(A539)-LN(A538))*(I538-CO2_pH_hi_mt)/(I538-I539)),0)</f>
        <v>0.0</v>
      </c>
      <c r="L538" s="41">
        <f>k_eff_CO2_l*B538</f>
        <v>5.838214551603</v>
      </c>
      <c r="M538" s="41">
        <f>EXP(-L538)</f>
        <v>0.002914040853</v>
      </c>
      <c r="N538" s="41">
        <f>IF(L538&gt;0,(1-M538)/L538,1)</f>
        <v>0.170786111119</v>
      </c>
      <c r="O538" s="41">
        <f>IF(L538&gt;0,(L538-1+M538)/L538^2,1/2)</f>
        <v>0.142032102718</v>
      </c>
      <c r="P538" s="41">
        <f>(C_air_CO2/C_sat_CO2*F_vent_ex-CO2_fix_l)*(B538/3600)/(V_L_CO2+Vg_CO2)</f>
        <v>0.013492194258</v>
      </c>
      <c r="Q538" s="41">
        <f>(P538*N538+pool_b*M538)/(1-pool_ret*M538)</f>
        <v>0.009895278862</v>
      </c>
      <c r="R538" s="41">
        <f>MIN(C_sat_CO2,MAX(C_air_CO2,(pool_ret*Q538+pool_b)*N538+P538*O538))</f>
        <v>0.446809634382</v>
      </c>
      <c r="S538" s="41">
        <f>IF(AND(R538&gt;=CO2_pH_hi_mt,R539&lt;CO2_pH_hi_mt),EXP(LN(A538)+(LN(A539)-LN(A538))*(R538-CO2_pH_hi_mt)/(R538-R539)),0)</f>
        <v>0.0</v>
      </c>
    </row>
    <row r="539">
      <c r="A539" s="41">
        <f>A538*grid_ratio</f>
        <v>1499.99999999999</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6.536486835048</v>
      </c>
      <c r="M539" s="41">
        <f>EXP(-L539)</f>
        <v>0.00144957215</v>
      </c>
      <c r="N539" s="41">
        <f>IF(L539&gt;0,(1-M539)/L539,1)</f>
        <v>0.152765614473</v>
      </c>
      <c r="O539" s="41">
        <f>IF(L539&gt;0,(L539-1+M539)/L539^2,1/2)</f>
        <v>0.129616169497</v>
      </c>
      <c r="P539" s="41">
        <f>(C_air_CO2/C_sat_CO2*F_vent_ex-CO2_fix_l)*(B539/3600)/(V_L_CO2+Vg_CO2)</f>
        <v>0.015105911124</v>
      </c>
      <c r="Q539" s="41">
        <f>(P539*N539+pool_b*M539)/(1-pool_ret*M539)</f>
        <v>0.006078740529</v>
      </c>
      <c r="R539" s="41">
        <f>MIN(C_sat_CO2,MAX(C_air_CO2,(pool_ret*Q539+pool_b)*N539+P539*O539))</f>
        <v>0.39937927455</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1.255448232589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lag",IF(D546=IF(ISNUMBER(spg_int_H2safe_opt),spg_int_H2safe_opt,spg_int_carbon),"the H₂ flammability screen (Biology D92)",IF(D546=IF(ISNUMBER(spg_int_pH_l),spg_int_pH_l*spg_dur_eq_opt/spg_dur_eq,spg_int_carbon),"the pH ceiling (lag)",IF(D546=spg_int_carbon,"carbon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7.262815603722e-05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613.868974371681</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2.402446256223</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0.101655502651</v>
      </c>
      <c r="E564" s="51" t="inlineStr">
        <is>
          <t xml:space="preserve">Exact time average of the lag H₂ sawtooth at the schedule in use (as D360 for O₂): the figure a time-weighted headspace measurement compares with. The mean-field fraction (D352) is the flux-weighted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99"/>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