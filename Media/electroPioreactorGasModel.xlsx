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9E3C7980-1D95-3947-AA29-6DC022E03979}" xr6:coauthVersionLast="47" xr6:coauthVersionMax="47" xr10:uidLastSave="{00000000-0000-0000-0000-000000000000}"/>
  <bookViews>
    <workbookView xWindow="2780" yWindow="580" windowWidth="2564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anode" localSheetId="3">Chemistry!$D$130</definedName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eff" localSheetId="3">Chemistry!$D$145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kill" localSheetId="3">Chemistry!$D$147</definedName>
    <definedName name="Cl_mc02" localSheetId="3">Chemistry!$D$38</definedName>
    <definedName name="Cl_onset" localSheetId="3">Chemistry!$D$146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_local" localSheetId="3">Chemistry!$D$141</definedName>
    <definedName name="Fcc" localSheetId="3">Chemistry!$D$7</definedName>
    <definedName name="FE_CER" localSheetId="3">Chemistry!$D$128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Cl_ss" localSheetId="3">Chemistry!$D$139</definedName>
    <definedName name="HOCl_ss_mgL" localSheetId="3">Chemistry!$D$140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Cl" localSheetId="3">Chemistry!$D$133</definedName>
    <definedName name="I_Cl_FE" localSheetId="3">Chemistry!$D$131</definedName>
    <definedName name="I_Cl_mt" localSheetId="3">Chemistry!$D$132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1_NH2Cl" localSheetId="3">Chemistry!$D$136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l" localSheetId="3">Chemistry!$D$129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pores_active" localSheetId="5">'Mass Transfer'!$D$61</definedName>
    <definedName name="nCO2_rate" localSheetId="5">'Mass Transfer'!$D$104</definedName>
    <definedName name="NH2Cl_mgL" localSheetId="3">Chemistry!$D$143</definedName>
    <definedName name="NH3_free" localSheetId="3">Chemistry!$D$138</definedName>
    <definedName name="NH3_N" localSheetId="3">Chemistry!$D$135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_HOCl" localSheetId="3">Chemistry!$D$134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Ka_NH4" localSheetId="3">Chemistry!$D$137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chloramine" localSheetId="3">Chemistry!$D$144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au_NH2Cl" localSheetId="3">Chemistry!$D$142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D_CO2" localSheetId="5">'Mass Transfer'!$D$138</definedName>
    <definedName name="pCO2_air" localSheetId="5">'Mass Transfer'!$D$139</definedName>
    <definedName name="headspace_V_m3" localSheetId="5">'Mass Transfer'!$D$140</definedName>
    <definedName name="V_L_m3" localSheetId="5">'Mass Transfer'!$D$141</definedName>
    <definedName name="Q_vent" localSheetId="5">'Mass Transfer'!$D$142</definedName>
    <definedName name="k_vent" localSheetId="5">'Mass Transfer'!$D$143</definedName>
    <definedName name="tau_hs" localSheetId="5">'Mass Transfer'!$D$144</definedName>
    <definedName name="C_sat_CO2" localSheetId="5">'Mass Transfer'!$D$145</definedName>
    <definedName name="C_air_CO2" localSheetId="5">'Mass Transfer'!$D$146</definedName>
    <definedName name="sqrtD_CO2" localSheetId="5">'Mass Transfer'!$D$147</definedName>
    <definedName name="kLa_CO2_off" localSheetId="5">'Mass Transfer'!$D$148</definedName>
    <definedName name="tau_surf_floor" localSheetId="5">'Mass Transfer'!$D$149</definedName>
    <definedName name="n_hs_gas" localSheetId="5">'Mass Transfer'!$D$150</definedName>
    <definedName name="t_on_CO2" localSheetId="5">'Mass Transfer'!$D$151</definedName>
    <definedName name="t_off_CO2" localSheetId="5">'Mass Transfer'!$D$152</definedName>
    <definedName name="eon_CO2" localSheetId="5">'Mass Transfer'!$D$153</definedName>
    <definedName name="e1_CO2" localSheetId="5">'Mass Transfer'!$D$154</definedName>
    <definedName name="e2_CO2" localSheetId="5">'Mass Transfer'!$D$155</definedName>
    <definedName name="coef_CO2" localSheetId="5">'Mass Transfer'!$D$156</definedName>
    <definedName name="Ca_CO2" localSheetId="5">'Mass Transfer'!$D$157</definedName>
    <definedName name="Cb_CO2" localSheetId="5">'Mass Transfer'!$D$158</definedName>
    <definedName name="CO2_int_on" localSheetId="5">'Mass Transfer'!$D$159</definedName>
    <definedName name="CO2_int_off" localSheetId="5">'Mass Transfer'!$D$160</definedName>
    <definedName name="CO2_cyc_avg" localSheetId="5">'Mass Transfer'!$D$161</definedName>
    <definedName name="CO2aqc_ss" localSheetId="5">'Mass Transfer'!$D$162</definedName>
    <definedName name="vent_floor_chk" localSheetId="5">'Mass Transfer'!$D$163</definedName>
    <definedName name="sched_valid" localSheetId="5">'Mass Transfer'!$D$164</definedName>
  </definedNames>
  <calcPr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<sst xmlns="http://schemas.openxmlformats.org/spreadsheetml/2006/main" count="1682" uniqueCount="1249">
  <si>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</si>
  <si>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</si>
  <si>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</si>
  <si>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</si>
  <si>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</si>
  <si>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</si>
  <si>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</si>
  <si>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</si>
  <si>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</si>
  <si>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</si>
  <si>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</si>
  <si>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</si>
  <si>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</si>
  <si>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</si>
  <si>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</si>
  <si>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</si>
  <si>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</si>
  <si>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</si>
  <si>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</si>
  <si>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</si>
  <si>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</si>
  <si>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</si>
  <si>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</si>
  <si>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</si>
  <si>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</si>
  <si>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</si>
  <si>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</si>
  <si>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</si>
  <si>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</si>
  <si>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</si>
  <si>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</si>
  <si>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</si>
  <si>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</si>
  <si>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</si>
  <si>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</si>
  <si>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</si>
  <si>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</si>
  <si>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</si>
  <si>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</si>
  <si>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</si>
  <si>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</si>
  <si>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</si>
  <si>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</si>
  <si>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</si>
  <si>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</si>
  <si>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</si>
  <si>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</si>
  <si>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</si>
  <si>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</si>
  <si>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</si>
  <si>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</si>
  <si>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</si>
  <si>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</si>
  <si>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</si>
  <si>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</si>
  <si>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</si>
  <si>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</si>
  <si>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</si>
  <si>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</si>
  <si>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</si>
  <si>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</si>
  <si>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</si>
  <si>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</si>
  <si>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</si>
  <si>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</si>
  <si>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</si>
  <si>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</si>
  <si>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</si>
  <si>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</si>
  <si>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</si>
  <si>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</si>
  <si>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</si>
  <si>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</si>
  <si>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</si>
  <si>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</si>
  <si>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</si>
  <si>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</si>
  <si>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</si>
  <si>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</si>
  <si>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</si>
  <si>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</si>
  <si>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</si>
  <si>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</si>
  <si>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</si>
  <si>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</si>
  <si>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</si>
  <si>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</si>
  <si>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</si>
  <si>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</si>
  <si>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</si>
  <si>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</si>
  <si>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</si>
  <si>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</si>
  <si>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</si>
  <si>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</si>
  <si>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</si>
  <si>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</si>
  <si>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</si>
  <si>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</si>
  <si>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</si>
  <si>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</si>
  <si>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</si>
  <si>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</si>
  <si>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</si>
  <si>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</si>
  <si>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</si>
  <si>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</si>
  <si>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</si>
  <si>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</si>
  <si>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</si>
  <si>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</si>
  <si>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</si>
  <si>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</si>
  <si>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</si>
  <si>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</si>
  <si>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</si>
  <si>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</si>
  <si>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</si>
  <si>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</si>
  <si>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</si>
  <si>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</si>
  <si>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</si>
  <si>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</si>
  <si>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</si>
  <si>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</si>
  <si>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</si>
  <si>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</si>
  <si>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</si>
  <si>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</si>
  <si>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</si>
  <si>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</si>
  <si>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</si>
  <si>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</si>
  <si>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</si>
  <si>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</si>
  <si>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</si>
  <si>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</si>
  <si>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</si>
  <si>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</si>
  <si>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</si>
  <si>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</si>
  <si>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</si>
  <si>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</si>
  <si>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</si>
  <si>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</si>
  <si>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</si>
  <si>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</si>
  <si>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</si>
  <si>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</si>
  <si>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</si>
  <si>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</si>
  <si>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</si>
  <si>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</si>
  <si>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</si>
  <si>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</si>
  <si>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</si>
  <si>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</si>
  <si>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</si>
  <si>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</si>
  <si>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</si>
  <si>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</si>
  <si>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</si>
  <si>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</si>
  <si>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</si>
  <si>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</si>
  <si>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</si>
  <si>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</si>
  <si>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</si>
  <si>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</si>
  <si>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</si>
  <si>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</si>
  <si>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</si>
  <si>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</si>
  <si>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</si>
  <si>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</si>
  <si>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</si>
  <si>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</si>
  <si>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</si>
  <si>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</si>
  <si>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</si>
  <si>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</si>
  <si>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</si>
  <si>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</si>
  <si>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</si>
  <si>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</si>
  <si>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</si>
  <si>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</si>
  <si>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</si>
  <si>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</si>
  <si>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</si>
  <si>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</si>
  <si>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</si>
  <si>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</si>
  <si>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</si>
  <si>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</si>
  <si>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</si>
  <si>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</si>
  <si>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</si>
  <si>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</si>
  <si>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</si>
  <si>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</si>
  <si>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</si>
  <si>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</si>
  <si>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</si>
  <si>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</si>
  <si>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</si>
  <si>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</si>
  <si>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</si>
  <si>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</si>
  <si>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</si>
  <si>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</si>
  <si>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</si>
  <si>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</si>
  <si>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</si>
  <si>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</si>
  <si>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</si>
  <si>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</si>
  <si>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</si>
  <si>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</si>
  <si>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</si>
  <si>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</si>
  <si>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</si>
  <si>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</si>
  <si>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</si>
  <si>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</si>
  <si>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</si>
  <si>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</si>
  <si>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</si>
  <si>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</si>
  <si>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</si>
  <si>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</si>
  <si>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</si>
  <si>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</si>
  <si>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</si>
  <si>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</si>
  <si>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</si>
  <si>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</si>
  <si>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</si>
  <si>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</si>
  <si>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</si>
  <si>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</si>
  <si>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</si>
  <si>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</si>
  <si>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</si>
  <si>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</si>
  <si>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</si>
  <si>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</si>
  <si>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</si>
  <si>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</si>
  <si>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</si>
  <si>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</si>
  <si>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</si>
  <si>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</si>
  <si>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</si>
  <si>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</si>
  <si>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</si>
  <si>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</si>
  <si>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</si>
  <si>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</si>
  <si>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</si>
  <si>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</si>
  <si>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</si>
  <si>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</si>
  <si>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</si>
  <si>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</si>
  <si>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</si>
  <si>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</si>
  <si>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</si>
  <si>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</si>
  <si>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</si>
  <si>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</si>
  <si>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</si>
  <si>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</si>
  <si>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</si>
  <si>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</si>
  <si>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</si>
  <si>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</si>
  <si>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</si>
  <si>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</si>
  <si>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</si>
  <si>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</si>
  <si>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</si>
  <si>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</si>
  <si>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</si>
  <si>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</si>
  <si>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</si>
  <si>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</si>
  <si>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</si>
  <si>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</si>
  <si>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</si>
  <si>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</si>
  <si>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</si>
  <si>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</si>
  <si>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</si>
  <si>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</si>
  <si>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</si>
  <si>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</si>
  <si>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</si>
  <si>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</si>
  <si>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</si>
  <si>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</si>
  <si>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</si>
  <si>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</si>
  <si>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</si>
  <si>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</si>
  <si>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</si>
  <si>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</si>
  <si>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</si>
  <si>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</si>
  <si>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</si>
  <si>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</si>
  <si>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</si>
  <si>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</si>
  <si>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</si>
  <si>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</si>
  <si>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</si>
  <si>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</si>
  <si>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</si>
  <si>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</si>
  <si>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</si>
  <si>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</si>
  <si>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</si>
  <si>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</si>
  <si>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</si>
  <si>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</si>
  <si>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</si>
  <si>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</si>
  <si>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</si>
  <si>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</si>
  <si>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</si>
  <si>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</si>
  <si>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</si>
  <si>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</si>
  <si>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</si>
  <si>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</si>
  <si>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</si>
  <si>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</si>
  <si>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</si>
  <si>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</si>
  <si>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</si>
  <si>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</si>
  <si>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</si>
  <si>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</si>
  <si>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</si>
  <si>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</si>
  <si>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</si>
  <si>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</si>
  <si>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</si>
  <si>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</si>
  <si>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</si>
  <si>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</si>
  <si>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</si>
  <si>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</si>
  <si>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</si>
  <si>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</si>
  <si>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</si>
  <si>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</si>
  <si>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</si>
  <si>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</si>
  <si>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</si>
  <si>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</si>
  <si>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</si>
  <si>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</si>
  <si>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</si>
  <si>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</si>
  <si>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</si>
  <si>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</si>
  <si>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</si>
  <si>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</si>
  <si>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</si>
  <si>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</si>
  <si>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</si>
  <si>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</si>
  <si>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</si>
  <si>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</si>
  <si>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</si>
  <si>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</si>
  <si>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</si>
  <si>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</si>
  <si>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</si>
  <si>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</si>
  <si>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</si>
  <si>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</si>
  <si>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</si>
  <si>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</si>
  <si>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</si>
  <si>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</si>
  <si>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</si>
  <si>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</si>
  <si>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</si>
  <si>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</si>
  <si>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</si>
  <si>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</si>
  <si>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</si>
  <si>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</si>
  <si>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</si>
  <si>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</si>
  <si>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</si>
  <si>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</si>
  <si>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</si>
  <si>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</si>
  <si>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</si>
  <si>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</si>
  <si>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</si>
  <si>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</si>
  <si>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</si>
  <si>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</si>
  <si>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</si>
  <si>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</si>
  <si>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</si>
  <si>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</si>
  <si>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</si>
  <si>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</si>
  <si>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</si>
  <si>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</si>
  <si>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</si>
  <si>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</si>
  <si>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</si>
  <si>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</si>
  <si>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</si>
  <si>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</si>
  <si>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</si>
  <si>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</si>
  <si>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</si>
  <si>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</si>
  <si>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</si>
  <si>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</si>
  <si>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</si>
  <si>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</si>
  <si>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</si>
  <si>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</si>
  <si>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</si>
  <si>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</si>
  <si>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</si>
  <si>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</si>
  <si>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</si>
  <si>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</si>
  <si>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</si>
  <si>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</si>
  <si>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</si>
  <si>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</si>
  <si>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</si>
  <si>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</si>
  <si>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</si>
  <si>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</si>
  <si>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</si>
  <si>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</si>
  <si>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</si>
  <si>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</si>
  <si>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</si>
  <si>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</si>
  <si>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</si>
  <si>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</si>
  <si>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</si>
  <si>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</si>
  <si>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</si>
  <si>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</si>
  <si>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</si>
  <si>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</si>
  <si>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</si>
  <si>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</si>
  <si>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</si>
  <si>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</si>
  <si>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</si>
  <si>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</si>
  <si>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</si>
  <si>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</si>
  <si>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</si>
  <si>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</si>
  <si>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</si>
  <si>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</si>
  <si>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</si>
  <si>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</si>
  <si>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</si>
  <si>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</si>
  <si>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</si>
  <si>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</si>
  <si>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</si>
  <si>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</si>
  <si>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</si>
  <si>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</si>
  <si>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</si>
  <si>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</si>
  <si>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</si>
  <si>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</si>
  <si>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</si>
  <si>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</si>
  <si>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</si>
  <si>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</si>
  <si>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</si>
  <si>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</si>
  <si>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</si>
  <si>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</si>
  <si>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</si>
  <si>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</si>
  <si>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</si>
  <si>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</si>
  <si>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</si>
  <si>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</si>
  <si>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</si>
  <si>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</si>
  <si>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</si>
  <si>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</si>
  <si>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</si>
  <si>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</si>
  <si>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</si>
  <si>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</si>
  <si>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</si>
  <si>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</si>
  <si>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</si>
  <si>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</si>
  <si>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</si>
  <si>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</si>
  <si>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</si>
  <si>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</si>
  <si>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</si>
  <si>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</si>
  <si>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</si>
  <si>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</si>
  <si>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</si>
  <si>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</si>
  <si>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</si>
  <si>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</si>
  <si>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</si>
  <si>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</si>
  <si>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</si>
  <si>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</si>
  <si>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</si>
  <si>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</si>
  <si>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</si>
  <si>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</si>
  <si>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</si>
  <si>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</si>
  <si>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</si>
  <si>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</si>
  <si>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</si>
  <si>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</si>
  <si>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</si>
  <si>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</si>
  <si>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</si>
  <si>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</si>
  <si>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</si>
  <si>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</si>
  <si>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</si>
  <si>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</si>
  <si>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</si>
  <si>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</si>
  <si>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</si>
  <si>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</si>
  <si>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</si>
  <si>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</si>
  <si>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</si>
  <si>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</si>
  <si>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</si>
  <si>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</si>
  <si>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</si>
  <si>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</si>
  <si>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</si>
  <si>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</si>
  <si>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</si>
  <si>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</si>
  <si>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</si>
  <si>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</si>
  <si>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</si>
  <si>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</si>
  <si>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</si>
  <si>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</si>
  <si>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</si>
  <si>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</si>
  <si>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</si>
  <si>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</si>
  <si>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</si>
  <si>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</si>
  <si>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</si>
  <si>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</si>
  <si>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</si>
  <si>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</si>
  <si>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</si>
  <si>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</si>
  <si>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</si>
  <si>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</si>
  <si>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</si>
  <si>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</si>
  <si>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</si>
  <si>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</si>
  <si>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</si>
  <si>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</si>
  <si>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</si>
  <si>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</si>
  <si>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</si>
  <si>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</si>
  <si>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</si>
  <si>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</si>
  <si>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</si>
  <si>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</si>
  <si>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</si>
  <si>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</si>
  <si>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</si>
  <si>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</si>
  <si>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</si>
  <si>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</si>
  <si>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</si>
  <si>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</si>
  <si>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</si>
  <si>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</si>
  <si>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</si>
  <si>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</si>
  <si>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</si>
  <si>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</si>
  <si>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</si>
  <si>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</si>
  <si>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</si>
  <si>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</si>
  <si>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</si>
  <si>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</si>
  <si>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</si>
  <si>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</si>
  <si>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</si>
  <si>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</si>
  <si>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</si>
  <si>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</si>
  <si>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</si>
  <si>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</si>
  <si>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</si>
  <si>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</si>
  <si>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</si>
  <si>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</si>
  <si>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</si>
  <si>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</si>
  <si>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</si>
  <si>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</si>
  <si>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</si>
  <si>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</si>
  <si>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</si>
  <si>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</si>
  <si>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</si>
  <si>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</si>
  <si>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</si>
  <si>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</si>
  <si>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</si>
  <si>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</si>
  <si>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</si>
  <si>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</si>
  <si>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</si>
  <si>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</si>
  <si>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</si>
  <si>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</si>
  <si>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</si>
  <si>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</si>
  <si>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</si>
  <si>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</si>
  <si>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</si>
  <si>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</si>
  <si>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</si>
  <si>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</si>
  <si>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</si>
  <si>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</si>
  <si>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</si>
  <si>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</si>
  <si>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</si>
  <si>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</si>
  <si>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</si>
  <si>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</si>
  <si>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</si>
  <si>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</si>
  <si>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</si>
  <si>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</si>
  <si>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</si>
  <si>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</si>
  <si>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</si>
  <si>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</si>
  <si>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</si>
  <si>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</si>
  <si>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</si>
  <si>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</si>
  <si>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</si>
  <si>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</si>
  <si>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</si>
  <si>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</si>
  <si>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</si>
  <si>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</si>
  <si>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</si>
  <si>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</si>
  <si>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</si>
  <si>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</si>
  <si>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</si>
  <si>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</si>
  <si>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</si>
  <si>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</si>
  <si>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</si>
  <si>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</si>
  <si>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</si>
  <si>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</si>
  <si>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</si>
  <si>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</si>
  <si>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</si>
  <si>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</si>
  <si>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</si>
  <si>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</si>
  <si>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</si>
  <si>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</si>
  <si>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</si>
  <si>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</si>
  <si>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</si>
  <si>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</si>
  <si>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</si>
  <si>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</si>
  <si>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</si>
  <si>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</si>
  <si>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</si>
  <si>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</si>
  <si>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</si>
  <si>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</si>
  <si>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</si>
  <si>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</si>
  <si>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</si>
  <si>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</si>
  <si>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</si>
  <si>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</si>
  <si>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</si>
  <si>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</si>
  <si>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</si>
  <si>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</si>
  <si>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</si>
  <si>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</si>
  <si>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</si>
  <si>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</si>
  <si>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</si>
  <si>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</si>
  <si>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</si>
  <si>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</si>
  <si>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pulse duration</t>
  </si>
  <si>
    <t>spg_dur_man</t>
  </si>
  <si>
    <t>Manual sparge interval</t>
  </si>
  <si>
    <t>spg_int_man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</si>
  <si>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</si>
  <si>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</si>
  <si>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</si>
  <si>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</si>
  <si>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</si>
  <si>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</si>
  <si>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</si>
  <si>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</si>
  <si>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</si>
  <si>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</si>
  <si>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</si>
  <si>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Optimal duty cycle</t>
  </si>
  <si>
    <t>duty_opt</t>
  </si>
  <si>
    <t>Max interval — O₂ flush frequency</t>
  </si>
  <si>
    <t>spg_int_max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</si>
  <si>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</si>
  <si>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</si>
  <si>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</si>
  <si>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</si>
  <si>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</si>
  <si>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</si>
  <si>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</si>
  <si>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</si>
  <si>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</si>
  <si>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</si>
  <si>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</si>
  <si>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</si>
  <si>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</si>
  <si>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</si>
  <si>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</si>
  <si>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</si>
  <si>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</si>
  <si>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</si>
  <si>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</si>
  <si>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</si>
  <si>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</si>
  <si>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</si>
  <si>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</si>
  <si>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</si>
  <si>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</si>
  <si>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</si>
  <si>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</si>
  <si>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</si>
  <si>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</si>
  <si>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</si>
  <si>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</si>
  <si>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</si>
  <si>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</si>
  <si>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</si>
  <si>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</si>
  <si>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</si>
  <si>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</si>
  <si>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</si>
  <si>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</si>
  <si>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</si>
  <si>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</si>
  <si>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</si>
  <si>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</si>
  <si>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</si>
  <si>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</si>
  <si>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</si>
  <si>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</si>
  <si>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</si>
  <si>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</si>
  <si>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</si>
  <si>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</si>
  <si>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</si>
  <si>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</si>
  <si>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</si>
  <si>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</si>
  <si>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</si>
  <si>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</si>
  <si>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</si>
  <si>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</si>
  <si>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</si>
  <si>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</si>
  <si>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</si>
  <si>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</si>
  <si>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</si>
  <si>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</si>
  <si>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</si>
  <si>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</si>
  <si>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</si>
  <si>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</si>
  <si>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</si>
  <si>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</si>
  <si>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</si>
  <si>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</si>
  <si>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</si>
  <si>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</si>
  <si>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</si>
  <si>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</si>
  <si>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</si>
  <si>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</si>
  <si>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</si>
  <si>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</si>
  <si>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</si>
  <si>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</si>
  <si>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</si>
  <si>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</si>
  <si>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</si>
  <si>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</si>
  <si>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</si>
  <si>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</si>
  <si>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</si>
  <si>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</si>
  <si>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</si>
  <si>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</si>
  <si>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</si>
  <si>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</si>
  <si>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</si>
  <si>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</si>
  <si>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</si>
  <si>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</si>
  <si>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</si>
  <si>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</si>
  <si>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</si>
  <si>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</si>
  <si>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</si>
  <si>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</si>
  <si>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</si>
  <si>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</si>
  <si>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</si>
  <si>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</si>
  <si>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</si>
  <si>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</si>
  <si>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</si>
  <si>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</si>
  <si>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</si>
  <si>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</si>
  <si>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</si>
  <si>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</si>
  <si>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</si>
  <si>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</si>
  <si>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</si>
  <si>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</si>
  <si>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</si>
  <si>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</si>
  <si>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</si>
  <si>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</si>
  <si>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</si>
  <si>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</si>
  <si>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</si>
  <si>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</si>
  <si>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</si>
  <si>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</si>
  <si>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</si>
  <si>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</si>
  <si>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</si>
  <si>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</si>
  <si>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</si>
  <si>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</si>
  <si>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</si>
  <si>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</si>
  <si>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</si>
  <si>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</si>
  <si>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</si>
  <si>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</si>
  <si>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</si>
  <si>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</si>
  <si>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</si>
  <si>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</si>
  <si>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</si>
  <si>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</si>
  <si>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</si>
  <si>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</si>
  <si>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</si>
  <si>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</si>
  <si>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</si>
  <si>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</si>
  <si>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</si>
  <si>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</si>
  <si>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</si>
  <si>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</si>
  <si>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</si>
  <si>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</si>
  <si>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</si>
  <si>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</si>
  <si>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</si>
  <si>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</si>
  <si>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</si>
  <si>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</si>
  <si>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</si>
  <si>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</si>
  <si>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</si>
  <si>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</si>
  <si>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</si>
  <si>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</si>
  <si>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</si>
  <si>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</si>
  <si>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</si>
  <si>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</si>
  <si>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</si>
  <si>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</si>
  <si>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</si>
  <si>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</si>
  <si>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</si>
  <si>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</si>
  <si>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</si>
  <si>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</si>
  <si>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</si>
  <si>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</si>
  <si>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</si>
  <si>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</si>
  <si>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</si>
  <si>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</si>
  <si>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</si>
  <si>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</si>
  <si>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</si>
  <si>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</si>
  <si>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</si>
  <si>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</si>
  <si>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</si>
  <si>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</si>
  <si>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</si>
  <si>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</si>
  <si>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</si>
  <si>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</si>
  <si>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</si>
  <si>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</si>
  <si>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</si>
  <si>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</si>
  <si>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</si>
  <si>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</si>
  <si>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</si>
  <si>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</si>
  <si>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</si>
  <si>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</si>
  <si>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</si>
  <si>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</si>
  <si>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</si>
  <si>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</si>
  <si>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</si>
  <si>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</si>
  <si>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</si>
  <si>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</si>
  <si>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</si>
  <si>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</si>
  <si>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</si>
  <si>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</si>
  <si>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</si>
  <si>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bleach_rate</t>
  </si>
  <si>
    <t>mg/L/h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</si>
  <si>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</si>
  <si>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</si>
  <si>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</si>
  <si>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</si>
  <si>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</si>
  <si>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</si>
  <si>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</si>
  <si>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</si>
  <si>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</si>
  <si>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</si>
  <si>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</si>
  <si>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</si>
  <si>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</si>
  <si>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</si>
  <si>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</si>
  <si>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</si>
  <si>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</si>
  <si>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</si>
  <si>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</si>
  <si>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</si>
  <si>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</si>
  <si>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</si>
  <si>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</si>
  <si>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</si>
  <si>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</si>
  <si>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HOCl_max</t>
  </si>
  <si>
    <t>mg/L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</si>
  <si>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</si>
  <si>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</si>
  <si>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</si>
  <si>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</si>
  <si>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</si>
  <si>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</si>
  <si>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</si>
  <si>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</si>
  <si>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</si>
  <si>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</si>
  <si>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</si>
  <si>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</si>
  <si>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</si>
  <si>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</si>
  <si>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</si>
  <si>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</si>
  <si>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</si>
  <si>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</si>
  <si>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</si>
  <si>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</si>
  <si>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</si>
  <si>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</si>
  <si>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</si>
  <si>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</si>
  <si>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</si>
  <si>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</si>
  <si>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</si>
  <si>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</si>
  <si>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</si>
  <si>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</si>
  <si>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</si>
  <si>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</si>
  <si>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</si>
  <si>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</si>
  <si>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</si>
  <si>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</si>
  <si>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</si>
  <si>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</si>
  <si>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</si>
  <si>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</si>
  <si>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</si>
  <si>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</si>
  <si>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</si>
  <si>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</si>
  <si>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</si>
  <si>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</si>
  <si>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</si>
  <si>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</si>
  <si>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</si>
  <si>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</si>
  <si>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</si>
  <si>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</si>
  <si>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</si>
  <si>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</si>
  <si>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</si>
  <si>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</si>
  <si>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</si>
  <si>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</si>
  <si>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</si>
  <si>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</si>
  <si>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</si>
  <si>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</si>
  <si>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</si>
  <si>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</si>
  <si>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</si>
  <si>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</si>
  <si>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</si>
  <si>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</si>
  <si>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</si>
  <si>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</si>
  <si>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</si>
  <si>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</si>
  <si>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</si>
  <si>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</si>
  <si>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</si>
  <si>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</si>
  <si>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</si>
  <si>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</si>
  <si>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</si>
  <si>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</si>
  <si>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</si>
  <si>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</si>
  <si>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</si>
  <si>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</si>
  <si>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>Naïve FE=1 production ceiling (NOT operative)</t>
  </si>
  <si>
    <t>Naïve FE=1 ceiling: all chloride → free chlorine (NOT operative)</t>
  </si>
  <si>
    <t>Naïve FE=1 upper bound (all anode current→Cl₂). Superseded by Cl2_prod (D134, realistic). Kept only to show the ~40× overstatement.</t>
  </si>
  <si>
    <t>Naïve FE=1 ceiling (all chloride→free chlorine). Superseded by free_HOCl (D139). Overstates ~40× (chloride mass-transport cap) and ignores the ammonium demand.</t>
  </si>
  <si>
    <t>Pous 2022 (BiTE 101010) / Pous 2023 (JECE 111550), UdG recipe = 0.01 g/L.</t>
  </si>
  <si>
    <t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</si>
  <si>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>O₂-limited FALLBACK interval: zero-surface worst case (sparge vents all O₂; no surface credit). Applies only if measured kL_surf &lt; kL_surf_crit (D131). The recommended interval (D91) credits the surface estimate.</t>
  </si>
  <si>
    <t>Conservative O₂-vent duty: net O₂ with the surface-strip credit withheld (O2_src_guard). Sizes the O₂-limited fallback; the recommended schedule credits the surface estimate when DO is held.</t>
  </si>
  <si>
    <t>FREE-CHLORINE PENALTY MODEL (graded, kinetic — operative; supersedes the naïve FE=1 ceiling above)</t>
  </si>
  <si>
    <t>Max active-Cl evolution efficiency (high-Cl plateau)</t>
  </si>
  <si>
    <t>FE_CER</t>
  </si>
  <si>
    <t>-</t>
  </si>
  <si>
    <t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</si>
  <si>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>Cl⁻ mass-transfer coefficient</t>
  </si>
  <si>
    <t>km_Cl</t>
  </si>
  <si>
    <t>cm/s</t>
  </si>
  <si>
    <t>Stirred small cell, k_m = D/δ; 1e-3–1e-2 cm/s (Bard &amp; Faulkner Ch.1; measured stirred cells 2–8e-3). Central 3e-3.</t>
  </si>
  <si>
    <t>Anode wetted area</t>
  </si>
  <si>
    <t>A_anode</t>
  </si>
  <si>
    <t>cm²</t>
  </si>
  <si>
    <t>Pt/Ti rod 6 mm dia × ~3.5 cm submerged ≈ 6 cm²; ~5 used. Estimate.</t>
  </si>
  <si>
    <t>Cl₂ current — efficiency-limited</t>
  </si>
  <si>
    <t>I_Cl_FE</t>
  </si>
  <si>
    <t>A</t>
  </si>
  <si>
    <t>Applied anode current × plateau efficiency.</t>
  </si>
  <si>
    <t>Cl₂ current — chloride mass-transport limit</t>
  </si>
  <si>
    <t>I_Cl_mt</t>
  </si>
  <si>
    <t>i_lim = n·F·k_m·[Cl⁻]·A; n=1; [Cl⁻] mol/cm³ = pH_Cl/1000. Caps chlorine at the chloride flux — binds at trace Cl⁻ (~0.26 mA for UdG), so production scales with chloride.</t>
  </si>
  <si>
    <t>Realistic chlorine current (binding limit)</t>
  </si>
  <si>
    <t>I_Cl</t>
  </si>
  <si>
    <t>Smaller of efficiency- and mass-transport-limited.</t>
  </si>
  <si>
    <t>Volumetric free-chlorine production</t>
  </si>
  <si>
    <t>P_HOCl</t>
  </si>
  <si>
    <t>mol/L/s</t>
  </si>
  <si>
    <t>P_HOCl = I_Cl/(2·F·V). 2 e⁻ per Cl₂→HOCl.</t>
  </si>
  <si>
    <t>Medium ammonium (as N)</t>
  </si>
  <si>
    <t>NH3_N</t>
  </si>
  <si>
    <t>mg/L</t>
  </si>
  <si>
    <t>Active-medium total ammonium × 14.007 g/mol N.</t>
  </si>
  <si>
    <t>Monochloramine formation rate constant</t>
  </si>
  <si>
    <t>k1_NH2Cl</t>
  </si>
  <si>
    <t>M⁻¹s⁻¹</t>
  </si>
  <si>
    <t>HOCl + NH₃ → NH₂Cl, k₁ = 4.2e6 M⁻¹s⁻¹ (Morris &amp; Isaac 1983; Jafvert &amp; Valentine 1992, ES&amp;T 26:577, DOI 10.1021/es00027a022). Fast but NOT instantaneous.</t>
  </si>
  <si>
    <t>Ammonium pKa (NH₄⁺/NH₃)</t>
  </si>
  <si>
    <t>pKa_NH4</t>
  </si>
  <si>
    <t>Only free NH₃ reacts with HOCl; at pH 7 just ~0.6% of the ammonium pool is free NH₃ — so the sink is finite and a steady residual coexists.</t>
  </si>
  <si>
    <t>Free ammonia</t>
  </si>
  <si>
    <t>NH3_free</t>
  </si>
  <si>
    <t>mol/L</t>
  </si>
  <si>
    <t>NH₃ = NH₄_tot/(1+10^(pKa_NH4−pH)). The reactive fraction that scavenges HOCl.</t>
  </si>
  <si>
    <t>Steady bulk free HOCl</t>
  </si>
  <si>
    <t>HOCl_ss</t>
  </si>
  <si>
    <t>[HOCl]_ss = production/(k₁·NH₃_free). Non-zero by construction; rises with current, falls with ammonium/pH.</t>
  </si>
  <si>
    <t>Steady bulk free HOCl (mass)</t>
  </si>
  <si>
    <t>HOCl_ss_mgL</t>
  </si>
  <si>
    <t>Bulk free chlorine, mg/L. Small for UdG — below the impairment onset, so no bulk sterilisation (UdG runs for days).</t>
  </si>
  <si>
    <t>Anode boundary-layer enrichment</t>
  </si>
  <si>
    <t>f_local</t>
  </si>
  <si>
    <t>Local HOCl at the anode is higher than bulk before it diffuses out and meets ammonia (boundary-layer time ~0.1–10 s ≫ ms bulk scavenging). f_local ≥ 1; sub-mM value unmeasured — SENSITIVITY parameter.</t>
  </si>
  <si>
    <t>Monochloramine effective residence</t>
  </si>
  <si>
    <t>tau_NH2Cl</t>
  </si>
  <si>
    <t>h</t>
  </si>
  <si>
    <t>Time combined chlorine persists before consumption (growth N-uptake, cathodic reduction, dilution). Lit: minutes–hours; system-specific value unknown — SENSITIVITY parameter.</t>
  </si>
  <si>
    <t>Steady combined chlorine (monochloramine)</t>
  </si>
  <si>
    <t>NH2Cl_mgL</t>
  </si>
  <si>
    <t>Production held as monochloramine over its residence, capped at the ammonium capacity (5.06 mg Cl₂/mg N). Longer-lived and still biocidal — not harmless.</t>
  </si>
  <si>
    <t>Monochloramine potency divisor</t>
  </si>
  <si>
    <t>R_chloramine</t>
  </si>
  <si>
    <t>Monochloramine is ~18–70× less biocidal than free chlorine (EPA SWTR ~18×, Giardia; IWA 2008 ~70×, E. coli). 25 = conservative (kinder-to-chloramine).</t>
  </si>
  <si>
    <t>EFFECTIVE biocidal chlorine load</t>
  </si>
  <si>
    <t>C_eff</t>
  </si>
  <si>
    <t>OPERATIVE bleaching value: local-weighted free HOCl + combined chlorine ÷ potency. Graded, non-zero; scales with chloride and current. Supersedes the FE=1 ceiling (D125).</t>
  </si>
  <si>
    <t>Free-chlorine impairment onset (sub-lethal)</t>
  </si>
  <si>
    <t>Cl_onset</t>
  </si>
  <si>
    <t>Growth measurably slowed above ~0.1 mg/L free-Cl-equiv (graded, gram-negative proxy; Murray 2017 Ecotox 26:1115; HOCl oxidative-stress onset). Distinct from kill.</t>
  </si>
  <si>
    <t>Free-chlorine kill threshold</t>
  </si>
  <si>
    <t>Cl_kill</t>
  </si>
  <si>
    <t>~1–5 mg/L for tolerant gram-negatives; 2 used. Above C_eff this → biofilm/electrode damage (Baek 2021, CEJ 405:126742).</t>
  </si>
  <si>
    <t>Operative flag: effective biocidal chlorine (C_eff, D145) vs the sub-lethal onset (D146) and kill (D147). Graded — MILD for trace-chloride UdG, SEVERE only at high chloride/current.</t>
  </si>
  <si>
    <t>Effective biocidal chlorine</t>
  </si>
  <si>
    <t>Set by the Summary 'Your setting' override (G13/G15) when filled; otherwise this Manual/Optimal selector + the manual cells below apply. Optimal = recommended schedule.</t>
  </si>
  <si>
    <t>Your pulse length when sched_mode=Manual. Easiest: type into the Summary 'Your setting' column (G13) instead — it overrides everything.</t>
  </si>
  <si>
    <t>Your interval when sched_mode=Manual. Easiest: type into the Summary 'Your setting' column (G15) instead — it overrides everything.</t>
  </si>
  <si>
    <t>≥5 s gap between pulses for an OD read (uses the schedule IN USE, so it responds to your override). Can't measure OD while sparging.</t>
  </si>
  <si>
    <t>Override</t>
  </si>
  <si>
    <t xml:space="preserve">Schedule → dissolved-CO₂ sawtooth model</t>
  </si>
  <si>
    <t xml:space="preserve">Limit-cycle dissolved CO₂ from the sparge pulse/gap schedule; feeds Chemistry CO2aqc (D5).</t>
  </si>
  <si>
    <t xml:space="preserve">CO₂ molecular diffusivity</t>
  </si>
  <si>
    <t xml:space="preserve">D_CO2</t>
  </si>
  <si>
    <t xml:space="preserve">m²/s</t>
  </si>
  <si>
    <t xml:space="preserve">CO₂ molecular diffusivity in water ~25°C, Cussler/Tamimi 1994. FLAG: scaled against the 30°C D_O2, ~3% bias on kLa, conservative.</t>
  </si>
  <si>
    <t xml:space="preserve">Atmospheric pCO₂</t>
  </si>
  <si>
    <t xml:space="preserve">pCO2_air</t>
  </si>
  <si>
    <t xml:space="preserve">Pa</t>
  </si>
  <si>
    <t xml:space="preserve">Atmospheric pCO₂ ~400 ppm; between-pulse decay target; assumes ventilated headspace.</t>
  </si>
  <si>
    <t xml:space="preserve">CO₂ saturation (pure sparge)</t>
  </si>
  <si>
    <t xml:space="preserve">C_sat_CO2</t>
  </si>
  <si>
    <t xml:space="preserve">mol/m³</t>
  </si>
  <si>
    <t xml:space="preserve">Pure-CO₂ sparge saturation = pulse asymptote &amp; upper clamp ~29.28.</t>
  </si>
  <si>
    <t xml:space="preserve">CO₂ air-equilibrium</t>
  </si>
  <si>
    <t xml:space="preserve">C_air_CO2</t>
  </si>
  <si>
    <t xml:space="preserve">mol/m³</t>
  </si>
  <si>
    <t xml:space="preserve">Air-equilibrium = gap asymptote &amp; lower clamp ~0.0116.</t>
  </si>
  <si>
    <t xml:space="preserve">Diffusivity scaling</t>
  </si>
  <si>
    <t xml:space="preserve">sqrtD_CO2</t>
  </si>
  <si>
    <t xml:space="preserve">-</t>
  </si>
  <si>
    <t xml:space="preserve">Penetration-theory diffusivity scaling kL~D^0.5.</t>
  </si>
  <si>
    <t xml:space="preserve">kLa CO₂ during pulse</t>
  </si>
  <si>
    <t xml:space="preserve">kLa_CO2_on</t>
  </si>
  <si>
    <t xml:space="preserve">1/s</t>
  </si>
  <si>
    <t xml:space="preserve">Bubble-path CO₂ transfer during a pulse.</t>
  </si>
  <si>
    <t xml:space="preserve">kLa CO₂ between pulses</t>
  </si>
  <si>
    <t xml:space="preserve">kLa_CO2_off</t>
  </si>
  <si>
    <t xml:space="preserve">1/s</t>
  </si>
  <si>
    <t xml:space="preserve">Surface-path CO₂ stripping between pulses.</t>
  </si>
  <si>
    <t xml:space="preserve">Pulse duration</t>
  </si>
  <si>
    <t xml:space="preserve">t_on_CO2</t>
  </si>
  <si>
    <t xml:space="preserve">s</t>
  </si>
  <si>
    <t xml:space="preserve">Pulse duration = in-use schedule.</t>
  </si>
  <si>
    <t xml:space="preserve">Gap duration</t>
  </si>
  <si>
    <t xml:space="preserve">t_off_CO2</t>
  </si>
  <si>
    <t xml:space="preserve">s</t>
  </si>
  <si>
    <t xml:space="preserve">GUARD floored at 0; without it interval&lt;pulse drives the average negative and a more-than-full-sparge schedule wrongly reports the no-sparge pH.</t>
  </si>
  <si>
    <t xml:space="preserve">Pulse decay factor</t>
  </si>
  <si>
    <t xml:space="preserve">saw_a</t>
  </si>
  <si>
    <t xml:space="preserve">-</t>
  </si>
  <si>
    <t xml:space="preserve">exp(-kLa_CO2_on*t_on_CO2); fraction of the saturation gap left at pulse end.</t>
  </si>
  <si>
    <t xml:space="preserve">Gap decay factor</t>
  </si>
  <si>
    <t xml:space="preserve">saw_b</t>
  </si>
  <si>
    <t xml:space="preserve">-</t>
  </si>
  <si>
    <t xml:space="preserve">exp(-kLa_CO2_off*t_off_CO2); fraction of the air-eq gap left at gap end.</t>
  </si>
  <si>
    <t xml:space="preserve">Cycle-start CO₂</t>
  </si>
  <si>
    <t xml:space="preserve">CO2_cyc_start</t>
  </si>
  <si>
    <t xml:space="preserve">mol/m³</t>
  </si>
  <si>
    <t xml:space="preserve">Periodic limit-cycle concentration at the start of each pulse.</t>
  </si>
  <si>
    <t xml:space="preserve">Cycle-end CO₂</t>
  </si>
  <si>
    <t xml:space="preserve">CO2_cyc_end</t>
  </si>
  <si>
    <t xml:space="preserve">mol/m³</t>
  </si>
  <si>
    <t xml:space="preserve">Concentration at the end of each pulse (start of the gap).</t>
  </si>
  <si>
    <t xml:space="preserve">Pulse time-integral</t>
  </si>
  <si>
    <t xml:space="preserve">CO2_int_on</t>
  </si>
  <si>
    <t xml:space="preserve">mol.s/m³</t>
  </si>
  <si>
    <t xml:space="preserve">∫C dt over the pulse (analytic, first-order relaxation toward C_sat_CO2).</t>
  </si>
  <si>
    <t xml:space="preserve">Gap time-integral</t>
  </si>
  <si>
    <t xml:space="preserve">CO2_int_off</t>
  </si>
  <si>
    <t xml:space="preserve">mol.s/m³</t>
  </si>
  <si>
    <t xml:space="preserve">∫C dt over the gap (analytic, first-order relaxation toward C_air_CO2).</t>
  </si>
  <si>
    <t xml:space="preserve">Cycle-average CO₂</t>
  </si>
  <si>
    <t xml:space="preserve">CO2_cyc_avg</t>
  </si>
  <si>
    <t xml:space="preserve">mol/m³</t>
  </si>
  <si>
    <t xml:space="preserve">Cycle time-average dissolved CO₂, schedule-dependent.</t>
  </si>
  <si>
    <t xml:space="preserve">Steady dissolved CO₂</t>
  </si>
  <si>
    <t xml:space="preserve">CO2aqc_ss</t>
  </si>
  <si>
    <t xml:space="preserve">mol/L</t>
  </si>
  <si>
    <t xml:space="preserve">Bounded steady dissolved CO₂; the value Chemistry D5 is repointed to.</t>
  </si>
  <si>
    <t xml:space="preserve">Schedule validity</t>
  </si>
  <si>
    <t xml:space="preserve">sched_valid</t>
  </si>
  <si>
    <t xml:space="preserve">-</t>
  </si>
  <si>
    <t xml:space="preserve">Surfaces the duty&gt;1 misuse the guard absorbs.</t>
  </si>
  <si>
    <t xml:space="preserve">Schedule-dependent steady-state dissolved CO₂ (sawtooth limit cycle, bounded air-eq..saturation) - was the fixed full-sparge worst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</si>
</sst>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11"/>
    <xf numFmtId="0" fontId="27" fillId="8" borderId="11"/>
    <xf numFmtId="0" fontId="28" fillId="10" borderId="11"/>
    <xf numFmtId="0" fontId="29" fillId="18" borderId="11"/>
  </cellStyleXfs>
  <cellXfs count="131">
    <xf numFmtId="0" fontId="0" fillId="0" borderId="0" xfId="0" applyBorder="1"/>
    <xf numFmtId="0" fontId="11" fillId="0" borderId="0" xfId="0" applyFont="1" applyBorder="1"/>
    <xf numFmtId="0" fontId="18" fillId="0" borderId="0" xfId="0" applyFont="1" applyBorder="1"/>
    <xf numFmtId="0" fontId="0" fillId="0" borderId="1" xfId="0" applyBorder="1"/>
    <xf numFmtId="0" fontId="8" fillId="0" borderId="1" xfId="0" applyFont="1" applyBorder="1"/>
    <xf numFmtId="0" fontId="9" fillId="13" borderId="1" xfId="0" applyFont="1" applyFill="1" applyBorder="1"/>
    <xf numFmtId="0" fontId="20" fillId="0" borderId="1" xfId="0" applyFont="1" applyBorder="1"/>
    <xf numFmtId="0" fontId="15" fillId="0" borderId="1" xfId="0" applyFont="1" applyBorder="1"/>
    <xf numFmtId="0" fontId="10" fillId="15" borderId="1" xfId="0" applyFont="1" applyFill="1" applyBorder="1"/>
    <xf numFmtId="14" fontId="0" fillId="0" borderId="1" xfId="0" applyNumberFormat="1" applyBorder="1"/>
    <xf numFmtId="0" fontId="10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1" fillId="0" borderId="1" xfId="0" applyFont="1" applyBorder="1"/>
    <xf numFmtId="0" fontId="22" fillId="0" borderId="1" xfId="0" applyFont="1" applyBorder="1"/>
    <xf numFmtId="0" fontId="0" fillId="0" borderId="2" xfId="0" applyBorder="1"/>
    <xf numFmtId="0" fontId="9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19" fillId="0" borderId="3" xfId="0" applyFont="1" applyBorder="1"/>
    <xf numFmtId="0" fontId="25" fillId="0" borderId="4" xfId="0" applyFont="1" applyBorder="1"/>
    <xf numFmtId="0" fontId="16" fillId="0" borderId="3" xfId="0" applyFont="1" applyBorder="1"/>
    <xf numFmtId="0" fontId="25" fillId="0" borderId="3" xfId="0" applyFont="1" applyBorder="1"/>
    <xf numFmtId="0" fontId="25" fillId="0" borderId="5" xfId="0" applyFont="1" applyBorder="1"/>
    <xf numFmtId="0" fontId="25" fillId="0" borderId="6" xfId="0" applyFont="1" applyBorder="1"/>
    <xf numFmtId="0" fontId="25" fillId="0" borderId="7" xfId="0" applyFont="1" applyBorder="1"/>
    <xf numFmtId="0" fontId="12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2" fillId="16" borderId="3" xfId="0" applyFont="1" applyFill="1" applyBorder="1"/>
    <xf numFmtId="0" fontId="12" fillId="10" borderId="3" xfId="0" applyFont="1" applyFill="1" applyBorder="1"/>
    <xf numFmtId="0" fontId="14" fillId="0" borderId="3" xfId="0" applyFont="1" applyBorder="1"/>
    <xf numFmtId="0" fontId="17" fillId="0" borderId="3" xfId="0" applyFont="1" applyBorder="1"/>
    <xf numFmtId="0" fontId="9" fillId="17" borderId="3" xfId="0" applyFont="1" applyFill="1" applyBorder="1"/>
    <xf numFmtId="0" fontId="24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5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5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165" fontId="26" fillId="0" borderId="3" xfId="0" applyNumberFormat="1" applyFont="1" applyBorder="1"/>
    <xf numFmtId="165" fontId="25" fillId="0" borderId="3" xfId="0" applyNumberFormat="1" applyFont="1" applyBorder="1"/>
    <xf numFmtId="166" fontId="26" fillId="0" borderId="3" xfId="0" applyNumberFormat="1" applyFont="1" applyBorder="1"/>
    <xf numFmtId="167" fontId="26" fillId="0" borderId="3" xfId="0" applyNumberFormat="1" applyFont="1" applyBorder="1"/>
    <xf numFmtId="1" fontId="25" fillId="0" borderId="3" xfId="0" applyNumberFormat="1" applyFont="1" applyBorder="1"/>
    <xf numFmtId="168" fontId="26" fillId="0" borderId="3" xfId="0" applyNumberFormat="1" applyFont="1" applyBorder="1"/>
    <xf numFmtId="1" fontId="12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5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6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5" fillId="0" borderId="8" xfId="0" applyNumberFormat="1" applyFont="1" applyBorder="1"/>
    <xf numFmtId="0" fontId="23" fillId="0" borderId="8" xfId="0" applyFont="1" applyBorder="1"/>
    <xf numFmtId="170" fontId="26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5" fillId="10" borderId="3" xfId="0" applyFont="1" applyFill="1" applyBorder="1"/>
    <xf numFmtId="168" fontId="25" fillId="0" borderId="5" xfId="0" applyNumberFormat="1" applyFont="1" applyBorder="1"/>
    <xf numFmtId="0" fontId="16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6" fillId="0" borderId="3" xfId="0" applyNumberFormat="1" applyFont="1" applyBorder="1"/>
    <xf numFmtId="166" fontId="7" fillId="0" borderId="3" xfId="0" applyNumberFormat="1" applyFont="1" applyBorder="1"/>
    <xf numFmtId="168" fontId="25" fillId="0" borderId="8" xfId="0" applyNumberFormat="1" applyFont="1" applyBorder="1"/>
    <xf numFmtId="168" fontId="25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3" fillId="0" borderId="3" xfId="0" applyFont="1" applyBorder="1"/>
    <xf numFmtId="0" fontId="0" fillId="9" borderId="3" xfId="0" applyFill="1" applyBorder="1"/>
    <xf numFmtId="0" fontId="25" fillId="0" borderId="9" xfId="0" applyFont="1" applyBorder="1"/>
    <xf numFmtId="0" fontId="30" fillId="8" borderId="3" xfId="1" applyFont="1" applyBorder="1"/>
    <xf numFmtId="0" fontId="30" fillId="18" borderId="3" xfId="3" applyFont="1" applyBorder="1"/>
    <xf numFmtId="0" fontId="30" fillId="10" borderId="3" xfId="2" applyFont="1" applyBorder="1"/>
    <xf numFmtId="0" fontId="0" fillId="19" borderId="3" xfId="0" applyFill="1" applyBorder="1"/>
    <xf numFmtId="0" fontId="31" fillId="0" borderId="3" xfId="0" applyFont="1" applyBorder="1"/>
    <xf numFmtId="0" fontId="32" fillId="0" borderId="3" xfId="0" applyFont="1" applyBorder="1"/>
    <xf numFmtId="0" fontId="32" fillId="0" borderId="10" xfId="0" applyFont="1" applyBorder="1"/>
    <xf numFmtId="0" fontId="32" fillId="0" borderId="11" xfId="0" applyFont="1"/>
    <xf numFmtId="0" fontId="33" fillId="0" borderId="3" xfId="0" applyFont="1" applyBorder="1"/>
    <xf numFmtId="0" fontId="33" fillId="0" borderId="11" xfId="0" applyFont="1"/>
    <xf numFmtId="0" fontId="32" fillId="0" borderId="12" xfId="0" applyFont="1" applyBorder="1"/>
    <xf numFmtId="0" fontId="32" fillId="0" borderId="13" xfId="0" applyFont="1" applyBorder="1"/>
    <xf numFmtId="0" fontId="32" fillId="0" borderId="14" xfId="0" applyFont="1" applyBorder="1"/>
    <xf numFmtId="0" fontId="0" fillId="0" borderId="11" xfId="0"/>
    <xf numFmtId="0" fontId="33" fillId="9" borderId="3" xfId="0" applyFont="1" applyFill="1" applyBorder="1"/>
    <xf numFmtId="0" fontId="34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5" fillId="0" borderId="12" xfId="0" applyFont="1" applyBorder="1"/>
    <xf numFmtId="0" fontId="35" fillId="0" borderId="14" xfId="0" applyFont="1" applyBorder="1"/>
    <xf numFmtId="0" fontId="35" fillId="0" borderId="13" xfId="0" applyFont="1" applyBorder="1"/>
    <xf numFmtId="0" fontId="35" fillId="0" borderId="11" xfId="0" applyFont="1"/>
    <xf numFmtId="0" fontId="36" fillId="0" borderId="3" xfId="0" applyFont="1" applyBorder="1"/>
    <xf numFmtId="0" fontId="35" fillId="0" borderId="3" xfId="0" applyFont="1" applyBorder="1"/>
    <xf numFmtId="0" fontId="37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165" fontId="39" fillId="0" borderId="3" xfId="0" applyNumberFormat="1" applyFont="1" applyBorder="1"/>
    <xf numFmtId="0" fontId="36" fillId="3" borderId="3" xfId="0" applyFont="1" applyFill="1" applyBorder="1" applyAlignment="1">
      <alignment vertical="top" wrapText="1"/>
    </xf>
    <xf numFmtId="2" fontId="39" fillId="0" borderId="3" xfId="0" applyNumberFormat="1" applyFont="1" applyBorder="1"/>
    <xf numFmtId="0" fontId="36" fillId="2" borderId="3" xfId="0" applyFont="1" applyFill="1" applyBorder="1" applyAlignment="1">
      <alignment vertical="top" wrapText="1"/>
    </xf>
    <xf numFmtId="0" fontId="36" fillId="7" borderId="3" xfId="0" applyFont="1" applyFill="1" applyBorder="1" applyAlignment="1">
      <alignment vertical="top" wrapText="1"/>
    </xf>
    <xf numFmtId="0" fontId="36" fillId="5" borderId="3" xfId="0" applyFont="1" applyFill="1" applyBorder="1" applyAlignment="1">
      <alignment vertical="top" wrapText="1"/>
    </xf>
    <xf numFmtId="0" fontId="36" fillId="6" borderId="3" xfId="0" applyFont="1" applyFill="1" applyBorder="1" applyAlignment="1">
      <alignment vertical="top" wrapText="1"/>
    </xf>
    <xf numFmtId="0" fontId="40" fillId="0" borderId="3" xfId="0" applyFont="1" applyBorder="1"/>
    <xf numFmtId="166" fontId="39" fillId="0" borderId="3" xfId="0" applyNumberFormat="1" applyFont="1" applyBorder="1"/>
    <xf numFmtId="167" fontId="39" fillId="0" borderId="3" xfId="0" applyNumberFormat="1" applyFont="1" applyBorder="1"/>
    <xf numFmtId="0" fontId="36" fillId="9" borderId="3" xfId="0" applyFont="1" applyFill="1" applyBorder="1" applyAlignment="1">
      <alignment vertical="top" wrapText="1"/>
    </xf>
    <xf numFmtId="0" fontId="36" fillId="19" borderId="3" xfId="0" applyFont="1" applyFill="1" applyBorder="1" applyAlignment="1">
      <alignment vertical="top" wrapText="1"/>
    </xf>
    <xf numFmtId="168" fontId="39" fillId="0" borderId="3" xfId="0" applyNumberFormat="1" applyFont="1" applyBorder="1"/>
    <xf numFmtId="0" fontId="36" fillId="4" borderId="3" xfId="0" applyFont="1" applyFill="1" applyBorder="1" applyAlignment="1">
      <alignment vertical="top" wrapText="1"/>
    </xf>
    <xf numFmtId="0" fontId="36" fillId="11" borderId="3" xfId="0" applyFont="1" applyFill="1" applyBorder="1" applyAlignment="1">
      <alignment vertical="top" wrapText="1"/>
    </xf>
    <xf numFmtId="168" fontId="41" fillId="0" borderId="3" xfId="0" applyNumberFormat="1" applyFont="1" applyBorder="1"/>
    <xf numFmtId="170" fontId="26" fillId="0" borderId="11" xfId="0" applyNumberFormat="1" applyFont="1"/>
    <xf numFmtId="165" fontId="32" fillId="0" borderId="15" xfId="0" applyNumberFormat="1" applyFont="1" applyBorder="1"/>
    <xf numFmtId="0" fontId="35" fillId="0" borderId="16" xfId="0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30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BDD7EE"/>
          <bgColor rgb="FFBDD7E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G71"/>
  <sheetViews>
    <sheetView tabSelected="1" zoomScale="116" workbookViewId="0">
      <selection activeCell="G15" sqref="G15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7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7" ht="16" customHeight="1" thickBot="1" x14ac:dyDescent="0.25">
      <c r="A2" s="17" t="s">
        <v>1</v>
      </c>
      <c r="B2" s="18" t="s">
        <v>30</v>
      </c>
      <c r="C2" s="19"/>
      <c r="D2" s="103" t="s">
        <v>16</v>
      </c>
      <c r="E2" s="20" t="s">
        <v>31</v>
      </c>
      <c r="F2" s="21" t="s">
        <v>32</v>
      </c>
    </row>
    <row r="3" spans="1:7" ht="16" customHeight="1" thickBot="1" x14ac:dyDescent="0.25">
      <c r="A3" s="17" t="s">
        <v>33</v>
      </c>
      <c r="B3" s="18" t="s">
        <v>34</v>
      </c>
      <c r="C3" s="19"/>
      <c r="D3" s="104" t="s">
        <v>397</v>
      </c>
      <c r="E3" s="20" t="s">
        <v>31</v>
      </c>
      <c r="F3" s="21" t="s">
        <v>36</v>
      </c>
    </row>
    <row r="4" spans="1:7" x14ac:dyDescent="0.2">
      <c r="A4" s="17" t="s">
        <v>37</v>
      </c>
      <c r="B4" s="18" t="s">
        <v>38</v>
      </c>
      <c r="C4" s="19"/>
      <c r="D4" s="105" t="s">
        <v>39</v>
      </c>
      <c r="E4" s="20" t="s">
        <v>31</v>
      </c>
      <c r="F4" s="21" t="s">
        <v>40</v>
      </c>
    </row>
    <row r="5" spans="1:7" x14ac:dyDescent="0.2">
      <c r="A5" s="20" t="s">
        <v>41</v>
      </c>
      <c r="B5" s="18" t="s">
        <v>42</v>
      </c>
      <c r="C5" s="20"/>
      <c r="D5" s="105" t="s">
        <v>995</v>
      </c>
      <c r="E5" s="20" t="s">
        <v>31</v>
      </c>
      <c r="F5" s="21" t="s">
        <v>43</v>
      </c>
    </row>
    <row r="6" spans="1:7" x14ac:dyDescent="0.2">
      <c r="A6" s="20" t="s">
        <v>44</v>
      </c>
      <c r="B6" s="18" t="s">
        <v>45</v>
      </c>
      <c r="C6" s="20" t="s">
        <v>46</v>
      </c>
      <c r="D6" s="106">
        <v>3</v>
      </c>
      <c r="E6" s="20" t="s">
        <v>47</v>
      </c>
      <c r="F6" s="21" t="s">
        <v>48</v>
      </c>
    </row>
    <row r="7" spans="1:7" x14ac:dyDescent="0.2">
      <c r="A7" s="20" t="s">
        <v>49</v>
      </c>
      <c r="B7" s="18" t="s">
        <v>50</v>
      </c>
      <c r="C7" s="20" t="s">
        <v>51</v>
      </c>
      <c r="D7" s="106">
        <v>1000</v>
      </c>
      <c r="E7" s="20" t="s">
        <v>47</v>
      </c>
      <c r="F7" s="21" t="s">
        <v>52</v>
      </c>
    </row>
    <row r="8" spans="1:7" x14ac:dyDescent="0.2">
      <c r="A8" s="20" t="s">
        <v>53</v>
      </c>
      <c r="B8" s="18" t="s">
        <v>54</v>
      </c>
      <c r="C8" s="20" t="s">
        <v>55</v>
      </c>
      <c r="D8" s="106">
        <v>25</v>
      </c>
      <c r="E8" s="20" t="s">
        <v>47</v>
      </c>
      <c r="F8" s="21" t="s">
        <v>56</v>
      </c>
    </row>
    <row r="9" spans="1:7" x14ac:dyDescent="0.2">
      <c r="A9" s="20" t="s">
        <v>57</v>
      </c>
      <c r="B9" s="18" t="s">
        <v>58</v>
      </c>
      <c r="C9" s="20" t="s">
        <v>59</v>
      </c>
      <c r="D9" s="106"/>
      <c r="E9" s="20" t="s">
        <v>60</v>
      </c>
      <c r="F9" s="21" t="s">
        <v>61</v>
      </c>
    </row>
    <row r="10" spans="1:7" ht="16" customHeight="1" x14ac:dyDescent="0.2">
      <c r="A10" s="20" t="s">
        <v>62</v>
      </c>
      <c r="B10" s="18" t="s">
        <v>63</v>
      </c>
      <c r="C10" s="20" t="s">
        <v>64</v>
      </c>
      <c r="D10" s="106"/>
      <c r="E10" s="20" t="s">
        <v>60</v>
      </c>
      <c r="F10" s="107" t="s">
        <v>65</v>
      </c>
    </row>
    <row r="11" spans="1:7" x14ac:dyDescent="0.2">
      <c r="A11" s="20"/>
      <c r="B11" s="20"/>
      <c r="C11" s="20"/>
      <c r="D11" s="108"/>
      <c r="E11" s="20"/>
      <c r="F11" s="21"/>
    </row>
    <row r="12" spans="1:7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1173</v>
      </c>
    </row>
    <row r="13" spans="1:7" ht="16" customHeight="1" thickBot="1" x14ac:dyDescent="0.25">
      <c r="A13" s="28" t="s">
        <v>1087</v>
      </c>
      <c r="B13" s="20"/>
      <c r="C13" s="20" t="s">
        <v>13</v>
      </c>
      <c r="D13" s="91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  <c r="G13" s="130"/>
    </row>
    <row r="14" spans="1:7" s="3" customFormat="1" ht="16" customHeight="1" thickBot="1" x14ac:dyDescent="0.25">
      <c r="A14" s="28" t="s">
        <v>1088</v>
      </c>
      <c r="B14" s="20"/>
      <c r="C14" s="20" t="s">
        <v>13</v>
      </c>
      <c r="D14" s="92">
        <f>IF(AND(ISNUMBER($G$13),$G$13&gt;0),$G$13,IF(D13&gt;0.5,ROUND(D13,0),ROUND(D13,1-(1+INT(LOG10(ABS(D13)))))))</f>
        <v>1</v>
      </c>
      <c r="E14" s="20"/>
      <c r="F14" s="21"/>
    </row>
    <row r="15" spans="1:7" ht="16" customHeight="1" thickBot="1" x14ac:dyDescent="0.25">
      <c r="A15" s="90" t="s">
        <v>68</v>
      </c>
      <c r="B15" s="20"/>
      <c r="C15" s="20" t="s">
        <v>69</v>
      </c>
      <c r="D15" s="91">
        <f>IFERROR('Mass Transfer'!$D$91,"calibrate this reactor first (see CO2 flows)")</f>
        <v>181.0677266956931</v>
      </c>
      <c r="E15" s="23" t="str">
        <f>HYPERLINK("#'Mass Transfer'!D91","→ Mass")</f>
        <v>→ Mass</v>
      </c>
      <c r="F15" s="21" t="s">
        <v>70</v>
      </c>
      <c r="G15" s="130"/>
    </row>
    <row r="16" spans="1:7" x14ac:dyDescent="0.2">
      <c r="A16" s="28" t="s">
        <v>1086</v>
      </c>
      <c r="B16" s="20"/>
      <c r="C16" s="20" t="s">
        <v>69</v>
      </c>
      <c r="D16" s="92">
        <f>IF(AND(ISNUMBER($G$15),$G$15&gt;0),$G$15,IF(D15&gt;0.5,ROUND(D15,0),ROUND(D15,1-(1+INT(LOG10(ABS(D15)))))))</f>
        <v>181</v>
      </c>
      <c r="E16" s="93"/>
      <c r="F16" s="21"/>
    </row>
    <row r="17" spans="1:6" s="3" customFormat="1" x14ac:dyDescent="0.2">
      <c r="A17" s="90"/>
      <c r="B17" s="20"/>
      <c r="C17" s="20"/>
      <c r="D17" s="94"/>
      <c r="E17" s="93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0" t="s">
        <v>72</v>
      </c>
      <c r="B19" s="20"/>
      <c r="C19" s="20"/>
      <c r="D19" s="95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0" t="s">
        <v>74</v>
      </c>
      <c r="B20" s="20"/>
      <c r="C20" s="20"/>
      <c r="D20" s="91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0" t="s">
        <v>76</v>
      </c>
      <c r="B21" s="20"/>
      <c r="C21" s="20"/>
      <c r="D21" s="91" t="str">
        <f>'Mass Transfer'!$D$109</f>
        <v>at/under optimum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0" t="s">
        <v>78</v>
      </c>
      <c r="B22" s="20"/>
      <c r="C22" s="20"/>
      <c r="D22" s="91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0" t="s">
        <v>80</v>
      </c>
      <c r="B23" s="20"/>
      <c r="C23" s="20"/>
      <c r="D23" s="91" t="str">
        <f>'Mass Transfer'!$D$113</f>
        <v>Surface stripping holds DO under impairment - sparge is CARBON-limited (long interval); the O2-limited interval is the conservative fallback until kL_surf is measured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0" t="s">
        <v>82</v>
      </c>
      <c r="B24" s="20"/>
      <c r="C24" s="20"/>
      <c r="D24" s="96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0" t="s">
        <v>84</v>
      </c>
      <c r="B25" s="20"/>
      <c r="C25" s="20"/>
      <c r="D25" s="91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0" t="s">
        <v>86</v>
      </c>
      <c r="B26" s="20"/>
      <c r="C26" s="20"/>
      <c r="D26" s="91" t="str">
        <f>IFERROR("×"&amp;TEXT('Mass Transfer'!$D$126,"0.0")&amp;IF('Mass Transfer'!$D$126&gt;=1," OK"," SHORTFALL (CO2 &lt; demand)"),"calibrate this reactor first")</f>
        <v>×2.0 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0" t="s">
        <v>88</v>
      </c>
      <c r="B27" s="20"/>
      <c r="C27" s="20"/>
      <c r="D27" s="91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0" t="s">
        <v>90</v>
      </c>
      <c r="B28" s="20"/>
      <c r="C28" s="20"/>
      <c r="D28" s="91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0" t="s">
        <v>92</v>
      </c>
      <c r="B29" s="20"/>
      <c r="C29" s="20"/>
      <c r="D29" s="91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0" t="s">
        <v>94</v>
      </c>
      <c r="B30" s="20"/>
      <c r="C30" s="20"/>
      <c r="D30" s="91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0" t="s">
        <v>96</v>
      </c>
      <c r="B31" s="20"/>
      <c r="C31" s="20"/>
      <c r="D31" s="95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0" t="s">
        <v>98</v>
      </c>
      <c r="B32" s="20"/>
      <c r="C32" s="20"/>
      <c r="D32" s="95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0" t="s">
        <v>100</v>
      </c>
      <c r="B33" s="20"/>
      <c r="C33" s="20"/>
      <c r="D33" s="97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0" t="s">
        <v>1005</v>
      </c>
      <c r="C34" s="20"/>
      <c r="D34" s="95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E34" s="23" t="str">
        <f>HYPERLINK("#Biology!D45","→ Biology")</f>
        <v>→ Biology</v>
      </c>
      <c r="F34" s="21" t="s">
        <v>1006</v>
      </c>
    </row>
    <row r="35" spans="1:6" ht="16" thickBot="1" x14ac:dyDescent="0.25">
      <c r="A35" s="90" t="s">
        <v>1007</v>
      </c>
      <c r="C35" s="20"/>
      <c r="D35" s="129">
        <f>Chemistry!$D$103</f>
        <v>6.0708472792648696</v>
      </c>
      <c r="E35" s="23" t="str">
        <f>HYPERLINK("#Chemistry!D103","→ Chemistry")</f>
        <v>→ Chemistry</v>
      </c>
      <c r="F35" s="21" t="s">
        <v>1008</v>
      </c>
    </row>
    <row r="36" spans="1:6" ht="16" thickBot="1" x14ac:dyDescent="0.25">
      <c r="A36" s="90" t="s">
        <v>1168</v>
      </c>
      <c r="C36" s="20" t="s">
        <v>104</v>
      </c>
      <c r="D36" s="129">
        <f>Chemistry!$D$145</f>
        <v>0</v>
      </c>
      <c r="E36" s="23" t="str">
        <f>HYPERLINK("#Chemistry!D139","→ Chemistry")</f>
        <v>→ Chemistry</v>
      </c>
      <c r="F36" s="21" t="s">
        <v>1009</v>
      </c>
    </row>
    <row r="37" spans="1:6" ht="16" thickBot="1" x14ac:dyDescent="0.25">
      <c r="A37" s="109" t="s">
        <v>102</v>
      </c>
      <c r="B37" s="20"/>
      <c r="C37" s="20"/>
      <c r="D37" s="20"/>
      <c r="E37" s="20"/>
      <c r="F37" s="21"/>
    </row>
    <row r="38" spans="1:6" x14ac:dyDescent="0.2">
      <c r="A38" s="90" t="s">
        <v>103</v>
      </c>
      <c r="B38" s="108"/>
      <c r="C38" s="20" t="s">
        <v>104</v>
      </c>
      <c r="D38" s="91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0" t="s">
        <v>106</v>
      </c>
      <c r="B39" s="108"/>
      <c r="C39" s="20" t="s">
        <v>69</v>
      </c>
      <c r="D39" s="91">
        <f>'Mass Transfer'!$D$112</f>
        <v>181.0677266956931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0" t="s">
        <v>108</v>
      </c>
      <c r="B40" s="20"/>
      <c r="C40" s="20" t="s">
        <v>109</v>
      </c>
      <c r="D40" s="91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0" t="s">
        <v>111</v>
      </c>
      <c r="B41" s="20"/>
      <c r="C41" s="20" t="s">
        <v>112</v>
      </c>
      <c r="D41" s="96">
        <f>Biology!$D$35</f>
        <v>668.745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8" t="s">
        <v>115</v>
      </c>
      <c r="B44" s="20"/>
      <c r="C44" s="20"/>
      <c r="D44" s="28"/>
      <c r="E44" s="20"/>
      <c r="F44" s="20"/>
    </row>
    <row r="45" spans="1:6" x14ac:dyDescent="0.2">
      <c r="A45" s="29" t="s">
        <v>116</v>
      </c>
      <c r="B45" s="20"/>
      <c r="C45" s="20"/>
      <c r="D45" s="28"/>
      <c r="E45" s="20"/>
      <c r="F45" s="20"/>
    </row>
    <row r="46" spans="1:6" x14ac:dyDescent="0.2">
      <c r="A46" s="99" t="s">
        <v>117</v>
      </c>
      <c r="B46" s="20"/>
      <c r="C46" s="20"/>
      <c r="D46" s="28"/>
      <c r="E46" s="20"/>
      <c r="F46" s="20"/>
    </row>
    <row r="47" spans="1:6" x14ac:dyDescent="0.2">
      <c r="A47" s="30" t="s">
        <v>118</v>
      </c>
      <c r="B47" s="20"/>
      <c r="C47" s="20"/>
      <c r="D47" s="28"/>
      <c r="E47" s="20"/>
      <c r="F47" s="20"/>
    </row>
    <row r="48" spans="1:6" x14ac:dyDescent="0.2">
      <c r="A48" s="31" t="s">
        <v>119</v>
      </c>
      <c r="B48" s="20"/>
      <c r="C48" s="20"/>
      <c r="D48" s="28"/>
      <c r="E48" s="93"/>
      <c r="F48" s="20"/>
    </row>
    <row r="49" spans="1:6" x14ac:dyDescent="0.2">
      <c r="A49" s="32" t="s">
        <v>120</v>
      </c>
      <c r="B49" s="20"/>
      <c r="C49" s="20"/>
      <c r="D49" s="28"/>
      <c r="E49" s="93"/>
      <c r="F49" s="20"/>
    </row>
    <row r="50" spans="1:6" x14ac:dyDescent="0.2">
      <c r="A50" s="89" t="s">
        <v>121</v>
      </c>
      <c r="B50" s="20"/>
      <c r="C50" s="20"/>
      <c r="D50" s="28"/>
      <c r="E50" s="93"/>
      <c r="F50" s="20"/>
    </row>
    <row r="51" spans="1:6" x14ac:dyDescent="0.2">
      <c r="A51" s="33" t="s">
        <v>122</v>
      </c>
      <c r="B51" s="20"/>
      <c r="C51" s="20"/>
      <c r="D51" s="20"/>
      <c r="E51" s="20"/>
      <c r="F51" s="20"/>
    </row>
    <row r="52" spans="1:6" x14ac:dyDescent="0.2">
      <c r="A52" s="34" t="s">
        <v>123</v>
      </c>
      <c r="B52" s="20"/>
      <c r="C52" s="20"/>
      <c r="D52" s="20"/>
      <c r="E52" s="20"/>
      <c r="F52" s="20"/>
    </row>
    <row r="53" spans="1:6" s="20" customFormat="1" x14ac:dyDescent="0.2">
      <c r="A53" s="85" t="s">
        <v>124</v>
      </c>
    </row>
    <row r="54" spans="1:6" s="20" customFormat="1" x14ac:dyDescent="0.2">
      <c r="A54" s="86" t="s">
        <v>125</v>
      </c>
    </row>
    <row r="55" spans="1:6" x14ac:dyDescent="0.2">
      <c r="A55" s="87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8"/>
      <c r="E56" s="93"/>
      <c r="F56" s="20"/>
    </row>
    <row r="57" spans="1:6" x14ac:dyDescent="0.2">
      <c r="A57" s="35" t="s">
        <v>127</v>
      </c>
      <c r="B57" s="35" t="s">
        <v>128</v>
      </c>
      <c r="C57" s="35" t="s">
        <v>129</v>
      </c>
      <c r="D57" s="35" t="s">
        <v>130</v>
      </c>
      <c r="E57" s="35"/>
      <c r="F57" s="35" t="s">
        <v>131</v>
      </c>
    </row>
    <row r="58" spans="1:6" x14ac:dyDescent="0.2">
      <c r="A58" s="20" t="s">
        <v>1039</v>
      </c>
      <c r="B58" s="20" t="s">
        <v>1040</v>
      </c>
      <c r="C58" s="20" t="s">
        <v>1041</v>
      </c>
      <c r="D58" s="36" t="str">
        <f>HYPERLINK("https://github.com/amy-bo/electroPioreactor/blob/CO2-modular/Media/protocols/surface-kla.md","surface-kla.md →")</f>
        <v>surface-kla.md →</v>
      </c>
      <c r="E58" s="109"/>
      <c r="F58" s="21" t="s">
        <v>1042</v>
      </c>
    </row>
    <row r="59" spans="1:6" x14ac:dyDescent="0.2">
      <c r="A59" s="20" t="s">
        <v>1043</v>
      </c>
      <c r="B59" s="20" t="s">
        <v>1044</v>
      </c>
      <c r="C59" s="20" t="s">
        <v>1045</v>
      </c>
      <c r="D59" s="36" t="str">
        <f>HYPERLINK("https://github.com/amy-bo/electroPioreactor/blob/CO2-modular/Media/protocols/vial-geometry.md","vial-geometry.md →")</f>
        <v>vial-geometry.md →</v>
      </c>
      <c r="E59" s="109"/>
      <c r="F59" s="21" t="s">
        <v>1046</v>
      </c>
    </row>
    <row r="60" spans="1:6" x14ac:dyDescent="0.2">
      <c r="A60" s="20" t="s">
        <v>1047</v>
      </c>
      <c r="B60" s="20" t="s">
        <v>1048</v>
      </c>
      <c r="C60" s="20" t="s">
        <v>1049</v>
      </c>
      <c r="D60" s="36" t="str">
        <f>HYPERLINK("https://github.com/amy-bo/electroPioreactor/blob/CO2-modular/Media/protocols/faradaic-efficiency.md","faradaic-efficiency.md →")</f>
        <v>faradaic-efficiency.md →</v>
      </c>
      <c r="E60" s="109"/>
      <c r="F60" s="21" t="s">
        <v>1050</v>
      </c>
    </row>
    <row r="61" spans="1:6" x14ac:dyDescent="0.2">
      <c r="A61" s="20" t="s">
        <v>1051</v>
      </c>
      <c r="B61" s="20" t="s">
        <v>1052</v>
      </c>
      <c r="C61" s="20" t="s">
        <v>1053</v>
      </c>
      <c r="D61" s="36" t="str">
        <f>HYPERLINK("https://github.com/amy-bo/electroPioreactor/blob/CO2-modular/Media/protocols/knallgas-stoichiometry.md","knallgas-stoichiometry.md →")</f>
        <v>knallgas-stoichiometry.md →</v>
      </c>
      <c r="E61" s="109"/>
      <c r="F61" s="21" t="s">
        <v>1054</v>
      </c>
    </row>
    <row r="62" spans="1:6" x14ac:dyDescent="0.2">
      <c r="A62" s="20" t="s">
        <v>1055</v>
      </c>
      <c r="B62" s="20" t="s">
        <v>1056</v>
      </c>
      <c r="C62" s="20" t="s">
        <v>1057</v>
      </c>
      <c r="D62" s="36" t="str">
        <f>HYPERLINK("https://github.com/amy-bo/electroPioreactor/blob/CO2-modular/Media/protocols/faradaic-efficiency.md","faradaic-efficiency.md →")</f>
        <v>faradaic-efficiency.md →</v>
      </c>
      <c r="E62" s="109"/>
      <c r="F62" s="21" t="s">
        <v>1058</v>
      </c>
    </row>
    <row r="63" spans="1:6" x14ac:dyDescent="0.2">
      <c r="A63" s="20" t="s">
        <v>1059</v>
      </c>
      <c r="B63" s="20" t="s">
        <v>1060</v>
      </c>
      <c r="C63" s="20" t="s">
        <v>1061</v>
      </c>
      <c r="D63" s="36" t="str">
        <f>HYPERLINK("https://github.com/amy-bo/electroPioreactor/blob/CO2-modular/Media/protocols/vial-geometry.md","vial-geometry.md →")</f>
        <v>vial-geometry.md →</v>
      </c>
      <c r="E63" s="109"/>
      <c r="F63" s="21" t="s">
        <v>1062</v>
      </c>
    </row>
    <row r="64" spans="1:6" x14ac:dyDescent="0.2">
      <c r="A64" s="20" t="s">
        <v>1063</v>
      </c>
      <c r="B64" s="20" t="s">
        <v>1064</v>
      </c>
      <c r="C64" s="20" t="s">
        <v>1065</v>
      </c>
      <c r="D64" s="36" t="str">
        <f>HYPERLINK("https://github.com/amy-bo/electroPioreactor/blob/CO2-modular/Media/protocols/flow-calibration.md","flow-calibration.md →")</f>
        <v>flow-calibration.md →</v>
      </c>
      <c r="E64" s="109"/>
      <c r="F64" s="21" t="s">
        <v>1066</v>
      </c>
    </row>
    <row r="65" spans="1:6" x14ac:dyDescent="0.2">
      <c r="A65" s="20" t="s">
        <v>1067</v>
      </c>
      <c r="B65" s="20" t="s">
        <v>1068</v>
      </c>
      <c r="C65" s="20" t="s">
        <v>1069</v>
      </c>
      <c r="D65" s="36" t="str">
        <f>HYPERLINK("https://github.com/amy-bo/electroPioreactor/blob/CO2-modular/Media/protocols/dissolved-oxygen.md","dissolved-oxygen.md →")</f>
        <v>dissolved-oxygen.md →</v>
      </c>
      <c r="E65" s="109"/>
      <c r="F65" s="21" t="s">
        <v>1070</v>
      </c>
    </row>
    <row r="66" spans="1:6" x14ac:dyDescent="0.2">
      <c r="A66" s="20" t="s">
        <v>1071</v>
      </c>
      <c r="B66" s="20" t="s">
        <v>1072</v>
      </c>
      <c r="C66" s="20" t="s">
        <v>1073</v>
      </c>
      <c r="D66" s="36" t="str">
        <f>HYPERLINK("https://github.com/amy-bo/electroPioreactor/blob/CO2-modular/Media/protocols/flow-calibration.md","flow-calibration.md →")</f>
        <v>flow-calibration.md →</v>
      </c>
      <c r="E66" s="109"/>
      <c r="F66" s="21" t="s">
        <v>1074</v>
      </c>
    </row>
    <row r="67" spans="1:6" x14ac:dyDescent="0.2">
      <c r="A67" s="20" t="s">
        <v>1075</v>
      </c>
      <c r="B67" s="20" t="s">
        <v>1076</v>
      </c>
      <c r="C67" s="20" t="s">
        <v>1077</v>
      </c>
      <c r="D67" s="36" t="str">
        <f>HYPERLINK("https://github.com/amy-bo/electroPioreactor/blob/CO2-modular/Media/protocols/sinter-porosity.md","sinter-porosity.md →")</f>
        <v>sinter-porosity.md →</v>
      </c>
      <c r="E67" s="109"/>
      <c r="F67" s="21" t="s">
        <v>1078</v>
      </c>
    </row>
    <row r="68" spans="1:6" x14ac:dyDescent="0.2">
      <c r="A68" s="20" t="s">
        <v>1079</v>
      </c>
      <c r="B68" s="20" t="s">
        <v>1080</v>
      </c>
      <c r="C68" s="20" t="s">
        <v>1081</v>
      </c>
      <c r="D68" s="36" t="str">
        <f>HYPERLINK("https://github.com/amy-bo/electroPioreactor/blob/CO2-modular/Media/protocols/README.md","README.md →")</f>
        <v>README.md →</v>
      </c>
      <c r="E68" s="109"/>
      <c r="F68" s="21" t="s">
        <v>1082</v>
      </c>
    </row>
    <row r="69" spans="1:6" x14ac:dyDescent="0.2">
      <c r="A69" s="20"/>
      <c r="B69" s="20"/>
      <c r="C69" s="20"/>
      <c r="D69" s="100"/>
      <c r="E69" s="20"/>
      <c r="F69" s="20"/>
    </row>
    <row r="70" spans="1:6" x14ac:dyDescent="0.2">
      <c r="A70" s="20"/>
      <c r="B70" s="20"/>
      <c r="C70" s="20"/>
      <c r="D70" s="28"/>
      <c r="E70" s="20"/>
      <c r="F70" s="20"/>
    </row>
    <row r="71" spans="1:6" x14ac:dyDescent="0.2">
      <c r="A71" s="20"/>
      <c r="B71" s="20"/>
      <c r="C71" s="20"/>
      <c r="D71" s="28"/>
      <c r="E71" s="20"/>
      <c r="F71" s="20"/>
    </row>
  </sheetData>
  <conditionalFormatting sqref="D14">
    <cfRule type="expression" dxfId="29" priority="1" stopIfTrue="1">
      <formula>AND(ISNUMBER($G$13),$G$13&gt;0)</formula>
    </cfRule>
  </conditionalFormatting>
  <conditionalFormatting sqref="D16">
    <cfRule type="expression" dxfId="29" priority="2" stopIfTrue="1">
      <formula>AND(ISNUMBER($G$15),$G$15&gt;0)</formula>
    </cfRule>
  </conditionalFormatting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0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1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111"/>
      <c r="E4" s="37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8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8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2"/>
      <c r="E7" s="39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1" t="s">
        <v>141</v>
      </c>
      <c r="E8" s="113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1" t="s">
        <v>145</v>
      </c>
      <c r="E9" s="113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4">
        <v>27.48</v>
      </c>
      <c r="E10" s="115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4">
        <v>27.48</v>
      </c>
      <c r="E11" s="116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2">
        <v>55</v>
      </c>
      <c r="E12" s="117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2">
        <v>95</v>
      </c>
      <c r="E13" s="117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2">
        <v>16</v>
      </c>
      <c r="E14" s="115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2">
        <v>30</v>
      </c>
      <c r="E15" s="115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2">
        <v>20</v>
      </c>
      <c r="E16" s="118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2">
        <v>42</v>
      </c>
      <c r="E17" s="118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0">
        <f>VLOOKUP(rx_ver,$A$84:$I$87,7,FALSE)</f>
        <v>27.48</v>
      </c>
      <c r="E18" s="101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4">
        <v>1.1000000000000001</v>
      </c>
      <c r="E19" s="41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2">
        <f>vial_OD-2*vial_wall</f>
        <v>25.28</v>
      </c>
      <c r="E20" s="101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3">
        <f>PI()/4*vial_ID^2</f>
        <v>501.93100162697988</v>
      </c>
      <c r="E21" s="101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4">
        <f>VLOOKUP(rx_ver,$A$84:$I$87,4,FALSE)</f>
        <v>55</v>
      </c>
      <c r="E22" s="101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4">
        <f>VLOOKUP(rx_ver,$A$84:$I$87,5,FALSE)</f>
        <v>16</v>
      </c>
      <c r="E23" s="101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4">
        <f>VLOOKUP(rx_ver,$A$84:$I$87,6,FALSE)</f>
        <v>20</v>
      </c>
      <c r="E24" s="101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2">
        <f>V_max*1000/A_x</f>
        <v>31.876891341911417</v>
      </c>
      <c r="E25" s="101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2">
        <v>6</v>
      </c>
      <c r="E26" s="37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1">
        <v>2</v>
      </c>
      <c r="E27" s="101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2">
        <v>22</v>
      </c>
      <c r="E28" s="37" t="s">
        <v>194</v>
      </c>
      <c r="F28" s="20"/>
      <c r="G28" s="20"/>
      <c r="H28" s="20"/>
      <c r="I28" s="20"/>
    </row>
    <row r="29" spans="1:9" x14ac:dyDescent="0.2">
      <c r="A29" s="119" t="s">
        <v>195</v>
      </c>
      <c r="B29" s="18" t="s">
        <v>196</v>
      </c>
      <c r="C29" s="19" t="s">
        <v>148</v>
      </c>
      <c r="D29" s="43">
        <f>D_int-elec_clear</f>
        <v>33</v>
      </c>
      <c r="E29" s="101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0">
        <v>3.1749999999999998</v>
      </c>
      <c r="E30" s="101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1">
        <v>1.5874999999999999</v>
      </c>
      <c r="E31" s="101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3">
        <f>elec_clear</f>
        <v>22</v>
      </c>
      <c r="E32" s="37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0">
        <v>3.1749999999999998</v>
      </c>
      <c r="E33" s="101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1">
        <v>1.5874999999999999</v>
      </c>
      <c r="E34" s="101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2">
        <f>MAX(0,h_datum-elec_clear)</f>
        <v>9.876891341911417</v>
      </c>
      <c r="E35" s="101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5">
        <f>rod_n*(PI()/4*rod_d^2)*elec_sub_L/1000</f>
        <v>0.55852504704096373</v>
      </c>
      <c r="E36" s="101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5">
        <f>(PI()/4*spg_OD^2)*MAX(0,h_datum-spg_tip_h)/1000</f>
        <v>7.8198354893434921E-2</v>
      </c>
      <c r="E37" s="101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5">
        <f>(eff_OD+eff_ID)/2</f>
        <v>2.3812499999999996</v>
      </c>
      <c r="E38" s="37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6">
        <f>(PI()/4*(eff_OD^2-eff_ID^2))*eff_sub_L/1000</f>
        <v>1.4139810757041989E-2</v>
      </c>
      <c r="E39" s="37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5">
        <f>elec_disp+spg_disp+eff_disp</f>
        <v>0.65086321269144065</v>
      </c>
      <c r="E40" s="101" t="s">
        <v>228</v>
      </c>
      <c r="F40" s="20"/>
      <c r="G40" s="20"/>
      <c r="H40" s="20"/>
      <c r="I40" s="20"/>
    </row>
    <row r="41" spans="1:9" x14ac:dyDescent="0.2">
      <c r="A41" s="119" t="s">
        <v>229</v>
      </c>
      <c r="B41" s="18" t="s">
        <v>230</v>
      </c>
      <c r="C41" s="19" t="s">
        <v>59</v>
      </c>
      <c r="D41" s="47">
        <f>IF(media_volume&gt;0,media_volume,ROUND(V_max-disp_tot,0))</f>
        <v>15</v>
      </c>
      <c r="E41" s="101" t="s">
        <v>231</v>
      </c>
      <c r="F41" s="20"/>
      <c r="G41" s="20"/>
      <c r="H41" s="20"/>
      <c r="I41" s="20"/>
    </row>
    <row r="42" spans="1:9" x14ac:dyDescent="0.2">
      <c r="A42" s="119" t="s">
        <v>232</v>
      </c>
      <c r="B42" s="18" t="s">
        <v>233</v>
      </c>
      <c r="C42" s="19" t="s">
        <v>148</v>
      </c>
      <c r="D42" s="42">
        <f>(V_charge+disp_tot)*1000/A_x</f>
        <v>31.18130412738023</v>
      </c>
      <c r="E42" s="101" t="s">
        <v>234</v>
      </c>
      <c r="F42" s="20"/>
      <c r="G42" s="20"/>
      <c r="H42" s="20"/>
      <c r="I42" s="20"/>
    </row>
    <row r="43" spans="1:9" x14ac:dyDescent="0.2">
      <c r="A43" s="119" t="s">
        <v>235</v>
      </c>
      <c r="B43" s="18" t="s">
        <v>236</v>
      </c>
      <c r="C43" s="19" t="s">
        <v>148</v>
      </c>
      <c r="D43" s="42">
        <f>MAX(0,h_actual-spg_tip_h)</f>
        <v>9.1813041273802298</v>
      </c>
      <c r="E43" s="101" t="s">
        <v>237</v>
      </c>
      <c r="F43" s="20"/>
      <c r="G43" s="20"/>
      <c r="H43" s="20"/>
      <c r="I43" s="20"/>
    </row>
    <row r="44" spans="1:9" x14ac:dyDescent="0.2">
      <c r="A44" s="119" t="s">
        <v>238</v>
      </c>
      <c r="B44" s="18" t="s">
        <v>239</v>
      </c>
      <c r="C44" s="19" t="s">
        <v>174</v>
      </c>
      <c r="D44" s="43">
        <f>A_x-(rod_n*(PI()/4*rod_d^2)+(PI()/4*spg_OD^2)+(PI()/4*eff_OD^2))</f>
        <v>429.5477251405668</v>
      </c>
      <c r="E44" s="37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5">
        <f>eff_OD</f>
        <v>3.1749999999999998</v>
      </c>
      <c r="E45" s="37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1">
        <v>3</v>
      </c>
      <c r="E46" s="37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2">
        <v>5</v>
      </c>
      <c r="E47" s="41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5">
        <f>(rod_n*(PI()/4*rod_d^2)*elec_ins+(PI()/4*spg_OD^2)*spg_len+(PI()/4*(eff_OD^2-eff_ID^2))*(D_int-h_actual)+xtube_n*(PI()/4*xtube_OD^2)*xtube_pro)/1000</f>
        <v>2.3875715440828644</v>
      </c>
      <c r="E48" s="37" t="s">
        <v>252</v>
      </c>
      <c r="F48" s="20"/>
      <c r="G48" s="20"/>
      <c r="H48" s="20"/>
      <c r="I48" s="20"/>
    </row>
    <row r="49" spans="1:9" x14ac:dyDescent="0.2">
      <c r="A49" s="119" t="s">
        <v>253</v>
      </c>
      <c r="B49" s="18" t="s">
        <v>254</v>
      </c>
      <c r="C49" s="19" t="s">
        <v>59</v>
      </c>
      <c r="D49" s="42">
        <f>V_vial_total-V_charge-V_inserts</f>
        <v>2.6124284559171356</v>
      </c>
      <c r="E49" s="37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8">
        <f>D_int-spg_tip_h</f>
        <v>33</v>
      </c>
      <c r="E50" s="101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7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09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09" t="s">
        <v>1</v>
      </c>
      <c r="B58" s="109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09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09" t="s">
        <v>269</v>
      </c>
      <c r="B83" s="109" t="s">
        <v>294</v>
      </c>
      <c r="C83" s="109" t="s">
        <v>295</v>
      </c>
      <c r="D83" s="109" t="s">
        <v>296</v>
      </c>
      <c r="E83" s="109" t="s">
        <v>297</v>
      </c>
      <c r="F83" s="109" t="s">
        <v>298</v>
      </c>
      <c r="G83" s="109" t="s">
        <v>299</v>
      </c>
      <c r="H83" s="109" t="s">
        <v>300</v>
      </c>
      <c r="I83" s="109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09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7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0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49"/>
      <c r="E3" s="37"/>
      <c r="F3" s="20"/>
      <c r="G3" s="20"/>
      <c r="H3" s="20"/>
      <c r="I3" s="20"/>
    </row>
    <row r="4" spans="1:9" ht="16" customHeight="1" x14ac:dyDescent="0.2">
      <c r="A4" s="110" t="s">
        <v>134</v>
      </c>
      <c r="B4" s="18"/>
      <c r="C4" s="19"/>
      <c r="D4" s="50"/>
      <c r="E4" s="51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298.14999999999998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8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2"/>
      <c r="E9" s="101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3">
        <f>Summary!$D$6</f>
        <v>3</v>
      </c>
      <c r="E10" s="37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0">
        <v>1.03</v>
      </c>
      <c r="E11" s="115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4">
        <v>2.6</v>
      </c>
      <c r="E12" s="115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5">
        <v>3</v>
      </c>
      <c r="E13" s="51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5">
        <v>25</v>
      </c>
      <c r="E14" s="51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6">
        <v>96485.332120000006</v>
      </c>
      <c r="E15" s="102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2">
        <v>2</v>
      </c>
      <c r="E16" s="101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2">
        <v>4</v>
      </c>
      <c r="E17" s="101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4">
        <v>1</v>
      </c>
      <c r="E18" s="57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6">
        <f>(gerrit_slope*intensity+gerrit_int)/1000</f>
        <v>5.6899999999999997E-3</v>
      </c>
      <c r="E19" s="51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8" t="str">
        <f>IF(AND(intensity&gt;=gerrit_min,intensity&lt;=gerrit_max),"OK","OUT")</f>
        <v>OK</v>
      </c>
      <c r="E20" s="51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8">
        <f>I_app*etaF/(z_e_H2*F_const)*3600</f>
        <v>1.0615084982307878E-4</v>
      </c>
      <c r="E21" s="101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8">
        <f>I_app*etaF_OER/(z_e_O2*F_const)*3600</f>
        <v>5.3075424911539388E-5</v>
      </c>
      <c r="E22" s="101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8">
        <f>rH2_gen/60*R_gas*T_K/P_atm*1000000</f>
        <v>4.3283723227623763E-2</v>
      </c>
      <c r="E23" s="101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8">
        <f>rO2_gen/60*R_gas*T_K/P_atm*1000000</f>
        <v>2.1641861613811882E-2</v>
      </c>
      <c r="E24" s="101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8">
        <f>V_H2_gen+V_O2_gen</f>
        <v>6.4925584841435652E-2</v>
      </c>
      <c r="E25" s="101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4">
        <v>1</v>
      </c>
      <c r="E26" s="122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0">
        <f>VLOOKUP(electrode_sel,$A$35:$I$37,9,FALSE)</f>
        <v>2</v>
      </c>
      <c r="E27" s="122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8">
        <f>I_app*(1-etaF)/(z_e_ORR*F_const)*3600</f>
        <v>0</v>
      </c>
      <c r="E28" s="101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8">
        <f>rO2_gen-O2_cathode_ORR</f>
        <v>5.3075424911539388E-5</v>
      </c>
      <c r="E29" s="101" t="s">
        <v>383</v>
      </c>
      <c r="F29" s="20"/>
      <c r="G29" s="20"/>
      <c r="H29" s="20"/>
      <c r="I29" s="20"/>
    </row>
    <row r="30" spans="1:9" x14ac:dyDescent="0.2">
      <c r="A30" s="107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7" t="s">
        <v>389</v>
      </c>
      <c r="F32" s="20"/>
      <c r="G32" s="20"/>
      <c r="H32" s="59"/>
      <c r="I32" s="20"/>
    </row>
    <row r="33" spans="1:9" x14ac:dyDescent="0.2">
      <c r="A33" s="109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09" t="s">
        <v>33</v>
      </c>
      <c r="B34" s="109" t="s">
        <v>391</v>
      </c>
      <c r="C34" s="109" t="s">
        <v>392</v>
      </c>
      <c r="D34" s="109" t="s">
        <v>393</v>
      </c>
      <c r="E34" s="109" t="s">
        <v>394</v>
      </c>
      <c r="F34" s="109" t="s">
        <v>395</v>
      </c>
      <c r="G34" s="109" t="s">
        <v>396</v>
      </c>
      <c r="H34" s="109" t="s">
        <v>346</v>
      </c>
      <c r="I34" s="109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59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59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59">
        <v>0</v>
      </c>
      <c r="F37" s="20" t="s">
        <v>401</v>
      </c>
      <c r="G37" s="20">
        <v>6</v>
      </c>
      <c r="H37" s="59" t="s">
        <v>402</v>
      </c>
      <c r="I37" s="20">
        <v>2</v>
      </c>
    </row>
    <row r="38" spans="1:9" x14ac:dyDescent="0.2">
      <c r="A38" s="20"/>
      <c r="B38" s="20"/>
      <c r="C38" s="20"/>
      <c r="D38" s="28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8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47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0" t="s">
        <v>847</v>
      </c>
    </row>
    <row r="2" spans="1:6" x14ac:dyDescent="0.2">
      <c r="A2" s="16" t="s">
        <v>848</v>
      </c>
      <c r="B2" s="16" t="s">
        <v>849</v>
      </c>
      <c r="C2" s="16" t="s">
        <v>850</v>
      </c>
      <c r="D2" s="16" t="s">
        <v>851</v>
      </c>
      <c r="E2" s="16" t="s">
        <v>852</v>
      </c>
    </row>
    <row r="3" spans="1:6" x14ac:dyDescent="0.2">
      <c r="A3" s="109" t="s">
        <v>853</v>
      </c>
    </row>
    <row r="4" spans="1:6" x14ac:dyDescent="0.2">
      <c r="A4" s="17" t="s">
        <v>854</v>
      </c>
      <c r="B4" s="18" t="s">
        <v>855</v>
      </c>
      <c r="C4" s="19" t="s">
        <v>856</v>
      </c>
      <c r="D4" s="64">
        <f>Biology!$D$18</f>
        <v>298.14999999999998</v>
      </c>
      <c r="E4" s="51" t="s">
        <v>857</v>
      </c>
    </row>
    <row r="5" spans="1:6" x14ac:dyDescent="0.2">
      <c r="A5" s="17" t="s">
        <v>858</v>
      </c>
      <c r="B5" s="18" t="s">
        <v>859</v>
      </c>
      <c r="C5" s="19" t="s">
        <v>860</v>
      </c>
      <c r="D5" s="64">
        <f>'Mass Transfer'!$D$162</f>
        <v>8.724353186629647E-4</v>
      </c>
      <c r="E5" s="51" t="s">
        <v>1248</v>
      </c>
    </row>
    <row r="6" spans="1:6" x14ac:dyDescent="0.2">
      <c r="A6" s="17" t="s">
        <v>862</v>
      </c>
      <c r="B6" s="18" t="s">
        <v>863</v>
      </c>
      <c r="C6" s="19" t="s">
        <v>864</v>
      </c>
      <c r="D6" s="64">
        <f>Electrochemistry!$D$19</f>
        <v>5.6899999999999997E-3</v>
      </c>
      <c r="E6" s="51" t="s">
        <v>865</v>
      </c>
    </row>
    <row r="7" spans="1:6" x14ac:dyDescent="0.2">
      <c r="A7" s="17" t="s">
        <v>866</v>
      </c>
      <c r="B7" s="18" t="s">
        <v>867</v>
      </c>
      <c r="C7" s="19" t="s">
        <v>868</v>
      </c>
      <c r="D7" s="64">
        <f>Electrochemistry!$D$15</f>
        <v>96485.332120000006</v>
      </c>
      <c r="E7" s="51" t="s">
        <v>869</v>
      </c>
    </row>
    <row r="8" spans="1:6" x14ac:dyDescent="0.2">
      <c r="A8" s="17" t="s">
        <v>870</v>
      </c>
      <c r="B8" s="18" t="s">
        <v>871</v>
      </c>
      <c r="C8" s="19" t="s">
        <v>872</v>
      </c>
      <c r="D8" s="64">
        <f>Biology!$D$6/1000</f>
        <v>1.4999999999999999E-2</v>
      </c>
      <c r="E8" s="51" t="s">
        <v>873</v>
      </c>
    </row>
    <row r="9" spans="1:6" x14ac:dyDescent="0.2">
      <c r="A9" s="17" t="s">
        <v>874</v>
      </c>
      <c r="B9" s="18" t="s">
        <v>875</v>
      </c>
      <c r="C9" s="19" t="s">
        <v>876</v>
      </c>
      <c r="D9" s="52">
        <v>8.3140000000000001</v>
      </c>
      <c r="E9" s="85" t="s">
        <v>877</v>
      </c>
    </row>
    <row r="11" spans="1:6" ht="16" x14ac:dyDescent="0.2">
      <c r="A11" s="110" t="s">
        <v>878</v>
      </c>
      <c r="F11" s="107" t="s">
        <v>879</v>
      </c>
    </row>
    <row r="12" spans="1:6" x14ac:dyDescent="0.2">
      <c r="A12" s="16" t="s">
        <v>880</v>
      </c>
      <c r="B12" s="16" t="s">
        <v>881</v>
      </c>
      <c r="C12" s="16" t="s">
        <v>882</v>
      </c>
      <c r="D12" s="16" t="s">
        <v>883</v>
      </c>
      <c r="E12" s="16" t="s">
        <v>884</v>
      </c>
    </row>
    <row r="13" spans="1:6" x14ac:dyDescent="0.2">
      <c r="A13" s="17" t="s">
        <v>886</v>
      </c>
      <c r="B13" s="52">
        <v>4.4499999999999997E-7</v>
      </c>
      <c r="C13" s="52">
        <v>9.15</v>
      </c>
      <c r="D13" s="64">
        <f t="shared" ref="D13:D20" si="0">B13*EXP(-C13*1000/R_gas*(1/TKc-1/298.15))</f>
        <v>4.4499999999999997E-7</v>
      </c>
      <c r="E13" s="85" t="s">
        <v>885</v>
      </c>
    </row>
    <row r="14" spans="1:6" x14ac:dyDescent="0.2">
      <c r="A14" s="17" t="s">
        <v>887</v>
      </c>
      <c r="B14" s="52">
        <v>4.6900000000000001E-11</v>
      </c>
      <c r="C14" s="52">
        <v>14.9</v>
      </c>
      <c r="D14" s="64">
        <f t="shared" si="0"/>
        <v>4.6900000000000001E-11</v>
      </c>
      <c r="E14" s="85" t="s">
        <v>885</v>
      </c>
    </row>
    <row r="15" spans="1:6" x14ac:dyDescent="0.2">
      <c r="A15" s="17" t="s">
        <v>888</v>
      </c>
      <c r="B15" s="52">
        <v>7.1000000000000004E-3</v>
      </c>
      <c r="C15" s="52">
        <v>-8</v>
      </c>
      <c r="D15" s="64">
        <f t="shared" si="0"/>
        <v>7.1000000000000004E-3</v>
      </c>
      <c r="E15" s="85" t="s">
        <v>885</v>
      </c>
    </row>
    <row r="16" spans="1:6" x14ac:dyDescent="0.2">
      <c r="A16" s="17" t="s">
        <v>889</v>
      </c>
      <c r="B16" s="52">
        <v>6.3100000000000003E-8</v>
      </c>
      <c r="C16" s="52">
        <v>3.6</v>
      </c>
      <c r="D16" s="64">
        <f t="shared" si="0"/>
        <v>6.3100000000000003E-8</v>
      </c>
      <c r="E16" s="85" t="s">
        <v>885</v>
      </c>
    </row>
    <row r="17" spans="1:6" x14ac:dyDescent="0.2">
      <c r="A17" s="17" t="s">
        <v>1033</v>
      </c>
      <c r="B17" s="52">
        <v>4.1999999999999998E-13</v>
      </c>
      <c r="C17" s="52">
        <v>16</v>
      </c>
      <c r="D17" s="64">
        <f t="shared" si="0"/>
        <v>4.1999999999999998E-13</v>
      </c>
      <c r="E17" s="85" t="s">
        <v>885</v>
      </c>
    </row>
    <row r="18" spans="1:6" x14ac:dyDescent="0.2">
      <c r="A18" s="17" t="s">
        <v>890</v>
      </c>
      <c r="B18" s="52">
        <v>5.6000000000000003E-10</v>
      </c>
      <c r="C18" s="52">
        <v>52.2</v>
      </c>
      <c r="D18" s="64">
        <f t="shared" si="0"/>
        <v>5.6000000000000003E-10</v>
      </c>
      <c r="E18" s="85" t="s">
        <v>885</v>
      </c>
    </row>
    <row r="19" spans="1:6" x14ac:dyDescent="0.2">
      <c r="A19" s="17" t="s">
        <v>891</v>
      </c>
      <c r="B19" s="52">
        <v>1E-14</v>
      </c>
      <c r="C19" s="52">
        <v>55.8</v>
      </c>
      <c r="D19" s="64">
        <f t="shared" si="0"/>
        <v>1E-14</v>
      </c>
      <c r="E19" s="85" t="s">
        <v>885</v>
      </c>
    </row>
    <row r="20" spans="1:6" x14ac:dyDescent="0.2">
      <c r="A20" s="17" t="s">
        <v>892</v>
      </c>
      <c r="B20" s="52">
        <v>2.8840315031266057E-8</v>
      </c>
      <c r="C20" s="52">
        <v>13.8</v>
      </c>
      <c r="D20" s="64">
        <f t="shared" si="0"/>
        <v>2.8840315031266057E-8</v>
      </c>
      <c r="E20" s="85" t="s">
        <v>885</v>
      </c>
    </row>
    <row r="21" spans="1:6" x14ac:dyDescent="0.2">
      <c r="A21" s="17" t="s">
        <v>893</v>
      </c>
      <c r="B21" s="18" t="s">
        <v>894</v>
      </c>
      <c r="C21" s="19" t="s">
        <v>895</v>
      </c>
      <c r="D21" s="62">
        <f>-LOG10(Ka_HOCl)</f>
        <v>7.54</v>
      </c>
      <c r="E21" s="51" t="s">
        <v>896</v>
      </c>
    </row>
    <row r="23" spans="1:6" ht="16" x14ac:dyDescent="0.2">
      <c r="A23" s="110" t="s">
        <v>897</v>
      </c>
      <c r="F23" s="107" t="s">
        <v>898</v>
      </c>
    </row>
    <row r="24" spans="1:6" x14ac:dyDescent="0.2">
      <c r="A24" s="16" t="s">
        <v>901</v>
      </c>
      <c r="B24" s="16" t="s">
        <v>902</v>
      </c>
      <c r="C24" s="16" t="s">
        <v>903</v>
      </c>
      <c r="D24" s="16" t="s">
        <v>904</v>
      </c>
      <c r="E24" s="16" t="s">
        <v>905</v>
      </c>
    </row>
    <row r="25" spans="1:6" x14ac:dyDescent="0.2">
      <c r="A25" s="17" t="s">
        <v>906</v>
      </c>
      <c r="B25" s="52">
        <v>136.08600000000001</v>
      </c>
      <c r="C25" s="20">
        <v>0</v>
      </c>
      <c r="D25" s="52">
        <v>2.2999999999999998</v>
      </c>
      <c r="E25" s="51" t="s">
        <v>899</v>
      </c>
    </row>
    <row r="26" spans="1:6" x14ac:dyDescent="0.2">
      <c r="A26" s="17" t="s">
        <v>907</v>
      </c>
      <c r="B26" s="52">
        <v>141.96</v>
      </c>
      <c r="C26" s="52">
        <v>2.895</v>
      </c>
      <c r="D26" s="52">
        <v>2.9</v>
      </c>
      <c r="E26" s="51" t="s">
        <v>900</v>
      </c>
    </row>
    <row r="27" spans="1:6" x14ac:dyDescent="0.2">
      <c r="A27" s="17" t="s">
        <v>908</v>
      </c>
      <c r="B27" s="52">
        <v>156.01</v>
      </c>
      <c r="C27" s="52">
        <v>3.06</v>
      </c>
      <c r="D27" s="20">
        <v>0</v>
      </c>
      <c r="E27" s="51" t="s">
        <v>900</v>
      </c>
    </row>
    <row r="28" spans="1:6" x14ac:dyDescent="0.2">
      <c r="A28" s="17" t="s">
        <v>909</v>
      </c>
      <c r="B28" s="52">
        <v>84.007000000000005</v>
      </c>
      <c r="C28" s="20">
        <v>0</v>
      </c>
      <c r="D28" s="52">
        <v>1.05</v>
      </c>
      <c r="E28" s="51" t="s">
        <v>899</v>
      </c>
    </row>
    <row r="29" spans="1:6" x14ac:dyDescent="0.2">
      <c r="A29" s="17" t="s">
        <v>910</v>
      </c>
      <c r="B29" s="52">
        <v>174.26</v>
      </c>
      <c r="C29" s="52">
        <v>0.17</v>
      </c>
      <c r="D29" s="20">
        <v>0</v>
      </c>
      <c r="E29" s="51" t="s">
        <v>900</v>
      </c>
    </row>
    <row r="30" spans="1:6" x14ac:dyDescent="0.2">
      <c r="A30" s="17" t="s">
        <v>911</v>
      </c>
      <c r="B30" s="52">
        <v>172.17</v>
      </c>
      <c r="C30" s="52">
        <v>9.7000000000000003E-2</v>
      </c>
      <c r="D30" s="20">
        <v>0</v>
      </c>
      <c r="E30" s="51" t="s">
        <v>900</v>
      </c>
    </row>
    <row r="31" spans="1:6" x14ac:dyDescent="0.2">
      <c r="A31" s="17" t="s">
        <v>912</v>
      </c>
      <c r="B31" s="52">
        <v>246.48</v>
      </c>
      <c r="C31" s="52">
        <v>0.8</v>
      </c>
      <c r="D31" s="52">
        <v>0.5</v>
      </c>
      <c r="E31" s="51" t="s">
        <v>900</v>
      </c>
    </row>
    <row r="32" spans="1:6" x14ac:dyDescent="0.2">
      <c r="A32" s="17" t="s">
        <v>913</v>
      </c>
      <c r="B32" s="52">
        <v>132.13999999999999</v>
      </c>
      <c r="C32" s="52">
        <v>0.94299999999999995</v>
      </c>
      <c r="D32" s="52">
        <v>0.47</v>
      </c>
      <c r="E32" s="51" t="s">
        <v>900</v>
      </c>
    </row>
    <row r="33" spans="1:5" ht="24" x14ac:dyDescent="0.2">
      <c r="A33" s="17" t="s">
        <v>914</v>
      </c>
      <c r="B33" s="52">
        <v>110.98</v>
      </c>
      <c r="C33" s="20">
        <v>0</v>
      </c>
      <c r="D33" s="52">
        <v>0.01</v>
      </c>
      <c r="E33" s="51" t="s">
        <v>1093</v>
      </c>
    </row>
    <row r="35" spans="1:5" x14ac:dyDescent="0.2">
      <c r="A35" s="17" t="s">
        <v>915</v>
      </c>
      <c r="B35" s="18" t="s">
        <v>916</v>
      </c>
      <c r="C35" s="19" t="s">
        <v>917</v>
      </c>
      <c r="D35" s="62">
        <f>mc_Na2HPO4/MW_Na2HPO4+mc_NaH2PO4_2H2O/MW_NaH2PO4_2H2O</f>
        <v>4.0007195769523628E-2</v>
      </c>
      <c r="E35" s="51" t="s">
        <v>918</v>
      </c>
    </row>
    <row r="36" spans="1:5" x14ac:dyDescent="0.2">
      <c r="A36" s="17" t="s">
        <v>919</v>
      </c>
      <c r="B36" s="18" t="s">
        <v>920</v>
      </c>
      <c r="C36" s="19" t="s">
        <v>921</v>
      </c>
      <c r="D36" s="62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1" t="s">
        <v>922</v>
      </c>
    </row>
    <row r="37" spans="1:5" x14ac:dyDescent="0.2">
      <c r="A37" s="17" t="s">
        <v>923</v>
      </c>
      <c r="B37" s="18" t="s">
        <v>924</v>
      </c>
      <c r="C37" s="19" t="s">
        <v>925</v>
      </c>
      <c r="D37" s="62">
        <f>2*mc_NH42SO4/MW_NH42SO4</f>
        <v>1.4272741032238535E-2</v>
      </c>
      <c r="E37" s="51" t="s">
        <v>926</v>
      </c>
    </row>
    <row r="38" spans="1:5" x14ac:dyDescent="0.2">
      <c r="A38" s="17" t="s">
        <v>927</v>
      </c>
      <c r="B38" s="18" t="s">
        <v>928</v>
      </c>
      <c r="C38" s="19" t="s">
        <v>929</v>
      </c>
      <c r="D38" s="62">
        <f>0</f>
        <v>0</v>
      </c>
      <c r="E38" s="51" t="s">
        <v>930</v>
      </c>
    </row>
    <row r="39" spans="1:5" x14ac:dyDescent="0.2">
      <c r="A39" s="17" t="s">
        <v>931</v>
      </c>
      <c r="B39" s="18" t="s">
        <v>932</v>
      </c>
      <c r="C39" s="19" t="s">
        <v>933</v>
      </c>
      <c r="D39" s="62">
        <f>udg_KH2PO4/MW_KH2PO4+udg_Na2HPO4/MW_Na2HPO4</f>
        <v>3.7329366919026843E-2</v>
      </c>
      <c r="E39" s="51" t="s">
        <v>934</v>
      </c>
    </row>
    <row r="40" spans="1:5" x14ac:dyDescent="0.2">
      <c r="A40" s="17" t="s">
        <v>935</v>
      </c>
      <c r="B40" s="18" t="s">
        <v>936</v>
      </c>
      <c r="C40" s="19" t="s">
        <v>937</v>
      </c>
      <c r="D40" s="62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1" t="s">
        <v>938</v>
      </c>
    </row>
    <row r="41" spans="1:5" x14ac:dyDescent="0.2">
      <c r="A41" s="17" t="s">
        <v>939</v>
      </c>
      <c r="B41" s="18" t="s">
        <v>940</v>
      </c>
      <c r="C41" s="19" t="s">
        <v>941</v>
      </c>
      <c r="D41" s="62">
        <f>2*udg_NH42SO4/MW_NH42SO4</f>
        <v>7.1136673225367037E-3</v>
      </c>
      <c r="E41" s="51" t="s">
        <v>942</v>
      </c>
    </row>
    <row r="42" spans="1:5" x14ac:dyDescent="0.2">
      <c r="A42" s="17" t="s">
        <v>943</v>
      </c>
      <c r="B42" s="18" t="s">
        <v>944</v>
      </c>
      <c r="C42" s="19" t="s">
        <v>945</v>
      </c>
      <c r="D42" s="62">
        <f>2*udg_CaCl2/MW_CaCl2</f>
        <v>1.8021265092809516E-4</v>
      </c>
      <c r="E42" s="51" t="s">
        <v>946</v>
      </c>
    </row>
    <row r="44" spans="1:5" x14ac:dyDescent="0.2">
      <c r="A44" s="17" t="s">
        <v>947</v>
      </c>
      <c r="B44" s="18" t="s">
        <v>948</v>
      </c>
      <c r="C44" s="19" t="s">
        <v>949</v>
      </c>
      <c r="D44" s="62">
        <f>IF(Summary!$D$5="MC02",SID_mc02,IF(Summary!$D$5="UdG phosphate",SID_udg,NA()))</f>
        <v>4.6127523207276644E-2</v>
      </c>
      <c r="E44" s="51" t="s">
        <v>950</v>
      </c>
    </row>
    <row r="45" spans="1:5" x14ac:dyDescent="0.2">
      <c r="A45" s="17" t="s">
        <v>951</v>
      </c>
      <c r="B45" s="18" t="s">
        <v>952</v>
      </c>
      <c r="C45" s="19" t="s">
        <v>953</v>
      </c>
      <c r="D45" s="62">
        <f>IF(Summary!$D$5="MC02",PT_mc02,IF(Summary!$D$5="UdG phosphate",PT_udg,NA()))</f>
        <v>4.0007195769523628E-2</v>
      </c>
      <c r="E45" s="51" t="s">
        <v>954</v>
      </c>
    </row>
    <row r="46" spans="1:5" x14ac:dyDescent="0.2">
      <c r="A46" s="17" t="s">
        <v>955</v>
      </c>
      <c r="B46" s="18" t="s">
        <v>956</v>
      </c>
      <c r="C46" s="19" t="s">
        <v>957</v>
      </c>
      <c r="D46" s="62">
        <f>IF(Summary!$D$5="MC02",NT_mc02,IF(Summary!$D$5="UdG phosphate",NT_udg,NA()))</f>
        <v>1.4272741032238535E-2</v>
      </c>
      <c r="E46" s="51" t="s">
        <v>958</v>
      </c>
    </row>
    <row r="47" spans="1:5" x14ac:dyDescent="0.2">
      <c r="A47" s="17" t="s">
        <v>959</v>
      </c>
      <c r="B47" s="18" t="s">
        <v>960</v>
      </c>
      <c r="C47" s="19" t="s">
        <v>961</v>
      </c>
      <c r="D47" s="62">
        <f>IF(Summary!$D$5="MC02",Cl_mc02,IF(Summary!$D$5="UdG phosphate",Cl_udg,NA()))</f>
        <v>0</v>
      </c>
      <c r="E47" s="51" t="s">
        <v>962</v>
      </c>
    </row>
    <row r="49" spans="1:3" x14ac:dyDescent="0.2">
      <c r="A49" s="16" t="s">
        <v>963</v>
      </c>
      <c r="B49" s="16" t="s">
        <v>964</v>
      </c>
      <c r="C49" s="16" t="s">
        <v>965</v>
      </c>
    </row>
    <row r="50" spans="1:3" x14ac:dyDescent="0.2">
      <c r="A50" s="20">
        <v>4</v>
      </c>
      <c r="B50" s="64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2.0874624062048423E-2</v>
      </c>
      <c r="C50" s="64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4">
        <f t="shared" si="1"/>
        <v>2.0695962665004713E-2</v>
      </c>
      <c r="C51" s="64">
        <f t="shared" si="2"/>
        <v>0</v>
      </c>
    </row>
    <row r="52" spans="1:3" x14ac:dyDescent="0.2">
      <c r="A52" s="20">
        <v>4.2</v>
      </c>
      <c r="B52" s="64">
        <f t="shared" si="1"/>
        <v>2.0532645631821684E-2</v>
      </c>
      <c r="C52" s="64">
        <f t="shared" si="2"/>
        <v>0</v>
      </c>
    </row>
    <row r="53" spans="1:3" x14ac:dyDescent="0.2">
      <c r="A53" s="20">
        <v>4.3</v>
      </c>
      <c r="B53" s="64">
        <f t="shared" si="1"/>
        <v>2.0376266518924033E-2</v>
      </c>
      <c r="C53" s="64">
        <f t="shared" si="2"/>
        <v>0</v>
      </c>
    </row>
    <row r="54" spans="1:3" x14ac:dyDescent="0.2">
      <c r="A54" s="20">
        <v>4.4000000000000004</v>
      </c>
      <c r="B54" s="64">
        <f t="shared" si="1"/>
        <v>2.0218684833030565E-2</v>
      </c>
      <c r="C54" s="64">
        <f t="shared" si="2"/>
        <v>0</v>
      </c>
    </row>
    <row r="55" spans="1:3" x14ac:dyDescent="0.2">
      <c r="A55" s="20">
        <v>4.5</v>
      </c>
      <c r="B55" s="64">
        <f t="shared" si="1"/>
        <v>2.0051631281345267E-2</v>
      </c>
      <c r="C55" s="64">
        <f t="shared" si="2"/>
        <v>0</v>
      </c>
    </row>
    <row r="56" spans="1:3" x14ac:dyDescent="0.2">
      <c r="A56" s="20">
        <v>4.5999999999999996</v>
      </c>
      <c r="B56" s="64">
        <f t="shared" si="1"/>
        <v>1.9866292996637152E-2</v>
      </c>
      <c r="C56" s="64">
        <f t="shared" si="2"/>
        <v>0</v>
      </c>
    </row>
    <row r="57" spans="1:3" x14ac:dyDescent="0.2">
      <c r="A57" s="20">
        <v>4.7</v>
      </c>
      <c r="B57" s="64">
        <f t="shared" si="1"/>
        <v>1.9652861766555167E-2</v>
      </c>
      <c r="C57" s="64">
        <f t="shared" si="2"/>
        <v>0</v>
      </c>
    </row>
    <row r="58" spans="1:3" x14ac:dyDescent="0.2">
      <c r="A58" s="20">
        <v>4.8</v>
      </c>
      <c r="B58" s="64">
        <f t="shared" si="1"/>
        <v>1.9400024781889909E-2</v>
      </c>
      <c r="C58" s="64">
        <f t="shared" si="2"/>
        <v>0</v>
      </c>
    </row>
    <row r="59" spans="1:3" x14ac:dyDescent="0.2">
      <c r="A59" s="20">
        <v>4.9000000000000004</v>
      </c>
      <c r="B59" s="64">
        <f t="shared" si="1"/>
        <v>1.9094373482848061E-2</v>
      </c>
      <c r="C59" s="64">
        <f t="shared" si="2"/>
        <v>0</v>
      </c>
    </row>
    <row r="60" spans="1:3" x14ac:dyDescent="0.2">
      <c r="A60" s="20">
        <v>5</v>
      </c>
      <c r="B60" s="64">
        <f t="shared" si="1"/>
        <v>1.8719701369951561E-2</v>
      </c>
      <c r="C60" s="64">
        <f t="shared" si="2"/>
        <v>0</v>
      </c>
    </row>
    <row r="61" spans="1:3" x14ac:dyDescent="0.2">
      <c r="A61" s="20">
        <v>5.0999999999999996</v>
      </c>
      <c r="B61" s="64">
        <f t="shared" si="1"/>
        <v>1.8256155845531651E-2</v>
      </c>
      <c r="C61" s="64">
        <f t="shared" si="2"/>
        <v>0</v>
      </c>
    </row>
    <row r="62" spans="1:3" x14ac:dyDescent="0.2">
      <c r="A62" s="20">
        <v>5.2</v>
      </c>
      <c r="B62" s="64">
        <f t="shared" si="1"/>
        <v>1.767920197321712E-2</v>
      </c>
      <c r="C62" s="64">
        <f t="shared" si="2"/>
        <v>0</v>
      </c>
    </row>
    <row r="63" spans="1:3" x14ac:dyDescent="0.2">
      <c r="A63" s="20">
        <v>5.3</v>
      </c>
      <c r="B63" s="64">
        <f t="shared" si="1"/>
        <v>1.6958347204622286E-2</v>
      </c>
      <c r="C63" s="64">
        <f t="shared" si="2"/>
        <v>0</v>
      </c>
    </row>
    <row r="64" spans="1:3" x14ac:dyDescent="0.2">
      <c r="A64" s="20">
        <v>5.4</v>
      </c>
      <c r="B64" s="64">
        <f t="shared" si="1"/>
        <v>1.6055565345378109E-2</v>
      </c>
      <c r="C64" s="64">
        <f t="shared" si="2"/>
        <v>0</v>
      </c>
    </row>
    <row r="65" spans="1:3" x14ac:dyDescent="0.2">
      <c r="A65" s="20">
        <v>5.5</v>
      </c>
      <c r="B65" s="64">
        <f t="shared" si="1"/>
        <v>1.4923345039105761E-2</v>
      </c>
      <c r="C65" s="64">
        <f t="shared" si="2"/>
        <v>0</v>
      </c>
    </row>
    <row r="66" spans="1:3" x14ac:dyDescent="0.2">
      <c r="A66" s="20">
        <v>5.6</v>
      </c>
      <c r="B66" s="64">
        <f t="shared" si="1"/>
        <v>1.3502272558642855E-2</v>
      </c>
      <c r="C66" s="64">
        <f t="shared" si="2"/>
        <v>0</v>
      </c>
    </row>
    <row r="67" spans="1:3" x14ac:dyDescent="0.2">
      <c r="A67" s="20">
        <v>5.7</v>
      </c>
      <c r="B67" s="64">
        <f t="shared" si="1"/>
        <v>1.1718040406093968E-2</v>
      </c>
      <c r="C67" s="64">
        <f t="shared" si="2"/>
        <v>0</v>
      </c>
    </row>
    <row r="68" spans="1:3" x14ac:dyDescent="0.2">
      <c r="A68" s="20">
        <v>5.8</v>
      </c>
      <c r="B68" s="64">
        <f t="shared" si="1"/>
        <v>9.4777517382294597E-3</v>
      </c>
      <c r="C68" s="64">
        <f t="shared" si="2"/>
        <v>0</v>
      </c>
    </row>
    <row r="69" spans="1:3" x14ac:dyDescent="0.2">
      <c r="A69" s="20">
        <v>5.9</v>
      </c>
      <c r="B69" s="64">
        <f t="shared" si="1"/>
        <v>6.6653652728653565E-3</v>
      </c>
      <c r="C69" s="64">
        <f t="shared" si="2"/>
        <v>0</v>
      </c>
    </row>
    <row r="70" spans="1:3" x14ac:dyDescent="0.2">
      <c r="A70" s="20">
        <v>6</v>
      </c>
      <c r="B70" s="64">
        <f t="shared" si="1"/>
        <v>3.1360947436589025E-3</v>
      </c>
      <c r="C70" s="64">
        <f t="shared" si="2"/>
        <v>6.0708472792648696</v>
      </c>
    </row>
    <row r="71" spans="1:3" x14ac:dyDescent="0.2">
      <c r="A71" s="20">
        <v>6.1</v>
      </c>
      <c r="B71" s="64">
        <f t="shared" si="1"/>
        <v>-1.2904616127740953E-3</v>
      </c>
      <c r="C71" s="64">
        <f t="shared" si="2"/>
        <v>0</v>
      </c>
    </row>
    <row r="72" spans="1:3" x14ac:dyDescent="0.2">
      <c r="A72" s="20">
        <v>6.2</v>
      </c>
      <c r="B72" s="64">
        <f t="shared" si="1"/>
        <v>-6.8387380621257963E-3</v>
      </c>
      <c r="C72" s="64">
        <f t="shared" si="2"/>
        <v>0</v>
      </c>
    </row>
    <row r="73" spans="1:3" x14ac:dyDescent="0.2">
      <c r="A73" s="20">
        <v>6.3</v>
      </c>
      <c r="B73" s="64">
        <f t="shared" si="1"/>
        <v>-1.3787516718870499E-2</v>
      </c>
      <c r="C73" s="64">
        <f t="shared" si="2"/>
        <v>0</v>
      </c>
    </row>
    <row r="74" spans="1:3" x14ac:dyDescent="0.2">
      <c r="A74" s="20">
        <v>6.4</v>
      </c>
      <c r="B74" s="64">
        <f t="shared" si="1"/>
        <v>-2.2482608132766504E-2</v>
      </c>
      <c r="C74" s="64">
        <f t="shared" si="2"/>
        <v>0</v>
      </c>
    </row>
    <row r="75" spans="1:3" x14ac:dyDescent="0.2">
      <c r="A75" s="20">
        <v>6.5</v>
      </c>
      <c r="B75" s="64">
        <f t="shared" si="1"/>
        <v>-3.3352543005210851E-2</v>
      </c>
      <c r="C75" s="64">
        <f t="shared" si="2"/>
        <v>0</v>
      </c>
    </row>
    <row r="76" spans="1:3" x14ac:dyDescent="0.2">
      <c r="A76" s="20">
        <v>6.6</v>
      </c>
      <c r="B76" s="64">
        <f t="shared" si="1"/>
        <v>-4.692819424853182E-2</v>
      </c>
      <c r="C76" s="64">
        <f t="shared" si="2"/>
        <v>0</v>
      </c>
    </row>
    <row r="77" spans="1:3" x14ac:dyDescent="0.2">
      <c r="A77" s="20">
        <v>6.7</v>
      </c>
      <c r="B77" s="64">
        <f t="shared" si="1"/>
        <v>-6.386764531861687E-2</v>
      </c>
      <c r="C77" s="64">
        <f t="shared" si="2"/>
        <v>0</v>
      </c>
    </row>
    <row r="78" spans="1:3" x14ac:dyDescent="0.2">
      <c r="A78" s="20">
        <v>6.8</v>
      </c>
      <c r="B78" s="64">
        <f t="shared" si="1"/>
        <v>-8.4988153413295311E-2</v>
      </c>
      <c r="C78" s="64">
        <f t="shared" si="2"/>
        <v>0</v>
      </c>
    </row>
    <row r="79" spans="1:3" x14ac:dyDescent="0.2">
      <c r="A79" s="20">
        <v>6.9</v>
      </c>
      <c r="B79" s="64">
        <f t="shared" si="1"/>
        <v>-0.11130770165306031</v>
      </c>
      <c r="C79" s="64">
        <f t="shared" si="2"/>
        <v>0</v>
      </c>
    </row>
    <row r="80" spans="1:3" x14ac:dyDescent="0.2">
      <c r="A80" s="20">
        <v>7</v>
      </c>
      <c r="B80" s="64">
        <f t="shared" si="1"/>
        <v>-0.14409932493270913</v>
      </c>
      <c r="C80" s="64">
        <f t="shared" si="2"/>
        <v>0</v>
      </c>
    </row>
    <row r="81" spans="1:3" x14ac:dyDescent="0.2">
      <c r="A81" s="20">
        <v>7.1</v>
      </c>
      <c r="B81" s="64">
        <f t="shared" si="1"/>
        <v>-0.18496204030404337</v>
      </c>
      <c r="C81" s="64">
        <f t="shared" si="2"/>
        <v>0</v>
      </c>
    </row>
    <row r="82" spans="1:3" x14ac:dyDescent="0.2">
      <c r="A82" s="20">
        <v>7.2</v>
      </c>
      <c r="B82" s="64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-0.23591277205629452</v>
      </c>
      <c r="C82" s="64">
        <f t="shared" ref="C82:C99" si="4">IF(AND(B82&gt;=0,B83&lt;0),A82+0.1*B82/(B82-B83),0)</f>
        <v>0</v>
      </c>
    </row>
    <row r="83" spans="1:3" x14ac:dyDescent="0.2">
      <c r="A83" s="20">
        <v>7.3</v>
      </c>
      <c r="B83" s="64">
        <f t="shared" si="3"/>
        <v>-0.29950422994063303</v>
      </c>
      <c r="C83" s="64">
        <f t="shared" si="4"/>
        <v>0</v>
      </c>
    </row>
    <row r="84" spans="1:3" x14ac:dyDescent="0.2">
      <c r="A84" s="20">
        <v>7.4</v>
      </c>
      <c r="B84" s="64">
        <f t="shared" si="3"/>
        <v>-0.37897455836011895</v>
      </c>
      <c r="C84" s="64">
        <f t="shared" si="4"/>
        <v>0</v>
      </c>
    </row>
    <row r="85" spans="1:3" x14ac:dyDescent="0.2">
      <c r="A85" s="20">
        <v>7.5</v>
      </c>
      <c r="B85" s="64">
        <f t="shared" si="3"/>
        <v>-0.47843613536450541</v>
      </c>
      <c r="C85" s="64">
        <f t="shared" si="4"/>
        <v>0</v>
      </c>
    </row>
    <row r="86" spans="1:3" x14ac:dyDescent="0.2">
      <c r="A86" s="20">
        <v>7.6</v>
      </c>
      <c r="B86" s="64">
        <f t="shared" si="3"/>
        <v>-0.60311355724869076</v>
      </c>
      <c r="C86" s="64">
        <f t="shared" si="4"/>
        <v>0</v>
      </c>
    </row>
    <row r="87" spans="1:3" x14ac:dyDescent="0.2">
      <c r="A87" s="20">
        <v>7.7</v>
      </c>
      <c r="B87" s="64">
        <f t="shared" si="3"/>
        <v>-0.75964486243394314</v>
      </c>
      <c r="C87" s="64">
        <f t="shared" si="4"/>
        <v>0</v>
      </c>
    </row>
    <row r="88" spans="1:3" x14ac:dyDescent="0.2">
      <c r="A88" s="20">
        <v>7.8</v>
      </c>
      <c r="B88" s="64">
        <f t="shared" si="3"/>
        <v>-0.95646560365632072</v>
      </c>
      <c r="C88" s="64">
        <f t="shared" si="4"/>
        <v>0</v>
      </c>
    </row>
    <row r="89" spans="1:3" x14ac:dyDescent="0.2">
      <c r="A89" s="20">
        <v>7.9</v>
      </c>
      <c r="B89" s="64">
        <f t="shared" si="3"/>
        <v>-1.2043027611486459</v>
      </c>
      <c r="C89" s="64">
        <f t="shared" si="4"/>
        <v>0</v>
      </c>
    </row>
    <row r="90" spans="1:3" x14ac:dyDescent="0.2">
      <c r="A90" s="20">
        <v>8</v>
      </c>
      <c r="B90" s="64">
        <f t="shared" si="3"/>
        <v>-1.5168153664416366</v>
      </c>
      <c r="C90" s="64">
        <f t="shared" si="4"/>
        <v>0</v>
      </c>
    </row>
    <row r="91" spans="1:3" x14ac:dyDescent="0.2">
      <c r="A91" s="20">
        <v>8.1</v>
      </c>
      <c r="B91" s="64">
        <f t="shared" si="3"/>
        <v>-1.9114323371204927</v>
      </c>
      <c r="C91" s="64">
        <f t="shared" si="4"/>
        <v>0</v>
      </c>
    </row>
    <row r="92" spans="1:3" x14ac:dyDescent="0.2">
      <c r="A92" s="20">
        <v>8.1999999999999993</v>
      </c>
      <c r="B92" s="64">
        <f t="shared" si="3"/>
        <v>-2.4104574606330629</v>
      </c>
      <c r="C92" s="64">
        <f t="shared" si="4"/>
        <v>0</v>
      </c>
    </row>
    <row r="93" spans="1:3" x14ac:dyDescent="0.2">
      <c r="A93" s="20">
        <v>8.3000000000000007</v>
      </c>
      <c r="B93" s="64">
        <f t="shared" si="3"/>
        <v>-3.0425398421007839</v>
      </c>
      <c r="C93" s="64">
        <f t="shared" si="4"/>
        <v>0</v>
      </c>
    </row>
    <row r="94" spans="1:3" x14ac:dyDescent="0.2">
      <c r="A94" s="20">
        <v>8.4</v>
      </c>
      <c r="B94" s="64">
        <f t="shared" si="3"/>
        <v>-3.8446501768470562</v>
      </c>
      <c r="C94" s="64">
        <f t="shared" si="4"/>
        <v>0</v>
      </c>
    </row>
    <row r="95" spans="1:3" x14ac:dyDescent="0.2">
      <c r="A95" s="20">
        <v>8.5</v>
      </c>
      <c r="B95" s="64">
        <f t="shared" si="3"/>
        <v>-4.8647661482019897</v>
      </c>
      <c r="C95" s="64">
        <f t="shared" si="4"/>
        <v>0</v>
      </c>
    </row>
    <row r="96" spans="1:3" x14ac:dyDescent="0.2">
      <c r="A96" s="20">
        <v>8.6</v>
      </c>
      <c r="B96" s="64">
        <f t="shared" si="3"/>
        <v>-6.1655652619170853</v>
      </c>
      <c r="C96" s="64">
        <f t="shared" si="4"/>
        <v>0</v>
      </c>
    </row>
    <row r="97" spans="1:7" x14ac:dyDescent="0.2">
      <c r="A97" s="20">
        <v>8.6999999999999993</v>
      </c>
      <c r="B97" s="64">
        <f t="shared" si="3"/>
        <v>-7.8295679374291032</v>
      </c>
      <c r="C97" s="64">
        <f t="shared" si="4"/>
        <v>0</v>
      </c>
    </row>
    <row r="98" spans="1:7" x14ac:dyDescent="0.2">
      <c r="A98" s="20">
        <v>8.8000000000000007</v>
      </c>
      <c r="B98" s="64">
        <f t="shared" si="3"/>
        <v>-9.9663949721734042</v>
      </c>
      <c r="C98" s="64">
        <f t="shared" si="4"/>
        <v>0</v>
      </c>
    </row>
    <row r="99" spans="1:7" x14ac:dyDescent="0.2">
      <c r="A99" s="20">
        <v>8.9</v>
      </c>
      <c r="B99" s="64">
        <f t="shared" si="3"/>
        <v>-12.723144417541558</v>
      </c>
      <c r="C99" s="64">
        <f t="shared" si="4"/>
        <v>0</v>
      </c>
    </row>
    <row r="100" spans="1:7" x14ac:dyDescent="0.2">
      <c r="A100" s="20">
        <v>9</v>
      </c>
      <c r="B100" s="64">
        <f t="shared" si="3"/>
        <v>-16.29942083120859</v>
      </c>
      <c r="C100" s="64">
        <f>0</f>
        <v>0</v>
      </c>
    </row>
    <row r="101" spans="1:7" s="98" customFormat="1" x14ac:dyDescent="0.2">
      <c r="B101" s="128"/>
      <c r="C101" s="128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7" x14ac:dyDescent="0.2">
      <c r="A103" s="17" t="s">
        <v>966</v>
      </c>
      <c r="B103" s="18" t="s">
        <v>967</v>
      </c>
      <c r="C103" s="19" t="s">
        <v>968</v>
      </c>
      <c r="D103" s="62">
        <f>IF(n_cross=1,SUM(C50:C100),NA())</f>
        <v>6.0708472792648696</v>
      </c>
      <c r="E103" s="51" t="s">
        <v>969</v>
      </c>
      <c r="F103" s="107" t="s">
        <v>970</v>
      </c>
    </row>
    <row r="104" spans="1:7" x14ac:dyDescent="0.2">
      <c r="A104" s="17" t="s">
        <v>971</v>
      </c>
      <c r="B104" s="18" t="s">
        <v>972</v>
      </c>
      <c r="C104" s="19" t="s">
        <v>973</v>
      </c>
      <c r="D104" s="62">
        <f>1/(1+10^(pH_op-pKa_HOCl))</f>
        <v>0.96716420803891789</v>
      </c>
      <c r="E104" s="51" t="s">
        <v>974</v>
      </c>
    </row>
    <row r="105" spans="1:7" ht="36" x14ac:dyDescent="0.2">
      <c r="A105" s="17" t="s">
        <v>1029</v>
      </c>
      <c r="B105" s="18" t="s">
        <v>1030</v>
      </c>
      <c r="C105" s="19" t="s">
        <v>1031</v>
      </c>
      <c r="D105" s="62">
        <f>SUMPRODUCT((B50:B99&gt;=0)*(B51:B100&lt;0))</f>
        <v>1</v>
      </c>
      <c r="E105" s="51" t="s">
        <v>1032</v>
      </c>
      <c r="F105" s="20"/>
    </row>
    <row r="106" spans="1:7" ht="48" x14ac:dyDescent="0.2">
      <c r="A106" s="110" t="s">
        <v>975</v>
      </c>
      <c r="G106" s="69" t="s">
        <v>1034</v>
      </c>
    </row>
    <row r="107" spans="1:7" ht="328" x14ac:dyDescent="0.2">
      <c r="A107" s="17" t="s">
        <v>1089</v>
      </c>
      <c r="B107" s="18" t="s">
        <v>976</v>
      </c>
      <c r="C107" s="19" t="s">
        <v>977</v>
      </c>
      <c r="D107" s="62">
        <f>Iappc/(2*Fcc)*52460*3600/VLc</f>
        <v>371.24490544791416</v>
      </c>
      <c r="E107" s="51" t="s">
        <v>1091</v>
      </c>
      <c r="G107" s="69" t="s">
        <v>1035</v>
      </c>
    </row>
    <row r="108" spans="1:7" ht="284" x14ac:dyDescent="0.2">
      <c r="A108" s="17" t="s">
        <v>978</v>
      </c>
      <c r="B108" s="18" t="s">
        <v>979</v>
      </c>
      <c r="C108" s="19" t="s">
        <v>980</v>
      </c>
      <c r="D108" s="62">
        <f>1/(bleach_rate)*60</f>
        <v>0.16161837945657148</v>
      </c>
      <c r="E108" s="51" t="s">
        <v>981</v>
      </c>
      <c r="G108" s="69" t="s">
        <v>1036</v>
      </c>
    </row>
    <row r="109" spans="1:7" ht="204" x14ac:dyDescent="0.2">
      <c r="A109" s="17" t="s">
        <v>982</v>
      </c>
      <c r="B109" s="18" t="s">
        <v>983</v>
      </c>
      <c r="C109" s="19" t="s">
        <v>984</v>
      </c>
      <c r="D109" s="64" t="str">
        <f>IF(C_eff&lt;Cl_onset,"negligible free chlorine ("&amp;TEXT(C_eff,"0.00")&amp;" mg/L &lt; onset)",IF(C_eff&lt;Cl_kill,"MILD sub-lethal penalty: "&amp;TEXT(C_eff,"0.00")&amp;" mg/L (chloride costs lag/growth — Sydow 2017; chloride-free avoids it)","SEVERE free chlorine: "&amp;TEXT(C_eff,"0.0")&amp;" mg/L → biofilm/electrode damage (Baek 2021)"))</f>
        <v>negligible free chlorine (0.00 mg/L &lt; onset)</v>
      </c>
      <c r="E109" s="51" t="s">
        <v>1167</v>
      </c>
      <c r="G109" s="69" t="s">
        <v>1037</v>
      </c>
    </row>
    <row r="110" spans="1:7" ht="328" x14ac:dyDescent="0.2">
      <c r="A110" s="17" t="s">
        <v>985</v>
      </c>
      <c r="B110" s="18" t="s">
        <v>986</v>
      </c>
      <c r="C110" s="19" t="s">
        <v>987</v>
      </c>
      <c r="D110" s="64" t="str">
        <f>IF(pH_op&lt;6.5,"pH BELOW HOB optimum (&lt;6.5) — reduce CO₂ dose",IF(pH_op&gt;7.5,"pH above optimum (&gt;7.5)","pH in HOB band 6.5–7.5"))</f>
        <v>pH BELOW HOB optimum (&lt;6.5) — reduce CO₂ dose</v>
      </c>
      <c r="E110" s="51" t="s">
        <v>988</v>
      </c>
      <c r="G110" s="69" t="s">
        <v>1038</v>
      </c>
    </row>
    <row r="112" spans="1:7" ht="16" x14ac:dyDescent="0.2">
      <c r="A112" s="110" t="s">
        <v>989</v>
      </c>
    </row>
    <row r="113" spans="1:5" x14ac:dyDescent="0.2">
      <c r="A113" s="16" t="s">
        <v>990</v>
      </c>
      <c r="B113" s="16" t="s">
        <v>991</v>
      </c>
      <c r="C113" s="16" t="s">
        <v>992</v>
      </c>
      <c r="D113" s="16" t="s">
        <v>993</v>
      </c>
      <c r="E113" s="16" t="s">
        <v>994</v>
      </c>
    </row>
    <row r="114" spans="1:5" x14ac:dyDescent="0.2">
      <c r="A114" s="20" t="s">
        <v>995</v>
      </c>
      <c r="B114" s="20" t="s">
        <v>996</v>
      </c>
      <c r="C114" s="62">
        <f>PT_mc02*1000</f>
        <v>40.007195769523626</v>
      </c>
      <c r="D114" s="20" t="s">
        <v>997</v>
      </c>
      <c r="E114" s="20" t="s">
        <v>998</v>
      </c>
    </row>
    <row r="115" spans="1:5" x14ac:dyDescent="0.2">
      <c r="A115" s="20" t="s">
        <v>999</v>
      </c>
      <c r="B115" s="20" t="s">
        <v>1000</v>
      </c>
      <c r="C115" s="62">
        <f>PT_udg*1000</f>
        <v>37.329366919026846</v>
      </c>
      <c r="D115" s="20" t="s">
        <v>1001</v>
      </c>
      <c r="E115" s="20" t="s">
        <v>1002</v>
      </c>
    </row>
    <row r="123" spans="1:5" ht="16" x14ac:dyDescent="0.2">
      <c r="A123" s="110"/>
    </row>
    <row r="125" spans="1:5" ht="36" x14ac:dyDescent="0.2">
      <c r="A125" s="17" t="s">
        <v>1090</v>
      </c>
      <c r="B125" s="18" t="s">
        <v>1003</v>
      </c>
      <c r="C125" s="19" t="s">
        <v>1004</v>
      </c>
      <c r="D125" s="62">
        <f>pH_Cl*pH_fHOCl*52460</f>
        <v>0</v>
      </c>
      <c r="E125" s="51" t="s">
        <v>1092</v>
      </c>
    </row>
    <row r="127" spans="1:5" ht="16" x14ac:dyDescent="0.2">
      <c r="A127" s="110" t="s">
        <v>1097</v>
      </c>
    </row>
    <row r="128" spans="1:5" ht="48" x14ac:dyDescent="0.2">
      <c r="A128" s="17" t="s">
        <v>1098</v>
      </c>
      <c r="B128" s="18" t="s">
        <v>1099</v>
      </c>
      <c r="C128" s="19" t="s">
        <v>1100</v>
      </c>
      <c r="D128" s="52">
        <v>0.5</v>
      </c>
      <c r="E128" s="51" t="s">
        <v>1101</v>
      </c>
    </row>
    <row r="129" spans="1:5" ht="24" x14ac:dyDescent="0.2">
      <c r="A129" s="17" t="s">
        <v>1102</v>
      </c>
      <c r="B129" s="18" t="s">
        <v>1103</v>
      </c>
      <c r="C129" s="19" t="s">
        <v>1104</v>
      </c>
      <c r="D129" s="52">
        <v>3.0000000000000001E-3</v>
      </c>
      <c r="E129" s="51" t="s">
        <v>1105</v>
      </c>
    </row>
    <row r="130" spans="1:5" ht="24" x14ac:dyDescent="0.2">
      <c r="A130" s="17" t="s">
        <v>1106</v>
      </c>
      <c r="B130" s="18" t="s">
        <v>1107</v>
      </c>
      <c r="C130" s="19" t="s">
        <v>1108</v>
      </c>
      <c r="D130" s="52">
        <v>5</v>
      </c>
      <c r="E130" s="51" t="s">
        <v>1109</v>
      </c>
    </row>
    <row r="131" spans="1:5" x14ac:dyDescent="0.2">
      <c r="A131" s="17" t="s">
        <v>1110</v>
      </c>
      <c r="B131" s="18" t="s">
        <v>1111</v>
      </c>
      <c r="C131" s="19" t="s">
        <v>1112</v>
      </c>
      <c r="D131" s="62">
        <f>Iappc*FE_CER</f>
        <v>2.8449999999999999E-3</v>
      </c>
      <c r="E131" s="51" t="s">
        <v>1113</v>
      </c>
    </row>
    <row r="132" spans="1:5" ht="36" x14ac:dyDescent="0.2">
      <c r="A132" s="17" t="s">
        <v>1114</v>
      </c>
      <c r="B132" s="18" t="s">
        <v>1115</v>
      </c>
      <c r="C132" s="19" t="s">
        <v>1112</v>
      </c>
      <c r="D132" s="62">
        <f>Fcc*km_Cl*(pH_Cl/1000)*A_anode</f>
        <v>0</v>
      </c>
      <c r="E132" s="51" t="s">
        <v>1116</v>
      </c>
    </row>
    <row r="133" spans="1:5" x14ac:dyDescent="0.2">
      <c r="A133" s="17" t="s">
        <v>1117</v>
      </c>
      <c r="B133" s="18" t="s">
        <v>1118</v>
      </c>
      <c r="C133" s="19" t="s">
        <v>1112</v>
      </c>
      <c r="D133" s="62">
        <f>MIN(I_Cl_FE,I_Cl_mt)</f>
        <v>0</v>
      </c>
      <c r="E133" s="51" t="s">
        <v>1119</v>
      </c>
    </row>
    <row r="134" spans="1:5" x14ac:dyDescent="0.2">
      <c r="A134" s="17" t="s">
        <v>1120</v>
      </c>
      <c r="B134" s="18" t="s">
        <v>1121</v>
      </c>
      <c r="C134" s="19" t="s">
        <v>1122</v>
      </c>
      <c r="D134" s="62">
        <f>I_Cl/(2*Fcc*VLc)</f>
        <v>0</v>
      </c>
      <c r="E134" s="51" t="s">
        <v>1123</v>
      </c>
    </row>
    <row r="135" spans="1:5" x14ac:dyDescent="0.2">
      <c r="A135" s="17" t="s">
        <v>1124</v>
      </c>
      <c r="B135" s="18" t="s">
        <v>1125</v>
      </c>
      <c r="C135" s="19" t="s">
        <v>1126</v>
      </c>
      <c r="D135" s="62">
        <f>pH_NT*14007</f>
        <v>199.91828363856516</v>
      </c>
      <c r="E135" s="51" t="s">
        <v>1127</v>
      </c>
    </row>
    <row r="136" spans="1:5" ht="36" x14ac:dyDescent="0.2">
      <c r="A136" s="17" t="s">
        <v>1128</v>
      </c>
      <c r="B136" s="18" t="s">
        <v>1129</v>
      </c>
      <c r="C136" s="19" t="s">
        <v>1130</v>
      </c>
      <c r="D136" s="52">
        <v>4200000</v>
      </c>
      <c r="E136" s="51" t="s">
        <v>1131</v>
      </c>
    </row>
    <row r="137" spans="1:5" ht="36" x14ac:dyDescent="0.2">
      <c r="A137" s="17" t="s">
        <v>1132</v>
      </c>
      <c r="B137" s="18" t="s">
        <v>1133</v>
      </c>
      <c r="C137" s="19" t="s">
        <v>1100</v>
      </c>
      <c r="D137" s="52">
        <v>9.25</v>
      </c>
      <c r="E137" s="51" t="s">
        <v>1134</v>
      </c>
    </row>
    <row r="138" spans="1:5" ht="24" x14ac:dyDescent="0.2">
      <c r="A138" s="17" t="s">
        <v>1135</v>
      </c>
      <c r="B138" s="18" t="s">
        <v>1136</v>
      </c>
      <c r="C138" s="19" t="s">
        <v>1137</v>
      </c>
      <c r="D138" s="62">
        <f>pH_NT/(1+10^(pKa_NH4-pH_op))</f>
        <v>9.4420710576766854E-6</v>
      </c>
      <c r="E138" s="51" t="s">
        <v>1138</v>
      </c>
    </row>
    <row r="139" spans="1:5" ht="24" x14ac:dyDescent="0.2">
      <c r="A139" s="17" t="s">
        <v>1139</v>
      </c>
      <c r="B139" s="18" t="s">
        <v>1140</v>
      </c>
      <c r="C139" s="19" t="s">
        <v>1137</v>
      </c>
      <c r="D139" s="62">
        <f>P_HOCl/(k1_NH2Cl*NH3_free)</f>
        <v>0</v>
      </c>
      <c r="E139" s="51" t="s">
        <v>1141</v>
      </c>
    </row>
    <row r="140" spans="1:5" ht="24" x14ac:dyDescent="0.2">
      <c r="A140" s="17" t="s">
        <v>1142</v>
      </c>
      <c r="B140" s="18" t="s">
        <v>1143</v>
      </c>
      <c r="C140" s="19" t="s">
        <v>1126</v>
      </c>
      <c r="D140" s="62">
        <f>HOCl_ss*52460</f>
        <v>0</v>
      </c>
      <c r="E140" s="51" t="s">
        <v>1144</v>
      </c>
    </row>
    <row r="141" spans="1:5" ht="48" x14ac:dyDescent="0.2">
      <c r="A141" s="17" t="s">
        <v>1145</v>
      </c>
      <c r="B141" s="18" t="s">
        <v>1146</v>
      </c>
      <c r="C141" s="19" t="s">
        <v>1100</v>
      </c>
      <c r="D141" s="52">
        <v>10</v>
      </c>
      <c r="E141" s="51" t="s">
        <v>1147</v>
      </c>
    </row>
    <row r="142" spans="1:5" ht="36" x14ac:dyDescent="0.2">
      <c r="A142" s="17" t="s">
        <v>1148</v>
      </c>
      <c r="B142" s="18" t="s">
        <v>1149</v>
      </c>
      <c r="C142" s="19" t="s">
        <v>1150</v>
      </c>
      <c r="D142" s="52">
        <v>1</v>
      </c>
      <c r="E142" s="51" t="s">
        <v>1151</v>
      </c>
    </row>
    <row r="143" spans="1:5" ht="36" x14ac:dyDescent="0.2">
      <c r="A143" s="17" t="s">
        <v>1152</v>
      </c>
      <c r="B143" s="18" t="s">
        <v>1153</v>
      </c>
      <c r="C143" s="19" t="s">
        <v>1126</v>
      </c>
      <c r="D143" s="62">
        <f>MIN(P_HOCl*tau_NH2Cl*3600*52460,5.06*NH3_N)</f>
        <v>0</v>
      </c>
      <c r="E143" s="51" t="s">
        <v>1154</v>
      </c>
    </row>
    <row r="144" spans="1:5" ht="36" x14ac:dyDescent="0.2">
      <c r="A144" s="17" t="s">
        <v>1155</v>
      </c>
      <c r="B144" s="18" t="s">
        <v>1156</v>
      </c>
      <c r="C144" s="19" t="s">
        <v>1100</v>
      </c>
      <c r="D144" s="52">
        <v>25</v>
      </c>
      <c r="E144" s="51" t="s">
        <v>1157</v>
      </c>
    </row>
    <row r="145" spans="1:5" ht="36" x14ac:dyDescent="0.2">
      <c r="A145" s="17" t="s">
        <v>1158</v>
      </c>
      <c r="B145" s="18" t="s">
        <v>1159</v>
      </c>
      <c r="C145" s="19" t="s">
        <v>1126</v>
      </c>
      <c r="D145" s="62">
        <f>f_local*pH_fHOCl*HOCl_ss_mgL+NH2Cl_mgL/R_chloramine</f>
        <v>0</v>
      </c>
      <c r="E145" s="51" t="s">
        <v>1160</v>
      </c>
    </row>
    <row r="146" spans="1:5" ht="36" x14ac:dyDescent="0.2">
      <c r="A146" s="17" t="s">
        <v>1161</v>
      </c>
      <c r="B146" s="18" t="s">
        <v>1162</v>
      </c>
      <c r="C146" s="19" t="s">
        <v>1126</v>
      </c>
      <c r="D146" s="52">
        <v>0.1</v>
      </c>
      <c r="E146" s="51" t="s">
        <v>1163</v>
      </c>
    </row>
    <row r="147" spans="1:5" ht="24" x14ac:dyDescent="0.2">
      <c r="A147" s="17" t="s">
        <v>1164</v>
      </c>
      <c r="B147" s="18" t="s">
        <v>1165</v>
      </c>
      <c r="C147" s="19" t="s">
        <v>1126</v>
      </c>
      <c r="D147" s="52">
        <v>2</v>
      </c>
      <c r="E147" s="51" t="s">
        <v>1166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0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0" t="s">
        <v>134</v>
      </c>
      <c r="B3" s="18"/>
      <c r="C3" s="19"/>
      <c r="D3" s="111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8" t="str">
        <f>Summary!$D$4</f>
        <v>Cupriavidus necator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8" t="str">
        <f>Summary!$D$4</f>
        <v>Cupriavidus necator</v>
      </c>
      <c r="E8" s="23" t="str">
        <f>HYPERLINK("#Summary!D5","→ Summary")</f>
        <v>→ Summary</v>
      </c>
      <c r="F8" s="20"/>
    </row>
    <row r="9" spans="1:6" x14ac:dyDescent="0.2">
      <c r="A9" s="119"/>
      <c r="B9" s="18"/>
      <c r="C9" s="19"/>
      <c r="D9" s="60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1">
        <v>6</v>
      </c>
      <c r="E10" s="61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1">
        <v>2</v>
      </c>
      <c r="E11" s="61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1">
        <v>1</v>
      </c>
      <c r="E12" s="61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8">
        <f>rH2_gen</f>
        <v>1.0615084982307878E-4</v>
      </c>
      <c r="E13" s="37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8">
        <f>H2_cons*bio_O2/bio_H2</f>
        <v>3.5383616607692927E-5</v>
      </c>
      <c r="E14" s="113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8">
        <f>H2_cons*bio_CO2/bio_H2</f>
        <v>1.7691808303846464E-5</v>
      </c>
      <c r="E15" s="37" t="s">
        <v>428</v>
      </c>
      <c r="F15" s="20"/>
    </row>
    <row r="16" spans="1:6" x14ac:dyDescent="0.2">
      <c r="A16" s="119" t="s">
        <v>429</v>
      </c>
      <c r="B16" s="18" t="s">
        <v>430</v>
      </c>
      <c r="C16" s="19" t="s">
        <v>357</v>
      </c>
      <c r="D16" s="48">
        <f>O2_net_gen-O2_cons</f>
        <v>1.769180830384646E-5</v>
      </c>
      <c r="E16" s="123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2">
        <f>Summary!$D$8</f>
        <v>25</v>
      </c>
      <c r="E17" s="37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2">
        <f>T_C+273.15</f>
        <v>298.14999999999998</v>
      </c>
      <c r="E18" s="101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3">
        <f>IF(Summary!$D$10&gt;0,Summary!$D$10,101325)</f>
        <v>101325</v>
      </c>
      <c r="E19" s="37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2">
        <v>101325</v>
      </c>
      <c r="E20" s="101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2">
        <v>1.2E-5</v>
      </c>
      <c r="E21" s="51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2">
        <v>1500</v>
      </c>
      <c r="E22" s="51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2">
        <v>298.14999999999998</v>
      </c>
      <c r="E23" s="101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4">
        <f>H_O2ref*EXP(H_O2T*(1/T_K-1/T_ref))</f>
        <v>1.2E-5</v>
      </c>
      <c r="E24" s="101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2">
        <v>0.3</v>
      </c>
      <c r="E25" s="51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3">
        <f>O2_ceil_atm*Pa_per_atm</f>
        <v>30397.5</v>
      </c>
      <c r="E26" s="101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6">
        <f>H_O2_T*O2_ceil_Pa</f>
        <v>0.36476999999999998</v>
      </c>
      <c r="E27" s="101" t="s">
        <v>466</v>
      </c>
      <c r="F27" s="20"/>
    </row>
    <row r="28" spans="1:6" x14ac:dyDescent="0.2">
      <c r="A28" s="119" t="s">
        <v>463</v>
      </c>
      <c r="B28" s="18" t="s">
        <v>467</v>
      </c>
      <c r="C28" s="19" t="s">
        <v>468</v>
      </c>
      <c r="D28" s="43">
        <f>O2_ceil_C*1000</f>
        <v>364.77</v>
      </c>
      <c r="E28" s="65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6">
        <v>3.3E-4</v>
      </c>
      <c r="E29" s="67" t="s">
        <v>1083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6">
        <v>2400</v>
      </c>
      <c r="E30" s="67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8">
        <f>H_CO2ref*EXP(H_CO2T*(1/T_K-1/T_ref))</f>
        <v>3.3E-4</v>
      </c>
      <c r="E31" s="101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8">
        <f>P_atm</f>
        <v>101325</v>
      </c>
      <c r="E32" s="68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8">
        <f>H_CO2_T*p_CO2_sparge</f>
        <v>33.437249999999999</v>
      </c>
      <c r="E33" s="101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4">
        <v>50</v>
      </c>
      <c r="E34" s="69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8">
        <f>CO2_diss*1000/Km_CO2</f>
        <v>668.745</v>
      </c>
      <c r="E35" s="101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6">
        <v>4.4499999999999997E-7</v>
      </c>
      <c r="E36" s="67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8">
        <f>-LOG10(SQRT(Ka1_carb*(CO2_diss/1000)))</f>
        <v>3.913704718363725</v>
      </c>
      <c r="E37" s="69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6">
        <v>7.7999999999999999E-6</v>
      </c>
      <c r="E38" s="67" t="s">
        <v>1084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6">
        <v>500</v>
      </c>
      <c r="E39" s="67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8">
        <f>H_H2ref*EXP(H_H2T*(1/T_K-1/T_ref))</f>
        <v>7.7999999999999999E-6</v>
      </c>
      <c r="E40" s="101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8">
        <f>H_H2_T*P_atm</f>
        <v>0.79033500000000001</v>
      </c>
      <c r="E41" s="101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8">
        <f>C_H2_sat*(V_charge/1000000)/rH2_gen*60</f>
        <v>6.7008554447328832</v>
      </c>
      <c r="E42" s="101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8">
        <f>rH2_gen/(V_charge/1000000)/C_H2_sat</f>
        <v>8.9540806386387857</v>
      </c>
      <c r="E43" s="69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8" t="str">
        <f>IF(H2_turnover&gt;1,"EXPLOSIVE","watch")</f>
        <v>EXPLOSIVE</v>
      </c>
      <c r="E44" s="70" t="s">
        <v>516</v>
      </c>
      <c r="F44" s="107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1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>
        <f>IF(ISNUMBER(VLOOKUP(organism_sel,$A$52:$F$57,3,FALSE)),VLOOKUP(organism_sel,$A$52:$F$57,3,FALSE),NA())</f>
        <v>2.6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>
        <f>IF(ISNUMBER(VLOOKUP(organism_sel,$A$52:$F$57,4,FALSE)),VLOOKUP(organism_sel,$A$52:$F$57,4,FALSE),NA())</f>
        <v>3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>
        <f>IF(ISNUMBER(VLOOKUP(organism_sel,$A$52:$F$57,5,FALSE)),VLOOKUP(organism_sel,$A$52:$F$57,5,FALSE),NA())</f>
        <v>11.5</v>
      </c>
      <c r="E48" s="20"/>
      <c r="F48" s="20"/>
    </row>
    <row r="49" spans="1:6" x14ac:dyDescent="0.2">
      <c r="A49" s="20"/>
      <c r="B49" s="59"/>
      <c r="C49" s="59"/>
      <c r="D49" s="59"/>
      <c r="E49" s="59"/>
      <c r="F49" s="20"/>
    </row>
    <row r="50" spans="1:6" x14ac:dyDescent="0.2">
      <c r="A50" s="109" t="s">
        <v>526</v>
      </c>
      <c r="B50" s="20"/>
      <c r="C50" s="20"/>
      <c r="D50" s="20"/>
      <c r="E50" s="20"/>
      <c r="F50" s="20"/>
    </row>
    <row r="51" spans="1:6" x14ac:dyDescent="0.2">
      <c r="A51" s="109" t="s">
        <v>527</v>
      </c>
      <c r="B51" s="109" t="s">
        <v>528</v>
      </c>
      <c r="C51" s="109" t="s">
        <v>529</v>
      </c>
      <c r="D51" s="109" t="s">
        <v>530</v>
      </c>
      <c r="E51" s="109" t="s">
        <v>531</v>
      </c>
      <c r="F51" s="109" t="s">
        <v>532</v>
      </c>
    </row>
    <row r="52" spans="1:6" x14ac:dyDescent="0.2">
      <c r="A52" s="20" t="s">
        <v>39</v>
      </c>
      <c r="B52" s="59" t="s">
        <v>402</v>
      </c>
      <c r="C52" s="20">
        <v>2.6</v>
      </c>
      <c r="D52" s="20">
        <v>3</v>
      </c>
      <c r="E52" s="20">
        <v>11.5</v>
      </c>
      <c r="F52" s="107" t="s">
        <v>533</v>
      </c>
    </row>
    <row r="53" spans="1:6" x14ac:dyDescent="0.2">
      <c r="A53" s="20" t="s">
        <v>534</v>
      </c>
      <c r="B53" s="59" t="s">
        <v>402</v>
      </c>
      <c r="C53" s="59" t="s">
        <v>402</v>
      </c>
      <c r="D53" s="59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59" t="s">
        <v>402</v>
      </c>
      <c r="C54" s="59" t="s">
        <v>402</v>
      </c>
      <c r="D54" s="59" t="s">
        <v>402</v>
      </c>
      <c r="E54" s="59" t="s">
        <v>402</v>
      </c>
      <c r="F54" s="20" t="s">
        <v>537</v>
      </c>
    </row>
    <row r="55" spans="1:6" x14ac:dyDescent="0.2">
      <c r="A55" s="20" t="s">
        <v>538</v>
      </c>
      <c r="B55" s="59" t="s">
        <v>402</v>
      </c>
      <c r="C55" s="59" t="s">
        <v>402</v>
      </c>
      <c r="D55" s="59" t="s">
        <v>402</v>
      </c>
      <c r="E55" s="59" t="s">
        <v>402</v>
      </c>
      <c r="F55" s="20" t="s">
        <v>537</v>
      </c>
    </row>
    <row r="56" spans="1:6" x14ac:dyDescent="0.2">
      <c r="A56" s="20" t="s">
        <v>539</v>
      </c>
      <c r="B56" s="59" t="s">
        <v>402</v>
      </c>
      <c r="C56" s="59" t="s">
        <v>402</v>
      </c>
      <c r="D56" s="59" t="s">
        <v>402</v>
      </c>
      <c r="E56" s="59" t="s">
        <v>402</v>
      </c>
      <c r="F56" s="20" t="s">
        <v>537</v>
      </c>
    </row>
    <row r="57" spans="1:6" x14ac:dyDescent="0.2">
      <c r="A57" s="20" t="s">
        <v>540</v>
      </c>
      <c r="B57" s="59" t="s">
        <v>402</v>
      </c>
      <c r="C57" s="59" t="s">
        <v>402</v>
      </c>
      <c r="D57" s="59" t="s">
        <v>402</v>
      </c>
      <c r="E57" s="59" t="s">
        <v>402</v>
      </c>
      <c r="F57" s="20" t="s">
        <v>541</v>
      </c>
    </row>
    <row r="58" spans="1:6" x14ac:dyDescent="0.2">
      <c r="A58" s="20"/>
      <c r="B58" s="20"/>
      <c r="C58" s="20"/>
      <c r="D58" s="32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64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0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1"/>
      <c r="E3" s="37"/>
      <c r="F3" s="20"/>
    </row>
    <row r="4" spans="1:6" ht="16" customHeight="1" x14ac:dyDescent="0.2">
      <c r="A4" s="110" t="s">
        <v>134</v>
      </c>
      <c r="B4" s="18"/>
      <c r="C4" s="19"/>
      <c r="D4" s="111"/>
      <c r="E4" s="37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2">
        <f>Geometry!$D$52</f>
        <v>12</v>
      </c>
      <c r="E5" s="73" t="str">
        <f>HYPERLINK("#Geometry!D52","→ Geometry")</f>
        <v>→ Geometry</v>
      </c>
      <c r="F5" s="107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0.36476999999999998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298.14999999999998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1.2E-5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>
        <f>Biology!$D$46</f>
        <v>2.6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>
        <f>Biology!$D$47</f>
        <v>3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>
        <f>Biology!$D$48</f>
        <v>11.5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4"/>
      <c r="E26" s="75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1" t="s">
        <v>399</v>
      </c>
      <c r="E27" s="37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1" t="s">
        <v>405</v>
      </c>
      <c r="E28" s="37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6">
        <v>7.1199999999999999E-2</v>
      </c>
      <c r="E29" s="51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0">
        <v>995.65</v>
      </c>
      <c r="E30" s="51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6">
        <v>9.8066499999999994</v>
      </c>
      <c r="E31" s="102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2">
        <v>2.249E-9</v>
      </c>
      <c r="E32" s="37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2">
        <v>205</v>
      </c>
      <c r="E33" s="51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2">
        <v>130</v>
      </c>
      <c r="E34" s="51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2">
        <v>70</v>
      </c>
      <c r="E35" s="51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2">
        <v>28</v>
      </c>
      <c r="E36" s="51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2">
        <v>13</v>
      </c>
      <c r="E37" s="51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4">
        <v>1.3</v>
      </c>
      <c r="E38" s="51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7">
        <f>CHOOSE(por_grade+1,por0_um,por1_um,por2_um,por3_um,por4_um,por5_um)/1000000</f>
        <v>2.05E-4</v>
      </c>
      <c r="E39" s="101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7">
        <f>spg_ID/1000</f>
        <v>1.5874999999999999E-3</v>
      </c>
      <c r="E40" s="101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7">
        <f>IF(sparger=spg_name_1,tube_d_m,IF(sparger=spg_name_2,por_pore,NA()))</f>
        <v>1.5874999999999999E-3</v>
      </c>
      <c r="E41" s="101" t="s">
        <v>614</v>
      </c>
      <c r="F41" s="20"/>
    </row>
    <row r="42" spans="1:6" ht="24" customHeight="1" x14ac:dyDescent="0.2">
      <c r="A42" s="119" t="s">
        <v>615</v>
      </c>
      <c r="B42" s="18" t="s">
        <v>616</v>
      </c>
      <c r="C42" s="19" t="s">
        <v>607</v>
      </c>
      <c r="D42" s="48">
        <f>(6*d_orifice*sigma/(rho_L*g_const))^(1/3)</f>
        <v>4.1106061542088958E-3</v>
      </c>
      <c r="E42" s="75" t="s">
        <v>617</v>
      </c>
      <c r="F42" s="20"/>
    </row>
    <row r="43" spans="1:6" x14ac:dyDescent="0.2">
      <c r="A43" s="119" t="s">
        <v>618</v>
      </c>
      <c r="B43" s="18" t="s">
        <v>619</v>
      </c>
      <c r="C43" s="19" t="s">
        <v>148</v>
      </c>
      <c r="D43" s="45">
        <f>d_bubble*1000</f>
        <v>4.1106061542088961</v>
      </c>
      <c r="E43" s="75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0">
        <v>2.14</v>
      </c>
      <c r="E44" s="75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8">
        <v>0.505</v>
      </c>
      <c r="E45" s="75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6">
        <f>SQRT(mend_a*sigma/(rho_L*d_bubble)+mend_b*g_const*d_bubble)</f>
        <v>0.23997120602218533</v>
      </c>
      <c r="E46" s="75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8">
        <f>(Q_CO2/1000000/60)/(A_x/1000000)</f>
        <v>6.6343780105353137E-3</v>
      </c>
      <c r="E47" s="101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8">
        <f>u_sg/u_rise</f>
        <v>2.764655860387669E-2</v>
      </c>
      <c r="E48" s="75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2">
        <f>6*holdup/d_bubble</f>
        <v>40.353988049527544</v>
      </c>
      <c r="E49" s="75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6">
        <f>d_bubble/u_rise</f>
        <v>1.7129580762405595E-2</v>
      </c>
      <c r="E50" s="75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8">
        <f>2*SQRT(D_O2/(PI()*t_contact))</f>
        <v>4.088616905871452E-4</v>
      </c>
      <c r="E51" s="75" t="s">
        <v>644</v>
      </c>
      <c r="F51" s="20"/>
    </row>
    <row r="52" spans="1:6" x14ac:dyDescent="0.2">
      <c r="A52" s="119" t="s">
        <v>645</v>
      </c>
      <c r="B52" s="18" t="s">
        <v>646</v>
      </c>
      <c r="C52" s="19" t="s">
        <v>647</v>
      </c>
      <c r="D52" s="48">
        <f>kL*a_int</f>
        <v>1.6499199775863286E-2</v>
      </c>
      <c r="E52" s="75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4">
        <f>kLa_sparge*duty</f>
        <v>1.1914360970566213E-6</v>
      </c>
      <c r="E53" s="125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8">
        <f>IF(d_bubble&lt;0.001,0,kLa_sparge*(V_charge/1000000)*O2_ceil_C*3600)</f>
        <v>3.2499430752104915E-4</v>
      </c>
      <c r="E54" s="75" t="s">
        <v>654</v>
      </c>
      <c r="F54" s="20"/>
    </row>
    <row r="55" spans="1:6" ht="24" customHeight="1" x14ac:dyDescent="0.2">
      <c r="A55" s="119" t="s">
        <v>655</v>
      </c>
      <c r="B55" s="18" t="s">
        <v>656</v>
      </c>
      <c r="C55" s="19" t="s">
        <v>357</v>
      </c>
      <c r="D55" s="48">
        <f>strip_sparge*duty</f>
        <v>2.3468407836660565E-8</v>
      </c>
      <c r="E55" s="75" t="s">
        <v>657</v>
      </c>
      <c r="F55" s="20"/>
    </row>
    <row r="56" spans="1:6" x14ac:dyDescent="0.2">
      <c r="A56" s="119" t="s">
        <v>658</v>
      </c>
      <c r="B56" s="18" t="s">
        <v>659</v>
      </c>
      <c r="C56" s="19" t="s">
        <v>112</v>
      </c>
      <c r="D56" s="45">
        <f>IF(O2_excess&gt;0,strip_avg/O2_excess,NA())</f>
        <v>1.3265126681006479E-3</v>
      </c>
      <c r="E56" s="75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8">
        <f>IF(O2_excess&gt;0,O2_excess/3600/((V_charge/1000000)*O2_ceil_C),NA())</f>
        <v>8.9817166899926085E-4</v>
      </c>
      <c r="E57" s="75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0">
        <v>0.05</v>
      </c>
      <c r="E58" s="75" t="s">
        <v>666</v>
      </c>
      <c r="F58" s="20"/>
    </row>
    <row r="59" spans="1:6" x14ac:dyDescent="0.2">
      <c r="A59" s="119" t="s">
        <v>667</v>
      </c>
      <c r="B59" s="18" t="s">
        <v>668</v>
      </c>
      <c r="C59" s="19" t="s">
        <v>137</v>
      </c>
      <c r="D59" s="58" t="str">
        <f>IF(u_sg&gt;u_g_max,"RISK","OK")</f>
        <v>OK</v>
      </c>
      <c r="E59" s="75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8">
        <f>P_atm*(M_CO2/1000)/(R_gas*T_K)</f>
        <v>1.7988462624934765</v>
      </c>
      <c r="E60" s="101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4">
        <v>1</v>
      </c>
      <c r="E61" s="70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8">
        <f>(Q_CO2/1000000/60)/(n_pores_active*(PI()/4*d_orifice^2))</f>
        <v>1.6823907977801345</v>
      </c>
      <c r="E62" s="123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8">
        <f>rho_CO2*v_orifice^2*d_orifice/sigma</f>
        <v>0.11352239813517449</v>
      </c>
      <c r="E63" s="123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8" t="str">
        <f>IF(d_bubble&lt;0.001,"Sinter OOR – add fine-bubble model",IF(We_orifice&lt;2,"Static","Dynamic"))</f>
        <v>Static</v>
      </c>
      <c r="E64" s="101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8">
        <f>O2_ceil_C*(V_charge/1000000)/O2_excess*60</f>
        <v>18.556215077721834</v>
      </c>
      <c r="E65" s="101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8">
        <f>IF(O2_excess-strip_avg&gt;0,O2_ceil_C*(V_charge/1000000)/(O2_excess-strip_avg)*60,9999)</f>
        <v>18.580862827646946</v>
      </c>
      <c r="E66" s="101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79">
        <f>Summary!$D$7</f>
        <v>1000</v>
      </c>
      <c r="E67" s="68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8">
        <f>PI()*(stir_len/1000)*stir_rpm/60</f>
        <v>0.62831853071795862</v>
      </c>
      <c r="E68" s="101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8">
        <f>tip_speed/(vial_ID/1000)</f>
        <v>24.854372259412919</v>
      </c>
      <c r="E69" s="69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8">
        <f>2*SQRT(D_O2*s_renew/PI())</f>
        <v>2.6677872118283601E-4</v>
      </c>
      <c r="E70" s="69" t="s">
        <v>1085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8">
        <f>interface_A/V_charge</f>
        <v>28.63651500937112</v>
      </c>
      <c r="E71" s="101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8">
        <f>kL_surf*a_surf</f>
        <v>7.6396128533331165E-3</v>
      </c>
      <c r="E72" s="69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8">
        <f>kLa_surf_used*(V_charge/1000000)*O2_ceil_C*3600</f>
        <v>1.5048188534755734E-4</v>
      </c>
      <c r="E73" s="69" t="s">
        <v>1026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8">
        <f>IF(O2_excess&gt;0,surf_strip/O2_excess,NA())</f>
        <v>8.5057379530186488</v>
      </c>
      <c r="E74" s="69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8">
        <f>IF(CO2_supply&gt;0,O2_excess/(O2_excess+CO2_supply),NA())</f>
        <v>0.33333333333333326</v>
      </c>
      <c r="E75" s="101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8">
        <f>H_O2_T*y_O2_vent*P_atm*1000</f>
        <v>405.2999999999999</v>
      </c>
      <c r="E76" s="69" t="s">
        <v>1027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8">
        <f>headspace_V/(Q_CO2*duty)</f>
        <v>181.0677266956931</v>
      </c>
      <c r="E77" s="101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8">
        <f>IF(O2_excess&gt;0,(strip_avg+surf_strip)/O2_excess,NA())</f>
        <v>8.5070644656867511</v>
      </c>
      <c r="E78" s="126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8">
        <f>O2_ceil_C*(V_charge/1000000)/O2_net_gen*60</f>
        <v>6.1854050259072775</v>
      </c>
      <c r="E79" s="101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8">
        <f>IF(O2_net_gen-strip_avg-surf_strip&gt;0,O2_ceil_C*(V_charge/1000000)/(O2_net_gen-strip_avg-surf_strip)*60,9999)</f>
        <v>9999</v>
      </c>
      <c r="E80" s="69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4" t="s">
        <v>730</v>
      </c>
      <c r="E81" s="68" t="s">
        <v>1169</v>
      </c>
      <c r="F81" s="20"/>
    </row>
    <row r="82" spans="1:6" ht="24" x14ac:dyDescent="0.2">
      <c r="A82" s="17" t="s">
        <v>731</v>
      </c>
      <c r="B82" s="18" t="s">
        <v>732</v>
      </c>
      <c r="C82" s="19" t="s">
        <v>13</v>
      </c>
      <c r="D82" s="124">
        <v>1</v>
      </c>
      <c r="E82" s="68" t="s">
        <v>1170</v>
      </c>
      <c r="F82" s="20"/>
    </row>
    <row r="83" spans="1:6" ht="24" x14ac:dyDescent="0.2">
      <c r="A83" s="17" t="s">
        <v>733</v>
      </c>
      <c r="B83" s="18" t="s">
        <v>734</v>
      </c>
      <c r="C83" s="19" t="s">
        <v>69</v>
      </c>
      <c r="D83" s="124">
        <v>1</v>
      </c>
      <c r="E83" s="68" t="s">
        <v>1171</v>
      </c>
      <c r="F83" s="20"/>
    </row>
    <row r="84" spans="1:6" x14ac:dyDescent="0.2">
      <c r="A84" s="17" t="s">
        <v>735</v>
      </c>
      <c r="B84" s="18" t="s">
        <v>736</v>
      </c>
      <c r="C84" s="19" t="s">
        <v>137</v>
      </c>
      <c r="D84" s="80">
        <f>IF(AND(ISNUMBER(DO_opt),ISNUMBER(DO_toxic)),DO_opt/DO_toxic,0.5)</f>
        <v>0.22608695652173913</v>
      </c>
      <c r="E84" s="68" t="s">
        <v>737</v>
      </c>
      <c r="F84" s="20"/>
    </row>
    <row r="85" spans="1:6" x14ac:dyDescent="0.2">
      <c r="A85" s="17" t="s">
        <v>738</v>
      </c>
      <c r="B85" s="18" t="s">
        <v>739</v>
      </c>
      <c r="C85" s="19" t="s">
        <v>137</v>
      </c>
      <c r="D85" s="124">
        <v>2</v>
      </c>
      <c r="E85" s="68" t="s">
        <v>740</v>
      </c>
      <c r="F85" s="20"/>
    </row>
    <row r="86" spans="1:6" x14ac:dyDescent="0.2">
      <c r="A86" s="17" t="s">
        <v>741</v>
      </c>
      <c r="B86" s="18" t="s">
        <v>742</v>
      </c>
      <c r="C86" s="19" t="s">
        <v>137</v>
      </c>
      <c r="D86" s="48">
        <f>carbon_margin_min*CO2_cons/(nCO2_rate*3600)</f>
        <v>7.2211750463169476E-5</v>
      </c>
      <c r="E86" s="101" t="s">
        <v>743</v>
      </c>
      <c r="F86" s="20"/>
    </row>
    <row r="87" spans="1:6" ht="24" customHeight="1" x14ac:dyDescent="0.2">
      <c r="A87" s="17" t="s">
        <v>744</v>
      </c>
      <c r="B87" s="18" t="s">
        <v>745</v>
      </c>
      <c r="C87" s="19" t="s">
        <v>137</v>
      </c>
      <c r="D87" s="48">
        <f>O2_src_guard/(target_DO_frac*(O2_ceil_Pa/P_atm))/(nCO2_rate*3600)</f>
        <v>1.5969906352431712E-3</v>
      </c>
      <c r="E87" s="101" t="s">
        <v>1096</v>
      </c>
      <c r="F87" s="20"/>
    </row>
    <row r="88" spans="1:6" ht="24" customHeight="1" x14ac:dyDescent="0.2">
      <c r="A88" s="17" t="s">
        <v>746</v>
      </c>
      <c r="B88" s="18" t="s">
        <v>747</v>
      </c>
      <c r="C88" s="19" t="s">
        <v>137</v>
      </c>
      <c r="D88" s="48">
        <f>MAX(duty_carbon,duty_O2vent)</f>
        <v>1.5969906352431712E-3</v>
      </c>
      <c r="E88" s="69" t="s">
        <v>1028</v>
      </c>
      <c r="F88" s="20"/>
    </row>
    <row r="89" spans="1:6" ht="36" x14ac:dyDescent="0.2">
      <c r="A89" s="17" t="s">
        <v>748</v>
      </c>
      <c r="B89" s="18" t="s">
        <v>749</v>
      </c>
      <c r="C89" s="19" t="s">
        <v>69</v>
      </c>
      <c r="D89" s="48">
        <f>target_DO_frac*O2_ceil_C*(V_charge/1000000)/O2_src_guard*60</f>
        <v>1.3984393971616449</v>
      </c>
      <c r="E89" s="101" t="s">
        <v>1095</v>
      </c>
      <c r="F89" s="20"/>
    </row>
    <row r="90" spans="1:6" x14ac:dyDescent="0.2">
      <c r="A90" s="17" t="s">
        <v>750</v>
      </c>
      <c r="B90" s="18" t="s">
        <v>751</v>
      </c>
      <c r="C90" s="19" t="s">
        <v>13</v>
      </c>
      <c r="D90" s="127">
        <f>MAX(pulse_floor,flush_factor*headspace_V/(Q_CO2/60))</f>
        <v>0.78451304982496561</v>
      </c>
      <c r="E90" s="81" t="s">
        <v>752</v>
      </c>
      <c r="F90" s="20"/>
    </row>
    <row r="91" spans="1:6" ht="24" customHeight="1" x14ac:dyDescent="0.2">
      <c r="A91" s="17" t="s">
        <v>753</v>
      </c>
      <c r="B91" s="18" t="s">
        <v>754</v>
      </c>
      <c r="C91" s="19" t="s">
        <v>69</v>
      </c>
      <c r="D91" s="127">
        <f>IF(spg_int_regime="SURFACE-HELD",spg_int_carbon,MIN(spg_dur_opt/(60*duty_opt),spg_int_max))</f>
        <v>181.0677266956931</v>
      </c>
      <c r="E91" s="81" t="s">
        <v>1094</v>
      </c>
      <c r="F91" s="20"/>
    </row>
    <row r="92" spans="1:6" x14ac:dyDescent="0.2">
      <c r="A92" s="17" t="s">
        <v>755</v>
      </c>
      <c r="B92" s="18" t="s">
        <v>756</v>
      </c>
      <c r="C92" s="19" t="s">
        <v>13</v>
      </c>
      <c r="D92" s="48">
        <f>spg_int_opt*60</f>
        <v>10864.063601741585</v>
      </c>
      <c r="E92" s="81" t="s">
        <v>757</v>
      </c>
      <c r="F92" s="20"/>
    </row>
    <row r="93" spans="1:6" x14ac:dyDescent="0.2">
      <c r="A93" s="17" t="s">
        <v>758</v>
      </c>
      <c r="B93" s="18" t="s">
        <v>759</v>
      </c>
      <c r="C93" s="19" t="s">
        <v>137</v>
      </c>
      <c r="D93" s="48">
        <f>spg_dur_opt/(spg_int_opt*60)</f>
        <v>7.2211750463169476E-5</v>
      </c>
      <c r="E93" s="101" t="s">
        <v>760</v>
      </c>
      <c r="F93" s="20"/>
    </row>
    <row r="94" spans="1:6" x14ac:dyDescent="0.2">
      <c r="A94" s="17" t="s">
        <v>761</v>
      </c>
      <c r="B94" s="18" t="s">
        <v>762</v>
      </c>
      <c r="C94" s="19" t="s">
        <v>137</v>
      </c>
      <c r="D94" s="48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1" t="s">
        <v>763</v>
      </c>
      <c r="F94" s="20"/>
    </row>
    <row r="95" spans="1:6" ht="24" x14ac:dyDescent="0.2">
      <c r="A95" s="17" t="s">
        <v>764</v>
      </c>
      <c r="B95" s="18" t="s">
        <v>765</v>
      </c>
      <c r="C95" s="19" t="s">
        <v>137</v>
      </c>
      <c r="D95" s="48" t="str">
        <f>IF(spg_int*60-spg_dur&gt;=5,"OK","TIGHT")</f>
        <v>OK</v>
      </c>
      <c r="E95" s="101" t="s">
        <v>1172</v>
      </c>
      <c r="F95" s="20"/>
    </row>
    <row r="96" spans="1:6" ht="36" customHeight="1" x14ac:dyDescent="0.2">
      <c r="A96" s="17" t="s">
        <v>766</v>
      </c>
      <c r="B96" s="18" t="s">
        <v>767</v>
      </c>
      <c r="C96" s="19" t="s">
        <v>137</v>
      </c>
      <c r="D96" s="48" t="str">
        <f>"see note →"</f>
        <v>see note →</v>
      </c>
      <c r="E96" s="69" t="s">
        <v>768</v>
      </c>
      <c r="F96" s="20"/>
    </row>
    <row r="97" spans="1:6" ht="24" customHeight="1" x14ac:dyDescent="0.2">
      <c r="A97" s="17" t="s">
        <v>769</v>
      </c>
      <c r="B97" s="18" t="s">
        <v>770</v>
      </c>
      <c r="C97" s="19" t="s">
        <v>512</v>
      </c>
      <c r="D97" s="124">
        <v>0</v>
      </c>
      <c r="E97" s="69" t="s">
        <v>771</v>
      </c>
      <c r="F97" s="20"/>
    </row>
    <row r="98" spans="1:6" ht="24" customHeight="1" x14ac:dyDescent="0.2">
      <c r="A98" s="17" t="s">
        <v>772</v>
      </c>
      <c r="B98" s="18" t="s">
        <v>773</v>
      </c>
      <c r="C98" s="19" t="s">
        <v>647</v>
      </c>
      <c r="D98" s="48">
        <f>IF(kLa_meas&gt;0,kLa_meas/3600,kLa_surf)</f>
        <v>7.6396128533331165E-3</v>
      </c>
      <c r="E98" s="101" t="s">
        <v>774</v>
      </c>
      <c r="F98" s="20"/>
    </row>
    <row r="99" spans="1:6" x14ac:dyDescent="0.2">
      <c r="A99" s="20" t="s">
        <v>775</v>
      </c>
      <c r="B99" s="20" t="s">
        <v>776</v>
      </c>
      <c r="C99" s="20" t="s">
        <v>13</v>
      </c>
      <c r="D99" s="24">
        <f>min_sparge_cal</f>
        <v>0.25</v>
      </c>
      <c r="E99" s="20" t="s">
        <v>777</v>
      </c>
      <c r="F99" s="20"/>
    </row>
    <row r="100" spans="1:6" x14ac:dyDescent="0.2">
      <c r="A100" s="20" t="s">
        <v>778</v>
      </c>
      <c r="B100" s="20" t="s">
        <v>779</v>
      </c>
      <c r="C100" s="20" t="s">
        <v>357</v>
      </c>
      <c r="D100" s="24">
        <f>CO2_pulse*pulses_h</f>
        <v>3.5383616607692934E-5</v>
      </c>
      <c r="E100" s="20" t="s">
        <v>777</v>
      </c>
      <c r="F100" s="20"/>
    </row>
    <row r="101" spans="1:6" x14ac:dyDescent="0.2">
      <c r="A101" s="20" t="s">
        <v>780</v>
      </c>
      <c r="B101" s="20" t="s">
        <v>315</v>
      </c>
      <c r="C101" s="20" t="s">
        <v>316</v>
      </c>
      <c r="D101" s="82">
        <v>8.3144626180000003</v>
      </c>
      <c r="E101" s="20" t="s">
        <v>777</v>
      </c>
      <c r="F101" s="20"/>
    </row>
    <row r="102" spans="1:6" x14ac:dyDescent="0.2">
      <c r="A102" s="20" t="s">
        <v>781</v>
      </c>
      <c r="B102" s="20" t="s">
        <v>782</v>
      </c>
      <c r="C102" s="20" t="s">
        <v>364</v>
      </c>
      <c r="D102" s="24">
        <f>IF(has_cal&gt;0,flowrate_cal*60,NA())</f>
        <v>199.8</v>
      </c>
      <c r="E102" s="20" t="s">
        <v>777</v>
      </c>
      <c r="F102" s="20"/>
    </row>
    <row r="103" spans="1:6" x14ac:dyDescent="0.2">
      <c r="A103" s="20" t="s">
        <v>783</v>
      </c>
      <c r="B103" s="20" t="s">
        <v>784</v>
      </c>
      <c r="C103" s="20" t="s">
        <v>785</v>
      </c>
      <c r="D103" s="82">
        <v>44.009500000000003</v>
      </c>
      <c r="E103" s="20" t="s">
        <v>777</v>
      </c>
      <c r="F103" s="20"/>
    </row>
    <row r="104" spans="1:6" x14ac:dyDescent="0.2">
      <c r="A104" s="20" t="s">
        <v>786</v>
      </c>
      <c r="B104" s="20" t="s">
        <v>787</v>
      </c>
      <c r="C104" s="20" t="s">
        <v>788</v>
      </c>
      <c r="D104" s="24">
        <f>P_atm*(Q_CO2/1000000/60)/(R_gas*T_K)</f>
        <v>1.36110568266017E-4</v>
      </c>
      <c r="E104" s="20" t="s">
        <v>777</v>
      </c>
      <c r="F104" s="20"/>
    </row>
    <row r="105" spans="1:6" x14ac:dyDescent="0.2">
      <c r="A105" s="20" t="s">
        <v>789</v>
      </c>
      <c r="B105" s="20" t="s">
        <v>790</v>
      </c>
      <c r="C105" s="20" t="s">
        <v>137</v>
      </c>
      <c r="D105" s="24">
        <f>spg_dur/(spg_int*60)</f>
        <v>7.2211750463169476E-5</v>
      </c>
      <c r="E105" s="20" t="s">
        <v>777</v>
      </c>
      <c r="F105" s="20"/>
    </row>
    <row r="106" spans="1:6" x14ac:dyDescent="0.2">
      <c r="A106" s="20" t="s">
        <v>791</v>
      </c>
      <c r="B106" s="20" t="s">
        <v>792</v>
      </c>
      <c r="C106" s="20" t="s">
        <v>137</v>
      </c>
      <c r="D106" s="82">
        <v>1</v>
      </c>
      <c r="E106" s="20" t="s">
        <v>777</v>
      </c>
      <c r="F106" s="20"/>
    </row>
    <row r="107" spans="1:6" x14ac:dyDescent="0.2">
      <c r="A107" s="109" t="s">
        <v>793</v>
      </c>
      <c r="B107" s="20"/>
      <c r="C107" s="20"/>
      <c r="D107" s="20"/>
      <c r="E107" s="20"/>
      <c r="F107" s="20"/>
    </row>
    <row r="108" spans="1:6" x14ac:dyDescent="0.2">
      <c r="A108" s="20" t="s">
        <v>794</v>
      </c>
      <c r="B108" s="20" t="s">
        <v>795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796</v>
      </c>
      <c r="B109" s="20" t="s">
        <v>797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at/under optimum</v>
      </c>
      <c r="E109" s="20"/>
      <c r="F109" s="20"/>
    </row>
    <row r="110" spans="1:6" x14ac:dyDescent="0.2">
      <c r="A110" s="20" t="s">
        <v>798</v>
      </c>
      <c r="B110" s="20" t="s">
        <v>799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800</v>
      </c>
      <c r="B111" s="20" t="s">
        <v>801</v>
      </c>
      <c r="C111" s="20"/>
      <c r="D111" s="24" t="str">
        <f>IF(tip_speed&gt;1.5,"TIP SPEED &gt; 1.5 m/s","OK")</f>
        <v>OK</v>
      </c>
      <c r="E111" s="83" t="s">
        <v>802</v>
      </c>
      <c r="F111" s="20"/>
    </row>
    <row r="112" spans="1:6" x14ac:dyDescent="0.2">
      <c r="A112" s="20" t="s">
        <v>803</v>
      </c>
      <c r="B112" s="20" t="s">
        <v>804</v>
      </c>
      <c r="C112" s="20" t="s">
        <v>69</v>
      </c>
      <c r="D112" s="24">
        <f>spg_dur_opt/(60*duty_carbon)</f>
        <v>181.0677266956931</v>
      </c>
      <c r="E112" s="20"/>
      <c r="F112" s="20"/>
    </row>
    <row r="113" spans="1:6" x14ac:dyDescent="0.2">
      <c r="A113" s="20" t="s">
        <v>805</v>
      </c>
      <c r="B113" s="20" t="s">
        <v>806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Surface stripping holds DO under impairment - sparge is CARBON-limited (long interval); the O2-limited interval is the conservative fallback until kL_surf is measured</v>
      </c>
      <c r="E113" s="83" t="s">
        <v>807</v>
      </c>
      <c r="F113" s="20"/>
    </row>
    <row r="114" spans="1:6" x14ac:dyDescent="0.2">
      <c r="A114" s="109" t="s">
        <v>808</v>
      </c>
      <c r="B114" s="20"/>
      <c r="C114" s="20"/>
      <c r="D114" s="20"/>
      <c r="E114" s="20"/>
      <c r="F114" s="20"/>
    </row>
    <row r="115" spans="1:6" x14ac:dyDescent="0.2">
      <c r="A115" s="20" t="s">
        <v>809</v>
      </c>
      <c r="B115" s="20" t="s">
        <v>1</v>
      </c>
      <c r="C115" s="20"/>
      <c r="D115" s="38" t="str">
        <f>Summary!$D$2</f>
        <v>ed04</v>
      </c>
      <c r="E115" s="20"/>
      <c r="F115" s="20"/>
    </row>
    <row r="116" spans="1:6" x14ac:dyDescent="0.2">
      <c r="A116" s="20" t="s">
        <v>810</v>
      </c>
      <c r="B116" s="20" t="s">
        <v>811</v>
      </c>
      <c r="C116" s="20"/>
      <c r="D116" s="84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812</v>
      </c>
      <c r="B117" s="20" t="s">
        <v>813</v>
      </c>
      <c r="C117" s="20" t="s">
        <v>14</v>
      </c>
      <c r="D117" s="84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814</v>
      </c>
      <c r="B118" s="20" t="s">
        <v>815</v>
      </c>
      <c r="C118" s="20" t="s">
        <v>13</v>
      </c>
      <c r="D118" s="84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816</v>
      </c>
      <c r="B119" s="20" t="s">
        <v>817</v>
      </c>
      <c r="C119" s="20" t="s">
        <v>818</v>
      </c>
      <c r="D119" s="84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819</v>
      </c>
      <c r="B120" s="20" t="s">
        <v>820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821</v>
      </c>
      <c r="B121" s="20" t="s">
        <v>822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823</v>
      </c>
      <c r="B122" s="20" t="s">
        <v>824</v>
      </c>
      <c r="C122" s="20" t="s">
        <v>69</v>
      </c>
      <c r="D122" s="24">
        <f>IF(AND(ISNUMBER(Summary!$G$15),Summary!$G$15&gt;0),Summary!$G$15,IF(sched_mode="Manual",spg_int_man,spg_int_opt))</f>
        <v>181.0677266956931</v>
      </c>
      <c r="E122" s="20"/>
      <c r="F122" s="20"/>
    </row>
    <row r="123" spans="1:6" x14ac:dyDescent="0.2">
      <c r="A123" s="20" t="s">
        <v>825</v>
      </c>
      <c r="B123" s="20" t="s">
        <v>826</v>
      </c>
      <c r="C123" s="20" t="s">
        <v>827</v>
      </c>
      <c r="D123" s="24">
        <f>nCO2_rate*spg_dur</f>
        <v>1.0678051702378218E-4</v>
      </c>
      <c r="E123" s="20"/>
      <c r="F123" s="20"/>
    </row>
    <row r="124" spans="1:6" x14ac:dyDescent="0.2">
      <c r="A124" s="20" t="s">
        <v>828</v>
      </c>
      <c r="B124" s="20" t="s">
        <v>829</v>
      </c>
      <c r="C124" s="20" t="s">
        <v>830</v>
      </c>
      <c r="D124" s="24">
        <f>60/spg_int</f>
        <v>0.3313677213214119</v>
      </c>
      <c r="E124" s="20"/>
      <c r="F124" s="20"/>
    </row>
    <row r="125" spans="1:6" x14ac:dyDescent="0.2">
      <c r="A125" s="20" t="s">
        <v>831</v>
      </c>
      <c r="B125" s="20" t="s">
        <v>832</v>
      </c>
      <c r="C125" s="20" t="s">
        <v>833</v>
      </c>
      <c r="D125" s="24">
        <f>pulses_h*24</f>
        <v>7.9528253117138856</v>
      </c>
      <c r="E125" s="20"/>
      <c r="F125" s="20"/>
    </row>
    <row r="126" spans="1:6" x14ac:dyDescent="0.2">
      <c r="A126" s="20" t="s">
        <v>834</v>
      </c>
      <c r="B126" s="20" t="s">
        <v>835</v>
      </c>
      <c r="C126" s="20" t="s">
        <v>112</v>
      </c>
      <c r="D126" s="24">
        <f>IF(CO2_cons&gt;0,CO2_supply/CO2_cons,NA())</f>
        <v>2.0000000000000004</v>
      </c>
      <c r="E126" s="20"/>
      <c r="F126" s="20"/>
    </row>
    <row r="127" spans="1:6" x14ac:dyDescent="0.2">
      <c r="A127" s="20" t="s">
        <v>836</v>
      </c>
      <c r="B127" s="20" t="s">
        <v>837</v>
      </c>
      <c r="C127" s="20" t="s">
        <v>827</v>
      </c>
      <c r="D127" s="24">
        <f>O2_excess/60*spg_int</f>
        <v>5.3390258511891068E-5</v>
      </c>
      <c r="E127" s="20"/>
      <c r="F127" s="20"/>
    </row>
    <row r="128" spans="1:6" x14ac:dyDescent="0.2">
      <c r="A128" s="20" t="s">
        <v>838</v>
      </c>
      <c r="B128" s="20" t="s">
        <v>839</v>
      </c>
      <c r="C128" s="20" t="s">
        <v>827</v>
      </c>
      <c r="D128" s="24">
        <f>strip_sparge/3600*spg_dur</f>
        <v>7.0822854269191952E-8</v>
      </c>
      <c r="E128" s="20"/>
      <c r="F128" s="20"/>
    </row>
    <row r="129" spans="1:6" x14ac:dyDescent="0.2">
      <c r="A129" s="20" t="s">
        <v>840</v>
      </c>
      <c r="B129" s="20" t="s">
        <v>841</v>
      </c>
      <c r="C129" s="20" t="s">
        <v>112</v>
      </c>
      <c r="D129" s="24">
        <f>IF(O2_accum&gt;0,O2_strip_pulse/O2_accum,NA())</f>
        <v>1.3265126681006479E-3</v>
      </c>
      <c r="E129" s="20"/>
      <c r="F129" s="20"/>
    </row>
    <row r="130" spans="1:6" x14ac:dyDescent="0.2">
      <c r="A130" s="20" t="s">
        <v>842</v>
      </c>
      <c r="B130" s="20" t="s">
        <v>843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844</v>
      </c>
      <c r="B131" s="20" t="s">
        <v>845</v>
      </c>
      <c r="C131" s="20" t="s">
        <v>109</v>
      </c>
      <c r="D131" s="24">
        <f>IF(ISNUMBER(DO_impair),O2_excess*32/(DO_impair*3600*(V_charge/1000000)*a_surf),NA())</f>
        <v>1.2203573592429917E-4</v>
      </c>
      <c r="E131" s="107" t="s">
        <v>846</v>
      </c>
      <c r="F131" s="20"/>
    </row>
    <row r="132" spans="1:6" ht="24" x14ac:dyDescent="0.2">
      <c r="A132" s="17" t="s">
        <v>1010</v>
      </c>
      <c r="B132" s="18" t="s">
        <v>1011</v>
      </c>
      <c r="C132" s="19" t="s">
        <v>1012</v>
      </c>
      <c r="D132" s="28">
        <f>O2_net_gen</f>
        <v>5.3075424911539388E-5</v>
      </c>
      <c r="E132" s="69" t="s">
        <v>1013</v>
      </c>
      <c r="F132" s="20"/>
    </row>
    <row r="133" spans="1:6" ht="24" x14ac:dyDescent="0.2">
      <c r="A133" s="17" t="s">
        <v>1014</v>
      </c>
      <c r="B133" s="18" t="s">
        <v>1015</v>
      </c>
      <c r="C133" s="19" t="s">
        <v>1016</v>
      </c>
      <c r="D133" s="28">
        <f>O2_excess/(kLa_surf_used*3600*(V_charge/1000000))</f>
        <v>4.2885167873123194E-2</v>
      </c>
      <c r="E133" s="69" t="s">
        <v>1017</v>
      </c>
      <c r="F133" s="20"/>
    </row>
    <row r="134" spans="1:6" ht="24" x14ac:dyDescent="0.2">
      <c r="A134" s="20" t="s">
        <v>1018</v>
      </c>
      <c r="B134" s="20" t="s">
        <v>1019</v>
      </c>
      <c r="C134" s="20" t="s">
        <v>1020</v>
      </c>
      <c r="D134" s="28" t="str">
        <f>IF(DO_ss_sawtooth&lt;target_DO_frac*O2_ceil_C,"SURFACE-HELD","SPARGE-NEEDED")</f>
        <v>SURFACE-HELD</v>
      </c>
      <c r="E134" s="69" t="s">
        <v>1021</v>
      </c>
      <c r="F134" s="20"/>
    </row>
    <row r="135" spans="1:6" ht="36" x14ac:dyDescent="0.2">
      <c r="A135" s="20" t="s">
        <v>1022</v>
      </c>
      <c r="B135" s="20" t="s">
        <v>1023</v>
      </c>
      <c r="C135" s="20" t="s">
        <v>1024</v>
      </c>
      <c r="D135" s="28">
        <f>O2_net_gen/(kLa_surf_used*3600*(V_charge/1000000))</f>
        <v>0.12865550361936959</v>
      </c>
      <c r="E135" s="69" t="s">
        <v>1025</v>
      </c>
      <c r="F135" s="20"/>
    </row>
    <row r="137" spans="1:6" x14ac:dyDescent="0.2">
      <c r="A137" s="20" t="s">
        <v>1174</v>
      </c>
      <c r="B137" s="20"/>
      <c r="C137" s="20"/>
      <c r="D137" s="20"/>
      <c r="E137" s="20" t="s">
        <v>1175</v>
      </c>
      <c r="F137" s="20"/>
    </row>
    <row r="138" spans="1:6" x14ac:dyDescent="0.2">
      <c r="A138" s="17" t="inlineStr">
        <is>
          <t xml:space="preserve">CO₂ molecular diffusivity</t>
        </is>
      </c>
      <c r="B138" s="18" t="inlineStr">
        <is>
          <t xml:space="preserve">D_CO2</t>
        </is>
      </c>
      <c r="C138" s="19" t="inlineStr">
        <is>
          <t xml:space="preserve">m²/s</t>
        </is>
      </c>
      <c r="D138" s="124">
        <v>1.92E-9</v>
      </c>
      <c r="E138" s="67" t="inlineStr">
        <is>
          <t xml:space="preserve">CO₂ diffusivity in water ~25°C, Cussler/Tamimi 1994.</t>
        </is>
      </c>
      <c r="F138" s="20"/>
    </row>
    <row r="139" spans="1:6" x14ac:dyDescent="0.2">
      <c r="A139" s="17" t="inlineStr">
        <is>
          <t xml:space="preserve">Atmospheric CO₂ partial pressure</t>
        </is>
      </c>
      <c r="B139" s="18" t="inlineStr">
        <is>
          <t xml:space="preserve">pCO2_air</t>
        </is>
      </c>
      <c r="C139" s="19" t="inlineStr">
        <is>
          <t xml:space="preserve">Pa</t>
        </is>
      </c>
      <c r="D139" s="124">
        <v>40</v>
      </c>
      <c r="E139" s="67" t="inlineStr">
        <is>
          <t xml:space="preserve">Atmospheric pCO₂ (~400 ppm).</t>
        </is>
      </c>
      <c r="F139" s="20"/>
    </row>
    <row r="140" spans="1:6" x14ac:dyDescent="0.2">
      <c r="A140" s="17" t="inlineStr">
        <is>
          <t xml:space="preserve">Headspace volume (SI)</t>
        </is>
      </c>
      <c r="B140" s="18" t="inlineStr">
        <is>
          <t xml:space="preserve">headspace_V_m3</t>
        </is>
      </c>
      <c r="C140" s="19" t="inlineStr">
        <is>
          <t xml:space="preserve">m³</t>
        </is>
      </c>
      <c r="D140" s="48">
        <f>headspace_V/1000000</f>
        <v>2.6124284559171357E-6</v>
      </c>
      <c r="E140" s="67" t="inlineStr">
        <is>
          <t xml:space="preserve">Geometry headspace volume converted mL→m³.</t>
        </is>
      </c>
      <c r="F140" s="20"/>
    </row>
    <row r="141" spans="1:6" x14ac:dyDescent="0.2">
      <c r="A141" s="17" t="inlineStr">
        <is>
          <t xml:space="preserve">Liquid volume (SI)</t>
        </is>
      </c>
      <c r="B141" s="18" t="inlineStr">
        <is>
          <t xml:space="preserve">V_L_m3</t>
        </is>
      </c>
      <c r="C141" s="19" t="inlineStr">
        <is>
          <t xml:space="preserve">m³</t>
        </is>
      </c>
      <c r="D141" s="48">
        <f>V_charge/1000000</f>
        <v>1.5E-5</v>
      </c>
      <c r="E141" s="67" t="inlineStr">
        <is>
          <t xml:space="preserve">Charged liquid volume converted mL→m³.</t>
        </is>
      </c>
      <c r="F141" s="20"/>
    </row>
    <row r="142" spans="1:6" x14ac:dyDescent="0.2">
      <c r="A142" s="17" t="inlineStr">
        <is>
          <t xml:space="preserve">Headspace vent bleed</t>
        </is>
      </c>
      <c r="B142" s="18" t="inlineStr">
        <is>
          <t xml:space="preserve">Q_vent</t>
        </is>
      </c>
      <c r="C142" s="19" t="inlineStr">
        <is>
          <t xml:space="preserve">mL/min</t>
        </is>
      </c>
      <c r="D142" s="124">
        <v>0.5</v>
      </c>
      <c r="E142" s="69" t="inlineStr">
        <is>
          <t xml:space="preserve">Slow restricted vent bleed - dead-volume + tube + near-closed solenoid leak. KEY NEW UNCERTAIN PARAMETER - measure. NOT free membrane diffusion, which would clear in seconds and could not reproduce the run-2 acidification.</t>
        </is>
      </c>
      <c r="F142" s="20"/>
    </row>
    <row r="143" spans="1:6" x14ac:dyDescent="0.2">
      <c r="A143" s="17" t="inlineStr">
        <is>
          <t xml:space="preserve">Headspace vent rate</t>
        </is>
      </c>
      <c r="B143" s="18" t="inlineStr">
        <is>
          <t xml:space="preserve">k_vent</t>
        </is>
      </c>
      <c r="C143" s="19" t="inlineStr">
        <is>
          <t xml:space="preserve">1/s</t>
        </is>
      </c>
      <c r="D143" s="48">
        <f>(Q_vent/1000000/60)/headspace_V_m3</f>
        <v>3.189880019281822E-3</v>
      </c>
      <c r="E143" s="67" t="inlineStr">
        <is>
          <t xml:space="preserve">First-order headspace clearance from the vent volumetric bleed.</t>
        </is>
      </c>
      <c r="F143" s="20"/>
    </row>
    <row r="144" spans="1:6" x14ac:dyDescent="0.2">
      <c r="A144" s="17" t="inlineStr">
        <is>
          <t xml:space="preserve">Headspace residence time</t>
        </is>
      </c>
      <c r="B144" s="18" t="inlineStr">
        <is>
          <t xml:space="preserve">tau_hs</t>
        </is>
      </c>
      <c r="C144" s="19" t="inlineStr">
        <is>
          <t xml:space="preserve">min</t>
        </is>
      </c>
      <c r="D144" s="48">
        <f>headspace_V_m3/(Q_vent/1000000/60)/60</f>
        <v>5.224856911834271</v>
      </c>
      <c r="E144" s="67" t="inlineStr">
        <is>
          <t xml:space="preserve">Time constant for the headspace to clear through the vent.</t>
        </is>
      </c>
      <c r="F144" s="20"/>
    </row>
    <row r="145" spans="1:6" x14ac:dyDescent="0.2">
      <c r="A145" s="17" t="inlineStr">
        <is>
          <t xml:space="preserve">CO₂ saturation (pure sparge)</t>
        </is>
      </c>
      <c r="B145" s="18" t="inlineStr">
        <is>
          <t xml:space="preserve">C_sat_CO2</t>
        </is>
      </c>
      <c r="C145" s="19" t="inlineStr">
        <is>
          <t xml:space="preserve">mol/m³</t>
        </is>
      </c>
      <c r="D145" s="48">
        <f>Biology!$D$31*P_atm</f>
        <v>29.279978066256632</v>
      </c>
      <c r="E145" s="67" t="inlineStr">
        <is>
          <t xml:space="preserve">Henry-law dissolved CO₂ at pure-CO₂ saturation.</t>
        </is>
      </c>
      <c r="F145" s="20"/>
    </row>
    <row r="146" spans="1:6" x14ac:dyDescent="0.2">
      <c r="A146" s="17" t="inlineStr">
        <is>
          <t xml:space="preserve">CO₂ air-equilibrium</t>
        </is>
      </c>
      <c r="B146" s="18" t="inlineStr">
        <is>
          <t xml:space="preserve">C_air_CO2</t>
        </is>
      </c>
      <c r="C146" s="19" t="inlineStr">
        <is>
          <t xml:space="preserve">mol/m³</t>
        </is>
      </c>
      <c r="D146" s="48">
        <f>Biology!$D$31*pCO2_air</f>
        <v>1.155883664100928E-2</v>
      </c>
      <c r="E146" s="67" t="inlineStr">
        <is>
          <t xml:space="preserve">Henry-law dissolved CO₂ in equilibrium with room air.</t>
        </is>
      </c>
      <c r="F146" s="20"/>
    </row>
    <row r="147" spans="1:6" x14ac:dyDescent="0.2">
      <c r="A147" s="17" t="inlineStr">
        <is>
          <t xml:space="preserve">Diffusivity scaling (CO₂/O₂)</t>
        </is>
      </c>
      <c r="B147" s="18" t="inlineStr">
        <is>
          <t xml:space="preserve">sqrtD_CO2</t>
        </is>
      </c>
      <c r="C147" s="19" t="inlineStr">
        <is>
          <t xml:space="preserve">-</t>
        </is>
      </c>
      <c r="D147" s="48">
        <f>SQRT(D_CO2/D_O2)</f>
        <v>0.9239657792511647</v>
      </c>
      <c r="E147" s="67" t="inlineStr">
        <is>
          <t xml:space="preserve">Penetration-theory √(D_CO₂/D_O₂) scaling of the O₂ transfer coefficient.</t>
        </is>
      </c>
      <c r="F147" s="20"/>
    </row>
    <row r="148" spans="1:6" x14ac:dyDescent="0.2">
      <c r="A148" s="17" t="inlineStr">
        <is>
          <t xml:space="preserve">CO₂ surface transfer coefficient</t>
        </is>
      </c>
      <c r="B148" s="18" t="inlineStr">
        <is>
          <t xml:space="preserve">kLa_CO2_off</t>
        </is>
      </c>
      <c r="C148" s="19" t="inlineStr">
        <is>
          <t xml:space="preserve">1/s</t>
        </is>
      </c>
      <c r="D148" s="48">
        <f>kLa_surf*sqrtD_CO2</f>
        <v>4.991283516870223E-3</v>
      </c>
      <c r="E148" s="67" t="inlineStr">
        <is>
          <t xml:space="preserve">Surface kLa for CO₂ between pulses (surface path).</t>
        </is>
      </c>
      <c r="F148" s="20"/>
    </row>
    <row r="149" spans="1:6" x14ac:dyDescent="0.2">
      <c r="A149" s="17" t="inlineStr">
        <is>
          <t xml:space="preserve">Surface-relaxation time</t>
        </is>
      </c>
      <c r="B149" s="18" t="inlineStr">
        <is>
          <t xml:space="preserve">tau_surf_floor</t>
        </is>
      </c>
      <c r="C149" s="19" t="inlineStr">
        <is>
          <t xml:space="preserve">min</t>
        </is>
      </c>
      <c r="D149" s="48">
        <f>1/kLa_CO2_off/60</f>
        <v>3.3391544700545235</v>
      </c>
      <c r="E149" s="67" t="inlineStr">
        <is>
          <t xml:space="preserve">Time constant for the liquid to relax to the headspace via the surface.</t>
        </is>
      </c>
      <c r="F149" s="20"/>
    </row>
    <row r="150" spans="1:6" x14ac:dyDescent="0.2">
      <c r="A150" s="17" t="inlineStr">
        <is>
          <t xml:space="preserve">Headspace gas inventory</t>
        </is>
      </c>
      <c r="B150" s="18" t="inlineStr">
        <is>
          <t xml:space="preserve">n_hs_gas</t>
        </is>
      </c>
      <c r="C150" s="19" t="inlineStr">
        <is>
          <t xml:space="preserve">mol</t>
        </is>
      </c>
      <c r="D150" s="48">
        <f>P_atm*headspace_V_m3/(R_gas*T_K)</f>
        <v>1.0501933416012095E-4</v>
      </c>
      <c r="E150" s="67" t="inlineStr">
        <is>
          <t xml:space="preserve">Moles of gas in the headspace at P_atm, T_K (ideal-gas).</t>
        </is>
      </c>
      <c r="F150" s="20"/>
    </row>
    <row r="151" spans="1:6" x14ac:dyDescent="0.2">
      <c r="A151" s="17" t="inlineStr">
        <is>
          <t xml:space="preserve">Pulse duration</t>
        </is>
      </c>
      <c r="B151" s="18" t="inlineStr">
        <is>
          <t xml:space="preserve">t_on_CO2</t>
        </is>
      </c>
      <c r="C151" s="19" t="inlineStr">
        <is>
          <t xml:space="preserve">s</t>
        </is>
      </c>
      <c r="D151" s="48">
        <f>spg_dur</f>
        <v>0.7845130498249656</v>
      </c>
      <c r="E151" s="67" t="inlineStr">
        <is>
          <t xml:space="preserve">Sparge pulse on-time from the schedule.</t>
        </is>
      </c>
      <c r="F151" s="20"/>
    </row>
    <row r="152" spans="1:6" x14ac:dyDescent="0.2">
      <c r="A152" s="17" t="inlineStr">
        <is>
          <t xml:space="preserve">Gap duration</t>
        </is>
      </c>
      <c r="B152" s="18" t="inlineStr">
        <is>
          <t xml:space="preserve">t_off_CO2</t>
        </is>
      </c>
      <c r="C152" s="19" t="inlineStr">
        <is>
          <t xml:space="preserve">s</t>
        </is>
      </c>
      <c r="D152" s="48">
        <f>MAX(0,spg_int*60-spg_dur)</f>
        <v>10684.092817840014</v>
      </c>
      <c r="E152" s="67" t="inlineStr">
        <is>
          <t xml:space="preserve">Time between pulses, guard-floored at 0.</t>
        </is>
      </c>
      <c r="F152" s="20"/>
    </row>
    <row r="153" spans="1:6" x14ac:dyDescent="0.2">
      <c r="A153" s="17" t="inlineStr">
        <is>
          <t xml:space="preserve">On-phase surface decay</t>
        </is>
      </c>
      <c r="B153" s="18" t="inlineStr">
        <is>
          <t xml:space="preserve">eon_CO2</t>
        </is>
      </c>
      <c r="C153" s="19" t="inlineStr">
        <is>
          <t xml:space="preserve">-</t>
        </is>
      </c>
      <c r="D153" s="48">
        <f>EXP(-kLa_CO2_off*t_on_CO2)</f>
        <v>0.996091929408022</v>
      </c>
      <c r="E153" s="67" t="inlineStr">
        <is>
          <t xml:space="preserve">Surface-path liquid decay factor over the pulse.</t>
        </is>
      </c>
      <c r="F153" s="20"/>
    </row>
    <row r="154" spans="1:6" x14ac:dyDescent="0.2">
      <c r="A154" s="17" t="inlineStr">
        <is>
          <t xml:space="preserve">Off-phase surface decay</t>
        </is>
      </c>
      <c r="B154" s="18" t="inlineStr">
        <is>
          <t xml:space="preserve">e1_CO2</t>
        </is>
      </c>
      <c r="C154" s="19" t="inlineStr">
        <is>
          <t xml:space="preserve">-</t>
        </is>
      </c>
      <c r="D154" s="48">
        <f>EXP(-kLa_CO2_off*t_off_CO2)</f>
        <v>6.922007698981812E-24</v>
      </c>
      <c r="E154" s="67" t="inlineStr">
        <is>
          <t xml:space="preserve">Surface-path liquid decay factor over the gap.</t>
        </is>
      </c>
      <c r="F154" s="20"/>
    </row>
    <row r="155" spans="1:6" x14ac:dyDescent="0.2">
      <c r="A155" s="17" t="inlineStr">
        <is>
          <t xml:space="preserve">Off-phase vent decay</t>
        </is>
      </c>
      <c r="B155" s="18" t="inlineStr">
        <is>
          <t xml:space="preserve">e2_CO2</t>
        </is>
      </c>
      <c r="C155" s="19" t="inlineStr">
        <is>
          <t xml:space="preserve">-</t>
        </is>
      </c>
      <c r="D155" s="48">
        <f>EXP(-k_vent*t_off_CO2)</f>
        <v>1.5805963161657336E-15</v>
      </c>
      <c r="E155" s="67" t="inlineStr">
        <is>
          <t xml:space="preserve">Headspace vent decay factor over the gap.</t>
        </is>
      </c>
      <c r="F155" s="20"/>
    </row>
    <row r="156" spans="1:6" x14ac:dyDescent="0.2">
      <c r="A156" s="17" t="inlineStr">
        <is>
          <t xml:space="preserve">Two-compartment coupling coef</t>
        </is>
      </c>
      <c r="B156" s="18" t="inlineStr">
        <is>
          <t xml:space="preserve">coef_CO2</t>
        </is>
      </c>
      <c r="C156" s="19" t="inlineStr">
        <is>
          <t xml:space="preserve">mol/m³</t>
        </is>
      </c>
      <c r="D156" s="48">
        <f>(C_sat_CO2-C_air_CO2)*kLa_CO2_off/(kLa_CO2_off-k_vent)</f>
        <v>81.09620008021494</v>
      </c>
      <c r="E156" s="67" t="inlineStr">
        <is>
          <t xml:space="preserve">Coupling coefficient linking the venting headspace to the liquid relaxation.</t>
        </is>
      </c>
      <c r="F156" s="20"/>
    </row>
    <row r="157" spans="1:6" x14ac:dyDescent="0.2">
      <c r="A157" s="17" t="inlineStr">
        <is>
          <t xml:space="preserve">Cycle-start liquid CO₂</t>
        </is>
      </c>
      <c r="B157" s="18" t="inlineStr">
        <is>
          <t xml:space="preserve">Ca_CO2</t>
        </is>
      </c>
      <c r="C157" s="19" t="inlineStr">
        <is>
          <t xml:space="preserve">mol/m³</t>
        </is>
      </c>
      <c r="D157" s="48">
        <f>(e1_CO2*C_sat_CO2*(1-eon_CO2)+C_air_CO2*(1-e1_CO2)+coef_CO2*(e2_CO2-e1_CO2))/(1-e1_CO2*eon_CO2)</f>
        <v>1.155883664113746E-2</v>
      </c>
      <c r="E157" s="67" t="inlineStr">
        <is>
          <t xml:space="preserve">Closed-form limit-cycle dissolved CO₂ at the start of each pulse.</t>
        </is>
      </c>
      <c r="F157" s="20"/>
    </row>
    <row r="158" spans="1:6" x14ac:dyDescent="0.2">
      <c r="A158" s="17" t="inlineStr">
        <is>
          <t xml:space="preserve">End-of-pulse liquid CO₂</t>
        </is>
      </c>
      <c r="B158" s="18" t="inlineStr">
        <is>
          <t xml:space="preserve">Cb_CO2</t>
        </is>
      </c>
      <c r="C158" s="19" t="inlineStr">
        <is>
          <t xml:space="preserve">mol/m³</t>
        </is>
      </c>
      <c r="D158" s="48">
        <f>C_sat_CO2+(Ca_CO2-C_sat_CO2)*eon_CO2</f>
        <v>0.1259418851060765</v>
      </c>
      <c r="E158" s="67" t="inlineStr">
        <is>
          <t xml:space="preserve">Dissolved CO₂ at the end of the pulse (start of the gap).</t>
        </is>
      </c>
      <c r="F158" s="20"/>
    </row>
    <row r="159" spans="1:6" x14ac:dyDescent="0.2">
      <c r="A159" s="17" t="inlineStr">
        <is>
          <t xml:space="preserve">On-phase CO₂ integral</t>
        </is>
      </c>
      <c r="B159" s="18" t="inlineStr">
        <is>
          <t xml:space="preserve">CO2_int_on</t>
        </is>
      </c>
      <c r="C159" s="19" t="inlineStr">
        <is>
          <t xml:space="preserve">mol.s/m³</t>
        </is>
      </c>
      <c r="D159" s="48">
        <f>C_sat_CO2*t_on_CO2+(Ca_CO2-C_sat_CO2)/kLa_CO2_off*(1-eon_CO2)</f>
        <v>5.3964836756566825E-2</v>
      </c>
      <c r="E159" s="67" t="inlineStr">
        <is>
          <t xml:space="preserve">Time-integral of dissolved CO₂ over the pulse.</t>
        </is>
      </c>
      <c r="F159" s="20"/>
    </row>
    <row r="160" spans="1:6" x14ac:dyDescent="0.2">
      <c r="A160" s="17" t="inlineStr">
        <is>
          <t xml:space="preserve">Off-phase CO₂ integral</t>
        </is>
      </c>
      <c r="B160" s="18" t="inlineStr">
        <is>
          <t xml:space="preserve">CO2_int_off</t>
        </is>
      </c>
      <c r="C160" s="19" t="inlineStr">
        <is>
          <t xml:space="preserve">mol.s/m³</t>
        </is>
      </c>
      <c r="D160" s="48">
        <f>C_air_CO2*t_off_CO2+(Cb_CO2-C_air_CO2)/kLa_CO2_off*(1-e1_CO2)+coef_CO2*((1-e2_CO2)/k_vent-(1-e1_CO2)/kLa_CO2_off)</f>
        <v>9321.810394212807</v>
      </c>
      <c r="E160" s="67" t="inlineStr">
        <is>
          <t xml:space="preserve">Time-integral of dissolved CO₂ over the gap, including the venting-headspace term.</t>
        </is>
      </c>
      <c r="F160" s="20"/>
    </row>
    <row r="161" spans="1:6" x14ac:dyDescent="0.2">
      <c r="A161" s="17" t="inlineStr">
        <is>
          <t xml:space="preserve">Cycle-average CO₂</t>
        </is>
      </c>
      <c r="B161" s="18" t="inlineStr">
        <is>
          <t xml:space="preserve">CO2_cyc_avg</t>
        </is>
      </c>
      <c r="C161" s="19" t="inlineStr">
        <is>
          <t xml:space="preserve">mol/m³</t>
        </is>
      </c>
      <c r="D161" s="48">
        <f>(CO2_int_on+CO2_int_off)/(t_on_CO2+t_off_CO2)</f>
        <v>0.8724353186629646</v>
      </c>
      <c r="E161" s="67" t="inlineStr">
        <is>
          <t xml:space="preserve">Limit-cycle time-average dissolved CO₂ over one pulse+gap.</t>
        </is>
      </c>
      <c r="F161" s="20"/>
    </row>
    <row r="162" spans="1:6" x14ac:dyDescent="0.2">
      <c r="A162" s="17" t="inlineStr">
        <is>
          <t xml:space="preserve">Steady dissolved CO₂</t>
        </is>
      </c>
      <c r="B162" s="18" t="inlineStr">
        <is>
          <t xml:space="preserve">CO2aqc_ss</t>
        </is>
      </c>
      <c r="C162" s="19" t="inlineStr">
        <is>
          <t xml:space="preserve">mol/L</t>
        </is>
      </c>
      <c r="D162" s="48">
        <f>MIN(C_sat_CO2,MAX(C_air_CO2,CO2_cyc_avg))/1000</f>
        <v>8.724353186629647E-4</v>
      </c>
      <c r="E162" s="67" t="inlineStr">
        <is>
          <t xml:space="preserve">Bounded steady dissolved CO₂; the value Chemistry D5 is repointed to (two-compartment headspace model).</t>
        </is>
      </c>
      <c r="F162" s="20"/>
    </row>
    <row r="163" spans="1:6" x14ac:dyDescent="0.2">
      <c r="A163" s="17" t="inlineStr">
        <is>
          <t xml:space="preserve">Vent-path sanity check</t>
        </is>
      </c>
      <c r="B163" s="18" t="inlineStr">
        <is>
          <t xml:space="preserve">vent_floor_chk</t>
        </is>
      </c>
      <c r="C163" s="19" t="inlineStr">
        <is>
          <t xml:space="preserve">-</t>
        </is>
      </c>
      <c r="D163" s="48" t="str">
        <f>IF(tau_hs&gt;=tau_surf_floor,"vent is slow path - OK","WARNING: surface clears faster than vent - run2 cannot stay acidic")</f>
        <v>vent is slow path - OK</v>
      </c>
      <c r="E163" s="67" t="inlineStr">
        <is>
          <t xml:space="preserve">Confirms the vent is the rate-limiting path; if the surface cleared faster, run 2 could not stay acidic.</t>
        </is>
      </c>
      <c r="F163" s="20"/>
    </row>
    <row r="164" spans="1:6" x14ac:dyDescent="0.2">
      <c r="A164" s="17" t="inlineStr">
        <is>
          <t xml:space="preserve">Schedule validity</t>
        </is>
      </c>
      <c r="B164" s="18" t="inlineStr">
        <is>
          <t xml:space="preserve">sched_valid</t>
        </is>
      </c>
      <c r="C164" s="19" t="inlineStr">
        <is>
          <t xml:space="preserve">-</t>
        </is>
      </c>
      <c r="D164" s="48" t="str">
        <f>IF(spg_int*60&gt;=spg_dur,"OK","INVALID: interval &lt; pulse")</f>
        <v>OK</v>
      </c>
      <c r="E164" s="67" t="inlineStr">
        <is>
          <t xml:space="preserve">Surfaces an interval&lt;pulse misconfiguration.</t>
        </is>
      </c>
      <c r="F164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332</vt:i4>
      </vt:variant>
    </vt:vector>
  </HeadingPairs>
  <TitlesOfParts>
    <vt:vector size="33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Chemistry!A_anode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Chemistry!C_eff</vt:lpstr>
      <vt:lpstr>Biology!C_H2_sat</vt:lpstr>
      <vt:lpstr>'Mass Transfer'!cal_warning</vt:lpstr>
      <vt:lpstr>'Mass Transfer'!carbon_margin_min</vt:lpstr>
      <vt:lpstr>'Mass Transfer'!carry_flag</vt:lpstr>
      <vt:lpstr>Chemistry!Cl_kill</vt:lpstr>
      <vt:lpstr>Chemistry!Cl_mc02</vt:lpstr>
      <vt:lpstr>Chemistry!Cl_onset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Chemistry!f_local</vt:lpstr>
      <vt:lpstr>Chemistry!Fcc</vt:lpstr>
      <vt:lpstr>Chemistry!FE_CER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Chemistry!HOCl_ss</vt:lpstr>
      <vt:lpstr>Chemistry!HOCl_ss_mgL</vt:lpstr>
      <vt:lpstr>'Mass Transfer'!holdup</vt:lpstr>
      <vt:lpstr>'Mass Transfer'!hs_flush_time</vt:lpstr>
      <vt:lpstr>Electrochemistry!I_app</vt:lpstr>
      <vt:lpstr>Chemistry!I_Cl</vt:lpstr>
      <vt:lpstr>Chemistry!I_Cl_FE</vt:lpstr>
      <vt:lpstr>Chemistry!I_Cl_mt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Chemistry!k1_NH2Cl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Chemistry!km_Cl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Transfer'!n_pores_active</vt:lpstr>
      <vt:lpstr>'Mass Transfer'!nCO2_rate</vt:lpstr>
      <vt:lpstr>Chemistry!NH2Cl_mgL</vt:lpstr>
      <vt:lpstr>Chemistry!NH3_free</vt:lpstr>
      <vt:lpstr>Chemistry!NH3_N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Chemistry!P_HOCl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Chemistry!pKa_NH4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Chemistry!R_chloramine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Chemistry!tau_NH2Cl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2026-06-26T16:00:02Z</dcterms:modified>
  <dc:language>en-US</dc:language>
</cp:coreProperties>
</file>