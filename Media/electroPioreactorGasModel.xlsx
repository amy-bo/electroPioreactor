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Calibrations!$D$176</definedName>
    <definedName name="cal_tau_NH2Cl">Calibrations!$D$189</definedName>
    <definedName name="n_e_fcn" localSheetId="7">Calibrations!$D$192</definedName>
    <definedName name="km_T_tol" localSheetId="7">Calibrations!$D$193</definedName>
    <definedName name="stir_rpm_set" localSheetId="7">Calibrations!$D$194</definedName>
    <definedName name="temp_C" localSheetId="7">Calibrations!$D$195</definedName>
    <definedName name="media_sel" localSheetId="7">Calibrations!$D$196</definedName>
    <definedName name="electrode_sel" localSheetId="7">Calibrations!$D$197</definedName>
    <definedName name="D_O2" localSheetId="7">Calibrations!$D$198</definedName>
    <definedName name="km_exp" localSheetId="7">Calibrations!$D$199</definedName>
    <definedName name="M_Cl2" localSheetId="7">Calibrations!$D$200</definedName>
    <definedName name="km_O2_default" localSheetId="2">Electrochemistry!$D$165</definedName>
    <definedName name="tau_NH2Cl_default" localSheetId="3">Chemistry!$D$314</definedName>
    <definedName name="P_Cl_max" localSheetId="3">Chemistry!$D$315</definedName>
    <definedName name="NaHCO3_add_gL" localSheetId="0">Summary!$D$133</definedName>
    <definedName name="NaHCO3_add_gL" localSheetId="3">Chemistry!$D$317</definedName>
    <definedName name="alk_add_M" localSheetId="3">Chemistry!$D$318</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<sst xmlns="http://schemas.openxmlformats.org/spreadsheetml/2006/main" count="3953" uniqueCount="2838">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</sst>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111">
        <f>IF(NOT(ISNUMBER(res_spg_dur)),res_spg_dur,'Mass Transfer'!spg_dur)</f>
        <v>0.65</v>
      </c>
      <c r="E14" s="21"/>
      <c r="F14" s="57" t="inlineStr">
        <is>
          <t xml:space="preserve">Pulse actually evaluated by every operating check below. Summary override wins, then Manual mode, otherwise the optimum rounded to the pulse resolution.</t>
        </is>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7.398866407059</v>
      </c>
      <c r="E15" s="24" t="str">
        <f>HYPERLINK("#'Mass Transfer'!D91","→ Mass")</f>
        <v>→ Mass</v>
      </c>
      <c r="F15" s="22" t="s">
        <v>1714</v>
      </c>
      <c r="G15" s="136"/>
    </row>
    <row r="16" spans="1:7" x14ac:dyDescent="0.2">
      <c r="A16" s="25" t="s">
        <v>1715</v>
      </c>
      <c r="B16" s="19" t="s">
        <v>1716</v>
      </c>
      <c r="C16" s="21" t="s">
        <v>61</v>
      </c>
      <c r="D16" s="111">
        <f>IF(NOT(ISNUMBER(res_spg_int)),res_spg_int,'Mass Transfer'!spg_int)</f>
        <v>7.17</v>
      </c>
      <c r="E16" s="67"/>
      <c r="F16" s="22" t="inlineStr">
        <is>
          <t xml:space="preserve">Interval actually evaluated below, in decimal minutes. Default converts the commanded pulse to the ideal delivery duty and rounds down to 0.01 min; overrides and Manual mode are evaluated directly.</t>
        </is>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2.4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≈14 mg/L, above the 10.1 mg/L inhibition ceiling (peaks higher)</v>
      </c>
      <c r="E23" s="24" t="str">
        <f>HYPERLINK("#'Mass Transfer'!D113","→ Mass")</f>
        <v>→ Mass</v>
      </c>
      <c r="F23" s="22" t="s">
        <v>1727</v>
      </c>
    </row>
    <row r="24" spans="1:6" x14ac:dyDescent="0.2">
      <c r="A24" s="64" t="s">
        <v>1728</v>
      </c>
      <c r="B24" s="19" t="s">
        <v>1729</v>
      </c>
      <c r="C24" s="21"/>
      <c r="D24" s="70" t="str">
        <f>Biology!$D$44</f>
        <v>POTENTIAL FLAMMABILITY (lag screen): H₂ 9% mean, 15% before each pulse; O₂ 5% mean, 8% before each pulse – until uptake starts, sparge every ≤2.3 min or sweep ≥1.0 mL/min N₂; vent to a hood; no ignition sources</v>
      </c>
      <c r="E24" s="24" t="str">
        <f>HYPERLINK("#Biology!D44","→ Biology")</f>
        <v>→ Biology</v>
      </c>
      <c r="F24" s="22" t="inlineStr">
        <is>
          <t xml:space="preserve">Nominal lag-phase hazard screen, not safety certification. Predictions depend on unmeasured vent/transfer behaviour; validate mixture-specific limits, sampling and gas clearance before operation.</t>
        </is>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×50.0 OK delivered; ×2.5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6.487611781829</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7" spans="1:6" ht="16" thickBot="1" x14ac:dyDescent="0.25">
      <c r="A37" s="77" t="s">
        <v>82</v>
      </c>
      <c r="B37" s="21"/>
      <c r="C37" s="21"/>
      <c r="D37" s="21"/>
      <c r="E37" s="21"/>
      <c r="F37" s="22"/>
    </row>
    <row r="38" spans="1:6" x14ac:dyDescent="0.2">
      <c r="A38" s="64" t="s">
        <v>1749</v>
      </c>
      <c r="B38" s="19" t="s">
        <v>1750</v>
      </c>
      <c r="C38" s="21" t="s">
        <v>83</v>
      </c>
      <c r="D38" s="65">
        <f>'Mass Transfer'!$D$108</f>
        <v>2.270165488391</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508.83519620388</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154"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6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t="e">
        <f>Chemistry!$D$209</f>
        <v>#N/A</v>
      </c>
      <c r="E87" s="24" t="str">
        <f>HYPERLINK("#Chemistry!D209","→ Chemistry")</f>
        <v>→ Chemistry</v>
      </c>
      <c r="F87" t="s">
        <v>1781</v>
      </c>
    </row>
    <row r="88" spans="1:6" x14ac:dyDescent="0.2">
      <c r="A88" t="s">
        <v>1449</v>
      </c>
      <c r="B88" s="19" t="s">
        <v>1782</v>
      </c>
      <c r="C88" s="20" t="s">
        <v>1445</v>
      </c>
      <c r="D88" s="23">
        <f>Chemistry!$D$211</f>
        <v>1.248889512283</v>
      </c>
      <c r="E88" s="24" t="str">
        <f>HYPERLINK("#Chemistry!D211","→ Chemistry")</f>
        <v>→ Chemistry</v>
      </c>
      <c r="F88" t="s">
        <v>1783</v>
      </c>
    </row>
    <row r="89" spans="1:6" x14ac:dyDescent="0.2">
      <c r="A89" t="s">
        <v>1468</v>
      </c>
      <c r="B89" s="19" t="s">
        <v>1784</v>
      </c>
      <c r="C89" s="20" t="s">
        <v>1140</v>
      </c>
      <c r="D89" s="23">
        <f>Chemistry!$D$220</f>
        <v>6.487611781829</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1.000358015991</v>
      </c>
      <c r="E95" s="24" t="str">
        <f>HYPERLINK("#'Mass Transfer'!D93","→ Mass")</f>
        <v>→ Mass</v>
      </c>
      <c r="F95" s="22" t="s">
        <v>1789</v>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2.270165488391</v>
      </c>
      <c r="E114" s="24" t="str">
        <f>HYPERLINK("#'Mass Transfer'!D343","→ Mass Transfer")</f>
        <v>→ Mass Transfer</v>
      </c>
      <c r="F114" s="22" t="s">
        <v>1802</v>
      </c>
    </row>
    <row r="115" spans="1:6" x14ac:dyDescent="0.2">
      <c r="A115" s="64" t="s">
        <v>1803</v>
      </c>
      <c r="C115" s="21" t="s">
        <v>83</v>
      </c>
      <c r="D115" s="65">
        <f>'Mass Transfer'!$D$344</f>
        <v>2.447092253397</v>
      </c>
      <c r="E115" s="24" t="str">
        <f>HYPERLINK("#'Mass Transfer'!D344","→ Mass Transfer")</f>
        <v>→ Mass Transfer</v>
      </c>
      <c r="F115" s="22" t="s">
        <v>1804</v>
      </c>
    </row>
    <row r="116" spans="1:6" x14ac:dyDescent="0.2">
      <c r="A116" s="64" t="s">
        <v>1805</v>
      </c>
      <c r="C116" s="21" t="s">
        <v>83</v>
      </c>
      <c r="D116" s="65">
        <f>'Mass Transfer'!$D$364</f>
        <v>5.594849867262</v>
      </c>
      <c r="E116" s="24" t="str">
        <f>HYPERLINK("#'Mass Transfer'!D364","→ Mass Transfer")</f>
        <v>→ Mass Transfer</v>
      </c>
      <c r="F116" s="22" t="s">
        <v>1806</v>
      </c>
    </row>
    <row r="117" spans="1:6" x14ac:dyDescent="0.2">
      <c r="A117" s="64" t="s">
        <v>1807</v>
      </c>
      <c r="C117" s="21" t="s">
        <v>83</v>
      </c>
      <c r="D117" s="65">
        <f>'Mass Transfer'!$D$365</f>
        <v>5.953949768528</v>
      </c>
      <c r="E117" s="24" t="str">
        <f>HYPERLINK("#'Mass Transfer'!D365","→ Mass Transfer")</f>
        <v>→ Mass Transfer</v>
      </c>
      <c r="F117" s="22" t="s">
        <v>1808</v>
      </c>
    </row>
    <row r="118" spans="1:6" x14ac:dyDescent="0.2">
      <c r="A118" s="64" t="s">
        <v>1809</v>
      </c>
      <c r="D118" s="65" t="str">
        <f>'Mass Transfer'!$D$348</f>
        <v>peak 2.4 mg/L under the 10.1 mg/L ceiling</v>
      </c>
      <c r="E118" s="24" t="str">
        <f>HYPERLINK("#'Mass Transfer'!D348","→ Mass Transfer")</f>
        <v>→ Mass Transfer</v>
      </c>
      <c r="F118" s="22" t="s">
        <v>1810</v>
      </c>
    </row>
    <row r="119" spans="1:6" x14ac:dyDescent="0.2">
      <c r="A119" s="64" t="s">
        <v>1811</v>
      </c>
      <c r="D119" s="65" t="str">
        <f>'Mass Transfer'!$D$369</f>
        <v>peak 6.0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0.61× (raise kL_surf, lower the current, or accept a higher DO)</v>
      </c>
      <c r="E121" s="24" t="str">
        <f>HYPERLINK("#'Mass Transfer'!D368","→ Mass Transfer")</f>
        <v>→ Mass Transfer</v>
      </c>
      <c r="F121"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44.975226114474</v>
      </c>
      <c r="E123" s="24" t="str">
        <f>HYPERLINK("#'Mass Transfer'!D366","→ Mass Transfer")</f>
        <v>→ Mass Transfer</v>
      </c>
      <c r="F123" s="22" t="s">
        <v>1817</v>
      </c>
    </row>
    <row r="124" spans="1:6" x14ac:dyDescent="0.2">
      <c r="A124" s="64" t="s">
        <v>1819</v>
      </c>
      <c r="C124" s="21" t="s">
        <v>111</v>
      </c>
      <c r="D124" s="65">
        <f>'Mass Transfer'!$D$329</f>
        <v>0.027569266375</v>
      </c>
      <c r="E124" s="24" t="str">
        <f>HYPERLINK("#'Mass Transfer'!D329","→ Mass Transfer")</f>
        <v>→ Mass Transfer</v>
      </c>
      <c r="F124" s="22" t="s">
        <v>1820</v>
      </c>
    </row>
    <row r="125" spans="1:6" x14ac:dyDescent="0.2">
      <c r="A125" s="64" t="s">
        <v>1821</v>
      </c>
      <c r="C125" s="21" t="s">
        <v>111</v>
      </c>
      <c r="D125" s="65">
        <f>'Mass Transfer'!$D$351</f>
        <v>0.053815126441</v>
      </c>
      <c r="E125" s="24" t="str">
        <f>HYPERLINK("#'Mass Transfer'!D351","→ Mass Transfer")</f>
        <v>→ Mass Transfer</v>
      </c>
      <c r="F125" s="22" t="s">
        <v>1822</v>
      </c>
    </row>
    <row r="126" spans="1:6" x14ac:dyDescent="0.2">
      <c r="A126" s="64" t="s">
        <v>1823</v>
      </c>
      <c r="C126" s="21" t="s">
        <v>111</v>
      </c>
      <c r="D126" s="65">
        <f>'Mass Transfer'!$D$352</f>
        <v>0.093689942909</v>
      </c>
      <c r="E126" s="24" t="str">
        <f>HYPERLINK("#'Mass Transfer'!D352","→ Mass Transfer")</f>
        <v>→ Mass Transfer</v>
      </c>
      <c r="F126" s="22" t="s">
        <v>1824</v>
      </c>
    </row>
    <row r="127" spans="1:6" x14ac:dyDescent="0.2">
      <c r="A127" s="64" t="s">
        <v>1825</v>
      </c>
      <c r="C127" s="21" t="s">
        <v>111</v>
      </c>
      <c r="D127" s="65">
        <f>'Mass Transfer'!$D$381</f>
        <v>0.940238937993</v>
      </c>
      <c r="E127" s="24" t="str">
        <f>HYPERLINK("#'Mass Transfer'!D381","→ Mass Transfer")</f>
        <v>→ Mass Transfer</v>
      </c>
      <c r="F127" s="22" t="s">
        <v>1826</v>
      </c>
    </row>
    <row r="128" spans="1:6" x14ac:dyDescent="0.2">
      <c r="A128" s="64" t="s">
        <v>1827</v>
      </c>
      <c r="D128" s="111" t="str">
        <f>IF(ISNA('Mass Transfer'!F_vent_ex+'Mass Transfer'!O2_src_sched),"#N/A – check the selectors in D111/D112",IF(NOT(ISNUMBER('Mass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128" s="24" t="str">
        <f>HYPERLINK("#Chemistry!D220","→ Chemistry")</f>
        <v>→ Chemistry</v>
      </c>
      <c r="F128" s="22" t="s">
        <v>1828</v>
      </c>
    </row>
    <row r="129" spans="1:6" x14ac:dyDescent="0.2">
      <c r="A129" s="64" t="s">
        <v>1829</v>
      </c>
      <c r="C129" s="21" t="s">
        <v>111</v>
      </c>
      <c r="D129" s="65">
        <f>'Mass Transfer'!$D$389</f>
        <v>0.050856361228</v>
      </c>
      <c r="E129" s="24" t="str">
        <f>HYPERLINK("#'Mass Transfer'!D389","→ Mass Transfer")</f>
        <v>→ Mass Transfer</v>
      </c>
      <c r="F129" s="22" t="s">
        <v>1830</v>
      </c>
    </row>
    <row r="130" spans="1:6" x14ac:dyDescent="0.2">
      <c r="A130" s="64" t="s">
        <v>1831</v>
      </c>
      <c r="D130" s="65" t="str">
        <f>'Mass Transfer'!$D$391</f>
        <v>UNVERIFIED pressure closure: air ingress is assumed; measure vent make-up flow</v>
      </c>
      <c r="E130" s="24" t="str">
        <f>HYPERLINK("#'Mass Transfer'!D391","→ Mass Transfer")</f>
        <v>→ Mass Transfer</v>
      </c>
      <c r="F130" s="22" t="s">
        <v>1832</v>
      </c>
    </row>
    <row r="131" spans="1:6" x14ac:dyDescent="0.2">
      <c r="A131" s="64" t="inlineStr">
        <is>
          <t xml:space="preserve">NaHCO₃ still needed to lift pH to the target (first-order)</t>
        </is>
      </c>
      <c r="C131" s="21" t="s">
        <v>2692</v>
      </c>
      <c r="D131" s="65">
        <f>Chemistry!$D$308</f>
        <v>0.124226377682</v>
      </c>
      <c r="E131" s="24" t="str">
        <f>HYPERLINK("#Chemistry!D306","→ Chemistry")</f>
        <v>→ Chemistry</v>
      </c>
      <c r="F131" s="22" t="inlineStr">
        <is>
          <t xml:space="preserve">Alkalinity still needed, on top of the recipe and any NaHCO₃ in D133, for a probe pH of Chemistry D303 (the 6.5 band floor by default) at today’s dissolved CO₂. Enter it in D133 to see the coupled result; re-read, as CO₂ storage moves with it.</t>
        </is>
      </c>
    </row>
    <row r="132" spans="1:6" x14ac:dyDescent="0.2">
      <c r="A132" s="64" t="s">
        <v>2694</v>
      </c>
      <c r="C132" s="21" t="s">
        <v>2695</v>
      </c>
      <c r="D132" s="65">
        <f>Chemistry!$D$306*1000</f>
        <v>1.47876221841</v>
      </c>
      <c r="E132" s="24" t="str">
        <f>HYPERLINK("#Chemistry!D306","→ Chemistry")</f>
        <v>→ Chemistry</v>
      </c>
      <c r="F132" s="22" t="s">
        <v>2696</v>
      </c>
    </row>
    <row r="133">
      <c r="A133" s="21" t="inlineStr">
        <is>
          <t xml:space="preserve">Added NaHCO₃ (on top of the recipe)</t>
        </is>
      </c>
      <c r="B133" s="19" t="inlineStr">
        <is>
          <t xml:space="preserve">NaHCO3_add_gL</t>
        </is>
      </c>
      <c r="C133" s="21" t="inlineStr">
        <is>
          <t xml:space="preserve">g/L</t>
        </is>
      </c>
      <c r="D133" s="135"/>
      <c r="E133" s="21" t="inlineStr">
        <is>
          <t xml:space="preserve">input/blank</t>
        </is>
      </c>
      <c r="F133" s="22" t="inlineStr">
        <is>
          <t xml:space="preserve">NaHCO₃ added to the medium; blank = none. It feeds the charge balance, ionic strength, conductivity and CO₂ storage (Chemistry D44, D185, D180, D296), so pH, DO and the schedule respond. Row 131 then shows what is still needed. After a large addition (pH up by more than 0.1) re-enter the DIC reference pH, Chemistry D291 (D310 says when).</t>
        </is>
      </c>
    </row>
    <row r="135" spans="1:6" x14ac:dyDescent="0.2">
      <c r="A135" s="64" t="s">
        <v>1833</v>
      </c>
      <c r="B135" s="19" t="s">
        <v>1834</v>
      </c>
      <c r="C135" s="21" t="s">
        <v>87</v>
      </c>
      <c r="D135" s="65">
        <f>'Mass Transfer'!$D$417</f>
        <v>2.501832900863</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inlineStr">
        <is>
          <t xml:space="preserve">Settles the monochloramine lifetime (Chemistry D142, entered in the Calibrations monochloramine section), which moves the UdG interval by about ±32 %. Also confirm the CaCl₂ hydrate state (−24 % on every chlorine figure).</t>
        </is>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s">
        <v>2711</v>
      </c>
      <c r="B153" s="21" t="s">
        <v>922</v>
      </c>
      <c r="C153" s="21" t="s">
        <v>932</v>
      </c>
      <c r="F153" s="22" t="s">
        <v>2712</v>
      </c>
    </row>
    <row r="154" spans="1:6" x14ac:dyDescent="0.2">
      <c r="A154" s="21" t="inlineStr">
        <is>
          <t xml:space="preserve">Model: nitrate or urea instead of NH₄⁺</t>
        </is>
      </c>
      <c r="B154" s="21" t="inlineStr">
        <is>
          <t xml:space="preserve">MED</t>
        </is>
      </c>
      <c r="C154" s="21" t="inlineStr">
        <is>
          <t xml:space="preserve">med</t>
        </is>
      </c>
      <c r="F154" s="22" t="inlineStr">
        <is>
          <t xml:space="preserve">Ammonium uptake releases acid as the culture grows; the model holds NH₄⁺ at its recipe value. Needs the owner’s choice of nitrogen source and an uptake rate before it can enter the charge balance.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s">
        <v>2717</v>
      </c>
      <c r="B156" s="21" t="s">
        <v>931</v>
      </c>
      <c r="C156" s="21" t="s">
        <v>923</v>
      </c>
      <c r="F156" s="22" t="s">
        <v>2718</v>
      </c>
    </row>
    <row r="157" spans="1:6" x14ac:dyDescent="0.2">
      <c r="A157" s="21" t="inlineStr">
        <is>
          <t xml:space="preserve">Measure: no-carryover maximum flow</t>
        </is>
      </c>
      <c r="B157" s="21" t="inlineStr">
        <is>
          <t xml:space="preserve">LOW</t>
        </is>
      </c>
      <c r="C157" s="21" t="inlineStr">
        <is>
          <t xml:space="preserve">low</t>
        </is>
      </c>
      <c r="D157" s="33" t="str">
        <f>HYPERLINK("https://github.com/amy-bo/electroPioreactor/blob/AEP02/Media/protocols/flow-calibration.md","flow-calibration.md →")</f>
        <v>flow-calibration.md →</v>
      </c>
      <c r="F157" s="22" t="inlineStr">
        <is>
          <t xml:space="preserve">Record the highest flow without liquid carryover for each reactor in CO2 flows column M; D29 reads "not measured" until then.</t>
        </is>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2">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 type="decimal" allowBlank="1" showErrorMessage="1" errorTitle="Invalid value" error="Added NaHCO₃ in g/L (0–10), or leave blank for none." sqref="D13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18"/>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inlineStr">
        <is>
          <t xml:space="preserve">Extra alkalinity still needed for the target pH</t>
        </is>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inlineStr">
        <is>
          <t xml:space="preserve">First-order, on top of any NaHCO₃ already entered (Summary D133,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9.828782391025813e-07</v>
      </c>
      <c r="E315" s="57" t="inlineStr">
        <is>
          <t xml:space="preserve">The production ceiling P in the chloramine steady state (the second term of D311): the CER-efficiency-limited current as mol/L/s. Read with D271 and D47 to turn a DPD plateau into a lifetime (Calibrations rows 181–188).</t>
        </is>
      </c>
    </row>
    <row r="316">
      <c r="A316" s="6" t="inlineStr">
        <is>
          <t xml:space="preserve">ADDED ALKALINITY (Summary D133)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Summary!$D$133</f>
        <v>0.0</v>
      </c>
      <c r="E317" s="51" t="inlineStr">
        <is>
          <t xml:space="preserve">Import from Summary!D133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H2_src_l_b/(n_flamm_src+CO2_supply_b+F_vent_ex_b)</f>
        <v>0.093689942909</v>
      </c>
      <c r="E84" s="53" t="s">
        <v>2154</v>
      </c>
    </row>
    <row r="85" spans="1:5" ht="24" x14ac:dyDescent="0.2">
      <c r="A85" s="18" t="s">
        <v>2155</v>
      </c>
      <c r="B85" s="19" t="s">
        <v>2156</v>
      </c>
      <c r="C85" s="20" t="s">
        <v>111</v>
      </c>
      <c r="D85" s="41">
        <f>(O2_src_l_b+y_O2_air_b*F_vent_ex_b)/(n_flamm_src+CO2_supply_b+F_vent_ex_b)</f>
        <v>0.053815126441</v>
      </c>
      <c r="E85" s="53" t="s">
        <v>2157</v>
      </c>
    </row>
    <row r="86" spans="1:5" ht="36" x14ac:dyDescent="0.2">
      <c r="A86" s="18" t="s">
        <v>2158</v>
      </c>
      <c r="B86" s="19" t="s">
        <v>2159</v>
      </c>
      <c r="C86" s="20" t="s">
        <v>111</v>
      </c>
      <c r="D86" s="41">
        <f>MAX(0,MIN(H2_src_l_b/H2_LFL-n_flamm_src-F_vent_ex_b,(O2_src_l_b+y_O2_air_b*F_vent_ex_b)/(O2_LOC_H2*LOC_margin)-n_flamm_src-F_vent_ex_b))/CO2_rate_full_b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20"/>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IF(ISNA(F_vent_ex+O2_src_sched),NA(),IF(ISNUMBER(spg_int_DO),MIN(spg_int_carbon,spg_int_DO),MIN(spg_int_carbon,spg_int_max)))</f>
        <v>7.398866407059</v>
      </c>
      <c r="E91" s="129" t="s">
        <v>2243</v>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IF(ISNUMBER(y_O2_star),MAX(0,((O2_src_sched+y_O2_air*F_vent_ex)*saw_factor/y_O2_star-F_vent_ex-O2_src_sched-H2_src_sched+CO2_fix_sched)/CO2_rate_full),NA())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IF(F_vent_ex+CO2_rate_full*duty_carbon+O2_src_sched+H2_src_sched-CO2_fix_sched&gt;0,DO_surf_excess+H_O2_T*P_dry*MIN(1,saw_factor*(O2_src_sched+y_O2_air*F_vent_ex)/(F_vent_ex+CO2_rate_full*duty_carbon+O2_src_sched+H2_src_sched-CO2_fix_sched)),DO_surf_excess+H_O2_T*P_dry)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IF(F_vent_ex+F_hs_net_g&gt;0,S_O2_g/(F_vent_ex+F_hs_net_g),NA())</f>
        <v>0.027569266375</v>
      </c>
      <c r="E329" s="51" t="s">
        <v>2406</v>
      </c>
    </row>
    <row r="330" spans="1:5" x14ac:dyDescent="0.2">
      <c r="A330" s="18" t="s">
        <v>2407</v>
      </c>
      <c r="B330" s="19" t="s">
        <v>2408</v>
      </c>
      <c r="C330" s="20" t="s">
        <v>111</v>
      </c>
      <c r="D330" s="41">
        <f>IF(F_vent_ex+F_hs_net_g&gt;0,H2_src_g/(F_vent_ex+F_hs_net_g),NA())</f>
        <v>0.0</v>
      </c>
      <c r="E330" s="51" t="s">
        <v>2409</v>
      </c>
    </row>
    <row r="331" spans="1:5" ht="36" x14ac:dyDescent="0.2">
      <c r="A331" s="18" t="s">
        <v>2410</v>
      </c>
      <c r="B331" s="19" t="s">
        <v>2411</v>
      </c>
      <c r="C331" s="20" t="s">
        <v>307</v>
      </c>
      <c r="D331" s="41">
        <f>F_vent_ex+MAX(0,O2_src_g+H2_src_g-CO2_fix_g)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IF(F_vent_ex+F_hs_net_l&gt;0,S_O2_l/(F_vent_ex+F_hs_net_l),NA())</f>
        <v>0.053815126441</v>
      </c>
      <c r="E351" s="51" t="s">
        <v>2406</v>
      </c>
    </row>
    <row r="352" spans="1:5" x14ac:dyDescent="0.2">
      <c r="A352" s="18" t="s">
        <v>2468</v>
      </c>
      <c r="B352" s="19" t="s">
        <v>2469</v>
      </c>
      <c r="C352" s="20" t="s">
        <v>111</v>
      </c>
      <c r="D352" s="41">
        <f>IF(F_vent_ex+F_hs_net_l&gt;0,H2_src_l/(F_vent_ex+F_hs_net_l),NA())</f>
        <v>0.093689942909</v>
      </c>
      <c r="E352" s="51" t="s">
        <v>2409</v>
      </c>
    </row>
    <row r="353" spans="1:5" ht="36" x14ac:dyDescent="0.2">
      <c r="A353" s="18" t="s">
        <v>2470</v>
      </c>
      <c r="B353" s="19" t="s">
        <v>2471</v>
      </c>
      <c r="C353" s="20" t="s">
        <v>307</v>
      </c>
      <c r="D353" s="41">
        <f>F_vent_ex+MAX(0,O2_src_l+H2_src_l-CO2_fix_l)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IF(F_vent_ex+CO2_supply+O2_src_sched+H2_src_sched-CO2_fix_sched&gt;0,(CO2_supply-CO2_fix_sched+pCO2_air/P_dry*F_vent_ex)/(F_vent_ex+CO2_supply+O2_src_sched+H2_src_sched-CO2_fix_sched),NA())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IF(F_vent_ex&gt;0,"UNVERIFIED pressure closure: air ingress is assumed; measure vent make-up flow",IF(hs_sag&gt;hs_sag_max,"HEADSPACE SAGS "&amp;TEXT(hs_sag,"0%")&amp;" below 1 atm each cycle – a real cap will draw air back: use Open vent or Air exchange","OK – sag "&amp;TEXT(hs_sag,"0%")&amp;"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0"/>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row r="165">
      <c r="A165" s="98" t="str">
        <f>HYPERLINK("https://github.com/amy-bo/electroPioreactor/blob/AEP02/Media/protocols/electrode-mass-transfer.md","ELECTRODE MASS TRANSFER  (ferricyanide limiting current)")</f>
        <v>ELECTRODE MASS TRANSFER  (ferricyanide limiting current)</v>
      </c>
    </row>
    <row r="166">
      <c r="A166" s="72" t="inlineStr">
        <is>
          <t xml:space="preserve">Value in use: average O₂-scaled k_m of the included runs for the active reactor and electrode, at the Summary stirrer rate and within the temperature tolerance (D193) of the Summary temperature; other runs are kept but not used. One k_m serves both electrodes in the model. Feeds Electrochemistry km_O2 (D83).</t>
        </is>
      </c>
    </row>
    <row r="167">
      <c r="A167" s="99" t="inlineStr">
        <is>
          <t xml:space="preserve">Researcher</t>
        </is>
      </c>
      <c r="B167" s="99" t="inlineStr">
        <is>
          <t xml:space="preserve">Date</t>
        </is>
      </c>
      <c r="C167" s="99" t="inlineStr">
        <is>
          <t xml:space="preserve">Reactor</t>
        </is>
      </c>
      <c r="D167" s="99" t="inlineStr">
        <is>
          <t xml:space="preserve">Electrode (Summary D3 list)</t>
        </is>
      </c>
      <c r="E167" s="99" t="inlineStr">
        <is>
          <t xml:space="preserve">Stir rate (rpm)</t>
        </is>
      </c>
      <c r="F167" s="99" t="inlineStr">
        <is>
          <t xml:space="preserve">Temp (°C)</t>
        </is>
      </c>
      <c r="G167" s="99" t="inlineStr">
        <is>
          <t xml:space="preserve">Limiting current (mA)</t>
        </is>
      </c>
      <c r="H167" s="99" t="inlineStr">
        <is>
          <t xml:space="preserve">Electrode area (cm²)</t>
        </is>
      </c>
      <c r="I167" s="99" t="inlineStr">
        <is>
          <t xml:space="preserve">Ferricyanide (mM)</t>
        </is>
      </c>
      <c r="J167" s="99" t="inlineStr">
        <is>
          <t xml:space="preserve">D ferricyanide (m²/s)</t>
        </is>
      </c>
      <c r="K167" s="99" t="inlineStr">
        <is>
          <t xml:space="preserve">k_m ferricyanide (computed, cm/s)</t>
        </is>
      </c>
      <c r="L167" s="99" t="inlineStr">
        <is>
          <t xml:space="preserve">k_m O₂ (computed, cm/s)</t>
        </is>
      </c>
      <c r="M167" s="99" t="inlineStr">
        <is>
          <t xml:space="preserve">Type (auto)</t>
        </is>
      </c>
      <c r="N167" s="99" t="inlineStr">
        <is>
          <t xml:space="preserve">Include?</t>
        </is>
      </c>
      <c r="O167" s="99" t="inlineStr">
        <is>
          <t xml:space="preserve">Notes</t>
        </is>
      </c>
    </row>
    <row r="168">
      <c r="A168" s="93"/>
      <c r="B168" s="94"/>
      <c r="C168" s="93"/>
      <c r="D168" s="93"/>
      <c r="E168" s="94"/>
      <c r="F168" s="94"/>
      <c r="G168" s="94"/>
      <c r="H168" s="94"/>
      <c r="I168" s="94"/>
      <c r="J168" s="94"/>
      <c r="K168" s="100" t="str">
        <f>IF(OR(G168="",H168="",I168=""),"",IFERROR((G168/1000)/(n_e_fcn*F_const*(H168/10000)*I168)*100,""))</f>
        <v/>
      </c>
      <c r="L168" s="100" t="str">
        <f>IF(OR(K168="",J168=""),"",IFERROR(K168*(D_O2/J168)^km_exp,""))</f>
        <v/>
      </c>
      <c r="M168" s="100" t="str">
        <f>IFERROR(INDEX(ReactorTypeList,MATCH(C168,ReactorList,0)),"")</f>
        <v/>
      </c>
      <c r="N168" s="93"/>
      <c r="O168" s="93"/>
    </row>
    <row r="169">
      <c r="A169" s="93"/>
      <c r="B169" s="94"/>
      <c r="C169" s="93"/>
      <c r="D169" s="93"/>
      <c r="E169" s="94"/>
      <c r="F169" s="94"/>
      <c r="G169" s="94"/>
      <c r="H169" s="94"/>
      <c r="I169" s="94"/>
      <c r="J169" s="94"/>
      <c r="K169" s="100" t="str">
        <f>IF(OR(G169="",H169="",I169=""),"",IFERROR((G169/1000)/(n_e_fcn*F_const*(H169/10000)*I169)*100,""))</f>
        <v/>
      </c>
      <c r="L169" s="100" t="str">
        <f>IF(OR(K169="",J169=""),"",IFERROR(K169*(D_O2/J169)^km_exp,""))</f>
        <v/>
      </c>
      <c r="M169" s="100" t="str">
        <f>IFERROR(INDEX(ReactorTypeList,MATCH(C169,ReactorList,0)),"")</f>
        <v/>
      </c>
      <c r="N169" s="93"/>
      <c r="O169" s="93"/>
    </row>
    <row r="170">
      <c r="A170" s="93"/>
      <c r="B170" s="94"/>
      <c r="C170" s="93"/>
      <c r="D170" s="93"/>
      <c r="E170" s="94"/>
      <c r="F170" s="94"/>
      <c r="G170" s="94"/>
      <c r="H170" s="94"/>
      <c r="I170" s="94"/>
      <c r="J170" s="94"/>
      <c r="K170" s="100" t="str">
        <f>IF(OR(G170="",H170="",I170=""),"",IFERROR((G170/1000)/(n_e_fcn*F_const*(H170/10000)*I170)*100,""))</f>
        <v/>
      </c>
      <c r="L170" s="100" t="str">
        <f>IF(OR(K170="",J170=""),"",IFERROR(K170*(D_O2/J170)^km_exp,""))</f>
        <v/>
      </c>
      <c r="M170" s="100" t="str">
        <f>IFERROR(INDEX(ReactorTypeList,MATCH(C170,ReactorList,0)),"")</f>
        <v/>
      </c>
      <c r="N170" s="93"/>
      <c r="O170" s="93"/>
    </row>
    <row r="171">
      <c r="A171" s="93"/>
      <c r="B171" s="94"/>
      <c r="C171" s="93"/>
      <c r="D171" s="93"/>
      <c r="E171" s="94"/>
      <c r="F171" s="94"/>
      <c r="G171" s="94"/>
      <c r="H171" s="94"/>
      <c r="I171" s="94"/>
      <c r="J171" s="94"/>
      <c r="K171" s="100" t="str">
        <f>IF(OR(G171="",H171="",I171=""),"",IFERROR((G171/1000)/(n_e_fcn*F_const*(H171/10000)*I171)*100,""))</f>
        <v/>
      </c>
      <c r="L171" s="100" t="str">
        <f>IF(OR(K171="",J171=""),"",IFERROR(K171*(D_O2/J171)^km_exp,""))</f>
        <v/>
      </c>
      <c r="M171" s="100" t="str">
        <f>IFERROR(INDEX(ReactorTypeList,MATCH(C171,ReactorList,0)),"")</f>
        <v/>
      </c>
      <c r="N171" s="93"/>
      <c r="O171" s="93"/>
    </row>
    <row r="172">
      <c r="A172" s="93"/>
      <c r="B172" s="94"/>
      <c r="C172" s="93"/>
      <c r="D172" s="93"/>
      <c r="E172" s="94"/>
      <c r="F172" s="94"/>
      <c r="G172" s="94"/>
      <c r="H172" s="94"/>
      <c r="I172" s="94"/>
      <c r="J172" s="94"/>
      <c r="K172" s="100" t="str">
        <f>IF(OR(G172="",H172="",I172=""),"",IFERROR((G172/1000)/(n_e_fcn*F_const*(H172/10000)*I172)*100,""))</f>
        <v/>
      </c>
      <c r="L172" s="100" t="str">
        <f>IF(OR(K172="",J172=""),"",IFERROR(K172*(D_O2/J172)^km_exp,""))</f>
        <v/>
      </c>
      <c r="M172" s="100" t="str">
        <f>IFERROR(INDEX(ReactorTypeList,MATCH(C172,ReactorList,0)),"")</f>
        <v/>
      </c>
      <c r="N172" s="93"/>
      <c r="O172" s="93"/>
    </row>
    <row r="173">
      <c r="A173" s="93"/>
      <c r="B173" s="94"/>
      <c r="C173" s="93"/>
      <c r="D173" s="93"/>
      <c r="E173" s="94"/>
      <c r="F173" s="94"/>
      <c r="G173" s="94"/>
      <c r="H173" s="94"/>
      <c r="I173" s="94"/>
      <c r="J173" s="94"/>
      <c r="K173" s="100" t="str">
        <f>IF(OR(G173="",H173="",I173=""),"",IFERROR((G173/1000)/(n_e_fcn*F_const*(H173/10000)*I173)*100,""))</f>
        <v/>
      </c>
      <c r="L173" s="100" t="str">
        <f>IF(OR(K173="",J173=""),"",IFERROR(K173*(D_O2/J173)^km_exp,""))</f>
        <v/>
      </c>
      <c r="M173" s="100" t="str">
        <f>IFERROR(INDEX(ReactorTypeList,MATCH(C173,ReactorList,0)),"")</f>
        <v/>
      </c>
      <c r="N173" s="93"/>
      <c r="O173" s="93"/>
    </row>
    <row r="174">
      <c r="A174" s="93"/>
      <c r="B174" s="94"/>
      <c r="C174" s="93"/>
      <c r="D174" s="93"/>
      <c r="E174" s="94"/>
      <c r="F174" s="94"/>
      <c r="G174" s="94"/>
      <c r="H174" s="94"/>
      <c r="I174" s="94"/>
      <c r="J174" s="94"/>
      <c r="K174" s="100" t="str">
        <f>IF(OR(G174="",H174="",I174=""),"",IFERROR((G174/1000)/(n_e_fcn*F_const*(H174/10000)*I174)*100,""))</f>
        <v/>
      </c>
      <c r="L174" s="100" t="str">
        <f>IF(OR(K174="",J174=""),"",IFERROR(K174*(D_O2/J174)^km_exp,""))</f>
        <v/>
      </c>
      <c r="M174" s="100" t="str">
        <f>IFERROR(INDEX(ReactorTypeList,MATCH(C174,ReactorList,0)),"")</f>
        <v/>
      </c>
      <c r="N174" s="93"/>
      <c r="O174" s="93"/>
    </row>
    <row r="175">
      <c r="A175" s="93"/>
      <c r="B175" s="94"/>
      <c r="C175" s="93"/>
      <c r="D175" s="93"/>
      <c r="E175" s="94"/>
      <c r="F175" s="94"/>
      <c r="G175" s="94"/>
      <c r="H175" s="94"/>
      <c r="I175" s="94"/>
      <c r="J175" s="94"/>
      <c r="K175" s="100" t="str">
        <f>IF(OR(G175="",H175="",I175=""),"",IFERROR((G175/1000)/(n_e_fcn*F_const*(H175/10000)*I175)*100,""))</f>
        <v/>
      </c>
      <c r="L175" s="100" t="str">
        <f>IF(OR(K175="",J175=""),"",IFERROR(K175*(D_O2/J175)^km_exp,""))</f>
        <v/>
      </c>
      <c r="M175" s="100" t="str">
        <f>IFERROR(INDEX(ReactorTypeList,MATCH(C175,ReactorList,0)),"")</f>
        <v/>
      </c>
      <c r="N175" s="93"/>
      <c r="O175" s="93"/>
    </row>
    <row r="176">
      <c r="A176" s="96" t="inlineStr">
        <is>
          <t xml:space="preserve">Value in use - k_m O₂</t>
        </is>
      </c>
      <c r="C176" s="97" t="inlineStr">
        <is>
          <t xml:space="preserve">cm/s</t>
        </is>
      </c>
      <c r="D176" s="95" t="str">
        <f>IFERROR(AVERAGEIFS(L168:L175,C168:C175,Reactor_sel,D168:D175,electrode_sel,N168:N175,"y",E168:E175,stir_rpm_set,F168:F175,"&gt;="&amp;(temp_C-km_T_tol),F168:F175,"&lt;="&amp;(temp_C+km_T_tol)),"no included runs — model uses its default")</f>
        <v>no included runs — model uses its default</v>
      </c>
    </row>
    <row r="178">
      <c r="A178" s="98" t="str">
        <f>HYPERLINK("https://github.com/amy-bo/electroPioreactor/blob/AEP02/Media/protocols/chlorine-species.md","MONOCHLORAMINE LIFETIME  (DPD combined chlorine at plateau)")</f>
        <v>MONOCHLORAMINE LIFETIME  (DPD combined chlorine at plateau)</v>
      </c>
    </row>
    <row r="179">
      <c r="A179"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80">
      <c r="A180" s="99" t="inlineStr">
        <is>
          <t xml:space="preserve">Researcher</t>
        </is>
      </c>
      <c r="B180" s="99" t="inlineStr">
        <is>
          <t xml:space="preserve">Date</t>
        </is>
      </c>
      <c r="C180" s="99" t="inlineStr">
        <is>
          <t xml:space="preserve">Reactor</t>
        </is>
      </c>
      <c r="D180" s="99" t="inlineStr">
        <is>
          <t xml:space="preserve">Medium</t>
        </is>
      </c>
      <c r="E180" s="99" t="inlineStr">
        <is>
          <t xml:space="preserve">Combined chlorine plateau (mg/L as Cl₂)</t>
        </is>
      </c>
      <c r="F180" s="99" t="inlineStr">
        <is>
          <t xml:space="preserve">Chloride turnover k (1/s, Chemistry D271)</t>
        </is>
      </c>
      <c r="G180" s="99" t="inlineStr">
        <is>
          <t xml:space="preserve">Chloride pool C (mol/L, Chemistry D47)</t>
        </is>
      </c>
      <c r="H180" s="99" t="inlineStr">
        <is>
          <t xml:space="preserve">Max production P (mol/L/s, Chemistry D315)</t>
        </is>
      </c>
      <c r="I180" s="99" t="inlineStr">
        <is>
          <t xml:space="preserve">Lifetime (computed, h)</t>
        </is>
      </c>
      <c r="J180" s="99" t="inlineStr">
        <is>
          <t xml:space="preserve">Type (auto)</t>
        </is>
      </c>
      <c r="K180" s="99" t="inlineStr">
        <is>
          <t xml:space="preserve">Include?</t>
        </is>
      </c>
      <c r="L180" s="99" t="inlineStr">
        <is>
          <t xml:space="preserve">Notes</t>
        </is>
      </c>
    </row>
    <row r="181">
      <c r="A181" s="93"/>
      <c r="B181" s="94"/>
      <c r="C181" s="93"/>
      <c r="D181" s="93"/>
      <c r="E181" s="94"/>
      <c r="F181" s="94"/>
      <c r="G181" s="94"/>
      <c r="H181" s="94"/>
      <c r="I181" s="100" t="str">
        <f>IF(OR(E181="",F181="",G181="",H181=""),"",IF(E181/M_Cl2&gt;=G181,"not invertible: plateau at or above the chloride pool",IFERROR(MAX(E181/M_Cl2/(F181*(G181-E181/M_Cl2)),E181/M_Cl2/H181)/3600,"")))</f>
        <v/>
      </c>
      <c r="J181" s="100" t="str">
        <f>IFERROR(INDEX(ReactorTypeList,MATCH(C181,ReactorList,0)),"")</f>
        <v/>
      </c>
      <c r="K181" s="93"/>
      <c r="L181" s="93"/>
    </row>
    <row r="182">
      <c r="A182" s="93"/>
      <c r="B182" s="94"/>
      <c r="C182" s="93"/>
      <c r="D182" s="93"/>
      <c r="E182" s="94"/>
      <c r="F182" s="94"/>
      <c r="G182" s="94"/>
      <c r="H182" s="94"/>
      <c r="I182" s="100" t="str">
        <f>IF(OR(E182="",F182="",G182="",H182=""),"",IF(E182/M_Cl2&gt;=G182,"not invertible: plateau at or above the chloride pool",IFERROR(MAX(E182/M_Cl2/(F182*(G182-E182/M_Cl2)),E182/M_Cl2/H182)/3600,"")))</f>
        <v/>
      </c>
      <c r="J182" s="100" t="str">
        <f>IFERROR(INDEX(ReactorTypeList,MATCH(C182,ReactorList,0)),"")</f>
        <v/>
      </c>
      <c r="K182" s="93"/>
      <c r="L182" s="93"/>
    </row>
    <row r="183">
      <c r="A183" s="93"/>
      <c r="B183" s="94"/>
      <c r="C183" s="93"/>
      <c r="D183" s="93"/>
      <c r="E183" s="94"/>
      <c r="F183" s="94"/>
      <c r="G183" s="94"/>
      <c r="H183" s="94"/>
      <c r="I183" s="100" t="str">
        <f>IF(OR(E183="",F183="",G183="",H183=""),"",IF(E183/M_Cl2&gt;=G183,"not invertible: plateau at or above the chloride pool",IFERROR(MAX(E183/M_Cl2/(F183*(G183-E183/M_Cl2)),E183/M_Cl2/H183)/3600,"")))</f>
        <v/>
      </c>
      <c r="J183" s="100" t="str">
        <f>IFERROR(INDEX(ReactorTypeList,MATCH(C183,ReactorList,0)),"")</f>
        <v/>
      </c>
      <c r="K183" s="93"/>
      <c r="L183" s="93"/>
    </row>
    <row r="184">
      <c r="A184" s="93"/>
      <c r="B184" s="94"/>
      <c r="C184" s="93"/>
      <c r="D184" s="93"/>
      <c r="E184" s="94"/>
      <c r="F184" s="94"/>
      <c r="G184" s="94"/>
      <c r="H184" s="94"/>
      <c r="I184" s="100" t="str">
        <f>IF(OR(E184="",F184="",G184="",H184=""),"",IF(E184/M_Cl2&gt;=G184,"not invertible: plateau at or above the chloride pool",IFERROR(MAX(E184/M_Cl2/(F184*(G184-E184/M_Cl2)),E184/M_Cl2/H184)/3600,"")))</f>
        <v/>
      </c>
      <c r="J184" s="100" t="str">
        <f>IFERROR(INDEX(ReactorTypeList,MATCH(C184,ReactorList,0)),"")</f>
        <v/>
      </c>
      <c r="K184" s="93"/>
      <c r="L184" s="93"/>
    </row>
    <row r="185">
      <c r="A185" s="93"/>
      <c r="B185" s="94"/>
      <c r="C185" s="93"/>
      <c r="D185" s="93"/>
      <c r="E185" s="94"/>
      <c r="F185" s="94"/>
      <c r="G185" s="94"/>
      <c r="H185" s="94"/>
      <c r="I185" s="100" t="str">
        <f>IF(OR(E185="",F185="",G185="",H185=""),"",IF(E185/M_Cl2&gt;=G185,"not invertible: plateau at or above the chloride pool",IFERROR(MAX(E185/M_Cl2/(F185*(G185-E185/M_Cl2)),E185/M_Cl2/H185)/3600,"")))</f>
        <v/>
      </c>
      <c r="J185" s="100" t="str">
        <f>IFERROR(INDEX(ReactorTypeList,MATCH(C185,ReactorList,0)),"")</f>
        <v/>
      </c>
      <c r="K185" s="93"/>
      <c r="L185" s="93"/>
    </row>
    <row r="186">
      <c r="A186" s="93"/>
      <c r="B186" s="94"/>
      <c r="C186" s="93"/>
      <c r="D186" s="93"/>
      <c r="E186" s="94"/>
      <c r="F186" s="94"/>
      <c r="G186" s="94"/>
      <c r="H186" s="94"/>
      <c r="I186" s="100" t="str">
        <f>IF(OR(E186="",F186="",G186="",H186=""),"",IF(E186/M_Cl2&gt;=G186,"not invertible: plateau at or above the chloride pool",IFERROR(MAX(E186/M_Cl2/(F186*(G186-E186/M_Cl2)),E186/M_Cl2/H186)/3600,"")))</f>
        <v/>
      </c>
      <c r="J186" s="100" t="str">
        <f>IFERROR(INDEX(ReactorTypeList,MATCH(C186,ReactorList,0)),"")</f>
        <v/>
      </c>
      <c r="K186" s="93"/>
      <c r="L186" s="93"/>
    </row>
    <row r="187">
      <c r="A187" s="93"/>
      <c r="B187" s="94"/>
      <c r="C187" s="93"/>
      <c r="D187" s="93"/>
      <c r="E187" s="94"/>
      <c r="F187" s="94"/>
      <c r="G187" s="94"/>
      <c r="H187" s="94"/>
      <c r="I187" s="100" t="str">
        <f>IF(OR(E187="",F187="",G187="",H187=""),"",IF(E187/M_Cl2&gt;=G187,"not invertible: plateau at or above the chloride pool",IFERROR(MAX(E187/M_Cl2/(F187*(G187-E187/M_Cl2)),E187/M_Cl2/H187)/3600,"")))</f>
        <v/>
      </c>
      <c r="J187" s="100" t="str">
        <f>IFERROR(INDEX(ReactorTypeList,MATCH(C187,ReactorList,0)),"")</f>
        <v/>
      </c>
      <c r="K187" s="93"/>
      <c r="L187" s="93"/>
    </row>
    <row r="188">
      <c r="A188" s="93"/>
      <c r="B188" s="94"/>
      <c r="C188" s="93"/>
      <c r="D188" s="93"/>
      <c r="E188" s="94"/>
      <c r="F188" s="94"/>
      <c r="G188" s="94"/>
      <c r="H188" s="94"/>
      <c r="I188" s="100" t="str">
        <f>IF(OR(E188="",F188="",G188="",H188=""),"",IF(E188/M_Cl2&gt;=G188,"not invertible: plateau at or above the chloride pool",IFERROR(MAX(E188/M_Cl2/(F188*(G188-E188/M_Cl2)),E188/M_Cl2/H188)/3600,"")))</f>
        <v/>
      </c>
      <c r="J188" s="100" t="str">
        <f>IFERROR(INDEX(ReactorTypeList,MATCH(C188,ReactorList,0)),"")</f>
        <v/>
      </c>
      <c r="K188" s="93"/>
      <c r="L188" s="93"/>
    </row>
    <row r="189">
      <c r="A189" s="96" t="inlineStr">
        <is>
          <t xml:space="preserve">Value in use - monochloramine lifetime</t>
        </is>
      </c>
      <c r="C189" s="97" t="inlineStr">
        <is>
          <t xml:space="preserve">h</t>
        </is>
      </c>
      <c r="D189" s="95" t="str">
        <f>IFERROR(AVERAGEIFS(I181:I188,C181:C188,Reactor_sel,D181:D188,media_sel,K181:K188,"y"),"no included runs — model uses its default")</f>
        <v>no included runs — model uses its default</v>
      </c>
    </row>
    <row r="191">
      <c r="A191" s="5" t="inlineStr">
        <is>
          <t xml:space="preserve">NAMED CONSTANTS AND IMPORTS (electrode mass transfer, monochloramine lifetime)</t>
        </is>
      </c>
    </row>
    <row r="192">
      <c r="A192" s="18" t="inlineStr">
        <is>
          <t xml:space="preserve">Electrons per ferricyanide reduced</t>
        </is>
      </c>
      <c r="B192" s="72" t="inlineStr">
        <is>
          <t xml:space="preserve">n_e_fcn</t>
        </is>
      </c>
      <c r="C192" s="20" t="inlineStr">
        <is>
          <t xml:space="preserve">-</t>
        </is>
      </c>
      <c r="D192" s="132">
        <v>1</v>
      </c>
      <c r="E192" s="134" t="inlineStr">
        <is>
          <t xml:space="preserve">Fe(CN)₆³⁻ + e⁻ → Fe(CN)₆⁴⁻: a one-electron couple (protocols/electrode-mass-transfer.md).</t>
        </is>
      </c>
    </row>
    <row r="193">
      <c r="A193" s="18" t="inlineStr">
        <is>
          <t xml:space="preserve">Temperature tolerance for a k_m run</t>
        </is>
      </c>
      <c r="B193" s="72" t="inlineStr">
        <is>
          <t xml:space="preserve">km_T_tol</t>
        </is>
      </c>
      <c r="C193" s="20" t="inlineStr">
        <is>
          <t xml:space="preserve">°C</t>
        </is>
      </c>
      <c r="D193" s="132">
        <v>1</v>
      </c>
      <c r="E193" s="34" t="inlineStr">
        <is>
          <t xml:space="preserve">Design assumption: diffusivity and viscosity move ~2 %/K, so a run within ±1 °C of the Summary temperature is used as measured; others need a separate temperature correction.</t>
        </is>
      </c>
    </row>
    <row r="194">
      <c r="A194" s="18" t="inlineStr">
        <is>
          <t xml:space="preserve">(import) Stirrer rate on Summary</t>
        </is>
      </c>
      <c r="B194" s="72" t="inlineStr">
        <is>
          <t xml:space="preserve">stir_rpm_set</t>
        </is>
      </c>
      <c r="C194" s="20" t="inlineStr">
        <is>
          <t xml:space="preserve">rpm</t>
        </is>
      </c>
      <c r="D194" s="133">
        <f>Summary!$D$7</f>
        <v>1000.0</v>
      </c>
      <c r="E194" s="134" t="inlineStr">
        <is>
          <t xml:space="preserve">Import from Summary!D7 (stir_rpm_set)</t>
        </is>
      </c>
    </row>
    <row r="195">
      <c r="A195" s="18" t="inlineStr">
        <is>
          <t xml:space="preserve">(import) Temperature setpoint on Summary</t>
        </is>
      </c>
      <c r="B195" s="72" t="inlineStr">
        <is>
          <t xml:space="preserve">temp_C</t>
        </is>
      </c>
      <c r="C195" s="20" t="inlineStr">
        <is>
          <t xml:space="preserve">°C</t>
        </is>
      </c>
      <c r="D195" s="133">
        <f>Summary!$D$8</f>
        <v>30.0</v>
      </c>
      <c r="E195" s="134" t="inlineStr">
        <is>
          <t xml:space="preserve">Import from Summary!D8 (temp_C)</t>
        </is>
      </c>
    </row>
    <row r="196">
      <c r="A196" s="18" t="inlineStr">
        <is>
          <t xml:space="preserve">(import) Medium selected on Summary</t>
        </is>
      </c>
      <c r="B196" s="72" t="inlineStr">
        <is>
          <t xml:space="preserve">media_sel</t>
        </is>
      </c>
      <c r="C196" s="20" t="inlineStr">
        <is>
          <t xml:space="preserve">-</t>
        </is>
      </c>
      <c r="D196" s="133" t="str">
        <f>Summary!$D$5</f>
        <v>AMYBO03</v>
      </c>
      <c r="E196" s="134" t="inlineStr">
        <is>
          <t xml:space="preserve">Import from Summary!D5 (media_sel)</t>
        </is>
      </c>
    </row>
    <row r="197">
      <c r="A197" s="18" t="inlineStr">
        <is>
          <t xml:space="preserve">(import) Electrode selected on Summary</t>
        </is>
      </c>
      <c r="B197" s="72" t="inlineStr">
        <is>
          <t xml:space="preserve">electrode_sel</t>
        </is>
      </c>
      <c r="C197" s="20" t="inlineStr">
        <is>
          <t xml:space="preserve">-</t>
        </is>
      </c>
      <c r="D197" s="133" t="str">
        <f>Summary!$D$3</f>
        <v>MMO tube</v>
      </c>
      <c r="E197" s="134" t="inlineStr">
        <is>
          <t xml:space="preserve">Import from Summary!D3 (electrode_sel)</t>
        </is>
      </c>
    </row>
    <row r="198">
      <c r="A198" s="18" t="inlineStr">
        <is>
          <t xml:space="preserve">(import) O₂ diffusivity at reactor T</t>
        </is>
      </c>
      <c r="B198" s="72" t="inlineStr">
        <is>
          <t xml:space="preserve">D_O2</t>
        </is>
      </c>
      <c r="C198" s="20" t="inlineStr">
        <is>
          <t xml:space="preserve">m²/s</t>
        </is>
      </c>
      <c r="D198" s="133">
        <f>'Mass Transfer'!$D$32</f>
        <v>2.249544435762e-09</v>
      </c>
      <c r="E198" s="134" t="inlineStr">
        <is>
          <t xml:space="preserve">Import from Mass Transfer!D32 (D_O2)</t>
        </is>
      </c>
    </row>
    <row r="199">
      <c r="A199" s="18" t="inlineStr">
        <is>
          <t xml:space="preserve">(import) Diffusivity exponent for k_m scaling</t>
        </is>
      </c>
      <c r="B199" s="72" t="inlineStr">
        <is>
          <t xml:space="preserve">km_exp</t>
        </is>
      </c>
      <c r="C199" s="20" t="inlineStr">
        <is>
          <t xml:space="preserve">-</t>
        </is>
      </c>
      <c r="D199" s="133">
        <f>Electrochemistry!$D$84</f>
        <v>0.644</v>
      </c>
      <c r="E199" s="134" t="inlineStr">
        <is>
          <t xml:space="preserve">Import from Electrochemistry!D84 (km_exp): the same Eisenberg scaling the model uses for every species.</t>
        </is>
      </c>
    </row>
    <row r="200">
      <c r="A200" s="18" t="inlineStr">
        <is>
          <t xml:space="preserve">(import) Cl₂ molar mass</t>
        </is>
      </c>
      <c r="B200" s="72" t="inlineStr">
        <is>
          <t xml:space="preserve">M_Cl2</t>
        </is>
      </c>
      <c r="C200" s="20" t="inlineStr">
        <is>
          <t xml:space="preserve">mg/mol</t>
        </is>
      </c>
      <c r="D200" s="133">
        <f>Chemistry!$D$223</f>
        <v>70906.0</v>
      </c>
      <c r="E200" s="134" t="inlineStr">
        <is>
          <t xml:space="preserve">Import from Chemistry!D223 (M_Cl2): DPD results are mg/L as Cl₂.</t>
        </is>
      </c>
    </row>
  </sheetData>
  <dataValidations count="8">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 type="list" allowBlank="1" showErrorMessage="1" errorTitle="Invalid value" error="Choose a reactor from the list." sqref="C168:C175 C181:C188">
      <formula1>ReactorList</formula1>
    </dataValidation>
    <dataValidation type="list" allowBlank="1" showErrorMessage="1" errorTitle="Invalid value" error="y or n." sqref="N168:N175 K181:K188">
      <formula1>"y,n"</formula1>
    </dataValidation>
    <dataValidation type="list" allowBlank="1" showErrorMessage="1" errorTitle="Invalid value" error="Choose an electrode from the list." sqref="D168:D175">
      <formula1>ElectrodeList</formula1>
    </dataValidation>
    <dataValidation type="list" allowBlank="1" showErrorMessage="1" errorTitle="Invalid value" error="Choose a medium from the list." sqref="D181:D188">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