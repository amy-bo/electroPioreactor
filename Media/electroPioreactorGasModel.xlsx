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odel" sheetId="1" state="visible" r:id="rId1"/>
  </sheets>
  <definedNames>
    <definedName name="a_int" hidden="0" function="0" vbProcedure="0">Model!$D$151</definedName>
    <definedName name="A_x" hidden="0" function="0" vbProcedure="0">Model!$D$38</definedName>
    <definedName name="bio_CO2" hidden="0" function="0" vbProcedure="0">Model!$D$88</definedName>
    <definedName name="bio_H2" hidden="0" function="0" vbProcedure="0">Model!$D$86</definedName>
    <definedName name="bio_O2" hidden="0" function="0" vbProcedure="0">Model!$D$87</definedName>
    <definedName name="carry_flag" hidden="0" function="0" vbProcedure="0">Model!$D$164</definedName>
    <definedName name="CO2_cons" hidden="0" function="0" vbProcedure="0">Model!$D$91</definedName>
    <definedName name="CO2_pulse" hidden="0" function="0" vbProcedure="0">Model!$D$119</definedName>
    <definedName name="CO2_sd_ratio" hidden="0" function="0" vbProcedure="0">Model!$D$123</definedName>
    <definedName name="CO2_supply" hidden="0" function="0" vbProcedure="0">Model!$D$122</definedName>
    <definedName name="disp_tot" hidden="0" function="0" vbProcedure="0">Model!$D$57</definedName>
    <definedName name="dur_ok" hidden="0" function="0" vbProcedure="0">Model!$D$171</definedName>
    <definedName name="duty" hidden="0" function="0" vbProcedure="0">Model!$D$124</definedName>
    <definedName name="d_bubble" hidden="0" function="0" vbProcedure="0">Model!$D$141</definedName>
    <definedName name="d_bubble_mm" hidden="0" function="0" vbProcedure="0">Model!$D$142</definedName>
    <definedName name="D_int" hidden="0" function="0" vbProcedure="0">Model!$D$39</definedName>
    <definedName name="D_int_1" hidden="0" function="0" vbProcedure="0">Model!$D$26</definedName>
    <definedName name="D_int_2" hidden="0" function="0" vbProcedure="0">Model!$D$27</definedName>
    <definedName name="D_O2" hidden="0" function="0" vbProcedure="0">Model!$D$131</definedName>
    <definedName name="d_orifice" hidden="0" function="0" vbProcedure="0">Model!$D$140</definedName>
    <definedName name="eff_disp" hidden="0" function="0" vbProcedure="0">Model!$D$56</definedName>
    <definedName name="eff_ID" hidden="0" function="0" vbProcedure="0">Model!$D$51</definedName>
    <definedName name="eff_OD" hidden="0" function="0" vbProcedure="0">Model!$D$50</definedName>
    <definedName name="eff_sub_L" hidden="0" function="0" vbProcedure="0">Model!$D$55</definedName>
    <definedName name="elec_clear" hidden="0" function="0" vbProcedure="0">Model!$D$45</definedName>
    <definedName name="elec_disp" hidden="0" function="0" vbProcedure="0">Model!$D$53</definedName>
    <definedName name="elec_ins" hidden="0" function="0" vbProcedure="0">Model!$D$46</definedName>
    <definedName name="elec_sub_L" hidden="0" function="0" vbProcedure="0">Model!$D$52</definedName>
    <definedName name="etaF" hidden="0" function="0" vbProcedure="0">Model!$D$78</definedName>
    <definedName name="F_const" hidden="0" function="0" vbProcedure="0">Model!$D$75</definedName>
    <definedName name="gerrit_int" hidden="0" function="0" vbProcedure="0">Model!$D$72</definedName>
    <definedName name="gerrit_max" hidden="0" function="0" vbProcedure="0">Model!$D$74</definedName>
    <definedName name="gerrit_min" hidden="0" function="0" vbProcedure="0">Model!$D$73</definedName>
    <definedName name="gerrit_slope" hidden="0" function="0" vbProcedure="0">Model!$D$71</definedName>
    <definedName name="g_const" hidden="0" function="0" vbProcedure="0">Model!$D$130</definedName>
    <definedName name="H2_cons" hidden="0" function="0" vbProcedure="0">Model!$D$89</definedName>
    <definedName name="headspace_V" hidden="0" function="0" vbProcedure="0">Model!$D$66</definedName>
    <definedName name="holdup" hidden="0" function="0" vbProcedure="0">Model!$D$150</definedName>
    <definedName name="h_actual" hidden="0" function="0" vbProcedure="0">Model!$D$59</definedName>
    <definedName name="h_datum" hidden="0" function="0" vbProcedure="0">Model!$D$42</definedName>
    <definedName name="H_O2ref" hidden="0" function="0" vbProcedure="0">Model!$D$100</definedName>
    <definedName name="H_O2T" hidden="0" function="0" vbProcedure="0">Model!$D$101</definedName>
    <definedName name="H_O2_T" hidden="0" function="0" vbProcedure="0">Model!$D$103</definedName>
    <definedName name="intensity" hidden="0" function="0" vbProcedure="0">Model!$D$70</definedName>
    <definedName name="interface_A" hidden="0" function="0" vbProcedure="0">Model!$D$61</definedName>
    <definedName name="I_app" hidden="0" function="0" vbProcedure="0">Model!$D$79</definedName>
    <definedName name="I_valid" hidden="0" function="0" vbProcedure="0">Model!$D$80</definedName>
    <definedName name="kL" hidden="0" function="0" vbProcedure="0">Model!$D$153</definedName>
    <definedName name="kLa_avg" hidden="0" function="0" vbProcedure="0">Model!$D$155</definedName>
    <definedName name="kLa_req" hidden="0" function="0" vbProcedure="0">Model!$D$159</definedName>
    <definedName name="kLa_sparge" hidden="0" function="0" vbProcedure="0">Model!$D$154</definedName>
    <definedName name="mend_a" hidden="0" function="0" vbProcedure="0">Model!$D$143</definedName>
    <definedName name="mend_b" hidden="0" function="0" vbProcedure="0">Model!$D$144</definedName>
    <definedName name="M_CO2" hidden="0" function="0" vbProcedure="0">Model!$D$117</definedName>
    <definedName name="nCO2_rate" hidden="0" function="0" vbProcedure="0">Model!$D$118</definedName>
    <definedName name="O2_accum" hidden="0" function="0" vbProcedure="0">Model!$D$168</definedName>
    <definedName name="O2_ceil_atm" hidden="0" function="0" vbProcedure="0">Model!$D$104</definedName>
    <definedName name="O2_ceil_C" hidden="0" function="0" vbProcedure="0">Model!$D$107</definedName>
    <definedName name="O2_ceil_Pa" hidden="0" function="0" vbProcedure="0">Model!$D$106</definedName>
    <definedName name="O2_ceil_uM" hidden="0" function="0" vbProcedure="0">Model!$D$108</definedName>
    <definedName name="O2_cons" hidden="0" function="0" vbProcedure="0">Model!$D$90</definedName>
    <definedName name="O2_excess" hidden="0" function="0" vbProcedure="0">Model!$D$92</definedName>
    <definedName name="O2_strip_pulse" hidden="0" function="0" vbProcedure="0">Model!$D$169</definedName>
    <definedName name="Pa_per_atm" hidden="0" function="0" vbProcedure="0">Model!$D$99</definedName>
    <definedName name="por0_um" hidden="0" function="0" vbProcedure="0">Model!$D$132</definedName>
    <definedName name="por1_um" hidden="0" function="0" vbProcedure="0">Model!$D$133</definedName>
    <definedName name="por2_um" hidden="0" function="0" vbProcedure="0">Model!$D$134</definedName>
    <definedName name="por3_um" hidden="0" function="0" vbProcedure="0">Model!$D$135</definedName>
    <definedName name="por4_um" hidden="0" function="0" vbProcedure="0">Model!$D$136</definedName>
    <definedName name="por5_um" hidden="0" function="0" vbProcedure="0">Model!$D$137</definedName>
    <definedName name="por_grade" hidden="0" function="0" vbProcedure="0">Model!$D$16</definedName>
    <definedName name="por_pore" hidden="0" function="0" vbProcedure="0">Model!$D$138</definedName>
    <definedName name="pulses_d" hidden="0" function="0" vbProcedure="0">Model!$D$121</definedName>
    <definedName name="pulses_h" hidden="0" function="0" vbProcedure="0">Model!$D$120</definedName>
    <definedName name="pulse_floor" hidden="0" function="0" vbProcedure="0">Model!$D$115</definedName>
    <definedName name="P_atm" hidden="0" function="0" vbProcedure="0">Model!$D$98</definedName>
    <definedName name="Q_CO2" hidden="0" function="0" vbProcedure="0">Model!$D$112</definedName>
    <definedName name="rH2_gen" hidden="0" function="0" vbProcedure="0">Model!$D$81</definedName>
    <definedName name="rho_L" hidden="0" function="0" vbProcedure="0">Model!$D$129</definedName>
    <definedName name="rO2_gen" hidden="0" function="0" vbProcedure="0">Model!$D$82</definedName>
    <definedName name="rod_d" hidden="0" function="0" vbProcedure="0">Model!$D$43</definedName>
    <definedName name="rod_n" hidden="0" function="0" vbProcedure="0">Model!$D$44</definedName>
    <definedName name="rx_ver" hidden="0" function="0" vbProcedure="0">Model!$D$14</definedName>
    <definedName name="R_gas" hidden="0" function="0" vbProcedure="0">Model!$D$116</definedName>
    <definedName name="sched_bal" hidden="0" function="0" vbProcedure="0">Model!$D$170</definedName>
    <definedName name="sched_verdict" hidden="0" function="0" vbProcedure="0">Model!$D$172</definedName>
    <definedName name="sigma" hidden="0" function="0" vbProcedure="0">Model!$D$128</definedName>
    <definedName name="sparger" hidden="0" function="0" vbProcedure="0">Model!$D$15</definedName>
    <definedName name="sparge_depth" hidden="0" function="0" vbProcedure="0">Model!$D$60</definedName>
    <definedName name="spg_disp" hidden="0" function="0" vbProcedure="0">Model!$D$54</definedName>
    <definedName name="spg_dur" hidden="0" function="0" vbProcedure="0">Model!$D$113</definedName>
    <definedName name="spg_ID" hidden="0" function="0" vbProcedure="0">Model!$D$48</definedName>
    <definedName name="spg_int" hidden="0" function="0" vbProcedure="0">Model!$D$114</definedName>
    <definedName name="spg_name_1" hidden="0" function="0" vbProcedure="0">Model!$D$19</definedName>
    <definedName name="spg_name_2" hidden="0" function="0" vbProcedure="0">Model!$D$20</definedName>
    <definedName name="spg_OD" hidden="0" function="0" vbProcedure="0">Model!$D$47</definedName>
    <definedName name="spg_tip_h" hidden="0" function="0" vbProcedure="0">Model!$D$49</definedName>
    <definedName name="strip_avg" hidden="0" function="0" vbProcedure="0">Model!$D$157</definedName>
    <definedName name="strip_ratio" hidden="0" function="0" vbProcedure="0">Model!$D$158</definedName>
    <definedName name="strip_sparge" hidden="0" function="0" vbProcedure="0">Model!$D$156</definedName>
    <definedName name="tube_d_m" hidden="0" function="0" vbProcedure="0">Model!$D$139</definedName>
    <definedName name="T_C" hidden="0" function="0" vbProcedure="0">Model!$D$96</definedName>
    <definedName name="t_contact" hidden="0" function="0" vbProcedure="0">Model!$D$152</definedName>
    <definedName name="T_K" hidden="0" function="0" vbProcedure="0">Model!$D$97</definedName>
    <definedName name="T_ref" hidden="0" function="0" vbProcedure="0">Model!$D$102</definedName>
    <definedName name="u_g_max" hidden="0" function="0" vbProcedure="0">Model!$D$163</definedName>
    <definedName name="u_rise" hidden="0" function="0" vbProcedure="0">Model!$D$145</definedName>
    <definedName name="u_sg" hidden="0" function="0" vbProcedure="0">Model!$D$149</definedName>
    <definedName name="ver_name_1" hidden="0" function="0" vbProcedure="0">Model!$D$17</definedName>
    <definedName name="ver_name_2" hidden="0" function="0" vbProcedure="0">Model!$D$18</definedName>
    <definedName name="vial_ID" hidden="0" function="0" vbProcedure="0">Model!$D$37</definedName>
    <definedName name="vial_OD" hidden="0" function="0" vbProcedure="0">Model!$D$35</definedName>
    <definedName name="vial_OD_1" hidden="0" function="0" vbProcedure="0">Model!$D$24</definedName>
    <definedName name="vial_OD_2" hidden="0" function="0" vbProcedure="0">Model!$D$25</definedName>
    <definedName name="vial_wall" hidden="0" function="0" vbProcedure="0">Model!$D$36</definedName>
    <definedName name="Vmax_1" hidden="0" function="0" vbProcedure="0">Model!$D$28</definedName>
    <definedName name="Vmax_2" hidden="0" function="0" vbProcedure="0">Model!$D$29</definedName>
    <definedName name="Vtot_1" hidden="0" function="0" vbProcedure="0">Model!$D$30</definedName>
    <definedName name="Vtot_2" hidden="0" function="0" vbProcedure="0">Model!$D$31</definedName>
    <definedName name="V_charge" hidden="0" function="0" vbProcedure="0">Model!$D$58</definedName>
    <definedName name="V_inserts" hidden="0" function="0" vbProcedure="0">Model!$D$65</definedName>
    <definedName name="V_max" hidden="0" function="0" vbProcedure="0">Model!$D$40</definedName>
    <definedName name="V_vial_total" hidden="0" function="0" vbProcedure="0">Model!$D$41</definedName>
    <definedName name="xtube_n" hidden="0" function="0" vbProcedure="0">Model!$D$63</definedName>
    <definedName name="xtube_OD" hidden="0" function="0" vbProcedure="0">Model!$D$62</definedName>
    <definedName name="xtube_pro" hidden="0" function="0" vbProcedure="0">Model!$D$64</definedName>
    <definedName name="z_e_H2" hidden="0" function="0" vbProcedure="0">Model!$D$76</definedName>
    <definedName name="z_e_O2" hidden="0" function="0" vbProcedure="0">Model!$D$77</definedName>
    <definedName name="spg_len">Model!$D$176</definedName>
    <definedName name="etaF_OER">Model!$D$177</definedName>
    <definedName name="z_e_ORR">Model!$D$178</definedName>
    <definedName name="O2_cathode_ORR">Model!$D$179</definedName>
    <definedName name="O2_net_gen">Model!$D$180</definedName>
    <definedName name="rho_CO2">Model!$D$181</definedName>
    <definedName name="n_pores_active">Model!$D$182</definedName>
    <definedName name="v_orifice">Model!$D$183</definedName>
    <definedName name="We_orifice">Model!$D$184</definedName>
    <definedName name="bubble_regime">Model!$D$185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0.0"/>
    <numFmt numFmtId="165" formatCode="0.000"/>
    <numFmt numFmtId="166" formatCode="0.0000"/>
    <numFmt numFmtId="167" formatCode="0.00000"/>
    <numFmt numFmtId="168" formatCode="0.000000"/>
    <numFmt numFmtId="169" formatCode="0.00000000"/>
    <numFmt numFmtId="170" formatCode="0.000000000"/>
    <numFmt numFmtId="171" formatCode="0.000000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10"/>
    </font>
    <font>
      <name val="Consolas"/>
      <charset val="1"/>
      <family val="0"/>
      <color rgb="FF7030A0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404040"/>
      <sz val="8"/>
    </font>
    <font>
      <name val="Arial"/>
      <charset val="1"/>
      <family val="0"/>
      <color rgb="FF0563C1"/>
      <sz val="8"/>
      <u val="single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top" wrapText="1"/>
    </xf>
    <xf numFmtId="0" fontId="15" fillId="3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2" fontId="16" fillId="0" borderId="1" applyAlignment="1" pivotButton="0" quotePrefix="0" xfId="0">
      <alignment horizontal="general" vertical="bottom"/>
    </xf>
    <xf numFmtId="0" fontId="15" fillId="6" borderId="0" applyAlignment="1" pivotButton="0" quotePrefix="0" xfId="0">
      <alignment horizontal="general" vertical="top" wrapText="1"/>
    </xf>
    <xf numFmtId="164" fontId="16" fillId="0" borderId="1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general" vertical="top" wrapText="1"/>
    </xf>
    <xf numFmtId="2" fontId="13" fillId="0" borderId="1" applyAlignment="1" pivotButton="0" quotePrefix="0" xfId="0">
      <alignment horizontal="general" vertical="bottom"/>
    </xf>
    <xf numFmtId="0" fontId="14" fillId="6" borderId="0" applyAlignment="1" pivotButton="0" quotePrefix="0" xfId="0">
      <alignment horizontal="general" vertical="top" wrapText="1"/>
    </xf>
    <xf numFmtId="164" fontId="13" fillId="0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5" fontId="13" fillId="0" borderId="1" applyAlignment="1" pivotButton="0" quotePrefix="0" xfId="0">
      <alignment horizontal="general" vertical="bottom"/>
    </xf>
    <xf numFmtId="166" fontId="13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1" fontId="17" fillId="0" borderId="1" applyAlignment="1" pivotButton="0" quotePrefix="0" xfId="0">
      <alignment horizontal="general" vertical="bottom"/>
    </xf>
    <xf numFmtId="2" fontId="17" fillId="0" borderId="1" applyAlignment="1" pivotButton="0" quotePrefix="0" xfId="0">
      <alignment horizontal="general" vertical="bottom"/>
    </xf>
    <xf numFmtId="1" fontId="13" fillId="0" borderId="1" applyAlignment="1" pivotButton="0" quotePrefix="0" xfId="0">
      <alignment horizontal="general" vertical="bottom"/>
    </xf>
    <xf numFmtId="1" fontId="16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top" wrapText="1"/>
    </xf>
    <xf numFmtId="168" fontId="16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top" wrapText="1"/>
    </xf>
    <xf numFmtId="168" fontId="17" fillId="0" borderId="1" applyAlignment="1" pivotButton="0" quotePrefix="0" xfId="0">
      <alignment horizontal="general" vertical="bottom"/>
    </xf>
    <xf numFmtId="169" fontId="16" fillId="0" borderId="1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top" wrapText="1"/>
    </xf>
    <xf numFmtId="170" fontId="16" fillId="0" borderId="1" applyAlignment="1" pivotButton="0" quotePrefix="0" xfId="0">
      <alignment horizontal="general" vertical="bottom"/>
    </xf>
    <xf numFmtId="166" fontId="17" fillId="0" borderId="1" applyAlignment="1" pivotButton="0" quotePrefix="0" xfId="0">
      <alignment horizontal="general" vertical="bottom"/>
    </xf>
    <xf numFmtId="171" fontId="16" fillId="0" borderId="1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top" wrapText="1"/>
    </xf>
    <xf numFmtId="165" fontId="17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top" wrapText="1"/>
    </xf>
    <xf numFmtId="0" fontId="15" fillId="3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2" fontId="16" fillId="0" borderId="1" applyAlignment="1" pivotButton="0" quotePrefix="0" xfId="0">
      <alignment horizontal="general" vertical="bottom"/>
    </xf>
    <xf numFmtId="0" fontId="15" fillId="6" borderId="0" applyAlignment="1" pivotButton="0" quotePrefix="0" xfId="0">
      <alignment horizontal="general" vertical="top" wrapText="1"/>
    </xf>
    <xf numFmtId="164" fontId="16" fillId="0" borderId="1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general" vertical="top" wrapText="1"/>
    </xf>
    <xf numFmtId="2" fontId="13" fillId="0" borderId="1" applyAlignment="1" pivotButton="0" quotePrefix="0" xfId="0">
      <alignment horizontal="general" vertical="bottom"/>
    </xf>
    <xf numFmtId="0" fontId="14" fillId="6" borderId="0" applyAlignment="1" pivotButton="0" quotePrefix="0" xfId="0">
      <alignment horizontal="general" vertical="top" wrapText="1"/>
    </xf>
    <xf numFmtId="164" fontId="13" fillId="0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5" fontId="13" fillId="0" borderId="1" applyAlignment="1" pivotButton="0" quotePrefix="0" xfId="0">
      <alignment horizontal="general" vertical="bottom"/>
    </xf>
    <xf numFmtId="166" fontId="13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1" fontId="17" fillId="0" borderId="1" applyAlignment="1" pivotButton="0" quotePrefix="0" xfId="0">
      <alignment horizontal="general" vertical="bottom"/>
    </xf>
    <xf numFmtId="2" fontId="17" fillId="0" borderId="1" applyAlignment="1" pivotButton="0" quotePrefix="0" xfId="0">
      <alignment horizontal="general" vertical="bottom"/>
    </xf>
    <xf numFmtId="1" fontId="13" fillId="0" borderId="1" applyAlignment="1" pivotButton="0" quotePrefix="0" xfId="0">
      <alignment horizontal="general" vertical="bottom"/>
    </xf>
    <xf numFmtId="1" fontId="16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top" wrapText="1"/>
    </xf>
    <xf numFmtId="168" fontId="16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top" wrapText="1"/>
    </xf>
    <xf numFmtId="168" fontId="17" fillId="0" borderId="1" applyAlignment="1" pivotButton="0" quotePrefix="0" xfId="0">
      <alignment horizontal="general" vertical="bottom"/>
    </xf>
    <xf numFmtId="169" fontId="16" fillId="0" borderId="1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top" wrapText="1"/>
    </xf>
    <xf numFmtId="170" fontId="16" fillId="0" borderId="1" applyAlignment="1" pivotButton="0" quotePrefix="0" xfId="0">
      <alignment horizontal="general" vertical="bottom"/>
    </xf>
    <xf numFmtId="166" fontId="17" fillId="0" borderId="1" applyAlignment="1" pivotButton="0" quotePrefix="0" xfId="0">
      <alignment horizontal="general" vertical="bottom"/>
    </xf>
    <xf numFmtId="171" fontId="16" fillId="0" borderId="1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top" wrapText="1"/>
    </xf>
    <xf numFmtId="165" fontId="17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0"/>
  </sheetPr>
  <dimension ref="A1:E18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4" customWidth="1" style="52" min="1" max="1"/>
    <col width="15" customWidth="1" style="52" min="2" max="2"/>
    <col width="11" customWidth="1" style="52" min="3" max="3"/>
    <col width="16" customWidth="1" style="52" min="4" max="4"/>
    <col width="70" customWidth="1" style="52" min="5" max="5"/>
  </cols>
  <sheetData>
    <row r="1" ht="17.35" customHeight="1" s="53">
      <c r="A1" s="54" t="inlineStr">
        <is>
          <t>electroPioreactor - CO₂ dosing &amp; O₂ management model</t>
        </is>
      </c>
    </row>
    <row r="2" ht="57.75" customHeight="1" s="53">
      <c r="A2" s="55" t="inlineStr">
        <is>
          <t>AMYBO aseptic electro-bioreactor - hydrogen-oxidising bacteria (C. necator) grown on electrolytic H₂/O₂ + dosed CO₂. UK English, SI. PHASE 1 (refined). Rule: every cell is a number, text, or a formula; formulae carry no embedded data values - each datum lives in its own named, sourced cell (only self-evident unit/stoichiometric integers appear inline). Invalid selector entries return an error by design. Sensitivity analysis deferred.</t>
        </is>
      </c>
    </row>
    <row r="4" ht="15" customHeight="1" s="53">
      <c r="A4" s="56" t="inlineStr">
        <is>
          <t>Confidence legend (source-cell colour):</t>
        </is>
      </c>
    </row>
    <row r="5" ht="15" customHeight="1" s="53">
      <c r="A5" s="57" t="n"/>
      <c r="B5" s="58" t="inlineStr">
        <is>
          <t>Verified / handbook / defined / standard</t>
        </is>
      </c>
    </row>
    <row r="6" ht="15" customHeight="1" s="53">
      <c r="A6" s="59" t="n"/>
      <c r="B6" s="58" t="inlineStr">
        <is>
          <t>Literature-supported (~90%)</t>
        </is>
      </c>
    </row>
    <row r="7" ht="15" customHeight="1" s="53">
      <c r="A7" s="60" t="n"/>
      <c r="B7" s="58" t="inlineStr">
        <is>
          <t>Design assumption (~70%)</t>
        </is>
      </c>
    </row>
    <row r="8" ht="15" customHeight="1" s="53">
      <c r="A8" s="61" t="n"/>
      <c r="B8" s="58" t="inlineStr">
        <is>
          <t>Weak / coarse estimate (~50%)</t>
        </is>
      </c>
    </row>
    <row r="9" ht="15" customHeight="1" s="53">
      <c r="A9" s="62" t="n"/>
      <c r="B9" s="58" t="inlineStr">
        <is>
          <t>Guess - replace when known</t>
        </is>
      </c>
    </row>
    <row r="10" ht="15" customHeight="1" s="53">
      <c r="A10" s="63" t="n"/>
      <c r="B10" s="58" t="inlineStr">
        <is>
          <t>DATA GAP - measure, do not invent</t>
        </is>
      </c>
    </row>
    <row r="12" ht="15" customHeight="1" s="53">
      <c r="A12" s="64" t="inlineStr">
        <is>
          <t>0.  SELECTORS  (each picker has exactly two valid values; anything else errors)</t>
        </is>
      </c>
      <c r="B12" s="65" t="n"/>
      <c r="C12" s="65" t="n"/>
      <c r="D12" s="65" t="n"/>
      <c r="E12" s="65" t="n"/>
    </row>
    <row r="13" ht="15" customHeight="1" s="53">
      <c r="A13" s="66" t="inlineStr">
        <is>
          <t>Parameter</t>
        </is>
      </c>
      <c r="B13" s="66" t="inlineStr">
        <is>
          <t>Name</t>
        </is>
      </c>
      <c r="C13" s="66" t="inlineStr">
        <is>
          <t>Unit</t>
        </is>
      </c>
      <c r="D13" s="66" t="inlineStr">
        <is>
          <t>Value</t>
        </is>
      </c>
      <c r="E13" s="66" t="inlineStr">
        <is>
          <t>Source / assumption</t>
        </is>
      </c>
    </row>
    <row r="14" ht="15" customHeight="1" s="53">
      <c r="A14" s="67" t="inlineStr">
        <is>
          <t>Reactor version</t>
        </is>
      </c>
      <c r="B14" s="68" t="inlineStr">
        <is>
          <t>rx_ver</t>
        </is>
      </c>
      <c r="C14" s="69" t="inlineStr">
        <is>
          <t>-</t>
        </is>
      </c>
      <c r="D14" s="70" t="inlineStr">
        <is>
          <t>AEP0.1.1</t>
        </is>
      </c>
      <c r="E14" s="71" t="inlineStr">
        <is>
          <t>Active build. Choose from the two valid values below. Dropdown.</t>
        </is>
      </c>
    </row>
    <row r="15" ht="15" customHeight="1" s="53">
      <c r="A15" s="67" t="inlineStr">
        <is>
          <t>Sparger type</t>
        </is>
      </c>
      <c r="B15" s="68" t="inlineStr">
        <is>
          <t>sparger</t>
        </is>
      </c>
      <c r="C15" s="69" t="inlineStr">
        <is>
          <t>-</t>
        </is>
      </c>
      <c r="D15" s="70" t="inlineStr">
        <is>
          <t>Sintered</t>
        </is>
      </c>
      <c r="E15" s="71" t="inlineStr">
        <is>
          <t>CO₂ delivery route. Choose from the two valid values below. Dropdown.</t>
        </is>
      </c>
    </row>
    <row r="16" ht="15" customHeight="1" s="53">
      <c r="A16" s="67" t="inlineStr">
        <is>
          <t>Sinter porosity grade (if Sintered)</t>
        </is>
      </c>
      <c r="B16" s="68" t="inlineStr">
        <is>
          <t>por_grade</t>
        </is>
      </c>
      <c r="C16" s="69" t="inlineStr">
        <is>
          <t>0-5</t>
        </is>
      </c>
      <c r="D16" s="70" t="n">
        <v>0</v>
      </c>
      <c r="E16" s="72" t="inlineStr">
        <is>
          <t>ISO 4793 / DURAN class; 0 = coarsest. Dropdown.</t>
        </is>
      </c>
    </row>
    <row r="17" ht="15" customHeight="1" s="53">
      <c r="A17" s="67" t="inlineStr">
        <is>
          <t xml:space="preserve">  valid version 1</t>
        </is>
      </c>
      <c r="B17" s="68" t="inlineStr">
        <is>
          <t>ver_name_1</t>
        </is>
      </c>
      <c r="C17" s="69" t="inlineStr">
        <is>
          <t>-</t>
        </is>
      </c>
      <c r="D17" s="73" t="inlineStr">
        <is>
          <t>AEP0.1.1</t>
        </is>
      </c>
      <c r="E17" s="71" t="inlineStr">
        <is>
          <t>Current build (20 mL Pioreactor vial, assumed).</t>
        </is>
      </c>
    </row>
    <row r="18" ht="15" customHeight="1" s="53">
      <c r="A18" s="67" t="inlineStr">
        <is>
          <t xml:space="preserve">  valid version 2</t>
        </is>
      </c>
      <c r="B18" s="68" t="inlineStr">
        <is>
          <t>ver_name_2</t>
        </is>
      </c>
      <c r="C18" s="69" t="inlineStr">
        <is>
          <t>-</t>
        </is>
      </c>
      <c r="D18" s="73" t="inlineStr">
        <is>
          <t>AEP0.2</t>
        </is>
      </c>
      <c r="E18" s="71" t="inlineStr">
        <is>
          <t>Planned build (40 mL Pioreactor vial).</t>
        </is>
      </c>
    </row>
    <row r="19" ht="15" customHeight="1" s="53">
      <c r="A19" s="67" t="inlineStr">
        <is>
          <t xml:space="preserve">  valid sparger 1</t>
        </is>
      </c>
      <c r="B19" s="68" t="inlineStr">
        <is>
          <t>spg_name_1</t>
        </is>
      </c>
      <c r="C19" s="69" t="inlineStr">
        <is>
          <t>-</t>
        </is>
      </c>
      <c r="D19" s="73" t="inlineStr">
        <is>
          <t>Tube</t>
        </is>
      </c>
      <c r="E19" s="71" t="inlineStr">
        <is>
          <t>Bare 1/8" OD x 1/16" ID Flexelene 135C tube orifice.</t>
        </is>
      </c>
    </row>
    <row r="20" ht="15" customHeight="1" s="53">
      <c r="A20" s="67" t="inlineStr">
        <is>
          <t xml:space="preserve">  valid sparger 2</t>
        </is>
      </c>
      <c r="B20" s="68" t="inlineStr">
        <is>
          <t>spg_name_2</t>
        </is>
      </c>
      <c r="C20" s="69" t="inlineStr">
        <is>
          <t>-</t>
        </is>
      </c>
      <c r="D20" s="73" t="inlineStr">
        <is>
          <t>Sintered</t>
        </is>
      </c>
      <c r="E20" s="71" t="inlineStr">
        <is>
          <t>10 mm sintered-glass disc annulus on a tubular anode.</t>
        </is>
      </c>
    </row>
    <row r="22" ht="15" customHeight="1" s="53">
      <c r="A22" s="64" t="inlineStr">
        <is>
          <t>1A.  REACTOR VERSION DATA  (raw per-build values - each its own sourced cell)</t>
        </is>
      </c>
      <c r="B22" s="65" t="n"/>
      <c r="C22" s="65" t="n"/>
      <c r="D22" s="65" t="n"/>
      <c r="E22" s="65" t="n"/>
    </row>
    <row r="23" ht="15" customHeight="1" s="53">
      <c r="A23" s="66" t="inlineStr">
        <is>
          <t>Parameter</t>
        </is>
      </c>
      <c r="B23" s="66" t="inlineStr">
        <is>
          <t>Name</t>
        </is>
      </c>
      <c r="C23" s="66" t="inlineStr">
        <is>
          <t>Unit</t>
        </is>
      </c>
      <c r="D23" s="66" t="inlineStr">
        <is>
          <t>Value</t>
        </is>
      </c>
      <c r="E23" s="66" t="inlineStr">
        <is>
          <t>Source / assumption</t>
        </is>
      </c>
    </row>
    <row r="24" ht="15" customHeight="1" s="53">
      <c r="A24" s="67" t="inlineStr">
        <is>
          <t>Vial outer diameter - AEP0.1.1</t>
        </is>
      </c>
      <c r="B24" s="68" t="inlineStr">
        <is>
          <t>vial_OD_1</t>
        </is>
      </c>
      <c r="C24" s="69" t="inlineStr">
        <is>
          <t>mm</t>
        </is>
      </c>
      <c r="D24" s="74" t="n">
        <v>27.48</v>
      </c>
      <c r="E24" s="72" t="inlineStr">
        <is>
          <t>Pioreactor 20 mL vial, measured OD.</t>
        </is>
      </c>
    </row>
    <row r="25" ht="15" customHeight="1" s="53">
      <c r="A25" s="67" t="inlineStr">
        <is>
          <t>Vial outer diameter - AEP0.2</t>
        </is>
      </c>
      <c r="B25" s="68" t="inlineStr">
        <is>
          <t>vial_OD_2</t>
        </is>
      </c>
      <c r="C25" s="69" t="inlineStr">
        <is>
          <t>mm</t>
        </is>
      </c>
      <c r="D25" s="74" t="n">
        <v>28</v>
      </c>
      <c r="E25" s="75" t="inlineStr">
        <is>
          <t>40 mL vial OD - placeholder, measure.</t>
        </is>
      </c>
    </row>
    <row r="26" ht="15" customHeight="1" s="53">
      <c r="A26" s="67" t="inlineStr">
        <is>
          <t>Internal usable depth - AEP0.1.1</t>
        </is>
      </c>
      <c r="B26" s="68" t="inlineStr">
        <is>
          <t>D_int_1</t>
        </is>
      </c>
      <c r="C26" s="69" t="inlineStr">
        <is>
          <t>mm</t>
        </is>
      </c>
      <c r="D26" s="76" t="n">
        <v>55</v>
      </c>
      <c r="E26" s="75" t="inlineStr">
        <is>
          <t>20 mL vial total height 57.4 mm; usable depth est. Measure.</t>
        </is>
      </c>
    </row>
    <row r="27" ht="15" customHeight="1" s="53">
      <c r="A27" s="67" t="inlineStr">
        <is>
          <t>Internal usable depth - AEP0.2</t>
        </is>
      </c>
      <c r="B27" s="68" t="inlineStr">
        <is>
          <t>D_int_2</t>
        </is>
      </c>
      <c r="C27" s="69" t="inlineStr">
        <is>
          <t>mm</t>
        </is>
      </c>
      <c r="D27" s="76" t="n">
        <v>95</v>
      </c>
      <c r="E27" s="75" t="inlineStr">
        <is>
          <t>40 mL vial - placeholder, measure.</t>
        </is>
      </c>
    </row>
    <row r="28" ht="15" customHeight="1" s="53">
      <c r="A28" s="67" t="inlineStr">
        <is>
          <t>Recommended max working volume - AEP0.1.1</t>
        </is>
      </c>
      <c r="B28" s="68" t="inlineStr">
        <is>
          <t>Vmax_1</t>
        </is>
      </c>
      <c r="C28" s="69" t="inlineStr">
        <is>
          <t>mL</t>
        </is>
      </c>
      <c r="D28" s="76" t="n">
        <v>16</v>
      </c>
      <c r="E28" s="72" t="inlineStr">
        <is>
          <t>Pioreactor docs: 8-16 mL for 20 mL vial; using max as level datum.</t>
        </is>
      </c>
    </row>
    <row r="29" ht="15" customHeight="1" s="53">
      <c r="A29" s="67" t="inlineStr">
        <is>
          <t>Recommended max working volume - AEP0.2</t>
        </is>
      </c>
      <c r="B29" s="68" t="inlineStr">
        <is>
          <t>Vmax_2</t>
        </is>
      </c>
      <c r="C29" s="69" t="inlineStr">
        <is>
          <t>mL</t>
        </is>
      </c>
      <c r="D29" s="76" t="n">
        <v>25</v>
      </c>
      <c r="E29" s="72" t="inlineStr">
        <is>
          <t>Pioreactor: 40 mL vial max 25 mL.</t>
        </is>
      </c>
    </row>
    <row r="30" ht="15" customHeight="1" s="53">
      <c r="A30" s="67" t="inlineStr">
        <is>
          <t>Total internal vial volume - AEP0.1.1</t>
        </is>
      </c>
      <c r="B30" s="68" t="inlineStr">
        <is>
          <t>Vtot_1</t>
        </is>
      </c>
      <c r="C30" s="69" t="inlineStr">
        <is>
          <t>mL</t>
        </is>
      </c>
      <c r="D30" s="76" t="n">
        <v>24</v>
      </c>
      <c r="E30" s="77" t="inlineStr">
        <is>
          <t>To cap underside (&gt; nominal). Placeholder - measure (water to fill).</t>
        </is>
      </c>
    </row>
    <row r="31" ht="15" customHeight="1" s="53">
      <c r="A31" s="67" t="inlineStr">
        <is>
          <t>Total internal vial volume - AEP0.2</t>
        </is>
      </c>
      <c r="B31" s="68" t="inlineStr">
        <is>
          <t>Vtot_2</t>
        </is>
      </c>
      <c r="C31" s="69" t="inlineStr">
        <is>
          <t>mL</t>
        </is>
      </c>
      <c r="D31" s="76" t="n">
        <v>42</v>
      </c>
      <c r="E31" s="77" t="inlineStr">
        <is>
          <t>Placeholder - measure.</t>
        </is>
      </c>
    </row>
    <row r="33" ht="15" customHeight="1" s="53">
      <c r="A33" s="64" t="inlineStr">
        <is>
          <t>1B.  ACTIVE REACTOR GEOMETRY  (selected build; level-matched to bare max volume)</t>
        </is>
      </c>
      <c r="B33" s="65" t="n"/>
      <c r="C33" s="65" t="n"/>
      <c r="D33" s="65" t="n"/>
      <c r="E33" s="65" t="n"/>
    </row>
    <row r="34" ht="15" customHeight="1" s="53">
      <c r="A34" s="66" t="inlineStr">
        <is>
          <t>Parameter</t>
        </is>
      </c>
      <c r="B34" s="66" t="inlineStr">
        <is>
          <t>Name</t>
        </is>
      </c>
      <c r="C34" s="66" t="inlineStr">
        <is>
          <t>Unit</t>
        </is>
      </c>
      <c r="D34" s="66" t="inlineStr">
        <is>
          <t>Value</t>
        </is>
      </c>
      <c r="E34" s="66" t="inlineStr">
        <is>
          <t>Source / assumption</t>
        </is>
      </c>
    </row>
    <row r="35" ht="15" customHeight="1" s="53">
      <c r="A35" s="67" t="inlineStr">
        <is>
          <t>Vial outer diameter</t>
        </is>
      </c>
      <c r="B35" s="68" t="inlineStr">
        <is>
          <t>vial_OD</t>
        </is>
      </c>
      <c r="C35" s="69" t="inlineStr">
        <is>
          <t>mm</t>
        </is>
      </c>
      <c r="D35" s="74">
        <f>IF(rx_ver=ver_name_1,vial_OD_1,IF(rx_ver=ver_name_2,vial_OD_2,NA()))</f>
        <v/>
      </c>
      <c r="E35" s="78" t="inlineStr">
        <is>
          <t>Selected by rx_ver; invalid version returns an error.</t>
        </is>
      </c>
    </row>
    <row r="36" ht="19.4" customHeight="1" s="53">
      <c r="A36" s="67" t="inlineStr">
        <is>
          <t>Vial wall thickness</t>
        </is>
      </c>
      <c r="B36" s="68" t="inlineStr">
        <is>
          <t>vial_wall</t>
        </is>
      </c>
      <c r="C36" s="69" t="inlineStr">
        <is>
          <t>mm</t>
        </is>
      </c>
      <c r="D36" s="79" t="n">
        <v>1.1</v>
      </c>
      <c r="E36" s="80" t="inlineStr">
        <is>
          <t>Borosilicate vial; Pioreactor publish neither wall nor internal diameter, so wall estimated ~1.1 mm (typical for this glass-vial class).</t>
        </is>
      </c>
    </row>
    <row r="37" ht="15" customHeight="1" s="53">
      <c r="A37" s="67" t="inlineStr">
        <is>
          <t>Vial internal diameter</t>
        </is>
      </c>
      <c r="B37" s="68" t="inlineStr">
        <is>
          <t>vial_ID</t>
        </is>
      </c>
      <c r="C37" s="69" t="inlineStr">
        <is>
          <t>mm</t>
        </is>
      </c>
      <c r="D37" s="74">
        <f>vial_OD-2*vial_wall</f>
        <v/>
      </c>
      <c r="E37" s="78" t="inlineStr">
        <is>
          <t>OD minus two wall thicknesses.</t>
        </is>
      </c>
    </row>
    <row r="38" ht="15" customHeight="1" s="53">
      <c r="A38" s="67" t="inlineStr">
        <is>
          <t>Internal cross-sectional area</t>
        </is>
      </c>
      <c r="B38" s="68" t="inlineStr">
        <is>
          <t>A_x</t>
        </is>
      </c>
      <c r="C38" s="69" t="inlineStr">
        <is>
          <t>mm²</t>
        </is>
      </c>
      <c r="D38" s="76">
        <f>PI()/4*vial_ID^2</f>
        <v/>
      </c>
      <c r="E38" s="78" t="inlineStr">
        <is>
          <t>Uniform-cylinder body approximation (neck excluded - see headspace).</t>
        </is>
      </c>
    </row>
    <row r="39" ht="15" customHeight="1" s="53">
      <c r="A39" s="67" t="inlineStr">
        <is>
          <t>Internal usable depth</t>
        </is>
      </c>
      <c r="B39" s="68" t="inlineStr">
        <is>
          <t>D_int</t>
        </is>
      </c>
      <c r="C39" s="69" t="inlineStr">
        <is>
          <t>mm</t>
        </is>
      </c>
      <c r="D39" s="76">
        <f>IF(rx_ver=ver_name_1,D_int_1,IF(rx_ver=ver_name_2,D_int_2,NA()))</f>
        <v/>
      </c>
      <c r="E39" s="78" t="inlineStr">
        <is>
          <t>Selected by rx_ver.</t>
        </is>
      </c>
    </row>
    <row r="40" ht="15" customHeight="1" s="53">
      <c r="A40" s="67" t="inlineStr">
        <is>
          <t>Recommended max working volume (datum)</t>
        </is>
      </c>
      <c r="B40" s="68" t="inlineStr">
        <is>
          <t>V_max</t>
        </is>
      </c>
      <c r="C40" s="69" t="inlineStr">
        <is>
          <t>mL</t>
        </is>
      </c>
      <c r="D40" s="76">
        <f>IF(rx_ver=ver_name_1,Vmax_1,IF(rx_ver=ver_name_2,Vmax_2,NA()))</f>
        <v/>
      </c>
      <c r="E40" s="78" t="inlineStr">
        <is>
          <t>Selected by rx_ver.</t>
        </is>
      </c>
    </row>
    <row r="41" ht="15" customHeight="1" s="53">
      <c r="A41" s="67" t="inlineStr">
        <is>
          <t>Total internal vial volume</t>
        </is>
      </c>
      <c r="B41" s="68" t="inlineStr">
        <is>
          <t>V_vial_total</t>
        </is>
      </c>
      <c r="C41" s="69" t="inlineStr">
        <is>
          <t>mL</t>
        </is>
      </c>
      <c r="D41" s="76">
        <f>IF(rx_ver=ver_name_1,Vtot_1,IF(rx_ver=ver_name_2,Vtot_2,NA()))</f>
        <v/>
      </c>
      <c r="E41" s="78" t="inlineStr">
        <is>
          <t>Selected by rx_ver.</t>
        </is>
      </c>
    </row>
    <row r="42" ht="15" customHeight="1" s="53">
      <c r="A42" s="67" t="inlineStr">
        <is>
          <t>Bare liquid level (datum height)</t>
        </is>
      </c>
      <c r="B42" s="68" t="inlineStr">
        <is>
          <t>h_datum</t>
        </is>
      </c>
      <c r="C42" s="69" t="inlineStr">
        <is>
          <t>mm</t>
        </is>
      </c>
      <c r="D42" s="74">
        <f>V_max*1000/A_x</f>
        <v/>
      </c>
      <c r="E42" s="78" t="inlineStr">
        <is>
          <t>Height the bare max volume reaches with no inserts.</t>
        </is>
      </c>
    </row>
    <row r="43" ht="15" customHeight="1" s="53">
      <c r="A43" s="67" t="inlineStr">
        <is>
          <t>Electrode rod diameter</t>
        </is>
      </c>
      <c r="B43" s="68" t="inlineStr">
        <is>
          <t>rod_d</t>
        </is>
      </c>
      <c r="C43" s="69" t="inlineStr">
        <is>
          <t>mm</t>
        </is>
      </c>
      <c r="D43" s="81" t="n">
        <v>6</v>
      </c>
      <c r="E43" s="71" t="inlineStr">
        <is>
          <t>6 mm rod electrodes.</t>
        </is>
      </c>
    </row>
    <row r="44" ht="15" customHeight="1" s="53">
      <c r="A44" s="67" t="inlineStr">
        <is>
          <t>Number of electrodes</t>
        </is>
      </c>
      <c r="B44" s="68" t="inlineStr">
        <is>
          <t>rod_n</t>
        </is>
      </c>
      <c r="C44" s="69" t="inlineStr">
        <is>
          <t>-</t>
        </is>
      </c>
      <c r="D44" s="70" t="n">
        <v>2</v>
      </c>
      <c r="E44" s="78" t="inlineStr">
        <is>
          <t>Anode + cathode.</t>
        </is>
      </c>
    </row>
    <row r="45" ht="19.4" customHeight="1" s="53">
      <c r="A45" s="67" t="inlineStr">
        <is>
          <t>Electrode tip clearance above base</t>
        </is>
      </c>
      <c r="B45" s="68" t="inlineStr">
        <is>
          <t>elec_clear</t>
        </is>
      </c>
      <c r="C45" s="69" t="inlineStr">
        <is>
          <t>mm</t>
        </is>
      </c>
      <c r="D45" s="81" t="n">
        <v>22</v>
      </c>
      <c r="E45" s="71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6" ht="15" customHeight="1" s="53">
      <c r="A46" s="82" t="inlineStr">
        <is>
          <t>Electrode insertion depth (derived)</t>
        </is>
      </c>
      <c r="B46" s="68" t="inlineStr">
        <is>
          <t>elec_ins</t>
        </is>
      </c>
      <c r="C46" s="69" t="inlineStr">
        <is>
          <t>mm</t>
        </is>
      </c>
      <c r="D46" s="83">
        <f>D_int-elec_clear</f>
        <v/>
      </c>
      <c r="E46" s="78" t="inlineStr">
        <is>
          <t>Cap underside -&gt; tip. Increases for the taller AEP0.2 to keep clearance constant.</t>
        </is>
      </c>
    </row>
    <row r="47" ht="15" customHeight="1" s="53">
      <c r="A47" s="67" t="inlineStr">
        <is>
          <t>Sparge tube OD</t>
        </is>
      </c>
      <c r="B47" s="68" t="inlineStr">
        <is>
          <t>spg_OD</t>
        </is>
      </c>
      <c r="C47" s="69" t="inlineStr">
        <is>
          <t>mm</t>
        </is>
      </c>
      <c r="D47" s="84" t="n">
        <v>3.175</v>
      </c>
      <c r="E47" s="78" t="inlineStr">
        <is>
          <t>1/8" OD Flexelene 135C.</t>
        </is>
      </c>
    </row>
    <row r="48" ht="15" customHeight="1" s="53">
      <c r="A48" s="67" t="inlineStr">
        <is>
          <t>Sparge tube ID</t>
        </is>
      </c>
      <c r="B48" s="68" t="inlineStr">
        <is>
          <t>spg_ID</t>
        </is>
      </c>
      <c r="C48" s="69" t="inlineStr">
        <is>
          <t>mm</t>
        </is>
      </c>
      <c r="D48" s="85" t="n">
        <v>1.5875</v>
      </c>
      <c r="E48" s="78" t="inlineStr">
        <is>
          <t>1/16" ID.</t>
        </is>
      </c>
    </row>
    <row r="49" ht="15" customHeight="1" s="53">
      <c r="A49" s="67" t="inlineStr">
        <is>
          <t>Sparge release height (= anode tip)</t>
        </is>
      </c>
      <c r="B49" s="68" t="inlineStr">
        <is>
          <t>spg_tip_h</t>
        </is>
      </c>
      <c r="C49" s="69" t="inlineStr">
        <is>
          <t>mm</t>
        </is>
      </c>
      <c r="D49" s="76">
        <f>elec_clear</f>
        <v/>
      </c>
      <c r="E49" s="71" t="inlineStr">
        <is>
          <t>CO₂ released near anode tip.</t>
        </is>
      </c>
    </row>
    <row r="50" ht="15" customHeight="1" s="53">
      <c r="A50" s="67" t="inlineStr">
        <is>
          <t>Efflux tube OD</t>
        </is>
      </c>
      <c r="B50" s="68" t="inlineStr">
        <is>
          <t>eff_OD</t>
        </is>
      </c>
      <c r="C50" s="69" t="inlineStr">
        <is>
          <t>mm</t>
        </is>
      </c>
      <c r="D50" s="84" t="n">
        <v>3.175</v>
      </c>
      <c r="E50" s="78" t="inlineStr">
        <is>
          <t>1/8" OD Flexelene 135C.</t>
        </is>
      </c>
    </row>
    <row r="51" ht="15" customHeight="1" s="53">
      <c r="A51" s="67" t="inlineStr">
        <is>
          <t>Efflux tube ID</t>
        </is>
      </c>
      <c r="B51" s="68" t="inlineStr">
        <is>
          <t>eff_ID</t>
        </is>
      </c>
      <c r="C51" s="69" t="inlineStr">
        <is>
          <t>mm</t>
        </is>
      </c>
      <c r="D51" s="85" t="n">
        <v>1.5875</v>
      </c>
      <c r="E51" s="78" t="inlineStr">
        <is>
          <t>1/16" ID.</t>
        </is>
      </c>
    </row>
    <row r="52" ht="15" customHeight="1" s="53">
      <c r="A52" s="67" t="inlineStr">
        <is>
          <t>Electrode submerged length (@datum)</t>
        </is>
      </c>
      <c r="B52" s="68" t="inlineStr">
        <is>
          <t>elec_sub_L</t>
        </is>
      </c>
      <c r="C52" s="69" t="inlineStr">
        <is>
          <t>mm</t>
        </is>
      </c>
      <c r="D52" s="74">
        <f>MAX(0,h_datum-elec_clear)</f>
        <v/>
      </c>
      <c r="E52" s="78" t="inlineStr">
        <is>
          <t>For displacement bookkeeping.</t>
        </is>
      </c>
    </row>
    <row r="53" ht="15" customHeight="1" s="53">
      <c r="A53" s="67" t="inlineStr">
        <is>
          <t>Electrode displaced volume</t>
        </is>
      </c>
      <c r="B53" s="68" t="inlineStr">
        <is>
          <t>elec_disp</t>
        </is>
      </c>
      <c r="C53" s="69" t="inlineStr">
        <is>
          <t>mL</t>
        </is>
      </c>
      <c r="D53" s="86">
        <f>rod_n*(PI()/4*rod_d^2)*elec_sub_L/1000</f>
        <v/>
      </c>
      <c r="E53" s="78" t="inlineStr">
        <is>
          <t>Submerged rod volume.</t>
        </is>
      </c>
    </row>
    <row r="54" ht="15" customHeight="1" s="53">
      <c r="A54" s="67" t="inlineStr">
        <is>
          <t>Sparge tube displaced volume</t>
        </is>
      </c>
      <c r="B54" s="68" t="inlineStr">
        <is>
          <t>spg_disp</t>
        </is>
      </c>
      <c r="C54" s="69" t="inlineStr">
        <is>
          <t>mL</t>
        </is>
      </c>
      <c r="D54" s="86">
        <f>(PI()/4*spg_OD^2)*MAX(0,h_datum-spg_tip_h)/1000</f>
        <v/>
      </c>
      <c r="E54" s="78" t="inlineStr">
        <is>
          <t>Submerged sparge-tube volume.</t>
        </is>
      </c>
    </row>
    <row r="55" ht="15" customHeight="1" s="53">
      <c r="A55" s="67" t="inlineStr">
        <is>
          <t>Efflux tube submerged length</t>
        </is>
      </c>
      <c r="B55" s="68" t="inlineStr">
        <is>
          <t>eff_sub_L</t>
        </is>
      </c>
      <c r="C55" s="69" t="inlineStr">
        <is>
          <t>mm</t>
        </is>
      </c>
      <c r="D55" s="86">
        <f>(eff_OD+eff_ID)/2</f>
        <v/>
      </c>
      <c r="E55" s="71" t="inlineStr">
        <is>
          <t>45 deg cut; level held at top of the ID opening, so wall is wetted from tip up to (OD+ID)/2.</t>
        </is>
      </c>
    </row>
    <row r="56" ht="15" customHeight="1" s="53">
      <c r="A56" s="67" t="inlineStr">
        <is>
          <t>Efflux tube displaced volume</t>
        </is>
      </c>
      <c r="B56" s="68" t="inlineStr">
        <is>
          <t>eff_disp</t>
        </is>
      </c>
      <c r="C56" s="69" t="inlineStr">
        <is>
          <t>mL</t>
        </is>
      </c>
      <c r="D56" s="87">
        <f>(PI()/4*(eff_OD^2-eff_ID^2))*eff_sub_L/1000</f>
        <v/>
      </c>
      <c r="E56" s="71" t="inlineStr">
        <is>
          <t>Annular wall only (bore is open to withdrawal). 45 deg approximation.</t>
        </is>
      </c>
    </row>
    <row r="57" ht="15" customHeight="1" s="53">
      <c r="A57" s="67" t="inlineStr">
        <is>
          <t>Total displaced volume</t>
        </is>
      </c>
      <c r="B57" s="68" t="inlineStr">
        <is>
          <t>disp_tot</t>
        </is>
      </c>
      <c r="C57" s="69" t="inlineStr">
        <is>
          <t>mL</t>
        </is>
      </c>
      <c r="D57" s="86">
        <f>elec_disp+spg_disp+eff_disp</f>
        <v/>
      </c>
      <c r="E57" s="78" t="inlineStr">
        <is>
          <t>Sum of submerged inserts.</t>
        </is>
      </c>
    </row>
    <row r="58" ht="15" customHeight="1" s="53">
      <c r="A58" s="82" t="inlineStr">
        <is>
          <t>LIQUID VOLUME TO CHARGE</t>
        </is>
      </c>
      <c r="B58" s="68" t="inlineStr">
        <is>
          <t>V_charge</t>
        </is>
      </c>
      <c r="C58" s="69" t="inlineStr">
        <is>
          <t>mL</t>
        </is>
      </c>
      <c r="D58" s="88">
        <f>ROUND(V_max-disp_tot,0)</f>
        <v/>
      </c>
      <c r="E58" s="78" t="inlineStr">
        <is>
          <t>Integer mL to charge so the level matches the bare datum despite inserts.</t>
        </is>
      </c>
    </row>
    <row r="59" ht="15" customHeight="1" s="53">
      <c r="A59" s="82" t="inlineStr">
        <is>
          <t>Resulting liquid level</t>
        </is>
      </c>
      <c r="B59" s="68" t="inlineStr">
        <is>
          <t>h_actual</t>
        </is>
      </c>
      <c r="C59" s="69" t="inlineStr">
        <is>
          <t>mm</t>
        </is>
      </c>
      <c r="D59" s="89">
        <f>(V_charge+disp_tot)*1000/A_x</f>
        <v/>
      </c>
      <c r="E59" s="78" t="inlineStr">
        <is>
          <t>Level achieved by the integer charge (displacement taken at datum; sub-mm error).</t>
        </is>
      </c>
    </row>
    <row r="60" ht="15" customHeight="1" s="53">
      <c r="A60" s="82" t="inlineStr">
        <is>
          <t>Sparge depth / bubble path length</t>
        </is>
      </c>
      <c r="B60" s="68" t="inlineStr">
        <is>
          <t>sparge_depth</t>
        </is>
      </c>
      <c r="C60" s="69" t="inlineStr">
        <is>
          <t>mm</t>
        </is>
      </c>
      <c r="D60" s="89">
        <f>MAX(0,h_actual-spg_tip_h)</f>
        <v/>
      </c>
      <c r="E60" s="78" t="inlineStr">
        <is>
          <t>Release point to surface.</t>
        </is>
      </c>
    </row>
    <row r="61" ht="15" customHeight="1" s="53">
      <c r="A61" s="82" t="inlineStr">
        <is>
          <t>Gas-liquid interfacial area</t>
        </is>
      </c>
      <c r="B61" s="68" t="inlineStr">
        <is>
          <t>interface_A</t>
        </is>
      </c>
      <c r="C61" s="69" t="inlineStr">
        <is>
          <t>mm²</t>
        </is>
      </c>
      <c r="D61" s="83">
        <f>A_x-(rod_n*(PI()/4*rod_d^2)+(PI()/4*spg_OD^2)+(PI()/4*eff_OD^2))</f>
        <v/>
      </c>
      <c r="E61" s="71" t="inlineStr">
        <is>
          <t>Free surface = cross-section minus inserts piercing it.</t>
        </is>
      </c>
    </row>
    <row r="62" ht="15" customHeight="1" s="53">
      <c r="A62" s="67" t="inlineStr">
        <is>
          <t>Extra headspace tube OD</t>
        </is>
      </c>
      <c r="B62" s="68" t="inlineStr">
        <is>
          <t>xtube_OD</t>
        </is>
      </c>
      <c r="C62" s="69" t="inlineStr">
        <is>
          <t>mm</t>
        </is>
      </c>
      <c r="D62" s="84" t="n">
        <v>3.175</v>
      </c>
      <c r="E62" s="71" t="inlineStr">
        <is>
          <t>3 further 1/8" tubes (gas-out, etc.) through the cap.</t>
        </is>
      </c>
    </row>
    <row r="63" ht="15" customHeight="1" s="53">
      <c r="A63" s="67" t="inlineStr">
        <is>
          <t>Number of extra headspace tubes</t>
        </is>
      </c>
      <c r="B63" s="68" t="inlineStr">
        <is>
          <t>xtube_n</t>
        </is>
      </c>
      <c r="C63" s="69" t="inlineStr">
        <is>
          <t>-</t>
        </is>
      </c>
      <c r="D63" s="70" t="n">
        <v>3</v>
      </c>
      <c r="E63" s="71" t="inlineStr">
        <is>
          <t>Protrude through the cap into headspace.</t>
        </is>
      </c>
    </row>
    <row r="64" ht="15" customHeight="1" s="53">
      <c r="A64" s="67" t="inlineStr">
        <is>
          <t>Extra tube protrusion</t>
        </is>
      </c>
      <c r="B64" s="68" t="inlineStr">
        <is>
          <t>xtube_pro</t>
        </is>
      </c>
      <c r="C64" s="69" t="inlineStr">
        <is>
          <t>mm</t>
        </is>
      </c>
      <c r="D64" s="81" t="n">
        <v>5</v>
      </c>
      <c r="E64" s="80" t="inlineStr">
        <is>
          <t>Each protrudes ~5 mm below cap (45 deg cut). Input.</t>
        </is>
      </c>
    </row>
    <row r="65" ht="19.4" customHeight="1" s="53">
      <c r="A65" s="67" t="inlineStr">
        <is>
          <t>Total in-vial insert volume</t>
        </is>
      </c>
      <c r="B65" s="68" t="inlineStr">
        <is>
          <t>V_inserts</t>
        </is>
      </c>
      <c r="C65" s="69" t="inlineStr">
        <is>
          <t>mL</t>
        </is>
      </c>
      <c r="D65" s="86">
        <f>(rod_n*(PI()/4*rod_d^2)*elec_ins+(PI()/4*spg_OD^2)*spg_len+(PI()/4*(eff_OD^2-eff_ID^2))*(D_int-h_actual)+xtube_n*(PI()/4*xtube_OD^2)*xtube_pro)/1000</f>
        <v/>
      </c>
      <c r="E65" s="71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6" ht="15" customHeight="1" s="53">
      <c r="A66" s="82" t="inlineStr">
        <is>
          <t>Headspace gas volume</t>
        </is>
      </c>
      <c r="B66" s="68" t="inlineStr">
        <is>
          <t>headspace_V</t>
        </is>
      </c>
      <c r="C66" s="69" t="inlineStr">
        <is>
          <t>mL</t>
        </is>
      </c>
      <c r="D66" s="89">
        <f>V_vial_total-V_charge-V_inserts</f>
        <v/>
      </c>
      <c r="E66" s="71" t="inlineStr">
        <is>
          <t>Total vial volume - liquid charged - inserts (captures neck narrowing).</t>
        </is>
      </c>
    </row>
    <row r="68" ht="15" customHeight="1" s="53">
      <c r="A68" s="64" t="inlineStr">
        <is>
          <t>2.  ELECTROLYSIS  (Gerrit's Law: constant current from LED intensity)</t>
        </is>
      </c>
      <c r="B68" s="65" t="n"/>
      <c r="C68" s="65" t="n"/>
      <c r="D68" s="65" t="n"/>
      <c r="E68" s="65" t="n"/>
    </row>
    <row r="69" ht="15" customHeight="1" s="53">
      <c r="A69" s="66" t="inlineStr">
        <is>
          <t>Parameter</t>
        </is>
      </c>
      <c r="B69" s="66" t="inlineStr">
        <is>
          <t>Name</t>
        </is>
      </c>
      <c r="C69" s="66" t="inlineStr">
        <is>
          <t>Unit</t>
        </is>
      </c>
      <c r="D69" s="66" t="inlineStr">
        <is>
          <t>Value</t>
        </is>
      </c>
      <c r="E69" s="66" t="inlineStr">
        <is>
          <t>Source / assumption</t>
        </is>
      </c>
    </row>
    <row r="70" ht="15" customHeight="1" s="53">
      <c r="A70" s="67" t="inlineStr">
        <is>
          <t>LED intensity setpoint (Pioreactor LED_D)</t>
        </is>
      </c>
      <c r="B70" s="68" t="inlineStr">
        <is>
          <t>intensity</t>
        </is>
      </c>
      <c r="C70" s="69" t="inlineStr">
        <is>
          <t>%</t>
        </is>
      </c>
      <c r="D70" s="90" t="n">
        <v>3</v>
      </c>
      <c r="E70" s="71" t="inlineStr">
        <is>
          <t>Electrode drive via LED_D channel. Input.</t>
        </is>
      </c>
    </row>
    <row r="71" ht="15" customHeight="1" s="53">
      <c r="A71" s="67" t="inlineStr">
        <is>
          <t>Gerrit's Law - slope</t>
        </is>
      </c>
      <c r="B71" s="68" t="inlineStr">
        <is>
          <t>gerrit_slope</t>
        </is>
      </c>
      <c r="C71" s="69" t="inlineStr">
        <is>
          <t>mA/%</t>
        </is>
      </c>
      <c r="D71" s="74" t="n">
        <v>1.03</v>
      </c>
      <c r="E71" s="72" t="inlineStr">
        <is>
          <t>Empirical linear fit of current vs LED intensity (constant-current: independent of electrolyte, volume, electrode coverage).</t>
        </is>
      </c>
    </row>
    <row r="72" ht="15" customHeight="1" s="53">
      <c r="A72" s="67" t="inlineStr">
        <is>
          <t>Gerrit's Law - intercept</t>
        </is>
      </c>
      <c r="B72" s="68" t="inlineStr">
        <is>
          <t>gerrit_int</t>
        </is>
      </c>
      <c r="C72" s="69" t="inlineStr">
        <is>
          <t>mA</t>
        </is>
      </c>
      <c r="D72" s="76" t="n">
        <v>2.6</v>
      </c>
      <c r="E72" s="72" t="inlineStr">
        <is>
          <t>Intercept of the same fit.</t>
        </is>
      </c>
    </row>
    <row r="73" ht="15" customHeight="1" s="53">
      <c r="A73" s="67" t="inlineStr">
        <is>
          <t>Gerrit's Law - min valid intensity</t>
        </is>
      </c>
      <c r="B73" s="68" t="inlineStr">
        <is>
          <t>gerrit_min</t>
        </is>
      </c>
      <c r="C73" s="69" t="inlineStr">
        <is>
          <t>%</t>
        </is>
      </c>
      <c r="D73" s="91" t="n">
        <v>3</v>
      </c>
      <c r="E73" s="72" t="inlineStr">
        <is>
          <t>Fit validated from 3%.</t>
        </is>
      </c>
    </row>
    <row r="74" ht="15" customHeight="1" s="53">
      <c r="A74" s="67" t="inlineStr">
        <is>
          <t>Gerrit's Law - max valid intensity</t>
        </is>
      </c>
      <c r="B74" s="68" t="inlineStr">
        <is>
          <t>gerrit_max</t>
        </is>
      </c>
      <c r="C74" s="69" t="inlineStr">
        <is>
          <t>%</t>
        </is>
      </c>
      <c r="D74" s="91" t="n">
        <v>25</v>
      </c>
      <c r="E74" s="72" t="inlineStr">
        <is>
          <t>Fit validated to 25%; above this constant-current may fail as cell V nears the 5 V rail.</t>
        </is>
      </c>
    </row>
    <row r="75" ht="15" customHeight="1" s="53">
      <c r="A75" s="67" t="inlineStr">
        <is>
          <t>Faraday constant</t>
        </is>
      </c>
      <c r="B75" s="68" t="inlineStr">
        <is>
          <t>F_const</t>
        </is>
      </c>
      <c r="C75" s="69" t="inlineStr">
        <is>
          <t>C/mol</t>
        </is>
      </c>
      <c r="D75" s="92" t="n">
        <v>96485.33212000001</v>
      </c>
      <c r="E75" s="93" t="inlineStr">
        <is>
          <t>NIST CODATA (exact, SI 2019).</t>
        </is>
      </c>
    </row>
    <row r="76" ht="15" customHeight="1" s="53">
      <c r="A76" s="67" t="inlineStr">
        <is>
          <t>Electrons per H₂</t>
        </is>
      </c>
      <c r="B76" s="68" t="inlineStr">
        <is>
          <t>z_e_H2</t>
        </is>
      </c>
      <c r="C76" s="69" t="inlineStr">
        <is>
          <t>-</t>
        </is>
      </c>
      <c r="D76" s="73" t="n">
        <v>2</v>
      </c>
      <c r="E76" s="78" t="inlineStr">
        <is>
          <t>2H⁺ + 2e⁻ -&gt; H₂.</t>
        </is>
      </c>
    </row>
    <row r="77" ht="15" customHeight="1" s="53">
      <c r="A77" s="67" t="inlineStr">
        <is>
          <t>Electrons per O₂</t>
        </is>
      </c>
      <c r="B77" s="68" t="inlineStr">
        <is>
          <t>z_e_O2</t>
        </is>
      </c>
      <c r="C77" s="69" t="inlineStr">
        <is>
          <t>-</t>
        </is>
      </c>
      <c r="D77" s="73" t="n">
        <v>4</v>
      </c>
      <c r="E77" s="78" t="inlineStr">
        <is>
          <t>2H₂O -&gt; O₂ + 4H⁺ + 4e⁻.</t>
        </is>
      </c>
    </row>
    <row r="78" ht="15" customHeight="1" s="53">
      <c r="A78" s="67" t="inlineStr">
        <is>
          <t>Faradaic efficiency – H₂ at cathode (HER share)</t>
        </is>
      </c>
      <c r="B78" s="68" t="inlineStr">
        <is>
          <t>etaF</t>
        </is>
      </c>
      <c r="C78" s="69" t="inlineStr">
        <is>
          <t>-</t>
        </is>
      </c>
      <c r="D78" s="79" t="n">
        <v>1</v>
      </c>
      <c r="E78" s="77" t="inlineStr">
        <is>
          <t>Clean water electrolysis FE approaches 100% (Nat. Commun. 2022). But in this neutral-pH cell, cathodic O₂ reduction competes with H₂ evolution, so true H₂ FE is likely &lt;1 and UNMEASURED. 1.0 = optimistic upper bound; measure by gas collection.</t>
        </is>
      </c>
    </row>
    <row r="79" ht="15" customHeight="1" s="53">
      <c r="A79" s="67" t="inlineStr">
        <is>
          <t>Electrolysis current (Gerrit's Law)</t>
        </is>
      </c>
      <c r="B79" s="68" t="inlineStr">
        <is>
          <t>I_app</t>
        </is>
      </c>
      <c r="C79" s="69" t="inlineStr">
        <is>
          <t>A</t>
        </is>
      </c>
      <c r="D79" s="87">
        <f>(gerrit_slope*intensity+gerrit_int)/1000</f>
        <v/>
      </c>
      <c r="E79" s="72" t="inlineStr">
        <is>
          <t>I(mA) = slope x intensity + intercept; /1000 -&gt; A.</t>
        </is>
      </c>
    </row>
    <row r="80" ht="15" customHeight="1" s="53">
      <c r="A80" s="67" t="inlineStr">
        <is>
          <t>Current-law validity flag</t>
        </is>
      </c>
      <c r="B80" s="68" t="inlineStr">
        <is>
          <t>I_valid</t>
        </is>
      </c>
      <c r="C80" s="69" t="inlineStr">
        <is>
          <t>-</t>
        </is>
      </c>
      <c r="D80" s="73">
        <f>IF(AND(intensity&gt;=gerrit_min,intensity&lt;=gerrit_max),"OK","OUT OF FITTED RANGE")</f>
        <v/>
      </c>
      <c r="E80" s="72" t="inlineStr">
        <is>
          <t>Linear fit only validated over the stated range.</t>
        </is>
      </c>
    </row>
    <row r="81" ht="15" customHeight="1" s="53">
      <c r="A81" s="67" t="inlineStr">
        <is>
          <t>H₂ generation rate</t>
        </is>
      </c>
      <c r="B81" s="68" t="inlineStr">
        <is>
          <t>rH2_gen</t>
        </is>
      </c>
      <c r="C81" s="69" t="inlineStr">
        <is>
          <t>mol/h</t>
        </is>
      </c>
      <c r="D81" s="94">
        <f>I_app*etaF/(z_e_H2*F_const)*3600</f>
        <v/>
      </c>
      <c r="E81" s="78" t="inlineStr">
        <is>
          <t>Faraday: I x etaF /(z F).</t>
        </is>
      </c>
    </row>
    <row r="82" ht="15" customHeight="1" s="53">
      <c r="A82" s="67" t="inlineStr">
        <is>
          <t>O₂ generation rate (anodic, gross)</t>
        </is>
      </c>
      <c r="B82" s="68" t="inlineStr">
        <is>
          <t>rO2_gen</t>
        </is>
      </c>
      <c r="C82" s="69" t="inlineStr">
        <is>
          <t>mol/h</t>
        </is>
      </c>
      <c r="D82" s="94">
        <f>I_app*etaF_OER/(z_e_O2*F_const)*3600</f>
        <v/>
      </c>
      <c r="E82" s="78" t="inlineStr">
        <is>
          <t>Anodic OER, gross. Uses etaF_OER (D-row below), not the cathodic H₂ etaF. H₂:O₂(anodic)=2:1.</t>
        </is>
      </c>
    </row>
    <row r="84" ht="15" customHeight="1" s="53">
      <c r="A84" s="64" t="inlineStr">
        <is>
          <t>3.  BIOLOGY  (cells consume 100% of evolved H₂; O₂ &amp; CO₂ pro-rata)</t>
        </is>
      </c>
      <c r="B84" s="65" t="n"/>
      <c r="C84" s="65" t="n"/>
      <c r="D84" s="65" t="n"/>
      <c r="E84" s="65" t="n"/>
    </row>
    <row r="85" ht="15" customHeight="1" s="53">
      <c r="A85" s="66" t="inlineStr">
        <is>
          <t>Parameter</t>
        </is>
      </c>
      <c r="B85" s="66" t="inlineStr">
        <is>
          <t>Name</t>
        </is>
      </c>
      <c r="C85" s="66" t="inlineStr">
        <is>
          <t>Unit</t>
        </is>
      </c>
      <c r="D85" s="66" t="inlineStr">
        <is>
          <t>Value</t>
        </is>
      </c>
      <c r="E85" s="66" t="inlineStr">
        <is>
          <t>Source / assumption</t>
        </is>
      </c>
    </row>
    <row r="86" ht="15" customHeight="1" s="53">
      <c r="A86" s="67" t="inlineStr">
        <is>
          <t>Gas requirement ratio - H₂</t>
        </is>
      </c>
      <c r="B86" s="68" t="inlineStr">
        <is>
          <t>bio_H2</t>
        </is>
      </c>
      <c r="C86" s="69" t="inlineStr">
        <is>
          <t>-</t>
        </is>
      </c>
      <c r="D86" s="70" t="n">
        <v>6</v>
      </c>
      <c r="E86" s="95" t="inlineStr">
        <is>
          <t>H₂:O₂:CO₂ consumption ratio (starting 6:2:1). NB literature recommends a 7:2:1 FEED mix - feed is not consumption.</t>
        </is>
      </c>
    </row>
    <row r="87" ht="15" customHeight="1" s="53">
      <c r="A87" s="67" t="inlineStr">
        <is>
          <t>Gas requirement ratio - O₂</t>
        </is>
      </c>
      <c r="B87" s="68" t="inlineStr">
        <is>
          <t>bio_O2</t>
        </is>
      </c>
      <c r="C87" s="69" t="inlineStr">
        <is>
          <t>-</t>
        </is>
      </c>
      <c r="D87" s="70" t="n">
        <v>2</v>
      </c>
      <c r="E87" s="95" t="inlineStr">
        <is>
          <t>As above.</t>
        </is>
      </c>
    </row>
    <row r="88" ht="15" customHeight="1" s="53">
      <c r="A88" s="67" t="inlineStr">
        <is>
          <t>Gas requirement ratio - CO₂</t>
        </is>
      </c>
      <c r="B88" s="68" t="inlineStr">
        <is>
          <t>bio_CO2</t>
        </is>
      </c>
      <c r="C88" s="69" t="inlineStr">
        <is>
          <t>-</t>
        </is>
      </c>
      <c r="D88" s="70" t="n">
        <v>1</v>
      </c>
      <c r="E88" s="95" t="inlineStr">
        <is>
          <t>As above.</t>
        </is>
      </c>
    </row>
    <row r="89" ht="15" customHeight="1" s="53">
      <c r="A89" s="67" t="inlineStr">
        <is>
          <t>H₂ consumed</t>
        </is>
      </c>
      <c r="B89" s="68" t="inlineStr">
        <is>
          <t>H2_cons</t>
        </is>
      </c>
      <c r="C89" s="69" t="inlineStr">
        <is>
          <t>mol/h</t>
        </is>
      </c>
      <c r="D89" s="94">
        <f>rH2_gen</f>
        <v/>
      </c>
      <c r="E89" s="71" t="inlineStr">
        <is>
          <t>Assumption: 100% of evolved H₂ consumed.</t>
        </is>
      </c>
    </row>
    <row r="90" ht="15" customHeight="1" s="53">
      <c r="A90" s="67" t="inlineStr">
        <is>
          <t>O₂ consumed</t>
        </is>
      </c>
      <c r="B90" s="68" t="inlineStr">
        <is>
          <t>O2_cons</t>
        </is>
      </c>
      <c r="C90" s="69" t="inlineStr">
        <is>
          <t>mol/h</t>
        </is>
      </c>
      <c r="D90" s="94">
        <f>H2_cons*bio_O2/bio_H2</f>
        <v/>
      </c>
      <c r="E90" s="71" t="inlineStr">
        <is>
          <t>H₂ consumed x (O₂/H₂ ratio).</t>
        </is>
      </c>
    </row>
    <row r="91" ht="15" customHeight="1" s="53">
      <c r="A91" s="67" t="inlineStr">
        <is>
          <t>CO₂ consumed (carbon fixation)</t>
        </is>
      </c>
      <c r="B91" s="68" t="inlineStr">
        <is>
          <t>CO2_cons</t>
        </is>
      </c>
      <c r="C91" s="69" t="inlineStr">
        <is>
          <t>mol/h</t>
        </is>
      </c>
      <c r="D91" s="94">
        <f>H2_cons*bio_CO2/bio_H2</f>
        <v/>
      </c>
      <c r="E91" s="71" t="inlineStr">
        <is>
          <t>H₂ consumed x (CO₂/H₂ ratio).</t>
        </is>
      </c>
    </row>
    <row r="92" ht="15" customHeight="1" s="53">
      <c r="A92" s="82" t="inlineStr">
        <is>
          <t>EXCESS O₂ to remove</t>
        </is>
      </c>
      <c r="B92" s="68" t="inlineStr">
        <is>
          <t>O2_excess</t>
        </is>
      </c>
      <c r="C92" s="69" t="inlineStr">
        <is>
          <t>mol/h</t>
        </is>
      </c>
      <c r="D92" s="96">
        <f>O2_net_gen-O2_cons</f>
        <v/>
      </c>
      <c r="E92" s="78" t="inlineStr">
        <is>
          <t>Net anodic O₂ (after cathodic ORR) minus biological O₂. Surplus to strip; when etaF&lt;1 the cathode itself removes part of the O₂, shrinking the stripping duty.</t>
        </is>
      </c>
    </row>
    <row r="94" ht="15" customHeight="1" s="53">
      <c r="A94" s="64" t="inlineStr">
        <is>
          <t>4.  O₂ CONSTRAINT  (growth ceiling; cathodic competition is the real driver)</t>
        </is>
      </c>
      <c r="B94" s="65" t="n"/>
      <c r="C94" s="65" t="n"/>
      <c r="D94" s="65" t="n"/>
      <c r="E94" s="65" t="n"/>
    </row>
    <row r="95" ht="15" customHeight="1" s="53">
      <c r="A95" s="66" t="inlineStr">
        <is>
          <t>Parameter</t>
        </is>
      </c>
      <c r="B95" s="66" t="inlineStr">
        <is>
          <t>Name</t>
        </is>
      </c>
      <c r="C95" s="66" t="inlineStr">
        <is>
          <t>Unit</t>
        </is>
      </c>
      <c r="D95" s="66" t="inlineStr">
        <is>
          <t>Value</t>
        </is>
      </c>
      <c r="E95" s="66" t="inlineStr">
        <is>
          <t>Source / assumption</t>
        </is>
      </c>
    </row>
    <row r="96" ht="15" customHeight="1" s="53">
      <c r="A96" s="67" t="inlineStr">
        <is>
          <t>Temperature</t>
        </is>
      </c>
      <c r="B96" s="68" t="inlineStr">
        <is>
          <t>T_C</t>
        </is>
      </c>
      <c r="C96" s="69" t="inlineStr">
        <is>
          <t>°C</t>
        </is>
      </c>
      <c r="D96" s="81" t="n">
        <v>30</v>
      </c>
      <c r="E96" s="71" t="inlineStr">
        <is>
          <t>C. necator optimum ~30 °C. Input.</t>
        </is>
      </c>
    </row>
    <row r="97" ht="15" customHeight="1" s="53">
      <c r="A97" s="67" t="inlineStr">
        <is>
          <t>Temperature (absolute)</t>
        </is>
      </c>
      <c r="B97" s="68" t="inlineStr">
        <is>
          <t>T_K</t>
        </is>
      </c>
      <c r="C97" s="69" t="inlineStr">
        <is>
          <t>K</t>
        </is>
      </c>
      <c r="D97" s="74">
        <f>T_C+273.15</f>
        <v/>
      </c>
      <c r="E97" s="78" t="inlineStr">
        <is>
          <t>°C + 273.15.</t>
        </is>
      </c>
    </row>
    <row r="98" ht="15" customHeight="1" s="53">
      <c r="A98" s="67" t="inlineStr">
        <is>
          <t>Surface pressure</t>
        </is>
      </c>
      <c r="B98" s="68" t="inlineStr">
        <is>
          <t>P_atm</t>
        </is>
      </c>
      <c r="C98" s="69" t="inlineStr">
        <is>
          <t>Pa</t>
        </is>
      </c>
      <c r="D98" s="70" t="n">
        <v>101325</v>
      </c>
      <c r="E98" s="71" t="inlineStr">
        <is>
          <t>Atmospheric at the liquid surface (assumed).</t>
        </is>
      </c>
    </row>
    <row r="99" ht="15" customHeight="1" s="53">
      <c r="A99" s="67" t="inlineStr">
        <is>
          <t>Standard atmosphere (atm-&gt;Pa)</t>
        </is>
      </c>
      <c r="B99" s="68" t="inlineStr">
        <is>
          <t>Pa_per_atm</t>
        </is>
      </c>
      <c r="C99" s="69" t="inlineStr">
        <is>
          <t>Pa/atm</t>
        </is>
      </c>
      <c r="D99" s="73" t="n">
        <v>101325</v>
      </c>
      <c r="E99" s="78" t="inlineStr">
        <is>
          <t>Defined: 1 atm = 101 325 Pa exactly.</t>
        </is>
      </c>
    </row>
    <row r="100" ht="15" customHeight="1" s="53">
      <c r="A100" s="67" t="inlineStr">
        <is>
          <t>Henry solubility O₂ (ref, 298.15 K)</t>
        </is>
      </c>
      <c r="B100" s="68" t="inlineStr">
        <is>
          <t>H_O2ref</t>
        </is>
      </c>
      <c r="C100" s="69" t="inlineStr">
        <is>
          <t>mol/m³/Pa</t>
        </is>
      </c>
      <c r="D100" s="73" t="n">
        <v>1.3e-05</v>
      </c>
      <c r="E100" s="72" t="inlineStr">
        <is>
          <t>Sander (2023) compilation (supersedes 2015), value from Burkholder et al. 2019.</t>
        </is>
      </c>
    </row>
    <row r="101" ht="15" customHeight="1" s="53">
      <c r="A101" s="67" t="inlineStr">
        <is>
          <t>Henry T-dependence O₂</t>
        </is>
      </c>
      <c r="B101" s="68" t="inlineStr">
        <is>
          <t>H_O2T</t>
        </is>
      </c>
      <c r="C101" s="69" t="inlineStr">
        <is>
          <t>K</t>
        </is>
      </c>
      <c r="D101" s="73" t="n">
        <v>1500</v>
      </c>
      <c r="E101" s="72" t="inlineStr">
        <is>
          <t>Sander (2023): d ln(Hcp)/d(1/T).</t>
        </is>
      </c>
    </row>
    <row r="102" ht="15" customHeight="1" s="53">
      <c r="A102" s="67" t="inlineStr">
        <is>
          <t>Reference temperature</t>
        </is>
      </c>
      <c r="B102" s="68" t="inlineStr">
        <is>
          <t>T_ref</t>
        </is>
      </c>
      <c r="C102" s="69" t="inlineStr">
        <is>
          <t>K</t>
        </is>
      </c>
      <c r="D102" s="73" t="n">
        <v>298.15</v>
      </c>
      <c r="E102" s="78" t="inlineStr">
        <is>
          <t>Standard reference for Henry constants.</t>
        </is>
      </c>
    </row>
    <row r="103" ht="15" customHeight="1" s="53">
      <c r="A103" s="67" t="inlineStr">
        <is>
          <t>Henry solubility O₂ at T</t>
        </is>
      </c>
      <c r="B103" s="68" t="inlineStr">
        <is>
          <t>H_O2_T</t>
        </is>
      </c>
      <c r="C103" s="69" t="inlineStr">
        <is>
          <t>mol/m³/Pa</t>
        </is>
      </c>
      <c r="D103" s="97">
        <f>H_O2ref*EXP(H_O2T*(1/T_K-1/T_ref))</f>
        <v/>
      </c>
      <c r="E103" s="78" t="inlineStr">
        <is>
          <t>van 't Hoff correction to reactor T.</t>
        </is>
      </c>
    </row>
    <row r="104" ht="15" customHeight="1" s="53">
      <c r="A104" s="67" t="inlineStr">
        <is>
          <t>O₂ growth-inhibition ceiling (gas)</t>
        </is>
      </c>
      <c r="B104" s="68" t="inlineStr">
        <is>
          <t>O2_ceil_atm</t>
        </is>
      </c>
      <c r="C104" s="69" t="inlineStr">
        <is>
          <t>atm</t>
        </is>
      </c>
      <c r="D104" s="73" t="n">
        <v>0.3</v>
      </c>
      <c r="E104" s="72" t="inlineStr">
        <is>
          <t>Whole-cell growth inhibited above ~0.30 atm O₂ - NOT a hydrogenase limit (the [NiFe] enzyme is O₂-tolerant).</t>
        </is>
      </c>
    </row>
    <row r="105" ht="15" customHeight="1" s="53">
      <c r="A105" s="67" t="inlineStr">
        <is>
          <t xml:space="preserve">  O₂ ceiling is whole-cell, not enzyme</t>
        </is>
      </c>
      <c r="C105" s="69" t="inlineStr">
        <is>
          <t>-</t>
        </is>
      </c>
      <c r="D105" s="73" t="n"/>
      <c r="E105" s="72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06" ht="15" customHeight="1" s="53">
      <c r="A106" s="67" t="inlineStr">
        <is>
          <t>O₂ ceiling (partial pressure)</t>
        </is>
      </c>
      <c r="B106" s="68" t="inlineStr">
        <is>
          <t>O2_ceil_Pa</t>
        </is>
      </c>
      <c r="C106" s="69" t="inlineStr">
        <is>
          <t>Pa</t>
        </is>
      </c>
      <c r="D106" s="76">
        <f>O2_ceil_atm*Pa_per_atm</f>
        <v/>
      </c>
      <c r="E106" s="78" t="inlineStr">
        <is>
          <t>Ceiling in Pa.</t>
        </is>
      </c>
    </row>
    <row r="107" ht="15" customHeight="1" s="53">
      <c r="A107" s="67" t="inlineStr">
        <is>
          <t>Dissolved-O₂ ceiling</t>
        </is>
      </c>
      <c r="B107" s="68" t="inlineStr">
        <is>
          <t>O2_ceil_C</t>
        </is>
      </c>
      <c r="C107" s="69" t="inlineStr">
        <is>
          <t>mol/m³</t>
        </is>
      </c>
      <c r="D107" s="87">
        <f>H_O2_T*O2_ceil_Pa</f>
        <v/>
      </c>
      <c r="E107" s="78" t="inlineStr">
        <is>
          <t>Henry's law at the gas ceiling.</t>
        </is>
      </c>
    </row>
    <row r="108" ht="19.4" customHeight="1" s="53">
      <c r="A108" s="82" t="inlineStr">
        <is>
          <t>Dissolved-O₂ ceiling</t>
        </is>
      </c>
      <c r="B108" s="68" t="inlineStr">
        <is>
          <t>O2_ceil_uM</t>
        </is>
      </c>
      <c r="C108" s="69" t="inlineStr">
        <is>
          <t>µM</t>
        </is>
      </c>
      <c r="D108" s="83">
        <f>O2_ceil_C*1000</f>
        <v/>
      </c>
      <c r="E108" s="98" t="inlineStr">
        <is>
          <t>mol/m³ = mmol/L; x1000 = µM. Practical aim is to MINIMISE dissolved O₂ (cathodic O₂ reduction steals H₂-evolution current); floor set by stripping capacity.</t>
        </is>
      </c>
    </row>
    <row r="110" ht="15" customHeight="1" s="53">
      <c r="A110" s="64" t="inlineStr">
        <is>
          <t>5.  CO₂ DOSING  (SodaStream + regulator + solenoid + needle valve)</t>
        </is>
      </c>
      <c r="B110" s="65" t="n"/>
      <c r="C110" s="65" t="n"/>
      <c r="D110" s="65" t="n"/>
      <c r="E110" s="65" t="n"/>
    </row>
    <row r="111" ht="15" customHeight="1" s="53">
      <c r="A111" s="66" t="inlineStr">
        <is>
          <t>Parameter</t>
        </is>
      </c>
      <c r="B111" s="66" t="inlineStr">
        <is>
          <t>Name</t>
        </is>
      </c>
      <c r="C111" s="66" t="inlineStr">
        <is>
          <t>Unit</t>
        </is>
      </c>
      <c r="D111" s="66" t="inlineStr">
        <is>
          <t>Value</t>
        </is>
      </c>
      <c r="E111" s="66" t="inlineStr">
        <is>
          <t>Source / assumption</t>
        </is>
      </c>
    </row>
    <row r="112" ht="15" customHeight="1" s="53">
      <c r="A112" s="67" t="inlineStr">
        <is>
          <t>CO₂ volumetric flow rate</t>
        </is>
      </c>
      <c r="B112" s="68" t="inlineStr">
        <is>
          <t>Q_CO2</t>
        </is>
      </c>
      <c r="C112" s="69" t="inlineStr">
        <is>
          <t>mL/min</t>
        </is>
      </c>
      <c r="D112" s="81" t="n">
        <v>10</v>
      </c>
      <c r="E112" s="71" t="inlineStr">
        <is>
          <t>Needle-valve setting at ~atmospheric surface. Input.</t>
        </is>
      </c>
    </row>
    <row r="113" ht="15" customHeight="1" s="53">
      <c r="A113" s="67" t="inlineStr">
        <is>
          <t>Sparge duration per pulse</t>
        </is>
      </c>
      <c r="B113" s="68" t="inlineStr">
        <is>
          <t>spg_dur</t>
        </is>
      </c>
      <c r="C113" s="69" t="inlineStr">
        <is>
          <t>s</t>
        </is>
      </c>
      <c r="D113" s="79" t="n">
        <v>1</v>
      </c>
      <c r="E113" s="71" t="inlineStr">
        <is>
          <t>Solenoid open time. Input.</t>
        </is>
      </c>
    </row>
    <row r="114" ht="15" customHeight="1" s="53">
      <c r="A114" s="67" t="inlineStr">
        <is>
          <t>Sparge interval</t>
        </is>
      </c>
      <c r="B114" s="68" t="inlineStr">
        <is>
          <t>spg_int</t>
        </is>
      </c>
      <c r="C114" s="69" t="inlineStr">
        <is>
          <t>min</t>
        </is>
      </c>
      <c r="D114" s="79" t="n">
        <v>1</v>
      </c>
      <c r="E114" s="71" t="inlineStr">
        <is>
          <t>Time between pulse starts. Input.</t>
        </is>
      </c>
    </row>
    <row r="115" ht="15" customHeight="1" s="53">
      <c r="A115" s="67" t="inlineStr">
        <is>
          <t>Min reliable pulse (solenoid floor)</t>
        </is>
      </c>
      <c r="B115" s="68" t="inlineStr">
        <is>
          <t>pulse_floor</t>
        </is>
      </c>
      <c r="C115" s="69" t="inlineStr">
        <is>
          <t>s</t>
        </is>
      </c>
      <c r="D115" s="79" t="n">
        <v>0.5</v>
      </c>
      <c r="E115" s="80" t="inlineStr">
        <is>
          <t>Smallest dependable actuation. Provisional - characterise.</t>
        </is>
      </c>
    </row>
    <row r="116" ht="15" customHeight="1" s="53">
      <c r="A116" s="67" t="inlineStr">
        <is>
          <t>Ideal gas constant</t>
        </is>
      </c>
      <c r="B116" s="68" t="inlineStr">
        <is>
          <t>R_gas</t>
        </is>
      </c>
      <c r="C116" s="69" t="inlineStr">
        <is>
          <t>J/mol/K</t>
        </is>
      </c>
      <c r="D116" s="94" t="n">
        <v>8.314462618</v>
      </c>
      <c r="E116" s="93" t="inlineStr">
        <is>
          <t>NIST CODATA (exact, SI 2019).</t>
        </is>
      </c>
    </row>
    <row r="117" ht="15" customHeight="1" s="53">
      <c r="A117" s="67" t="inlineStr">
        <is>
          <t>Molar mass CO₂</t>
        </is>
      </c>
      <c r="B117" s="68" t="inlineStr">
        <is>
          <t>M_CO2</t>
        </is>
      </c>
      <c r="C117" s="69" t="inlineStr">
        <is>
          <t>g/mol</t>
        </is>
      </c>
      <c r="D117" s="87" t="n">
        <v>44.0095</v>
      </c>
      <c r="E117" s="93" t="inlineStr">
        <is>
          <t>NIST WebBook.</t>
        </is>
      </c>
    </row>
    <row r="118" ht="15" customHeight="1" s="53">
      <c r="A118" s="67" t="inlineStr">
        <is>
          <t>CO₂ molar flow during sparge</t>
        </is>
      </c>
      <c r="B118" s="68" t="inlineStr">
        <is>
          <t>nCO2_rate</t>
        </is>
      </c>
      <c r="C118" s="69" t="inlineStr">
        <is>
          <t>mol/s</t>
        </is>
      </c>
      <c r="D118" s="99">
        <f>P_atm*(Q_CO2/1000000/60)/(R_gas*T_K)</f>
        <v/>
      </c>
      <c r="E118" s="78" t="inlineStr">
        <is>
          <t>Ideal gas n=PV/RT at surface conditions.</t>
        </is>
      </c>
    </row>
    <row r="119" ht="15" customHeight="1" s="53">
      <c r="A119" s="67" t="inlineStr">
        <is>
          <t>CO₂ per pulse</t>
        </is>
      </c>
      <c r="B119" s="68" t="inlineStr">
        <is>
          <t>CO2_pulse</t>
        </is>
      </c>
      <c r="C119" s="69" t="inlineStr">
        <is>
          <t>mol</t>
        </is>
      </c>
      <c r="D119" s="97">
        <f>nCO2_rate*spg_dur</f>
        <v/>
      </c>
      <c r="E119" s="78" t="inlineStr">
        <is>
          <t>Molar flow x duration.</t>
        </is>
      </c>
    </row>
    <row r="120" ht="15" customHeight="1" s="53">
      <c r="A120" s="67" t="inlineStr">
        <is>
          <t>Pulses per hour</t>
        </is>
      </c>
      <c r="B120" s="68" t="inlineStr">
        <is>
          <t>pulses_h</t>
        </is>
      </c>
      <c r="C120" s="69" t="inlineStr">
        <is>
          <t>1/h</t>
        </is>
      </c>
      <c r="D120" s="74">
        <f>60/spg_int</f>
        <v/>
      </c>
      <c r="E120" s="78" t="inlineStr">
        <is>
          <t>60 / interval(min).</t>
        </is>
      </c>
    </row>
    <row r="121" ht="15" customHeight="1" s="53">
      <c r="A121" s="67" t="inlineStr">
        <is>
          <t>Pulses per day</t>
        </is>
      </c>
      <c r="B121" s="68" t="inlineStr">
        <is>
          <t>pulses_d</t>
        </is>
      </c>
      <c r="C121" s="69" t="inlineStr">
        <is>
          <t>1/d</t>
        </is>
      </c>
      <c r="D121" s="76">
        <f>pulses_h*24</f>
        <v/>
      </c>
      <c r="E121" s="78" t="n"/>
    </row>
    <row r="122" ht="15" customHeight="1" s="53">
      <c r="A122" s="82" t="inlineStr">
        <is>
          <t>Average CO₂ supply rate</t>
        </is>
      </c>
      <c r="B122" s="68" t="inlineStr">
        <is>
          <t>CO2_supply</t>
        </is>
      </c>
      <c r="C122" s="69" t="inlineStr">
        <is>
          <t>mol/h</t>
        </is>
      </c>
      <c r="D122" s="96">
        <f>CO2_pulse*pulses_h</f>
        <v/>
      </c>
      <c r="E122" s="78" t="inlineStr">
        <is>
          <t>Time-averaged.</t>
        </is>
      </c>
    </row>
    <row r="123" ht="15" customHeight="1" s="53">
      <c r="A123" s="82" t="inlineStr">
        <is>
          <t>CO₂ supply : carbon demand</t>
        </is>
      </c>
      <c r="B123" s="68" t="inlineStr">
        <is>
          <t>CO2_sd_ratio</t>
        </is>
      </c>
      <c r="C123" s="69" t="inlineStr">
        <is>
          <t>×</t>
        </is>
      </c>
      <c r="D123" s="89">
        <f>IF(CO2_cons&gt;0,CO2_supply/CO2_cons,NA())</f>
        <v/>
      </c>
      <c r="E123" s="78" t="inlineStr">
        <is>
          <t>&gt;1 = carbon non-limiting (before stripping use).</t>
        </is>
      </c>
    </row>
    <row r="124" ht="15" customHeight="1" s="53">
      <c r="A124" s="82" t="inlineStr">
        <is>
          <t>Sparge duty cycle</t>
        </is>
      </c>
      <c r="B124" s="68" t="inlineStr">
        <is>
          <t>duty</t>
        </is>
      </c>
      <c r="C124" s="69" t="inlineStr">
        <is>
          <t>-</t>
        </is>
      </c>
      <c r="D124" s="100">
        <f>spg_dur/(spg_int*60)</f>
        <v/>
      </c>
      <c r="E124" s="78" t="inlineStr">
        <is>
          <t>Fraction of time sparging.</t>
        </is>
      </c>
    </row>
    <row r="126" ht="15" customHeight="1" s="53">
      <c r="A126" s="64" t="inlineStr">
        <is>
          <t>6.  CO₂ BUBBLE SIZE  (orifice vs sinter)</t>
        </is>
      </c>
      <c r="B126" s="65" t="n"/>
      <c r="C126" s="65" t="n"/>
      <c r="D126" s="65" t="n"/>
      <c r="E126" s="65" t="n"/>
    </row>
    <row r="127" ht="15" customHeight="1" s="53">
      <c r="A127" s="66" t="inlineStr">
        <is>
          <t>Parameter</t>
        </is>
      </c>
      <c r="B127" s="66" t="inlineStr">
        <is>
          <t>Name</t>
        </is>
      </c>
      <c r="C127" s="66" t="inlineStr">
        <is>
          <t>Unit</t>
        </is>
      </c>
      <c r="D127" s="66" t="inlineStr">
        <is>
          <t>Value</t>
        </is>
      </c>
      <c r="E127" s="66" t="inlineStr">
        <is>
          <t>Source / assumption</t>
        </is>
      </c>
    </row>
    <row r="128" ht="15" customHeight="1" s="53">
      <c r="A128" s="67" t="inlineStr">
        <is>
          <t>Surface tension (water, T)</t>
        </is>
      </c>
      <c r="B128" s="68" t="inlineStr">
        <is>
          <t>sigma</t>
        </is>
      </c>
      <c r="C128" s="69" t="inlineStr">
        <is>
          <t>N/m</t>
        </is>
      </c>
      <c r="D128" s="87" t="n">
        <v>0.0712</v>
      </c>
      <c r="E128" s="72" t="inlineStr">
        <is>
          <t>IAPWS R1-76(2014) formulation, evaluated at 30 °C.</t>
        </is>
      </c>
    </row>
    <row r="129" ht="15" customHeight="1" s="53">
      <c r="A129" s="67" t="inlineStr">
        <is>
          <t>Liquid density (water, T)</t>
        </is>
      </c>
      <c r="B129" s="68" t="inlineStr">
        <is>
          <t>rho_L</t>
        </is>
      </c>
      <c r="C129" s="69" t="inlineStr">
        <is>
          <t>kg/m³</t>
        </is>
      </c>
      <c r="D129" s="74" t="n">
        <v>995.65</v>
      </c>
      <c r="E129" s="72" t="inlineStr">
        <is>
          <t>IAPWS-95, evaluated at 30 °C.</t>
        </is>
      </c>
    </row>
    <row r="130" ht="15" customHeight="1" s="53">
      <c r="A130" s="67" t="inlineStr">
        <is>
          <t>Gravitational acceleration</t>
        </is>
      </c>
      <c r="B130" s="68" t="inlineStr">
        <is>
          <t>g_const</t>
        </is>
      </c>
      <c r="C130" s="69" t="inlineStr">
        <is>
          <t>m/s²</t>
        </is>
      </c>
      <c r="D130" s="92" t="n">
        <v>9.806649999999999</v>
      </c>
      <c r="E130" s="93" t="inlineStr">
        <is>
          <t>Standard gravity (defined).</t>
        </is>
      </c>
    </row>
    <row r="131" ht="15" customHeight="1" s="53">
      <c r="A131" s="67" t="inlineStr">
        <is>
          <t>O₂ diffusivity in water (T)</t>
        </is>
      </c>
      <c r="B131" s="68" t="inlineStr">
        <is>
          <t>D_O2</t>
        </is>
      </c>
      <c r="C131" s="69" t="inlineStr">
        <is>
          <t>m²/s</t>
        </is>
      </c>
      <c r="D131" s="73" t="n">
        <v>2.4e-09</v>
      </c>
      <c r="E131" s="71" t="inlineStr">
        <is>
          <t>Literature ~2.4e-9 at 30 °C (Han &amp; Bartels 1996). Confirm.</t>
        </is>
      </c>
    </row>
    <row r="132" ht="15" customHeight="1" s="53">
      <c r="A132" s="67" t="inlineStr">
        <is>
          <t>Pore size - grade 0</t>
        </is>
      </c>
      <c r="B132" s="68" t="inlineStr">
        <is>
          <t>por0_um</t>
        </is>
      </c>
      <c r="C132" s="69" t="inlineStr">
        <is>
          <t>µm</t>
        </is>
      </c>
      <c r="D132" s="73" t="n">
        <v>205</v>
      </c>
      <c r="E132" s="72" t="inlineStr">
        <is>
          <t>DURAN P0 160-250 µm, midpoint. ISO 4793 (paywalled) underlies; DURAN table is free.</t>
        </is>
      </c>
    </row>
    <row r="133" ht="15" customHeight="1" s="53">
      <c r="A133" s="67" t="inlineStr">
        <is>
          <t>Pore size - grade 1</t>
        </is>
      </c>
      <c r="B133" s="68" t="inlineStr">
        <is>
          <t>por1_um</t>
        </is>
      </c>
      <c r="C133" s="69" t="inlineStr">
        <is>
          <t>µm</t>
        </is>
      </c>
      <c r="D133" s="73" t="n">
        <v>130</v>
      </c>
      <c r="E133" s="72" t="inlineStr">
        <is>
          <t>DURAN P1 100-160 µm, midpoint.</t>
        </is>
      </c>
    </row>
    <row r="134" ht="15" customHeight="1" s="53">
      <c r="A134" s="67" t="inlineStr">
        <is>
          <t>Pore size - grade 2</t>
        </is>
      </c>
      <c r="B134" s="68" t="inlineStr">
        <is>
          <t>por2_um</t>
        </is>
      </c>
      <c r="C134" s="69" t="inlineStr">
        <is>
          <t>µm</t>
        </is>
      </c>
      <c r="D134" s="73" t="n">
        <v>70</v>
      </c>
      <c r="E134" s="72" t="inlineStr">
        <is>
          <t>DURAN P2 40-100 µm, midpoint.</t>
        </is>
      </c>
    </row>
    <row r="135" ht="15" customHeight="1" s="53">
      <c r="A135" s="67" t="inlineStr">
        <is>
          <t>Pore size - grade 3</t>
        </is>
      </c>
      <c r="B135" s="68" t="inlineStr">
        <is>
          <t>por3_um</t>
        </is>
      </c>
      <c r="C135" s="69" t="inlineStr">
        <is>
          <t>µm</t>
        </is>
      </c>
      <c r="D135" s="73" t="n">
        <v>28</v>
      </c>
      <c r="E135" s="72" t="inlineStr">
        <is>
          <t>DURAN P3 16-40 µm, midpoint.</t>
        </is>
      </c>
    </row>
    <row r="136" ht="15" customHeight="1" s="53">
      <c r="A136" s="67" t="inlineStr">
        <is>
          <t>Pore size - grade 4</t>
        </is>
      </c>
      <c r="B136" s="68" t="inlineStr">
        <is>
          <t>por4_um</t>
        </is>
      </c>
      <c r="C136" s="69" t="inlineStr">
        <is>
          <t>µm</t>
        </is>
      </c>
      <c r="D136" s="73" t="n">
        <v>13</v>
      </c>
      <c r="E136" s="72" t="inlineStr">
        <is>
          <t>DURAN P4 10-16 µm, midpoint.</t>
        </is>
      </c>
    </row>
    <row r="137" ht="15" customHeight="1" s="53">
      <c r="A137" s="67" t="inlineStr">
        <is>
          <t>Pore size - grade 5</t>
        </is>
      </c>
      <c r="B137" s="68" t="inlineStr">
        <is>
          <t>por5_um</t>
        </is>
      </c>
      <c r="C137" s="69" t="inlineStr">
        <is>
          <t>µm</t>
        </is>
      </c>
      <c r="D137" s="76" t="n">
        <v>1.3</v>
      </c>
      <c r="E137" s="72" t="inlineStr">
        <is>
          <t>DURAN P5 1.0-1.6 µm, midpoint.</t>
        </is>
      </c>
    </row>
    <row r="138" ht="15" customHeight="1" s="53">
      <c r="A138" s="67" t="inlineStr">
        <is>
          <t>Selected sinter pore diameter</t>
        </is>
      </c>
      <c r="B138" s="68" t="inlineStr">
        <is>
          <t>por_pore</t>
        </is>
      </c>
      <c r="C138" s="69" t="inlineStr">
        <is>
          <t>m</t>
        </is>
      </c>
      <c r="D138" s="101">
        <f>CHOOSE(por_grade+1,por0_um,por1_um,por2_um,por3_um,por4_um,por5_um)/1000000</f>
        <v/>
      </c>
      <c r="E138" s="78" t="inlineStr">
        <is>
          <t>Picked by por_grade.</t>
        </is>
      </c>
    </row>
    <row r="139" ht="15" customHeight="1" s="53">
      <c r="A139" s="67" t="inlineStr">
        <is>
          <t>Tube orifice diameter</t>
        </is>
      </c>
      <c r="B139" s="68" t="inlineStr">
        <is>
          <t>tube_d_m</t>
        </is>
      </c>
      <c r="C139" s="69" t="inlineStr">
        <is>
          <t>m</t>
        </is>
      </c>
      <c r="D139" s="101">
        <f>spg_ID/1000</f>
        <v/>
      </c>
      <c r="E139" s="78" t="inlineStr">
        <is>
          <t>Tube ID in metres.</t>
        </is>
      </c>
    </row>
    <row r="140" ht="15" customHeight="1" s="53">
      <c r="A140" s="67" t="inlineStr">
        <is>
          <t>Effective orifice/pore diameter</t>
        </is>
      </c>
      <c r="B140" s="68" t="inlineStr">
        <is>
          <t>d_orifice</t>
        </is>
      </c>
      <c r="C140" s="69" t="inlineStr">
        <is>
          <t>m</t>
        </is>
      </c>
      <c r="D140" s="101">
        <f>IF(sparger=spg_name_1,tube_d_m,IF(sparger=spg_name_2,por_pore,NA()))</f>
        <v/>
      </c>
      <c r="E140" s="78" t="inlineStr">
        <is>
          <t>Tube ID or sinter pore; invalid sparger returns an error.</t>
        </is>
      </c>
    </row>
    <row r="141" ht="15" customHeight="1" s="53">
      <c r="A141" s="82" t="inlineStr">
        <is>
          <t>Bubble detachment diameter</t>
        </is>
      </c>
      <c r="B141" s="68" t="inlineStr">
        <is>
          <t>d_bubble</t>
        </is>
      </c>
      <c r="C141" s="69" t="inlineStr">
        <is>
          <t>m</t>
        </is>
      </c>
      <c r="D141" s="96">
        <f>(6*d_orifice*sigma/(rho_L*g_const))^(1/3)</f>
        <v/>
      </c>
      <c r="E141" s="102" t="inlineStr">
        <is>
          <t>Static low-flow force balance (buoyancy vs surface tension). Flow-dependence not modelled.</t>
        </is>
      </c>
    </row>
    <row r="142" ht="15" customHeight="1" s="53">
      <c r="A142" s="82" t="inlineStr">
        <is>
          <t>Bubble diameter (display)</t>
        </is>
      </c>
      <c r="B142" s="68" t="inlineStr">
        <is>
          <t>d_bubble_mm</t>
        </is>
      </c>
      <c r="C142" s="69" t="inlineStr">
        <is>
          <t>mm</t>
        </is>
      </c>
      <c r="D142" s="103">
        <f>d_bubble*1000</f>
        <v/>
      </c>
      <c r="E142" s="102" t="n"/>
    </row>
    <row r="143" ht="15" customHeight="1" s="53">
      <c r="A143" s="67" t="inlineStr">
        <is>
          <t>Mendelson coefficient a</t>
        </is>
      </c>
      <c r="B143" s="68" t="inlineStr">
        <is>
          <t>mend_a</t>
        </is>
      </c>
      <c r="C143" s="69" t="inlineStr">
        <is>
          <t>-</t>
        </is>
      </c>
      <c r="D143" s="74" t="n">
        <v>2.14</v>
      </c>
      <c r="E143" s="102" t="inlineStr">
        <is>
          <t>Mendelson (1967) wave-theory bubble rise correlation (AIChE J, paywalled).</t>
        </is>
      </c>
    </row>
    <row r="144" ht="15" customHeight="1" s="53">
      <c r="A144" s="67" t="inlineStr">
        <is>
          <t>Mendelson coefficient b</t>
        </is>
      </c>
      <c r="B144" s="68" t="inlineStr">
        <is>
          <t>mend_b</t>
        </is>
      </c>
      <c r="C144" s="69" t="inlineStr">
        <is>
          <t>-</t>
        </is>
      </c>
      <c r="D144" s="86" t="n">
        <v>0.505</v>
      </c>
      <c r="E144" s="102" t="inlineStr">
        <is>
          <t>Mendelson (1967), as above.</t>
        </is>
      </c>
    </row>
    <row r="145" ht="15" customHeight="1" s="53">
      <c r="A145" s="67" t="inlineStr">
        <is>
          <t>Bubble rise velocity</t>
        </is>
      </c>
      <c r="B145" s="68" t="inlineStr">
        <is>
          <t>u_rise</t>
        </is>
      </c>
      <c r="C145" s="69" t="inlineStr">
        <is>
          <t>m/s</t>
        </is>
      </c>
      <c r="D145" s="87">
        <f>SQRT(mend_a*sigma/(rho_L*d_bubble)+mend_b*g_const*d_bubble)</f>
        <v/>
      </c>
      <c r="E145" s="102" t="inlineStr">
        <is>
          <t>Mendelson correlation, mm-scale bubbles.</t>
        </is>
      </c>
    </row>
    <row r="147" ht="15" customHeight="1" s="53">
      <c r="A147" s="64" t="inlineStr">
        <is>
          <t>7.  O₂ STRIPPING CAPACITY  (kLa estimate - low confidence)</t>
        </is>
      </c>
      <c r="B147" s="65" t="n"/>
      <c r="C147" s="65" t="n"/>
      <c r="D147" s="65" t="n"/>
      <c r="E147" s="65" t="n"/>
    </row>
    <row r="148" ht="15" customHeight="1" s="53">
      <c r="A148" s="66" t="inlineStr">
        <is>
          <t>Parameter</t>
        </is>
      </c>
      <c r="B148" s="66" t="inlineStr">
        <is>
          <t>Name</t>
        </is>
      </c>
      <c r="C148" s="66" t="inlineStr">
        <is>
          <t>Unit</t>
        </is>
      </c>
      <c r="D148" s="66" t="inlineStr">
        <is>
          <t>Value</t>
        </is>
      </c>
      <c r="E148" s="66" t="inlineStr">
        <is>
          <t>Source / assumption</t>
        </is>
      </c>
    </row>
    <row r="149" ht="15" customHeight="1" s="53">
      <c r="A149" s="67" t="inlineStr">
        <is>
          <t>Superficial gas velocity (sparge on)</t>
        </is>
      </c>
      <c r="B149" s="68" t="inlineStr">
        <is>
          <t>u_sg</t>
        </is>
      </c>
      <c r="C149" s="69" t="inlineStr">
        <is>
          <t>m/s</t>
        </is>
      </c>
      <c r="D149" s="94">
        <f>(Q_CO2/1000000/60)/(A_x/1000000)</f>
        <v/>
      </c>
      <c r="E149" s="78" t="inlineStr">
        <is>
          <t>Gas flow / liquid cross-section.</t>
        </is>
      </c>
    </row>
    <row r="150" ht="15" customHeight="1" s="53">
      <c r="A150" s="67" t="inlineStr">
        <is>
          <t>Gas holdup (sparge on)</t>
        </is>
      </c>
      <c r="B150" s="68" t="inlineStr">
        <is>
          <t>holdup</t>
        </is>
      </c>
      <c r="C150" s="69" t="inlineStr">
        <is>
          <t>-</t>
        </is>
      </c>
      <c r="D150" s="94">
        <f>u_sg/u_rise</f>
        <v/>
      </c>
      <c r="E150" s="102" t="inlineStr">
        <is>
          <t>ε ≈ superficial gas velocity / rise velocity.</t>
        </is>
      </c>
    </row>
    <row r="151" ht="15" customHeight="1" s="53">
      <c r="A151" s="67" t="inlineStr">
        <is>
          <t>Interfacial area for transfer</t>
        </is>
      </c>
      <c r="B151" s="68" t="inlineStr">
        <is>
          <t>a_int</t>
        </is>
      </c>
      <c r="C151" s="69" t="inlineStr">
        <is>
          <t>1/m</t>
        </is>
      </c>
      <c r="D151" s="74">
        <f>6*holdup/d_bubble</f>
        <v/>
      </c>
      <c r="E151" s="102" t="inlineStr">
        <is>
          <t>a = 6ε/d_b (spheres).</t>
        </is>
      </c>
    </row>
    <row r="152" ht="15" customHeight="1" s="53">
      <c r="A152" s="67" t="inlineStr">
        <is>
          <t>Bubble-liquid contact time</t>
        </is>
      </c>
      <c r="B152" s="68" t="inlineStr">
        <is>
          <t>t_contact</t>
        </is>
      </c>
      <c r="C152" s="69" t="inlineStr">
        <is>
          <t>s</t>
        </is>
      </c>
      <c r="D152" s="87">
        <f>d_bubble/u_rise</f>
        <v/>
      </c>
      <c r="E152" s="102" t="inlineStr">
        <is>
          <t>d_b / rise velocity.</t>
        </is>
      </c>
    </row>
    <row r="153" ht="15" customHeight="1" s="53">
      <c r="A153" s="67" t="inlineStr">
        <is>
          <t>Liquid-film coefficient kL</t>
        </is>
      </c>
      <c r="B153" s="68" t="inlineStr">
        <is>
          <t>kL</t>
        </is>
      </c>
      <c r="C153" s="69" t="inlineStr">
        <is>
          <t>m/s</t>
        </is>
      </c>
      <c r="D153" s="94">
        <f>2*SQRT(D_O2/(PI()*t_contact))</f>
        <v/>
      </c>
      <c r="E153" s="102" t="inlineStr">
        <is>
          <t>Higbie penetration theory.</t>
        </is>
      </c>
    </row>
    <row r="154" ht="15" customHeight="1" s="53">
      <c r="A154" s="82" t="inlineStr">
        <is>
          <t>kLa during sparge</t>
        </is>
      </c>
      <c r="B154" s="68" t="inlineStr">
        <is>
          <t>kLa_sparge</t>
        </is>
      </c>
      <c r="C154" s="69" t="inlineStr">
        <is>
          <t>1/s</t>
        </is>
      </c>
      <c r="D154" s="96">
        <f>kL*a_int</f>
        <v/>
      </c>
      <c r="E154" s="102" t="inlineStr">
        <is>
          <t>kL x a.</t>
        </is>
      </c>
    </row>
    <row r="155" ht="15" customHeight="1" s="53">
      <c r="A155" s="67" t="inlineStr">
        <is>
          <t>kLa time-averaged</t>
        </is>
      </c>
      <c r="B155" s="68" t="inlineStr">
        <is>
          <t>kLa_avg</t>
        </is>
      </c>
      <c r="C155" s="69" t="inlineStr">
        <is>
          <t>1/s</t>
        </is>
      </c>
      <c r="D155" s="97">
        <f>kLa_sparge*duty</f>
        <v/>
      </c>
      <c r="E155" s="102" t="inlineStr">
        <is>
          <t>x duty cycle.</t>
        </is>
      </c>
    </row>
    <row r="156" ht="15" customHeight="1" s="53">
      <c r="A156" s="67" t="inlineStr">
        <is>
          <t>O₂ strip rate at ceiling (sparge on)</t>
        </is>
      </c>
      <c r="B156" s="68" t="inlineStr">
        <is>
          <t>strip_sparge</t>
        </is>
      </c>
      <c r="C156" s="69" t="inlineStr">
        <is>
          <t>mol/h</t>
        </is>
      </c>
      <c r="D156" s="94">
        <f>kLa_sparge*(V_charge/1000000)*O2_ceil_C*3600</f>
        <v/>
      </c>
      <c r="E156" s="102" t="inlineStr">
        <is>
          <t>Max while sparging, bulk O₂ at ceiling, CO₂ bubbles ~O₂-free.</t>
        </is>
      </c>
    </row>
    <row r="157" ht="15" customHeight="1" s="53">
      <c r="A157" s="82" t="inlineStr">
        <is>
          <t>O₂ strip rate time-averaged</t>
        </is>
      </c>
      <c r="B157" s="68" t="inlineStr">
        <is>
          <t>strip_avg</t>
        </is>
      </c>
      <c r="C157" s="69" t="inlineStr">
        <is>
          <t>mol/h</t>
        </is>
      </c>
      <c r="D157" s="96">
        <f>strip_sparge*duty</f>
        <v/>
      </c>
      <c r="E157" s="102" t="inlineStr">
        <is>
          <t>x duty cycle.</t>
        </is>
      </c>
    </row>
    <row r="158" ht="15" customHeight="1" s="53">
      <c r="A158" s="82" t="inlineStr">
        <is>
          <t>Strip capacity : excess-O₂</t>
        </is>
      </c>
      <c r="B158" s="68" t="inlineStr">
        <is>
          <t>strip_ratio</t>
        </is>
      </c>
      <c r="C158" s="69" t="inlineStr">
        <is>
          <t>×</t>
        </is>
      </c>
      <c r="D158" s="103">
        <f>IF(O2_excess&gt;0,strip_avg/O2_excess,NA())</f>
        <v/>
      </c>
      <c r="E158" s="102" t="inlineStr">
        <is>
          <t>&gt;=1 = dissolved-gas stripping holds the ceiling; &lt;1 = relies on bubble knock-off or DO rises.</t>
        </is>
      </c>
    </row>
    <row r="159" ht="15" customHeight="1" s="53">
      <c r="A159" s="67" t="inlineStr">
        <is>
          <t>Required time-avg kLa</t>
        </is>
      </c>
      <c r="B159" s="68" t="inlineStr">
        <is>
          <t>kLa_req</t>
        </is>
      </c>
      <c r="C159" s="69" t="inlineStr">
        <is>
          <t>1/s</t>
        </is>
      </c>
      <c r="D159" s="94">
        <f>IF(O2_excess&gt;0,O2_excess/3600/((V_charge/1000000)*O2_ceil_C),NA())</f>
        <v/>
      </c>
      <c r="E159" s="102" t="inlineStr">
        <is>
          <t>kLa that would exactly strip the excess at the ceiling.</t>
        </is>
      </c>
    </row>
    <row r="161" ht="15" customHeight="1" s="53">
      <c r="A161" s="64" t="inlineStr">
        <is>
          <t>8.  MEDIA CARRYOVER CEILING  (vent-filter clog risk)</t>
        </is>
      </c>
      <c r="B161" s="65" t="n"/>
      <c r="C161" s="65" t="n"/>
      <c r="D161" s="65" t="n"/>
      <c r="E161" s="65" t="n"/>
    </row>
    <row r="162" ht="15" customHeight="1" s="53">
      <c r="A162" s="66" t="inlineStr">
        <is>
          <t>Parameter</t>
        </is>
      </c>
      <c r="B162" s="66" t="inlineStr">
        <is>
          <t>Name</t>
        </is>
      </c>
      <c r="C162" s="66" t="inlineStr">
        <is>
          <t>Unit</t>
        </is>
      </c>
      <c r="D162" s="66" t="inlineStr">
        <is>
          <t>Value</t>
        </is>
      </c>
      <c r="E162" s="66" t="inlineStr">
        <is>
          <t>Source / assumption</t>
        </is>
      </c>
    </row>
    <row r="163" ht="19.4" customHeight="1" s="53">
      <c r="A163" s="67" t="inlineStr">
        <is>
          <t>Entrainment velocity ceiling (rule of thumb)</t>
        </is>
      </c>
      <c r="B163" s="68" t="inlineStr">
        <is>
          <t>u_g_max</t>
        </is>
      </c>
      <c r="C163" s="69" t="inlineStr">
        <is>
          <t>m/s</t>
        </is>
      </c>
      <c r="D163" s="84" t="n">
        <v>0.05</v>
      </c>
      <c r="E163" s="102" t="inlineStr">
        <is>
          <t>Provisional superficial-velocity ceiling above which droplet carryover to the hydrophilic vent filters becomes likely. Replace with measured value.</t>
        </is>
      </c>
    </row>
    <row r="164" ht="15" customHeight="1" s="53">
      <c r="A164" s="82" t="inlineStr">
        <is>
          <t>Carryover flag</t>
        </is>
      </c>
      <c r="B164" s="68" t="inlineStr">
        <is>
          <t>carry_flag</t>
        </is>
      </c>
      <c r="C164" s="69" t="inlineStr">
        <is>
          <t>-</t>
        </is>
      </c>
      <c r="D164" s="104">
        <f>IF(u_sg&gt;u_g_max,"RISK - reduce flow","OK")</f>
        <v/>
      </c>
      <c r="E164" s="102" t="inlineStr">
        <is>
          <t>Operating gas velocity vs ceiling.</t>
        </is>
      </c>
    </row>
    <row r="166" ht="15" customHeight="1" s="53">
      <c r="A166" s="64" t="inlineStr">
        <is>
          <t>9.  DOSING-SCHEDULE FEASIBILITY</t>
        </is>
      </c>
      <c r="B166" s="65" t="n"/>
      <c r="C166" s="65" t="n"/>
      <c r="D166" s="65" t="n"/>
      <c r="E166" s="65" t="n"/>
    </row>
    <row r="167" ht="15" customHeight="1" s="53">
      <c r="A167" s="66" t="inlineStr">
        <is>
          <t>Parameter</t>
        </is>
      </c>
      <c r="B167" s="66" t="inlineStr">
        <is>
          <t>Name</t>
        </is>
      </c>
      <c r="C167" s="66" t="inlineStr">
        <is>
          <t>Unit</t>
        </is>
      </c>
      <c r="D167" s="66" t="inlineStr">
        <is>
          <t>Value</t>
        </is>
      </c>
      <c r="E167" s="66" t="inlineStr">
        <is>
          <t>Source / assumption</t>
        </is>
      </c>
    </row>
    <row r="168" ht="15" customHeight="1" s="53">
      <c r="A168" s="67" t="inlineStr">
        <is>
          <t>O₂ accumulated per interval</t>
        </is>
      </c>
      <c r="B168" s="68" t="inlineStr">
        <is>
          <t>O2_accum</t>
        </is>
      </c>
      <c r="C168" s="69" t="inlineStr">
        <is>
          <t>mol</t>
        </is>
      </c>
      <c r="D168" s="97">
        <f>O2_excess/60*spg_int</f>
        <v/>
      </c>
      <c r="E168" s="78" t="inlineStr">
        <is>
          <t>Excess O₂ generated between pulses.</t>
        </is>
      </c>
    </row>
    <row r="169" ht="15" customHeight="1" s="53">
      <c r="A169" s="67" t="inlineStr">
        <is>
          <t>O₂ removable per pulse</t>
        </is>
      </c>
      <c r="B169" s="68" t="inlineStr">
        <is>
          <t>O2_strip_pulse</t>
        </is>
      </c>
      <c r="C169" s="69" t="inlineStr">
        <is>
          <t>mol</t>
        </is>
      </c>
      <c r="D169" s="97">
        <f>strip_sparge/3600*spg_dur</f>
        <v/>
      </c>
      <c r="E169" s="102" t="inlineStr">
        <is>
          <t>O₂ a pulse strips (at ceiling).</t>
        </is>
      </c>
    </row>
    <row r="170" ht="15" customHeight="1" s="53">
      <c r="A170" s="82" t="inlineStr">
        <is>
          <t>Per-pulse balance</t>
        </is>
      </c>
      <c r="B170" s="68" t="inlineStr">
        <is>
          <t>sched_bal</t>
        </is>
      </c>
      <c r="C170" s="69" t="inlineStr">
        <is>
          <t>×</t>
        </is>
      </c>
      <c r="D170" s="103">
        <f>IF(O2_accum&gt;0,O2_strip_pulse/O2_accum,NA())</f>
        <v/>
      </c>
      <c r="E170" s="102" t="inlineStr">
        <is>
          <t>&gt;=1 = each pulse clears the interval's O₂ by stripping alone.</t>
        </is>
      </c>
    </row>
    <row r="171" ht="15" customHeight="1" s="53">
      <c r="A171" s="82" t="inlineStr">
        <is>
          <t>Duration floor check</t>
        </is>
      </c>
      <c r="B171" s="68" t="inlineStr">
        <is>
          <t>dur_ok</t>
        </is>
      </c>
      <c r="C171" s="69" t="inlineStr">
        <is>
          <t>-</t>
        </is>
      </c>
      <c r="D171" s="104">
        <f>IF(spg_dur&gt;=pulse_floor,"OK","BELOW SOLENOID FLOOR")</f>
        <v/>
      </c>
      <c r="E171" s="71" t="inlineStr">
        <is>
          <t>Pulse must exceed reliable actuation time.</t>
        </is>
      </c>
    </row>
    <row r="172" ht="15" customHeight="1" s="53">
      <c r="A172" s="82" t="inlineStr">
        <is>
          <t>Schedule verdict</t>
        </is>
      </c>
      <c r="B172" s="68" t="inlineStr">
        <is>
          <t>sched_verdict</t>
        </is>
      </c>
      <c r="C172" s="69" t="inlineStr">
        <is>
          <t>-</t>
        </is>
      </c>
      <c r="D172" s="104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2" s="102" t="inlineStr">
        <is>
          <t>Synthesised recommendation (Phase 1 logic).</t>
        </is>
      </c>
    </row>
    <row r="174">
      <c r="A174" s="64" t="inlineStr">
        <is>
          <t>10.  FARADAIC O₂ BALANCE &amp; BUBBLE-REGIME CHECK  (Phase 1.2 additions)</t>
        </is>
      </c>
    </row>
    <row r="175">
      <c r="A175" s="66" t="inlineStr">
        <is>
          <t>Parameter</t>
        </is>
      </c>
      <c r="B175" s="66" t="inlineStr">
        <is>
          <t>Name</t>
        </is>
      </c>
      <c r="C175" s="66" t="inlineStr">
        <is>
          <t>Unit</t>
        </is>
      </c>
      <c r="D175" s="66" t="inlineStr">
        <is>
          <t>Value</t>
        </is>
      </c>
      <c r="E175" s="66" t="inlineStr">
        <is>
          <t>Source / assumption</t>
        </is>
      </c>
    </row>
    <row r="176">
      <c r="A176" s="67" t="inlineStr">
        <is>
          <t>Sparge tube in-vial length</t>
        </is>
      </c>
      <c r="B176" s="68" t="inlineStr">
        <is>
          <t>spg_len</t>
        </is>
      </c>
      <c r="C176" s="69" t="inlineStr">
        <is>
          <t>mm</t>
        </is>
      </c>
      <c r="D176" s="94">
        <f>D_int-spg_tip_h</f>
        <v/>
      </c>
      <c r="E176" s="71" t="inlineStr">
        <is>
          <t>Cap underside to release point. Was implicitly = elec_ins; now explicit so it tracks spg_tip_h independently.</t>
        </is>
      </c>
    </row>
    <row r="177">
      <c r="A177" s="67" t="inlineStr">
        <is>
          <t>Anodic O₂ faradaic efficiency</t>
        </is>
      </c>
      <c r="B177" s="68" t="inlineStr">
        <is>
          <t>etaF_OER</t>
        </is>
      </c>
      <c r="C177" s="69" t="inlineStr">
        <is>
          <t>-</t>
        </is>
      </c>
      <c r="D177" s="79" t="n">
        <v>1</v>
      </c>
      <c r="E177" s="71" t="inlineStr">
        <is>
          <t>OER at the anode assumed ~100% faradaic; the cell's inefficiency is cathodic (O₂ reduction competing with H₂), not anodic. Design assumption.</t>
        </is>
      </c>
    </row>
    <row r="178">
      <c r="A178" s="67" t="inlineStr">
        <is>
          <t>Electrons per O₂ reduced (cathode)</t>
        </is>
      </c>
      <c r="B178" s="68" t="inlineStr">
        <is>
          <t>z_e_ORR</t>
        </is>
      </c>
      <c r="C178" s="69" t="inlineStr">
        <is>
          <t>-</t>
        </is>
      </c>
      <c r="D178" s="79" t="n">
        <v>4</v>
      </c>
      <c r="E178" s="71" t="inlineStr">
        <is>
          <t>Cathodic O₂-reduction pathway: 4 = full reduction to water, 2 = peroxide. Assumed 4. Confirm.</t>
        </is>
      </c>
    </row>
    <row r="179">
      <c r="A179" s="67" t="inlineStr">
        <is>
          <t>O₂ consumed at cathode (ORR)</t>
        </is>
      </c>
      <c r="B179" s="68" t="inlineStr">
        <is>
          <t>O2_cathode_ORR</t>
        </is>
      </c>
      <c r="C179" s="69" t="inlineStr">
        <is>
          <t>mol/h</t>
        </is>
      </c>
      <c r="D179" s="94">
        <f>I_app*(1-etaF)/(z_e_ORR*F_const)*3600</f>
        <v/>
      </c>
      <c r="E179" s="71" t="inlineStr">
        <is>
          <t>The cathodic current NOT making H₂ (1-etaF) reduces dissolved O₂. Zero while etaF=1; rises as the real H₂ efficiency falls.</t>
        </is>
      </c>
    </row>
    <row r="180">
      <c r="A180" s="67" t="inlineStr">
        <is>
          <t>Net O₂ to dissolved pool</t>
        </is>
      </c>
      <c r="B180" s="68" t="inlineStr">
        <is>
          <t>O2_net_gen</t>
        </is>
      </c>
      <c r="C180" s="69" t="inlineStr">
        <is>
          <t>mol/h</t>
        </is>
      </c>
      <c r="D180" s="94">
        <f>rO2_gen-O2_cathode_ORR</f>
        <v/>
      </c>
      <c r="E180" s="71" t="inlineStr">
        <is>
          <t>Gross anodic O₂ minus cathodic consumption. This is the O₂ the biology and stripping actually have to manage.</t>
        </is>
      </c>
    </row>
    <row r="181">
      <c r="A181" s="67" t="inlineStr">
        <is>
          <t>CO₂ gas density (T,P)</t>
        </is>
      </c>
      <c r="B181" s="68" t="inlineStr">
        <is>
          <t>rho_CO2</t>
        </is>
      </c>
      <c r="C181" s="69" t="inlineStr">
        <is>
          <t>kg/m³</t>
        </is>
      </c>
      <c r="D181" s="94">
        <f>P_atm*(M_CO2/1000)/(R_gas*T_K)</f>
        <v/>
      </c>
      <c r="E181" s="71" t="inlineStr">
        <is>
          <t>Ideal gas at surface conditions; for the orifice Weber number.</t>
        </is>
      </c>
    </row>
    <row r="182">
      <c r="A182" s="67" t="inlineStr">
        <is>
          <t>Active sparge orifices</t>
        </is>
      </c>
      <c r="B182" s="68" t="inlineStr">
        <is>
          <t>n_pores_active</t>
        </is>
      </c>
      <c r="C182" s="69" t="inlineStr">
        <is>
          <t>-</t>
        </is>
      </c>
      <c r="D182" s="79" t="n">
        <v>1</v>
      </c>
      <c r="E182" s="71" t="inlineStr">
        <is>
          <t>Tube = 1. Sinter = unknown active pore count; 1 = worst case (max per-orifice velocity). DATA GAP for the sinter.</t>
        </is>
      </c>
    </row>
    <row r="183">
      <c r="A183" s="67" t="inlineStr">
        <is>
          <t>Gas velocity at orifice</t>
        </is>
      </c>
      <c r="B183" s="68" t="inlineStr">
        <is>
          <t>v_orifice</t>
        </is>
      </c>
      <c r="C183" s="69" t="inlineStr">
        <is>
          <t>m/s</t>
        </is>
      </c>
      <c r="D183" s="94">
        <f>(Q_CO2/1000000/60)/(n_pores_active*(PI()/4*d_orifice^2))</f>
        <v/>
      </c>
      <c r="E183" s="71" t="inlineStr">
        <is>
          <t>Per-orifice superficial gas velocity during a sparge pulse.</t>
        </is>
      </c>
    </row>
    <row r="184">
      <c r="A184" s="67" t="inlineStr">
        <is>
          <t>Orifice Weber number</t>
        </is>
      </c>
      <c r="B184" s="68" t="inlineStr">
        <is>
          <t>We_orifice</t>
        </is>
      </c>
      <c r="C184" s="69" t="inlineStr">
        <is>
          <t>-</t>
        </is>
      </c>
      <c r="D184" s="94">
        <f>rho_CO2*v_orifice^2*d_orifice/sigma</f>
        <v/>
      </c>
      <c r="E184" s="71" t="inlineStr">
        <is>
          <t>Gas inertia vs surface tension at the orifice. Sets whether bubble detachment is quasi-static.</t>
        </is>
      </c>
    </row>
    <row r="185">
      <c r="A185" s="67" t="inlineStr">
        <is>
          <t>Bubble-formation regime</t>
        </is>
      </c>
      <c r="B185" s="68" t="inlineStr">
        <is>
          <t>bubble_regime</t>
        </is>
      </c>
      <c r="C185" s="69" t="inlineStr">
        <is>
          <t>-</t>
        </is>
      </c>
      <c r="D185" s="94">
        <f>IF(We_orifice&lt;2,"Static (Tate valid)","Dynamic – bubbles larger than modelled")</f>
        <v/>
      </c>
      <c r="E185" s="71" t="inlineStr">
        <is>
          <t>Tate's law (d_bubble, section 6) assumes quasi-static detachment, valid for We&lt;~2. Flags when flow invalidates it.</t>
        </is>
      </c>
    </row>
    <row r="187">
      <c r="A187" s="67" t="inlineStr">
        <is>
          <t>Provenance</t>
        </is>
      </c>
      <c r="E187" s="71" t="inlineStr">
        <is>
          <t>Originated as CO2.xlsx (Claude for Excel extension), refined through electroPioreactor_model_phase1{,_1,_2}.xlsx; this file = electroPioreactorGasModel.xlsx. Source: Claude Desktop (Opus 4.8) project 'AMYBO In-culture electrolysis HOB cultivation', chat 'Electrobioreactor CO₂ dosing optimization'.</t>
        </is>
      </c>
    </row>
  </sheetData>
  <mergeCells count="1">
    <mergeCell ref="A2:E2"/>
  </mergeCells>
  <dataValidations count="3">
    <dataValidation sqref="D14" showDropDown="0" showInputMessage="0" showErrorMessage="0" allowBlank="0" type="list" errorStyle="stop" operator="between">
      <formula1>Model!$D$17:$D$18</formula1>
      <formula2>0</formula2>
    </dataValidation>
    <dataValidation sqref="D15" showDropDown="0" showInputMessage="0" showErrorMessage="0" allowBlank="0" type="list" errorStyle="stop" operator="between">
      <formula1>Model!$D$19:$D$20</formula1>
      <formula2>0</formula2>
    </dataValidation>
    <dataValidation sqref="D16" showDropDown="0" showInputMessage="0" showErrorMessage="0" allowBlank="0" type="list" errorStyle="stop" operator="between">
      <formula1>"0,1,2,3,4,5"</formula1>
      <formula2>0</formula2>
    </dataValidation>
  </dataValidations>
  <hyperlinks>
    <hyperlink ref="E16" display="ISO 4793 / DURAN class; 0 = coarsest. Dropdown." r:id="rId1"/>
    <hyperlink ref="E24" display="Pioreactor 20 mL vial, measured OD." r:id="rId2"/>
    <hyperlink ref="E25" display="40 mL vial OD - placeholder, measure." r:id="rId3"/>
    <hyperlink ref="E26" display="20 mL vial total height 57.4 mm; usable depth est. Measure." r:id="rId4"/>
    <hyperlink ref="E27" display="40 mL vial - placeholder, measure." r:id="rId5"/>
    <hyperlink ref="E28" display="Pioreactor docs: 8-16 mL for 20 mL vial; using max as level datum." r:id="rId6"/>
    <hyperlink ref="E29" display="Pioreactor: 40 mL vial max 25 mL." r:id="rId7"/>
    <hyperlink ref="E30" display="To cap underside (&gt; nominal). Placeholder - measure (water to fill)." r:id="rId8"/>
    <hyperlink ref="E31" display="Placeholder - measure." r:id="rId9"/>
    <hyperlink ref="E71" display="Empirical linear fit of current vs LED intensity (constant-current: independent of electrolyte, volume, electrode coverage)." r:id="rId10"/>
    <hyperlink ref="E72" display="Intercept of the same fit." r:id="rId11"/>
    <hyperlink ref="E73" display="Fit validated from 3%." r:id="rId12"/>
    <hyperlink ref="E74" display="Fit validated to 25%; above this constant-current may fail as cell V nears the 5 V rail." r:id="rId13"/>
    <hyperlink ref="E75" display="NIST CODATA (exact, SI 2019)." r:id="rId14"/>
    <hyperlink ref="E78" display="Clean water electrolysis FE approaches 100% (Nat. Commun. 2022). But in this neutral-pH cell, cathodic O₂ reduction competes with H₂ evolution, so true H₂ FE is likely &lt;1 and UNMEASURED. 1.0 = optimistic upper bound; measure by gas collection." r:id="rId15"/>
    <hyperlink ref="E79" display="I(mA) = slope x intensity + intercept; /1000 -&gt; A." r:id="rId16"/>
    <hyperlink ref="E80" display="Linear fit only validated over the stated range." r:id="rId17"/>
    <hyperlink ref="E86" display="H₂:O₂:CO₂ consumption ratio (starting 6:2:1). NB literature recommends a 7:2:1 FEED mix - feed is not consumption." r:id="rId18"/>
    <hyperlink ref="E87" display="As above." r:id="rId19"/>
    <hyperlink ref="E88" display="As above." r:id="rId20"/>
    <hyperlink ref="E100" display="Sander (2023) compilation (supersedes 2015), value from Burkholder et al. 2019." r:id="rId21"/>
    <hyperlink ref="E101" display="Sander (2023): d ln(Hcp)/d(1/T)." r:id="rId22"/>
    <hyperlink ref="E104" display="Whole-cell growth inhibited above ~0.30 atm O₂ - NOT a hydrogenase limit (the [NiFe] enzyme is O₂-tolerant)." r:id="rId23"/>
    <hyperlink ref="E105" display="C. necator membrane-bound [NiFe]-hydrogenase tolerates O₂, so the enzyme is not the binding constraint." r:id="rId24"/>
    <hyperlink ref="E116" display="NIST CODATA (exact, SI 2019)." r:id="rId25"/>
    <hyperlink ref="E117" display="NIST WebBook." r:id="rId26"/>
    <hyperlink ref="E128" display="IAPWS R1-76(2014) formulation, evaluated at 30 °C." r:id="rId27"/>
    <hyperlink ref="E129" display="IAPWS-95, evaluated at 30 °C." r:id="rId28"/>
    <hyperlink ref="E130" display="Standard gravity (defined)." r:id="rId29"/>
    <hyperlink ref="E132" display="DURAN P0 160-250 µm, midpoint. ISO 4793 (paywalled) underlies; DURAN table is free." r:id="rId30"/>
    <hyperlink ref="E133" display="DURAN P1 100-160 µm, midpoint." r:id="rId31"/>
    <hyperlink ref="E134" display="DURAN P2 40-100 µm, midpoint." r:id="rId32"/>
    <hyperlink ref="E135" display="DURAN P3 16-40 µm, midpoint." r:id="rId33"/>
    <hyperlink ref="E136" display="DURAN P4 10-16 µm, midpoint." r:id="rId34"/>
    <hyperlink ref="E137" display="DURAN P5 1.0-1.6 µm, midpoint." r:id="rId3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2026-06-16T02:04:18Z</dcterms:modified>
  <cp:revision>0</cp:revision>
</cp:coreProperties>
</file>