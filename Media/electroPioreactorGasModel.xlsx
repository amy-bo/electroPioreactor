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  <definedName name="sched_mode">Model!$D$236</definedName>
    <definedName name="spg_dur_man">Model!$D$237</definedName>
    <definedName name="spg_int_man">Model!$D$238</definedName>
    <definedName name="target_DO_frac">Model!$D$239</definedName>
    <definedName name="carbon_margin_min">Model!$D$240</definedName>
    <definedName name="duty_carbon">Model!$D$241</definedName>
    <definedName name="duty_O2vent">Model!$D$242</definedName>
    <definedName name="duty_opt">Model!$D$243</definedName>
    <definedName name="spg_int_max">Model!$D$244</definedName>
    <definedName name="spg_dur_opt">Model!$D$245</definedName>
    <definedName name="spg_int_opt">Model!$D$246</definedName>
    <definedName name="spg_int_opt_s">Model!$D$247</definedName>
    <definedName name="duty_actual">Model!$D$248</definedName>
    <definedName name="opt_binding">Model!$D$249</definedName>
    <definedName name="od_ok">Model!$D$250</definedName>
    <definedName name="kinetic_caveat">Model!$D$251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1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2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via cathode-gas collection or the H₂:O₂ ratio.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off the electrodes — an ABIOTIC calibration check (collect over water, no cells, to verify Gerrit's Law / etaF). With cells, H₂ (and excess O₂) are consumed so you would not collect this. If etaF&lt;1, less by the cathodic O₂ (O2_cathode_ORR).</t>
        </is>
      </c>
    </row>
    <row r="88" ht="15" customHeight="1" s="59"/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n"/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gives &lt;12 h lag, Amer &amp; Kim 2023)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far exceeds it (~20× at the optimum),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is consumed. Holds only at active growth; during LAG/low density uptake ≈ 0, so H₂ (and pro-rata O₂/CO₂ consumption) is overstated — see §13 (H₂ saturates/escapes in ~7 min unconsumed) and t_O2_ceiling_lag (§11).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(O₂/H₂ ratio). Steady-growth only; ≈ 0 during lag (cells not yet respiring) — the lag O₂ surplus is the full net electrolytic O₂.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~0.30 atm reported for C. necator (Amer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×1000 = µM. Practical aim is to MINIMISE dissolved O₂ (cathodic O₂ reduction steals H₂-evolution current); floor set by O₂-removal capacity (§11).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IF(sched_mode="Optimal",spg_dur_opt,spg_dur_man)</f>
        <v/>
      </c>
      <c r="E118" s="15" t="inlineStr">
        <is>
          <t>Pulse duration ACTUALLY USED. Driven by §14: Manual→spg_dur_man, Optimal→computed optimum.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IF(sched_mode="Optimal",spg_int_opt,spg_int_man)</f>
        <v/>
      </c>
      <c r="E119" s="15" t="inlineStr">
        <is>
          <t>Sparge interval ACTUALLY USED. Driven by §14: Manual→spg_int_man, Optimal→computed optimum.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supply exceeds fixation demand. NB ~20× is over-dosing, not headroom — high dissolved CO₂/low pH extends lag (§12). CO₂ also feeds the §11 headspace vent, but only after it saturates the liquid (~1 h), so the vent leg is weak during early/lag operation.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correlation, mm-scale bubbles.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 NB: BUBBLE path only — see §11 for the stirred-surface/headspace route, the likely-dominant O₂ removal path.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point; tracks spg_tip_h.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Cathodic O₂-reduction pathway: 4 = full reduction to water, 2 = peroxide. Assumed 4. Confirm.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IF(We_orifice&lt;2,"Static","Dynamic")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 See §11 t_O2_ceiling_lag (worst case) and t_O2_ceiling_rem (with surface+cathode).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IF(O2_excess-strip_avg&gt;0,O2_ceil_C*(V_charge/1000000)/(O2_excess-strip_avg)*60,9999)</f>
        <v/>
      </c>
      <c r="E192" s="29" t="inlineStr">
        <is>
          <t>Same, but crediting time-averaged gas-bubble stripping. ≈ unchanged here — confirms bubble stripping is not the O₂ mechanism at this duty. (9999 = stripping clears the surplus; no finite time-to-ceiling.)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COARSE proxy: tip speed / vial ID (how often stirred flow sweeps the surface). Calibrate.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surface-renewal. Coarse (rides s_renew); likely high-end — MEASURE by gassing-out.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&gt;=1 = surface path holds the ceiling. Coarse (kL_surf). Bubble strip_ratio is &lt;&lt;1, so the surface path is ~2 orders larger.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mole fraction at which the vented CO₂ throughput carries the excess O₂ out. Independent of kL — robust.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y_O2_vent. If ≪ ceiling (364 µM) the vent can hold DO low → surface path is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 Surface stripping needs headspace kept O₂-lean.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IF(O2_excess&gt;0,(strip_avg+surf_strip+O2_cathode_ORR)/O2_excess,NA())</f>
        <v/>
      </c>
      <c r="E208" s="73" t="inlineStr">
        <is>
          <t>Bubbles + surface + cathode vs excess (steady growth). &gt;=1 = ceiling held.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cells not yet consuming O₂, so the full net electrolytic O₂ accumulates. Worst case — the regime that matters for reaching growth.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IF(O2_excess-strip_avg-surf_strip-O2_cathode_ORR&gt;0,O2_ceil_C*(V_charge/1000000)/(O2_excess-strip_avg-surf_strip-O2_cathode_ORR)*60,9999)</f>
        <v/>
      </c>
      <c r="E210" s="73" t="inlineStr">
        <is>
          <t>Crediting bubble+surface+cathode. 'holds ceiling' = removal ≥ production. (9999 = combined removal holds the ceiling; no finite time-to-ceiling.)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C. necator 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&gt;&gt;1 = CO₂ saturating for fixation during sparge. (Between pulses it falls; duty-averaged is lower.)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Pure water saturated with CO₂ at p_CO2_sparge — a LOWER BOUND only. The Sydow (2017) phosphate medium (~36–108 mM) buffers pH near setpoint; true pH needs the buffer model.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is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surface pressure (mol/m³ = mM). The cells' H₂ supply is capped at this concentration.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If cells don't yet consume H₂ (lag), dissolved H₂ reaches saturation this fast; beyond it, evolved H₂ bubbles off — lost AND building an explosive headspace.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Volumetric H₂ evolution / saturable pool. &gt;&gt;1 means H₂ is generated far faster than the liquid can hold it, so cells must consume it in near-real-time or it escapes. '100% consumed' needs uptake ≥ evolution.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IF(rH2_gen&gt;0,"EXPLOSIVE","n/a")</f>
        <v/>
      </c>
      <c r="E232" s="32" t="inlineStr">
        <is>
          <t>Electrolysis co-produces H₂ and O₂; any H₂ that bubbles off mixes with headspace O₂ within the explosive range.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72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72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72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72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72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68">
        <f>carbon_margin_min*CO2_cons/(nCO2_rate*3600)</f>
        <v/>
      </c>
      <c r="E241" s="29" t="inlineStr">
        <is>
          <t>Duty needed so CO₂ supply ≥ margin × fixation demand.</t>
        </is>
      </c>
    </row>
    <row r="242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68">
        <f>O2_net_gen/(target_DO_frac*O2_ceil_atm)/(nCO2_rate*3600)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68">
        <f>MAX(duty_carbon,duty_O2vent)</f>
        <v/>
      </c>
      <c r="E243" s="29" t="inlineStr">
        <is>
          <t>The binding of the two floors — the least CO₂ that stays feasible (minimises over-dose → highest pH → shortest lag).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6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75">
        <f>pulse_floor</f>
        <v/>
      </c>
      <c r="E245" s="76" t="inlineStr">
        <is>
          <t>ANSWER. Shortest reliable pulse → most frequent, smoothest DO, best OD-read windows.</t>
        </is>
      </c>
    </row>
    <row r="246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75">
        <f>MIN(spg_dur_opt/(60*duty_opt),spg_int_max)</f>
        <v/>
      </c>
      <c r="E246" s="76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68">
        <f>spg_int_opt*60</f>
        <v/>
      </c>
      <c r="E247" s="76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6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6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6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68">
        <f>"see note →"</f>
        <v/>
      </c>
      <c r="E251" s="73" t="inlineStr">
        <is>
          <t>This optimiser targets a CONSTRAINT PROXY: the least-dosing schedule that holds DO below the O₂ ceiling, keeps carbon non-limiting, respects the solenoid floor and flush frequency. It is NOT a fitted growth model — no validated μ(dissolved-O₂, pH, dissolved-CO₂) or lag kinetics exist for C. necator under in-culture electrolysis. So this is the lag-MINIMISING DIRECTION, not a biologically-exact optimum. Confidence is further bounded by etaF (unmeasured), surface kL (coarse, §11) and the unbuffered-pH simplification (§12). Treat the numbers as a strong starting point to validate empirically, not ground truth.</t>
        </is>
      </c>
    </row>
  </sheetData>
  <mergeCells count="1">
    <mergeCell ref="A2:E2"/>
  </mergeCells>
  <conditionalFormatting sqref="D82">
    <cfRule type="cellIs" priority="1" operator="equal" dxfId="0">
      <formula>"OK"</formula>
    </cfRule>
    <cfRule type="cellIs" priority="2" operator="equal" dxfId="1">
      <formula>"OUT"</formula>
    </cfRule>
  </conditionalFormatting>
  <conditionalFormatting sqref="D169">
    <cfRule type="cellIs" priority="3" operator="equal" dxfId="0">
      <formula>"OK"</formula>
    </cfRule>
    <cfRule type="cellIs" priority="4" operator="equal" dxfId="1">
      <formula>"RISK"</formula>
    </cfRule>
  </conditionalFormatting>
  <conditionalFormatting sqref="D190">
    <cfRule type="cellIs" priority="5" operator="equal" dxfId="0">
      <formula>"Static"</formula>
    </cfRule>
    <cfRule type="cellIs" priority="6" operator="equal" dxfId="2">
      <formula>"Dynamic"</formula>
    </cfRule>
  </conditionalFormatting>
  <conditionalFormatting sqref="D176">
    <cfRule type="cellIs" priority="7" operator="equal" dxfId="0">
      <formula>"OK"</formula>
    </cfRule>
    <cfRule type="cellIs" priority="8" operator="equal" dxfId="1">
      <formula>"LOW"</formula>
    </cfRule>
  </conditionalFormatting>
  <conditionalFormatting sqref="D232">
    <cfRule type="cellIs" priority="9" operator="equal" dxfId="1">
      <formula>"EXPLOSIVE"</formula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250">
    <cfRule type="cellIs" priority="18" operator="equal" dxfId="0">
      <formula>"OK"</formula>
    </cfRule>
    <cfRule type="cellIs" priority="19" operator="equal" dxfId="2">
      <formula>"TIGHT"</formula>
    </cfRule>
  </conditionalFormatting>
  <dataValidations count="4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  <dataValidation sqref="D236" showDropDown="0" showInputMessage="0" showErrorMessage="0" allowBlank="0" type="list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2026-06-16T23:46:13Z</dcterms:modified>
  <cp:lastModifiedBy>Martin Currie</cp:lastModifiedBy>
  <cp:revision>0</cp:revision>
</cp:coreProperties>
</file>