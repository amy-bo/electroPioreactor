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Calibrations!$D$186</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Calibrations!$D$166</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Calibrations!$D$181</definedName>
    <definedName name="ca_rho_k" localSheetId="7">Calibrations!$D$182</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Summary!$D$164</definedName>
    <definedName name="cf_Cl_onset" localSheetId="0">Summary!$D$163</definedName>
    <definedName name="cf_pH_hi" localSheetId="0">Summary!$D$161</definedName>
    <definedName name="cf_pH_lo" localSheetId="0">Summary!$D$160</definedName>
    <definedName name="cf_pH_red_hi" localSheetId="0">Summary!$D$162</definedName>
    <definedName name="cf_pH_red_lo" localSheetId="0">Summary!$D$159</definedName>
    <definedName name="chk_bubble" localSheetId="0">Summary!$D$41</definedName>
    <definedName name="chk_cal" localSheetId="0">Summary!$D$36</definedName>
    <definedName name="chk_carry_usg" localSheetId="0">Summary!$D$51</definedName>
    <definedName name="chk_carryover" localSheetId="0">Summary!$D$45</definedName>
    <definedName name="chk_CO2_supply" localSheetId="0">Summary!$D$42</definedName>
    <definedName name="chk_DO_data" localSheetId="0">Summary!$D$50</definedName>
    <definedName name="chk_DO_min" localSheetId="0">Summary!$D$38</definedName>
    <definedName name="chk_DO_opt" localSheetId="0">Summary!$D$37</definedName>
    <definedName name="chk_geom" localSheetId="0">Summary!$D$35</definedName>
    <definedName name="chk_H2" localSheetId="0">Summary!$D$40</definedName>
    <definedName name="chk_led_law" localSheetId="0">Summary!$D$49</definedName>
    <definedName name="chk_level" localSheetId="0">Summary!$D$48</definedName>
    <definedName name="chk_media_vol" localSheetId="0">Summary!$D$47</definedName>
    <definedName name="chk_od_window" localSheetId="0">Summary!$D$44</definedName>
    <definedName name="chk_pulse_floor" localSheetId="0">Summary!$D$43</definedName>
    <definedName name="chk_relax" localSheetId="0">Summary!$D$39</definedName>
    <definedName name="chk_tip" localSheetId="0">Summary!$D$46</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Calibrations!$D$188</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Calibrations!$D$184</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Summary!$G$18</definedName>
    <definedName name="override_spg_int_min" localSheetId="5">'Mass Transfer'!$D$393</definedName>
    <definedName name="override_spg_int_min" localSheetId="0">Summary!$G$20</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Calibrations!$D$167</definedName>
    <definedName name="por_break_2" localSheetId="7">Calibrations!$D$168</definedName>
    <definedName name="por_break_3" localSheetId="7">Calibrations!$D$169</definedName>
    <definedName name="por_break_4" localSheetId="7">Calibrations!$D$170</definedName>
    <definedName name="por_break_5" localSheetId="7">Calibrations!$D$171</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Calibrations!$D$175</definedName>
    <definedName name="pw_A" localSheetId="5">'Mass Transfer'!$D$203</definedName>
    <definedName name="pw_B" localSheetId="7">Calibrations!$D$176</definedName>
    <definedName name="pw_B" localSheetId="5">'Mass Transfer'!$D$204</definedName>
    <definedName name="pw_C" localSheetId="7">Calibrations!$D$177</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Calibrations!$D$187</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Calibrations!$D$183</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Summary!$D$99</definedName>
    <definedName name="res_carbon_margin" localSheetId="0">Summary!$D$76</definedName>
    <definedName name="res_Cl2" localSheetId="0">Summary!$D$25</definedName>
    <definedName name="res_CO2_uptake" localSheetId="0">Summary!$D$77</definedName>
    <definedName name="res_DO_ss" localSheetId="0">Summary!$D$24</definedName>
    <definedName name="res_E_Cl_margin" localSheetId="0">Summary!$D$100</definedName>
    <definedName name="res_E_Cu_margin" localSheetId="0">Summary!$D$101</definedName>
    <definedName name="res_etaF" localSheetId="0">Summary!$D$95</definedName>
    <definedName name="res_H2O2_flag" localSheetId="0">Summary!$D$98</definedName>
    <definedName name="res_I_mA" localSheetId="0">Summary!$D$86</definedName>
    <definedName name="res_I_max" localSheetId="0">Summary!$D$90</definedName>
    <definedName name="res_j_anode" localSheetId="0">Summary!$D$87</definedName>
    <definedName name="res_j_anode_max" localSheetId="0">Summary!$D$91</definedName>
    <definedName name="res_j_status" localSheetId="0">Summary!$D$88</definedName>
    <definedName name="res_j_status_max" localSheetId="0">Summary!$D$92</definedName>
    <definedName name="res_kLa_req" localSheetId="0">Summary!$D$103</definedName>
    <definedName name="res_pH" localSheetId="0">Summary!$D$23</definedName>
    <definedName name="res_pH_probe" localSheetId="0">Summary!$D$102</definedName>
    <definedName name="res_power_max" localSheetId="0">Summary!$D$89</definedName>
    <definedName name="res_spg_dur" localSheetId="0">Summary!$D$18</definedName>
    <definedName name="res_spg_dur_run" localSheetId="0">Summary!$D$19</definedName>
    <definedName name="res_spg_int" localSheetId="0">Summary!$D$20</definedName>
    <definedName name="res_spg_int_carbon" localSheetId="0">Summary!$D$28</definedName>
    <definedName name="res_spg_int_run" localSheetId="0">Summary!$D$21</definedName>
    <definedName name="res_tip_speed" localSheetId="0">Summary!$D$75</definedName>
    <definedName name="res_V_cell" localSheetId="0">Summary!$D$96</definedName>
    <definedName name="res_V_flag" localSheetId="0">Summary!$D$97</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Calibrations!$D$185</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Calibrations!$D$174</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Calibrations!$D$172</definedName>
    <definedName name="z_e_H2" localSheetId="2">Electrochemistry!$D$16</definedName>
    <definedName name="z_e_O2" localSheetId="7">Calibrations!$D$173</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Calibrations!$D$150</definedName>
    <definedName name="cal_tau_NH2Cl">Calibrations!$D$163</definedName>
    <definedName name="n_e_fcn" localSheetId="7">Calibrations!$D$190</definedName>
    <definedName name="km_T_tol" localSheetId="7">Calibrations!$D$191</definedName>
    <definedName name="stir_rpm_set" localSheetId="7">Calibrations!$D$192</definedName>
    <definedName name="temp_C" localSheetId="7">Calibrations!$D$193</definedName>
    <definedName name="media_sel" localSheetId="7">Calibrations!$D$194</definedName>
    <definedName name="electrode_sel" localSheetId="7">Calibrations!$D$195</definedName>
    <definedName name="D_O2" localSheetId="7">Calibrations!$D$196</definedName>
    <definedName name="km_exp" localSheetId="7">Calibrations!$D$197</definedName>
    <definedName name="M_Cl2" localSheetId="7">Calibrations!$D$198</definedName>
    <definedName name="km_O2_default" localSheetId="2">Electrochemistry!$D$165</definedName>
    <definedName name="tau_NH2Cl_default" localSheetId="3">Chemistry!$D$314</definedName>
    <definedName name="P_Cl_max" localSheetId="3">Chemistry!$D$315</definedName>
    <definedName name="NaHCO3_add_gL" localSheetId="0">Summary!$D$13</definedName>
    <definedName name="NaHCO3_add_gL" localSheetId="3">Chemistry!$D$317</definedName>
    <definedName name="alk_add_M" localSheetId="3">Chemistry!$D$318</definedName>
    <definedName name="N2_sweep_set" localSheetId="0">Summary!$D$14</definedName>
    <definedName name="N2_sweep_set" localSheetId="5">'Mass Transfer'!$D$423</definedName>
    <definedName name="F_N2" localSheetId="5">'Mass Transfer'!$D$424</definedName>
    <definedName name="F_dil" localSheetId="5">'Mass Transfer'!$D$425</definedName>
    <definedName name="N2_for_DO" localSheetId="5">'Mass Transfer'!$D$426</definedName>
    <definedName name="F_dil_b" localSheetId="4">Biology!$D$125</definedName>
    <definedName name="pH_hi_c" localSheetId="3">Chemistry!$D$321</definedName>
    <definedName name="h_hi" localSheetId="3">Chemistry!$D$322</definedName>
    <definedName name="resid_noC_hi" localSheetId="3">Chemistry!$D$323</definedName>
    <definedName name="CO2_pH_hi" localSheetId="3">Chemistry!$D$324</definedName>
    <definedName name="CO2_pH_hi_mt" localSheetId="5">'Mass Transfer'!$D$429</definedName>
    <definedName name="grid_t_min" localSheetId="5">'Mass Transfer'!$D$430</definedName>
    <definedName name="grid_ratio" localSheetId="5">'Mass Transfer'!$D$431</definedName>
    <definedName name="spg_int_pH" localSheetId="5">'Mass Transfer'!$D$432</definedName>
    <definedName name="spg_int_pH_opt" localSheetId="5">'Mass Transfer'!$D$433</definedName>
    <definedName name="ph_unreach" localSheetId="5">'Mass Transfer'!$D$434</definedName>
    <definedName name="pool_start_chk" localSheetId="5">'Mass Transfer'!$D$435</definedName>
    <definedName name="pHg_t" localSheetId="5">'Mass Transfer'!$A$440:$A$539</definedName>
    <definedName name="pHg_start" localSheetId="5">'Mass Transfer'!$H$440:$H$539</definedName>
    <definedName name="pHg_C" localSheetId="5">'Mass Transfer'!$I$440:$I$539</definedName>
    <definedName name="pHg_x" localSheetId="5">'Mass Transfer'!$J$440:$J$539</definedName>
    <definedName name="pulse_res_set" localSheetId="0">Summary!$D$15</definedName>
    <definedName name="res_binding" localSheetId="0">Summary!$D$22</definedName>
    <definedName name="res_spg_int_DO" localSheetId="0">Summary!$D$29</definedName>
    <definedName name="res_spg_int_su" localSheetId="0">Summary!$D$31</definedName>
    <definedName name="res_su_state" localSheetId="0">Summary!$D$33</definedName>
    <definedName name="chk_pool" localSheetId="0">Summary!$D$55</definedName>
    <definedName name="y_O2_star_l" localSheetId="5">'Mass Transfer'!$D$542</definedName>
    <definedName name="duty_DO_l" localSheetId="5">'Mass Transfer'!$D$543</definedName>
    <definedName name="spg_int_DO_l" localSheetId="5">'Mass Transfer'!$D$544</definedName>
    <definedName name="spg_int_H2safe_mt" localSheetId="5">'Mass Transfer'!$D$545</definedName>
    <definedName name="spg_int_su_opt" localSheetId="5">'Mass Transfer'!$D$546</definedName>
    <definedName name="spg_int_su_run" localSheetId="5">'Mass Transfer'!$D$547</definedName>
    <definedName name="su_binding" localSheetId="5">'Mass Transfer'!$D$548</definedName>
    <definedName name="t_gap_su_h" localSheetId="5">'Mass Transfer'!$D$549</definedName>
    <definedName name="x_su" localSheetId="5">'Mass Transfer'!$D$550</definedName>
    <definedName name="phi_su" localSheetId="5">'Mass Transfer'!$D$551</definedName>
    <definedName name="psi_su" localSheetId="5">'Mass Transfer'!$D$552</definedName>
    <definedName name="dy_O2_su" localSheetId="5">'Mass Transfer'!$D$553</definedName>
    <definedName name="y_O2_end_su" localSheetId="5">'Mass Transfer'!$D$554</definedName>
    <definedName name="y_O2_avg_su" localSheetId="5">'Mass Transfer'!$D$555</definedName>
    <definedName name="DO_avg_su_mgL" localSheetId="5">'Mass Transfer'!$D$556</definedName>
    <definedName name="DO_peak_su_mgL" localSheetId="5">'Mass Transfer'!$D$557</definedName>
    <definedName name="y_H2_end_su" localSheetId="5">'Mass Transfer'!$D$558</definedName>
    <definedName name="pHg_C_l" localSheetId="5">'Mass Transfer'!$R$440:$R$539</definedName>
    <definedName name="pHg_x_l" localSheetId="5">'Mass Transfer'!$S$440:$S$539</definedName>
    <definedName name="k_eff_CO2_l" localSheetId="5">'Mass Transfer'!$D$560</definedName>
    <definedName name="spg_int_pH_l" localSheetId="5">'Mass Transfer'!$D$561</definedName>
    <definedName name="ph_unreach_l" localSheetId="5">'Mass Transfer'!$D$562</definedName>
    <definedName name="spg_int_H2safe_opt" localSheetId="5">'Mass Transfer'!$D$563</definedName>
    <definedName name="tbl_reactor" localSheetId="1">Geometry!$A$59:$B$80</definedName>
    <definedName name="tbl_reactor_hdr" localSheetId="1">Geometry!$A$58:$B$58</definedName>
    <definedName name="tbl_rxtype" localSheetId="1">Geometry!$A$84:$I$87</definedName>
    <definedName name="tbl_rxtype_hdr" localSheetId="1">Geometry!$A$83:$I$83</definedName>
    <definedName name="tbl_electrode" localSheetId="2">Electrochemistry!$A$35:$N$38</definedName>
    <definedName name="tbl_electrode_hdr" localSheetId="2">Electrochemistry!$A$34:$N$34</definedName>
    <definedName name="tbl_strain" localSheetId="2">Electrochemistry!$A$66:$E$71</definedName>
    <definedName name="tbl_strain_hdr" localSheetId="2">Electrochemistry!$A$65:$E$65</definedName>
    <definedName name="tbl_organism" localSheetId="4">Biology!$A$52:$F$57</definedName>
    <definedName name="tbl_organism_hdr" localSheetId="4">Biology!$A$51:$F$51</definedName>
    <definedName name="co2f_reactor">'CO2 flows'!$A$4:$A$201</definedName>
    <definedName name="co2f_date">'CO2 flows'!$B$4:$B$201</definedName>
    <definedName name="co2f_volume">'CO2 flows'!$E$4:$E$201</definedName>
    <definedName name="co2f_time">'CO2 flows'!$F$4:$F$201</definedName>
    <definedName name="co2f_minpulse">'CO2 flows'!$I$4:$I$201</definedName>
    <definedName name="co2f_nominal">'CO2 flows'!$J$4:$J$201</definedName>
    <definedName name="co2f_maxflow">'CO2 flows'!$M$4:$M$201</definedName>
    <definedName name="co2f_excluded">'CO2 flows'!$N$4:$N$201</definedName>
    <definedName name="grid_t_max" localSheetId="5">'Mass Transfer'!$D$436</definedName>
    <definedName name="y_H2_avg_l" localSheetId="5">'Mass Transfer'!$D$564</definedName>
    <definedName name="knall_H2_basis" localSheetId="7">Calibrations!$D$199</definedName>
    <definedName name="por_p0_hi" localSheetId="7">Calibrations!$D$200</definedName>
    <definedName name="por_p5_hi" localSheetId="7">Calibrations!$D$201</definedName>
    <definedName name="por_p5_lo" localSheetId="7">Calibrations!$D$202</definedName>
    <definedName name="gerrit_check_pct" localSheetId="2">Electrochemistry!$D$166</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<sst xmlns="http://schemas.openxmlformats.org/spreadsheetml/2006/main" count="3953" uniqueCount="2838">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</sst>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80">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64"/>
  <sheetViews>
    <sheetView tabSelected="1" zoomScale="116" workbookViewId="0">
      <selection activeCell="D2" sqref="D2"/>
    </sheetView>
  </sheetViews>
  <sheetFormatPr baseColWidth="10" defaultColWidth="8.83203125" defaultRowHeight="15" x14ac:dyDescent="0.2"/>
  <cols>
    <col min="1" max="1" width="34" customWidth="1"/>
    <col min="2" max="2" width="13" customWidth="1"/>
    <col min="3" max="3" width="6" customWidth="1"/>
    <col min="4" max="4" width="44"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inlineStr">
        <is>
          <t xml:space="preserve">LED channel D %, the AEP-Plugin 'electrolysis_power' setting (runtime-clamped 0–10 %); drives the electrolysis current via Gerrit's Law. The model needs 3–10 % (fit range ∩ plugin clamp), which the D6 validation enforces.</t>
        </is>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6" x14ac:dyDescent="0.2">
      <c r="A11" s="18" t="inlineStr">
        <is>
          <t xml:space="preserve">Vent model</t>
        </is>
      </c>
      <c r="B11" s="19" t="s">
        <v>1792</v>
      </c>
      <c r="C11" s="20" t="s">
        <v>111</v>
      </c>
      <c r="D11" s="130" t="s">
        <v>1793</v>
      </c>
      <c r="E11" s="21" t="s">
        <v>27</v>
      </c>
      <c r="F11" s="22" t="inlineStr">
        <is>
          <t xml:space="preserve">"Outflow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is>
      </c>
    </row>
    <row r="12" spans="1:6" x14ac:dyDescent="0.2">
      <c r="A12" s="18" t="s">
        <v>1795</v>
      </c>
      <c r="B12" s="19" t="s">
        <v>1796</v>
      </c>
      <c r="C12" s="20" t="s">
        <v>111</v>
      </c>
      <c r="D12" s="130" t="s">
        <v>1797</v>
      </c>
      <c r="E12" s="21" t="s">
        <v>27</v>
      </c>
      <c r="F12" s="22" t="inlineStr">
        <is>
          <t xml:space="preserve">"Growth"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is>
      </c>
    </row>
    <row r="13">
      <c r="A13" s="21" t="inlineStr">
        <is>
          <t xml:space="preserve">Added NaHCO₃ (on top of the recipe)</t>
        </is>
      </c>
      <c r="B13" s="19" t="inlineStr">
        <is>
          <t xml:space="preserve">NaHCO3_add_gL</t>
        </is>
      </c>
      <c r="C13" s="21" t="inlineStr">
        <is>
          <t xml:space="preserve">g/L</t>
        </is>
      </c>
      <c r="D13" s="135"/>
      <c r="E13" s="21" t="inlineStr">
        <is>
          <t xml:space="preserve">input/blank</t>
        </is>
      </c>
      <c r="F13" s="22" t="inlineStr">
        <is>
          <t xml:space="preserve">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is>
      </c>
    </row>
    <row r="14">
      <c r="A14" s="21" t="inlineStr">
        <is>
          <t xml:space="preserve">N₂ dose (mean flow of timed pulses)</t>
        </is>
      </c>
      <c r="B14" s="19" t="inlineStr">
        <is>
          <t xml:space="preserve">N2_sweep_set</t>
        </is>
      </c>
      <c r="C14" s="21" t="inlineStr">
        <is>
          <t xml:space="preserve">mL/min</t>
        </is>
      </c>
      <c r="D14" s="130"/>
      <c r="E14" s="21" t="inlineStr">
        <is>
          <t xml:space="preserve">input/blank</t>
        </is>
      </c>
      <c r="F14" s="22" t="inlineStr">
        <is>
          <t xml:space="preserve">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is>
      </c>
    </row>
    <row r="15">
      <c r="A15" s="21" t="inlineStr">
        <is>
          <t xml:space="preserve">Solenoid command resolution</t>
        </is>
      </c>
      <c r="B15" s="19" t="inlineStr">
        <is>
          <t xml:space="preserve">pulse_res_set</t>
        </is>
      </c>
      <c r="C15" s="21" t="inlineStr">
        <is>
          <t xml:space="preserve">s</t>
        </is>
      </c>
      <c r="D15" s="130">
        <v>0.05</v>
      </c>
      <c r="E15" s="21" t="inlineStr">
        <is>
          <t xml:space="preserve">input</t>
        </is>
      </c>
      <c r="F15" s="22" t="inlineStr">
        <is>
          <t xml:space="preserve">Smallest step the AEP-Plugin solenoid timer is commanded in; the pulse is rounded to it (row 19). Same solenoid as ed04, whose logged pulses (0.2, 0.25, 0.4, 0.6 s) are all 0.05 s multiples (owner, T8).</t>
        </is>
      </c>
    </row>
    <row r="17" spans="1:7" ht="16" customHeight="1" thickBot="1" x14ac:dyDescent="0.25">
      <c r="A17" s="17" t="s">
        <v>59</v>
      </c>
      <c r="B17" s="17" t="s">
        <v>21</v>
      </c>
      <c r="C17" s="17" t="s">
        <v>22</v>
      </c>
      <c r="D17" s="17" t="s">
        <v>23</v>
      </c>
      <c r="E17" s="17" t="s">
        <v>24</v>
      </c>
      <c r="F17" s="17" t="s">
        <v>25</v>
      </c>
      <c r="G17" s="17" t="s">
        <v>1034</v>
      </c>
    </row>
    <row r="18" spans="1:7" ht="16" customHeight="1" thickBot="1" x14ac:dyDescent="0.25">
      <c r="A18" s="25" t="s">
        <v>961</v>
      </c>
      <c r="B18" s="19" t="s">
        <v>1709</v>
      </c>
      <c r="C18" s="21" t="s">
        <v>12</v>
      </c>
      <c r="D18" s="65">
        <f>IF('Mass Transfer'!has_cal=0,"calibrate this reactor first (CO₂ flow section of the Calibrations tab, or a CO2 flows row)",'Mass Transfer'!spg_dur_opt)</f>
        <v>0.674076519917</v>
      </c>
      <c r="E18" s="24" t="str">
        <f>HYPERLINK("#'Mass Transfer'!D90","→ Mass")</f>
        <v>→ Mass</v>
      </c>
      <c r="F18" s="22" t="s">
        <v>60</v>
      </c>
      <c r="G18" s="136"/>
    </row>
    <row r="19" spans="1:7" s="4" customFormat="1" ht="16" customHeight="1" thickBot="1" x14ac:dyDescent="0.25">
      <c r="A19" s="25" t="s">
        <v>1710</v>
      </c>
      <c r="B19" s="19" t="s">
        <v>1711</v>
      </c>
      <c r="C19" s="21" t="s">
        <v>12</v>
      </c>
      <c r="D19" s="111">
        <f>IF(NOT(ISNUMBER(res_spg_dur)),res_spg_dur,'Mass Transfer'!spg_dur)</f>
        <v>0.65</v>
      </c>
      <c r="E19" s="21"/>
      <c r="F19" s="57" t="inlineStr">
        <is>
          <t xml:space="preserve">Pulse actually evaluated by every operating check below. Summary override wins, then Manual mode, otherwise the optimum rounded to the pulse resolution.</t>
        </is>
      </c>
    </row>
    <row r="20" spans="1:7" ht="16" customHeight="1" thickBot="1" x14ac:dyDescent="0.25">
      <c r="A20" s="64" t="str">
        <f>"CO₂ sparge interval ("&amp;vent_model_sel&amp;", sized on "&amp;O2_phase_sel&amp;")"</f>
        <v>CO₂ sparge interval (Open vent, sized on Growth)</v>
      </c>
      <c r="B20" s="19" t="s">
        <v>1713</v>
      </c>
      <c r="C20" s="21" t="s">
        <v>61</v>
      </c>
      <c r="D20" s="65">
        <f>IF('Mass Transfer'!has_cal=0,"calibrate this reactor first (CO₂ flow section of the Calibrations tab, or a CO2 flows row)",'Mass Transfer'!spg_int_opt)</f>
        <v>7.43645448177</v>
      </c>
      <c r="E20" s="24" t="str">
        <f>HYPERLINK("#'Mass Transfer'!D91","→ Mass")</f>
        <v>→ Mass</v>
      </c>
      <c r="F20" s="22" t="inlineStr">
        <is>
          <t xml:space="preserve">Time between doses: the shortest of the carbon-limited, headspace-O₂-dilution and pH-ceiling intervals (rows 28–30), plus the H₂ flammability screen when the schedule is sized on Lag (row 12); row 22 says which binds. Sized for the vent model in row 11 and the pulse in row 19.</t>
        </is>
      </c>
      <c r="G20" s="136"/>
    </row>
    <row r="21" spans="1:7" x14ac:dyDescent="0.2">
      <c r="A21" s="25" t="s">
        <v>1715</v>
      </c>
      <c r="B21" s="19" t="s">
        <v>1716</v>
      </c>
      <c r="C21" s="21" t="s">
        <v>61</v>
      </c>
      <c r="D21" s="111">
        <f>IF(NOT(ISNUMBER(res_spg_int)),res_spg_int,'Mass Transfer'!spg_int)</f>
        <v>7.2</v>
      </c>
      <c r="E21" s="67"/>
      <c r="F21" s="22" t="inlineStr">
        <is>
          <t xml:space="preserve">Interval actually evaluated below, in decimal minutes. Default converts the commanded pulse to the ideal delivery duty and rounds down to 0.01 min; overrides and Manual mode are evaluated directly.</t>
        </is>
      </c>
    </row>
    <row r="22">
      <c r="A22" s="64" t="inlineStr">
        <is>
          <t xml:space="preserve">Binding constraint on the interval</t>
        </is>
      </c>
      <c r="B22" s="19" t="inlineStr">
        <is>
          <t xml:space="preserve">res_binding</t>
        </is>
      </c>
      <c r="D22" s="65" t="str">
        <f>'Mass Transfer'!opt_binding</f>
        <v>O2-DILUTION (headspace O2 sets the interval)</v>
      </c>
      <c r="E22" s="24" t="str">
        <f>HYPERLINK("#'Mass Transfer'!D94","→ Mass Transfer")</f>
        <v>→ Mass Transfer</v>
      </c>
      <c r="F22" s="22" t="inlineStr">
        <is>
          <t xml:space="preserve">Which upper bound sets row 20: carbon supply, headspace-O₂ dilution, the pH ceiling (rows 28–30) or, when sized on Lag, the H₂ flammability screen; an invalid selector or an unreachable target is named here instead.</t>
        </is>
      </c>
    </row>
    <row r="23" spans="1:6" ht="16" thickBot="1" x14ac:dyDescent="0.25">
      <c r="A23" s="64" t="s">
        <v>1744</v>
      </c>
      <c r="B23" s="19" t="s">
        <v>1745</v>
      </c>
      <c r="C23" s="21"/>
      <c r="D23" s="92">
        <f>Chemistry!pH_meas</f>
        <v>6.487746914065</v>
      </c>
      <c r="E23" s="24" t="str">
        <f>HYPERLINK("#Chemistry!D220","→ Chemistry")</f>
        <v>→ Chemistry</v>
      </c>
      <c r="F23" s="22" t="inlineStr">
        <is>
          <t xml:space="preserve">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is>
      </c>
    </row>
    <row r="24" spans="1:6" x14ac:dyDescent="0.2">
      <c r="A24" s="64" t="s">
        <v>1749</v>
      </c>
      <c r="B24" s="19" t="s">
        <v>1750</v>
      </c>
      <c r="C24" s="21" t="s">
        <v>83</v>
      </c>
      <c r="D24" s="65">
        <f>'Mass Transfer'!DO_ss</f>
        <v>2.27402079505</v>
      </c>
      <c r="E24" s="24" t="str">
        <f>HYPERLINK("#'Mass Transfer'!D108","→ Mass")</f>
        <v>→ Mass</v>
      </c>
      <c r="F24" s="22" t="inlineStr">
        <is>
          <t xml:space="preserve">Time-mean dissolved O₂ of the sawtooth model at the schedule in use, on the sizing phase; near the target by construction when O₂ dilution binds. Both phases, mean and peak: rows 59–62.</t>
        </is>
      </c>
    </row>
    <row r="25" spans="1:6" ht="16" thickBot="1" x14ac:dyDescent="0.25">
      <c r="A25" s="64" t="s">
        <v>1029</v>
      </c>
      <c r="B25" s="19" t="s">
        <v>1747</v>
      </c>
      <c r="C25" s="21" t="s">
        <v>83</v>
      </c>
      <c r="D25" s="92">
        <f>Chemistry!C_eff_Cl2</f>
        <v>0.0</v>
      </c>
      <c r="E25" s="24" t="str">
        <f>HYPERLINK("#Chemistry!D226","→ Chemistry")</f>
        <v>→ Chemistry</v>
      </c>
      <c r="F25"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27" spans="1:6" x14ac:dyDescent="0.2">
      <c r="A27" s="77" t="inlineStr">
        <is>
          <t xml:space="preserve">SCHEDULE BOUNDS AND THE START-UP (LAG-PHASE) SCHEDULE</t>
        </is>
      </c>
    </row>
    <row r="28" spans="1:6" x14ac:dyDescent="0.2">
      <c r="A28" s="64" t="s">
        <v>1752</v>
      </c>
      <c r="B28" s="19" t="s">
        <v>1753</v>
      </c>
      <c r="C28" s="21" t="s">
        <v>61</v>
      </c>
      <c r="D28" s="65">
        <f>'Mass Transfer'!spg_int_carbon</f>
        <v>184.723136314261</v>
      </c>
      <c r="E28" s="24" t="str">
        <f>HYPERLINK("#'Mass Transfer'!D112","→ Mass")</f>
        <v>→ Mass</v>
      </c>
      <c r="F28" s="22" t="s">
        <v>1754</v>
      </c>
    </row>
    <row r="29">
      <c r="A29" s="64" t="inlineStr">
        <is>
          <t xml:space="preserve">DO-limited sparge interval</t>
        </is>
      </c>
      <c r="B29" s="19" t="inlineStr">
        <is>
          <t xml:space="preserve">res_spg_int_DO</t>
        </is>
      </c>
      <c r="C29" s="21" t="inlineStr">
        <is>
          <t xml:space="preserve">min</t>
        </is>
      </c>
      <c r="D29" s="65">
        <f>'Mass Transfer'!spg_int_DO</f>
        <v>7.43645448177</v>
      </c>
      <c r="E29" s="24" t="str">
        <f>HYPERLINK("#'Mass Transfer'!D185","→ Mass Transfer")</f>
        <v>→ Mass Transfer</v>
      </c>
      <c r="F29" s="22" t="inlineStr">
        <is>
          <t xml:space="preserve">Longest interval that still dilutes headspace O₂ enough to hold the DO target on the sizing phase (row 12). #N/A = the target is unreachable at this surface kLa.</t>
        </is>
      </c>
    </row>
    <row r="30">
      <c r="A30" s="64" t="inlineStr">
        <is>
          <t xml:space="preserve">pH-ceiling interval (longest keeping pH at or under the band ceiling)</t>
        </is>
      </c>
      <c r="C30" s="21" t="inlineStr">
        <is>
          <t xml:space="preserve">min</t>
        </is>
      </c>
      <c r="D30" s="65">
        <f>'Mass Transfer'!spg_int_pH</f>
        <v>212.486056390007</v>
      </c>
      <c r="E30" s="24" t="str">
        <f>HYPERLINK("#'Mass Transfer'!D432","→ Mass Transfer")</f>
        <v>→ Mass Transfer</v>
      </c>
      <c r="F30" s="22" t="inlineStr">
        <is>
          <t xml:space="preserve">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is>
      </c>
    </row>
    <row r="31">
      <c r="A31" s="64" t="inlineStr">
        <is>
          <t xml:space="preserve">Start-up (lag-phase) interval, same pulse</t>
        </is>
      </c>
      <c r="B31" s="19" t="inlineStr">
        <is>
          <t xml:space="preserve">res_spg_int_su</t>
        </is>
      </c>
      <c r="C31" s="21" t="inlineStr">
        <is>
          <t xml:space="preserve">min</t>
        </is>
      </c>
      <c r="D31" s="65">
        <f>'Mass Transfer'!spg_int_su_run</f>
        <v>1.21</v>
      </c>
      <c r="E31" s="24" t="str">
        <f>HYPERLINK("#'Mass Transfer'!D547","→ Mass Transfer")</f>
        <v>→ Mass Transfer</v>
      </c>
      <c r="F31" s="22" t="inlineStr">
        <is>
          <t xml:space="preserve">Owner asked for both schedules (T4). Until uptake starts: the shortest of the lag O₂ bound (the legacy guard when the lag DO target is unreachable), the interval clearing the H₂ flammability screen (Biology D92), the lag pH ceiling and the carbon bound. Select Lag in row 12 to evaluate every output at exactly this schedule.</t>
        </is>
      </c>
    </row>
    <row r="32" spans="1:6" x14ac:dyDescent="0.2">
      <c r="A32" s="64" t="s">
        <v>1788</v>
      </c>
      <c r="C32" s="21" t="s">
        <v>87</v>
      </c>
      <c r="D32" s="70">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1.001250748913</v>
      </c>
      <c r="E32" s="24" t="str">
        <f>HYPERLINK("#'Mass Transfer'!D93","→ Mass")</f>
        <v>→ Mass</v>
      </c>
      <c r="F32" s="22" t="inlineStr">
        <is>
          <t xml:space="preserve">Delivered CO₂ duty of the schedule as run (rows 19 and 21) against the sized duty; 1 = rounding the interval has not moved the CO₂ dose. The sizing already uses the commanded pulse (Mass Transfer D320), so a ratio near 1 also means the DO target holds.</t>
        </is>
      </c>
    </row>
    <row r="33" ht="47" customHeight="1">
      <c r="A33" s="64" t="inlineStr">
        <is>
          <t xml:space="preserve">Start-up schedule: lag-phase DO and H₂</t>
        </is>
      </c>
      <c r="B33" s="19" t="inlineStr">
        <is>
          <t xml:space="preserve">res_su_state</t>
        </is>
      </c>
      <c r="D33" s="175" t="str">
        <f>IF(ISNUMBER('Mass Transfer'!spg_int_su_run),"DO "&amp;TEXT('Mass Transfer'!DO_avg_su_mgL,"0.0")&amp;" mg/L mean, "&amp;TEXT('Mass Transfer'!DO_peak_su_mgL,"0.0")&amp;" peak; H₂ "&amp;TEXT('Mass Transfer'!y_H2_end_su,"0%")&amp;" before each pulse; set by "&amp;'Mass Transfer'!su_binding,"no executable start-up schedule")</f>
        <v>DO 4.1 mg/L mean, 4.1 peak; H₂ 3% before each pulse; set by the legacy O₂ flush guard (lag DO target unreachable)</v>
      </c>
      <c r="E33" s="24" t="str">
        <f>HYPERLINK("#'Mass Transfer'!D556","→ Mass Transfer")</f>
        <v>→ Mass Transfer</v>
      </c>
      <c r="F33" s="22" t="inlineStr">
        <is>
          <t xml:space="preserve">The lag sawtooth evaluated at the start-up interval (rows 61–62 show the lag phase at the headline schedule instead).</t>
        </is>
      </c>
    </row>
    <row r="34" spans="1:6" x14ac:dyDescent="0.2">
      <c r="A34" s="17" t="s">
        <v>62</v>
      </c>
      <c r="B34" s="17"/>
      <c r="C34" s="17"/>
      <c r="D34" s="17" t="s">
        <v>23</v>
      </c>
      <c r="E34" s="17" t="s">
        <v>24</v>
      </c>
      <c r="F34" s="17" t="s">
        <v>25</v>
      </c>
    </row>
    <row r="35" spans="1:6" x14ac:dyDescent="0.2" ht="32" customHeight="1">
      <c r="A35" s="64" t="s">
        <v>63</v>
      </c>
      <c r="B35" s="19" t="s">
        <v>1717</v>
      </c>
      <c r="C35" s="21"/>
      <c r="D35" s="176" t="str">
        <f>Geometry!geom_check</f>
        <v>VIAL GEOMETRY INCONSISTENT - measure true fill volume &amp; bore depth</v>
      </c>
      <c r="E35" s="24" t="str">
        <f>HYPERLINK("#Geometry!D90","→ Geometry")</f>
        <v>→ Geometry</v>
      </c>
      <c r="F35" s="22" t="s">
        <v>1718</v>
      </c>
    </row>
    <row r="36" spans="1:6" x14ac:dyDescent="0.2">
      <c r="A36" s="64" t="s">
        <v>64</v>
      </c>
      <c r="B36" s="19" t="s">
        <v>1719</v>
      </c>
      <c r="C36" s="21"/>
      <c r="D36" s="65" t="str">
        <f>'Mass Transfer'!cal_warning</f>
        <v>calibrated: ed04 (flow from CO2 flows)</v>
      </c>
      <c r="E36" s="24" t="str">
        <f>HYPERLINK("#'Mass Transfer'!D120","→ Mass")</f>
        <v>→ Mass</v>
      </c>
      <c r="F36" s="22" t="s">
        <v>1720</v>
      </c>
    </row>
    <row r="37" spans="1:6" x14ac:dyDescent="0.2" ht="32" customHeight="1">
      <c r="A37" s="64" t="s">
        <v>1721</v>
      </c>
      <c r="B37" s="19" t="s">
        <v>1722</v>
      </c>
      <c r="C37" s="21"/>
      <c r="D37" s="175" t="str">
        <f>'Mass Transfer'!DO_peak_band</f>
        <v>organism band unknown – peak 2.5 mg/L is under the inhibition ceiling</v>
      </c>
      <c r="E37" s="24" t="str">
        <f>HYPERLINK("#'Mass Transfer'!D374","→ Mass Transfer")</f>
        <v>→ Mass Transfer</v>
      </c>
      <c r="F37" s="22" t="s">
        <v>1723</v>
      </c>
    </row>
    <row r="38" spans="1:6" x14ac:dyDescent="0.2">
      <c r="A38" s="64" t="s">
        <v>65</v>
      </c>
      <c r="B38" s="19" t="s">
        <v>1724</v>
      </c>
      <c r="C38" s="21"/>
      <c r="D38" s="65" t="str">
        <f>'Mass Transfer'!DO_ss_vs_min</f>
        <v>minimum DO unknown - measure</v>
      </c>
      <c r="E38" s="24" t="str">
        <f>HYPERLINK("#'Mass Transfer'!D110","→ Mass")</f>
        <v>→ Mass</v>
      </c>
      <c r="F38" s="22" t="s">
        <v>66</v>
      </c>
    </row>
    <row r="39" spans="1:6" x14ac:dyDescent="0.2" ht="62" customHeight="1">
      <c r="A39" s="64" t="s">
        <v>1725</v>
      </c>
      <c r="B39" s="19" t="s">
        <v>1726</v>
      </c>
      <c r="C39" s="21"/>
      <c r="D39" s="175" t="str">
        <f>'Mass Transfer'!sched_regime</f>
        <v>Do NOT relax: at the carbon-limited interval (185 min) the cycle-mean DO would be ≈13 mg/L, above the 10.1 mg/L inhibition ceiling (peaks higher)</v>
      </c>
      <c r="E39" s="24" t="str">
        <f>HYPERLINK("#'Mass Transfer'!D113","→ Mass")</f>
        <v>→ Mass</v>
      </c>
      <c r="F39" s="22" t="s">
        <v>1727</v>
      </c>
    </row>
    <row r="40" spans="1:6" x14ac:dyDescent="0.2" ht="92" customHeight="1">
      <c r="A40" s="64" t="s">
        <v>1728</v>
      </c>
      <c r="B40" s="19" t="s">
        <v>1729</v>
      </c>
      <c r="C40" s="21"/>
      <c r="D40" s="177" t="str">
        <f>Biology!H2_safety</f>
        <v>POTENTIAL FLAMMABILITY (lag screen): H₂ 9% mean, 15% before each pulse; O₂ 5% mean, 8% before each pulse – until uptake starts, sparge every ≤2.3 min or sweep ≥1.0 mL/min N₂; vent to a hood; no ignition sources</v>
      </c>
      <c r="E40" s="24" t="str">
        <f>HYPERLINK("#Biology!D44","→ Biology")</f>
        <v>→ Biology</v>
      </c>
      <c r="F40" s="22" t="inlineStr">
        <is>
          <t xml:space="preserve">Nominal lag-phase hazard screen, not safety certification. Predictions depend on unmeasured vent/transfer behaviour; validate mixture-specific limits, sampling and gas clearance before operation.</t>
        </is>
      </c>
    </row>
    <row r="41" spans="1:6" x14ac:dyDescent="0.2">
      <c r="A41" s="64" t="s">
        <v>67</v>
      </c>
      <c r="B41" s="19" t="s">
        <v>1731</v>
      </c>
      <c r="C41" s="21"/>
      <c r="D41" s="65" t="str">
        <f>'Mass Transfer'!bubble_regime</f>
        <v>Dynamic</v>
      </c>
      <c r="E41" s="24" t="str">
        <f>HYPERLINK("#'Mass Transfer'!D64","→ Mass")</f>
        <v>→ Mass</v>
      </c>
      <c r="F41" s="22" t="s">
        <v>68</v>
      </c>
    </row>
    <row r="42" spans="1:6" x14ac:dyDescent="0.2" ht="32" customHeight="1">
      <c r="A42" s="64" t="s">
        <v>69</v>
      </c>
      <c r="B42" s="19" t="s">
        <v>1732</v>
      </c>
      <c r="C42" s="21"/>
      <c r="D42" s="175" t="str">
        <f>IFERROR("×"&amp;TEXT('Mass Transfer'!CO2_sd_ratio,"0.0")&amp;IF('Mass Transfer'!CO2_sd_ratio&gt;=1," OK"," SHORTFALL (CO2 &lt; demand)")&amp;" delivered; ×"&amp;TEXT('Mass Transfer'!CO2_uptake_ratio,"0.0")&amp;" absorbed per pulse (row 77)","calibrate this reactor first")</f>
        <v>×49.7 OK delivered; ×2.5 absorbed per pulse (row 77)</v>
      </c>
      <c r="E42" s="24" t="str">
        <f>HYPERLINK("#'Mass Transfer'!D126","→ Mass")</f>
        <v>→ Mass</v>
      </c>
      <c r="F42" s="22" t="inlineStr">
        <is>
          <t xml:space="preserve">Ratio of CO₂ delivered to carbon demand (should be ≥ 1), with the absorbed ratio beside it (row 77): delivered counts gas the pulse expels unabsorbed, absorbed does not.</t>
        </is>
      </c>
    </row>
    <row r="43" spans="1:6" x14ac:dyDescent="0.2">
      <c r="A43" s="64" t="s">
        <v>70</v>
      </c>
      <c r="B43" s="19" t="s">
        <v>1734</v>
      </c>
      <c r="C43" s="21"/>
      <c r="D43" s="65" t="str">
        <f>IFERROR('Mass Transfer'!dur_ok,"calibrate this reactor first (CO₂ flow section of the Calibrations tab, or a CO2 flows row)")</f>
        <v>OK</v>
      </c>
      <c r="E43" s="24" t="str">
        <f>HYPERLINK("#'Mass Transfer'!D130","→ Mass")</f>
        <v>→ Mass</v>
      </c>
      <c r="F43" s="22" t="s">
        <v>1735</v>
      </c>
    </row>
    <row r="44" spans="1:6" x14ac:dyDescent="0.2">
      <c r="A44" s="64" t="s">
        <v>71</v>
      </c>
      <c r="B44" s="19" t="s">
        <v>1736</v>
      </c>
      <c r="C44" s="21"/>
      <c r="D44" s="65" t="str">
        <f>IFERROR('Mass Transfer'!od_ok,"calibrate this reactor first (CO₂ flow section of the Calibrations tab, or a CO2 flows row)")</f>
        <v>OK</v>
      </c>
      <c r="E44" s="24" t="str">
        <f>HYPERLINK("#'Mass Transfer'!D95","→ Mass")</f>
        <v>→ Mass</v>
      </c>
      <c r="F44" s="22" t="s">
        <v>72</v>
      </c>
    </row>
    <row r="45" spans="1:6" x14ac:dyDescent="0.2" ht="32" customHeight="1">
      <c r="A45" s="64" t="s">
        <v>73</v>
      </c>
      <c r="B45" s="19" t="s">
        <v>1737</v>
      </c>
      <c r="C45" s="21"/>
      <c r="D45" s="175" t="str">
        <f>'Mass Transfer'!carry_flag</f>
        <v>not measured – record the max flow without carryover for ed04 in CO2 flows column M</v>
      </c>
      <c r="E45" s="24" t="str">
        <f>HYPERLINK("#'Mass Transfer'!D59","→ Mass")</f>
        <v>→ Mass</v>
      </c>
      <c r="F45" s="22" t="inlineStr">
        <is>
          <t xml:space="preserve">Pulse flow against the measured no-carryover maximum for this reactor (CO2 flows column M). Reads "not measured" (amber) until one is recorded; the superficial-velocity rule of thumb is row 51.</t>
        </is>
      </c>
    </row>
    <row r="46" spans="1:6" x14ac:dyDescent="0.2">
      <c r="A46" s="64" t="s">
        <v>74</v>
      </c>
      <c r="B46" s="19" t="s">
        <v>1739</v>
      </c>
      <c r="C46" s="21"/>
      <c r="D46" s="65" t="str">
        <f>'Mass Transfer'!tip_warn</f>
        <v>OK</v>
      </c>
      <c r="E46" s="24" t="str">
        <f>HYPERLINK("#'Mass Transfer'!D111","→ Mass")</f>
        <v>→ Mass</v>
      </c>
      <c r="F46" s="22" t="s">
        <v>75</v>
      </c>
    </row>
    <row r="47" spans="1:6" x14ac:dyDescent="0.2">
      <c r="A47" s="64" t="s">
        <v>76</v>
      </c>
      <c r="B47" s="19" t="s">
        <v>1740</v>
      </c>
      <c r="C47" s="21"/>
      <c r="D47" s="69" t="str">
        <f>Geometry!media_vol_warn</f>
        <v>OK</v>
      </c>
      <c r="E47" s="24" t="str">
        <f>HYPERLINK("#Geometry!D54","→ Geometry")</f>
        <v>→ Geometry</v>
      </c>
      <c r="F47" s="22" t="s">
        <v>77</v>
      </c>
    </row>
    <row r="48" spans="1:6" x14ac:dyDescent="0.2">
      <c r="A48" s="64" t="s">
        <v>78</v>
      </c>
      <c r="B48" s="19" t="s">
        <v>1741</v>
      </c>
      <c r="C48" s="21"/>
      <c r="D48" s="69" t="str">
        <f>Geometry!depth_warn</f>
        <v>OK</v>
      </c>
      <c r="E48" s="24" t="str">
        <f>HYPERLINK("#Geometry!D55","→ Geometry")</f>
        <v>→ Geometry</v>
      </c>
      <c r="F48" s="22" t="s">
        <v>79</v>
      </c>
    </row>
    <row r="49" spans="1:6" ht="16" thickBot="1" x14ac:dyDescent="0.25">
      <c r="A49" s="64" t="s">
        <v>80</v>
      </c>
      <c r="B49" s="19" t="s">
        <v>1742</v>
      </c>
      <c r="C49" s="21"/>
      <c r="D49" s="71" t="str">
        <f>Electrochemistry!I_valid</f>
        <v>OK</v>
      </c>
      <c r="E49" s="24" t="str">
        <f>HYPERLINK("#Electrochemistry!D20","→ Electrochemistry")</f>
        <v>→ Electrochemistry</v>
      </c>
      <c r="F49" s="22" t="s">
        <v>81</v>
      </c>
    </row>
    <row r="50" spans="1:6" thickBot="1" x14ac:dyDescent="0.25" ht="32" customHeight="1">
      <c r="A50" s="64" t="s">
        <v>897</v>
      </c>
      <c r="B50" s="19" t="s">
        <v>1743</v>
      </c>
      <c r="C50" s="21"/>
      <c r="D50" s="176" t="str">
        <f>IF(AND(ISNUMBER(Biology!DO_min),ISNUMBER(Biology!DO_opt),ISNUMBER(Biology!DO_impair),ISNUMBER(Biology!DO_toxic)),"inputs present","DATA GAP - organism DO thresholds unmeasured; results unreliable")</f>
        <v>DATA GAP - organism DO thresholds unmeasured; results unreliable</v>
      </c>
      <c r="E50" s="24" t="str">
        <f>HYPERLINK("#Biology!D45","→ Biology")</f>
        <v>→ Biology</v>
      </c>
      <c r="F50" s="22" t="s">
        <v>898</v>
      </c>
    </row>
    <row r="51" spans="1:6" x14ac:dyDescent="0.2" ht="32" customHeight="1">
      <c r="A51" s="64" t="s">
        <v>1836</v>
      </c>
      <c r="B51" s="19" t="s">
        <v>1837</v>
      </c>
      <c r="D51" s="175" t="str">
        <f>'Mass Transfer'!carry_flag_usg</f>
        <v>OK – 6.6 mm/s against the 50 mm/s rule of thumb</v>
      </c>
      <c r="E51" s="24" t="str">
        <f>HYPERLINK("#'Mass Transfer'!D414","→ Mass Transfer")</f>
        <v>→ Mass Transfer</v>
      </c>
      <c r="F51" s="22" t="inlineStr">
        <is>
          <t xml:space="preserve">Secondary to row 45: gas velocity against the provisional 50 mm/s entrainment rule of thumb. It cannot fail at bench flows; row 45 tests the measured limit.</t>
        </is>
      </c>
    </row>
    <row r="52" spans="1:6" x14ac:dyDescent="0.2" ht="32" customHeight="1">
      <c r="A52" s="64" t="s">
        <v>1827</v>
      </c>
      <c r="D52" s="178"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52" s="24" t="str">
        <f>HYPERLINK("#Chemistry!D220","→ Chemistry")</f>
        <v>→ Chemistry</v>
      </c>
      <c r="F52" s="22" t="inlineStr">
        <is>
          <t xml:space="preserve">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is>
      </c>
    </row>
    <row r="53" spans="1:6" x14ac:dyDescent="0.2">
      <c r="A53" s="64" t="s">
        <v>1829</v>
      </c>
      <c r="C53" s="21" t="s">
        <v>111</v>
      </c>
      <c r="D53" s="65">
        <f>'Mass Transfer'!hs_sag</f>
        <v>0.051056592553</v>
      </c>
      <c r="E53" s="24" t="str">
        <f>HYPERLINK("#'Mass Transfer'!D389","→ Mass Transfer")</f>
        <v>→ Mass Transfer</v>
      </c>
      <c r="F53" s="22" t="s">
        <v>1830</v>
      </c>
    </row>
    <row r="54" spans="1:6" x14ac:dyDescent="0.2" ht="32" customHeight="1">
      <c r="A54" s="64" t="s">
        <v>1831</v>
      </c>
      <c r="D54" s="175" t="str">
        <f>'Mass Transfer'!hs_sag_chk</f>
        <v>UNVERIFIED pressure closure: air ingress is assumed; measure vent make-up flow</v>
      </c>
      <c r="E54" s="24" t="str">
        <f>HYPERLINK("#'Mass Transfer'!D391","→ Mass Transfer")</f>
        <v>→ Mass Transfer</v>
      </c>
      <c r="F54" s="22" t="inlineStr">
        <is>
          <t xml:space="preserve">"HEADSPACE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is>
      </c>
    </row>
    <row r="55">
      <c r="A55" s="64" t="inlineStr">
        <is>
          <t xml:space="preserve">Carbon pool stays above air equilibrium through the cycle?</t>
        </is>
      </c>
      <c r="B55" s="19" t="inlineStr">
        <is>
          <t xml:space="preserve">chk_pool</t>
        </is>
      </c>
      <c r="D55" s="65" t="str">
        <f>'Mass Transfer'!pool_start_chk</f>
        <v>OK</v>
      </c>
      <c r="E55" s="24" t="str">
        <f>HYPERLINK("#'Mass Transfer'!D435","→ Mass Transfer")</f>
        <v>→ Mass Transfer</v>
      </c>
      <c r="F55" s="22" t="inlineStr">
        <is>
          <t xml:space="preserve">Pulse-start dissolved CO₂ against air equilibrium at the schedule in use; WATCH = fixation empties the pool within the cycle (only reachable with a long, N₂-relaxed interval).</t>
        </is>
      </c>
    </row>
    <row r="57" spans="1:6" x14ac:dyDescent="0.2">
      <c r="A57" s="77" t="inlineStr">
        <is>
          <t xml:space="preserve">DISSOLVED O₂ AND HEADSPACE BY PHASE (both shown; row 12 picks which sizes the headline schedule)</t>
        </is>
      </c>
    </row>
    <row r="58" spans="1:6" x14ac:dyDescent="0.2">
      <c r="A58" s="64" t="s">
        <v>1799</v>
      </c>
      <c r="C58" s="21" t="s">
        <v>314</v>
      </c>
      <c r="D58" s="65">
        <f>'Mass Transfer'!Q_vent_used</f>
        <v>0.015</v>
      </c>
      <c r="E58" s="24" t="str">
        <f>HYPERLINK("#'Mass Transfer'!D386","→ Mass Transfer")</f>
        <v>→ Mass Transfer</v>
      </c>
      <c r="F58" s="22" t="inlineStr">
        <is>
          <t xml:space="preserve">0 for "Outflow only"; Q_backdraw (Mass Transfer D385, an estimate) for "Open vent"; the measured Q_vent (Mass Transfer D142) for "Air exchange". The single number that reconciles the O₂, CO₂ and flammability blocks — measure it.</t>
        </is>
      </c>
    </row>
    <row r="59" spans="1:6" x14ac:dyDescent="0.2">
      <c r="A59" s="64" t="s">
        <v>1801</v>
      </c>
      <c r="C59" s="21" t="s">
        <v>83</v>
      </c>
      <c r="D59" s="65">
        <f>'Mass Transfer'!DO_avg_g_mgL</f>
        <v>2.27402079505</v>
      </c>
      <c r="E59" s="24" t="str">
        <f>HYPERLINK("#'Mass Transfer'!D343","→ Mass Transfer")</f>
        <v>→ Mass Transfer</v>
      </c>
      <c r="F59" s="22" t="s">
        <v>1802</v>
      </c>
    </row>
    <row r="60" spans="1:6" x14ac:dyDescent="0.2">
      <c r="A60" s="64" t="s">
        <v>1803</v>
      </c>
      <c r="C60" s="21" t="s">
        <v>83</v>
      </c>
      <c r="D60" s="65">
        <f>'Mass Transfer'!DO_peak_g_mgL</f>
        <v>2.452781859604</v>
      </c>
      <c r="E60" s="24" t="str">
        <f>HYPERLINK("#'Mass Transfer'!D344","→ Mass Transfer")</f>
        <v>→ Mass Transfer</v>
      </c>
      <c r="F60" s="22" t="s">
        <v>1804</v>
      </c>
    </row>
    <row r="61" spans="1:6" x14ac:dyDescent="0.2">
      <c r="A61" s="64" t="s">
        <v>1805</v>
      </c>
      <c r="C61" s="21" t="s">
        <v>83</v>
      </c>
      <c r="D61" s="65">
        <f>'Mass Transfer'!DO_avg_l_mgL</f>
        <v>5.601306937651</v>
      </c>
      <c r="E61" s="24" t="str">
        <f>HYPERLINK("#'Mass Transfer'!D364","→ Mass Transfer")</f>
        <v>→ Mass Transfer</v>
      </c>
      <c r="F61" s="22" t="s">
        <v>1806</v>
      </c>
    </row>
    <row r="62" spans="1:6" x14ac:dyDescent="0.2">
      <c r="A62" s="64" t="s">
        <v>1807</v>
      </c>
      <c r="C62" s="21" t="s">
        <v>83</v>
      </c>
      <c r="D62" s="65">
        <f>'Mass Transfer'!DO_peak_l_mgL</f>
        <v>5.963675971962</v>
      </c>
      <c r="E62" s="24" t="str">
        <f>HYPERLINK("#'Mass Transfer'!D365","→ Mass Transfer")</f>
        <v>→ Mass Transfer</v>
      </c>
      <c r="F62" s="22" t="s">
        <v>1808</v>
      </c>
    </row>
    <row r="63" spans="1:6" x14ac:dyDescent="0.2">
      <c r="A63" s="64" t="s">
        <v>1809</v>
      </c>
      <c r="D63" s="65" t="str">
        <f>'Mass Transfer'!DO_peak_chk_g</f>
        <v>peak 2.5 mg/L under the 10.1 mg/L ceiling</v>
      </c>
      <c r="E63" s="24" t="str">
        <f>HYPERLINK("#'Mass Transfer'!D348","→ Mass Transfer")</f>
        <v>→ Mass Transfer</v>
      </c>
      <c r="F63" s="22" t="s">
        <v>1810</v>
      </c>
    </row>
    <row r="64" spans="1:6" x14ac:dyDescent="0.2">
      <c r="A64" s="64" t="s">
        <v>1811</v>
      </c>
      <c r="D64" s="65" t="str">
        <f>'Mass Transfer'!DO_peak_chk_l</f>
        <v>peak 6.0 mg/L under the 10.1 mg/L ceiling</v>
      </c>
      <c r="E64" s="24" t="str">
        <f>HYPERLINK("#'Mass Transfer'!D369","→ Mass Transfer")</f>
        <v>→ Mass Transfer</v>
      </c>
      <c r="F64" s="22" t="s">
        <v>1812</v>
      </c>
    </row>
    <row r="65" spans="1:6" x14ac:dyDescent="0.2">
      <c r="A65" s="64" t="s">
        <v>1813</v>
      </c>
      <c r="D65" s="65" t="str">
        <f>'Mass Transfer'!DO_feas_g</f>
        <v>reachable – kLa margin 1.74×</v>
      </c>
      <c r="E65" s="24" t="str">
        <f>HYPERLINK("#'Mass Transfer'!D347","→ Mass Transfer")</f>
        <v>→ Mass Transfer</v>
      </c>
      <c r="F65" s="22" t="s">
        <v>1814</v>
      </c>
    </row>
    <row r="66" spans="1:6" x14ac:dyDescent="0.2" ht="47" customHeight="1">
      <c r="A66" s="64" t="s">
        <v>1815</v>
      </c>
      <c r="D66" s="175" t="str">
        <f>'Mass Transfer'!DO_feas_l</f>
        <v>UNREACHABLE at this surface kLa – margin 0.61× (raise kL_surf, lower the current, or accept a higher DO)</v>
      </c>
      <c r="E66" s="24" t="str">
        <f>HYPERLINK("#'Mass Transfer'!D368","→ Mass Transfer")</f>
        <v>→ Mass Transfer</v>
      </c>
      <c r="F66" s="154"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67" spans="1:6" x14ac:dyDescent="0.2">
      <c r="A67" s="64" t="s">
        <v>1816</v>
      </c>
      <c r="C67" s="21" t="s">
        <v>449</v>
      </c>
      <c r="D67" s="65">
        <f>'Mass Transfer'!kLa_surf_req_g*3600</f>
        <v>15.833923097207</v>
      </c>
      <c r="E67" s="24" t="str">
        <f>HYPERLINK("#'Mass Transfer'!D345","→ Mass Transfer")</f>
        <v>→ Mass Transfer</v>
      </c>
      <c r="F67" s="22" t="s">
        <v>1817</v>
      </c>
    </row>
    <row r="68" spans="1:6" x14ac:dyDescent="0.2">
      <c r="A68" s="64" t="s">
        <v>1818</v>
      </c>
      <c r="C68" s="21" t="s">
        <v>449</v>
      </c>
      <c r="D68" s="65">
        <f>'Mass Transfer'!kLa_surf_req_l*3600</f>
        <v>44.975226114474</v>
      </c>
      <c r="E68" s="24" t="str">
        <f>HYPERLINK("#'Mass Transfer'!D366","→ Mass Transfer")</f>
        <v>→ Mass Transfer</v>
      </c>
      <c r="F68" s="22" t="s">
        <v>1817</v>
      </c>
    </row>
    <row r="69" spans="1:6" x14ac:dyDescent="0.2">
      <c r="A69" s="64" t="s">
        <v>1819</v>
      </c>
      <c r="C69" s="21" t="s">
        <v>111</v>
      </c>
      <c r="D69" s="65">
        <f>'Mass Transfer'!y_O2_mf_g</f>
        <v>0.02767992028</v>
      </c>
      <c r="E69" s="24" t="str">
        <f>HYPERLINK("#'Mass Transfer'!D329","→ Mass Transfer")</f>
        <v>→ Mass Transfer</v>
      </c>
      <c r="F69" s="22" t="s">
        <v>1820</v>
      </c>
    </row>
    <row r="70" spans="1:6" x14ac:dyDescent="0.2">
      <c r="A70" s="64" t="s">
        <v>1821</v>
      </c>
      <c r="C70" s="21" t="s">
        <v>111</v>
      </c>
      <c r="D70" s="65">
        <f>'Mass Transfer'!y_O2_mf_l</f>
        <v>0.054000710175</v>
      </c>
      <c r="E70" s="24" t="str">
        <f>HYPERLINK("#'Mass Transfer'!D351","→ Mass Transfer")</f>
        <v>→ Mass Transfer</v>
      </c>
      <c r="F70" s="22" t="inlineStr">
        <is>
          <t xml:space="preserve">Lag phase; with the H₂ fraction below it, the flammability basis of row 40.</t>
        </is>
      </c>
    </row>
    <row r="71" spans="1:6" x14ac:dyDescent="0.2">
      <c r="A71" s="64" t="s">
        <v>1823</v>
      </c>
      <c r="C71" s="21" t="s">
        <v>111</v>
      </c>
      <c r="D71" s="65">
        <f>'Mass Transfer'!y_H2_mf_l</f>
        <v>0.09401303663</v>
      </c>
      <c r="E71" s="24" t="str">
        <f>HYPERLINK("#'Mass Transfer'!D352","→ Mass Transfer")</f>
        <v>→ Mass Transfer</v>
      </c>
      <c r="F71" s="22" t="s">
        <v>1824</v>
      </c>
    </row>
    <row r="72" spans="1:6" x14ac:dyDescent="0.2">
      <c r="A72" s="64" t="s">
        <v>1825</v>
      </c>
      <c r="C72" s="21" t="s">
        <v>111</v>
      </c>
      <c r="D72" s="65">
        <f>'Mass Transfer'!y_CO2_mf</f>
        <v>0.939999076882</v>
      </c>
      <c r="E72" s="24" t="str">
        <f>HYPERLINK("#'Mass Transfer'!D381","→ Mass Transfer")</f>
        <v>→ Mass Transfer</v>
      </c>
      <c r="F72" s="22" t="s">
        <v>1826</v>
      </c>
    </row>
    <row r="74" spans="1:6" ht="16" thickBot="1" x14ac:dyDescent="0.25">
      <c r="A74" s="77" t="s">
        <v>82</v>
      </c>
      <c r="B74" s="21"/>
      <c r="C74" s="21"/>
      <c r="D74" s="21"/>
      <c r="E74" s="21"/>
      <c r="F74" s="22"/>
    </row>
    <row r="75" spans="1:6" x14ac:dyDescent="0.2">
      <c r="A75" s="64" t="s">
        <v>84</v>
      </c>
      <c r="B75" s="19" t="s">
        <v>1755</v>
      </c>
      <c r="C75" s="21" t="s">
        <v>85</v>
      </c>
      <c r="D75" s="65">
        <f>'Mass Transfer'!tip_speed</f>
        <v>0.628318530718</v>
      </c>
      <c r="E75" s="24" t="str">
        <f>HYPERLINK("#'Mass Transfer'!D68","→ Mass")</f>
        <v>→ Mass</v>
      </c>
      <c r="F75" s="22" t="s">
        <v>86</v>
      </c>
    </row>
    <row r="76" spans="1:6" x14ac:dyDescent="0.2">
      <c r="A76" s="64" t="s">
        <v>1756</v>
      </c>
      <c r="B76" s="19" t="s">
        <v>1757</v>
      </c>
      <c r="C76" s="21" t="s">
        <v>87</v>
      </c>
      <c r="D76" s="70">
        <f>Biology!CO2_margin_trough</f>
        <v>508.62941164546</v>
      </c>
      <c r="E76" s="24" t="str">
        <f>HYPERLINK("#Biology!D98","→ Biology")</f>
        <v>→ Biology</v>
      </c>
      <c r="F76" s="22" t="inlineStr">
        <is>
          <t xml:space="preserve">Dissolved CO₂ at the lowest point of the dosing cycle vs RuBisCO Km (was the in-sparge saturation peak, which a sub-second pulse never reaches); large = ample carbon. Complements the supply:demand ratio (D42).</t>
        </is>
      </c>
    </row>
    <row r="77" spans="1:6" x14ac:dyDescent="0.2">
      <c r="A77" s="64" t="s">
        <v>1833</v>
      </c>
      <c r="B77" s="19" t="s">
        <v>1834</v>
      </c>
      <c r="C77" s="21" t="s">
        <v>87</v>
      </c>
      <c r="D77" s="65">
        <f>'Mass Transfer'!CO2_uptake_ratio</f>
        <v>2.501215469962</v>
      </c>
      <c r="E77" s="24" t="str">
        <f>HYPERLINK("#'Mass Transfer'!D417","→ Mass Transfer")</f>
        <v>→ Mass Transfer</v>
      </c>
      <c r="F77" s="22" t="inlineStr">
        <is>
          <t xml:space="preserve">Shown beside D42: CO₂ the liquid takes up after each pulse (incl. bicarbonate), per hour, over fixation. Informative, not pass/fail: below 1 the culture also draws on headspace CO₂ between pulses. Carbon sufficiency is row 76.</t>
        </is>
      </c>
    </row>
    <row r="79">
      <c r="A79" s="77" t="inlineStr">
        <is>
          <t xml:space="preserve">MEDIA DESIGN — fix the medium first (owner, T7); N₂ only if it must, pulsed apart from CO₂</t>
        </is>
      </c>
    </row>
    <row r="80" spans="1:6" x14ac:dyDescent="0.2">
      <c r="A80" s="64" t="inlineStr">
        <is>
          <t xml:space="preserve">NaHCO₃ still needed to lift pH to the target (first-order)</t>
        </is>
      </c>
      <c r="C80" s="21" t="s">
        <v>2692</v>
      </c>
      <c r="D80" s="65">
        <f>Chemistry!alk_NaHCO3_gL</f>
        <v>0.122570685611</v>
      </c>
      <c r="E80" s="24" t="str">
        <f>HYPERLINK("#Chemistry!D306","→ Chemistry")</f>
        <v>→ Chemistry</v>
      </c>
      <c r="F80" s="22" t="inlineStr">
        <is>
          <t xml:space="preserve">Alkalinity still needed, on top of the recipe and any NaHCO₃ in D13, for a probe pH of Chemistry D303 (the 6.5 band floor by default) at today’s dissolved CO₂. Enter it in D13 to see the coupled result; re-read, as CO₂ storage moves with it.</t>
        </is>
      </c>
    </row>
    <row r="81" spans="1:6" x14ac:dyDescent="0.2">
      <c r="A81" s="64" t="s">
        <v>2694</v>
      </c>
      <c r="C81" s="21" t="s">
        <v>2695</v>
      </c>
      <c r="D81" s="65">
        <f>Chemistry!alk_needed*1000</f>
        <v>1.459053240931</v>
      </c>
      <c r="E81" s="24" t="str">
        <f>HYPERLINK("#Chemistry!D306","→ Chemistry")</f>
        <v>→ Chemistry</v>
      </c>
      <c r="F81" s="22" t="s">
        <v>2696</v>
      </c>
    </row>
    <row r="82">
      <c r="A82" s="64" t="inlineStr">
        <is>
          <t xml:space="preserve">N₂ (mean of timed pulses) that holds the DO target at the carbon-limited interval</t>
        </is>
      </c>
      <c r="C82" s="21" t="inlineStr">
        <is>
          <t xml:space="preserve">mL/min</t>
        </is>
      </c>
      <c r="D82" s="65">
        <f>'Mass Transfer'!N2_for_DO</f>
        <v>0.337157868618</v>
      </c>
      <c r="E82" s="24" t="str">
        <f>HYPERLINK("#'Mass Transfer'!D426","→ Mass Transfer")</f>
        <v>→ Mass Transfer</v>
      </c>
      <c r="F82" s="22" t="inlineStr">
        <is>
          <t xml:space="preserve">Sizing phase (row 12): the N₂ that removes the DO bound on the CO₂ schedule. With it in row 14 the pH ceiling (row 30) then usually sets the interval. #N/A = the DO target is unreachable at this surface kLa, which no N₂ fixes.</t>
        </is>
      </c>
    </row>
    <row r="83">
      <c r="A83" s="64" t="inlineStr">
        <is>
          <t xml:space="preserve">N₂ (mean of timed pulses) that keeps lag-phase H₂ below the LFL</t>
        </is>
      </c>
      <c r="C83" s="21" t="inlineStr">
        <is>
          <t xml:space="preserve">mL/min</t>
        </is>
      </c>
      <c r="D83" s="65">
        <f>Biology!N2_sweep_H2safe</f>
        <v>0.928010297432</v>
      </c>
      <c r="E83" s="24" t="str">
        <f>HYPERLINK("#Biology!D88","→ Biology")</f>
        <v>→ Biology</v>
      </c>
      <c r="F83" s="22" t="inlineStr">
        <is>
          <t xml:space="preserve">Mean-field, with no CO₂ at all; the pre-pulse sawtooth peaks higher, so treat it as a lower bound and re-read row 40 with it entered. A screen, not a mixture safety certification.</t>
        </is>
      </c>
    </row>
    <row r="85" spans="1:6" x14ac:dyDescent="0.2">
      <c r="A85" s="77" t="s">
        <v>1144</v>
      </c>
    </row>
    <row r="86" spans="1:6" x14ac:dyDescent="0.2">
      <c r="A86" s="64" t="s">
        <v>1145</v>
      </c>
      <c r="B86" s="19" t="s">
        <v>1759</v>
      </c>
      <c r="C86" s="21" t="s">
        <v>278</v>
      </c>
      <c r="D86" s="65">
        <f>Electrochemistry!I_app*1000</f>
        <v>5.69</v>
      </c>
      <c r="E86" s="24" t="str">
        <f>HYPERLINK("#Electrochemistry!D19","→ Electrochemistry")</f>
        <v>→ Electrochemistry</v>
      </c>
      <c r="F86" s="22" t="s">
        <v>1146</v>
      </c>
    </row>
    <row r="87" spans="1:6" x14ac:dyDescent="0.2">
      <c r="A87" s="64" t="s">
        <v>1147</v>
      </c>
      <c r="B87" s="19" t="s">
        <v>1760</v>
      </c>
      <c r="C87" s="21" t="s">
        <v>1148</v>
      </c>
      <c r="D87" s="65">
        <f>Electrochemistry!j_anode</f>
        <v>3.287810437489</v>
      </c>
      <c r="E87" s="24" t="str">
        <f>HYPERLINK("#Electrochemistry!D48","→ Electrochemistry")</f>
        <v>→ Electrochemistry</v>
      </c>
      <c r="F87" s="22" t="s">
        <v>1149</v>
      </c>
    </row>
    <row r="88" spans="1:6" x14ac:dyDescent="0.2">
      <c r="A88" s="64" t="s">
        <v>1150</v>
      </c>
      <c r="B88" s="19" t="s">
        <v>1761</v>
      </c>
      <c r="D88" s="65" t="str">
        <f>Electrochemistry!j_flag</f>
        <v>watch - above optimum current density</v>
      </c>
      <c r="E88" s="24" t="str">
        <f>HYPERLINK("#Electrochemistry!D62","→ Electrochemistry")</f>
        <v>→ Electrochemistry</v>
      </c>
      <c r="F88" s="22" t="s">
        <v>1151</v>
      </c>
    </row>
    <row r="89" spans="1:6" x14ac:dyDescent="0.2">
      <c r="A89" s="64" t="s">
        <v>1152</v>
      </c>
      <c r="B89" s="19" t="s">
        <v>1762</v>
      </c>
      <c r="C89" s="21" t="s">
        <v>40</v>
      </c>
      <c r="D89" s="65">
        <f>Electrochemistry!power_max</f>
        <v>10.0</v>
      </c>
      <c r="E89" s="24" t="str">
        <f>HYPERLINK("#Electrochemistry!D73","→ Electrochemistry")</f>
        <v>→ Electrochemistry</v>
      </c>
      <c r="F89" s="22" t="s">
        <v>1153</v>
      </c>
    </row>
    <row r="90" spans="1:6" x14ac:dyDescent="0.2">
      <c r="A90" s="64" t="s">
        <v>1154</v>
      </c>
      <c r="B90" s="19" t="s">
        <v>1763</v>
      </c>
      <c r="C90" s="21" t="s">
        <v>278</v>
      </c>
      <c r="D90" s="65">
        <f>Electrochemistry!I_max</f>
        <v>12.9</v>
      </c>
      <c r="E90" s="24" t="str">
        <f>HYPERLINK("#Electrochemistry!D74","→ Electrochemistry")</f>
        <v>→ Electrochemistry</v>
      </c>
      <c r="F90" s="22" t="s">
        <v>1155</v>
      </c>
    </row>
    <row r="91" spans="1:6" x14ac:dyDescent="0.2">
      <c r="A91" s="64" t="s">
        <v>1156</v>
      </c>
      <c r="B91" s="19" t="s">
        <v>1764</v>
      </c>
      <c r="C91" s="21" t="s">
        <v>1148</v>
      </c>
      <c r="D91" s="65">
        <f>Electrochemistry!j_anode_max</f>
        <v>7.453911185169</v>
      </c>
      <c r="E91" s="24" t="str">
        <f>HYPERLINK("#Electrochemistry!D75","→ Electrochemistry")</f>
        <v>→ Electrochemistry</v>
      </c>
      <c r="F91" s="22" t="s">
        <v>1157</v>
      </c>
    </row>
    <row r="92" spans="1:6" x14ac:dyDescent="0.2">
      <c r="A92" s="64" t="s">
        <v>1158</v>
      </c>
      <c r="B92" s="19" t="s">
        <v>1765</v>
      </c>
      <c r="D92" s="65" t="str">
        <f>Electrochemistry!j_flag_max</f>
        <v>EXCEED - max current over a limit</v>
      </c>
      <c r="E92" s="24" t="str">
        <f>HYPERLINK("#Electrochemistry!D76","→ Electrochemistry")</f>
        <v>→ Electrochemistry</v>
      </c>
      <c r="F92" s="22" t="s">
        <v>1159</v>
      </c>
    </row>
    <row r="94" spans="1:6" x14ac:dyDescent="0.2">
      <c r="A94" s="6" t="s">
        <v>1772</v>
      </c>
    </row>
    <row r="95" spans="1:6" x14ac:dyDescent="0.2">
      <c r="A95" t="s">
        <v>1490</v>
      </c>
      <c r="B95" s="19" t="s">
        <v>1773</v>
      </c>
      <c r="C95" s="20" t="s">
        <v>1140</v>
      </c>
      <c r="D95" s="23">
        <f>Electrochemistry!etaF_calc</f>
        <v>0.964044311944</v>
      </c>
      <c r="E95" s="24" t="str">
        <f>HYPERLINK("#Electrochemistry!D88","→ Electrochemistry")</f>
        <v>→ Electrochemistry</v>
      </c>
      <c r="F95" t="s">
        <v>1774</v>
      </c>
    </row>
    <row r="96" spans="1:6" x14ac:dyDescent="0.2">
      <c r="A96" t="s">
        <v>1572</v>
      </c>
      <c r="B96" s="19" t="s">
        <v>1775</v>
      </c>
      <c r="C96" s="20" t="s">
        <v>1445</v>
      </c>
      <c r="D96" s="23">
        <f>Electrochemistry!V_cell_est</f>
        <v>2.649439580207</v>
      </c>
      <c r="E96" s="24" t="str">
        <f>HYPERLINK("#Electrochemistry!D119","→ Electrochemistry")</f>
        <v>→ Electrochemistry</v>
      </c>
      <c r="F96" t="s">
        <v>1662</v>
      </c>
    </row>
    <row r="97" spans="1:6" x14ac:dyDescent="0.2">
      <c r="A97" t="s">
        <v>1581</v>
      </c>
      <c r="B97" s="19" t="s">
        <v>1776</v>
      </c>
      <c r="C97" s="20" t="s">
        <v>1140</v>
      </c>
      <c r="D97" s="23" t="str">
        <f>Electrochemistry!V_flag</f>
        <v>OK — 2.65 V estimated against a 5 V rail</v>
      </c>
      <c r="E97" s="24" t="str">
        <f>HYPERLINK("#Electrochemistry!D122","→ Electrochemistry")</f>
        <v>→ Electrochemistry</v>
      </c>
      <c r="F97" t="s">
        <v>1663</v>
      </c>
    </row>
    <row r="98" spans="1:6" x14ac:dyDescent="0.2" ht="62" customHeight="1">
      <c r="A98" t="s">
        <v>1517</v>
      </c>
      <c r="B98" s="19" t="s">
        <v>1777</v>
      </c>
      <c r="C98" s="20" t="s">
        <v>1140</v>
      </c>
      <c r="D98" s="179" t="str">
        <f>Electrochemistry!H2O2_flag</f>
        <v>watch — steady growth is clear (0.048 mg/L) but LAG PHASE is not: peroxide passes the threshold in 6 min (0.84 mg/L after 1 h) before biomass can scavenge it</v>
      </c>
      <c r="E98" s="24" t="str">
        <f>HYPERLINK("#Electrochemistry!D99","→ Electrochemistry")</f>
        <v>→ Electrochemistry</v>
      </c>
      <c r="F98" t="s">
        <v>1664</v>
      </c>
    </row>
    <row r="99" spans="1:6" x14ac:dyDescent="0.2" ht="32" customHeight="1">
      <c r="A99" t="s">
        <v>1665</v>
      </c>
      <c r="B99" s="19" t="s">
        <v>1778</v>
      </c>
      <c r="C99" s="20" t="s">
        <v>1140</v>
      </c>
      <c r="D99" s="179" t="str">
        <f>Chemistry!buffer_flag</f>
        <v>OK — buffer holds the electrode surfaces at the bulk pH</v>
      </c>
      <c r="E99" s="24" t="str">
        <f>HYPERLINK("#Chemistry!D219","→ Chemistry")</f>
        <v>→ Chemistry</v>
      </c>
      <c r="F99" t="s">
        <v>1666</v>
      </c>
    </row>
    <row r="100" spans="1:6" x14ac:dyDescent="0.2">
      <c r="A100" t="s">
        <v>1779</v>
      </c>
      <c r="B100" s="19" t="s">
        <v>1780</v>
      </c>
      <c r="C100" s="20" t="s">
        <v>1445</v>
      </c>
      <c r="D100" s="23" t="e">
        <f>Chemistry!E_Cl_margin</f>
        <v>#N/A</v>
      </c>
      <c r="E100" s="24" t="str">
        <f>HYPERLINK("#Chemistry!D209","→ Chemistry")</f>
        <v>→ Chemistry</v>
      </c>
      <c r="F100" t="s">
        <v>1781</v>
      </c>
    </row>
    <row r="101" spans="1:6" x14ac:dyDescent="0.2">
      <c r="A101" t="s">
        <v>1449</v>
      </c>
      <c r="B101" s="19" t="s">
        <v>1782</v>
      </c>
      <c r="C101" s="20" t="s">
        <v>1445</v>
      </c>
      <c r="D101" s="23">
        <f>Chemistry!E_Cu_margin</f>
        <v>1.248881383882</v>
      </c>
      <c r="E101" s="24" t="str">
        <f>HYPERLINK("#Chemistry!D211","→ Chemistry")</f>
        <v>→ Chemistry</v>
      </c>
      <c r="F101" t="s">
        <v>1783</v>
      </c>
    </row>
    <row r="102" spans="1:6" x14ac:dyDescent="0.2">
      <c r="A102" t="s">
        <v>1468</v>
      </c>
      <c r="B102" s="19" t="s">
        <v>1784</v>
      </c>
      <c r="C102" s="20" t="s">
        <v>1140</v>
      </c>
      <c r="D102" s="23">
        <f>Chemistry!pH_meas</f>
        <v>6.487746914065</v>
      </c>
      <c r="E102" s="24" t="str">
        <f>HYPERLINK("#Chemistry!D220","→ Chemistry")</f>
        <v>→ Chemistry</v>
      </c>
      <c r="F102" t="s">
        <v>1667</v>
      </c>
    </row>
    <row r="103" spans="1:6" x14ac:dyDescent="0.2">
      <c r="A103" t="s">
        <v>1668</v>
      </c>
      <c r="B103" s="19" t="s">
        <v>1785</v>
      </c>
      <c r="C103" s="20" t="s">
        <v>449</v>
      </c>
      <c r="D103" s="23">
        <f>'Mass Transfer'!kLa_surf_req*3600</f>
        <v>15.833923097207</v>
      </c>
      <c r="E103" s="24" t="str">
        <f>HYPERLINK("#'Mass Transfer'!D186","→ Mass Transfer")</f>
        <v>→ Mass Transfer</v>
      </c>
      <c r="F103" t="inlineStr">
        <is>
          <t xml:space="preserve">Below this, no sparge interval holds the target dissolved O₂ on the sizing phase. Per hour, the unit you measure in and the Calibrations tab takes (Calibrations D46). Both phases and their margins: rows 65–68.</t>
        </is>
      </c>
    </row>
    <row r="105" spans="1:6" x14ac:dyDescent="0.2">
      <c r="A105" s="32" t="inlineStr">
        <is>
          <t xml:space="preserve">EXPERIMENTS TO IMPROVE ACCURACY (bench measurements; each replaces an estimate or a data gap)</t>
        </is>
      </c>
      <c r="B105" s="32" t="s">
        <v>102</v>
      </c>
      <c r="C105" s="32" t="s">
        <v>103</v>
      </c>
      <c r="D105" s="32" t="s">
        <v>104</v>
      </c>
      <c r="E105" s="32"/>
      <c r="F105" s="32" t="s">
        <v>105</v>
      </c>
    </row>
    <row r="106" spans="1:6" x14ac:dyDescent="0.2">
      <c r="A106" s="21" t="s">
        <v>921</v>
      </c>
      <c r="B106" s="21" t="s">
        <v>922</v>
      </c>
      <c r="C106" s="21" t="s">
        <v>923</v>
      </c>
      <c r="D106" s="33" t="str">
        <f>HYPERLINK("https://github.com/amy-bo/electroPioreactor/blob/AEP02/Media/protocols/surface-kla.md","surface-kla.md →")</f>
        <v>surface-kla.md →</v>
      </c>
      <c r="E106" s="77"/>
      <c r="F106" s="22" t="s">
        <v>1766</v>
      </c>
    </row>
    <row r="107" spans="1:6" x14ac:dyDescent="0.2">
      <c r="A107" s="21" t="s">
        <v>924</v>
      </c>
      <c r="B107" s="21" t="s">
        <v>925</v>
      </c>
      <c r="C107" s="21" t="s">
        <v>926</v>
      </c>
      <c r="D107" s="33" t="str">
        <f>HYPERLINK("https://github.com/amy-bo/electroPioreactor/blob/AEP02/Media/protocols/vial-geometry.md","vial-geometry.md →")</f>
        <v>vial-geometry.md →</v>
      </c>
      <c r="E107" s="77"/>
      <c r="F107" s="22" t="s">
        <v>1767</v>
      </c>
    </row>
    <row r="108" spans="1:6" x14ac:dyDescent="0.2">
      <c r="A108" s="21" t="s">
        <v>927</v>
      </c>
      <c r="B108" s="21" t="s">
        <v>928</v>
      </c>
      <c r="C108" s="21" t="s">
        <v>929</v>
      </c>
      <c r="D108" s="33" t="str">
        <f>HYPERLINK("https://github.com/amy-bo/electroPioreactor/blob/AEP02/Media/protocols/faradaic-efficiency.md","faradaic-efficiency.md →")</f>
        <v>faradaic-efficiency.md →</v>
      </c>
      <c r="E108" s="77"/>
      <c r="F108" s="22" t="s">
        <v>1768</v>
      </c>
    </row>
    <row r="109" spans="1:6" x14ac:dyDescent="0.2">
      <c r="A109" s="21" t="s">
        <v>930</v>
      </c>
      <c r="B109" s="21" t="s">
        <v>931</v>
      </c>
      <c r="C109" s="21" t="s">
        <v>932</v>
      </c>
      <c r="D109" s="33" t="str">
        <f>HYPERLINK("https://github.com/amy-bo/electroPioreactor/blob/AEP02/Media/protocols/knallgas-stoichiometry.md","knallgas-stoichiometry.md →")</f>
        <v>knallgas-stoichiometry.md →</v>
      </c>
      <c r="E109" s="77"/>
      <c r="F109" s="154"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10" spans="1:6" x14ac:dyDescent="0.2">
      <c r="A110" s="21" t="s">
        <v>933</v>
      </c>
      <c r="B110" s="21" t="s">
        <v>934</v>
      </c>
      <c r="C110" s="21" t="s">
        <v>935</v>
      </c>
      <c r="D110" s="33" t="str">
        <f>HYPERLINK("https://github.com/amy-bo/electroPioreactor/blob/AEP02/Media/protocols/faradaic-efficiency.md","faradaic-efficiency.md →")</f>
        <v>faradaic-efficiency.md →</v>
      </c>
      <c r="E110" s="77"/>
      <c r="F110" s="22" t="s">
        <v>1689</v>
      </c>
    </row>
    <row r="111" spans="1:6" x14ac:dyDescent="0.2">
      <c r="A111" s="21" t="s">
        <v>936</v>
      </c>
      <c r="B111" s="21" t="s">
        <v>937</v>
      </c>
      <c r="C111" s="21" t="s">
        <v>938</v>
      </c>
      <c r="D111" s="33" t="str">
        <f>HYPERLINK("https://github.com/amy-bo/electroPioreactor/blob/AEP02/Media/protocols/vial-geometry.md","vial-geometry.md →")</f>
        <v>vial-geometry.md →</v>
      </c>
      <c r="E111" s="77"/>
      <c r="F111" s="22" t="inlineStr">
        <is>
          <t xml:space="preserve">Calipers on the vial body; drives the headspace and displacement budget alongside the total volume (row 107).</t>
        </is>
      </c>
    </row>
    <row r="112" spans="1:6" x14ac:dyDescent="0.2">
      <c r="A112" s="21" t="s">
        <v>940</v>
      </c>
      <c r="B112" s="21" t="s">
        <v>941</v>
      </c>
      <c r="C112" s="21" t="s">
        <v>942</v>
      </c>
      <c r="D112" s="33" t="str">
        <f>HYPERLINK("https://github.com/amy-bo/electroPioreactor/blob/AEP02/Media/protocols/flow-calibration.md","flow-calibration.md →")</f>
        <v>flow-calibration.md →</v>
      </c>
      <c r="E112" s="77"/>
      <c r="F112" s="154" t="str">
        <f>"Sets the solenoid floor (pulse_floor, now "&amp;TEXT('Mass Transfer'!pulse_floor,"0.00")&amp;" s), which binds only when it exceeds the optimal pulse ("&amp;IF(ISNUMBER(res_spg_dur),TEXT(res_spg_dur,"0.00")&amp;" s","not yet computed")&amp;"): "&amp;IF(AND(ISNUMBER(res_spg_dur),'Mass Transfer'!pulse_floor&gt;=res_spg_dur),"it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113" spans="1:6" x14ac:dyDescent="0.2">
      <c r="A113" s="21" t="inlineStr">
        <is>
          <t xml:space="preserve">Organism DO thresholds</t>
        </is>
      </c>
      <c r="B113" s="21" t="s">
        <v>944</v>
      </c>
      <c r="C113" s="21" t="s">
        <v>945</v>
      </c>
      <c r="D113" s="33" t="str">
        <f>HYPERLINK("https://github.com/amy-bo/electroPioreactor/blob/AEP02/Media/protocols/dissolved-oxygen.md","dissolved-oxygen.md →")</f>
        <v>dissolved-oxygen.md →</v>
      </c>
      <c r="E113" s="77"/>
      <c r="F113" s="22" t="inlineStr">
        <is>
          <t xml:space="preserve">Minimum, optimum and impairment DO for the organism in use: all four are data gaps for X. tagetidis, and the C. necator optimum and impairment that set the fallback target fraction (Biology D61) are provisional working values (row 38 is the minimum check).</t>
        </is>
      </c>
    </row>
    <row r="114" spans="1:6" x14ac:dyDescent="0.2">
      <c r="A114" s="21" t="s">
        <v>947</v>
      </c>
      <c r="B114" s="21" t="s">
        <v>948</v>
      </c>
      <c r="C114" s="21" t="s">
        <v>949</v>
      </c>
      <c r="D114" s="33" t="str">
        <f>HYPERLINK("https://github.com/amy-bo/electroPioreactor/blob/AEP02/Media/protocols/flow-calibration.md","flow-calibration.md →")</f>
        <v>flow-calibration.md →</v>
      </c>
      <c r="E114" s="77"/>
      <c r="F114" s="22" t="inlineStr">
        <is>
          <t xml:space="preserve">Each reactor needs its own CO₂ flow calibration; only ed04 has one (row 128 for the reactor actually in use).</t>
        </is>
      </c>
    </row>
    <row r="115" spans="1:6" x14ac:dyDescent="0.2">
      <c r="A115" s="21" t="s">
        <v>951</v>
      </c>
      <c r="B115" s="21" t="s">
        <v>952</v>
      </c>
      <c r="C115" s="21" t="s">
        <v>953</v>
      </c>
      <c r="D115" s="33" t="str">
        <f>HYPERLINK("https://github.com/amy-bo/electroPioreactor/blob/AEP02/Media/protocols/sinter-porosity.md","sinter-porosity.md →")</f>
        <v>sinter-porosity.md →</v>
      </c>
      <c r="E115" s="77"/>
      <c r="F115" s="22" t="inlineStr">
        <is>
          <t xml:space="preserve">Sets bubble size, and only matters when the sparger is a sintered frit; grade 0 (Gerrit’s disc) is assumed today.</t>
        </is>
      </c>
    </row>
    <row r="116" spans="1:6" x14ac:dyDescent="0.2">
      <c r="A116" s="21" t="s">
        <v>955</v>
      </c>
      <c r="B116" s="21" t="s">
        <v>956</v>
      </c>
      <c r="C116" s="21" t="s">
        <v>957</v>
      </c>
      <c r="D116" s="33" t="str">
        <f>HYPERLINK("https://github.com/amy-bo/electroPioreactor/blob/AEP02/Media/protocols/README.md","README.md →")</f>
        <v>README.md →</v>
      </c>
      <c r="E116" s="77"/>
      <c r="F116" s="22" t="s">
        <v>1769</v>
      </c>
    </row>
    <row r="117" spans="1:6" x14ac:dyDescent="0.2">
      <c r="A117" t="s">
        <v>1690</v>
      </c>
      <c r="B117" t="s">
        <v>928</v>
      </c>
      <c r="C117" t="s">
        <v>957</v>
      </c>
      <c r="D117" s="24" t="str">
        <f>HYPERLINK("https://github.com/amy-bo/electroPioreactor/blob/AEP02/Media/protocols/electrode-mass-transfer.md","electrode-mass-transfer.md →")</f>
        <v>electrode-mass-transfer.md →</v>
      </c>
      <c r="E117" s="21"/>
      <c r="F117"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118" spans="1:6" x14ac:dyDescent="0.2">
      <c r="A118" t="s">
        <v>1692</v>
      </c>
      <c r="B118" t="s">
        <v>948</v>
      </c>
      <c r="C118" t="s">
        <v>957</v>
      </c>
      <c r="D118" s="24" t="str">
        <f>HYPERLINK("https://github.com/amy-bo/electroPioreactor/blob/AEP02/Media/protocols/vial-geometry.md","vial-geometry.md →")</f>
        <v>vial-geometry.md →</v>
      </c>
      <c r="E118" s="21"/>
      <c r="F118" t="s">
        <v>1693</v>
      </c>
    </row>
    <row r="119" spans="1:6" x14ac:dyDescent="0.2">
      <c r="A119" t="s">
        <v>1694</v>
      </c>
      <c r="B119" t="s">
        <v>928</v>
      </c>
      <c r="C119" t="s">
        <v>957</v>
      </c>
      <c r="D119" s="24" t="str">
        <f>HYPERLINK("https://github.com/amy-bo/electroPioreactor/blob/AEP02/Media/protocols/gerrit-current.md","gerrit-current.md →")</f>
        <v>gerrit-current.md →</v>
      </c>
      <c r="E119" s="21"/>
      <c r="F119" t="str">
        <f>"The cell-voltage budget is a testable prediction: about "&amp;TEXT(Electrochemistry!V_cell_est,"0.00")&amp;" V of the "&amp;TEXT(Electrochemistry!V_rail,"0")&amp;" V rail at the current settings (row 96). A multimeter reading across the electrodes tests the cell-constant choice and, with a high-power point, bounds the j₀ errors."</f>
        <v>The cell-voltage budget is a testable prediction: about 2.65 V of the 5 V rail at the current settings (row 96). A multimeter reading across the electrodes tests the cell-constant choice and, with a high-power point, bounds the j₀ errors.</v>
      </c>
    </row>
    <row r="120" spans="1:6" x14ac:dyDescent="0.2">
      <c r="A120" t="s">
        <v>1695</v>
      </c>
      <c r="B120" t="s">
        <v>928</v>
      </c>
      <c r="C120" t="s">
        <v>935</v>
      </c>
      <c r="D120" s="24" t="str">
        <f>HYPERLINK("https://github.com/amy-bo/electroPioreactor/blob/AEP02/Media/protocols/README.md","README.md →")</f>
        <v>README.md →</v>
      </c>
      <c r="F120" t="inlineStr">
        <is>
          <t xml:space="preserve">Cu/Ni/Fe by ICP or a colorimetric kit. The operating anode sits well above the Cu²⁺/Cu equilibrium (row 101), so dissolution is thermodynamically allowed; this is the unmodelled prime suspect for the Exp-2 death and it also closes the anodic charge budget.</t>
        </is>
      </c>
    </row>
    <row r="121" spans="1:6" x14ac:dyDescent="0.2">
      <c r="A121" s="21" t="inlineStr">
        <is>
          <t xml:space="preserve">Characterise the headspace vent</t>
        </is>
      </c>
      <c r="B121" s="21" t="s">
        <v>922</v>
      </c>
      <c r="C121" s="21" t="s">
        <v>923</v>
      </c>
      <c r="D121" s="33" t="str">
        <f>HYPERLINK("https://github.com/amy-bo/electroPioreactor/blob/AEP02/Media/protocols/headspace-vent.md","headspace-vent.md →")</f>
        <v>headspace-vent.md →</v>
      </c>
      <c r="F121" s="22" t="inlineStr">
        <is>
          <t xml:space="preserve">The vent is confirmed open (row 11; owner, T5), so the measurement is now its back-draw flow (Q_backdraw, Mass Transfer D385), the single biggest input after the vent type: the interval moves several-fold across plausible ingress. Pressure-decay test or a headspace O₂ tracer.</t>
        </is>
      </c>
    </row>
    <row r="122" spans="1:6" x14ac:dyDescent="0.2">
      <c r="A122" s="21" t="inlineStr">
        <is>
          <t xml:space="preserve">Abiotic DO trace under the schedule</t>
        </is>
      </c>
      <c r="B122" s="21" t="s">
        <v>922</v>
      </c>
      <c r="C122" s="21" t="s">
        <v>923</v>
      </c>
      <c r="D122" s="33" t="str">
        <f>HYPERLINK("https://github.com/amy-bo/electroPioreactor/blob/AEP02/Media/protocols/abiotic-do-trace.md","abiotic-do-trace.md →")</f>
        <v>abiotic-do-trace.md →</v>
      </c>
      <c r="F122" s="22" t="inlineStr">
        <is>
          <t xml:space="preserve">One run with no cells at 3 % logging DO with an optical spot: tests the whole headspace balance against the lag-phase predictions (rows 61–62).</t>
        </is>
      </c>
    </row>
    <row r="123" spans="1:6" x14ac:dyDescent="0.2">
      <c r="A123" s="21" t="inlineStr">
        <is>
          <t xml:space="preserve">Headspace H₂/O₂ during lag (safety)</t>
        </is>
      </c>
      <c r="B123" s="21" t="s">
        <v>922</v>
      </c>
      <c r="C123" s="21" t="s">
        <v>923</v>
      </c>
      <c r="D123" s="33" t="str">
        <f>HYPERLINK("https://github.com/amy-bo/electroPioreactor/blob/AEP02/Media/protocols/headspace-gas-safety.md","headspace-gas-safety.md →")</f>
        <v>headspace-gas-safety.md →</v>
      </c>
      <c r="F123" s="22" t="inlineStr">
        <is>
          <t xml:space="preserve">Safety. The model puts the lag-phase headspace at about 9 % H₂ (D40), above the 4 % lower flammable limit, until the cells take up H₂.</t>
        </is>
      </c>
    </row>
    <row r="124" spans="1:6" x14ac:dyDescent="0.2">
      <c r="A124" s="21" t="inlineStr">
        <is>
          <t xml:space="preserve">Off-gas H₂ at steady growth</t>
        </is>
      </c>
      <c r="B124" s="21" t="s">
        <v>922</v>
      </c>
      <c r="C124" s="21" t="s">
        <v>932</v>
      </c>
      <c r="D124" s="33" t="str">
        <f>HYPERLINK("https://github.com/amy-bo/electroPioreactor/blob/AEP02/Media/protocols/knallgas-stoichiometry.md","knallgas-stoichiometry.md →")</f>
        <v>knallgas-stoichiometry.md →</v>
      </c>
      <c r="F124" s="22" t="inlineStr">
        <is>
          <t xml:space="preserve">H₂ fraction in the vent gas × vent flow, against the H₂ the current makes, gives the H₂ uptake fraction behind the growth O₂ surplus (up to ±200 % on the schedule). Row 109 measures the same ratio in sealed bottles.</t>
        </is>
      </c>
    </row>
    <row r="125" spans="1:6" x14ac:dyDescent="0.2">
      <c r="A125" s="21" t="inlineStr">
        <is>
          <t xml:space="preserve">Free and combined chlorine (DPD)</t>
        </is>
      </c>
      <c r="B125" s="21" t="s">
        <v>931</v>
      </c>
      <c r="C125" s="21" t="s">
        <v>926</v>
      </c>
      <c r="D125" s="33" t="str">
        <f>HYPERLINK("https://github.com/amy-bo/electroPioreactor/blob/AEP02/Media/protocols/chlorine-species.md","chlorine-species.md →")</f>
        <v>chlorine-species.md →</v>
      </c>
      <c r="F125" s="22" t="inlineStr">
        <is>
          <t xml:space="preserve">Settles the monochloramine lifetime (Chemistry D142, entered in the Calibrations monochloramine section), which moves the UdG interval by about ±32 %. Also confirm the CaCl₂ hydrate state (−24 % on every chlorine figure).</t>
        </is>
      </c>
    </row>
    <row r="126" spans="1:6" x14ac:dyDescent="0.2">
      <c r="A126" s="21" t="inlineStr">
        <is>
          <t xml:space="preserve">Sparger-attached flow check</t>
        </is>
      </c>
      <c r="B126" s="21" t="s">
        <v>941</v>
      </c>
      <c r="C126" s="21" t="s">
        <v>926</v>
      </c>
      <c r="D126" s="33" t="str">
        <f>HYPERLINK("https://github.com/amy-bo/electroPioreactor/blob/AEP02/Media/protocols/flow-calibration.md","flow-calibration.md →")</f>
        <v>flow-calibration.md →</v>
      </c>
      <c r="F126" s="22" t="s">
        <v>2710</v>
      </c>
    </row>
    <row r="127" spans="1:6" x14ac:dyDescent="0.2">
      <c r="A127" s="21" t="inlineStr">
        <is>
          <t xml:space="preserve">No-carryover maximum flow</t>
        </is>
      </c>
      <c r="B127" s="21" t="inlineStr">
        <is>
          <t xml:space="preserve">LOW</t>
        </is>
      </c>
      <c r="C127" s="21" t="inlineStr">
        <is>
          <t xml:space="preserve">low</t>
        </is>
      </c>
      <c r="D127" s="33" t="str">
        <f>HYPERLINK("https://github.com/amy-bo/electroPioreactor/blob/AEP02/Media/protocols/flow-calibration.md","flow-calibration.md →")</f>
        <v>flow-calibration.md →</v>
      </c>
      <c r="F127" s="22" t="inlineStr">
        <is>
          <t xml:space="preserve">Record the highest flow without liquid carryover for each reactor in CO2 flows column M; D45 reads "not measured" until then.</t>
        </is>
      </c>
    </row>
    <row r="128" spans="1:6" x14ac:dyDescent="0.2">
      <c r="A128" s="21" t="inlineStr">
        <is>
          <t xml:space="preserve">CO₂ flow of the reactor in use</t>
        </is>
      </c>
      <c r="B128" s="21" t="inlineStr">
        <is>
          <t xml:space="preserve">HIGH</t>
        </is>
      </c>
      <c r="C128" s="21" t="s">
        <v>926</v>
      </c>
      <c r="D128" s="33" t="str">
        <f>HYPERLINK("https://github.com/amy-bo/electroPioreactor/blob/AEP02/Media/protocols/flow-calibration.md","flow-calibration.md →")</f>
        <v>flow-calibration.md →</v>
      </c>
      <c r="F128" s="22" t="inlineStr">
        <is>
          <t xml:space="preserve">D2 is ed04, the only reactor with a flow calibration, and its MEP0.3 geometry (20 mL vial, 16 mL max). For an AEP0.2 build (ed06–ed08), calibrate that reactor and select it in D2.</t>
        </is>
      </c>
    </row>
    <row r="129">
      <c r="A129" s="21" t="inlineStr">
        <is>
          <t xml:space="preserve">AMYBO03 conductivity at the operating temperature</t>
        </is>
      </c>
      <c r="B129" s="21" t="inlineStr">
        <is>
          <t xml:space="preserve">MED</t>
        </is>
      </c>
      <c r="C129" s="21" t="inlineStr">
        <is>
          <t xml:space="preserve">low</t>
        </is>
      </c>
      <c r="D129" s="33" t="str">
        <f>HYPERLINK("https://github.com/amy-bo/electroPioreactor/blob/AEP02/Media/protocols/README.md","README.md →")</f>
        <v>README.md →</v>
      </c>
      <c r="F129" s="22" t="inlineStr">
        <is>
          <t xml:space="preserve">The ohmic term uses a Kohlrausch sum × a finite-strength factor (0.78) anchored near I ≈ 0.1 M; AMYBO03 is about 0.2 M. A conductivity-meter reading at 30 °C replaces both (Chemistry D178–D180).</t>
        </is>
      </c>
    </row>
    <row r="130">
      <c r="A130" s="21" t="inlineStr">
        <is>
          <t xml:space="preserve">Low-power current curve below 3 %</t>
        </is>
      </c>
      <c r="B130" s="21" t="inlineStr">
        <is>
          <t xml:space="preserve">MED</t>
        </is>
      </c>
      <c r="C130" s="21" t="inlineStr">
        <is>
          <t xml:space="preserve">low</t>
        </is>
      </c>
      <c r="D130" s="33" t="str">
        <f>HYPERLINK("https://github.com/amy-bo/electroPioreactor/blob/AEP02/Media/protocols/gerrit-current.md","gerrit-current.md →")</f>
        <v>gerrit-current.md →</v>
      </c>
      <c r="F130" s="22" t="inlineStr">
        <is>
          <t xml:space="preserve">Gerrit’s Law is fitted and validated for 3–10 %; below that the model refuses to run. Needed before a start-up current ramp can be modelled (row 138).</t>
        </is>
      </c>
    </row>
    <row r="131">
      <c r="A131" s="21" t="inlineStr">
        <is>
          <t xml:space="preserve">Electrochemist review of the calculated electrochemistry</t>
        </is>
      </c>
      <c r="B131" s="21" t="inlineStr">
        <is>
          <t xml:space="preserve">HIGH</t>
        </is>
      </c>
      <c r="C131" s="21" t="inlineStr">
        <is>
          <t xml:space="preserve">low</t>
        </is>
      </c>
      <c r="D131" s="33" t="str">
        <f>HYPERLINK("https://github.com/amy-bo/electroPioreactor/blob/AEP02/Media/protocols/README.md","README.md →")</f>
        <v>README.md →</v>
      </c>
      <c r="F131" s="22" t="inlineStr">
        <is>
          <t xml:space="preserve">Weakest inputs: the anodic exchange-current density (four decades in the literature) and the electrode mass-transfer coefficient. Rows 94–103 are the numbers to hand over.</t>
        </is>
      </c>
    </row>
    <row r="133" spans="1:6" x14ac:dyDescent="0.2">
      <c r="A133" s="77" t="inlineStr">
        <is>
          <t xml:space="preserve">POTENTIAL MODEL IMPROVEMENTS (changes to the spreadsheet itself; each waits on the decision or data in column D)</t>
        </is>
      </c>
    </row>
    <row r="134" spans="1:6" x14ac:dyDescent="0.2">
      <c r="A134" s="32" t="inlineStr">
        <is>
          <t xml:space="preserve">Improvement</t>
        </is>
      </c>
      <c r="B134" s="32" t="s">
        <v>102</v>
      </c>
      <c r="C134" s="32" t="s">
        <v>103</v>
      </c>
      <c r="D134" s="32" t="inlineStr">
        <is>
          <t xml:space="preserve">Waits on</t>
        </is>
      </c>
      <c r="F134" s="32" t="s">
        <v>105</v>
      </c>
    </row>
    <row r="135" x14ac:dyDescent="0.2">
      <c r="A135" s="21" t="inlineStr">
        <is>
          <t xml:space="preserve">Separate N₂ flush in the sawtooth</t>
        </is>
      </c>
      <c r="B135" s="21" t="inlineStr">
        <is>
          <t xml:space="preserve">LOW</t>
        </is>
      </c>
      <c r="C135" s="21" t="inlineStr">
        <is>
          <t xml:space="preserve">med</t>
        </is>
      </c>
      <c r="D135" s="22" t="inlineStr">
        <is>
          <t xml:space="preserve">Owner: only if N₂ is used at all (T7 prefers fixing the medium)</t>
        </is>
      </c>
      <c r="F135" s="22" t="inlineStr">
        <is>
          <t xml:space="preserve">Row 14 enters N₂ by its mean flow. That is exact for the mean-field fractions but not for the sawtooth: a separate N₂ flush lets H₂ and O₂ build for longer between flushes, so the pre-pulse peaks can be substantially higher than the continuous surrogate shows. Model the flush before relying on pulsed N₂.</t>
        </is>
      </c>
    </row>
    <row r="136" x14ac:dyDescent="0.2">
      <c r="A136" s="21" t="inlineStr">
        <is>
          <t xml:space="preserve">Nitrate or urea instead of NH₄⁺</t>
        </is>
      </c>
      <c r="B136" s="21" t="inlineStr">
        <is>
          <t xml:space="preserve">MED</t>
        </is>
      </c>
      <c r="C136" s="21" t="inlineStr">
        <is>
          <t xml:space="preserve">med</t>
        </is>
      </c>
      <c r="D136" s="22" t="inlineStr">
        <is>
          <t xml:space="preserve">Owner: nitrogen source; a measured uptake rate</t>
        </is>
      </c>
      <c r="F136" s="22" t="inlineStr">
        <is>
          <t xml:space="preserve">Ammonium uptake releases acid as the culture grows, which the model does not see: it holds NH₄⁺ at its recipe value. Part of fixing the medium (T7).</t>
        </is>
      </c>
    </row>
    <row r="137" x14ac:dyDescent="0.2">
      <c r="A137" s="21" t="inlineStr">
        <is>
          <t xml:space="preserve">Pulse length from the shortest reliable pulse</t>
        </is>
      </c>
      <c r="B137" s="21" t="inlineStr">
        <is>
          <t xml:space="preserve">MED</t>
        </is>
      </c>
      <c r="C137" s="21" t="inlineStr">
        <is>
          <t xml:space="preserve">low</t>
        </is>
      </c>
      <c r="D137" s="22" t="inlineStr">
        <is>
          <t xml:space="preserve">Measured solenoid floor (flow-calibration step 9)</t>
        </is>
      </c>
      <c r="F137" s="22" t="inlineStr">
        <is>
          <t xml:space="preserve">Pulse length (row 18) is a rule of thumb: about one headspace volume per pulse. A twin trial at a 0.25 s floor held pH and growth DO on about 7 % less CO₂ but raised lag-phase DO.</t>
        </is>
      </c>
    </row>
    <row r="138" x14ac:dyDescent="0.2">
      <c r="A138" s="21" t="inlineStr">
        <is>
          <t xml:space="preserve">Start-up current ramp</t>
        </is>
      </c>
      <c r="B138" s="21" t="inlineStr">
        <is>
          <t xml:space="preserve">MED</t>
        </is>
      </c>
      <c r="C138" s="21" t="inlineStr">
        <is>
          <t xml:space="preserve">med</t>
        </is>
      </c>
      <c r="D138" s="22" t="inlineStr">
        <is>
          <t xml:space="preserve">Measured low-power current curve below 3 %</t>
        </is>
      </c>
      <c r="F138" s="22" t="inlineStr">
        <is>
          <t xml:space="preserve">Lag DO stays unreachable at the estimated surface kLa at any interval (row 66), so the remaining lever is less current until uptake starts; the current fit is not valid below 3 %.</t>
        </is>
      </c>
    </row>
    <row r="139" x14ac:dyDescent="0.2">
      <c r="A139" s="21" t="inlineStr">
        <is>
          <t xml:space="preserve">Carbon bound on the pool trough</t>
        </is>
      </c>
      <c r="B139" s="21" t="inlineStr">
        <is>
          <t xml:space="preserve">LOW</t>
        </is>
      </c>
      <c r="C139" s="21" t="inlineStr">
        <is>
          <t xml:space="preserve">low</t>
        </is>
      </c>
      <c r="D139" s="22" t="inlineStr">
        <is>
          <t xml:space="preserve">Owner: trough margin over RuBisCO Km</t>
        </is>
      </c>
      <c r="F139" s="22" t="inlineStr">
        <is>
          <t xml:space="preserve">The carbon interval (row 28) is sized on mean supply; row 55 warns when a long interval lets the pool run dry within the cycle. A bound on the trough (Biology D98) would close it.</t>
        </is>
      </c>
    </row>
    <row r="144" spans="1:6" x14ac:dyDescent="0.2">
      <c r="A144" s="17" t="s">
        <v>88</v>
      </c>
      <c r="B144" s="17"/>
      <c r="C144" s="17"/>
      <c r="D144" s="17"/>
      <c r="E144" s="17"/>
      <c r="F144" s="17"/>
    </row>
    <row r="145" spans="1:6" x14ac:dyDescent="0.2">
      <c r="A145" s="102" t="s">
        <v>89</v>
      </c>
      <c r="B145" s="21"/>
      <c r="C145" s="21"/>
      <c r="D145" s="25"/>
      <c r="E145" s="21"/>
      <c r="F145" s="21"/>
    </row>
    <row r="146" spans="1:6" x14ac:dyDescent="0.2">
      <c r="A146" s="26" t="s">
        <v>90</v>
      </c>
      <c r="B146" s="21"/>
      <c r="C146" s="21"/>
      <c r="D146" s="25"/>
      <c r="E146" s="21"/>
      <c r="F146" s="21"/>
    </row>
    <row r="147" spans="1:6" x14ac:dyDescent="0.2">
      <c r="A147" s="73" t="s">
        <v>91</v>
      </c>
      <c r="B147" s="21"/>
      <c r="C147" s="21"/>
      <c r="D147" s="25"/>
      <c r="E147" s="21"/>
      <c r="F147" s="21"/>
    </row>
    <row r="148" spans="1:6" x14ac:dyDescent="0.2">
      <c r="A148" s="27" t="s">
        <v>92</v>
      </c>
      <c r="B148" s="21"/>
      <c r="C148" s="21"/>
      <c r="D148" s="25"/>
      <c r="E148" s="21"/>
      <c r="F148" s="21"/>
    </row>
    <row r="149" spans="1:6" x14ac:dyDescent="0.2">
      <c r="A149" s="28" t="s">
        <v>93</v>
      </c>
      <c r="B149" s="21"/>
      <c r="C149" s="21"/>
      <c r="D149" s="25"/>
      <c r="E149" s="67"/>
      <c r="F149" s="21"/>
    </row>
    <row r="150" spans="1:6" x14ac:dyDescent="0.2">
      <c r="A150" s="29" t="s">
        <v>94</v>
      </c>
      <c r="B150" s="21"/>
      <c r="C150" s="21"/>
      <c r="D150" s="25"/>
      <c r="E150" s="67"/>
      <c r="F150" s="21"/>
    </row>
    <row r="151" spans="1:6" x14ac:dyDescent="0.2">
      <c r="A151" s="63" t="s">
        <v>95</v>
      </c>
      <c r="B151" s="21"/>
      <c r="C151" s="21"/>
      <c r="D151" s="25"/>
      <c r="E151" s="67"/>
      <c r="F151" s="21"/>
    </row>
    <row r="152" spans="1:6" x14ac:dyDescent="0.2">
      <c r="A152" s="30" t="s">
        <v>96</v>
      </c>
      <c r="B152" s="21"/>
      <c r="C152" s="21"/>
      <c r="D152" s="21"/>
      <c r="E152" s="21"/>
      <c r="F152" s="21"/>
    </row>
    <row r="153" spans="1:6" x14ac:dyDescent="0.2">
      <c r="A153" s="30"/>
      <c r="B153" s="21"/>
      <c r="C153" s="21"/>
      <c r="D153" s="21"/>
      <c r="E153" s="21"/>
      <c r="F153" s="21"/>
    </row>
    <row r="154" spans="1:6" s="21" customFormat="1" x14ac:dyDescent="0.2">
      <c r="A154" s="60" t="s">
        <v>98</v>
      </c>
    </row>
    <row r="155" spans="1:6" s="21" customFormat="1" x14ac:dyDescent="0.2">
      <c r="A155" s="61" t="s">
        <v>99</v>
      </c>
    </row>
    <row r="156" spans="1:6" x14ac:dyDescent="0.2">
      <c r="A156" s="103" t="s">
        <v>100</v>
      </c>
      <c r="B156" s="21"/>
      <c r="C156" s="21"/>
      <c r="D156" s="21"/>
      <c r="E156" s="21"/>
      <c r="F156" s="21"/>
    </row>
    <row r="158" spans="1:6" x14ac:dyDescent="0.2">
      <c r="A158" s="77" t="inlineStr">
        <is>
          <t xml:space="preserve">COLOUR THRESHOLDS (the conditional formatting on D23 and D25 reads these cells)</t>
        </is>
      </c>
    </row>
    <row r="159" spans="1:6" x14ac:dyDescent="0.2">
      <c r="A159" s="64" t="s">
        <v>1840</v>
      </c>
      <c r="B159" s="19" t="s">
        <v>1841</v>
      </c>
      <c r="C159" s="21" t="s">
        <v>1842</v>
      </c>
      <c r="D159" s="65">
        <f>Chemistry!pH_red_lo</f>
        <v>6.0</v>
      </c>
      <c r="E159" s="24" t="str">
        <f>HYPERLINK("#Chemistry!D299","→ Chemistry")</f>
        <v>→ Chemistry</v>
      </c>
      <c r="F159" s="22" t="s">
        <v>1843</v>
      </c>
    </row>
    <row r="160" spans="1:6" x14ac:dyDescent="0.2">
      <c r="A160" s="64" t="s">
        <v>1844</v>
      </c>
      <c r="B160" s="19" t="s">
        <v>1845</v>
      </c>
      <c r="C160" s="21" t="s">
        <v>1842</v>
      </c>
      <c r="D160" s="65">
        <f>Chemistry!pH_band_lo</f>
        <v>6.5</v>
      </c>
      <c r="E160" s="24" t="str">
        <f>HYPERLINK("#Chemistry!D236","→ Chemistry")</f>
        <v>→ Chemistry</v>
      </c>
      <c r="F160" s="22" t="s">
        <v>1843</v>
      </c>
    </row>
    <row r="161" spans="1:6" x14ac:dyDescent="0.2">
      <c r="A161" s="64" t="s">
        <v>1846</v>
      </c>
      <c r="B161" s="19" t="s">
        <v>1847</v>
      </c>
      <c r="C161" s="21" t="s">
        <v>1842</v>
      </c>
      <c r="D161" s="65">
        <f>Chemistry!pH_band_hi</f>
        <v>7.5</v>
      </c>
      <c r="E161" s="24" t="str">
        <f>HYPERLINK("#Chemistry!D237","→ Chemistry")</f>
        <v>→ Chemistry</v>
      </c>
      <c r="F161" s="22" t="s">
        <v>1843</v>
      </c>
    </row>
    <row r="162" spans="1:6" x14ac:dyDescent="0.2">
      <c r="A162" s="64" t="s">
        <v>1848</v>
      </c>
      <c r="B162" s="19" t="s">
        <v>1849</v>
      </c>
      <c r="C162" s="21" t="s">
        <v>1842</v>
      </c>
      <c r="D162" s="65">
        <f>Chemistry!pH_red_hi</f>
        <v>8.0</v>
      </c>
      <c r="E162" s="24" t="str">
        <f>HYPERLINK("#Chemistry!D300","→ Chemistry")</f>
        <v>→ Chemistry</v>
      </c>
      <c r="F162" s="22" t="s">
        <v>1843</v>
      </c>
    </row>
    <row r="163" spans="1:6" x14ac:dyDescent="0.2">
      <c r="A163" s="64" t="s">
        <v>1850</v>
      </c>
      <c r="B163" s="19" t="s">
        <v>1851</v>
      </c>
      <c r="C163" s="21" t="s">
        <v>83</v>
      </c>
      <c r="D163" s="65">
        <f>Chemistry!Cl_onset</f>
        <v>0.1</v>
      </c>
      <c r="E163" s="24" t="str">
        <f>HYPERLINK("#Chemistry!D146","→ Chemistry")</f>
        <v>→ Chemistry</v>
      </c>
      <c r="F163" s="22" t="s">
        <v>1843</v>
      </c>
    </row>
    <row r="164" spans="1:6" x14ac:dyDescent="0.2">
      <c r="A164" s="64" t="s">
        <v>1852</v>
      </c>
      <c r="B164" s="19" t="s">
        <v>1853</v>
      </c>
      <c r="C164" s="21" t="s">
        <v>83</v>
      </c>
      <c r="D164" s="65">
        <f>Chemistry!Cl_kill</f>
        <v>2.0</v>
      </c>
      <c r="E164" s="24" t="str">
        <f>HYPERLINK("#Chemistry!D147","→ Chemistry")</f>
        <v>→ Chemistry</v>
      </c>
      <c r="F164" s="22" t="s">
        <v>1843</v>
      </c>
    </row>
  </sheetData>
  <conditionalFormatting sqref="B105:B131 B135:B139">
    <cfRule type="expression" dxfId="45" priority="16" stopIfTrue="1">
      <formula>EXACT(B105,"HIGH")</formula>
    </cfRule>
    <cfRule type="expression" dxfId="44" priority="17" stopIfTrue="1">
      <formula>EXACT(B105,"MED")</formula>
    </cfRule>
    <cfRule type="expression" dxfId="43" priority="18" stopIfTrue="1">
      <formula>EXACT(B105,"LOW")</formula>
    </cfRule>
  </conditionalFormatting>
  <conditionalFormatting sqref="C105:C131 C135:C139">
    <cfRule type="expression" dxfId="42" priority="19" stopIfTrue="1">
      <formula>EXACT(C105,"low")</formula>
    </cfRule>
    <cfRule type="expression" dxfId="41" priority="20" stopIfTrue="1">
      <formula>EXACT(C105,"med")</formula>
    </cfRule>
    <cfRule type="expression" dxfId="40" priority="21" stopIfTrue="1">
      <formula>EXACT(C105,"high")</formula>
    </cfRule>
  </conditionalFormatting>
  <conditionalFormatting sqref="D18:D21">
    <cfRule type="expression" dxfId="39" priority="15" stopIfTrue="1">
      <formula>ISNUMBER(SEARCH("calibrate this",D18))</formula>
    </cfRule>
  </conditionalFormatting>
  <conditionalFormatting sqref="D19">
    <cfRule type="expression" dxfId="38" priority="1" stopIfTrue="1">
      <formula>AND(ISNUMBER($G$18),$G$18&gt;0)</formula>
    </cfRule>
  </conditionalFormatting>
  <conditionalFormatting sqref="D21">
    <cfRule type="expression" dxfId="37" priority="3" stopIfTrue="1">
      <formula>AND(ISNUMBER($G$20),$G$20&gt;0)</formula>
    </cfRule>
  </conditionalFormatting>
  <conditionalFormatting sqref="D23 D25 D35:D50 D52:D55 D63:D66 D97:D99">
    <cfRule type="expression" dxfId="36" priority="12" stopIfTrue="1">
      <formula>OR(ISNUMBER(FIND("INCONSISTENT",D23)),ISNUMBER(FIND("OVER",D23)),ISNUMBER(FIND("BELOW",D23)),ISNUMBER(FIND("EXCEED",D23)),ISNUMBER(FIND("NO CALIB",D23)),ISNUMBER(SEARCH("calibrate this",D23)),ISNUMBER(FIND("RISK",D23)),ISNUMBER(FIND("EXPLOSIVE",D23)),ISNUMBER(FIND("FLAMMAB",D23)),ISNUMBER(FIND("OOR",D23)),ISNUMBER(SEARCH("insufficient",D23)),ISNUMBER(FIND("TIP SPEED",D23)),ISNUMBER(FIND("SHORTFALL",D23)),ISNUMBER(SEARCH("unreachable",D23)),ISNUMBER(FIND("SAGS",D23)),EXACT(LEFT(D23,4),"NO –"),EXACT(D23,"OUT"),EXACT(D23,"LOW"),ISNUMBER(FIND("GAP",D23)))</formula>
    </cfRule>
    <cfRule type="expression" dxfId="35" priority="13" stopIfTrue="1">
      <formula>OR(ISNUMBER(SEARCH("above optimum",D23)),ISNUMBER(SEARCH("watch",D23)),ISNUMBER(SEARCH("NEAREST",D23)),ISNUMBER(SEARCH("unknown",D23)),ISNUMBER(SEARCH("TIGHT",D23)),ISNUMBER(SEARCH("not measured",D23)))</formula>
    </cfRule>
    <cfRule type="expression" dxfId="34" priority="14" stopIfTrue="1">
      <formula>OR(EXACT(D23,"OK"),EXACT(LEFT(D23,2),"OK"),ISNUMBER(SEARCH(" OK",D23)),ISNUMBER(SEARCH("calibrated:",D23)),ISNUMBER(SEARCH("optimum",D23)),ISNUMBER(SEARCH("above min",D23)),ISNUMBER(SEARCH("CARBON-limited",D23)),ISNUMBER(SEARCH("Static",D23)),ISNUMBER(SEARCH("Dynamic",D23)),ISNUMBER(SEARCH("present",D23)),ISNUMBER(SEARCH("under the",D23)),ISNUMBER(SEARCH("reachable",D23)),EXACT(LEFT(D23,3),"yes"),ISNUMBER(FIND("Below the H₂ LFL",D23)))</formula>
    </cfRule>
  </conditionalFormatting>
  <conditionalFormatting sqref="D23">
    <cfRule type="expression" dxfId="33" priority="22" stopIfTrue="1">
      <formula>OR(D23&lt;cf_pH_red_lo,D23&gt;cf_pH_red_hi)</formula>
    </cfRule>
    <cfRule type="expression" dxfId="32" priority="23" stopIfTrue="1">
      <formula>OR(D23&lt;cf_pH_lo,D23&gt;cf_pH_hi)</formula>
    </cfRule>
    <cfRule type="expression" dxfId="31" priority="24" stopIfTrue="1">
      <formula>ISNUMBER(D23)</formula>
    </cfRule>
  </conditionalFormatting>
  <conditionalFormatting sqref="D25">
    <cfRule type="expression" dxfId="30" priority="25" stopIfTrue="1">
      <formula>D25&gt;cf_Cl_kill</formula>
    </cfRule>
    <cfRule type="expression" dxfId="29" priority="26" stopIfTrue="1">
      <formula>D25&gt;cf_Cl_onset</formula>
    </cfRule>
    <cfRule type="expression" dxfId="28" priority="27" stopIfTrue="1">
      <formula>ISNUMBER(D25)</formula>
    </cfRule>
  </conditionalFormatting>
  <conditionalFormatting sqref="D88">
    <cfRule type="expression" dxfId="27" priority="40" stopIfTrue="1">
      <formula>ISNUMBER(SEARCH("EXCEED",D88))</formula>
    </cfRule>
    <cfRule type="expression" dxfId="26" priority="41" stopIfTrue="1">
      <formula>ISNUMBER(SEARCH("watch",D88))</formula>
    </cfRule>
    <cfRule type="expression" dxfId="25" priority="42" stopIfTrue="1">
      <formula>ISNUMBER(SEARCH("OK",D88))</formula>
    </cfRule>
  </conditionalFormatting>
  <conditionalFormatting sqref="D92">
    <cfRule type="expression" dxfId="24" priority="43" stopIfTrue="1">
      <formula>ISNUMBER(SEARCH("EXCEED",D92))</formula>
    </cfRule>
    <cfRule type="expression" dxfId="23" priority="44" stopIfTrue="1">
      <formula>ISNUMBER(SEARCH("watch",D92))</formula>
    </cfRule>
    <cfRule type="expression" dxfId="22" priority="45" stopIfTrue="1">
      <formula>ISNUMBER(SEARCH("OK",D92))</formula>
    </cfRule>
  </conditionalFormatting>
  <dataValidations count="1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2" xr:uid="{00000000-0002-0000-0000-000009000000}">
      <formula1>"Growth,Lag"</formula1>
    </dataValidation>
    <dataValidation type="list" allowBlank="1" showErrorMessage="1" errorTitle="Invalid value" error="Choose Outflow only, Open vent or Air exchange." sqref="D11" xr:uid="{00000000-0002-0000-0000-00000A000000}">
      <formula1>"Outflow only,Open vent,Air exchange"</formula1>
    </dataValidation>
    <dataValidation type="decimal" allowBlank="1" showErrorMessage="1" errorTitle="Invalid value" error="Added NaHCO₃ in g/L (0–10), or leave blank for none." sqref="D13">
      <formula1>0</formula1>
      <formula2>10</formula2>
    </dataValidation>
    <dataValidation type="decimal" allowBlank="1" showErrorMessage="1" errorTitle="Invalid value" error="Electrolysis power 3–10 %: Gerrit's Law fit range intersected with the AEP-Plugin clamp; outside it the model returns no schedule." sqref="D6">
      <formula1>3</formula1>
      <formula2>10</formula2>
    </dataValidation>
    <dataValidation type="decimal" allowBlank="1" showErrorMessage="1" errorTitle="Invalid value" error="N₂ sweep in mL/min (0–20), or leave blank for none." sqref="D14">
      <formula1>0</formula1>
      <formula2>20</formula2>
    </dataValidation>
    <dataValidation type="decimal" allowBlank="1" showErrorMessage="1" errorTitle="Invalid value" error="Command resolution in seconds (0.001–1)." sqref="D15">
      <formula1>0.001</formula1>
      <formula2>1</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Summary!Reactor_sel</f>
        <v>ed04</v>
      </c>
      <c r="E5" s="105" t="str">
        <f>HYPERLINK("#Summary!D2","→ Summary")</f>
        <v>→ Summary</v>
      </c>
      <c r="F5" s="21"/>
      <c r="G5" s="21"/>
      <c r="H5" s="21"/>
      <c r="I5" s="21"/>
    </row>
    <row r="6" spans="1:9" x14ac:dyDescent="0.2">
      <c r="A6" s="21" t="s">
        <v>112</v>
      </c>
      <c r="B6" s="21" t="s">
        <v>51</v>
      </c>
      <c r="C6" s="21" t="s">
        <v>52</v>
      </c>
      <c r="D6" s="104">
        <f>Summary!media_volume</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VLOOKUP(rx_ver,tbl_rxtype,MATCH("vial OD (mm)",tbl_rxtype_hdr,0),FALSE)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VLOOKUP(rx_ver,tbl_rxtype,MATCH("usable depth (mm)",tbl_rxtype_hdr,0),FALSE)</f>
        <v>55.0</v>
      </c>
      <c r="E22" s="74" t="inlineStr">
        <is>
          <t xml:space="preserve">Physical cap-to-base depth from the reactor-type table, selected by rx_ver. The Calibrations volume-equivalent depth (D75) is not a physical length and does not replace it.</t>
        </is>
      </c>
      <c r="F22" s="21"/>
      <c r="G22" s="21"/>
      <c r="H22" s="21"/>
      <c r="I22" s="21"/>
    </row>
    <row r="23" spans="1:9" x14ac:dyDescent="0.2">
      <c r="A23" s="18" t="s">
        <v>132</v>
      </c>
      <c r="B23" s="19" t="s">
        <v>133</v>
      </c>
      <c r="C23" s="20" t="s">
        <v>52</v>
      </c>
      <c r="D23" s="110">
        <f>VLOOKUP(rx_ver,tbl_rxtype,MATCH("max working (mL)",tbl_rxtype_hdr,0),FALSE)</f>
        <v>16.0</v>
      </c>
      <c r="E23" s="74" t="s">
        <v>131</v>
      </c>
      <c r="F23" s="21"/>
      <c r="G23" s="21"/>
      <c r="H23" s="21"/>
      <c r="I23" s="21"/>
    </row>
    <row r="24" spans="1:9" x14ac:dyDescent="0.2">
      <c r="A24" s="18" t="s">
        <v>134</v>
      </c>
      <c r="B24" s="19" t="s">
        <v>135</v>
      </c>
      <c r="C24" s="20" t="s">
        <v>52</v>
      </c>
      <c r="D24" s="110">
        <f>IF(ISNUMBER(cal_Vtot),cal_Vtot,VLOOKUP(rx_ver,tbl_rxtype,MATCH("total vial (mL)",tbl_rxtype_hdr,0),FALSE))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VLOOKUP(reactor_sel,tbl_reactor,MATCH("Type",tbl_reactor_hdr,0),FALSE)</f>
        <v>MEP0.3</v>
      </c>
      <c r="E51" s="74" t="inlineStr">
        <is>
          <t xml:space="preserve">Looked up from the reactor table (tbl_reactor, rows 58–80) by the Summary reactor (D2).</t>
        </is>
      </c>
      <c r="F51" s="21"/>
      <c r="G51" s="21"/>
      <c r="H51" s="21"/>
      <c r="I51" s="21"/>
    </row>
    <row r="52" spans="1:9" x14ac:dyDescent="0.2">
      <c r="A52" s="21" t="s">
        <v>213</v>
      </c>
      <c r="B52" s="21" t="s">
        <v>214</v>
      </c>
      <c r="C52" s="21"/>
      <c r="D52" s="25">
        <f>VLOOKUP(rx_ver,tbl_rxtype,MATCH("stir bar L (mm)",tbl_rxtype_hdr,0),FALSE)</f>
        <v>12.0</v>
      </c>
      <c r="E52" s="74" t="inlineStr">
        <is>
          <t xml:space="preserve">Looked up from the reactor-type table (tbl_rxtype, rows 83–87) by the resolved type (D51).</t>
        </is>
      </c>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51" t="inlineStr">
        <is>
          <t xml:space="preserve">Charge against the reactor-type maximum working volume (Geometry D23).</t>
        </is>
      </c>
      <c r="F54" s="21"/>
      <c r="G54" s="21"/>
      <c r="H54" s="21"/>
      <c r="I54" s="21"/>
    </row>
    <row r="55" spans="1:9" x14ac:dyDescent="0.2">
      <c r="A55" s="21" t="s">
        <v>218</v>
      </c>
      <c r="B55" s="21" t="s">
        <v>219</v>
      </c>
      <c r="C55" s="21"/>
      <c r="D55" s="25" t="str">
        <f>IF(h_actual&gt;D_int,"LIQUID OVER USABLE DEPTH","OK")</f>
        <v>OK</v>
      </c>
      <c r="E55" s="51" t="inlineStr">
        <is>
          <t xml:space="preserve">Achieved liquid level against the usable depth (D22).</t>
        </is>
      </c>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74" t="inlineStr">
        <is>
          <t xml:space="preserve">Compares the cylinder A_x × D_int with the total vial volume within geom_tol_mL; flags the vial-geometry experiment (Summary row 107) until the true headspace is measured.</t>
        </is>
      </c>
      <c r="F90" s="75" t="s">
        <v>1855</v>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66"/>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Biology!T_K</f>
        <v>303.15</v>
      </c>
      <c r="E5" s="105" t="str">
        <f>HYPERLINK("#Biology!D18","→ Biology")</f>
        <v>→ Biology</v>
      </c>
      <c r="F5" s="21"/>
      <c r="G5" s="21"/>
      <c r="H5" s="21"/>
      <c r="I5" s="21"/>
    </row>
    <row r="6" spans="1:9" x14ac:dyDescent="0.2">
      <c r="A6" s="21" t="s">
        <v>263</v>
      </c>
      <c r="B6" s="21" t="s">
        <v>264</v>
      </c>
      <c r="C6" s="21" t="s">
        <v>57</v>
      </c>
      <c r="D6" s="112">
        <f>Biology!P_atm</f>
        <v>101325.0</v>
      </c>
      <c r="E6" s="105" t="str">
        <f>HYPERLINK("#Biology!D19","→ Biology")</f>
        <v>→ Biology</v>
      </c>
      <c r="F6" s="21"/>
      <c r="G6" s="21"/>
      <c r="H6" s="21"/>
      <c r="I6" s="21"/>
    </row>
    <row r="7" spans="1:9" x14ac:dyDescent="0.2">
      <c r="A7" s="21" t="s">
        <v>265</v>
      </c>
      <c r="B7" s="21" t="s">
        <v>266</v>
      </c>
      <c r="C7" s="21" t="s">
        <v>267</v>
      </c>
      <c r="D7" s="111">
        <f>'Mass Transfer'!R_gas</f>
        <v>8.314462618</v>
      </c>
      <c r="E7" s="105" t="str">
        <f>HYPERLINK("#'Mass Transfer'!D101","→ Mass Transfer")</f>
        <v>→ Mass Transfer</v>
      </c>
      <c r="F7" s="21"/>
      <c r="G7" s="21"/>
      <c r="H7" s="21"/>
      <c r="I7" s="21"/>
    </row>
    <row r="8" spans="1:9" x14ac:dyDescent="0.2">
      <c r="A8" s="21" t="s">
        <v>268</v>
      </c>
      <c r="B8" s="21" t="s">
        <v>30</v>
      </c>
      <c r="C8" s="21"/>
      <c r="D8" s="104" t="str">
        <f>Summary!electrode_sel</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Summary!led_intensity</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5.307542491154e-05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0.022004797411</v>
      </c>
      <c r="E24" s="74" t="s">
        <v>318</v>
      </c>
      <c r="F24" s="21"/>
      <c r="G24" s="21"/>
      <c r="H24" s="21"/>
      <c r="I24" s="21"/>
    </row>
    <row r="25" spans="1:9" ht="24" customHeight="1" x14ac:dyDescent="0.2">
      <c r="A25" s="18" t="s">
        <v>319</v>
      </c>
      <c r="B25" s="19" t="s">
        <v>320</v>
      </c>
      <c r="C25" s="20" t="s">
        <v>314</v>
      </c>
      <c r="D25" s="41">
        <f>V_H2_gen+V_O2_gen</f>
        <v>0.064431996971</v>
      </c>
      <c r="E25" s="74" t="s">
        <v>321</v>
      </c>
      <c r="F25" s="21"/>
      <c r="G25" s="21"/>
      <c r="H25" s="21"/>
      <c r="I25" s="21"/>
    </row>
    <row r="26" spans="1:9" ht="48" x14ac:dyDescent="0.2">
      <c r="A26" s="18" t="s">
        <v>322</v>
      </c>
      <c r="B26" s="19" t="s">
        <v>323</v>
      </c>
      <c r="C26" s="20" t="s">
        <v>111</v>
      </c>
      <c r="D26" s="37">
        <f>IF(ISNUMBER(cal_etaF_OER),cal_etaF_OER,etaF_OER_calc)</f>
        <v>1.0</v>
      </c>
      <c r="E26" s="51" t="s">
        <v>1862</v>
      </c>
      <c r="F26" s="21"/>
      <c r="G26" s="21"/>
      <c r="H26" s="21"/>
      <c r="I26" s="21"/>
    </row>
    <row r="27" spans="1:9" ht="24" customHeight="1" x14ac:dyDescent="0.2">
      <c r="A27" s="18" t="s">
        <v>1863</v>
      </c>
      <c r="B27" s="19" t="s">
        <v>324</v>
      </c>
      <c r="C27" s="20" t="s">
        <v>111</v>
      </c>
      <c r="D27" s="109">
        <f>VLOOKUP(electrode_sel,tbl_electrode,MATCH("z_e_ORR",tbl_electrode_hdr,0),FALSE)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f>
        <v>5.101232932065e-05</v>
      </c>
      <c r="E29" s="74" t="s">
        <v>1866</v>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VLOOKUP(electrode_sel,tbl_electrode,MATCH("sparger",tbl_electrode_hdr,0),FALSE)</f>
        <v>Sintered</v>
      </c>
      <c r="E31" s="51" t="inlineStr">
        <is>
          <t xml:space="preserve">Sparger type of the selected electrode assembly, looked up in the electrode table (tbl_electrode).</t>
        </is>
      </c>
      <c r="F31" s="21"/>
      <c r="G31" s="21"/>
      <c r="H31" s="21"/>
      <c r="I31" s="21"/>
    </row>
    <row r="32" spans="1:9" x14ac:dyDescent="0.2">
      <c r="A32" s="21" t="s">
        <v>331</v>
      </c>
      <c r="B32" s="21" t="s">
        <v>332</v>
      </c>
      <c r="C32" s="21"/>
      <c r="D32" s="25">
        <f>IF(ISNUMBER(cal_sinter),cal_sinter,IF(ISNUMBER(VLOOKUP(electrode_sel,tbl_electrode,MATCH("sinter porosity",tbl_electrode_hdr,0),FALSE)),VLOOKUP(electrode_sel,tbl_electrode,MATCH("sinter porosity",tbl_electrode_hdr,0),FALSE),0))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VLOOKUP(electrode_sel,tbl_electrode,MATCH("anode shape",tbl_electrode_hdr,0),FALSE)</f>
        <v>tube</v>
      </c>
      <c r="E41" s="74" t="s">
        <v>1176</v>
      </c>
    </row>
    <row r="42" spans="1:14" x14ac:dyDescent="0.2">
      <c r="A42" s="18" t="s">
        <v>1177</v>
      </c>
      <c r="B42" s="19" t="s">
        <v>1178</v>
      </c>
      <c r="C42" s="20" t="s">
        <v>115</v>
      </c>
      <c r="D42" s="41">
        <f>VLOOKUP(electrode_sel,tbl_electrode,MATCH("anode dia (mm)",tbl_electrode_hdr,0),FALSE)</f>
        <v>6.0</v>
      </c>
      <c r="E42" s="74" t="s">
        <v>1179</v>
      </c>
    </row>
    <row r="43" spans="1:14" x14ac:dyDescent="0.2">
      <c r="A43" s="18" t="s">
        <v>1180</v>
      </c>
      <c r="B43" s="19" t="s">
        <v>1181</v>
      </c>
      <c r="C43" s="20" t="s">
        <v>111</v>
      </c>
      <c r="D43" s="41" t="str">
        <f>VLOOKUP(electrode_sel,tbl_electrode,MATCH("cathode shape",tbl_electrode_hdr,0),FALSE)</f>
        <v>rod</v>
      </c>
      <c r="E43" s="74" t="s">
        <v>1182</v>
      </c>
    </row>
    <row r="44" spans="1:14" x14ac:dyDescent="0.2">
      <c r="A44" s="18" t="s">
        <v>1183</v>
      </c>
      <c r="B44" s="19" t="s">
        <v>1184</v>
      </c>
      <c r="C44" s="20" t="s">
        <v>115</v>
      </c>
      <c r="D44" s="41">
        <f>VLOOKUP(electrode_sel,tbl_electrode,MATCH("cathode dia (mm)",tbl_electrode_hdr,0),FALSE)</f>
        <v>6.0</v>
      </c>
      <c r="E44" s="74" t="s">
        <v>1179</v>
      </c>
    </row>
    <row r="45" spans="1:14" ht="36" x14ac:dyDescent="0.2">
      <c r="A45" s="18" t="s">
        <v>1185</v>
      </c>
      <c r="B45" s="19" t="s">
        <v>1186</v>
      </c>
      <c r="C45" s="20" t="s">
        <v>115</v>
      </c>
      <c r="D45" s="41">
        <f>Geometry!elec_sub_L_act</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VLOOKUP(electrode_sel,tbl_electrode,MATCH("anode j cont (mA/cm²)",tbl_electrode_hdr,0),FALSE)</f>
        <v>10.0</v>
      </c>
      <c r="E50" s="74" t="s">
        <v>1199</v>
      </c>
    </row>
    <row r="51" spans="1:5" x14ac:dyDescent="0.2">
      <c r="A51" s="18" t="s">
        <v>1200</v>
      </c>
      <c r="B51" s="19" t="s">
        <v>1201</v>
      </c>
      <c r="C51" s="20" t="s">
        <v>1148</v>
      </c>
      <c r="D51" s="41">
        <f>VLOOKUP(electrode_sel,tbl_electrode,MATCH("anode j max (mA/cm²)",tbl_electrode_hdr,0),FALSE)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IF(ISNA(MATCH(organism_sel,OrganismList,0)),NA(),IF(ISNUMBER(cal_j_opt),cal_j_opt,IFERROR(VLOOKUP(organism_sel,tbl_strain,MATCH("j_opt",tbl_strain_hdr,0),FALSE),j_opt_default)))</f>
        <v>2.0</v>
      </c>
      <c r="E56" s="74" t="s">
        <v>1217</v>
      </c>
    </row>
    <row r="57" spans="1:5" x14ac:dyDescent="0.2">
      <c r="A57" s="18" t="s">
        <v>1218</v>
      </c>
      <c r="B57" s="19" t="s">
        <v>1219</v>
      </c>
      <c r="C57" s="20" t="s">
        <v>1148</v>
      </c>
      <c r="D57" s="41">
        <f>IF(ISNA(MATCH(organism_sel,OrganismList,0)),NA(),IF(ISNUMBER(cal_j_ceiling),cal_j_ceiling,IFERROR(VLOOKUP(organism_sel,tbl_strain,MATCH("j_ceiling",tbl_strain_hdr,0),FALSE),j_ceiling_default)))</f>
        <v>4.0</v>
      </c>
      <c r="E57" s="74" t="s">
        <v>1220</v>
      </c>
    </row>
    <row r="58" spans="1:5" x14ac:dyDescent="0.2">
      <c r="A58" s="18" t="s">
        <v>1221</v>
      </c>
      <c r="B58" s="19" t="s">
        <v>1222</v>
      </c>
      <c r="C58" s="20" t="s">
        <v>111</v>
      </c>
      <c r="D58" s="41" t="str">
        <f>IFERROR(VLOOKUP(organism_sel,tbl_strain,MATCH("confidence",tbl_strain_hdr,0),FALSE),"unknown")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VLOOKUP(electrode_sel,tbl_electrode,MATCH("anode material",tbl_electrode_hdr,0),FALSE)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Biology!O2_ceil_C</f>
        <v>0.314742903798</v>
      </c>
      <c r="E80" s="51" t="s">
        <v>1473</v>
      </c>
    </row>
    <row r="81" spans="1:5" x14ac:dyDescent="0.2">
      <c r="A81" t="s">
        <v>1474</v>
      </c>
      <c r="B81" s="19" t="s">
        <v>1475</v>
      </c>
      <c r="C81" s="20" t="s">
        <v>515</v>
      </c>
      <c r="D81" s="111">
        <f>'Mass Transfer'!D_O2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Transfer'!DO_target</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r_H2O2/(k_cat_cells*3600)</f>
        <v>0.047544429265</v>
      </c>
      <c r="E95" s="51" t="s">
        <v>1509</v>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mg/L)",IF(ISNUMBER(t_H2O2_thresh),"watch — steady growth is clear ("&amp;TEXT(H2O2_ss,"0.000")&amp;" mg/L) but LAG PHASE is not: peroxide passes the threshold in "&amp;TEXT(t_H2O2_thresh,"0")&amp;" min ("&amp;TEXT(H2O2_lag_1h,"0.00")&amp;" mg/L after 1 h) before biomass can scavenge it","OK — peroxide stays below the growth-inhibition threshold in both phases, including the lag plateau"))</f>
        <v>watch — steady growth is clear (0.048 mg/L) but LAG PHASE is not: peroxide passes the threshold in 6 min (0.84 mg/L after 1 h) before biomass can scavenge it</v>
      </c>
      <c r="E99" s="51" t="inlineStr">
        <is>
          <t xml:space="preserve">Steady growth against the threshold first; then lag, judged on whether the lag plateau ever reaches the threshold (D98 is finite), not on the 1-hour level alone, which is quoted beside the crossing time.</t>
        </is>
      </c>
    </row>
    <row r="100" spans="1:5" x14ac:dyDescent="0.2">
      <c r="A100" s="6" t="s">
        <v>1520</v>
      </c>
    </row>
    <row r="101" spans="1:5" x14ac:dyDescent="0.2">
      <c r="A101" t="s">
        <v>1521</v>
      </c>
      <c r="B101" s="19" t="s">
        <v>1522</v>
      </c>
      <c r="C101" s="20" t="s">
        <v>978</v>
      </c>
      <c r="D101" s="111">
        <f>Chemistry!I_Cl</f>
        <v>0.0</v>
      </c>
      <c r="E101" s="51" t="s">
        <v>1523</v>
      </c>
    </row>
    <row r="102" spans="1:5" x14ac:dyDescent="0.2">
      <c r="A102" t="s">
        <v>1524</v>
      </c>
      <c r="B102" s="19" t="s">
        <v>1525</v>
      </c>
      <c r="C102" s="20" t="s">
        <v>1140</v>
      </c>
      <c r="D102" s="111">
        <f>Chemistry!corr_I_frac</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
        <v>1.0</v>
      </c>
      <c r="E104" s="51" t="s">
        <v>1880</v>
      </c>
    </row>
    <row r="105" spans="1:5" x14ac:dyDescent="0.2">
      <c r="A105" s="6" t="s">
        <v>1531</v>
      </c>
    </row>
    <row r="106" spans="1:5" ht="24" x14ac:dyDescent="0.2">
      <c r="A106" t="s">
        <v>1532</v>
      </c>
      <c r="B106" s="19" t="s">
        <v>1533</v>
      </c>
      <c r="C106" s="20" t="s">
        <v>1445</v>
      </c>
      <c r="D106" s="111">
        <f>Chemistry!E0_OER</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Chemistry!kappa_med</f>
        <v>1.401288519775</v>
      </c>
      <c r="E114" s="51" t="s">
        <v>1559</v>
      </c>
    </row>
    <row r="115" spans="1:5" x14ac:dyDescent="0.2">
      <c r="A115" t="s">
        <v>1560</v>
      </c>
      <c r="B115" s="19" t="s">
        <v>1561</v>
      </c>
      <c r="C115" s="20" t="s">
        <v>115</v>
      </c>
      <c r="D115" s="111">
        <f>Geometry!elec_gap</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the current law holding linear to "&amp;TEXT(gerrit_check_pct,"0")&amp;" % on a "&amp;TEXT(V_rail,"0")&amp;" V rail (D143–D144); that leaves "&amp;TEXT(V_rail-V_at_gerrit_max,"0.00")&amp;" V of headroom there, against the ±0.12 V j₀ uncertainty (E108)."</f>
        <v>Parallel-cylinder (2D) formula taken at face value. Lateral confinement by the 25 mm wall raises the resistance and current spreading through the ~22 mm of liquid below the rod tips lowers it; for rods with L/d ≈ 1.5 the two roughly cancel. Bounded above at ~2.27 by the current law holding linear to 25 % on a 5 V rail (D143–D144); that leaves 1.33 V of headroom there, against the ±0.12 V j₀ uncertainty (E108).</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the current law: it is validated linear to "&amp;TEXT(gerrit_check_pct,"0")&amp;" % (D166), so the budget evaluated there (V_at_gerrit_max, D143) must stay at or below V_rail; D144 tests it live (currently "&amp;TEXT(V_at_gerrit_max,"0.00")&amp;" V with k_geom = "&amp;TEXT(k_geom,"0.0#")&amp;")."</f>
        <v>Cross-check on the current law: it is validated linear to 25 % (D166), so the budget evaluated there (V_at_gerrit_max, D143) must stay at or below V_rail; D144 tests it live (currently 3.67 V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inlineStr">
        <is>
          <t xml:space="preserve">Input, not a link: set to the last lag-phase cycle-mean DO (D150 = Mass Transfer D135) and re-enter it when D134 says so. Linking it would close a loop (lag DO → lag O₂ source → lag DO, and through the schedule when it is sized on Lag). Same pattern as Chemistry pH_ref_DIC.</t>
        </is>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f>
        <v>4.800606064204e-05</v>
      </c>
      <c r="E132" s="57" t="s">
        <v>1903</v>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inlineStr">
        <is>
          <t xml:space="preserve">Current at the top of the validated band (D166)</t>
        </is>
      </c>
      <c r="B142" s="19" t="s">
        <v>1916</v>
      </c>
      <c r="C142" s="20" t="s">
        <v>300</v>
      </c>
      <c r="D142" s="111">
        <f>(gerrit_slope*gerrit_check_pct+gerrit_int)/1000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"&amp;TEXT(gerrit_check_pct,"0")&amp;" %, above the "&amp;TEXT(V_rail,"0")&amp;" V rail, where the current law in use is validated linear: R_cell (k_geom) or j₀ is too high","OK — "&amp;TEXT(V_at_gerrit_max,"0.00")&amp;" V at "&amp;TEXT(gerrit_check_pct,"0")&amp;"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Biology!C_H2_sat</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Transfer'!DO_ss_sawtooth_lag</f>
        <v>0.175051782538</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Biology!V_charge</f>
        <v>15.0</v>
      </c>
      <c r="E153" s="51" t="s">
        <v>1949</v>
      </c>
    </row>
    <row r="154" spans="1:5" x14ac:dyDescent="0.2">
      <c r="A154" t="s">
        <v>1950</v>
      </c>
      <c r="B154" s="19" t="s">
        <v>33</v>
      </c>
      <c r="C154" s="20" t="s">
        <v>111</v>
      </c>
      <c r="D154" s="111" t="str">
        <f>Summary!organism_sel</f>
        <v>Xanthobacter tagetidis</v>
      </c>
      <c r="E154" s="51" t="s">
        <v>1951</v>
      </c>
    </row>
    <row r="160" spans="1:5" ht="16" x14ac:dyDescent="0.2">
      <c r="A160" s="78" t="s">
        <v>1952</v>
      </c>
    </row>
    <row r="161" spans="1:5" x14ac:dyDescent="0.2">
      <c r="A161" t="s">
        <v>1953</v>
      </c>
      <c r="B161" s="19" t="s">
        <v>1954</v>
      </c>
      <c r="C161" s="20" t="s">
        <v>111</v>
      </c>
      <c r="D161" s="111">
        <f>Chemistry!j_buffer_ratio</f>
        <v>0.199713685496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inlineStr">
        <is>
          <t xml:space="preserve">Buffer ratio scaled to I_at_gerrit_max (j ∝ I at the bulk pH); the credit is withdrawn only above a scaled ratio of 1, so this cell shows whether it still applies at the top of the validated band for the D143 cross-check.</t>
        </is>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row r="166">
      <c r="A166" t="inlineStr">
        <is>
          <t xml:space="preserve">Power at which the voltage cross-check is made</t>
        </is>
      </c>
      <c r="B166" s="19" t="inlineStr">
        <is>
          <t xml:space="preserve">gerrit_check_pct</t>
        </is>
      </c>
      <c r="C166" s="20" t="inlineStr">
        <is>
          <t xml:space="preserve">%</t>
        </is>
      </c>
      <c r="D166" s="111">
        <f>IF(ISNUMBER(cal_gerrit_slope),power_max,gerrit_max)</f>
        <v>25.0</v>
      </c>
      <c r="E166" s="51" t="inlineStr">
        <is>
          <t xml:space="preserve">The top of the band the current law in use is validated on: 25 % (gerrit_max) for Gerrit’s default fit, the 10 % plugin clamp (power_max) for a Calibrations fit, whose accepted points span 3–10 % only.</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24"/>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Biology!T_K</f>
        <v>303.15</v>
      </c>
      <c r="E4" s="138" t="s">
        <v>760</v>
      </c>
    </row>
    <row r="5" spans="1:6" ht="36" x14ac:dyDescent="0.2">
      <c r="A5" s="18" t="s">
        <v>1962</v>
      </c>
      <c r="B5" s="19" t="s">
        <v>761</v>
      </c>
      <c r="C5" s="20" t="s">
        <v>762</v>
      </c>
      <c r="D5" s="49">
        <f>'Mass Transfer'!CO2aqc_ss</f>
        <v>0.025552754205</v>
      </c>
      <c r="E5" s="138" t="s">
        <v>1963</v>
      </c>
    </row>
    <row r="6" spans="1:6" x14ac:dyDescent="0.2">
      <c r="A6" s="18" t="s">
        <v>763</v>
      </c>
      <c r="B6" s="19" t="s">
        <v>764</v>
      </c>
      <c r="C6" s="20" t="s">
        <v>765</v>
      </c>
      <c r="D6" s="49">
        <f>Electrochemistry!I_app</f>
        <v>0.00569</v>
      </c>
      <c r="E6" s="138" t="s">
        <v>766</v>
      </c>
    </row>
    <row r="7" spans="1:6" x14ac:dyDescent="0.2">
      <c r="A7" s="18" t="s">
        <v>767</v>
      </c>
      <c r="B7" s="19" t="s">
        <v>768</v>
      </c>
      <c r="C7" s="20" t="s">
        <v>769</v>
      </c>
      <c r="D7" s="49">
        <f>Electrochemistry!F_const</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Transfer'!R_gas</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inlineStr">
        <is>
          <t xml:space="preserve">Σ ammonium in the recipe: 2 × (NH₄)₂SO₄ per litre (MC02).</t>
        </is>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inlineStr">
        <is>
          <t xml:space="preserve">Σ ammonium in the recipe: 2 × (NH₄)₂SO₄ per litre (UdG).</t>
        </is>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IF(media_sel=INDEX(MediaList,1),SID_mc02,IF(media_sel=INDEX(MediaList,2),SID_udg,IF(media_sel=INDEX(MediaList,3),AMYBO03!SID_AMYBO03,NA())))+alk_add_M</f>
        <v>0.115446909129</v>
      </c>
      <c r="E44" s="138" t="inlineStr">
        <is>
          <t xml:space="preserve">by media_sel, plus any NaHCO₃ added on Summary D13 (alk_add_M, D318)</t>
        </is>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0.069961117495</v>
      </c>
      <c r="C50" s="49">
        <f t="shared" ref="C50:C81" si="2">IF(AND(B50&gt;=0,B51&lt;0),A50+pH_step*B50/(B50-B51),0)</f>
        <v>0.0</v>
      </c>
    </row>
    <row r="51" spans="1:3" x14ac:dyDescent="0.2">
      <c r="A51" s="155">
        <v>4.0999999999999996</v>
      </c>
      <c r="B51" s="49">
        <f t="shared" si="1"/>
        <v>0.069751453005</v>
      </c>
      <c r="C51" s="49">
        <f t="shared" si="2"/>
        <v>0.0</v>
      </c>
    </row>
    <row r="52" spans="1:3" x14ac:dyDescent="0.2">
      <c r="A52" s="155">
        <v>4.2</v>
      </c>
      <c r="B52" s="49">
        <f t="shared" si="1"/>
        <v>0.06954348529</v>
      </c>
      <c r="C52" s="49">
        <f t="shared" si="2"/>
        <v>0.0</v>
      </c>
    </row>
    <row r="53" spans="1:3" x14ac:dyDescent="0.2">
      <c r="A53" s="155">
        <v>4.3</v>
      </c>
      <c r="B53" s="49">
        <f t="shared" si="1"/>
        <v>0.06932632941</v>
      </c>
      <c r="C53" s="49">
        <f t="shared" si="2"/>
        <v>0.0</v>
      </c>
    </row>
    <row r="54" spans="1:3" x14ac:dyDescent="0.2">
      <c r="A54" s="155">
        <v>4.4000000000000004</v>
      </c>
      <c r="B54" s="49">
        <f t="shared" si="1"/>
        <v>0.06908857853</v>
      </c>
      <c r="C54" s="49">
        <f t="shared" si="2"/>
        <v>0.0</v>
      </c>
    </row>
    <row r="55" spans="1:3" x14ac:dyDescent="0.2">
      <c r="A55" s="155">
        <v>4.5</v>
      </c>
      <c r="B55" s="49">
        <f t="shared" si="1"/>
        <v>0.06881772969</v>
      </c>
      <c r="C55" s="49">
        <f t="shared" si="2"/>
        <v>0.0</v>
      </c>
    </row>
    <row r="56" spans="1:3" x14ac:dyDescent="0.2">
      <c r="A56" s="155">
        <v>4.5999999999999996</v>
      </c>
      <c r="B56" s="49">
        <f t="shared" si="1"/>
        <v>0.068499551328</v>
      </c>
      <c r="C56" s="49">
        <f t="shared" si="2"/>
        <v>0.0</v>
      </c>
    </row>
    <row r="57" spans="1:3" x14ac:dyDescent="0.2">
      <c r="A57" s="155">
        <v>4.7</v>
      </c>
      <c r="B57" s="49">
        <f t="shared" si="1"/>
        <v>0.068117365699</v>
      </c>
      <c r="C57" s="49">
        <f t="shared" si="2"/>
        <v>0.0</v>
      </c>
    </row>
    <row r="58" spans="1:3" x14ac:dyDescent="0.2">
      <c r="A58" s="155">
        <v>4.8</v>
      </c>
      <c r="B58" s="49">
        <f t="shared" si="1"/>
        <v>0.067651216105</v>
      </c>
      <c r="C58" s="49">
        <f t="shared" si="2"/>
        <v>0.0</v>
      </c>
    </row>
    <row r="59" spans="1:3" x14ac:dyDescent="0.2">
      <c r="A59" s="155">
        <v>4.9000000000000004</v>
      </c>
      <c r="B59" s="49">
        <f t="shared" si="1"/>
        <v>0.067076885534</v>
      </c>
      <c r="C59" s="49">
        <f t="shared" si="2"/>
        <v>0.0</v>
      </c>
    </row>
    <row r="60" spans="1:3" x14ac:dyDescent="0.2">
      <c r="A60" s="155">
        <v>5</v>
      </c>
      <c r="B60" s="49">
        <f t="shared" si="1"/>
        <v>0.066364730093</v>
      </c>
      <c r="C60" s="49">
        <f t="shared" si="2"/>
        <v>0.0</v>
      </c>
    </row>
    <row r="61" spans="1:3" x14ac:dyDescent="0.2">
      <c r="A61" s="155">
        <v>5.0999999999999996</v>
      </c>
      <c r="B61" s="49">
        <f t="shared" si="1"/>
        <v>0.06547828794</v>
      </c>
      <c r="C61" s="49">
        <f t="shared" si="2"/>
        <v>0.0</v>
      </c>
    </row>
    <row r="62" spans="1:3" x14ac:dyDescent="0.2">
      <c r="A62" s="155">
        <v>5.2</v>
      </c>
      <c r="B62" s="49">
        <f t="shared" si="1"/>
        <v>0.064372623002</v>
      </c>
      <c r="C62" s="49">
        <f t="shared" si="2"/>
        <v>0.0</v>
      </c>
    </row>
    <row r="63" spans="1:3" x14ac:dyDescent="0.2">
      <c r="A63" s="155">
        <v>5.3</v>
      </c>
      <c r="B63" s="49">
        <f t="shared" si="1"/>
        <v>0.062992363243</v>
      </c>
      <c r="C63" s="49">
        <f t="shared" si="2"/>
        <v>0.0</v>
      </c>
    </row>
    <row r="64" spans="1:3" x14ac:dyDescent="0.2">
      <c r="A64" s="155">
        <v>5.4</v>
      </c>
      <c r="B64" s="49">
        <f t="shared" si="1"/>
        <v>0.061269396419</v>
      </c>
      <c r="C64" s="49">
        <f t="shared" si="2"/>
        <v>0.0</v>
      </c>
    </row>
    <row r="65" spans="1:3" x14ac:dyDescent="0.2">
      <c r="A65" s="155">
        <v>5.5</v>
      </c>
      <c r="B65" s="49">
        <f t="shared" si="1"/>
        <v>0.059120191996</v>
      </c>
      <c r="C65" s="49">
        <f t="shared" si="2"/>
        <v>0.0</v>
      </c>
    </row>
    <row r="66" spans="1:3" x14ac:dyDescent="0.2">
      <c r="A66" s="155">
        <v>5.6</v>
      </c>
      <c r="B66" s="49">
        <f t="shared" si="1"/>
        <v>0.056442724361</v>
      </c>
      <c r="C66" s="49">
        <f t="shared" si="2"/>
        <v>0.0</v>
      </c>
    </row>
    <row r="67" spans="1:3" x14ac:dyDescent="0.2">
      <c r="A67" s="155">
        <v>5.7</v>
      </c>
      <c r="B67" s="49">
        <f t="shared" si="1"/>
        <v>0.053112974068</v>
      </c>
      <c r="C67" s="49">
        <f t="shared" si="2"/>
        <v>0.0</v>
      </c>
    </row>
    <row r="68" spans="1:3" x14ac:dyDescent="0.2">
      <c r="A68" s="155">
        <v>5.8</v>
      </c>
      <c r="B68" s="49">
        <f t="shared" si="1"/>
        <v>0.048980968782</v>
      </c>
      <c r="C68" s="49">
        <f t="shared" si="2"/>
        <v>0.0</v>
      </c>
    </row>
    <row r="69" spans="1:3" x14ac:dyDescent="0.2">
      <c r="A69" s="155">
        <v>5.9</v>
      </c>
      <c r="B69" s="49">
        <f t="shared" si="1"/>
        <v>0.043866272831</v>
      </c>
      <c r="C69" s="49">
        <f t="shared" si="2"/>
        <v>0.0</v>
      </c>
    </row>
    <row r="70" spans="1:3" x14ac:dyDescent="0.2">
      <c r="A70" s="155">
        <v>6</v>
      </c>
      <c r="B70" s="49">
        <f t="shared" si="1"/>
        <v>0.037552713096</v>
      </c>
      <c r="C70" s="49">
        <f t="shared" si="2"/>
        <v>0.0</v>
      </c>
    </row>
    <row r="71" spans="1:3" x14ac:dyDescent="0.2">
      <c r="A71" s="155">
        <v>6.1</v>
      </c>
      <c r="B71" s="49">
        <f t="shared" si="1"/>
        <v>0.02978190285</v>
      </c>
      <c r="C71" s="49">
        <f t="shared" si="2"/>
        <v>0.0</v>
      </c>
    </row>
    <row r="72" spans="1:3" x14ac:dyDescent="0.2">
      <c r="A72" s="155">
        <v>6.2</v>
      </c>
      <c r="B72" s="49">
        <f t="shared" si="1"/>
        <v>0.020244766664</v>
      </c>
      <c r="C72" s="49">
        <f t="shared" si="2"/>
        <v>0.0</v>
      </c>
    </row>
    <row r="73" spans="1:3" x14ac:dyDescent="0.2">
      <c r="A73" s="155">
        <v>6.3</v>
      </c>
      <c r="B73" s="49">
        <f t="shared" si="1"/>
        <v>0.008569785763</v>
      </c>
      <c r="C73" s="49">
        <f t="shared" si="2"/>
        <v>6.360081336767</v>
      </c>
    </row>
    <row r="74" spans="1:3" x14ac:dyDescent="0.2">
      <c r="A74" s="155">
        <v>6.4</v>
      </c>
      <c r="B74" s="49">
        <f t="shared" si="1"/>
        <v>-0.005693854535</v>
      </c>
      <c r="C74" s="49">
        <f t="shared" si="2"/>
        <v>0.0</v>
      </c>
    </row>
    <row r="75" spans="1:3" x14ac:dyDescent="0.2">
      <c r="A75" s="155">
        <v>6.5</v>
      </c>
      <c r="B75" s="49">
        <f t="shared" si="1"/>
        <v>-0.023100482075</v>
      </c>
      <c r="C75" s="49">
        <f t="shared" si="2"/>
        <v>0.0</v>
      </c>
    </row>
    <row r="76" spans="1:3" x14ac:dyDescent="0.2">
      <c r="A76" s="155">
        <v>6.6</v>
      </c>
      <c r="B76" s="49">
        <f t="shared" si="1"/>
        <v>-0.044341975628</v>
      </c>
      <c r="C76" s="49">
        <f t="shared" si="2"/>
        <v>0.0</v>
      </c>
    </row>
    <row r="77" spans="1:3" x14ac:dyDescent="0.2">
      <c r="A77" s="155">
        <v>6.7</v>
      </c>
      <c r="B77" s="49">
        <f t="shared" si="1"/>
        <v>-0.070293923739</v>
      </c>
      <c r="C77" s="49">
        <f t="shared" si="2"/>
        <v>0.0</v>
      </c>
    </row>
    <row r="78" spans="1:3" x14ac:dyDescent="0.2">
      <c r="A78" s="155">
        <v>6.8</v>
      </c>
      <c r="B78" s="49">
        <f t="shared" si="1"/>
        <v>-0.102075832535</v>
      </c>
      <c r="C78" s="49">
        <f t="shared" si="2"/>
        <v>0.0</v>
      </c>
    </row>
    <row r="79" spans="1:3" x14ac:dyDescent="0.2">
      <c r="A79" s="155">
        <v>6.9</v>
      </c>
      <c r="B79" s="49">
        <f t="shared" si="1"/>
        <v>-0.141127094472</v>
      </c>
      <c r="C79" s="49">
        <f t="shared" si="2"/>
        <v>0.0</v>
      </c>
    </row>
    <row r="80" spans="1:3" x14ac:dyDescent="0.2">
      <c r="A80" s="155">
        <v>7</v>
      </c>
      <c r="B80" s="49">
        <f t="shared" si="1"/>
        <v>-0.189300856602</v>
      </c>
      <c r="C80" s="49">
        <f t="shared" si="2"/>
        <v>0.0</v>
      </c>
    </row>
    <row r="81" spans="1:3" x14ac:dyDescent="0.2">
      <c r="A81" s="155">
        <v>7.1</v>
      </c>
      <c r="B81" s="49">
        <f t="shared" si="1"/>
        <v>-0.248979349044</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-0.323216709229</v>
      </c>
      <c r="C82" s="49">
        <f t="shared" ref="C82:C99" si="4">IF(AND(B82&gt;=0,B83&lt;0),A82+pH_step*B82/(B82-B83),0)</f>
        <v>0.0</v>
      </c>
    </row>
    <row r="83" spans="1:3" x14ac:dyDescent="0.2">
      <c r="A83" s="155">
        <v>7.3</v>
      </c>
      <c r="B83" s="49">
        <f t="shared" si="3"/>
        <v>-0.415918699938</v>
      </c>
      <c r="C83" s="49">
        <f t="shared" si="4"/>
        <v>0.0</v>
      </c>
    </row>
    <row r="84" spans="1:3" x14ac:dyDescent="0.2">
      <c r="A84" s="155">
        <v>7.4</v>
      </c>
      <c r="B84" s="49">
        <f t="shared" si="3"/>
        <v>-0.532072848103</v>
      </c>
      <c r="C84" s="49">
        <f t="shared" si="4"/>
        <v>0.0</v>
      </c>
    </row>
    <row r="85" spans="1:3" x14ac:dyDescent="0.2">
      <c r="A85" s="155">
        <v>7.5</v>
      </c>
      <c r="B85" s="49">
        <f t="shared" si="3"/>
        <v>-0.678047625082</v>
      </c>
      <c r="C85" s="49">
        <f t="shared" si="4"/>
        <v>0.0</v>
      </c>
    </row>
    <row r="86" spans="1:3" x14ac:dyDescent="0.2">
      <c r="A86" s="155">
        <v>7.6</v>
      </c>
      <c r="B86" s="49">
        <f t="shared" si="3"/>
        <v>-0.861986009846</v>
      </c>
      <c r="C86" s="49">
        <f t="shared" si="4"/>
        <v>0.0</v>
      </c>
    </row>
    <row r="87" spans="1:3" x14ac:dyDescent="0.2">
      <c r="A87" s="155">
        <v>7.7</v>
      </c>
      <c r="B87" s="49">
        <f t="shared" si="3"/>
        <v>-1.094328289102</v>
      </c>
      <c r="C87" s="49">
        <f t="shared" si="4"/>
        <v>0.0</v>
      </c>
    </row>
    <row r="88" spans="1:3" x14ac:dyDescent="0.2">
      <c r="A88" s="155">
        <v>7.8</v>
      </c>
      <c r="B88" s="49">
        <f t="shared" si="3"/>
        <v>-1.38851298453</v>
      </c>
      <c r="C88" s="49">
        <f t="shared" si="4"/>
        <v>0.0</v>
      </c>
    </row>
    <row r="89" spans="1:3" x14ac:dyDescent="0.2">
      <c r="A89" s="155">
        <v>7.9</v>
      </c>
      <c r="B89" s="49">
        <f t="shared" si="3"/>
        <v>-1.761925875846</v>
      </c>
      <c r="C89" s="49">
        <f t="shared" si="4"/>
        <v>0.0</v>
      </c>
    </row>
    <row r="90" spans="1:3" x14ac:dyDescent="0.2">
      <c r="A90" s="155">
        <v>8</v>
      </c>
      <c r="B90" s="49">
        <f t="shared" si="3"/>
        <v>-2.237198975494</v>
      </c>
      <c r="C90" s="49">
        <f t="shared" si="4"/>
        <v>0.0</v>
      </c>
    </row>
    <row r="91" spans="1:3" x14ac:dyDescent="0.2">
      <c r="A91" s="155">
        <v>8.1</v>
      </c>
      <c r="B91" s="49">
        <f t="shared" si="3"/>
        <v>-2.844009796487</v>
      </c>
      <c r="C91" s="49">
        <f t="shared" si="4"/>
        <v>0.0</v>
      </c>
    </row>
    <row r="92" spans="1:3" x14ac:dyDescent="0.2">
      <c r="A92" s="155">
        <v>8.1999999999999993</v>
      </c>
      <c r="B92" s="49">
        <f t="shared" si="3"/>
        <v>-3.621605374646</v>
      </c>
      <c r="C92" s="49">
        <f t="shared" si="4"/>
        <v>0.0</v>
      </c>
    </row>
    <row r="93" spans="1:3" x14ac:dyDescent="0.2">
      <c r="A93" s="155">
        <v>8.3000000000000007</v>
      </c>
      <c r="B93" s="49">
        <f t="shared" si="3"/>
        <v>-4.622389442909</v>
      </c>
      <c r="C93" s="49">
        <f t="shared" si="4"/>
        <v>0.0</v>
      </c>
    </row>
    <row r="94" spans="1:3" x14ac:dyDescent="0.2">
      <c r="A94" s="155">
        <v>8.4</v>
      </c>
      <c r="B94" s="49">
        <f t="shared" si="3"/>
        <v>-5.917087221084</v>
      </c>
      <c r="C94" s="49">
        <f t="shared" si="4"/>
        <v>0.0</v>
      </c>
    </row>
    <row r="95" spans="1:3" x14ac:dyDescent="0.2">
      <c r="A95" s="155">
        <v>8.5</v>
      </c>
      <c r="B95" s="49">
        <f t="shared" si="3"/>
        <v>-7.602275622058</v>
      </c>
      <c r="C95" s="49">
        <f t="shared" si="4"/>
        <v>0.0</v>
      </c>
    </row>
    <row r="96" spans="1:3" x14ac:dyDescent="0.2">
      <c r="A96" s="155">
        <v>8.6</v>
      </c>
      <c r="B96" s="49">
        <f t="shared" si="3"/>
        <v>-9.811492688911</v>
      </c>
      <c r="C96" s="49">
        <f t="shared" si="4"/>
        <v>0.0</v>
      </c>
    </row>
    <row r="97" spans="1:7" x14ac:dyDescent="0.2">
      <c r="A97" s="155">
        <v>8.6999999999999993</v>
      </c>
      <c r="B97" s="49">
        <f t="shared" si="3"/>
        <v>-12.731806191691</v>
      </c>
      <c r="C97" s="49">
        <f t="shared" si="4"/>
        <v>0.0</v>
      </c>
    </row>
    <row r="98" spans="1:7" x14ac:dyDescent="0.2">
      <c r="A98" s="155">
        <v>8.8000000000000007</v>
      </c>
      <c r="B98" s="49">
        <f t="shared" si="3"/>
        <v>-16.628765595603</v>
      </c>
      <c r="C98" s="49">
        <f t="shared" si="4"/>
        <v>0.0</v>
      </c>
    </row>
    <row r="99" spans="1:7" x14ac:dyDescent="0.2">
      <c r="A99" s="155">
        <v>8.9</v>
      </c>
      <c r="B99" s="49">
        <f t="shared" si="3"/>
        <v>-21.884302272467</v>
      </c>
      <c r="C99" s="49">
        <f t="shared" si="4"/>
        <v>0.0</v>
      </c>
    </row>
    <row r="100" spans="1:7" x14ac:dyDescent="0.2">
      <c r="A100" s="155">
        <v>9</v>
      </c>
      <c r="B100" s="49">
        <f t="shared" si="3"/>
        <v>-29.054724946604</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6.360081336767</v>
      </c>
      <c r="E103" s="138" t="s">
        <v>1670</v>
      </c>
      <c r="F103" s="75" t="s">
        <v>1967</v>
      </c>
    </row>
    <row r="104" spans="1:7" ht="36" x14ac:dyDescent="0.2">
      <c r="A104" s="18" t="s">
        <v>865</v>
      </c>
      <c r="B104" s="19" t="s">
        <v>866</v>
      </c>
      <c r="C104" s="20" t="s">
        <v>867</v>
      </c>
      <c r="D104" s="119">
        <f>1/(1+KaHOCl_c/10^-pH_op)</f>
        <v>0.884640145726</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Electrochemistry!A_anode_wet</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2.587155078009e-05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The measured lifetime from the Calibrations tab (monochloramine section: DPD combined chlorine at plateau ÷ production rate) when one is included for this reactor and medium; otherwise tau_NH2Cl_default (D314). SENSITIVITY parameter: the fixed τ band (D150–D155, 1 min to 5 h) is shown beside it.</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(IF(media_sel=INDEX(MediaList,1),kappa0_mc02,IF(media_sel=INDEX(MediaList,2),kappa0_udg,IF(media_sel=INDEX(MediaList,3),AMYBO03!kappa0_AMYBO03,NA())))+alk_add_M*(lam_Na+lam_HCO3)/10)*kappa_fI*(1+kappa_TC*(TKc-T_ref))</f>
        <v>1.401288519775</v>
      </c>
      <c r="E180" s="51" t="inlineStr">
        <is>
          <t xml:space="preserve">(Kohlrausch sum of the recipe + the added NaHCO₃, D318) × finite-strength factor × temperature correction. Feeds the ohmic term of the cell-voltage budget (Electrochemistry).</t>
        </is>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IF(media_sel=INDEX(MediaList,1),I_mc02,IF(media_sel=INDEX(MediaList,2),I_udg,IF(media_sel=INDEX(MediaList,3),AMYBO03!I_AMYBO03,NA())))+alk_add_M</f>
        <v>0.200184197377</v>
      </c>
      <c r="E185" s="51" t="inlineStr">
        <is>
          <t xml:space="preserve">by media_sel, plus the added NaHCO₃ (D318: Na⁺ and HCO₃⁻, each z = 1)</t>
        </is>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0.838752571502</v>
      </c>
      <c r="E206" s="74" t="s">
        <v>1438</v>
      </c>
    </row>
    <row r="207" spans="1:5" x14ac:dyDescent="0.2">
      <c r="A207" t="s">
        <v>1439</v>
      </c>
      <c r="B207" s="19" t="s">
        <v>1440</v>
      </c>
      <c r="C207" s="20" t="s">
        <v>1423</v>
      </c>
      <c r="D207" s="111">
        <f>E0_HER-nernst_slope*pH_meas</f>
        <v>-0.390247428498</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0.304752571502</v>
      </c>
      <c r="E210" s="51" t="s">
        <v>1448</v>
      </c>
    </row>
    <row r="211" spans="1:5" ht="48" x14ac:dyDescent="0.2">
      <c r="A211" t="s">
        <v>1981</v>
      </c>
      <c r="B211" s="19" t="s">
        <v>1450</v>
      </c>
      <c r="C211" s="20" t="s">
        <v>1445</v>
      </c>
      <c r="D211" s="111">
        <f>E_anode_op-E0_Cu</f>
        <v>1.248881383882</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16.462619621318</v>
      </c>
      <c r="E216" s="51" t="s">
        <v>1984</v>
      </c>
    </row>
    <row r="217" spans="1:5" x14ac:dyDescent="0.2">
      <c r="A217" t="s">
        <v>1459</v>
      </c>
      <c r="B217" s="19" t="s">
        <v>1460</v>
      </c>
      <c r="C217" s="20" t="s">
        <v>1148</v>
      </c>
      <c r="D217" s="111">
        <f>Electrochemistry!j_anode</f>
        <v>3.287810437489</v>
      </c>
      <c r="E217" s="51" t="s">
        <v>1461</v>
      </c>
    </row>
    <row r="218" spans="1:5" ht="48" x14ac:dyDescent="0.2">
      <c r="A218" t="s">
        <v>1462</v>
      </c>
      <c r="B218" s="19" t="s">
        <v>1463</v>
      </c>
      <c r="C218" s="20" t="s">
        <v>1140</v>
      </c>
      <c r="D218" s="111">
        <f>j_anode_c/j_buffer_lim</f>
        <v>0.199713685496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6.487746914065</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s">
        <v>1679</v>
      </c>
      <c r="B224" s="19" t="s">
        <v>1680</v>
      </c>
      <c r="C224" s="20" t="s">
        <v>1681</v>
      </c>
      <c r="D224" s="116">
        <v>5.0599999999999996</v>
      </c>
      <c r="E224" s="51" t="s">
        <v>1682</v>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Biology!T_ref</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0.049848196699</v>
      </c>
      <c r="E252" s="51" t="s">
        <v>2022</v>
      </c>
    </row>
    <row r="253" spans="1:5" ht="24" x14ac:dyDescent="0.2">
      <c r="A253" t="s">
        <v>2023</v>
      </c>
      <c r="B253" s="19" t="s">
        <v>2024</v>
      </c>
      <c r="C253" s="20" t="s">
        <v>429</v>
      </c>
      <c r="D253" s="111">
        <f>pH_PT/(1+10^(-LOG10(Ka2p_c)-pH_op))</f>
        <v>0.019459581708</v>
      </c>
      <c r="E253" s="51" t="s">
        <v>2025</v>
      </c>
    </row>
    <row r="254" spans="1:5" ht="24" x14ac:dyDescent="0.2">
      <c r="A254" t="s">
        <v>2026</v>
      </c>
      <c r="B254" s="19" t="s">
        <v>2027</v>
      </c>
      <c r="C254" s="20" t="s">
        <v>1445</v>
      </c>
      <c r="D254" s="111">
        <f>Electrochemistry!eta_anode</f>
        <v>0.902028812381</v>
      </c>
      <c r="E254" s="51" t="s">
        <v>2028</v>
      </c>
    </row>
    <row r="255" spans="1:5" ht="24" x14ac:dyDescent="0.2">
      <c r="A255" t="s">
        <v>2029</v>
      </c>
      <c r="B255" s="19" t="s">
        <v>2030</v>
      </c>
      <c r="C255" s="20" t="s">
        <v>1445</v>
      </c>
      <c r="D255" s="111">
        <f>Electrochemistry!pcet_credit_op</f>
        <v>-0.15</v>
      </c>
      <c r="E255" s="51" t="s">
        <v>2031</v>
      </c>
    </row>
    <row r="256" spans="1:5" ht="36" x14ac:dyDescent="0.2">
      <c r="A256" t="s">
        <v>2032</v>
      </c>
      <c r="B256" s="19" t="s">
        <v>2033</v>
      </c>
      <c r="C256" s="20" t="s">
        <v>1423</v>
      </c>
      <c r="D256" s="111">
        <f>E_OER+eta_anode_c+pcet_credit_c</f>
        <v>1.590781383882</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Electrochemistry!km_O2</f>
        <v>0.004</v>
      </c>
      <c r="E272" s="51" t="s">
        <v>2053</v>
      </c>
    </row>
    <row r="273" spans="1:5" x14ac:dyDescent="0.2">
      <c r="A273" t="s">
        <v>2054</v>
      </c>
      <c r="B273" s="19" t="s">
        <v>2055</v>
      </c>
      <c r="C273" s="20" t="s">
        <v>111</v>
      </c>
      <c r="D273" s="111">
        <f>Electrochemistry!km_exp</f>
        <v>0.644</v>
      </c>
      <c r="E273" s="51" t="s">
        <v>2056</v>
      </c>
    </row>
    <row r="274" spans="1:5" x14ac:dyDescent="0.2">
      <c r="A274" t="s">
        <v>1474</v>
      </c>
      <c r="B274" s="19" t="s">
        <v>2057</v>
      </c>
      <c r="C274" s="20" t="s">
        <v>515</v>
      </c>
      <c r="D274" s="111">
        <f>Electrochemistry!ec_D_O2</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Biology!V_charge</f>
        <v>15.0</v>
      </c>
      <c r="E279" s="51" t="s">
        <v>1949</v>
      </c>
    </row>
    <row r="280" spans="1:5" x14ac:dyDescent="0.2">
      <c r="A280" t="s">
        <v>2071</v>
      </c>
      <c r="B280" s="19" t="s">
        <v>37</v>
      </c>
      <c r="C280" s="20" t="s">
        <v>111</v>
      </c>
      <c r="D280" s="111" t="str">
        <f>Summary!media_sel</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inlineStr">
        <is>
          <t xml:space="preserve">Design assumption: below pH 6 HOB growth is taken as severely impaired; the red edge of the Summary D23 colour (was embedded in the rule).</t>
        </is>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-0.001459053241</v>
      </c>
      <c r="E305" s="60" t="s">
        <v>2734</v>
      </c>
    </row>
    <row r="306" spans="1:5" x14ac:dyDescent="0.2">
      <c r="A306" t="inlineStr">
        <is>
          <t xml:space="preserve">Extra alkalinity still needed for the target pH</t>
        </is>
      </c>
      <c r="B306" s="19" t="s">
        <v>2736</v>
      </c>
      <c r="C306" s="20" t="s">
        <v>429</v>
      </c>
      <c r="D306" s="111">
        <f>MAX(0,-alk_resid_t)</f>
        <v>0.001459053241</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0.122570685611</v>
      </c>
      <c r="E308" s="60" t="inlineStr">
        <is>
          <t xml:space="preserve">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is>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9.828782391026e-07</v>
      </c>
      <c r="E315" s="57" t="inlineStr">
        <is>
          <t xml:space="preserve">The production ceiling P in the chloramine steady state (the second term of D311): the CER-efficiency-limited current as mol/L/s. Read with D271 and D47 to turn a DPD plateau into a lifetime (Calibrations rows 155–162).</t>
        </is>
      </c>
    </row>
    <row r="316">
      <c r="A316" s="6" t="inlineStr">
        <is>
          <t xml:space="preserve">ADDED ALKALINITY (Summary D13) — feeds the charge balance, ionic strength, conductivity and CO₂ storage</t>
        </is>
      </c>
    </row>
    <row r="317">
      <c r="A317" t="inlineStr">
        <is>
          <t xml:space="preserve">(import) NaHCO₃ added on Summary</t>
        </is>
      </c>
      <c r="B317" s="19" t="inlineStr">
        <is>
          <t xml:space="preserve">NaHCO3_add_gL</t>
        </is>
      </c>
      <c r="C317" s="20" t="inlineStr">
        <is>
          <t xml:space="preserve">g/L</t>
        </is>
      </c>
      <c r="D317" s="111">
        <f>Summary!NaHCO3_add_gL</f>
        <v>0.0</v>
      </c>
      <c r="E317" s="51" t="inlineStr">
        <is>
          <t xml:space="preserve">Import from Summary!D13 (NaHCO3_add_gL); blank reads as 0.</t>
        </is>
      </c>
    </row>
    <row r="318">
      <c r="A318" t="inlineStr">
        <is>
          <t xml:space="preserve">Added alkalinity (strong cation, as NaHCO₃)</t>
        </is>
      </c>
      <c r="B318" s="19" t="inlineStr">
        <is>
          <t xml:space="preserve">alk_add_M</t>
        </is>
      </c>
      <c r="C318" s="20" t="inlineStr">
        <is>
          <t xml:space="preserve">mol/L</t>
        </is>
      </c>
      <c r="D318" s="111">
        <f>NaHCO3_add_gL/M_NaHCO3</f>
        <v>0.0</v>
      </c>
      <c r="E318" s="60" t="inlineStr">
        <is>
          <t xml:space="preserve">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is>
      </c>
    </row>
    <row r="320">
      <c r="A320" s="6" t="inlineStr">
        <is>
          <t xml:space="preserve">CO₂ THAT HOLDS pH AT THE BAND CEILING (for the pH-ceiling interval, Mass Transfer D432)</t>
        </is>
      </c>
    </row>
    <row r="321">
      <c r="A321" t="inlineStr">
        <is>
          <t xml:space="preserve">Band ceiling on the concentration scale</t>
        </is>
      </c>
      <c r="B321" s="19" t="inlineStr">
        <is>
          <t xml:space="preserve">pH_hi_c</t>
        </is>
      </c>
      <c r="C321" s="20" t="inlineStr">
        <is>
          <t xml:space="preserve">pH</t>
        </is>
      </c>
      <c r="D321" s="111">
        <f>pH_band_hi+LOG10(gamma_1)</f>
        <v>7.372334422702</v>
      </c>
      <c r="E321" s="60" t="inlineStr">
        <is>
          <t xml:space="preserve">Probe (activity) pH ceiling D237 to the concentration scale the charge balance solves on, as D304.</t>
        </is>
      </c>
    </row>
    <row r="322">
      <c r="A322" t="inlineStr">
        <is>
          <t xml:space="preserve">[H⁺] at the ceiling</t>
        </is>
      </c>
      <c r="B322" s="19" t="inlineStr">
        <is>
          <t xml:space="preserve">h_hi</t>
        </is>
      </c>
      <c r="C322" s="20" t="inlineStr">
        <is>
          <t xml:space="preserve">mol/L</t>
        </is>
      </c>
      <c r="D322" s="111">
        <f>10^-pH_hi_c</f>
        <v>4.242927171446e-08</v>
      </c>
      <c r="E322" s="60" t="inlineStr">
        <is>
          <t xml:space="preserve">Concentration scale.</t>
        </is>
      </c>
    </row>
    <row r="323">
      <c r="A323" t="inlineStr">
        <is>
          <t xml:space="preserve">Charge balance at the ceiling without the carbonate terms</t>
        </is>
      </c>
      <c r="B323" s="19" t="inlineStr">
        <is>
          <t xml:space="preserve">resid_noC_hi</t>
        </is>
      </c>
      <c r="C323" s="20" t="inlineStr">
        <is>
          <t xml:space="preserve">mol/L</t>
        </is>
      </c>
      <c r="D323" s="111">
        <f>pH_SID+pH_NT*h_hi/(h_hi+KaN_c)+h_hi-(pH_PT*Ka1p_c*h_hi^2+2*pH_PT*Ka1p_c*Ka2p_c*h_hi+3*pH_PT*Ka1p_c*Ka2p_c*Ka3p_c)/(h_hi^3+Ka1p_c*h_hi^2+Ka1p_c*Ka2p_c*h_hi+Ka1p_c*Ka2p_c*Ka3p_c)-Kw_c/h_hi</f>
        <v>0.019548509304</v>
      </c>
      <c r="E323" s="60" t="inlineStr">
        <is>
          <t xml:space="preserve">The B50 residual with dissolved CO₂ set to zero: the charge the carbonate species must carry for pH to sit exactly at the ceiling.</t>
        </is>
      </c>
    </row>
    <row r="324">
      <c r="A324" t="inlineStr">
        <is>
          <t xml:space="preserve">Dissolved CO₂ that holds pH at the band ceiling</t>
        </is>
      </c>
      <c r="B324" s="19" t="inlineStr">
        <is>
          <t xml:space="preserve">CO2_pH_hi</t>
        </is>
      </c>
      <c r="C324" s="20" t="inlineStr">
        <is>
          <t xml:space="preserve">mol/L</t>
        </is>
      </c>
      <c r="D324" s="111">
        <f>MAX(0,resid_noC_hi)/(Ka1c_c/h_hi+2*Ka1c_c*Ka2c_c/h_hi^2)</f>
        <v>0.0009665547632062</v>
      </c>
      <c r="E324" s="60" t="inlineStr">
        <is>
          <t xml:space="preserve">The residual is linear in dissolved CO₂, so this inverts it exactly (γ and the DIC reference held at the schedule in use). Less dissolved CO₂ than this and pH rises above the band. 0 = the ceiling is out of reach even without CO₂ (no pH bound).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5"/>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Electrochemistry!rH2_gen</f>
        <v>0.0001023341229799</v>
      </c>
      <c r="E4" s="105" t="str">
        <f>HYPERLINK("#Electrochemistry!D21","→ Electrochemistry")</f>
        <v>→ Electrochemistry</v>
      </c>
      <c r="F4" s="21"/>
    </row>
    <row r="5" spans="1:6" x14ac:dyDescent="0.2">
      <c r="A5" s="21" t="s">
        <v>352</v>
      </c>
      <c r="B5" s="19" t="s">
        <v>328</v>
      </c>
      <c r="C5" s="21" t="s">
        <v>307</v>
      </c>
      <c r="D5" s="120">
        <f>Electrochemistry!O2_net_gen</f>
        <v>5.101232932065e-05</v>
      </c>
      <c r="E5" s="105" t="str">
        <f>HYPERLINK("#Electrochemistry!D29","→ Electrochemistry")</f>
        <v>→ Electrochemistry</v>
      </c>
      <c r="F5" s="21"/>
    </row>
    <row r="6" spans="1:6" x14ac:dyDescent="0.2">
      <c r="A6" s="21" t="s">
        <v>353</v>
      </c>
      <c r="B6" s="19" t="s">
        <v>183</v>
      </c>
      <c r="C6" s="21" t="s">
        <v>52</v>
      </c>
      <c r="D6" s="121">
        <f>Geometry!V_charge</f>
        <v>15.0</v>
      </c>
      <c r="E6" s="105" t="str">
        <f>HYPERLINK("#Geometry!D41","→ Geometry")</f>
        <v>→ Geometry</v>
      </c>
      <c r="F6" s="21"/>
    </row>
    <row r="7" spans="1:6" x14ac:dyDescent="0.2">
      <c r="A7" s="21" t="s">
        <v>354</v>
      </c>
      <c r="B7" s="19" t="s">
        <v>33</v>
      </c>
      <c r="C7" s="21"/>
      <c r="D7" s="104" t="str">
        <f>Summary!organism_sel</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1.6900954994e-05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Summary!temp_C</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Transfer'!P_dry</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inlineStr">
        <is>
          <t xml:space="preserve">Dissolved CO₂ at full dry-basis saturation : RuBisCO Km. Legacy upper bound, superseded by the cycle-trough margin D98 (Summary D76).</t>
        </is>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15%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IF(ISNUMBER(cal_DO_min),cal_DO_min,IF(ISNUMBER(VLOOKUP(organism_sel,tbl_organism,MATCH("minimum DO",tbl_organism_hdr,0),FALSE)),VLOOKUP(organism_sel,tbl_organism,MATCH("minimum DO",tbl_organism_hdr,0),FALSE),NA()))</f>
        <v>#N/A</v>
      </c>
      <c r="E45" s="57" t="inlineStr">
        <is>
          <t xml:space="preserve">The Calibrations DO section if a value is included for this organism, otherwise the HOB lookup (row 52 on, column "minimum DO"); #N/A = a data gap, to be measured (Summary row 113).</t>
        </is>
      </c>
      <c r="F45" s="21"/>
    </row>
    <row r="46" spans="1:6" x14ac:dyDescent="0.2">
      <c r="A46" s="21" t="s">
        <v>454</v>
      </c>
      <c r="B46" s="21" t="s">
        <v>455</v>
      </c>
      <c r="C46" s="21" t="s">
        <v>83</v>
      </c>
      <c r="D46" s="25" t="e">
        <f>IF(ISNUMBER(cal_DO_opt),cal_DO_opt,IF(ISNUMBER(VLOOKUP(organism_sel,tbl_organism,MATCH("optimum DO",tbl_organism_hdr,0),FALSE)),VLOOKUP(organism_sel,tbl_organism,MATCH("optimum DO",tbl_organism_hdr,0),FALSE),NA()))</f>
        <v>#N/A</v>
      </c>
      <c r="E46" s="57" t="inlineStr">
        <is>
          <t xml:space="preserve">The Calibrations DO section if a value is included for this organism, otherwise the HOB lookup (row 52 on, column "optimum DO"); #N/A = a data gap, to be measured (Summary row 113).</t>
        </is>
      </c>
      <c r="F46" s="21"/>
    </row>
    <row r="47" spans="1:6" x14ac:dyDescent="0.2">
      <c r="A47" s="21" t="s">
        <v>456</v>
      </c>
      <c r="B47" s="21" t="s">
        <v>457</v>
      </c>
      <c r="C47" s="21" t="s">
        <v>83</v>
      </c>
      <c r="D47" s="25" t="e">
        <f>IF(ISNUMBER(cal_DO_impair),cal_DO_impair,IF(ISNUMBER(VLOOKUP(organism_sel,tbl_organism,MATCH("impairment DO",tbl_organism_hdr,0),FALSE)),VLOOKUP(organism_sel,tbl_organism,MATCH("impairment DO",tbl_organism_hdr,0),FALSE),NA()))</f>
        <v>#N/A</v>
      </c>
      <c r="E47" s="57" t="inlineStr">
        <is>
          <t xml:space="preserve">The Calibrations DO section if a value is included for this organism, otherwise the HOB lookup (row 52 on, column "impairment DO"); #N/A = a data gap, to be measured (Summary row 113).</t>
        </is>
      </c>
      <c r="F47" s="21"/>
    </row>
    <row r="48" spans="1:6" x14ac:dyDescent="0.2">
      <c r="A48" s="21" t="s">
        <v>458</v>
      </c>
      <c r="B48" s="21" t="s">
        <v>459</v>
      </c>
      <c r="C48" s="21" t="s">
        <v>83</v>
      </c>
      <c r="D48" s="25" t="e">
        <f>IF(ISNUMBER(cal_DO_toxic),cal_DO_toxic,IF(ISNUMBER(VLOOKUP(organism_sel,tbl_organism,MATCH("toxic DO",tbl_organism_hdr,0),FALSE)),VLOOKUP(organism_sel,tbl_organism,MATCH("toxic DO",tbl_organism_hdr,0),FALSE),NA()))</f>
        <v>#N/A</v>
      </c>
      <c r="E48" s="57" t="inlineStr">
        <is>
          <t xml:space="preserve">The Calibrations DO section if a value is included for this organism, otherwise the HOB lookup (row 52 on, column "toxic DO"); #N/A = a data gap, to be measured (Summary row 113).</t>
        </is>
      </c>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inlineStr">
        <is>
          <t xml:space="preserve">11.5 = Wilde &amp; Schlegel 1982 inhibition datum (the model computes its ceiling via Henry, ~10.7 mg/L at 30 °C). Optimum 2.6 and impairment 3.0 are provisional working values, not sourced measurements (protocols/dissolved-oxygen.md: optimum low, impairment not established).</t>
        </is>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IF(ISNA(MATCH(organism_sel,OrganismList,0)),NA(),IF(AND(ISNUMBER(DO_opt),ISNUMBER(DO_toxic)),DO_opt/DO_toxic,DO_frac_fallback))</f>
        <v>0.226086956522</v>
      </c>
      <c r="E60" s="51" t="s">
        <v>1330</v>
      </c>
    </row>
    <row r="61" spans="1:6" ht="36" x14ac:dyDescent="0.2">
      <c r="A61" t="s">
        <v>1331</v>
      </c>
      <c r="B61" s="19" t="s">
        <v>1332</v>
      </c>
      <c r="C61" s="20" t="s">
        <v>1140</v>
      </c>
      <c r="D61" s="116">
        <v>0.22608695652173899</v>
      </c>
      <c r="E61" s="57" t="inlineStr">
        <is>
          <t xml:space="preserve">Provisional: C. necator optimum 2.6 ÷ inhibition 11.5 mg/L (row 52); the optimum is a working value, not a sourced measurement, so this stand-in for every unmeasured organism is a weak estimate until the DO-band experiment (Summary row 113).</t>
        </is>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Summary!P_atm_set</f>
        <v>0.0</v>
      </c>
      <c r="E67" s="140" t="s">
        <v>2125</v>
      </c>
    </row>
    <row r="75" spans="1:5" x14ac:dyDescent="0.2">
      <c r="A75" s="6" t="s">
        <v>2126</v>
      </c>
    </row>
    <row r="76" spans="1:5" x14ac:dyDescent="0.2">
      <c r="A76" s="21" t="s">
        <v>2127</v>
      </c>
      <c r="B76" s="19" t="s">
        <v>2128</v>
      </c>
      <c r="C76" s="21" t="s">
        <v>307</v>
      </c>
      <c r="D76" s="120">
        <f>'Mass Transfer'!CO2_supply</f>
        <v>0.0008483937115674</v>
      </c>
      <c r="E76" s="140" t="s">
        <v>2129</v>
      </c>
    </row>
    <row r="77" spans="1:5" x14ac:dyDescent="0.2">
      <c r="A77" s="21" t="s">
        <v>2130</v>
      </c>
      <c r="B77" s="19" t="s">
        <v>2131</v>
      </c>
      <c r="C77" s="21" t="s">
        <v>307</v>
      </c>
      <c r="D77" s="120">
        <f>'Mass Transfer'!CO2_rate_full</f>
        <v>0.481916270304</v>
      </c>
      <c r="E77" s="140" t="s">
        <v>2132</v>
      </c>
    </row>
    <row r="78" spans="1:5" x14ac:dyDescent="0.2">
      <c r="A78" s="21" t="s">
        <v>2133</v>
      </c>
      <c r="B78" s="19" t="s">
        <v>2134</v>
      </c>
      <c r="C78" s="21" t="s">
        <v>12</v>
      </c>
      <c r="D78" s="120">
        <f>'Mass Transfer'!spg_dur_eq_opt</f>
        <v>0.784513049825</v>
      </c>
      <c r="E78" s="140" t="s">
        <v>2135</v>
      </c>
    </row>
    <row r="79" spans="1:5" x14ac:dyDescent="0.2">
      <c r="A79" s="21" t="s">
        <v>2136</v>
      </c>
      <c r="B79" s="19" t="s">
        <v>2137</v>
      </c>
      <c r="C79" s="21" t="s">
        <v>2138</v>
      </c>
      <c r="D79" s="120">
        <f>'Mass Transfer'!R_gas</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0.0001447785865665</v>
      </c>
      <c r="E83" s="53" t="s">
        <v>2151</v>
      </c>
    </row>
    <row r="84" spans="1:5" ht="48" x14ac:dyDescent="0.2">
      <c r="A84" s="18" t="s">
        <v>2152</v>
      </c>
      <c r="B84" s="19" t="s">
        <v>2153</v>
      </c>
      <c r="C84" s="20" t="s">
        <v>111</v>
      </c>
      <c r="D84" s="41">
        <f>H2_src_l_b/(n_flamm_src+CO2_supply_b+F_dil_b)</f>
        <v>0.09401303663</v>
      </c>
      <c r="E84" s="53" t="s">
        <v>2154</v>
      </c>
    </row>
    <row r="85" spans="1:5" ht="24" x14ac:dyDescent="0.2">
      <c r="A85" s="18" t="s">
        <v>2155</v>
      </c>
      <c r="B85" s="19" t="s">
        <v>2156</v>
      </c>
      <c r="C85" s="20" t="s">
        <v>111</v>
      </c>
      <c r="D85" s="41">
        <f>(O2_src_l_b+y_O2_air_b*F_vent_ex_b)/(n_flamm_src+CO2_supply_b+F_dil_b)</f>
        <v>0.054000710175</v>
      </c>
      <c r="E85" s="53" t="s">
        <v>2157</v>
      </c>
    </row>
    <row r="86" spans="1:5" ht="36" x14ac:dyDescent="0.2">
      <c r="A86" s="18" t="s">
        <v>2158</v>
      </c>
      <c r="B86" s="19" t="s">
        <v>2159</v>
      </c>
      <c r="C86" s="20" t="s">
        <v>111</v>
      </c>
      <c r="D86" s="41">
        <f>MAX(0,MIN(H2_src_l_b/H2_LFL-n_flamm_src-F_dil_b,(O2_src_l_b+y_O2_air_b*F_vent_ex_b)/(O2_LOC_H2*LOC_margin)-n_flamm_src-F_dil_b))/CO2_rate_full_b</f>
        <v>0.003321398663</v>
      </c>
      <c r="E86" s="53" t="s">
        <v>2160</v>
      </c>
    </row>
    <row r="87" spans="1:5" ht="24" x14ac:dyDescent="0.2">
      <c r="A87" s="18" t="s">
        <v>2161</v>
      </c>
      <c r="B87" s="19" t="s">
        <v>2162</v>
      </c>
      <c r="C87" s="20" t="s">
        <v>61</v>
      </c>
      <c r="D87" s="41">
        <f>IF(duty_H2safe&gt;0,spg_dur_b/(60*duty_H2safe),NA())</f>
        <v>3.936660071253</v>
      </c>
      <c r="E87" s="53" t="s">
        <v>2163</v>
      </c>
    </row>
    <row r="88" spans="1:5" ht="24" x14ac:dyDescent="0.2">
      <c r="A88" s="18" t="s">
        <v>2164</v>
      </c>
      <c r="B88" s="19" t="s">
        <v>2165</v>
      </c>
      <c r="C88" s="20" t="s">
        <v>314</v>
      </c>
      <c r="D88" s="41">
        <f>MAX(0,H2_src_l_b/H2_LFL-n_flamm_src-F_vent_ex_b)/3600*R_gas_b*T_K/P_atm*1000000*60</f>
        <v>0.928010297432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1.673926467146</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2.318132447064</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2.328965780397</v>
      </c>
      <c r="E92" s="53" t="s">
        <v>2178</v>
      </c>
    </row>
    <row r="95" spans="1:5" x14ac:dyDescent="0.2">
      <c r="A95" s="6" t="s">
        <v>2179</v>
      </c>
    </row>
    <row r="96" spans="1:5" x14ac:dyDescent="0.2">
      <c r="A96" s="18" t="s">
        <v>2180</v>
      </c>
      <c r="B96" s="19" t="s">
        <v>2181</v>
      </c>
      <c r="C96" s="20" t="s">
        <v>307</v>
      </c>
      <c r="D96" s="41">
        <f>Electrochemistry!r_H2_HOR</f>
        <v>0.0</v>
      </c>
      <c r="E96" s="51" t="s">
        <v>2182</v>
      </c>
    </row>
    <row r="97" spans="1:5" x14ac:dyDescent="0.2">
      <c r="A97" s="18" t="s">
        <v>2183</v>
      </c>
      <c r="B97" s="19" t="s">
        <v>2184</v>
      </c>
      <c r="C97" s="20" t="s">
        <v>406</v>
      </c>
      <c r="D97" s="41">
        <f>'Mass Transfer'!C_cycle_start</f>
        <v>25.431470582273</v>
      </c>
      <c r="E97" s="51" t="s">
        <v>2185</v>
      </c>
    </row>
    <row r="98" spans="1:5" ht="36" x14ac:dyDescent="0.2">
      <c r="A98" s="18" t="s">
        <v>2186</v>
      </c>
      <c r="B98" s="19" t="s">
        <v>2187</v>
      </c>
      <c r="C98" s="20" t="s">
        <v>87</v>
      </c>
      <c r="D98" s="41">
        <f>C_cycle_start_b*1000/Km_CO2</f>
        <v>508.62941164546</v>
      </c>
      <c r="E98" s="53" t="s">
        <v>2188</v>
      </c>
    </row>
    <row r="110" spans="1:5" x14ac:dyDescent="0.2">
      <c r="A110" s="6" t="s">
        <v>2189</v>
      </c>
    </row>
    <row r="111" spans="1:5" x14ac:dyDescent="0.2">
      <c r="A111" s="21" t="s">
        <v>2190</v>
      </c>
      <c r="B111" s="19" t="s">
        <v>2191</v>
      </c>
      <c r="C111" s="21" t="s">
        <v>307</v>
      </c>
      <c r="D111" s="120">
        <f>'Mass Transfer'!F_vent_ex</f>
        <v>3.617990017297e-05</v>
      </c>
      <c r="E111" s="140" t="s">
        <v>2192</v>
      </c>
    </row>
    <row r="112" spans="1:5" x14ac:dyDescent="0.2">
      <c r="A112" s="21" t="s">
        <v>2193</v>
      </c>
      <c r="B112" s="19" t="s">
        <v>2194</v>
      </c>
      <c r="C112" s="21" t="s">
        <v>111</v>
      </c>
      <c r="D112" s="120">
        <f>'Mass Transfer'!y_O2_air</f>
        <v>0.2095</v>
      </c>
      <c r="E112" s="140" t="s">
        <v>2195</v>
      </c>
    </row>
    <row r="113" spans="1:5" x14ac:dyDescent="0.2">
      <c r="A113" s="21" t="s">
        <v>2196</v>
      </c>
      <c r="B113" s="19" t="s">
        <v>2197</v>
      </c>
      <c r="C113" s="21" t="s">
        <v>307</v>
      </c>
      <c r="D113" s="120">
        <f>'Mass Transfer'!H2_src_l</f>
        <v>9.67725259245e-05</v>
      </c>
      <c r="E113" s="140" t="s">
        <v>2198</v>
      </c>
    </row>
    <row r="114" spans="1:5" x14ac:dyDescent="0.2">
      <c r="A114" s="21" t="s">
        <v>2199</v>
      </c>
      <c r="B114" s="19" t="s">
        <v>2200</v>
      </c>
      <c r="C114" s="21" t="s">
        <v>111</v>
      </c>
      <c r="D114" s="120">
        <f>'Mass Transfer'!y_H2_end_l</f>
        <v>0.146643438994</v>
      </c>
      <c r="E114" s="140" t="s">
        <v>2201</v>
      </c>
    </row>
    <row r="115" spans="1:5" x14ac:dyDescent="0.2">
      <c r="A115" s="21" t="s">
        <v>2202</v>
      </c>
      <c r="B115" s="19" t="s">
        <v>2203</v>
      </c>
      <c r="C115" s="21" t="s">
        <v>307</v>
      </c>
      <c r="D115" s="120">
        <f>'Mass Transfer'!O2_src_l</f>
        <v>4.800606064204e-05</v>
      </c>
      <c r="E115" s="140" t="s">
        <v>2204</v>
      </c>
    </row>
    <row r="116" spans="1:5" x14ac:dyDescent="0.2">
      <c r="A116" s="21" t="s">
        <v>2205</v>
      </c>
      <c r="B116" s="19" t="s">
        <v>2206</v>
      </c>
      <c r="C116" s="21" t="s">
        <v>307</v>
      </c>
      <c r="D116" s="120">
        <f>'Mass Transfer'!F_gap_l</f>
        <v>0.0001809584867395</v>
      </c>
      <c r="E116" s="140" t="s">
        <v>2207</v>
      </c>
    </row>
    <row r="117" spans="1:5" x14ac:dyDescent="0.2">
      <c r="A117" s="21" t="s">
        <v>2208</v>
      </c>
      <c r="B117" s="19" t="s">
        <v>2209</v>
      </c>
      <c r="C117" s="21" t="s">
        <v>732</v>
      </c>
      <c r="D117" s="120">
        <f>'Mass Transfer'!n_hs_gas</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Transfer'!y_O2_end_l</f>
        <v>0.084231401644</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Chemistry!I_ionic</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row r="125">
      <c r="A125" s="21" t="inlineStr">
        <is>
          <t xml:space="preserve">(import) non-pulse inflow to the headspace (air + N₂)</t>
        </is>
      </c>
      <c r="B125" s="19" t="inlineStr">
        <is>
          <t xml:space="preserve">F_dil_b</t>
        </is>
      </c>
      <c r="C125" s="21" t="inlineStr">
        <is>
          <t xml:space="preserve">mol/h</t>
        </is>
      </c>
      <c r="D125" s="120">
        <f>'Mass Transfer'!F_dil</f>
        <v>3.617990017297e-05</v>
      </c>
      <c r="E125" s="140" t="inlineStr">
        <is>
          <t xml:space="preserve">Import from Mass Transfer!D425 (F_dil): air ingress plus any N₂ sweep (Summary D14).</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64"/>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Geometry!stir_bar_L</f>
        <v>12.0</v>
      </c>
      <c r="E5" s="55" t="str">
        <f>HYPERLINK("#Geometry!D52","→ Geometry")</f>
        <v>→ Geometry</v>
      </c>
      <c r="F5" s="75" t="s">
        <v>2228</v>
      </c>
    </row>
    <row r="6" spans="1:6" x14ac:dyDescent="0.2">
      <c r="A6" s="21" t="s">
        <v>479</v>
      </c>
      <c r="B6" s="21" t="s">
        <v>405</v>
      </c>
      <c r="C6" s="21" t="s">
        <v>406</v>
      </c>
      <c r="D6" s="112">
        <f>Biology!O2_ceil_C</f>
        <v>0.314742903798</v>
      </c>
      <c r="E6" s="105" t="str">
        <f>HYPERLINK("#Biology!D27","→ Biology")</f>
        <v>→ Biology</v>
      </c>
      <c r="F6" s="21"/>
    </row>
    <row r="7" spans="1:6" x14ac:dyDescent="0.2">
      <c r="A7" s="21" t="s">
        <v>480</v>
      </c>
      <c r="B7" s="21" t="s">
        <v>402</v>
      </c>
      <c r="C7" s="21" t="s">
        <v>57</v>
      </c>
      <c r="D7" s="112">
        <f>Biology!O2_ceil_Pa</f>
        <v>30397.5</v>
      </c>
      <c r="E7" s="105" t="str">
        <f>HYPERLINK("#Biology!D26","→ Biology")</f>
        <v>→ Biology</v>
      </c>
      <c r="F7" s="21"/>
    </row>
    <row r="8" spans="1:6" ht="24" customHeight="1" x14ac:dyDescent="0.2">
      <c r="A8" s="21" t="s">
        <v>260</v>
      </c>
      <c r="B8" s="21" t="s">
        <v>261</v>
      </c>
      <c r="C8" s="21" t="s">
        <v>262</v>
      </c>
      <c r="D8" s="112">
        <f>Biology!T_K</f>
        <v>303.15</v>
      </c>
      <c r="E8" s="105" t="str">
        <f>HYPERLINK("#Biology!D18","→ Biology")</f>
        <v>→ Biology</v>
      </c>
      <c r="F8" s="21"/>
    </row>
    <row r="9" spans="1:6" x14ac:dyDescent="0.2">
      <c r="A9" s="21" t="s">
        <v>263</v>
      </c>
      <c r="B9" s="21" t="s">
        <v>264</v>
      </c>
      <c r="C9" s="21" t="s">
        <v>57</v>
      </c>
      <c r="D9" s="112">
        <f>Biology!P_atm</f>
        <v>101325.0</v>
      </c>
      <c r="E9" s="105" t="str">
        <f>HYPERLINK("#Biology!D19","→ Biology")</f>
        <v>→ Biology</v>
      </c>
      <c r="F9" s="21"/>
    </row>
    <row r="10" spans="1:6" x14ac:dyDescent="0.2">
      <c r="A10" s="21" t="s">
        <v>481</v>
      </c>
      <c r="B10" s="21" t="s">
        <v>370</v>
      </c>
      <c r="C10" s="21" t="s">
        <v>307</v>
      </c>
      <c r="D10" s="112">
        <f>Biology!CO2_cons</f>
        <v>1.705568716332e-05</v>
      </c>
      <c r="E10" s="105" t="str">
        <f>HYPERLINK("#Biology!D15","→ Biology")</f>
        <v>→ Biology</v>
      </c>
      <c r="F10" s="21"/>
    </row>
    <row r="11" spans="1:6" x14ac:dyDescent="0.2">
      <c r="A11" s="21" t="s">
        <v>482</v>
      </c>
      <c r="B11" s="21" t="s">
        <v>373</v>
      </c>
      <c r="C11" s="21" t="s">
        <v>307</v>
      </c>
      <c r="D11" s="112">
        <f>Biology!O2_excess</f>
        <v>1.6900954994e-05</v>
      </c>
      <c r="E11" s="105" t="str">
        <f>HYPERLINK("#Biology!D16","→ Biology")</f>
        <v>→ Biology</v>
      </c>
      <c r="F11" s="21"/>
    </row>
    <row r="12" spans="1:6" x14ac:dyDescent="0.2">
      <c r="A12" s="21" t="s">
        <v>483</v>
      </c>
      <c r="B12" s="21" t="s">
        <v>396</v>
      </c>
      <c r="C12" s="21" t="s">
        <v>387</v>
      </c>
      <c r="D12" s="112">
        <f>Biology!H_O2_T</f>
        <v>1.035423649307e-05</v>
      </c>
      <c r="E12" s="105" t="str">
        <f>HYPERLINK("#Biology!D24","→ Biology")</f>
        <v>→ Biology</v>
      </c>
      <c r="F12" s="21"/>
    </row>
    <row r="13" spans="1:6" x14ac:dyDescent="0.2">
      <c r="A13" s="21" t="s">
        <v>352</v>
      </c>
      <c r="B13" s="21" t="s">
        <v>328</v>
      </c>
      <c r="C13" s="21" t="s">
        <v>307</v>
      </c>
      <c r="D13" s="120">
        <f>Electrochemistry!O2_net_gen</f>
        <v>5.101232932065e-05</v>
      </c>
      <c r="E13" s="105" t="str">
        <f>HYPERLINK("#Electrochemistry!D29","→ Electrochemistry")</f>
        <v>→ Electrochemistry</v>
      </c>
      <c r="F13" s="21"/>
    </row>
    <row r="14" spans="1:6" x14ac:dyDescent="0.2">
      <c r="A14" s="21" t="s">
        <v>484</v>
      </c>
      <c r="B14" s="21" t="s">
        <v>192</v>
      </c>
      <c r="C14" s="21" t="s">
        <v>127</v>
      </c>
      <c r="D14" s="121">
        <f>Geometry!interface_A</f>
        <v>429.547725140567</v>
      </c>
      <c r="E14" s="105" t="str">
        <f>HYPERLINK("#Geometry!D44","→ Geometry")</f>
        <v>→ Geometry</v>
      </c>
      <c r="F14" s="21"/>
    </row>
    <row r="15" spans="1:6" x14ac:dyDescent="0.2">
      <c r="A15" s="21" t="s">
        <v>485</v>
      </c>
      <c r="B15" s="21" t="s">
        <v>123</v>
      </c>
      <c r="C15" s="21" t="s">
        <v>115</v>
      </c>
      <c r="D15" s="121">
        <f>Geometry!vial_ID</f>
        <v>25.28</v>
      </c>
      <c r="E15" s="105" t="str">
        <f>HYPERLINK("#Geometry!D20","→ Geometry")</f>
        <v>→ Geometry</v>
      </c>
      <c r="F15" s="21"/>
    </row>
    <row r="16" spans="1:6" x14ac:dyDescent="0.2">
      <c r="A16" s="21" t="s">
        <v>353</v>
      </c>
      <c r="B16" s="21" t="s">
        <v>183</v>
      </c>
      <c r="C16" s="21" t="s">
        <v>52</v>
      </c>
      <c r="D16" s="121">
        <f>Geometry!V_charge</f>
        <v>15.0</v>
      </c>
      <c r="E16" s="105" t="str">
        <f>HYPERLINK("#Geometry!D41","→ Geometry")</f>
        <v>→ Geometry</v>
      </c>
      <c r="F16" s="21"/>
    </row>
    <row r="17" spans="1:6" x14ac:dyDescent="0.2">
      <c r="A17" s="21" t="s">
        <v>486</v>
      </c>
      <c r="B17" s="21" t="s">
        <v>126</v>
      </c>
      <c r="C17" s="21" t="s">
        <v>127</v>
      </c>
      <c r="D17" s="121">
        <f>Geometry!A_x</f>
        <v>501.93100162698</v>
      </c>
      <c r="E17" s="105" t="str">
        <f>HYPERLINK("#Geometry!D21","→ Geometry")</f>
        <v>→ Geometry</v>
      </c>
      <c r="F17" s="21"/>
    </row>
    <row r="18" spans="1:6" ht="24" customHeight="1" x14ac:dyDescent="0.2">
      <c r="A18" s="21" t="s">
        <v>487</v>
      </c>
      <c r="B18" s="21" t="s">
        <v>155</v>
      </c>
      <c r="C18" s="21" t="s">
        <v>115</v>
      </c>
      <c r="D18" s="121">
        <f>Geometry!spg_ID</f>
        <v>1.5875</v>
      </c>
      <c r="E18" s="105" t="str">
        <f>HYPERLINK("#Geometry!D31","→ Geometry")</f>
        <v>→ Geometry</v>
      </c>
      <c r="F18" s="21"/>
    </row>
    <row r="19" spans="1:6" x14ac:dyDescent="0.2">
      <c r="A19" s="21" t="s">
        <v>488</v>
      </c>
      <c r="B19" s="21" t="s">
        <v>207</v>
      </c>
      <c r="C19" s="21" t="s">
        <v>52</v>
      </c>
      <c r="D19" s="121">
        <f>Geometry!headspace_V</f>
        <v>2.612428455917</v>
      </c>
      <c r="E19" s="105" t="str">
        <f>HYPERLINK("#Geometry!D49","→ Geometry")</f>
        <v>→ Geometry</v>
      </c>
      <c r="F19" s="21"/>
    </row>
    <row r="20" spans="1:6" x14ac:dyDescent="0.2">
      <c r="A20" s="21" t="s">
        <v>489</v>
      </c>
      <c r="B20" s="21" t="s">
        <v>490</v>
      </c>
      <c r="C20" s="21" t="s">
        <v>491</v>
      </c>
      <c r="D20" s="120">
        <f>Electrochemistry!por_grade_e</f>
        <v>0.0</v>
      </c>
      <c r="E20" s="105" t="str">
        <f>HYPERLINK("#Electrochemistry!D32","→ Electrochemistry")</f>
        <v>→ Electrochemistry</v>
      </c>
      <c r="F20" s="21"/>
    </row>
    <row r="21" spans="1:6" x14ac:dyDescent="0.2">
      <c r="A21" s="21" t="s">
        <v>492</v>
      </c>
      <c r="B21" s="21" t="s">
        <v>337</v>
      </c>
      <c r="C21" s="21" t="s">
        <v>111</v>
      </c>
      <c r="D21" s="120" t="str">
        <f>Electrochemistry!sparger_e</f>
        <v>Sintered</v>
      </c>
      <c r="E21" s="105" t="str">
        <f>HYPERLINK("#Electrochemistry!D31","→ Electrochemistry")</f>
        <v>→ Electrochemistry</v>
      </c>
      <c r="F21" s="21"/>
    </row>
    <row r="22" spans="1:6" ht="36" customHeight="1" x14ac:dyDescent="0.2">
      <c r="A22" s="21" t="s">
        <v>493</v>
      </c>
      <c r="B22" s="21" t="s">
        <v>455</v>
      </c>
      <c r="C22" s="21"/>
      <c r="D22" s="112" t="e">
        <f>Biology!DO_opt</f>
        <v>#N/A</v>
      </c>
      <c r="E22" s="105" t="str">
        <f>HYPERLINK("#Biology!D46","→ Biology")</f>
        <v>→ Biology</v>
      </c>
      <c r="F22" s="21"/>
    </row>
    <row r="23" spans="1:6" x14ac:dyDescent="0.2">
      <c r="A23" s="21" t="s">
        <v>494</v>
      </c>
      <c r="B23" s="21" t="s">
        <v>457</v>
      </c>
      <c r="C23" s="21"/>
      <c r="D23" s="112" t="e">
        <f>Biology!DO_impair</f>
        <v>#N/A</v>
      </c>
      <c r="E23" s="105" t="str">
        <f>HYPERLINK("#Biology!D47","→ Biology")</f>
        <v>→ Biology</v>
      </c>
      <c r="F23" s="21"/>
    </row>
    <row r="24" spans="1:6" x14ac:dyDescent="0.2">
      <c r="A24" s="21" t="s">
        <v>495</v>
      </c>
      <c r="B24" s="21" t="s">
        <v>459</v>
      </c>
      <c r="C24" s="21"/>
      <c r="D24" s="112" t="e">
        <f>Biology!DO_toxic</f>
        <v>#N/A</v>
      </c>
      <c r="E24" s="105" t="str">
        <f>HYPERLINK("#Biology!D48","→ Biology")</f>
        <v>→ Biology</v>
      </c>
      <c r="F24" s="21"/>
    </row>
    <row r="25" spans="1:6" x14ac:dyDescent="0.2">
      <c r="A25" s="21" t="s">
        <v>496</v>
      </c>
      <c r="B25" s="21" t="s">
        <v>453</v>
      </c>
      <c r="C25" s="21"/>
      <c r="D25" s="112" t="e">
        <f>Biology!DO_min</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1" t="inlineStr">
        <is>
          <t xml:space="preserve">Display of the Tate’s-law bubble diameter in mm for the sparger in use.</t>
        </is>
      </c>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6.289123826689e-05</v>
      </c>
      <c r="E53" s="89" t="s">
        <v>581</v>
      </c>
      <c r="F53" s="21"/>
    </row>
    <row r="54" spans="1:6" ht="24" customHeight="1" x14ac:dyDescent="0.2">
      <c r="A54" s="18" t="s">
        <v>582</v>
      </c>
      <c r="B54" s="19" t="s">
        <v>583</v>
      </c>
      <c r="C54" s="20" t="s">
        <v>307</v>
      </c>
      <c r="D54" s="41">
        <f>IF(d_bubble&lt;d_bubble_min_m,0,kLa_sparge*(V_charge/1000000)*O2_ceil_C*3600)</f>
        <v>0.0007104119250025</v>
      </c>
      <c r="E54" s="57" t="s">
        <v>584</v>
      </c>
      <c r="F54" s="21"/>
    </row>
    <row r="55" spans="1:6" ht="24" customHeight="1" x14ac:dyDescent="0.2">
      <c r="A55" s="86" t="s">
        <v>585</v>
      </c>
      <c r="B55" s="19" t="s">
        <v>586</v>
      </c>
      <c r="C55" s="20" t="s">
        <v>307</v>
      </c>
      <c r="D55" s="41">
        <f>strip_sparge*duty</f>
        <v>1.068906831601e-06</v>
      </c>
      <c r="E55" s="57" t="s">
        <v>587</v>
      </c>
      <c r="F55" s="21"/>
    </row>
    <row r="56" spans="1:6" x14ac:dyDescent="0.2">
      <c r="A56" s="86" t="s">
        <v>588</v>
      </c>
      <c r="B56" s="19" t="s">
        <v>589</v>
      </c>
      <c r="C56" s="20" t="s">
        <v>87</v>
      </c>
      <c r="D56" s="39">
        <f>IF(O2_excess&gt;0,strip_avg/O2_excess,NA())</f>
        <v>0.063245351046</v>
      </c>
      <c r="E56" s="57" t="s">
        <v>590</v>
      </c>
      <c r="F56" s="21"/>
    </row>
    <row r="57" spans="1:6" ht="36" customHeight="1" x14ac:dyDescent="0.2">
      <c r="A57" s="18" t="s">
        <v>591</v>
      </c>
      <c r="B57" s="19" t="s">
        <v>592</v>
      </c>
      <c r="C57" s="20" t="s">
        <v>577</v>
      </c>
      <c r="D57" s="41">
        <f>IF(O2_excess&gt;0,O2_excess/3600/((V_charge/1000000)*O2_ceil_C),NA())</f>
        <v>0.0009944009674574</v>
      </c>
      <c r="E57" s="57" t="s">
        <v>593</v>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IF(O2_excess&gt;0,O2_ceil_C*(V_charge/1000000)/O2_excess*60,"never (source &lt;= 0)")</f>
        <v>16.760509303688</v>
      </c>
      <c r="E65" s="74" t="s">
        <v>2232</v>
      </c>
      <c r="F65" s="21"/>
    </row>
    <row r="66" spans="1:6" ht="24" customHeight="1" x14ac:dyDescent="0.2">
      <c r="A66" s="18" t="s">
        <v>614</v>
      </c>
      <c r="B66" s="19" t="s">
        <v>615</v>
      </c>
      <c r="C66" s="20" t="s">
        <v>61</v>
      </c>
      <c r="D66" s="41">
        <f>IF(O2_excess-strip_avg&gt;0,O2_ceil_C*(V_charge/1000000)/(O2_excess-strip_avg)*60,"never (strip ≥ source)")</f>
        <v>17.892101546969</v>
      </c>
      <c r="E66" s="74" t="s">
        <v>2233</v>
      </c>
      <c r="F66" s="21"/>
    </row>
    <row r="67" spans="1:6" x14ac:dyDescent="0.2">
      <c r="A67" s="18" t="s">
        <v>2234</v>
      </c>
      <c r="B67" s="19" t="s">
        <v>616</v>
      </c>
      <c r="C67" s="20" t="s">
        <v>617</v>
      </c>
      <c r="D67" s="127">
        <f>Summary!stir_rpm_set</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s">
        <v>910</v>
      </c>
      <c r="F73" s="21"/>
    </row>
    <row r="74" spans="1:6" ht="24" customHeight="1" x14ac:dyDescent="0.2">
      <c r="A74" s="18" t="s">
        <v>633</v>
      </c>
      <c r="B74" s="19" t="s">
        <v>634</v>
      </c>
      <c r="C74" s="20" t="s">
        <v>87</v>
      </c>
      <c r="D74" s="41">
        <f>IF(O2_excess&gt;0,surf_strip/O2_excess,NA())</f>
        <v>7.683557983646</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7.427164963265</v>
      </c>
      <c r="E77" s="74" t="s">
        <v>2236</v>
      </c>
      <c r="F77" s="21"/>
    </row>
    <row r="78" spans="1:6" ht="26" customHeight="1" x14ac:dyDescent="0.2">
      <c r="A78" s="18" t="s">
        <v>638</v>
      </c>
      <c r="B78" s="19" t="s">
        <v>639</v>
      </c>
      <c r="C78" s="20" t="s">
        <v>87</v>
      </c>
      <c r="D78" s="41">
        <f>IF(O2_excess&gt;0,(strip_avg+surf_strip)/O2_excess,NA())</f>
        <v>7.746803334691</v>
      </c>
      <c r="E78" s="90" t="s">
        <v>640</v>
      </c>
      <c r="F78" s="21"/>
    </row>
    <row r="79" spans="1:6" x14ac:dyDescent="0.2">
      <c r="A79" s="18" t="s">
        <v>641</v>
      </c>
      <c r="B79" s="19" t="s">
        <v>642</v>
      </c>
      <c r="C79" s="20" t="s">
        <v>61</v>
      </c>
      <c r="D79" s="41">
        <f>O2_ceil_C*(V_charge/1000000)/O2_net_gen*60</f>
        <v>5.552944105682</v>
      </c>
      <c r="E79" s="74" t="s">
        <v>643</v>
      </c>
      <c r="F79" s="21"/>
    </row>
    <row r="80" spans="1:6" ht="36" customHeight="1" x14ac:dyDescent="0.2">
      <c r="A80" s="18" t="s">
        <v>644</v>
      </c>
      <c r="B80" s="19" t="s">
        <v>645</v>
      </c>
      <c r="C80" s="20" t="s">
        <v>61</v>
      </c>
      <c r="D80" s="41" t="str">
        <f>IF(O2_net_gen-strip_avg-surf_strip&gt;0,O2_ceil_C*(V_charge/1000000)/(O2_net_gen-strip_avg-surf_strip)*60,"never (removal ≥ source)")</f>
        <v>never (removal ≥ source)</v>
      </c>
      <c r="E80" s="53" t="s">
        <v>2237</v>
      </c>
      <c r="F80" s="21"/>
    </row>
    <row r="81" spans="1:6" ht="24" customHeight="1" x14ac:dyDescent="0.2">
      <c r="A81" s="18" t="s">
        <v>646</v>
      </c>
      <c r="B81" s="19" t="s">
        <v>647</v>
      </c>
      <c r="C81" s="20" t="s">
        <v>111</v>
      </c>
      <c r="D81" s="106" t="s">
        <v>648</v>
      </c>
      <c r="E81" s="52" t="inlineStr">
        <is>
          <t xml:space="preserve">Set by the Summary 'Your setting' override (G18/G20) when filled; otherwise this Manual/Optimal selector + the manual cells below apply. Optimal = recommended schedule.</t>
        </is>
      </c>
      <c r="F81" s="21"/>
    </row>
    <row r="82" spans="1:6" ht="24" x14ac:dyDescent="0.2">
      <c r="A82" s="18" t="s">
        <v>649</v>
      </c>
      <c r="B82" s="19" t="s">
        <v>650</v>
      </c>
      <c r="C82" s="20" t="s">
        <v>12</v>
      </c>
      <c r="D82" s="106">
        <v>1</v>
      </c>
      <c r="E82" s="52" t="inlineStr">
        <is>
          <t xml:space="preserve">Your pulse length when sched_mode=Manual. Easiest: type into the Summary 'Your setting' column (G18) instead — it overrides everything.</t>
        </is>
      </c>
      <c r="F82" s="21"/>
    </row>
    <row r="83" spans="1:6" ht="24" x14ac:dyDescent="0.2">
      <c r="A83" s="18" t="s">
        <v>651</v>
      </c>
      <c r="B83" s="19" t="s">
        <v>652</v>
      </c>
      <c r="C83" s="20" t="s">
        <v>61</v>
      </c>
      <c r="D83" s="106">
        <v>1</v>
      </c>
      <c r="E83" s="52" t="inlineStr">
        <is>
          <t xml:space="preserve">Your interval when sched_mode=Manual. Easiest: type into the Summary 'Your setting' column (G20) instead — it overrides everything.</t>
        </is>
      </c>
      <c r="F83" s="21"/>
    </row>
    <row r="84" spans="1:6" ht="24" x14ac:dyDescent="0.2">
      <c r="A84" s="18" t="s">
        <v>653</v>
      </c>
      <c r="B84" s="19" t="s">
        <v>654</v>
      </c>
      <c r="C84" s="20" t="s">
        <v>111</v>
      </c>
      <c r="D84" s="128">
        <f>Biology!DO_frac_target</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0.001560654623</v>
      </c>
      <c r="E87" s="74" t="s">
        <v>965</v>
      </c>
      <c r="F87" s="21"/>
    </row>
    <row r="88" spans="1:6" ht="24" customHeight="1" x14ac:dyDescent="0.2">
      <c r="A88" s="18" t="s">
        <v>663</v>
      </c>
      <c r="B88" s="19" t="s">
        <v>664</v>
      </c>
      <c r="C88" s="20" t="s">
        <v>111</v>
      </c>
      <c r="D88" s="41">
        <f>MAX(duty_carbon,duty_O2vent)</f>
        <v>0.001560654623</v>
      </c>
      <c r="E88" s="53" t="s">
        <v>2239</v>
      </c>
      <c r="F88" s="21"/>
    </row>
    <row r="89" spans="1:6" ht="60" x14ac:dyDescent="0.2">
      <c r="A89" s="18" t="s">
        <v>2240</v>
      </c>
      <c r="B89" s="19" t="s">
        <v>665</v>
      </c>
      <c r="C89" s="20" t="s">
        <v>61</v>
      </c>
      <c r="D89" s="41">
        <f>target_DO_frac*O2_ceil_C*(V_charge/1000000)/O2_src_guard*60</f>
        <v>1.255448232589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ph_unreach,NA(),MIN(spg_int_carbon,IF(ISNUMBER(spg_int_DO),spg_int_DO,spg_int_max),IF(ISNUMBER(spg_int_pH_opt),spg_int_pH_opt,spg_int_carbon),IF(O2_sizing_phase=phase_name_2,IF(ISNUMBER(spg_int_H2safe_opt),spg_int_H2safe_opt,spg_int_carbon),spg_int_carbon))))</f>
        <v>7.43645448177</v>
      </c>
      <c r="E91" s="129" t="inlineStr">
        <is>
          <t xml:space="preserve">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is>
      </c>
      <c r="F91" s="21"/>
    </row>
    <row r="92" spans="1:6" x14ac:dyDescent="0.2">
      <c r="A92" s="18" t="s">
        <v>670</v>
      </c>
      <c r="B92" s="19" t="s">
        <v>671</v>
      </c>
      <c r="C92" s="20" t="s">
        <v>12</v>
      </c>
      <c r="D92" s="41">
        <f>spg_int_opt*60</f>
        <v>446.187268906222</v>
      </c>
      <c r="E92" s="129" t="s">
        <v>672</v>
      </c>
      <c r="F92" s="21"/>
    </row>
    <row r="93" spans="1:6" ht="24" x14ac:dyDescent="0.2">
      <c r="A93" s="18" t="s">
        <v>2244</v>
      </c>
      <c r="B93" s="19" t="s">
        <v>673</v>
      </c>
      <c r="C93" s="20" t="s">
        <v>111</v>
      </c>
      <c r="D93" s="41">
        <f>spg_dur_eq_opt/(spg_int_opt*60)</f>
        <v>0.001758259602</v>
      </c>
      <c r="E93" s="74" t="s">
        <v>2245</v>
      </c>
      <c r="F93" s="21"/>
    </row>
    <row r="94" spans="1:6" ht="36" x14ac:dyDescent="0.2">
      <c r="A94" s="18" t="s">
        <v>674</v>
      </c>
      <c r="B94" s="19" t="s">
        <v>675</v>
      </c>
      <c r="C94" s="20" t="s">
        <v>111</v>
      </c>
      <c r="D94" s="41" t="str">
        <f>IF(ISNA(F_vent_ex+O2_src_sched),"INVALID SELECTOR (check Summary D2–D5, D11, D12)",IF(ph_unreach,"pH CEILING UNREACHABLE – reduce the N₂ or the added alkalinity",IF(AND(O2_sizing_phase=phase_name_2,ISNUMBER(spg_int_H2safe_opt),spg_int_opt=spg_int_H2safe_opt),"H₂ FLAMMABILITY SCREEN (lag sizing; Biology D92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0.0008483937115674</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0.00150462963</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2.27402079505</v>
      </c>
      <c r="E108" s="102"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is>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51" t="inlineStr">
        <is>
          <t xml:space="preserve">Cycle-mean DO against the organism minimum (Biology D45); "unknown" while the minimum is a data gap.</t>
        </is>
      </c>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51" t="inlineStr">
        <is>
          <t xml:space="preserve">The interval at which the CO₂ supply is carbon_margin_min × the fixation demand (duty_carbon, D86), on the optimal-pulse basis; an upper bound only, since the pool can still run dry within a long cycle (D435).</t>
        </is>
      </c>
      <c r="F112" s="21"/>
    </row>
    <row r="113" spans="1:6" x14ac:dyDescent="0.2">
      <c r="A113" s="21" t="s">
        <v>712</v>
      </c>
      <c r="B113" s="21" t="s">
        <v>713</v>
      </c>
      <c r="C113" s="21"/>
      <c r="D113" s="25" t="str">
        <f>IF(DO_at_carbon&lt;=DO_target,"Carbon supply alone holds the DO target – the interval may relax to "&amp;TEXT(MIN(spg_int_carbon,IF(ISNUMBER(spg_int_pH_opt),spg_int_pH_opt,spg_int_carbon)),"0")&amp;"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(185 min) the cycle-mean DO would be ≈13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Summary!Reactor_sel</f>
        <v>ed04</v>
      </c>
      <c r="E115" s="51" t="inlineStr">
        <is>
          <t xml:space="preserve">The Summary reactor, imported as the key for the CO2 flows rows.</t>
        </is>
      </c>
      <c r="F115" s="21"/>
    </row>
    <row r="116" spans="1:6" x14ac:dyDescent="0.2">
      <c r="A116" s="21" t="s">
        <v>715</v>
      </c>
      <c r="B116" s="21" t="s">
        <v>716</v>
      </c>
      <c r="C116" s="21"/>
      <c r="D116" s="131">
        <f>SUMPRODUCT(MAX((co2f_reactor=Reactor)*(co2f_nominal&gt;0)*co2f_date))</f>
        <v>46190.0</v>
      </c>
      <c r="E116" s="51" t="inlineStr">
        <is>
          <t xml:space="preserve">Most recent date in CO2 flows for the selected reactor; only rows of that date set the flow (D117).</t>
        </is>
      </c>
      <c r="F116" s="21"/>
    </row>
    <row r="117" spans="1:6" x14ac:dyDescent="0.2">
      <c r="A117" s="21" t="s">
        <v>717</v>
      </c>
      <c r="B117" s="21" t="s">
        <v>718</v>
      </c>
      <c r="C117" s="21" t="s">
        <v>1286</v>
      </c>
      <c r="D117" s="131">
        <f>IF(ISNUMBER(cal_flow),cal_flow,SUMPRODUCT((co2f_reactor=Reactor)*(co2f_date=latest_date)*co2f_nominal)/MAX(1,SUMPRODUCT((co2f_reactor=Reactor)*(co2f_date=latest_date)*(co2f_nominal&gt;0)*1)))</f>
        <v>3.33</v>
      </c>
      <c r="E117" s="102" t="s">
        <v>2251</v>
      </c>
      <c r="F117" s="21"/>
    </row>
    <row r="118" spans="1:6" x14ac:dyDescent="0.2">
      <c r="A118" s="21" t="s">
        <v>719</v>
      </c>
      <c r="B118" s="21" t="s">
        <v>720</v>
      </c>
      <c r="C118" s="21" t="s">
        <v>12</v>
      </c>
      <c r="D118" s="131">
        <f>IF(ISNUMBER(cal_pulse_floor),cal_pulse_floor,IF(SUMPRODUCT((co2f_reactor=Reactor)*(co2f_nominal&gt;0)*1)&gt;0,SUMPRODUCT((co2f_reactor=Reactor)*(co2f_date=latest_date)*co2f_minpulse)/MAX(1,SUMPRODUCT((co2f_reactor=Reactor)*(co2f_date=latest_date)*(co2f_nominal&gt;0)*1)),pulse_floor_default))</f>
        <v>0.25</v>
      </c>
      <c r="E118" s="102" t="s">
        <v>2252</v>
      </c>
      <c r="F118" s="21"/>
    </row>
    <row r="119" spans="1:6" x14ac:dyDescent="0.2">
      <c r="A119" s="21" t="s">
        <v>721</v>
      </c>
      <c r="B119" s="21" t="s">
        <v>722</v>
      </c>
      <c r="C119" s="21" t="s">
        <v>723</v>
      </c>
      <c r="D119" s="131">
        <f>SUMPRODUCT((co2f_reactor=Reactor)*(co2f_nominal&gt;0)*1)+IF(ISNUMBER(cal_flow),1,0)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51" t="inlineStr">
        <is>
          <t xml:space="preserve">Text verdict from has_cal (D119) and the flow source in use.</t>
        </is>
      </c>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51" t="inlineStr">
        <is>
          <t xml:space="preserve">Pulse in use: Summary override (G18) &gt; Manual cell (D82) &gt; the rounded optimum (D242); #N/A for an unlisted schedule mode.</t>
        </is>
      </c>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7.2</v>
      </c>
      <c r="E122" s="51" t="inlineStr">
        <is>
          <t xml:space="preserve">Interval in use: Summary override (G20) &gt; Manual cell (D83) &gt; the rounded executable interval (D420); #N/A when no gap is left or the mode is unlisted.</t>
        </is>
      </c>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8.333333333333</v>
      </c>
      <c r="E124" s="51" t="inlineStr">
        <is>
          <t xml:space="preserve">60 ÷ the interval in use.</t>
        </is>
      </c>
      <c r="F124" s="21"/>
    </row>
    <row r="125" spans="1:6" x14ac:dyDescent="0.2">
      <c r="A125" s="21" t="s">
        <v>736</v>
      </c>
      <c r="B125" s="21" t="s">
        <v>737</v>
      </c>
      <c r="C125" s="21" t="s">
        <v>738</v>
      </c>
      <c r="D125" s="25">
        <f>pulses_h*24</f>
        <v>200.0</v>
      </c>
      <c r="E125" s="51" t="inlineStr">
        <is>
          <t xml:space="preserve">Pulses per hour × 24.</t>
        </is>
      </c>
      <c r="F125" s="21"/>
    </row>
    <row r="126" spans="1:6" x14ac:dyDescent="0.2">
      <c r="A126" s="21" t="s">
        <v>739</v>
      </c>
      <c r="B126" s="21" t="s">
        <v>740</v>
      </c>
      <c r="C126" s="21" t="s">
        <v>87</v>
      </c>
      <c r="D126" s="25">
        <f>IF(CO2_cons&gt;0,CO2_supply/CO2_cons,NA())</f>
        <v>49.742569938305</v>
      </c>
      <c r="E126" s="51" t="inlineStr">
        <is>
          <t xml:space="preserve">CO₂ delivered ÷ carbon fixed (D100 ÷ Biology D15); ≥ 1 means supply covers demand on average.</t>
        </is>
      </c>
      <c r="F126" s="21"/>
    </row>
    <row r="127" spans="1:6" x14ac:dyDescent="0.2">
      <c r="A127" s="21" t="s">
        <v>741</v>
      </c>
      <c r="B127" s="21" t="s">
        <v>742</v>
      </c>
      <c r="C127" s="21" t="s">
        <v>732</v>
      </c>
      <c r="D127" s="25">
        <f>O2_excess/60*spg_int</f>
        <v>2.028114599281e-06</v>
      </c>
      <c r="E127" s="51" t="inlineStr">
        <is>
          <t xml:space="preserve">Growth O₂ surplus (Biology D16) accumulated over one interval in use.</t>
        </is>
      </c>
      <c r="F127" s="21"/>
    </row>
    <row r="128" spans="1:6" x14ac:dyDescent="0.2">
      <c r="A128" s="21" t="s">
        <v>743</v>
      </c>
      <c r="B128" s="21" t="s">
        <v>744</v>
      </c>
      <c r="C128" s="21" t="s">
        <v>732</v>
      </c>
      <c r="D128" s="25">
        <f>strip_sparge/3600*spg_dur</f>
        <v>1.282688197921e-07</v>
      </c>
      <c r="E128" s="51" t="inlineStr">
        <is>
          <t xml:space="preserve">Bubble-strip removal per pulse: strip_sparge (mol/h at full sparge) × the pulse length; informative only.</t>
        </is>
      </c>
      <c r="F128" s="21"/>
    </row>
    <row r="129" spans="1:6" x14ac:dyDescent="0.2">
      <c r="A129" s="21" t="s">
        <v>745</v>
      </c>
      <c r="B129" s="21" t="s">
        <v>746</v>
      </c>
      <c r="C129" s="21" t="s">
        <v>87</v>
      </c>
      <c r="D129" s="25">
        <f>IF(O2_accum&gt;0,O2_strip_pulse/O2_accum,NA())</f>
        <v>0.063245351046</v>
      </c>
      <c r="E129" s="51" t="inlineStr">
        <is>
          <t xml:space="preserve">Bubble-strip removal ÷ O₂ accumulated per interval; the headspace balance (§300), not this ratio, sizes the schedule.</t>
        </is>
      </c>
      <c r="F129" s="21"/>
    </row>
    <row r="130" spans="1:6" x14ac:dyDescent="0.2">
      <c r="A130" s="21" t="s">
        <v>747</v>
      </c>
      <c r="B130" s="21" t="s">
        <v>748</v>
      </c>
      <c r="C130" s="21"/>
      <c r="D130" s="25" t="str">
        <f>IF(spg_dur&gt;=pulse_floor,"OK","LOW")</f>
        <v>OK</v>
      </c>
      <c r="E130" s="51" t="inlineStr">
        <is>
          <t xml:space="preserve">Pulse in use against the solenoid floor (D99); LOW = below the shortest reliable pulse.</t>
        </is>
      </c>
      <c r="F130" s="21"/>
    </row>
    <row r="131" spans="1:6" x14ac:dyDescent="0.2">
      <c r="A131" s="21" t="s">
        <v>2255</v>
      </c>
      <c r="B131" s="21" t="s">
        <v>749</v>
      </c>
      <c r="C131" s="21" t="s">
        <v>85</v>
      </c>
      <c r="D131" s="25">
        <f>kLa_surf_req/a_surf</f>
        <v>0.0001535910347333</v>
      </c>
      <c r="E131" s="117" t="s">
        <v>1637</v>
      </c>
      <c r="F131" s="21"/>
    </row>
    <row r="132" spans="1:6" ht="24" x14ac:dyDescent="0.2">
      <c r="A132" s="18" t="s">
        <v>899</v>
      </c>
      <c r="B132" s="19" t="s">
        <v>900</v>
      </c>
      <c r="C132" s="20" t="s">
        <v>901</v>
      </c>
      <c r="D132" s="25">
        <f>O2_net_gen</f>
        <v>5.101232932065e-05</v>
      </c>
      <c r="E132" s="53" t="s">
        <v>902</v>
      </c>
      <c r="F132" s="21"/>
    </row>
    <row r="133" spans="1:6" ht="36" x14ac:dyDescent="0.2">
      <c r="A133" s="18" t="s">
        <v>1749</v>
      </c>
      <c r="B133" s="19" t="s">
        <v>903</v>
      </c>
      <c r="C133" s="20" t="s">
        <v>904</v>
      </c>
      <c r="D133" s="25">
        <f>DO_avg_sched</f>
        <v>0.07106759157</v>
      </c>
      <c r="E133" s="53" t="s">
        <v>2256</v>
      </c>
      <c r="F133" s="21"/>
    </row>
    <row r="134" spans="1:6" ht="24" x14ac:dyDescent="0.2">
      <c r="A134" s="21" t="s">
        <v>905</v>
      </c>
      <c r="B134" s="21" t="s">
        <v>906</v>
      </c>
      <c r="C134" s="21" t="s">
        <v>907</v>
      </c>
      <c r="D134" s="25"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7.4 min; confirm by measuring kL_surf</v>
      </c>
      <c r="E134" s="53" t="s">
        <v>2257</v>
      </c>
      <c r="F134" s="21"/>
    </row>
    <row r="135" spans="1:6" ht="48" x14ac:dyDescent="0.2">
      <c r="A135" s="21" t="s">
        <v>2258</v>
      </c>
      <c r="B135" s="21" t="s">
        <v>908</v>
      </c>
      <c r="C135" s="21" t="s">
        <v>909</v>
      </c>
      <c r="D135" s="25">
        <f>DO_avg_l</f>
        <v>0.175051782538</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inlineStr">
        <is>
          <t xml:space="preserve">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is>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431.35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0.025552754205</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IF(ISNUMBER(DO_opt),DO_opt/M_O2,target_DO_frac*O2_ceil_C)</f>
        <v>0.071159265207</v>
      </c>
      <c r="E179" s="74" t="s">
        <v>2271</v>
      </c>
    </row>
    <row r="180" spans="1:5" ht="48" x14ac:dyDescent="0.2">
      <c r="A180" t="s">
        <v>1616</v>
      </c>
      <c r="B180" s="19" t="s">
        <v>1617</v>
      </c>
      <c r="C180" s="20" t="s">
        <v>909</v>
      </c>
      <c r="D180" s="111">
        <f>O2_src_sched/(kLa_surf_used*3600*(V_charge/1000000))</f>
        <v>0.04096317155</v>
      </c>
      <c r="E180" s="51" t="s">
        <v>2272</v>
      </c>
    </row>
    <row r="181" spans="1:5" ht="24" x14ac:dyDescent="0.2">
      <c r="A181" t="s">
        <v>1618</v>
      </c>
      <c r="B181" s="19" t="s">
        <v>1619</v>
      </c>
      <c r="C181" s="20" t="s">
        <v>909</v>
      </c>
      <c r="D181" s="111">
        <f>O2_src_l/(kLa_surf_used*3600*(V_charge/1000000))</f>
        <v>0.116353217804</v>
      </c>
      <c r="E181" s="51" t="s">
        <v>2273</v>
      </c>
    </row>
    <row r="182" spans="1:5" ht="36" x14ac:dyDescent="0.2">
      <c r="A182" t="s">
        <v>1620</v>
      </c>
      <c r="B182" s="19" t="s">
        <v>1621</v>
      </c>
      <c r="C182" s="20" t="s">
        <v>909</v>
      </c>
      <c r="D182" s="111">
        <f>DO_target-DO_surf_excess</f>
        <v>0.030196093657</v>
      </c>
      <c r="E182" s="51" t="s">
        <v>1622</v>
      </c>
    </row>
    <row r="183" spans="1:5" ht="24" x14ac:dyDescent="0.2">
      <c r="A183" t="s">
        <v>1623</v>
      </c>
      <c r="B183" s="19" t="s">
        <v>1624</v>
      </c>
      <c r="C183" s="20" t="s">
        <v>1140</v>
      </c>
      <c r="D183" s="111">
        <f>IF(hs_O2_allow&gt;0,hs_O2_allow/(H_O2_T*P_dry),NA())</f>
        <v>0.030037623146</v>
      </c>
      <c r="E183" s="51" t="s">
        <v>1625</v>
      </c>
    </row>
    <row r="184" spans="1:5" ht="60" x14ac:dyDescent="0.2">
      <c r="A184" t="s">
        <v>1626</v>
      </c>
      <c r="B184" s="19" t="s">
        <v>1627</v>
      </c>
      <c r="C184" s="20" t="s">
        <v>1140</v>
      </c>
      <c r="D184" s="111">
        <f>IF(ISNUMBER(y_O2_star),MAX(0,((O2_src_sched+y_O2_air*F_vent_ex)*saw_factor/y_O2_star-F_dil-O2_src_sched-H2_src_sched+CO2_fix_sched)/CO2_rate_full),NA())</f>
        <v>0.001758259602</v>
      </c>
      <c r="E184" s="51" t="s">
        <v>2274</v>
      </c>
    </row>
    <row r="185" spans="1:5" ht="24" x14ac:dyDescent="0.2">
      <c r="A185" t="s">
        <v>1628</v>
      </c>
      <c r="B185" s="19" t="s">
        <v>1629</v>
      </c>
      <c r="C185" s="20" t="s">
        <v>873</v>
      </c>
      <c r="D185" s="111">
        <f>IF(ISNUMBER(duty_DO),IF(duty_DO&gt;0,spg_dur_eq_opt/(60*duty_DO),spg_int_carbon),NA())</f>
        <v>7.43645448177</v>
      </c>
      <c r="E185" s="51" t="s">
        <v>1630</v>
      </c>
    </row>
    <row r="186" spans="1:5" ht="48" x14ac:dyDescent="0.2">
      <c r="A186" t="s">
        <v>1631</v>
      </c>
      <c r="B186" s="19" t="s">
        <v>1632</v>
      </c>
      <c r="C186" s="20" t="s">
        <v>577</v>
      </c>
      <c r="D186" s="111">
        <f>O2_src_sched/(DO_target*3600*(V_charge/1000000))</f>
        <v>0.004398311971</v>
      </c>
      <c r="E186" s="51" t="inlineStr">
        <is>
          <t xml:space="preserve">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is>
      </c>
    </row>
    <row r="187" spans="1:5" ht="36" x14ac:dyDescent="0.2">
      <c r="A187" t="s">
        <v>1633</v>
      </c>
      <c r="B187" s="19" t="s">
        <v>1634</v>
      </c>
      <c r="C187" s="20" t="s">
        <v>1140</v>
      </c>
      <c r="D187" s="111">
        <f>IF(O2_sizing_phase=phase_name_1,y_O2_mf_g,IF(O2_sizing_phase=phase_name_2,y_O2_mf_l,NA()))</f>
        <v>0.02767992028</v>
      </c>
      <c r="E187" s="51" t="s">
        <v>2276</v>
      </c>
    </row>
    <row r="188" spans="1:5" ht="36" x14ac:dyDescent="0.2">
      <c r="A188" t="s">
        <v>1635</v>
      </c>
      <c r="B188" s="19" t="s">
        <v>1636</v>
      </c>
      <c r="C188" s="20" t="s">
        <v>909</v>
      </c>
      <c r="D188" s="111">
        <f>IF(ISNUMBER(y_O2_actual),H_O2_T*y_O2_actual*P_dry,NA())</f>
        <v>0.027825952177</v>
      </c>
      <c r="E188" s="51" t="s">
        <v>2277</v>
      </c>
    </row>
    <row r="190" spans="1:5" x14ac:dyDescent="0.2">
      <c r="A190" s="6" t="s">
        <v>2278</v>
      </c>
    </row>
    <row r="191" spans="1:5" x14ac:dyDescent="0.2">
      <c r="A191" t="s">
        <v>1639</v>
      </c>
      <c r="B191" s="19" t="s">
        <v>1640</v>
      </c>
      <c r="C191" s="20" t="s">
        <v>387</v>
      </c>
      <c r="D191" s="111">
        <f>Biology!H_CO2_T</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0.993755986726</v>
      </c>
      <c r="E197" s="74" t="s">
        <v>1654</v>
      </c>
    </row>
    <row r="198" spans="1:5" ht="36" x14ac:dyDescent="0.2">
      <c r="A198" t="s">
        <v>1655</v>
      </c>
      <c r="B198" s="19" t="s">
        <v>1656</v>
      </c>
      <c r="C198" s="20" t="s">
        <v>909</v>
      </c>
      <c r="D198" s="111">
        <f>(pool_D_gap+pool_b*pool_e)/(1-pool_ret*pool_e)</f>
        <v>25.431470582273</v>
      </c>
      <c r="E198" s="74" t="s">
        <v>2284</v>
      </c>
    </row>
    <row r="199" spans="1:5" ht="24" x14ac:dyDescent="0.2">
      <c r="A199" t="s">
        <v>1657</v>
      </c>
      <c r="B199" s="19" t="s">
        <v>1658</v>
      </c>
      <c r="C199" s="20" t="s">
        <v>909</v>
      </c>
      <c r="D199" s="111">
        <f>pool_ret*C_cycle_start+pool_b</f>
        <v>25.674291315914</v>
      </c>
      <c r="E199" s="74" t="s">
        <v>2285</v>
      </c>
    </row>
    <row r="200" spans="1:5" ht="36" x14ac:dyDescent="0.2">
      <c r="A200" t="s">
        <v>1659</v>
      </c>
      <c r="B200" s="19" t="s">
        <v>1660</v>
      </c>
      <c r="C200" s="20" t="s">
        <v>909</v>
      </c>
      <c r="D200" s="111">
        <f>C_cycle_peak*pool_phi+pool_D_raw*pool_psi</f>
        <v>25.552754205077</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Biology!T_ref</f>
        <v>298.15</v>
      </c>
      <c r="E209" s="140" t="s">
        <v>1988</v>
      </c>
    </row>
    <row r="210" spans="1:5" x14ac:dyDescent="0.2">
      <c r="A210" s="21" t="s">
        <v>2288</v>
      </c>
      <c r="B210" s="21" t="s">
        <v>2122</v>
      </c>
      <c r="C210" s="21" t="s">
        <v>262</v>
      </c>
      <c r="D210" s="112">
        <f>Biology!T_zero_C</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IF(F_dil+CO2_rate_full*duty_carbon+O2_src_sched+H2_src_sched-CO2_fix_sched&gt;0,DO_surf_excess+H_O2_T*P_dry*MIN(1,saw_factor*(O2_src_sched+y_O2_air*F_vent_ex)/(F_dil+CO2_rate_full*duty_carbon+O2_src_sched+H2_src_sched-CO2_fix_sched)),DO_surf_excess+H_O2_T*P_dry)</f>
        <v>0.421278376056</v>
      </c>
      <c r="E232" s="74" t="s">
        <v>2311</v>
      </c>
    </row>
    <row r="240" spans="1:5" x14ac:dyDescent="0.2">
      <c r="A240" s="6" t="s">
        <v>2312</v>
      </c>
    </row>
    <row r="241" spans="1:5" ht="24" x14ac:dyDescent="0.2">
      <c r="A241" t="inlineStr">
        <is>
          <t xml:space="preserve">(import) Solenoid pulse command resolution</t>
        </is>
      </c>
      <c r="B241" s="19" t="s">
        <v>2314</v>
      </c>
      <c r="C241" s="20" t="s">
        <v>12</v>
      </c>
      <c r="D241" s="111">
        <f>Summary!pulse_res_set</f>
        <v>0.05</v>
      </c>
      <c r="E241" s="140" t="inlineStr">
        <is>
          <t xml:space="preserve">Import from Summary!D15 (pulse_res_set): an input on the Summary (owner, T8); same solenoid as ed04.</t>
        </is>
      </c>
    </row>
    <row r="242" spans="1:5" x14ac:dyDescent="0.2">
      <c r="A242" t="s">
        <v>2316</v>
      </c>
      <c r="B242" s="19" t="s">
        <v>2317</v>
      </c>
      <c r="C242" s="20" t="s">
        <v>12</v>
      </c>
      <c r="D242" s="111">
        <f>MAX(CEILING(pulse_floor,pulse_res),MROUND(spg_dur_opt,pulse_res))</f>
        <v>0.65</v>
      </c>
      <c r="E242" s="51" t="inlineStr">
        <is>
          <t xml:space="preserve">Pulse as it can actually be commanded: the optimum rounded to the resolution, never below the solenoid floor rounded up to the resolution. Summary D19 shows it.</t>
        </is>
      </c>
    </row>
    <row r="300" spans="1:5" x14ac:dyDescent="0.2">
      <c r="A300" s="6" t="s">
        <v>2319</v>
      </c>
    </row>
    <row r="301" spans="1:5" x14ac:dyDescent="0.2">
      <c r="A301" s="21" t="s">
        <v>2320</v>
      </c>
      <c r="B301" s="21" t="s">
        <v>2321</v>
      </c>
      <c r="C301" s="21" t="s">
        <v>111</v>
      </c>
      <c r="D301" s="104" t="str">
        <f>Summary!vent_model_sel</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Summary!O2_phase_sel</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1.6900954994e-05</v>
      </c>
      <c r="E309" s="51" t="s">
        <v>2349</v>
      </c>
    </row>
    <row r="310" spans="1:5" ht="36" x14ac:dyDescent="0.2">
      <c r="A310" s="18" t="s">
        <v>2350</v>
      </c>
      <c r="B310" s="19" t="s">
        <v>2351</v>
      </c>
      <c r="C310" s="20" t="s">
        <v>307</v>
      </c>
      <c r="D310" s="41">
        <f>O2_net_lag_mt</f>
        <v>4.800606064204e-05</v>
      </c>
      <c r="E310" s="51" t="s">
        <v>2352</v>
      </c>
    </row>
    <row r="311" spans="1:5" x14ac:dyDescent="0.2">
      <c r="A311" s="21" t="s">
        <v>351</v>
      </c>
      <c r="B311" s="21" t="s">
        <v>306</v>
      </c>
      <c r="C311" s="21" t="s">
        <v>307</v>
      </c>
      <c r="D311" s="112">
        <f>Electrochemistry!rH2_gen</f>
        <v>0.0001023341229799</v>
      </c>
      <c r="E311" s="140" t="s">
        <v>2353</v>
      </c>
    </row>
    <row r="312" spans="1:5" x14ac:dyDescent="0.2">
      <c r="A312" s="21" t="s">
        <v>2354</v>
      </c>
      <c r="B312" s="21" t="s">
        <v>365</v>
      </c>
      <c r="C312" s="21" t="s">
        <v>307</v>
      </c>
      <c r="D312" s="112">
        <f>Biology!H2_cons</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1.6900954994e-05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inlineStr">
        <is>
          <t xml:space="preserve">Headspace volumes per pulse (pulse in use, for sizing)</t>
        </is>
      </c>
      <c r="B320" s="19" t="s">
        <v>2378</v>
      </c>
      <c r="C320" s="20" t="s">
        <v>111</v>
      </c>
      <c r="D320" s="41">
        <f>nCO2_rate*spg_dur_eq/n_hs_gas</f>
        <v>1.011716701753</v>
      </c>
      <c r="E320" s="51" t="inlineStr">
        <is>
          <t xml:space="preserve">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is>
      </c>
    </row>
    <row r="321" spans="1:5" ht="36" x14ac:dyDescent="0.2">
      <c r="A321" s="18" t="inlineStr">
        <is>
          <t xml:space="preserve">Headspace retained through the pulse in use (for sizing)</t>
        </is>
      </c>
      <c r="B321" s="19" t="s">
        <v>2381</v>
      </c>
      <c r="C321" s="20" t="s">
        <v>111</v>
      </c>
      <c r="D321" s="41">
        <f>EXP(-flush_vol_opt)</f>
        <v>0.363594260592</v>
      </c>
      <c r="E321" s="52" t="s">
        <v>2382</v>
      </c>
    </row>
    <row r="322" spans="1:5" ht="60" x14ac:dyDescent="0.2">
      <c r="A322" s="18" t="s">
        <v>2383</v>
      </c>
      <c r="B322" s="19" t="s">
        <v>2384</v>
      </c>
      <c r="C322" s="20" t="s">
        <v>111</v>
      </c>
      <c r="D322" s="41">
        <f>flush_vol_opt*(1+flush_ret_opt)/(2*(1-flush_ret_opt))</f>
        <v>1.083877000496</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0.119819444444</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2.448064408024e-05</v>
      </c>
      <c r="E327" s="51" t="s">
        <v>2400</v>
      </c>
    </row>
    <row r="328" spans="1:5" ht="24" x14ac:dyDescent="0.2">
      <c r="A328" s="18" t="s">
        <v>2401</v>
      </c>
      <c r="B328" s="19" t="s">
        <v>2402</v>
      </c>
      <c r="C328" s="20" t="s">
        <v>307</v>
      </c>
      <c r="D328" s="41">
        <f>CO2_supply+O2_src_g+H2_src_g-CO2_fix_g</f>
        <v>0.000848238979398</v>
      </c>
      <c r="E328" s="51" t="s">
        <v>2403</v>
      </c>
    </row>
    <row r="329" spans="1:5" ht="36" x14ac:dyDescent="0.2">
      <c r="A329" s="18" t="s">
        <v>2404</v>
      </c>
      <c r="B329" s="19" t="s">
        <v>2405</v>
      </c>
      <c r="C329" s="20" t="s">
        <v>111</v>
      </c>
      <c r="D329" s="41">
        <f>IF(F_dil+F_hs_net_g&gt;0,S_O2_g/(F_dil+F_hs_net_g),NA())</f>
        <v>0.02767992028</v>
      </c>
      <c r="E329" s="51" t="s">
        <v>2406</v>
      </c>
    </row>
    <row r="330" spans="1:5" x14ac:dyDescent="0.2">
      <c r="A330" s="18" t="s">
        <v>2407</v>
      </c>
      <c r="B330" s="19" t="s">
        <v>2408</v>
      </c>
      <c r="C330" s="20" t="s">
        <v>111</v>
      </c>
      <c r="D330" s="41">
        <f>IF(F_dil+F_hs_net_g&gt;0,H2_src_g/(F_dil+F_hs_net_g),NA())</f>
        <v>0.0</v>
      </c>
      <c r="E330" s="51" t="s">
        <v>2409</v>
      </c>
    </row>
    <row r="331" spans="1:5" ht="36" x14ac:dyDescent="0.2">
      <c r="A331" s="18" t="s">
        <v>2410</v>
      </c>
      <c r="B331" s="19" t="s">
        <v>2411</v>
      </c>
      <c r="C331" s="20" t="s">
        <v>307</v>
      </c>
      <c r="D331" s="41">
        <f>F_dil+MAX(0,O2_src_g+H2_src_g-CO2_fix_g)</f>
        <v>3.617990017297e-05</v>
      </c>
      <c r="E331" s="51" t="s">
        <v>2412</v>
      </c>
    </row>
    <row r="332" spans="1:5" x14ac:dyDescent="0.2">
      <c r="A332" s="18" t="s">
        <v>2413</v>
      </c>
      <c r="B332" s="19" t="s">
        <v>2414</v>
      </c>
      <c r="C332" s="20" t="s">
        <v>111</v>
      </c>
      <c r="D332" s="41">
        <f>F_gap_g*t_gap_h/n_hs_gas</f>
        <v>0.04307992103</v>
      </c>
      <c r="E332" s="51" t="s">
        <v>2415</v>
      </c>
    </row>
    <row r="333" spans="1:5" x14ac:dyDescent="0.2">
      <c r="A333" s="18" t="s">
        <v>2416</v>
      </c>
      <c r="B333" s="19" t="s">
        <v>2417</v>
      </c>
      <c r="C333" s="20" t="s">
        <v>111</v>
      </c>
      <c r="D333" s="41">
        <f>IF(x_hs_g&gt;0,(1-EXP(-x_hs_g))/x_hs_g,1)</f>
        <v>0.978766049951</v>
      </c>
      <c r="E333" s="51" t="s">
        <v>2418</v>
      </c>
    </row>
    <row r="334" spans="1:5" x14ac:dyDescent="0.2">
      <c r="A334" s="18" t="s">
        <v>2419</v>
      </c>
      <c r="B334" s="19" t="s">
        <v>2420</v>
      </c>
      <c r="C334" s="20" t="s">
        <v>111</v>
      </c>
      <c r="D334" s="41">
        <f>IF(x_hs_g&gt;0,(x_hs_g-1+EXP(-x_hs_g))/x_hs_g^2,1/2)</f>
        <v>0.492896679973</v>
      </c>
      <c r="E334" s="51" t="s">
        <v>2421</v>
      </c>
    </row>
    <row r="335" spans="1:5" x14ac:dyDescent="0.2">
      <c r="A335" s="18" t="s">
        <v>2422</v>
      </c>
      <c r="B335" s="19" t="s">
        <v>2423</v>
      </c>
      <c r="C335" s="20" t="s">
        <v>111</v>
      </c>
      <c r="D335" s="41">
        <f>S_O2_g*t_gap_h/n_hs_gas</f>
        <v>0.029149450626</v>
      </c>
      <c r="E335" s="51" t="s">
        <v>2424</v>
      </c>
    </row>
    <row r="336" spans="1:5" ht="24" x14ac:dyDescent="0.2">
      <c r="A336" s="18" t="s">
        <v>2425</v>
      </c>
      <c r="B336" s="19" t="s">
        <v>2426</v>
      </c>
      <c r="C336" s="20" t="s">
        <v>111</v>
      </c>
      <c r="D336" s="41">
        <f>dy_O2_g*phi_hs_g/(1-flush_ret*EXP(-x_hs_g))</f>
        <v>0.043776099169</v>
      </c>
      <c r="E336" s="52" t="s">
        <v>2427</v>
      </c>
    </row>
    <row r="337" spans="1:5" x14ac:dyDescent="0.2">
      <c r="A337" s="18" t="s">
        <v>2428</v>
      </c>
      <c r="B337" s="19" t="s">
        <v>2429</v>
      </c>
      <c r="C337" s="20" t="s">
        <v>111</v>
      </c>
      <c r="D337" s="41">
        <f>y_O2_end_g*flush_ret</f>
        <v>0.015916738409</v>
      </c>
      <c r="E337" s="52" t="s">
        <v>2430</v>
      </c>
    </row>
    <row r="338" spans="1:5" x14ac:dyDescent="0.2">
      <c r="A338" s="18" t="s">
        <v>2431</v>
      </c>
      <c r="B338" s="19" t="s">
        <v>2432</v>
      </c>
      <c r="C338" s="20" t="s">
        <v>111</v>
      </c>
      <c r="D338" s="41">
        <f>y_O2_post_g*phi_hs_g+dy_O2_g*psi_hs_g</f>
        <v>0.029946430617</v>
      </c>
      <c r="E338" s="52" t="s">
        <v>2433</v>
      </c>
    </row>
    <row r="339" spans="1:5" x14ac:dyDescent="0.2">
      <c r="A339" s="18" t="s">
        <v>2434</v>
      </c>
      <c r="B339" s="19" t="s">
        <v>2435</v>
      </c>
      <c r="C339" s="20" t="s">
        <v>406</v>
      </c>
      <c r="D339" s="41">
        <f>O2_src_g/(kLa_surf_used*3600*V_L_m3)</f>
        <v>0.04096317155</v>
      </c>
      <c r="E339" s="51" t="s">
        <v>2436</v>
      </c>
    </row>
    <row r="340" spans="1:5" ht="24" x14ac:dyDescent="0.2">
      <c r="A340" s="18" t="s">
        <v>2437</v>
      </c>
      <c r="B340" s="19" t="s">
        <v>2438</v>
      </c>
      <c r="C340" s="20" t="s">
        <v>406</v>
      </c>
      <c r="D340" s="41">
        <f>DO_surf_excess_g+H_O2_T*P_dry*y_O2_mf_g</f>
        <v>0.068789123727</v>
      </c>
      <c r="E340" s="51" t="s">
        <v>2439</v>
      </c>
    </row>
    <row r="341" spans="1:5" ht="24" x14ac:dyDescent="0.2">
      <c r="A341" s="18" t="s">
        <v>2440</v>
      </c>
      <c r="B341" s="19" t="s">
        <v>2441</v>
      </c>
      <c r="C341" s="20" t="s">
        <v>406</v>
      </c>
      <c r="D341" s="41">
        <f>DO_surf_excess_g+H_O2_T*P_dry*y_O2_avg_g</f>
        <v>0.07106759157</v>
      </c>
      <c r="E341" s="52" t="s">
        <v>2442</v>
      </c>
    </row>
    <row r="342" spans="1:5" ht="36" x14ac:dyDescent="0.2">
      <c r="A342" s="18" t="s">
        <v>2443</v>
      </c>
      <c r="B342" s="19" t="s">
        <v>2444</v>
      </c>
      <c r="C342" s="20" t="s">
        <v>406</v>
      </c>
      <c r="D342" s="41">
        <f>DO_surf_excess_g+H_O2_T*P_dry*MAX(y_O2_avg_g,y_O2_end_g-(S_O2_g-F_gap_g*y_O2_end_g)/n_hs_gas*tau_L_h)</f>
        <v>0.076654224002</v>
      </c>
      <c r="E342" s="52" t="s">
        <v>2445</v>
      </c>
    </row>
    <row r="343" spans="1:5" x14ac:dyDescent="0.2">
      <c r="A343" s="18" t="s">
        <v>2446</v>
      </c>
      <c r="B343" s="19" t="s">
        <v>2447</v>
      </c>
      <c r="C343" s="20" t="s">
        <v>83</v>
      </c>
      <c r="D343" s="41">
        <f>DO_avg_g*M_O2</f>
        <v>2.27402079505</v>
      </c>
      <c r="E343" s="52" t="s">
        <v>2448</v>
      </c>
    </row>
    <row r="344" spans="1:5" x14ac:dyDescent="0.2">
      <c r="A344" s="18" t="s">
        <v>2449</v>
      </c>
      <c r="B344" s="19" t="s">
        <v>2450</v>
      </c>
      <c r="C344" s="20" t="s">
        <v>83</v>
      </c>
      <c r="D344" s="41">
        <f>DO_peak_g*M_O2</f>
        <v>2.452781859604</v>
      </c>
      <c r="E344" s="52" t="s">
        <v>2448</v>
      </c>
    </row>
    <row r="345" spans="1:5" x14ac:dyDescent="0.2">
      <c r="A345" s="18" t="s">
        <v>2451</v>
      </c>
      <c r="B345" s="19" t="s">
        <v>2452</v>
      </c>
      <c r="C345" s="20" t="s">
        <v>577</v>
      </c>
      <c r="D345" s="41">
        <f>O2_src_g/(DO_target*3600*V_L_m3)</f>
        <v>0.004398311971</v>
      </c>
      <c r="E345" s="51" t="s">
        <v>2453</v>
      </c>
    </row>
    <row r="346" spans="1:5" x14ac:dyDescent="0.2">
      <c r="A346" s="18" t="s">
        <v>2454</v>
      </c>
      <c r="B346" s="19" t="s">
        <v>2455</v>
      </c>
      <c r="C346" s="20" t="s">
        <v>87</v>
      </c>
      <c r="D346" s="111">
        <f>IF(kLa_surf_req_g&gt;0,kLa_surf_used/kLa_surf_req_g,"no positive source")</f>
        <v>1.737152239781</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1.74×</v>
      </c>
      <c r="E347" s="51" t="s">
        <v>2458</v>
      </c>
    </row>
    <row r="348" spans="1:5" ht="24" x14ac:dyDescent="0.2">
      <c r="A348" s="21" t="s">
        <v>2459</v>
      </c>
      <c r="B348" s="19" t="s">
        <v>2460</v>
      </c>
      <c r="C348" s="20" t="s">
        <v>111</v>
      </c>
      <c r="D348" s="25" t="str">
        <f>IF(DO_peak_g&lt;=O2_ceil_C,"peak "&amp;TEXT(DO_peak_g_mgL,"0.0")&amp;" mg/L under the "&amp;TEXT(O2_ceil_C*M_O2,"0.0")&amp;" mg/L ceiling","PEAK "&amp;TEXT(DO_peak_g_mgL,"0.0")&amp;" mg/L OVER THE "&amp;TEXT(O2_ceil_C*M_O2,"0.0")&amp;" mg/L INHIBITION CEILING")</f>
        <v>peak 2.5 mg/L under the 10.1 mg/L ceiling</v>
      </c>
      <c r="E348" s="51" t="s">
        <v>2461</v>
      </c>
    </row>
    <row r="349" spans="1:5" ht="24" x14ac:dyDescent="0.2">
      <c r="A349" s="18" t="s">
        <v>2462</v>
      </c>
      <c r="B349" s="19" t="s">
        <v>2463</v>
      </c>
      <c r="C349" s="20" t="s">
        <v>307</v>
      </c>
      <c r="D349" s="41">
        <f>O2_src_l+y_O2_air*F_vent_ex</f>
        <v>5.558574972828e-05</v>
      </c>
      <c r="E349" s="51" t="s">
        <v>2400</v>
      </c>
    </row>
    <row r="350" spans="1:5" ht="24" x14ac:dyDescent="0.2">
      <c r="A350" s="18" t="s">
        <v>2464</v>
      </c>
      <c r="B350" s="19" t="s">
        <v>2465</v>
      </c>
      <c r="C350" s="20" t="s">
        <v>307</v>
      </c>
      <c r="D350" s="41">
        <f>CO2_supply+O2_src_l+H2_src_l-CO2_fix_l</f>
        <v>0.0009931722981339</v>
      </c>
      <c r="E350" s="51" t="s">
        <v>2403</v>
      </c>
    </row>
    <row r="351" spans="1:5" ht="36" x14ac:dyDescent="0.2">
      <c r="A351" s="18" t="s">
        <v>2466</v>
      </c>
      <c r="B351" s="19" t="s">
        <v>2467</v>
      </c>
      <c r="C351" s="20" t="s">
        <v>111</v>
      </c>
      <c r="D351" s="41">
        <f>IF(F_dil+F_hs_net_l&gt;0,S_O2_l/(F_dil+F_hs_net_l),NA())</f>
        <v>0.054000710175</v>
      </c>
      <c r="E351" s="51" t="s">
        <v>2406</v>
      </c>
    </row>
    <row r="352" spans="1:5" x14ac:dyDescent="0.2">
      <c r="A352" s="18" t="s">
        <v>2468</v>
      </c>
      <c r="B352" s="19" t="s">
        <v>2469</v>
      </c>
      <c r="C352" s="20" t="s">
        <v>111</v>
      </c>
      <c r="D352" s="41">
        <f>IF(F_dil+F_hs_net_l&gt;0,H2_src_l/(F_dil+F_hs_net_l),NA())</f>
        <v>0.09401303663</v>
      </c>
      <c r="E352" s="51" t="s">
        <v>2409</v>
      </c>
    </row>
    <row r="353" spans="1:5" ht="36" x14ac:dyDescent="0.2">
      <c r="A353" s="18" t="s">
        <v>2470</v>
      </c>
      <c r="B353" s="19" t="s">
        <v>2471</v>
      </c>
      <c r="C353" s="20" t="s">
        <v>307</v>
      </c>
      <c r="D353" s="41">
        <f>F_dil+MAX(0,O2_src_l+H2_src_l-CO2_fix_l)</f>
        <v>0.0001809584867395</v>
      </c>
      <c r="E353" s="51" t="s">
        <v>2412</v>
      </c>
    </row>
    <row r="354" spans="1:5" x14ac:dyDescent="0.2">
      <c r="A354" s="18" t="s">
        <v>2472</v>
      </c>
      <c r="B354" s="19" t="s">
        <v>2473</v>
      </c>
      <c r="C354" s="20" t="s">
        <v>111</v>
      </c>
      <c r="D354" s="41">
        <f>F_gap_l*t_gap_h/n_hs_gas</f>
        <v>0.215469840469</v>
      </c>
      <c r="E354" s="51" t="s">
        <v>2415</v>
      </c>
    </row>
    <row r="355" spans="1:5" x14ac:dyDescent="0.2">
      <c r="A355" s="18" t="s">
        <v>2474</v>
      </c>
      <c r="B355" s="19" t="s">
        <v>2475</v>
      </c>
      <c r="C355" s="20" t="s">
        <v>111</v>
      </c>
      <c r="D355" s="41">
        <f>IF(x_hs_l&gt;0,(1-EXP(-x_hs_l))/x_hs_l,1)</f>
        <v>0.89960347212</v>
      </c>
      <c r="E355" s="51" t="s">
        <v>2418</v>
      </c>
    </row>
    <row r="356" spans="1:5" x14ac:dyDescent="0.2">
      <c r="A356" s="18" t="s">
        <v>2476</v>
      </c>
      <c r="B356" s="19" t="s">
        <v>2477</v>
      </c>
      <c r="C356" s="20" t="s">
        <v>111</v>
      </c>
      <c r="D356" s="41">
        <f>IF(x_hs_l&gt;0,(x_hs_l-1+EXP(-x_hs_l))/x_hs_l^2,1/2)</f>
        <v>0.465942368831</v>
      </c>
      <c r="E356" s="51" t="s">
        <v>2421</v>
      </c>
    </row>
    <row r="357" spans="1:5" x14ac:dyDescent="0.2">
      <c r="A357" s="18" t="s">
        <v>2478</v>
      </c>
      <c r="B357" s="19" t="s">
        <v>2479</v>
      </c>
      <c r="C357" s="20" t="s">
        <v>111</v>
      </c>
      <c r="D357" s="41">
        <f>S_O2_l*t_gap_h/n_hs_gas</f>
        <v>0.066186741734</v>
      </c>
      <c r="E357" s="51" t="s">
        <v>2424</v>
      </c>
    </row>
    <row r="358" spans="1:5" ht="24" x14ac:dyDescent="0.2">
      <c r="A358" s="18" t="s">
        <v>2480</v>
      </c>
      <c r="B358" s="19" t="s">
        <v>2481</v>
      </c>
      <c r="C358" s="20" t="s">
        <v>111</v>
      </c>
      <c r="D358" s="41">
        <f>dy_O2_l*phi_hs_l/(1-flush_ret*EXP(-x_hs_l))</f>
        <v>0.084231401644</v>
      </c>
      <c r="E358" s="52" t="s">
        <v>2427</v>
      </c>
    </row>
    <row r="359" spans="1:5" x14ac:dyDescent="0.2">
      <c r="A359" s="18" t="s">
        <v>2482</v>
      </c>
      <c r="B359" s="19" t="s">
        <v>2483</v>
      </c>
      <c r="C359" s="20" t="s">
        <v>111</v>
      </c>
      <c r="D359" s="41">
        <f>y_O2_end_l*flush_ret</f>
        <v>0.030626054199</v>
      </c>
      <c r="E359" s="52" t="s">
        <v>2430</v>
      </c>
    </row>
    <row r="360" spans="1:5" x14ac:dyDescent="0.2">
      <c r="A360" s="18" t="s">
        <v>2484</v>
      </c>
      <c r="B360" s="19" t="s">
        <v>2485</v>
      </c>
      <c r="C360" s="20" t="s">
        <v>111</v>
      </c>
      <c r="D360" s="41">
        <f>y_O2_post_l*phi_hs_l+dy_O2_l*psi_hs_l</f>
        <v>0.058390511924</v>
      </c>
      <c r="E360" s="52" t="s">
        <v>2433</v>
      </c>
    </row>
    <row r="361" spans="1:5" ht="24" x14ac:dyDescent="0.2">
      <c r="A361" s="18" t="s">
        <v>2486</v>
      </c>
      <c r="B361" s="19" t="s">
        <v>2487</v>
      </c>
      <c r="C361" s="20" t="s">
        <v>406</v>
      </c>
      <c r="D361" s="41">
        <f>DO_surf_excess_lag+H_O2_T*P_dry*y_O2_mf_l</f>
        <v>0.170638821363</v>
      </c>
      <c r="E361" s="51" t="s">
        <v>2439</v>
      </c>
    </row>
    <row r="362" spans="1:5" ht="24" x14ac:dyDescent="0.2">
      <c r="A362" s="18" t="s">
        <v>2488</v>
      </c>
      <c r="B362" s="19" t="s">
        <v>2489</v>
      </c>
      <c r="C362" s="20" t="s">
        <v>406</v>
      </c>
      <c r="D362" s="41">
        <f>DO_surf_excess_lag+H_O2_T*P_dry*y_O2_avg_l</f>
        <v>0.175051782538</v>
      </c>
      <c r="E362" s="52" t="s">
        <v>2442</v>
      </c>
    </row>
    <row r="363" spans="1:5" ht="36" x14ac:dyDescent="0.2">
      <c r="A363" s="18" t="s">
        <v>2490</v>
      </c>
      <c r="B363" s="19" t="s">
        <v>2491</v>
      </c>
      <c r="C363" s="20" t="s">
        <v>406</v>
      </c>
      <c r="D363" s="41">
        <f>DO_surf_excess_lag+H_O2_T*P_dry*MAX(y_O2_avg_l,y_O2_end_l-(S_O2_l-F_gap_l*y_O2_end_l)/n_hs_gas*tau_L_h)</f>
        <v>0.186376522656</v>
      </c>
      <c r="E363" s="52" t="s">
        <v>2445</v>
      </c>
    </row>
    <row r="364" spans="1:5" x14ac:dyDescent="0.2">
      <c r="A364" s="18" t="s">
        <v>2492</v>
      </c>
      <c r="B364" s="19" t="s">
        <v>2493</v>
      </c>
      <c r="C364" s="20" t="s">
        <v>83</v>
      </c>
      <c r="D364" s="41">
        <f>DO_avg_l*M_O2</f>
        <v>5.601306937651</v>
      </c>
      <c r="E364" s="52" t="s">
        <v>2448</v>
      </c>
    </row>
    <row r="365" spans="1:5" x14ac:dyDescent="0.2">
      <c r="A365" s="18" t="s">
        <v>2494</v>
      </c>
      <c r="B365" s="19" t="s">
        <v>2495</v>
      </c>
      <c r="C365" s="20" t="s">
        <v>83</v>
      </c>
      <c r="D365" s="41">
        <f>DO_peak_l*M_O2</f>
        <v>5.963675971962</v>
      </c>
      <c r="E365" s="52" t="s">
        <v>2448</v>
      </c>
    </row>
    <row r="366" spans="1:5" x14ac:dyDescent="0.2">
      <c r="A366" s="18" t="s">
        <v>2496</v>
      </c>
      <c r="B366" s="19" t="s">
        <v>2497</v>
      </c>
      <c r="C366" s="20" t="s">
        <v>577</v>
      </c>
      <c r="D366" s="41">
        <f>O2_src_l/(DO_target*3600*V_L_m3)</f>
        <v>0.012493118365</v>
      </c>
      <c r="E366" s="51" t="s">
        <v>2453</v>
      </c>
    </row>
    <row r="367" spans="1:5" x14ac:dyDescent="0.2">
      <c r="A367" s="18" t="s">
        <v>2498</v>
      </c>
      <c r="B367" s="19" t="s">
        <v>2499</v>
      </c>
      <c r="C367" s="20" t="s">
        <v>87</v>
      </c>
      <c r="D367" s="41">
        <f>kLa_surf_used/kLa_surf_req_l</f>
        <v>0.611579692847</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IF(DO_peak_l&lt;=O2_ceil_C,"peak "&amp;TEXT(DO_peak_l_mgL,"0.0")&amp;" mg/L under the "&amp;TEXT(O2_ceil_C*M_O2,"0.0")&amp;" mg/L ceiling","PEAK "&amp;TEXT(DO_peak_l_mgL,"0.0")&amp;" mg/L OVER THE "&amp;TEXT(O2_ceil_C*M_O2,"0.0")&amp;" mg/L INHIBITION CEILING")</f>
        <v>peak 6.0 mg/L under the 10.1 mg/L ceiling</v>
      </c>
      <c r="E369" s="51" t="s">
        <v>2461</v>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0.07106759157</v>
      </c>
      <c r="E372" s="52" t="s">
        <v>2508</v>
      </c>
    </row>
    <row r="373" spans="1:5" x14ac:dyDescent="0.2">
      <c r="A373" s="18" t="s">
        <v>2509</v>
      </c>
      <c r="B373" s="19" t="s">
        <v>2510</v>
      </c>
      <c r="C373" s="20" t="s">
        <v>406</v>
      </c>
      <c r="D373" s="41">
        <f>IF(O2_sizing_phase=phase_name_1,DO_peak_g,IF(O2_sizing_phase=phase_name_2,DO_peak_l,NA()))</f>
        <v>0.076654224002</v>
      </c>
      <c r="E373" s="52" t="inlineStr">
        <is>
          <t xml:space="preserve">Feeds the organism-band check below and Summary D37.</t>
        </is>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2.5 mg/L is under the inhibition ceiling</v>
      </c>
      <c r="E374" s="51" t="s">
        <v>2514</v>
      </c>
    </row>
    <row r="375" spans="1:5" ht="36" x14ac:dyDescent="0.2">
      <c r="A375" s="18" t="s">
        <v>2515</v>
      </c>
      <c r="B375" s="19" t="s">
        <v>2516</v>
      </c>
      <c r="C375" s="20" t="s">
        <v>406</v>
      </c>
      <c r="D375" s="41">
        <f>(C_air_CO2/C_sat_CO2*F_vent_ex-CO2_fix_sched)*t_gap_h/(V_L_CO2+Vg_CO2)</f>
        <v>-0.082768792327</v>
      </c>
      <c r="E375" s="51" t="s">
        <v>2517</v>
      </c>
    </row>
    <row r="376" spans="1:5" x14ac:dyDescent="0.2">
      <c r="A376" s="18" t="s">
        <v>2518</v>
      </c>
      <c r="B376" s="19" t="s">
        <v>2519</v>
      </c>
      <c r="C376" s="20" t="s">
        <v>111</v>
      </c>
      <c r="D376" s="41">
        <f>k_eff_CO2*t_off_CO2</f>
        <v>0.006263588654</v>
      </c>
      <c r="E376" s="51" t="s">
        <v>2520</v>
      </c>
    </row>
    <row r="377" spans="1:5" ht="24" x14ac:dyDescent="0.2">
      <c r="A377" s="18" t="s">
        <v>2521</v>
      </c>
      <c r="B377" s="19" t="s">
        <v>2522</v>
      </c>
      <c r="C377" s="20" t="s">
        <v>111</v>
      </c>
      <c r="D377" s="41">
        <f>IF(pool_x&gt;0,(1-EXP(-pool_x))/pool_x,1)</f>
        <v>0.996874734204</v>
      </c>
      <c r="E377" s="51" t="s">
        <v>2523</v>
      </c>
    </row>
    <row r="378" spans="1:5" x14ac:dyDescent="0.2">
      <c r="A378" s="18" t="s">
        <v>2524</v>
      </c>
      <c r="B378" s="19" t="s">
        <v>2525</v>
      </c>
      <c r="C378" s="20" t="s">
        <v>111</v>
      </c>
      <c r="D378" s="41">
        <f>IF(pool_x&gt;0,(pool_x-1+EXP(-pool_x))/pool_x^2,1/2)</f>
        <v>0.498957701201</v>
      </c>
      <c r="E378" s="51" t="s">
        <v>2526</v>
      </c>
    </row>
    <row r="379" spans="1:5" x14ac:dyDescent="0.2">
      <c r="A379" s="18" t="s">
        <v>2527</v>
      </c>
      <c r="B379" s="19" t="s">
        <v>2528</v>
      </c>
      <c r="C379" s="20" t="s">
        <v>406</v>
      </c>
      <c r="D379" s="41">
        <f>pool_D_raw*pool_phi</f>
        <v>-0.082510117852</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IF(F_dil+CO2_supply+O2_src_sched+H2_src_sched-CO2_fix_sched&gt;0,(CO2_supply-CO2_fix_sched+pCO2_air/P_dry*F_vent_ex)/(F_dil+CO2_supply+O2_src_sched+H2_src_sched-CO2_fix_sched),NA())</f>
        <v>0.939999076882</v>
      </c>
      <c r="E381" s="51" t="s">
        <v>2535</v>
      </c>
    </row>
    <row r="382" spans="1:5" x14ac:dyDescent="0.2">
      <c r="A382" s="18" t="s">
        <v>2536</v>
      </c>
      <c r="B382" s="19" t="s">
        <v>2537</v>
      </c>
      <c r="C382" s="20" t="s">
        <v>406</v>
      </c>
      <c r="D382" s="41">
        <f>y_CO2_mf*C_sat_CO2</f>
        <v>26.372340901797</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inlineStr">
        <is>
          <t xml:space="preserve">0 for "Outflow only" (check valve), Q_backdraw for "Open vent", the measured Q_vent for "Air exchange"; anything else #N/A by design. The vent is a continuum: 0 is a true check valve. Feeds F_vent_ex (D308) and Summary D58.</t>
        </is>
      </c>
    </row>
    <row r="387" spans="1:5" x14ac:dyDescent="0.2">
      <c r="A387" s="21" t="s">
        <v>2180</v>
      </c>
      <c r="B387" s="21" t="s">
        <v>2549</v>
      </c>
      <c r="C387" s="21" t="s">
        <v>307</v>
      </c>
      <c r="D387" s="112">
        <f>Electrochemistry!r_H2_HOR</f>
        <v>0.0</v>
      </c>
      <c r="E387" s="140" t="s">
        <v>2550</v>
      </c>
    </row>
    <row r="388" spans="1:5" ht="36" x14ac:dyDescent="0.2">
      <c r="A388" s="18" t="s">
        <v>2551</v>
      </c>
      <c r="B388" s="19" t="s">
        <v>2552</v>
      </c>
      <c r="C388" s="20" t="s">
        <v>111</v>
      </c>
      <c r="D388" s="41">
        <f>H2_src_l*t_gap_h/n_hs_gas*phi_hs_l/(1-flush_ret*EXP(-x_hs_l))</f>
        <v>0.146643438994</v>
      </c>
      <c r="E388" s="52" t="inlineStr">
        <is>
          <t xml:space="preserve">The H₂ analogue of y_O2_end_l (D358): periodic sawtooth top of the lag headspace at the schedule in use (no H₂ in air). The flammability screen (Biology D44) tests these pre-pulse tops; the mean-field mix (D352) is shown beside it.</t>
        </is>
      </c>
    </row>
    <row r="389" spans="1:5" ht="48" x14ac:dyDescent="0.2">
      <c r="A389" s="18" t="s">
        <v>2554</v>
      </c>
      <c r="B389" s="19" t="s">
        <v>2555</v>
      </c>
      <c r="C389" s="20" t="s">
        <v>111</v>
      </c>
      <c r="D389" s="41">
        <f>(pool_a*(C_cycle_peak-C_cycle_start)*(V_L_CO2+Vg_CO2)+MAX(0,CO2_fix_sched-O2_src_sched-H2_src_sched)*t_gap_h)/n_hs_gas</f>
        <v>0.051056592553</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Summary!override_spg_dur_s</f>
        <v>0.0</v>
      </c>
      <c r="E392" s="140" t="s">
        <v>2564</v>
      </c>
    </row>
    <row r="393" spans="1:5" x14ac:dyDescent="0.2">
      <c r="A393" s="21" t="s">
        <v>2565</v>
      </c>
      <c r="B393" s="21" t="s">
        <v>2566</v>
      </c>
      <c r="C393" s="21" t="s">
        <v>61</v>
      </c>
      <c r="D393" s="112">
        <f>Summary!override_spg_int_min</f>
        <v>0.0</v>
      </c>
      <c r="E393" s="140" t="s">
        <v>2567</v>
      </c>
    </row>
    <row r="394" spans="1:5" x14ac:dyDescent="0.2">
      <c r="A394" s="21" t="s">
        <v>2568</v>
      </c>
      <c r="B394" s="21" t="s">
        <v>2569</v>
      </c>
      <c r="C394" s="21" t="s">
        <v>307</v>
      </c>
      <c r="D394" s="112">
        <f>Electrochemistry!O2_net_lag</f>
        <v>4.800606064204e-05</v>
      </c>
      <c r="E394" s="140" t="s">
        <v>2570</v>
      </c>
    </row>
    <row r="395" spans="1:5" x14ac:dyDescent="0.2">
      <c r="A395" s="21" t="s">
        <v>2571</v>
      </c>
      <c r="B395" s="21" t="s">
        <v>2572</v>
      </c>
      <c r="C395" s="21" t="s">
        <v>307</v>
      </c>
      <c r="D395" s="112">
        <f>Electrochemistry!rH2_lag</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SUMPRODUCT((co2f_reactor=Reactor)*(co2f_time&gt;0)*(co2f_excluded&lt;&gt;1)*1)</f>
        <v>34.0</v>
      </c>
      <c r="E401" s="102" t="s">
        <v>2580</v>
      </c>
    </row>
    <row r="402" spans="1:5" x14ac:dyDescent="0.2">
      <c r="A402" s="18" t="s">
        <v>2581</v>
      </c>
      <c r="B402" s="19" t="s">
        <v>2582</v>
      </c>
      <c r="C402" s="20" t="s">
        <v>12</v>
      </c>
      <c r="D402" s="25">
        <f>SUMPRODUCT((co2f_reactor=Reactor)*(co2f_time&gt;0)*(co2f_excluded&lt;&gt;1)*co2f_time)</f>
        <v>49.85</v>
      </c>
      <c r="E402" s="102" t="s">
        <v>2583</v>
      </c>
    </row>
    <row r="403" spans="1:5" x14ac:dyDescent="0.2">
      <c r="A403" s="18" t="s">
        <v>2584</v>
      </c>
      <c r="B403" s="19" t="s">
        <v>2585</v>
      </c>
      <c r="C403" s="20" t="s">
        <v>52</v>
      </c>
      <c r="D403" s="25">
        <f>SUMPRODUCT((co2f_reactor=Reactor)*(co2f_time&gt;0)*(co2f_excluded&lt;&gt;1)*co2f_volume)</f>
        <v>178.2</v>
      </c>
      <c r="E403" s="102" t="s">
        <v>1589</v>
      </c>
    </row>
    <row r="404" spans="1:5" x14ac:dyDescent="0.2">
      <c r="A404" s="18" t="s">
        <v>2586</v>
      </c>
      <c r="B404" s="19" t="s">
        <v>2587</v>
      </c>
      <c r="C404" s="20" t="s">
        <v>2588</v>
      </c>
      <c r="D404" s="25">
        <f>SUMPRODUCT((co2f_reactor=Reactor)*(co2f_time&gt;0)*(co2f_excluded&lt;&gt;1)*co2f_time^2)</f>
        <v>304.7325</v>
      </c>
      <c r="E404" s="102" t="s">
        <v>1589</v>
      </c>
    </row>
    <row r="405" spans="1:5" x14ac:dyDescent="0.2">
      <c r="A405" s="18" t="s">
        <v>2589</v>
      </c>
      <c r="B405" s="19" t="s">
        <v>2590</v>
      </c>
      <c r="C405" s="20" t="s">
        <v>2591</v>
      </c>
      <c r="D405" s="25">
        <f>SUMPRODUCT((co2f_reactor=Reactor)*(co2f_time&gt;0)*(co2f_excluded&lt;&gt;1)*co2f_time*co2f_volume)</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SUMPRODUCT((co2f_reactor=Reactor)*(co2f_maxflow&gt;0)*1)</f>
        <v>0.0</v>
      </c>
      <c r="E412" s="102" t="s">
        <v>2612</v>
      </c>
    </row>
    <row r="413" spans="1:5" ht="36" x14ac:dyDescent="0.2">
      <c r="A413" s="18" t="s">
        <v>2613</v>
      </c>
      <c r="B413" s="19" t="s">
        <v>2614</v>
      </c>
      <c r="C413" s="20" t="s">
        <v>1286</v>
      </c>
      <c r="D413" s="25" t="str">
        <f>IF(carry_n&gt;0,SUMPRODUCT(MIN((co2f_reactor=Reactor)*(co2f_maxflow&gt;0)*co2f_maxflow+(1-(co2f_reactor=Reactor)*(co2f_maxflow&gt;0))*MAX(co2f_maxflow))),"not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Chemistry!DIC_cap</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2.501215469962</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7.2</v>
      </c>
      <c r="E420" s="57" t="inlineStr">
        <is>
          <t xml:space="preserve">Ideal duty converted to the pulse actually commanded, rounded down. Reject a non-positive gap. Re-evaluate DO and pH at this schedule.</t>
        </is>
      </c>
    </row>
    <row r="422">
      <c r="A422" s="6" t="inlineStr">
        <is>
          <t xml:space="preserve">N₂ HEADSPACE SWEEP (Summary D14) — an inert inflow in the shared balance (§300)</t>
        </is>
      </c>
    </row>
    <row r="423">
      <c r="A423" s="18" t="inlineStr">
        <is>
          <t xml:space="preserve">(import) N₂ sweep flow</t>
        </is>
      </c>
      <c r="B423" s="19" t="inlineStr">
        <is>
          <t xml:space="preserve">N2_sweep_set</t>
        </is>
      </c>
      <c r="C423" s="20" t="inlineStr">
        <is>
          <t xml:space="preserve">mL/min</t>
        </is>
      </c>
      <c r="D423" s="41">
        <f>Summary!N2_sweep_set</f>
        <v>0.0</v>
      </c>
      <c r="E423" s="140" t="inlineStr">
        <is>
          <t xml:space="preserve">Import from Summary!D14 (N2_sweep_set); blank reads as 0. Owner decision T7.</t>
        </is>
      </c>
    </row>
    <row r="424">
      <c r="A424" s="18" t="inlineStr">
        <is>
          <t xml:space="preserve">N₂ sweep (molar)</t>
        </is>
      </c>
      <c r="B424" s="19" t="inlineStr">
        <is>
          <t xml:space="preserve">F_N2</t>
        </is>
      </c>
      <c r="C424" s="20" t="inlineStr">
        <is>
          <t xml:space="preserve">mol/h</t>
        </is>
      </c>
      <c r="D424" s="41">
        <f>P_atm*(N2_sweep_set/1000000/60)/(R_gas*T_K)*3600</f>
        <v>0.0</v>
      </c>
      <c r="E424" s="57" t="inlineStr">
        <is>
          <t xml:space="preserve">Dry N₂ at P_atm and T_K, mL/min to mol/h, the same reference as F_vent_ex (D308); the flow-meter reference conditions are unmeasured.</t>
        </is>
      </c>
    </row>
    <row r="425">
      <c r="A425" s="18" t="inlineStr">
        <is>
          <t xml:space="preserve">Non-pulse inflow to the headspace (air + N₂)</t>
        </is>
      </c>
      <c r="B425" s="19" t="inlineStr">
        <is>
          <t xml:space="preserve">F_dil</t>
        </is>
      </c>
      <c r="C425" s="20" t="inlineStr">
        <is>
          <t xml:space="preserve">mol/h</t>
        </is>
      </c>
      <c r="D425" s="41">
        <f>F_vent_ex+F_N2</f>
        <v>3.617990017297e-05</v>
      </c>
      <c r="E425" s="57" t="inlineStr">
        <is>
          <t xml:space="preserve">Every "gas leaving" term of the shared balance (D184, D232, D329–D331, D351–D353, D381; Biology D84–D86) counts this; only the air part (F_vent_ex) carries O₂ and CO₂.</t>
        </is>
      </c>
    </row>
    <row r="426">
      <c r="A426" s="18" t="inlineStr">
        <is>
          <t xml:space="preserve">N₂ sweep that holds the DO target at the carbon-limited duty</t>
        </is>
      </c>
      <c r="B426" s="19" t="inlineStr">
        <is>
          <t xml:space="preserve">N2_for_DO</t>
        </is>
      </c>
      <c r="C426" s="20" t="inlineStr">
        <is>
          <t xml:space="preserve">mL/min</t>
        </is>
      </c>
      <c r="D426" s="41">
        <f>IF(ISNUMBER(y_O2_star),MAX(0,(O2_src_sched+y_O2_air*F_vent_ex)*saw_factor/y_O2_star-F_vent_ex-O2_src_sched-H2_src_sched+CO2_fix_sched-CO2_rate_full*duty_carbon)/3600*R_gas*T_K/P_atm*1000000*60,NA())</f>
        <v>0.337157868618</v>
      </c>
      <c r="E426" s="51" t="inlineStr">
        <is>
          <t xml:space="preserve">The duty_DO inversion (D184) solved for the inert inflow instead of the CO₂ supply, with CO₂ at the carbon-limited duty (D86): total N₂ needed, net of air ingress. #N/A when the target is unreachable at this surface kLa.</t>
        </is>
      </c>
    </row>
    <row r="428">
      <c r="A428" s="6" t="inlineStr">
        <is>
          <t xml:space="preserve">pH-CEILING INTERVAL — the longest interval whose cycle-mean dissolved CO₂ still holds pH at the band ceiling (binds with an N₂ sweep)</t>
        </is>
      </c>
    </row>
    <row r="429">
      <c r="A429" s="18" t="inlineStr">
        <is>
          <t xml:space="preserve">(import) Dissolved CO₂ that holds pH at the band ceiling</t>
        </is>
      </c>
      <c r="B429" s="19" t="inlineStr">
        <is>
          <t xml:space="preserve">CO2_pH_hi_mt</t>
        </is>
      </c>
      <c r="C429" s="20" t="inlineStr">
        <is>
          <t xml:space="preserve">mol/m³</t>
        </is>
      </c>
      <c r="D429" s="41">
        <f>Chemistry!CO2_pH_hi*1000</f>
        <v>0.966554763206</v>
      </c>
      <c r="E429" s="140" t="inlineStr">
        <is>
          <t xml:space="preserve">Import from Chemistry!D324 (CO2_pH_hi, mol/L → mol/m³).</t>
        </is>
      </c>
    </row>
    <row r="430">
      <c r="A430" s="18" t="inlineStr">
        <is>
          <t xml:space="preserve">Shortest trial interval in the grid (shortest executable)</t>
        </is>
      </c>
      <c r="B430" s="19" t="inlineStr">
        <is>
          <t xml:space="preserve">grid_t_min</t>
        </is>
      </c>
      <c r="C430" s="20" t="inlineStr">
        <is>
          <t xml:space="preserve">min</t>
        </is>
      </c>
      <c r="D430" s="41">
        <f>FLOOR(spg_dur/60,interval_res)+interval_res</f>
        <v>0.02</v>
      </c>
      <c r="E430" s="51" t="inlineStr">
        <is>
          <t xml:space="preserve">The first whole command step above the pulse: the shortest executable interval for the pulse in use, so a ceiling that cannot be held even here is genuinely unreachable.</t>
        </is>
      </c>
    </row>
    <row r="431">
      <c r="A431" s="18" t="inlineStr">
        <is>
          <t xml:space="preserve">Grid step ratio</t>
        </is>
      </c>
      <c r="B431" s="19" t="inlineStr">
        <is>
          <t xml:space="preserve">grid_ratio</t>
        </is>
      </c>
      <c r="C431" s="20" t="inlineStr">
        <is>
          <t xml:space="preserve">-</t>
        </is>
      </c>
      <c r="D431" s="41">
        <f>(grid_t_max/grid_t_min)^(1/99)</f>
        <v>1.120064526836</v>
      </c>
      <c r="E431" s="51" t="inlineStr">
        <is>
          <t xml:space="preserve">Geometric step that spans grid_t_min to grid_t_max (D436) in the 100 grid rows; the crossing is interpolated in ln(interval).</t>
        </is>
      </c>
    </row>
    <row r="432">
      <c r="A432" s="18" t="inlineStr">
        <is>
          <t xml:space="preserve">pH-ceiling interval (pulse in use)</t>
        </is>
      </c>
      <c r="B432" s="19" t="inlineStr">
        <is>
          <t xml:space="preserve">spg_int_pH</t>
        </is>
      </c>
      <c r="C432" s="20" t="inlineStr">
        <is>
          <t xml:space="preserve">min</t>
        </is>
      </c>
      <c r="D432" s="41">
        <f>IF(CO2_pH_hi_mt&lt;=0,"no pH bound",IF(INDEX(pHg_C,1)&lt;CO2_pH_hi_mt,"pH above the band ceiling at any interval – reduce the N₂ sweep or the added alkalinity",IF(MAX(pHg_x)&gt;0,MAX(pHg_x),"no pH bound")))</f>
        <v>212.486056390007</v>
      </c>
      <c r="E432" s="51" t="inlineStr">
        <is>
          <t xml:space="preserve">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is>
      </c>
    </row>
    <row r="433">
      <c r="A433" s="18" t="inlineStr">
        <is>
          <t xml:space="preserve">pH-ceiling interval on the optimal-pulse basis</t>
        </is>
      </c>
      <c r="B433" s="19" t="inlineStr">
        <is>
          <t xml:space="preserve">spg_int_pH_opt</t>
        </is>
      </c>
      <c r="C433" s="20" t="inlineStr">
        <is>
          <t xml:space="preserve">min</t>
        </is>
      </c>
      <c r="D433" s="41">
        <f>IF(ISNUMBER(spg_int_pH),spg_int_pH*spg_dur_eq_opt/spg_dur_eq,"no pH bound")</f>
        <v>219.190137944744</v>
      </c>
      <c r="E433" s="51" t="inlineStr">
        <is>
          <t xml:space="preserve">D432 restated on the full-flow-equivalent basis of D91 (D112, D185), so the executable interval D420 comes back to D432 for whatever pulse is in use.</t>
        </is>
      </c>
    </row>
    <row r="434">
      <c r="A434" s="18" t="inlineStr">
        <is>
          <t xml:space="preserve">pH ceiling unreachable?</t>
        </is>
      </c>
      <c r="B434" s="19" t="inlineStr">
        <is>
          <t xml:space="preserve">ph_unreach</t>
        </is>
      </c>
      <c r="C434" s="20" t="inlineStr">
        <is>
          <t xml:space="preserve">-</t>
        </is>
      </c>
      <c r="D434" s="41" t="b">
        <f>AND(CO2_pH_hi_mt&gt;0,INDEX(pHg_C,1)&lt;CO2_pH_hi_mt)</f>
        <v>0</v>
      </c>
      <c r="E434" s="51" t="inlineStr">
        <is>
          <t xml:space="preserve">TRUE = even the shortest interval leaves pH above the band ceiling; D91 then returns #N/A rather than a schedule that overshoots.</t>
        </is>
      </c>
    </row>
    <row r="435">
      <c r="A435" s="18" t="inlineStr">
        <is>
          <t xml:space="preserve">Carbon pool at the pulse start (schedule in use)</t>
        </is>
      </c>
      <c r="B435" s="19" t="inlineStr">
        <is>
          <t xml:space="preserve">pool_start_chk</t>
        </is>
      </c>
      <c r="C435" s="20" t="inlineStr">
        <is>
          <t xml:space="preserve">-</t>
        </is>
      </c>
      <c r="D435" s="41" t="str">
        <f>IF(C_cycle_start&lt;C_air_CO2,"WATCH – the carbon pool empties within the cycle (pulse-start CO₂ below air equilibrium): fixation outruns supply at this interval","OK")</f>
        <v>OK</v>
      </c>
      <c r="E435" s="51" t="inlineStr">
        <is>
          <t xml:space="preserve">The limit cycle drains the pool linearly by fixation between pulses; below air equilibrium it has run dry for part of the cycle. Can fire when a long, pH-capped interval comes close to the carbon bound.</t>
        </is>
      </c>
    </row>
    <row r="436">
      <c r="A436" s="18" t="inlineStr">
        <is>
          <t xml:space="preserve">Longest trial interval in the grid</t>
        </is>
      </c>
      <c r="B436" s="19" t="inlineStr">
        <is>
          <t xml:space="preserve">grid_t_max</t>
        </is>
      </c>
      <c r="C436" s="20" t="inlineStr">
        <is>
          <t xml:space="preserve">min</t>
        </is>
      </c>
      <c r="D436" s="106">
        <v>1500</v>
      </c>
      <c r="E436" s="102" t="inlineStr">
        <is>
          <t xml:space="preserve">Defined: 25 h, far beyond any carbon-limited interval; a ceiling not reached by here is reported as "no pH bound".</t>
        </is>
      </c>
    </row>
    <row r="439">
      <c r="A439" s="6" t="inlineStr">
        <is>
          <t xml:space="preserve">Interval (min)</t>
        </is>
      </c>
      <c r="B439" s="6" t="inlineStr">
        <is>
          <t xml:space="preserve">Gap (s)</t>
        </is>
      </c>
      <c r="C439" s="6" t="inlineStr">
        <is>
          <t xml:space="preserve">Pool turnovers x</t>
        </is>
      </c>
      <c r="D439" s="6" t="inlineStr">
        <is>
          <t xml:space="preserve">e^−x</t>
        </is>
      </c>
      <c r="E439" s="6" t="inlineStr">
        <is>
          <t xml:space="preserve">Φ(x)</t>
        </is>
      </c>
      <c r="F439" s="6" t="inlineStr">
        <is>
          <t xml:space="preserve">Ψ(x)</t>
        </is>
      </c>
      <c r="G439" s="6" t="inlineStr">
        <is>
          <t xml:space="preserve">Gap CO₂ change (mol/m³)</t>
        </is>
      </c>
      <c r="H439" s="6" t="inlineStr">
        <is>
          <t xml:space="preserve">CO₂ at pulse start (mol/m³)</t>
        </is>
      </c>
      <c r="I439" s="6" t="inlineStr">
        <is>
          <t xml:space="preserve">Cycle-mean CO₂ (mol/m³)</t>
        </is>
      </c>
      <c r="J439" s="6" t="inlineStr">
        <is>
          <t xml:space="preserve">Crossing (min)</t>
        </is>
      </c>
      <c r="L439" s="6" t="inlineStr">
        <is>
          <t xml:space="preserve">Lag: turnovers x</t>
        </is>
      </c>
      <c r="M439" s="6" t="inlineStr">
        <is>
          <t xml:space="preserve">Lag: e^−x</t>
        </is>
      </c>
      <c r="N439" s="6" t="inlineStr">
        <is>
          <t xml:space="preserve">Lag: Φ(x)</t>
        </is>
      </c>
      <c r="O439" s="6" t="inlineStr">
        <is>
          <t xml:space="preserve">Lag: Ψ(x)</t>
        </is>
      </c>
      <c r="P439" s="6" t="inlineStr">
        <is>
          <t xml:space="preserve">Lag: gap CO₂ change</t>
        </is>
      </c>
      <c r="Q439" s="6" t="inlineStr">
        <is>
          <t xml:space="preserve">Lag: CO₂ at pulse start</t>
        </is>
      </c>
      <c r="R439" s="6" t="inlineStr">
        <is>
          <t xml:space="preserve">Lag: cycle-mean CO₂</t>
        </is>
      </c>
      <c r="S439" s="6" t="inlineStr">
        <is>
          <t xml:space="preserve">Lag: crossing (min)</t>
        </is>
      </c>
    </row>
    <row r="440">
      <c r="A440" s="41">
        <f>grid_t_min</f>
        <v>0.02</v>
      </c>
      <c r="B440" s="41">
        <f>MAX(0,A440*60-spg_dur)</f>
        <v>0.55</v>
      </c>
      <c r="C440" s="41">
        <f>k_eff_CO2*B440</f>
        <v>7.986493009448e-06</v>
      </c>
      <c r="D440" s="41">
        <f>EXP(-C440)</f>
        <v>0.999992013539</v>
      </c>
      <c r="E440" s="41">
        <f>IF(C440&gt;0,(1-D440)/C440,1)</f>
        <v>0.99999600677</v>
      </c>
      <c r="F440" s="41">
        <f>IF(C440&gt;0,(C440-1+D440)/C440^2,1/2)</f>
        <v>0.499998404672</v>
      </c>
      <c r="G440" s="41">
        <f>(C_air_CO2/C_sat_CO2*F_vent_ex-CO2_fix_sched)*(B440/3600)/(V_L_CO2+Vg_CO2)</f>
        <v>-0.0001055357268577</v>
      </c>
      <c r="H440" s="41">
        <f>(G440*E440+pool_b*D440)/(1-pool_ret*D440)</f>
        <v>28.052147539797</v>
      </c>
      <c r="I440" s="41">
        <f>MIN(C_sat_CO2,MAX(C_air_CO2,(pool_ret*H440+pool_b)*E440+G440*F440))</f>
        <v>28.052312327445</v>
      </c>
      <c r="J440" s="41">
        <f>IF(AND(I440&gt;=CO2_pH_hi_mt,I441&lt;CO2_pH_hi_mt),EXP(LN(A440)+(LN(A441)-LN(A440))*(I440-CO2_pH_hi_mt)/(I440-I441)),0)</f>
        <v>0.0</v>
      </c>
      <c r="L440" s="41">
        <f>k_eff_CO2_l*B440</f>
        <v>3.994548582047e-05</v>
      </c>
      <c r="M440" s="41">
        <f>EXP(-L440)</f>
        <v>0.999960055312</v>
      </c>
      <c r="N440" s="41">
        <f>IF(L440&gt;0,(1-M440)/L440,1)</f>
        <v>0.999980027523</v>
      </c>
      <c r="O440" s="41">
        <f>IF(L440&gt;0,(L440-1+M440)/L440^2,1/2)</f>
        <v>0.499993321548</v>
      </c>
      <c r="P440" s="41">
        <f>(C_air_CO2/C_sat_CO2*F_vent_ex-CO2_fix_l)*(B440/3600)/(V_L_CO2+Vg_CO2)</f>
        <v>9.231456803077e-08</v>
      </c>
      <c r="Q440" s="41">
        <f>(P440*N440+pool_b*M440)/(1-pool_ret*M440)</f>
        <v>28.04360360413</v>
      </c>
      <c r="R440" s="41">
        <f>MIN(C_sat_CO2,MAX(C_air_CO2,(pool_ret*Q440+pool_b)*N440+P440*O440))</f>
        <v>28.044163673107</v>
      </c>
      <c r="S440" s="41">
        <f>IF(AND(R440&gt;=CO2_pH_hi_mt,R441&lt;CO2_pH_hi_mt),EXP(LN(A440)+(LN(A441)-LN(A440))*(R440-CO2_pH_hi_mt)/(R440-R441)),0)</f>
        <v>0.0</v>
      </c>
    </row>
    <row r="441">
      <c r="A441" s="41">
        <f>A440*grid_ratio</f>
        <v>0.022401290537</v>
      </c>
      <c r="B441" s="41">
        <f>MAX(0,A441*60-spg_dur)</f>
        <v>0.694077432204</v>
      </c>
      <c r="C441" s="41">
        <f>k_eff_CO2*B441</f>
        <v>1.007862647329e-05</v>
      </c>
      <c r="D441" s="41">
        <f>EXP(-C441)</f>
        <v>0.999989921424</v>
      </c>
      <c r="E441" s="41">
        <f>IF(C441&gt;0,(1-D441)/C441,1)</f>
        <v>0.999994960707</v>
      </c>
      <c r="F441" s="41">
        <f>IF(C441&gt;0,(C441-1+D441)/C441^2,1/2)</f>
        <v>0.49999798057</v>
      </c>
      <c r="G441" s="41">
        <f>(C_air_CO2/C_sat_CO2*F_vent_ex-CO2_fix_sched)*(B441/3600)/(V_L_CO2+Vg_CO2)</f>
        <v>-0.0001331817569148</v>
      </c>
      <c r="H441" s="41">
        <f>(G441*E441+pool_b*D441)/(1-pool_ret*D441)</f>
        <v>28.051214585379</v>
      </c>
      <c r="I441" s="41">
        <f>MIN(C_sat_CO2,MAX(C_air_CO2,(pool_ret*H441+pool_b)*E441+G441*F441))</f>
        <v>28.051422535946</v>
      </c>
      <c r="J441" s="41">
        <f>IF(AND(I441&gt;=CO2_pH_hi_mt,I442&lt;CO2_pH_hi_mt),EXP(LN(A441)+(LN(A442)-LN(A441))*(I441-CO2_pH_hi_mt)/(I441-I442)),0)</f>
        <v>0.0</v>
      </c>
      <c r="L441" s="41">
        <f>k_eff_CO2_l*B441</f>
        <v>5.040956404799e-05</v>
      </c>
      <c r="M441" s="41">
        <f>EXP(-L441)</f>
        <v>0.999949591706</v>
      </c>
      <c r="N441" s="41">
        <f>IF(L441&gt;0,(1-M441)/L441,1)</f>
        <v>0.999974795641</v>
      </c>
      <c r="O441" s="41">
        <f>IF(L441&gt;0,(L441-1+M441)/L441^2,1/2)</f>
        <v>0.499991621794</v>
      </c>
      <c r="P441" s="41">
        <f>(C_air_CO2/C_sat_CO2*F_vent_ex-CO2_fix_l)*(B441/3600)/(V_L_CO2+Vg_CO2)</f>
        <v>1.164971969705e-07</v>
      </c>
      <c r="Q441" s="41">
        <f>(P441*N441+pool_b*M441)/(1-pool_ret*M441)</f>
        <v>28.040434039093</v>
      </c>
      <c r="R441" s="41">
        <f>MIN(C_sat_CO2,MAX(C_air_CO2,(pool_ret*Q441+pool_b)*N441+P441*O441))</f>
        <v>28.04114074572</v>
      </c>
      <c r="S441" s="41">
        <f>IF(AND(R441&gt;=CO2_pH_hi_mt,R442&lt;CO2_pH_hi_mt),EXP(LN(A441)+(LN(A442)-LN(A441))*(R441-CO2_pH_hi_mt)/(R441-R442)),0)</f>
        <v>0.0</v>
      </c>
    </row>
    <row r="442">
      <c r="A442" s="41">
        <f>A441*grid_ratio</f>
        <v>0.025090890886</v>
      </c>
      <c r="B442" s="41">
        <f>MAX(0,A442*60-spg_dur)</f>
        <v>0.855453453132</v>
      </c>
      <c r="C442" s="41">
        <f>k_eff_CO2*B442</f>
        <v>1.242195095155e-05</v>
      </c>
      <c r="D442" s="41">
        <f>EXP(-C442)</f>
        <v>0.999987578126</v>
      </c>
      <c r="E442" s="41">
        <f>IF(C442&gt;0,(1-D442)/C442,1)</f>
        <v>0.999993789053</v>
      </c>
      <c r="F442" s="41">
        <f>IF(C442&gt;0,(C442-1+D442)/C442^2,1/2)</f>
        <v>0.499997600822</v>
      </c>
      <c r="G442" s="41">
        <f>(C_air_CO2/C_sat_CO2*F_vent_ex-CO2_fix_sched)*(B442/3600)/(V_L_CO2+Vg_CO2)</f>
        <v>-0.0001641470944896</v>
      </c>
      <c r="H442" s="41">
        <f>(G442*E442+pool_b*D442)/(1-pool_ret*D442)</f>
        <v>28.050169663999</v>
      </c>
      <c r="I442" s="41">
        <f>MIN(C_sat_CO2,MAX(C_air_CO2,(pool_ret*H442+pool_b)*E442+G442*F442))</f>
        <v>28.050425957643</v>
      </c>
      <c r="J442" s="41">
        <f>IF(AND(I442&gt;=CO2_pH_hi_mt,I443&lt;CO2_pH_hi_mt),EXP(LN(A442)+(LN(A443)-LN(A442))*(I442-CO2_pH_hi_mt)/(I442-I443)),0)</f>
        <v>0.0</v>
      </c>
      <c r="L442" s="41">
        <f>k_eff_CO2_l*B442</f>
        <v>6.213000687668e-05</v>
      </c>
      <c r="M442" s="41">
        <f>EXP(-L442)</f>
        <v>0.999937871923</v>
      </c>
      <c r="N442" s="41">
        <f>IF(L442&gt;0,(1-M442)/L442,1)</f>
        <v>0.99996893564</v>
      </c>
      <c r="O442" s="41">
        <f>IF(L442&gt;0,(L442-1+M442)/L442^2,1/2)</f>
        <v>0.499989647317</v>
      </c>
      <c r="P442" s="41">
        <f>(C_air_CO2/C_sat_CO2*F_vent_ex-CO2_fix_l)*(B442/3600)/(V_L_CO2+Vg_CO2)</f>
        <v>1.435833018116e-07</v>
      </c>
      <c r="Q442" s="41">
        <f>(P442*N442+pool_b*M442)/(1-pool_ret*M442)</f>
        <v>28.036884732991</v>
      </c>
      <c r="R442" s="41">
        <f>MIN(C_sat_CO2,MAX(C_air_CO2,(pool_ret*Q442+pool_b)*N442+P442*O442))</f>
        <v>28.037755645168</v>
      </c>
      <c r="S442" s="41">
        <f>IF(AND(R442&gt;=CO2_pH_hi_mt,R443&lt;CO2_pH_hi_mt),EXP(LN(A442)+(LN(A443)-LN(A442))*(R442-CO2_pH_hi_mt)/(R442-R443)),0)</f>
        <v>0.0</v>
      </c>
    </row>
    <row r="443">
      <c r="A443" s="41">
        <f>A442*grid_ratio</f>
        <v>0.028103416828</v>
      </c>
      <c r="B443" s="41">
        <f>MAX(0,A443*60-spg_dur)</f>
        <v>1.036205009657</v>
      </c>
      <c r="C443" s="41">
        <f>k_eff_CO2*B443</f>
        <v>1.504662557451e-05</v>
      </c>
      <c r="D443" s="41">
        <f>EXP(-C443)</f>
        <v>0.999984953488</v>
      </c>
      <c r="E443" s="41">
        <f>IF(C443&gt;0,(1-D443)/C443,1)</f>
        <v>0.999992476725</v>
      </c>
      <c r="F443" s="41">
        <f>IF(C443&gt;0,(C443-1+D443)/C443^2,1/2)</f>
        <v>0.499997452808</v>
      </c>
      <c r="G443" s="41">
        <f>(C_air_CO2/C_sat_CO2*F_vent_ex-CO2_fix_sched)*(B443/3600)/(V_L_CO2+Vg_CO2)</f>
        <v>-0.0001988302706686</v>
      </c>
      <c r="H443" s="41">
        <f>(G443*E443+pool_b*D443)/(1-pool_ret*D443)</f>
        <v>28.04899934455</v>
      </c>
      <c r="I443" s="41">
        <f>MIN(C_sat_CO2,MAX(C_air_CO2,(pool_ret*H443+pool_b)*E443+G443*F443))</f>
        <v>28.049309782645</v>
      </c>
      <c r="J443" s="41">
        <f>IF(AND(I443&gt;=CO2_pH_hi_mt,I444&lt;CO2_pH_hi_mt),EXP(LN(A443)+(LN(A444)-LN(A443))*(I443-CO2_pH_hi_mt)/(I443-I444)),0)</f>
        <v>0.0</v>
      </c>
      <c r="L443" s="41">
        <f>k_eff_CO2_l*B443</f>
        <v>7.525765912791e-05</v>
      </c>
      <c r="M443" s="41">
        <f>EXP(-L443)</f>
        <v>0.999924745173</v>
      </c>
      <c r="N443" s="41">
        <f>IF(L443&gt;0,(1-M443)/L443,1)</f>
        <v>0.999962372114</v>
      </c>
      <c r="O443" s="41">
        <f>IF(L443&gt;0,(L443-1+M443)/L443^2,1/2)</f>
        <v>0.499987455989</v>
      </c>
      <c r="P443" s="41">
        <f>(C_air_CO2/C_sat_CO2*F_vent_ex-CO2_fix_l)*(B443/3600)/(V_L_CO2+Vg_CO2)</f>
        <v>1.739214870142e-07</v>
      </c>
      <c r="Q443" s="41">
        <f>(P443*N443+pool_b*M443)/(1-pool_ret*M443)</f>
        <v>28.032910298524</v>
      </c>
      <c r="R443" s="41">
        <f>MIN(C_sat_CO2,MAX(C_air_CO2,(pool_ret*Q443+pool_b)*N443+P443*O443))</f>
        <v>28.033965083611</v>
      </c>
      <c r="S443" s="41">
        <f>IF(AND(R443&gt;=CO2_pH_hi_mt,R444&lt;CO2_pH_hi_mt),EXP(LN(A443)+(LN(A444)-LN(A443))*(R443-CO2_pH_hi_mt)/(R443-R444)),0)</f>
        <v>0.0</v>
      </c>
    </row>
    <row r="444">
      <c r="A444" s="41">
        <f>A443*grid_ratio</f>
        <v>0.031477640272</v>
      </c>
      <c r="B444" s="41">
        <f>MAX(0,A444*60-spg_dur)</f>
        <v>1.23865841629</v>
      </c>
      <c r="C444" s="41">
        <f>k_eff_CO2*B444</f>
        <v>1.798643051418e-05</v>
      </c>
      <c r="D444" s="41">
        <f>EXP(-C444)</f>
        <v>0.999982013731</v>
      </c>
      <c r="E444" s="41">
        <f>IF(C444&gt;0,(1-D444)/C444,1)</f>
        <v>0.999991006836</v>
      </c>
      <c r="F444" s="41">
        <f>IF(C444&gt;0,(C444-1+D444)/C444^2,1/2)</f>
        <v>0.49999722252</v>
      </c>
      <c r="G444" s="41">
        <f>(C_air_CO2/C_sat_CO2*F_vent_ex-CO2_fix_sched)*(B444/3600)/(V_L_CO2+Vg_CO2)</f>
        <v>-0.0002376776659848</v>
      </c>
      <c r="H444" s="41">
        <f>(G444*E444+pool_b*D444)/(1-pool_ret*D444)</f>
        <v>28.047688586418</v>
      </c>
      <c r="I444" s="41">
        <f>MIN(C_sat_CO2,MAX(C_air_CO2,(pool_ret*H444+pool_b)*E444+G444*F444))</f>
        <v>28.048059666259</v>
      </c>
      <c r="J444" s="41">
        <f>IF(AND(I444&gt;=CO2_pH_hi_mt,I445&lt;CO2_pH_hi_mt),EXP(LN(A444)+(LN(A445)-LN(A444))*(I444-CO2_pH_hi_mt)/(I444-I445)),0)</f>
        <v>0.0</v>
      </c>
      <c r="L444" s="41">
        <f>k_eff_CO2_l*B444</f>
        <v>8.996147673515e-05</v>
      </c>
      <c r="M444" s="41">
        <f>EXP(-L444)</f>
        <v>0.99991004257</v>
      </c>
      <c r="N444" s="41">
        <f>IF(L444&gt;0,(1-M444)/L444,1)</f>
        <v>0.99995502061</v>
      </c>
      <c r="O444" s="41">
        <f>IF(L444&gt;0,(L444-1+M444)/L444^2,1/2)</f>
        <v>0.499985007927</v>
      </c>
      <c r="P444" s="41">
        <f>(C_air_CO2/C_sat_CO2*F_vent_ex-CO2_fix_l)*(B444/3600)/(V_L_CO2+Vg_CO2)</f>
        <v>2.079022120682e-07</v>
      </c>
      <c r="Q444" s="41">
        <f>(P444*N444+pool_b*M444)/(1-pool_ret*M444)</f>
        <v>28.028459951309</v>
      </c>
      <c r="R444" s="41">
        <f>MIN(C_sat_CO2,MAX(C_air_CO2,(pool_ret*Q444+pool_b)*N444+P444*O444))</f>
        <v>28.029720625974</v>
      </c>
      <c r="S444" s="41">
        <f>IF(AND(R444&gt;=CO2_pH_hi_mt,R445&lt;CO2_pH_hi_mt),EXP(LN(A444)+(LN(A445)-LN(A444))*(R444-CO2_pH_hi_mt)/(R444-R445)),0)</f>
        <v>0.0</v>
      </c>
    </row>
    <row r="445">
      <c r="A445" s="41">
        <f>A444*grid_ratio</f>
        <v>0.035256988257</v>
      </c>
      <c r="B445" s="41">
        <f>MAX(0,A445*60-spg_dur)</f>
        <v>1.465419295398</v>
      </c>
      <c r="C445" s="41">
        <f>k_eff_CO2*B445</f>
        <v>2.127920174292e-05</v>
      </c>
      <c r="D445" s="41">
        <f>EXP(-C445)</f>
        <v>0.999978721025</v>
      </c>
      <c r="E445" s="41">
        <f>IF(C445&gt;0,(1-D445)/C445,1)</f>
        <v>0.999989360475</v>
      </c>
      <c r="F445" s="41">
        <f>IF(C445&gt;0,(C445-1+D445)/C445^2,1/2)</f>
        <v>0.499996359475</v>
      </c>
      <c r="G445" s="41">
        <f>(C_air_CO2/C_sat_CO2*F_vent_ex-CO2_fix_sched)*(B445/3600)/(V_L_CO2+Vg_CO2)</f>
        <v>-0.0002811892554384</v>
      </c>
      <c r="H445" s="41">
        <f>(G445*E445+pool_b*D445)/(1-pool_ret*D445)</f>
        <v>28.046220547025</v>
      </c>
      <c r="I445" s="41">
        <f>MIN(C_sat_CO2,MAX(C_air_CO2,(pool_ret*H445+pool_b)*E445+G445*F445))</f>
        <v>28.046659545402</v>
      </c>
      <c r="J445" s="41">
        <f>IF(AND(I445&gt;=CO2_pH_hi_mt,I446&lt;CO2_pH_hi_mt),EXP(LN(A445)+(LN(A446)-LN(A445))*(I445-CO2_pH_hi_mt)/(I445-I446)),0)</f>
        <v>0.0</v>
      </c>
      <c r="L445" s="41">
        <f>k_eff_CO2_l*B445</f>
        <v>0.0001064307012461</v>
      </c>
      <c r="M445" s="41">
        <f>EXP(-L445)</f>
        <v>0.999893574962</v>
      </c>
      <c r="N445" s="41">
        <f>IF(L445&gt;0,(1-M445)/L445,1)</f>
        <v>0.999946786538</v>
      </c>
      <c r="O445" s="41">
        <f>IF(L445&gt;0,(L445-1+M445)/L445^2,1/2)</f>
        <v>0.499982254919</v>
      </c>
      <c r="P445" s="41">
        <f>(C_air_CO2/C_sat_CO2*F_vent_ex-CO2_fix_l)*(B445/3600)/(V_L_CO2+Vg_CO2)</f>
        <v>2.459628167974e-07</v>
      </c>
      <c r="Q445" s="41">
        <f>(P445*N445+pool_b*M445)/(1-pool_ret*M445)</f>
        <v>28.023476875137</v>
      </c>
      <c r="R445" s="41">
        <f>MIN(C_sat_CO2,MAX(C_air_CO2,(pool_ret*Q445+pool_b)*N445+P445*O445))</f>
        <v>28.024968084217</v>
      </c>
      <c r="S445" s="41">
        <f>IF(AND(R445&gt;=CO2_pH_hi_mt,R446&lt;CO2_pH_hi_mt),EXP(LN(A445)+(LN(A446)-LN(A445))*(R445-CO2_pH_hi_mt)/(R445-R446)),0)</f>
        <v>0.0</v>
      </c>
    </row>
    <row r="446">
      <c r="A446" s="41">
        <f>A445*grid_ratio</f>
        <v>0.039490101869</v>
      </c>
      <c r="B446" s="41">
        <f>MAX(0,A446*60-spg_dur)</f>
        <v>1.71940611216</v>
      </c>
      <c r="C446" s="41">
        <f>k_eff_CO2*B446</f>
        <v>2.496731799121e-05</v>
      </c>
      <c r="D446" s="41">
        <f>EXP(-C446)</f>
        <v>0.999975032994</v>
      </c>
      <c r="E446" s="41">
        <f>IF(C446&gt;0,(1-D446)/C446,1)</f>
        <v>0.999987516443</v>
      </c>
      <c r="F446" s="41">
        <f>IF(C446&gt;0,(C446-1+D446)/C446^2,1/2)</f>
        <v>0.499995860338</v>
      </c>
      <c r="G446" s="41">
        <f>(C_air_CO2/C_sat_CO2*F_vent_ex-CO2_fix_sched)*(B446/3600)/(V_L_CO2+Vg_CO2)</f>
        <v>-0.0003299250432917</v>
      </c>
      <c r="H446" s="41">
        <f>(G446*E446+pool_b*D446)/(1-pool_ret*D446)</f>
        <v>28.044576366461</v>
      </c>
      <c r="I446" s="41">
        <f>MIN(C_sat_CO2,MAX(C_air_CO2,(pool_ret*H446+pool_b)*E446+G446*F446))</f>
        <v>28.045091432132</v>
      </c>
      <c r="J446" s="41">
        <f>IF(AND(I446&gt;=CO2_pH_hi_mt,I447&lt;CO2_pH_hi_mt),EXP(LN(A446)+(LN(A447)-LN(A446))*(I446-CO2_pH_hi_mt)/(I446-I447)),0)</f>
        <v>0.0</v>
      </c>
      <c r="L446" s="41">
        <f>k_eff_CO2_l*B446</f>
        <v>0.0001248772954053</v>
      </c>
      <c r="M446" s="41">
        <f>EXP(-L446)</f>
        <v>0.999875130501</v>
      </c>
      <c r="N446" s="41">
        <f>IF(L446&gt;0,(1-M446)/L446,1)</f>
        <v>0.999937563951</v>
      </c>
      <c r="O446" s="41">
        <f>IF(L446&gt;0,(L446-1+M446)/L446^2,1/2)</f>
        <v>0.499979190755</v>
      </c>
      <c r="P446" s="41">
        <f>(C_air_CO2/C_sat_CO2*F_vent_ex-CO2_fix_l)*(B446/3600)/(V_L_CO2+Vg_CO2)</f>
        <v>2.885931500246e-07</v>
      </c>
      <c r="Q446" s="41">
        <f>(P446*N446+pool_b*M446)/(1-pool_ret*M446)</f>
        <v>28.017897514373</v>
      </c>
      <c r="R446" s="41">
        <f>MIN(C_sat_CO2,MAX(C_air_CO2,(pool_ret*Q446+pool_b)*N446+P446*O446))</f>
        <v>28.019646842522</v>
      </c>
      <c r="S446" s="41">
        <f>IF(AND(R446&gt;=CO2_pH_hi_mt,R447&lt;CO2_pH_hi_mt),EXP(LN(A446)+(LN(A447)-LN(A446))*(R446-CO2_pH_hi_mt)/(R446-R447)),0)</f>
        <v>0.0</v>
      </c>
    </row>
    <row r="447">
      <c r="A447" s="41">
        <f>A446*grid_ratio</f>
        <v>0.044231462265</v>
      </c>
      <c r="B447" s="41">
        <f>MAX(0,A447*60-spg_dur)</f>
        <v>2.003887735899</v>
      </c>
      <c r="C447" s="41">
        <f>k_eff_CO2*B447</f>
        <v>2.909824617178e-05</v>
      </c>
      <c r="D447" s="41">
        <f>EXP(-C447)</f>
        <v>0.999970902177</v>
      </c>
      <c r="E447" s="41">
        <f>IF(C447&gt;0,(1-D447)/C447,1)</f>
        <v>0.999985451017</v>
      </c>
      <c r="F447" s="41">
        <f>IF(C447&gt;0,(C447-1+D447)/C447^2,1/2)</f>
        <v>0.499995211509</v>
      </c>
      <c r="G447" s="41">
        <f>(C_air_CO2/C_sat_CO2*F_vent_ex-CO2_fix_sched)*(B447/3600)/(V_L_CO2+Vg_CO2)</f>
        <v>-0.0003845122704535</v>
      </c>
      <c r="H447" s="41">
        <f>(G447*E447+pool_b*D447)/(1-pool_ret*D447)</f>
        <v>28.042734926511</v>
      </c>
      <c r="I447" s="41">
        <f>MIN(C_sat_CO2,MAX(C_air_CO2,(pool_ret*H447+pool_b)*E447+G447*F447))</f>
        <v>28.043335185624</v>
      </c>
      <c r="J447" s="41">
        <f>IF(AND(I447&gt;=CO2_pH_hi_mt,I448&lt;CO2_pH_hi_mt),EXP(LN(A447)+(LN(A448)-LN(A447))*(I447-CO2_pH_hi_mt)/(I447-I448)),0)</f>
        <v>0.0</v>
      </c>
      <c r="L447" s="41">
        <f>k_eff_CO2_l*B447</f>
        <v>0.000145538671164</v>
      </c>
      <c r="M447" s="41">
        <f>EXP(-L447)</f>
        <v>0.999854471919</v>
      </c>
      <c r="N447" s="41">
        <f>IF(L447&gt;0,(1-M447)/L447,1)</f>
        <v>0.999927234195</v>
      </c>
      <c r="O447" s="41">
        <f>IF(L447&gt;0,(L447-1+M447)/L447^2,1/2)</f>
        <v>0.499975741708</v>
      </c>
      <c r="P447" s="41">
        <f>(C_air_CO2/C_sat_CO2*F_vent_ex-CO2_fix_l)*(B447/3600)/(V_L_CO2+Vg_CO2)</f>
        <v>3.363418740395e-07</v>
      </c>
      <c r="Q447" s="41">
        <f>(P447*N447+pool_b*M447)/(1-pool_ret*M447)</f>
        <v>28.011650785591</v>
      </c>
      <c r="R447" s="41">
        <f>MIN(C_sat_CO2,MAX(C_air_CO2,(pool_ret*Q447+pool_b)*N447+P447*O447))</f>
        <v>28.013689105527</v>
      </c>
      <c r="S447" s="41">
        <f>IF(AND(R447&gt;=CO2_pH_hi_mt,R448&lt;CO2_pH_hi_mt),EXP(LN(A447)+(LN(A448)-LN(A447))*(R447-CO2_pH_hi_mt)/(R447-R448)),0)</f>
        <v>0.0</v>
      </c>
    </row>
    <row r="448">
      <c r="A448" s="41">
        <f>A447*grid_ratio</f>
        <v>0.049542091853</v>
      </c>
      <c r="B448" s="41">
        <f>MAX(0,A448*60-spg_dur)</f>
        <v>2.322525511187</v>
      </c>
      <c r="C448" s="41">
        <f>k_eff_CO2*B448</f>
        <v>3.372515228974e-05</v>
      </c>
      <c r="D448" s="41">
        <f>EXP(-C448)</f>
        <v>0.999966275416</v>
      </c>
      <c r="E448" s="41">
        <f>IF(C448&gt;0,(1-D448)/C448,1)</f>
        <v>0.999983137613</v>
      </c>
      <c r="F448" s="41">
        <f>IF(C448&gt;0,(C448-1+D448)/C448^2,1/2)</f>
        <v>0.499994367627</v>
      </c>
      <c r="G448" s="41">
        <f>(C_air_CO2/C_sat_CO2*F_vent_ex-CO2_fix_sched)*(B448/3600)/(V_L_CO2+Vg_CO2)</f>
        <v>-0.0004456534872159</v>
      </c>
      <c r="H448" s="41">
        <f>(G448*E448+pool_b*D448)/(1-pool_ret*D448)</f>
        <v>28.040672581064</v>
      </c>
      <c r="I448" s="41">
        <f>MIN(C_sat_CO2,MAX(C_air_CO2,(pool_ret*H448+pool_b)*E448+G448*F448))</f>
        <v>28.041368253601</v>
      </c>
      <c r="J448" s="41">
        <f>IF(AND(I448&gt;=CO2_pH_hi_mt,I449&lt;CO2_pH_hi_mt),EXP(LN(A448)+(LN(A449)-LN(A448))*(I448-CO2_pH_hi_mt)/(I448-I449)),0)</f>
        <v>0.0</v>
      </c>
      <c r="L448" s="41">
        <f>k_eff_CO2_l*B448</f>
        <v>0.0001686807452269</v>
      </c>
      <c r="M448" s="41">
        <f>EXP(-L448)</f>
        <v>0.999831333481</v>
      </c>
      <c r="N448" s="41">
        <f>IF(L448&gt;0,(1-M448)/L448,1)</f>
        <v>0.99991566437</v>
      </c>
      <c r="O448" s="41">
        <f>IF(L448&gt;0,(L448-1+M448)/L448^2,1/2)</f>
        <v>0.499971886449</v>
      </c>
      <c r="P448" s="41">
        <f>(C_air_CO2/C_sat_CO2*F_vent_ex-CO2_fix_l)*(B448/3600)/(V_L_CO2+Vg_CO2)</f>
        <v>3.898235260103e-07</v>
      </c>
      <c r="Q448" s="41">
        <f>(P448*N448+pool_b*M448)/(1-pool_ret*M448)</f>
        <v>28.004657199799</v>
      </c>
      <c r="R448" s="41">
        <f>MIN(C_sat_CO2,MAX(C_air_CO2,(pool_ret*Q448+pool_b)*N448+P448*O448))</f>
        <v>28.007019060916</v>
      </c>
      <c r="S448" s="41">
        <f>IF(AND(R448&gt;=CO2_pH_hi_mt,R449&lt;CO2_pH_hi_mt),EXP(LN(A448)+(LN(A449)-LN(A448))*(R448-CO2_pH_hi_mt)/(R448-R449)),0)</f>
        <v>0.0</v>
      </c>
    </row>
    <row r="449">
      <c r="A449" s="41">
        <f>A448*grid_ratio</f>
        <v>0.05549033967</v>
      </c>
      <c r="B449" s="41">
        <f>MAX(0,A449*60-spg_dur)</f>
        <v>2.679420380196</v>
      </c>
      <c r="C449" s="41">
        <f>k_eff_CO2*B449</f>
        <v>3.890758570148e-05</v>
      </c>
      <c r="D449" s="41">
        <f>EXP(-C449)</f>
        <v>0.999961093171</v>
      </c>
      <c r="E449" s="41">
        <f>IF(C449&gt;0,(1-D449)/C449,1)</f>
        <v>0.999980546458</v>
      </c>
      <c r="F449" s="41">
        <f>IF(C449&gt;0,(C449-1+D449)/C449^2,1/2)</f>
        <v>0.499993536553</v>
      </c>
      <c r="G449" s="41">
        <f>(C_air_CO2/C_sat_CO2*F_vent_ex-CO2_fix_sched)*(B449/3600)/(V_L_CO2+Vg_CO2)</f>
        <v>-0.000514135595239</v>
      </c>
      <c r="H449" s="41">
        <f>(G449*E449+pool_b*D449)/(1-pool_ret*D449)</f>
        <v>28.038362854548</v>
      </c>
      <c r="I449" s="41">
        <f>MIN(C_sat_CO2,MAX(C_air_CO2,(pool_ret*H449+pool_b)*E449+G449*F449))</f>
        <v>28.039165385215</v>
      </c>
      <c r="J449" s="41">
        <f>IF(AND(I449&gt;=CO2_pH_hi_mt,I450&lt;CO2_pH_hi_mt),EXP(LN(A449)+(LN(A450)-LN(A449))*(I449-CO2_pH_hi_mt)/(I449-I450)),0)</f>
        <v>0.0</v>
      </c>
      <c r="L449" s="41">
        <f>k_eff_CO2_l*B449</f>
        <v>0.0001946013614622</v>
      </c>
      <c r="M449" s="41">
        <f>EXP(-L449)</f>
        <v>0.999805417572</v>
      </c>
      <c r="N449" s="41">
        <f>IF(L449&gt;0,(1-M449)/L449,1)</f>
        <v>0.99990270563</v>
      </c>
      <c r="O449" s="41">
        <f>IF(L449&gt;0,(L449-1+M449)/L449^2,1/2)</f>
        <v>0.499967568893</v>
      </c>
      <c r="P449" s="41">
        <f>(C_air_CO2/C_sat_CO2*F_vent_ex-CO2_fix_l)*(B449/3600)/(V_L_CO2+Vg_CO2)</f>
        <v>4.497264272194e-07</v>
      </c>
      <c r="Q449" s="41">
        <f>(P449*N449+pool_b*M449)/(1-pool_ret*M449)</f>
        <v>27.996827885842</v>
      </c>
      <c r="R449" s="41">
        <f>MIN(C_sat_CO2,MAX(C_air_CO2,(pool_ret*Q449+pool_b)*N449+P449*O449))</f>
        <v>27.999551948085</v>
      </c>
      <c r="S449" s="41">
        <f>IF(AND(R449&gt;=CO2_pH_hi_mt,R450&lt;CO2_pH_hi_mt),EXP(LN(A449)+(LN(A450)-LN(A449))*(R449-CO2_pH_hi_mt)/(R449-R450)),0)</f>
        <v>0.0</v>
      </c>
    </row>
    <row r="450">
      <c r="A450" s="41">
        <f>A449*grid_ratio</f>
        <v>0.062152761046</v>
      </c>
      <c r="B450" s="41">
        <f>MAX(0,A450*60-spg_dur)</f>
        <v>3.079165662784</v>
      </c>
      <c r="C450" s="41">
        <f>k_eff_CO2*B450</f>
        <v>4.471224552865e-05</v>
      </c>
      <c r="D450" s="41">
        <f>EXP(-C450)</f>
        <v>0.999955288754</v>
      </c>
      <c r="E450" s="41">
        <f>IF(C450&gt;0,(1-D450)/C450,1)</f>
        <v>0.99997764421</v>
      </c>
      <c r="F450" s="41">
        <f>IF(C450&gt;0,(C450-1+D450)/C450^2,1/2)</f>
        <v>0.499992537834</v>
      </c>
      <c r="G450" s="41">
        <f>(C_air_CO2/C_sat_CO2*F_vent_ex-CO2_fix_sched)*(B450/3600)/(V_L_CO2+Vg_CO2)</f>
        <v>-0.0005908399751586</v>
      </c>
      <c r="H450" s="41">
        <f>(G450*E450+pool_b*D450)/(1-pool_ret*D450)</f>
        <v>28.035776104652</v>
      </c>
      <c r="I450" s="41">
        <f>MIN(C_sat_CO2,MAX(C_air_CO2,(pool_ret*H450+pool_b)*E450+G450*F450))</f>
        <v>28.036698309626</v>
      </c>
      <c r="J450" s="41">
        <f>IF(AND(I450&gt;=CO2_pH_hi_mt,I451&lt;CO2_pH_hi_mt),EXP(LN(A450)+(LN(A451)-LN(A450))*(I450-CO2_pH_hi_mt)/(I450-I451)),0)</f>
        <v>0.0</v>
      </c>
      <c r="L450" s="41">
        <f>k_eff_CO2_l*B450</f>
        <v>0.0002236341242211</v>
      </c>
      <c r="M450" s="41">
        <f>EXP(-L450)</f>
        <v>0.99977639088</v>
      </c>
      <c r="N450" s="41">
        <f>IF(L450&gt;0,(1-M450)/L450,1)</f>
        <v>0.999888191273</v>
      </c>
      <c r="O450" s="41">
        <f>IF(L450&gt;0,(L450-1+M450)/L450^2,1/2)</f>
        <v>0.499962729633</v>
      </c>
      <c r="P450" s="41">
        <f>(C_air_CO2/C_sat_CO2*F_vent_ex-CO2_fix_l)*(B450/3600)/(V_L_CO2+Vg_CO2)</f>
        <v>5.168215419183e-07</v>
      </c>
      <c r="Q450" s="41">
        <f>(P450*N450+pool_b*M450)/(1-pool_ret*M450)</f>
        <v>27.988063504751</v>
      </c>
      <c r="R450" s="41">
        <f>MIN(C_sat_CO2,MAX(C_air_CO2,(pool_ret*Q450+pool_b)*N450+P450*O450))</f>
        <v>27.991193022659</v>
      </c>
      <c r="S450" s="41">
        <f>IF(AND(R450&gt;=CO2_pH_hi_mt,R451&lt;CO2_pH_hi_mt),EXP(LN(A450)+(LN(A451)-LN(A450))*(R450-CO2_pH_hi_mt)/(R450-R451)),0)</f>
        <v>0.0</v>
      </c>
    </row>
    <row r="451">
      <c r="A451" s="41">
        <f>A450*grid_ratio</f>
        <v>0.069615102893</v>
      </c>
      <c r="B451" s="41">
        <f>MAX(0,A451*60-spg_dur)</f>
        <v>3.52690617358</v>
      </c>
      <c r="C451" s="41">
        <f>k_eff_CO2*B451</f>
        <v>5.121383909141e-05</v>
      </c>
      <c r="D451" s="41">
        <f>EXP(-C451)</f>
        <v>0.999948787472</v>
      </c>
      <c r="E451" s="41">
        <f>IF(C451&gt;0,(1-D451)/C451,1)</f>
        <v>0.999974393518</v>
      </c>
      <c r="F451" s="41">
        <f>IF(C451&gt;0,(C451-1+D451)/C451^2,1/2)</f>
        <v>0.499991482431</v>
      </c>
      <c r="G451" s="41">
        <f>(C_air_CO2/C_sat_CO2*F_vent_ex-CO2_fix_sched)*(B451/3600)/(V_L_CO2+Vg_CO2)</f>
        <v>-0.0006767538301596</v>
      </c>
      <c r="H451" s="41">
        <f>(G451*E451+pool_b*D451)/(1-pool_ret*D451)</f>
        <v>28.03287914517</v>
      </c>
      <c r="I451" s="41">
        <f>MIN(C_sat_CO2,MAX(C_air_CO2,(pool_ret*H451+pool_b)*E451+G451*F451))</f>
        <v>28.033935375784</v>
      </c>
      <c r="J451" s="41">
        <f>IF(AND(I451&gt;=CO2_pH_hi_mt,I452&lt;CO2_pH_hi_mt),EXP(LN(A451)+(LN(A452)-LN(A451))*(I451-CO2_pH_hi_mt)/(I451-I452)),0)</f>
        <v>0.0</v>
      </c>
      <c r="L451" s="41">
        <f>k_eff_CO2_l*B451</f>
        <v>0.0002561526919034</v>
      </c>
      <c r="M451" s="41">
        <f>EXP(-L451)</f>
        <v>0.999743880112</v>
      </c>
      <c r="N451" s="41">
        <f>IF(L451&gt;0,(1-M451)/L451,1)</f>
        <v>0.999871934589</v>
      </c>
      <c r="O451" s="41">
        <f>IF(L451&gt;0,(L451-1+M451)/L451^2,1/2)</f>
        <v>0.499957310102</v>
      </c>
      <c r="P451" s="41">
        <f>(C_air_CO2/C_sat_CO2*F_vent_ex-CO2_fix_l)*(B451/3600)/(V_L_CO2+Vg_CO2)</f>
        <v>5.919723998166e-07</v>
      </c>
      <c r="Q451" s="41">
        <f>(P451*N451+pool_b*M451)/(1-pool_ret*M451)</f>
        <v>27.978253044002</v>
      </c>
      <c r="R451" s="41">
        <f>MIN(C_sat_CO2,MAX(C_air_CO2,(pool_ret*Q451+pool_b)*N451+P451*O451))</f>
        <v>27.981836406387</v>
      </c>
      <c r="S451" s="41">
        <f>IF(AND(R451&gt;=CO2_pH_hi_mt,R452&lt;CO2_pH_hi_mt),EXP(LN(A451)+(LN(A452)-LN(A451))*(R451-CO2_pH_hi_mt)/(R451-R452)),0)</f>
        <v>0.0</v>
      </c>
    </row>
    <row r="452">
      <c r="A452" s="41">
        <f>A451*grid_ratio</f>
        <v>0.077973407283</v>
      </c>
      <c r="B452" s="41">
        <f>MAX(0,A452*60-spg_dur)</f>
        <v>4.028404436951</v>
      </c>
      <c r="C452" s="41">
        <f>k_eff_CO2*B452</f>
        <v>5.849604340898e-05</v>
      </c>
      <c r="D452" s="41">
        <f>EXP(-C452)</f>
        <v>0.999941505667</v>
      </c>
      <c r="E452" s="41">
        <f>IF(C452&gt;0,(1-D452)/C452,1)</f>
        <v>0.999970752549</v>
      </c>
      <c r="F452" s="41">
        <f>IF(C452&gt;0,(C452-1+D452)/C452^2,1/2)</f>
        <v>0.49999026357</v>
      </c>
      <c r="G452" s="41">
        <f>(C_air_CO2/C_sat_CO2*F_vent_ex-CO2_fix_sched)*(B452/3600)/(V_L_CO2+Vg_CO2)</f>
        <v>-0.00077298289151</v>
      </c>
      <c r="H452" s="41">
        <f>(G452*E452+pool_b*D452)/(1-pool_ret*D452)</f>
        <v>28.029634824341</v>
      </c>
      <c r="I452" s="41">
        <f>MIN(C_sat_CO2,MAX(C_air_CO2,(pool_ret*H452+pool_b)*E452+G452*F452))</f>
        <v>28.030841150665</v>
      </c>
      <c r="J452" s="41">
        <f>IF(AND(I452&gt;=CO2_pH_hi_mt,I453&lt;CO2_pH_hi_mt),EXP(LN(A452)+(LN(A453)-LN(A452))*(I452-CO2_pH_hi_mt)/(I452-I453)),0)</f>
        <v>0.0</v>
      </c>
      <c r="L452" s="41">
        <f>k_eff_CO2_l*B452</f>
        <v>0.0002925755860279</v>
      </c>
      <c r="M452" s="41">
        <f>EXP(-L452)</f>
        <v>0.99970746721</v>
      </c>
      <c r="N452" s="41">
        <f>IF(L452&gt;0,(1-M452)/L452,1)</f>
        <v>0.999853726473</v>
      </c>
      <c r="O452" s="41">
        <f>IF(L452&gt;0,(L452-1+M452)/L452^2,1/2)</f>
        <v>0.499951241589</v>
      </c>
      <c r="P452" s="41">
        <f>(C_air_CO2/C_sat_CO2*F_vent_ex-CO2_fix_l)*(B452/3600)/(V_L_CO2+Vg_CO2)</f>
        <v>6.761462099097e-07</v>
      </c>
      <c r="Q452" s="41">
        <f>(P452*N452+pool_b*M452)/(1-pool_ret*M452)</f>
        <v>27.967272479829</v>
      </c>
      <c r="R452" s="41">
        <f>MIN(C_sat_CO2,MAX(C_air_CO2,(pool_ret*Q452+pool_b)*N452+P452*O452))</f>
        <v>27.971363811319</v>
      </c>
      <c r="S452" s="41">
        <f>IF(AND(R452&gt;=CO2_pH_hi_mt,R453&lt;CO2_pH_hi_mt),EXP(LN(A452)+(LN(A453)-LN(A452))*(R452-CO2_pH_hi_mt)/(R452-R453)),0)</f>
        <v>0.0</v>
      </c>
    </row>
    <row r="453">
      <c r="A453" s="41">
        <f>A452*grid_ratio</f>
        <v>0.087335247534</v>
      </c>
      <c r="B453" s="41">
        <f>MAX(0,A453*60-spg_dur)</f>
        <v>4.590114852022</v>
      </c>
      <c r="C453" s="41">
        <f>k_eff_CO2*B453</f>
        <v>6.665258214225e-05</v>
      </c>
      <c r="D453" s="41">
        <f>EXP(-C453)</f>
        <v>0.999933349639</v>
      </c>
      <c r="E453" s="41">
        <f>IF(C453&gt;0,(1-D453)/C453,1)</f>
        <v>0.999966674449</v>
      </c>
      <c r="F453" s="41">
        <f>IF(C453&gt;0,(C453-1+D453)/C453^2,1/2)</f>
        <v>0.499988885123</v>
      </c>
      <c r="G453" s="41">
        <f>(C_air_CO2/C_sat_CO2*F_vent_ex-CO2_fix_sched)*(B453/3600)/(V_L_CO2+Vg_CO2)</f>
        <v>-0.0008807656495793</v>
      </c>
      <c r="H453" s="41">
        <f>(G453*E453+pool_b*D453)/(1-pool_ret*D453)</f>
        <v>28.02600155353</v>
      </c>
      <c r="I453" s="41">
        <f>MIN(C_sat_CO2,MAX(C_air_CO2,(pool_ret*H453+pool_b)*E453+G453*F453))</f>
        <v>28.027375969582</v>
      </c>
      <c r="J453" s="41">
        <f>IF(AND(I453&gt;=CO2_pH_hi_mt,I454&lt;CO2_pH_hi_mt),EXP(LN(A453)+(LN(A454)-LN(A453))*(I453-CO2_pH_hi_mt)/(I453-I454)),0)</f>
        <v>0.0</v>
      </c>
      <c r="L453" s="41">
        <f>k_eff_CO2_l*B453</f>
        <v>0.0003333715777014</v>
      </c>
      <c r="M453" s="41">
        <f>EXP(-L453)</f>
        <v>0.999666683984</v>
      </c>
      <c r="N453" s="41">
        <f>IF(L453&gt;0,(1-M453)/L453,1)</f>
        <v>0.999833332732</v>
      </c>
      <c r="O453" s="41">
        <f>IF(L453&gt;0,(L453-1+M453)/L453^2,1/2)</f>
        <v>0.499944443135</v>
      </c>
      <c r="P453" s="41">
        <f>(C_air_CO2/C_sat_CO2*F_vent_ex-CO2_fix_l)*(B453/3600)/(V_L_CO2+Vg_CO2)</f>
        <v>7.704263086837e-07</v>
      </c>
      <c r="Q453" s="41">
        <f>(P453*N453+pool_b*M453)/(1-pool_ret*M453)</f>
        <v>27.954983294921</v>
      </c>
      <c r="R453" s="41">
        <f>MIN(C_sat_CO2,MAX(C_air_CO2,(pool_ret*Q453+pool_b)*N453+P453*O453))</f>
        <v>27.959643125951</v>
      </c>
      <c r="S453" s="41">
        <f>IF(AND(R453&gt;=CO2_pH_hi_mt,R454&lt;CO2_pH_hi_mt),EXP(LN(A453)+(LN(A454)-LN(A453))*(R453-CO2_pH_hi_mt)/(R453-R454)),0)</f>
        <v>0.0</v>
      </c>
    </row>
    <row r="454">
      <c r="A454" s="41">
        <f>A453*grid_ratio</f>
        <v>0.097821112705</v>
      </c>
      <c r="B454" s="41">
        <f>MAX(0,A454*60-spg_dur)</f>
        <v>5.219266762298</v>
      </c>
      <c r="C454" s="41">
        <f>k_eff_CO2*B454</f>
        <v>7.578843183916e-05</v>
      </c>
      <c r="D454" s="41">
        <f>EXP(-C454)</f>
        <v>0.99992421444</v>
      </c>
      <c r="E454" s="41">
        <f>IF(C454&gt;0,(1-D454)/C454,1)</f>
        <v>0.999962106742</v>
      </c>
      <c r="F454" s="41">
        <f>IF(C454&gt;0,(C454-1+D454)/C454^2,1/2)</f>
        <v>0.499987365675</v>
      </c>
      <c r="G454" s="41">
        <f>(C_air_CO2/C_sat_CO2*F_vent_ex-CO2_fix_sched)*(B454/3600)/(V_L_CO2+Vg_CO2)</f>
        <v>-0.001001489293</v>
      </c>
      <c r="H454" s="41">
        <f>(G454*E454+pool_b*D454)/(1-pool_ret*D454)</f>
        <v>28.021932780554</v>
      </c>
      <c r="I454" s="41">
        <f>MIN(C_sat_CO2,MAX(C_air_CO2,(pool_ret*H454+pool_b)*E454+G454*F454))</f>
        <v>28.023495433872</v>
      </c>
      <c r="J454" s="41">
        <f>IF(AND(I454&gt;=CO2_pH_hi_mt,I455&lt;CO2_pH_hi_mt),EXP(LN(A454)+(LN(A455)-LN(A454))*(I454-CO2_pH_hi_mt)/(I454-I455)),0)</f>
        <v>0.0</v>
      </c>
      <c r="L454" s="41">
        <f>k_eff_CO2_l*B454</f>
        <v>0.0003790657208121</v>
      </c>
      <c r="M454" s="41">
        <f>EXP(-L454)</f>
        <v>0.999621006116</v>
      </c>
      <c r="N454" s="41">
        <f>IF(L454&gt;0,(1-M454)/L454,1)</f>
        <v>0.999810491086</v>
      </c>
      <c r="O454" s="41">
        <f>IF(L454&gt;0,(L454-1+M454)/L454^2,1/2)</f>
        <v>0.499936827954</v>
      </c>
      <c r="P454" s="41">
        <f>(C_air_CO2/C_sat_CO2*F_vent_ex-CO2_fix_l)*(B454/3600)/(V_L_CO2+Vg_CO2)</f>
        <v>8.760261029071e-07</v>
      </c>
      <c r="Q454" s="41">
        <f>(P454*N454+pool_b*M454)/(1-pool_ret*M454)</f>
        <v>27.94123083813</v>
      </c>
      <c r="R454" s="41">
        <f>MIN(C_sat_CO2,MAX(C_air_CO2,(pool_ret*Q454+pool_b)*N454+P454*O454))</f>
        <v>27.946526850681</v>
      </c>
      <c r="S454" s="41">
        <f>IF(AND(R454&gt;=CO2_pH_hi_mt,R455&lt;CO2_pH_hi_mt),EXP(LN(A454)+(LN(A455)-LN(A454))*(R454-CO2_pH_hi_mt)/(R454-R455)),0)</f>
        <v>0.0</v>
      </c>
    </row>
    <row r="455">
      <c r="A455" s="41">
        <f>A454*grid_ratio</f>
        <v>0.109565958316</v>
      </c>
      <c r="B455" s="41">
        <f>MAX(0,A455*60-spg_dur)</f>
        <v>5.923957498989</v>
      </c>
      <c r="C455" s="41">
        <f>k_eff_CO2*B455</f>
        <v>8.602117300718e-05</v>
      </c>
      <c r="D455" s="41">
        <f>EXP(-C455)</f>
        <v>0.999913982527</v>
      </c>
      <c r="E455" s="41">
        <f>IF(C455&gt;0,(1-D455)/C455,1)</f>
        <v>0.999956990647</v>
      </c>
      <c r="F455" s="41">
        <f>IF(C455&gt;0,(C455-1+D455)/C455^2,1/2)</f>
        <v>0.499985658233</v>
      </c>
      <c r="G455" s="41">
        <f>(C_air_CO2/C_sat_CO2*F_vent_ex-CO2_fix_sched)*(B455/3600)/(V_L_CO2+Vg_CO2)</f>
        <v>-0.001136707565</v>
      </c>
      <c r="H455" s="41">
        <f>(G455*E455+pool_b*D455)/(1-pool_ret*D455)</f>
        <v>28.017376401279</v>
      </c>
      <c r="I455" s="41">
        <f>MIN(C_sat_CO2,MAX(C_air_CO2,(pool_ret*H455+pool_b)*E455+G455*F455))</f>
        <v>28.019149849715</v>
      </c>
      <c r="J455" s="41">
        <f>IF(AND(I455&gt;=CO2_pH_hi_mt,I456&lt;CO2_pH_hi_mt),EXP(LN(A455)+(LN(A456)-LN(A455))*(I455-CO2_pH_hi_mt)/(I455-I456)),0)</f>
        <v>0.0</v>
      </c>
      <c r="L455" s="41">
        <f>k_eff_CO2_l*B455</f>
        <v>0.0004302461095945</v>
      </c>
      <c r="M455" s="41">
        <f>EXP(-L455)</f>
        <v>0.999569846433</v>
      </c>
      <c r="N455" s="41">
        <f>IF(L455&gt;0,(1-M455)/L455,1)</f>
        <v>0.999784907794</v>
      </c>
      <c r="O455" s="41">
        <f>IF(L455&gt;0,(L455-1+M455)/L455^2,1/2)</f>
        <v>0.499928299551</v>
      </c>
      <c r="P455" s="41">
        <f>(C_air_CO2/C_sat_CO2*F_vent_ex-CO2_fix_l)*(B455/3600)/(V_L_CO2+Vg_CO2)</f>
        <v>9.943046864579e-07</v>
      </c>
      <c r="Q455" s="41">
        <f>(P455*N455+pool_b*M455)/(1-pool_ret*M455)</f>
        <v>27.92584251213</v>
      </c>
      <c r="R455" s="41">
        <f>MIN(C_sat_CO2,MAX(C_air_CO2,(pool_ret*Q455+pool_b)*N455+P455*O455))</f>
        <v>27.931850369118</v>
      </c>
      <c r="S455" s="41">
        <f>IF(AND(R455&gt;=CO2_pH_hi_mt,R456&lt;CO2_pH_hi_mt),EXP(LN(A455)+(LN(A456)-LN(A455))*(R455-CO2_pH_hi_mt)/(R455-R456)),0)</f>
        <v>0.0</v>
      </c>
    </row>
    <row r="456">
      <c r="A456" s="41">
        <f>A455*grid_ratio</f>
        <v>0.122720943259</v>
      </c>
      <c r="B456" s="41">
        <f>MAX(0,A456*60-spg_dur)</f>
        <v>6.713256595548</v>
      </c>
      <c r="C456" s="41">
        <f>k_eff_CO2*B456</f>
        <v>9.748250340177e-05</v>
      </c>
      <c r="D456" s="41">
        <f>EXP(-C456)</f>
        <v>0.999902522248</v>
      </c>
      <c r="E456" s="41">
        <f>IF(C456&gt;0,(1-D456)/C456,1)</f>
        <v>0.999951260333</v>
      </c>
      <c r="F456" s="41">
        <f>IF(C456&gt;0,(C456-1+D456)/C456^2,1/2)</f>
        <v>0.499983751306</v>
      </c>
      <c r="G456" s="41">
        <f>(C_air_CO2/C_sat_CO2*F_vent_ex-CO2_fix_sched)*(B456/3600)/(V_L_CO2+Vg_CO2)</f>
        <v>-0.001288160753</v>
      </c>
      <c r="H456" s="41">
        <f>(G456*E456+pool_b*D456)/(1-pool_ret*D456)</f>
        <v>28.012274102506</v>
      </c>
      <c r="I456" s="41">
        <f>MIN(C_sat_CO2,MAX(C_air_CO2,(pool_ret*H456+pool_b)*E456+G456*F456))</f>
        <v>28.0142836015</v>
      </c>
      <c r="J456" s="41">
        <f>IF(AND(I456&gt;=CO2_pH_hi_mt,I457&lt;CO2_pH_hi_mt),EXP(LN(A456)+(LN(A457)-LN(A456))*(I456-CO2_pH_hi_mt)/(I456-I457)),0)</f>
        <v>0.0</v>
      </c>
      <c r="L456" s="41">
        <f>k_eff_CO2_l*B456</f>
        <v>0.0004875714475393</v>
      </c>
      <c r="M456" s="41">
        <f>EXP(-L456)</f>
        <v>0.999512547396</v>
      </c>
      <c r="N456" s="41">
        <f>IF(L456&gt;0,(1-M456)/L456,1)</f>
        <v>0.999756253892</v>
      </c>
      <c r="O456" s="41">
        <f>IF(L456&gt;0,(L456-1+M456)/L456^2,1/2)</f>
        <v>0.499918747836</v>
      </c>
      <c r="P456" s="41">
        <f>(C_air_CO2/C_sat_CO2*F_vent_ex-CO2_fix_l)*(B456/3600)/(V_L_CO2+Vg_CO2)</f>
        <v>1.126784332178e-06</v>
      </c>
      <c r="Q456" s="41">
        <f>(P456*N456+pool_b*M456)/(1-pool_ret*M456)</f>
        <v>27.908625774548</v>
      </c>
      <c r="R456" s="41">
        <f>MIN(C_sat_CO2,MAX(C_air_CO2,(pool_ret*Q456+pool_b)*N456+P456*O456))</f>
        <v>27.915430041501</v>
      </c>
      <c r="S456" s="41">
        <f>IF(AND(R456&gt;=CO2_pH_hi_mt,R457&lt;CO2_pH_hi_mt),EXP(LN(A456)+(LN(A457)-LN(A456))*(R456-CO2_pH_hi_mt)/(R456-R457)),0)</f>
        <v>0.0</v>
      </c>
    </row>
    <row r="457">
      <c r="A457" s="41">
        <f>A456*grid_ratio</f>
        <v>0.137455375244</v>
      </c>
      <c r="B457" s="41">
        <f>MAX(0,A457*60-spg_dur)</f>
        <v>7.597322514666</v>
      </c>
      <c r="C457" s="41">
        <f>k_eff_CO2*B457</f>
        <v>0.0001103199330071</v>
      </c>
      <c r="D457" s="41">
        <f>EXP(-C457)</f>
        <v>0.999889686152</v>
      </c>
      <c r="E457" s="41">
        <f>IF(C457&gt;0,(1-D457)/C457,1)</f>
        <v>0.999944842062</v>
      </c>
      <c r="F457" s="41">
        <f>IF(C457&gt;0,(C457-1+D457)/C457^2,1/2)</f>
        <v>0.499981614053</v>
      </c>
      <c r="G457" s="41">
        <f>(C_air_CO2/C_sat_CO2*F_vent_ex-CO2_fix_sched)*(B457/3600)/(V_L_CO2+Vg_CO2)</f>
        <v>-0.001457798098</v>
      </c>
      <c r="H457" s="41">
        <f>(G457*E457+pool_b*D457)/(1-pool_ret*D457)</f>
        <v>28.006560628348</v>
      </c>
      <c r="I457" s="41">
        <f>MIN(C_sat_CO2,MAX(C_air_CO2,(pool_ret*H457+pool_b)*E457+G457*F457))</f>
        <v>28.008834451968</v>
      </c>
      <c r="J457" s="41">
        <f>IF(AND(I457&gt;=CO2_pH_hi_mt,I458&lt;CO2_pH_hi_mt),EXP(LN(A457)+(LN(A458)-LN(A457))*(I457-CO2_pH_hi_mt)/(I457-I458)),0)</f>
        <v>0.0</v>
      </c>
      <c r="L457" s="41">
        <f>k_eff_CO2_l*B457</f>
        <v>0.0005517795250603</v>
      </c>
      <c r="M457" s="41">
        <f>EXP(-L457)</f>
        <v>0.999448372677</v>
      </c>
      <c r="N457" s="41">
        <f>IF(L457&gt;0,(1-M457)/L457,1)</f>
        <v>0.999724160974</v>
      </c>
      <c r="O457" s="41">
        <f>IF(L457&gt;0,(L457-1+M457)/L457^2,1/2)</f>
        <v>0.499908049213</v>
      </c>
      <c r="P457" s="41">
        <f>(C_air_CO2/C_sat_CO2*F_vent_ex-CO2_fix_l)*(B457/3600)/(V_L_CO2+Vg_CO2)</f>
        <v>1.275170083876e-06</v>
      </c>
      <c r="Q457" s="41">
        <f>(P457*N457+pool_b*M457)/(1-pool_ret*M457)</f>
        <v>27.889365937739</v>
      </c>
      <c r="R457" s="41">
        <f>MIN(C_sat_CO2,MAX(C_air_CO2,(pool_ret*Q457+pool_b)*N457+P457*O457))</f>
        <v>27.897061105982</v>
      </c>
      <c r="S457" s="41">
        <f>IF(AND(R457&gt;=CO2_pH_hi_mt,R458&lt;CO2_pH_hi_mt),EXP(LN(A457)+(LN(A458)-LN(A457))*(R457-CO2_pH_hi_mt)/(R457-R458)),0)</f>
        <v>0.0</v>
      </c>
    </row>
    <row r="458">
      <c r="A458" s="41">
        <f>A457*grid_ratio</f>
        <v>0.153958889834</v>
      </c>
      <c r="B458" s="41">
        <f>MAX(0,A458*60-spg_dur)</f>
        <v>8.587533390056</v>
      </c>
      <c r="C458" s="41">
        <f>k_eff_CO2*B458</f>
        <v>0.0001246986825238</v>
      </c>
      <c r="D458" s="41">
        <f>EXP(-C458)</f>
        <v>0.999875309092</v>
      </c>
      <c r="E458" s="41">
        <f>IF(C458&gt;0,(1-D458)/C458,1)</f>
        <v>0.999937653251</v>
      </c>
      <c r="F458" s="41">
        <f>IF(C458&gt;0,(C458-1+D458)/C458^2,1/2)</f>
        <v>0.499979210658</v>
      </c>
      <c r="G458" s="41">
        <f>(C_air_CO2/C_sat_CO2*F_vent_ex-CO2_fix_sched)*(B458/3600)/(V_L_CO2+Vg_CO2)</f>
        <v>-0.00164780287</v>
      </c>
      <c r="H458" s="41">
        <f>(G458*E458+pool_b*D458)/(1-pool_ret*D458)</f>
        <v>28.000162961532</v>
      </c>
      <c r="I458" s="41">
        <f>MIN(C_sat_CO2,MAX(C_air_CO2,(pool_ret*H458+pool_b)*E458+G458*F458))</f>
        <v>28.002732761522</v>
      </c>
      <c r="J458" s="41">
        <f>IF(AND(I458&gt;=CO2_pH_hi_mt,I459&lt;CO2_pH_hi_mt),EXP(LN(A458)+(LN(A459)-LN(A458))*(I458-CO2_pH_hi_mt)/(I458-I459)),0)</f>
        <v>0.0</v>
      </c>
      <c r="L458" s="41">
        <f>k_eff_CO2_l*B458</f>
        <v>0.0006236967150278</v>
      </c>
      <c r="M458" s="41">
        <f>EXP(-L458)</f>
        <v>0.999376497743</v>
      </c>
      <c r="N458" s="41">
        <f>IF(L458&gt;0,(1-M458)/L458,1)</f>
        <v>0.999688216465</v>
      </c>
      <c r="O458" s="41">
        <f>IF(L458&gt;0,(L458-1+M458)/L458^2,1/2)</f>
        <v>0.499896066814</v>
      </c>
      <c r="P458" s="41">
        <f>(C_air_CO2/C_sat_CO2*F_vent_ex-CO2_fix_l)*(B458/3600)/(V_L_CO2+Vg_CO2)</f>
        <v>1.441371700642e-06</v>
      </c>
      <c r="Q458" s="41">
        <f>(P458*N458+pool_b*M458)/(1-pool_ret*M458)</f>
        <v>27.867823752523</v>
      </c>
      <c r="R458" s="41">
        <f>MIN(C_sat_CO2,MAX(C_air_CO2,(pool_ret*Q458+pool_b)*N458+P458*O458))</f>
        <v>27.876515373785</v>
      </c>
      <c r="S458" s="41">
        <f>IF(AND(R458&gt;=CO2_pH_hi_mt,R459&lt;CO2_pH_hi_mt),EXP(LN(A458)+(LN(A459)-LN(A458))*(R458-CO2_pH_hi_mt)/(R458-R459)),0)</f>
        <v>0.0</v>
      </c>
    </row>
    <row r="459">
      <c r="A459" s="41">
        <f>A458*grid_ratio</f>
        <v>0.172443891094</v>
      </c>
      <c r="B459" s="41">
        <f>MAX(0,A459*60-spg_dur)</f>
        <v>9.696633465668</v>
      </c>
      <c r="C459" s="41">
        <f>k_eff_CO2*B459</f>
        <v>0.0001408038097977</v>
      </c>
      <c r="D459" s="41">
        <f>EXP(-C459)</f>
        <v>0.999859206103</v>
      </c>
      <c r="E459" s="41">
        <f>IF(C459&gt;0,(1-D459)/C459,1)</f>
        <v>0.999929601399</v>
      </c>
      <c r="F459" s="41">
        <f>IF(C459&gt;0,(C459-1+D459)/C459^2,1/2)</f>
        <v>0.499976536247</v>
      </c>
      <c r="G459" s="41">
        <f>(C_air_CO2/C_sat_CO2*F_vent_ex-CO2_fix_sched)*(B459/3600)/(V_L_CO2+Vg_CO2)</f>
        <v>-0.001860620474</v>
      </c>
      <c r="H459" s="41">
        <f>(G459*E459+pool_b*D459)/(1-pool_ret*D459)</f>
        <v>27.992999410163</v>
      </c>
      <c r="I459" s="41">
        <f>MIN(C_sat_CO2,MAX(C_air_CO2,(pool_ret*H459+pool_b)*E459+G459*F459))</f>
        <v>27.995900617042</v>
      </c>
      <c r="J459" s="41">
        <f>IF(AND(I459&gt;=CO2_pH_hi_mt,I460&lt;CO2_pH_hi_mt),EXP(LN(A459)+(LN(A460)-LN(A459))*(I459-CO2_pH_hi_mt)/(I459-I460)),0)</f>
        <v>0.0</v>
      </c>
      <c r="L459" s="41">
        <f>k_eff_CO2_l*B459</f>
        <v>0.0007042486083802</v>
      </c>
      <c r="M459" s="41">
        <f>EXP(-L459)</f>
        <v>0.999295999316</v>
      </c>
      <c r="N459" s="41">
        <f>IF(L459&gt;0,(1-M459)/L459,1)</f>
        <v>0.999647958342</v>
      </c>
      <c r="O459" s="41">
        <f>IF(L459&gt;0,(L459-1+M459)/L459^2,1/2)</f>
        <v>0.499882645887</v>
      </c>
      <c r="P459" s="41">
        <f>(C_air_CO2/C_sat_CO2*F_vent_ex-CO2_fix_l)*(B459/3600)/(V_L_CO2+Vg_CO2)</f>
        <v>1.627528235883e-06</v>
      </c>
      <c r="Q459" s="41">
        <f>(P459*N459+pool_b*M459)/(1-pool_ret*M459)</f>
        <v>27.843732761599</v>
      </c>
      <c r="R459" s="41">
        <f>MIN(C_sat_CO2,MAX(C_air_CO2,(pool_ret*Q459+pool_b)*N459+P459*O459))</f>
        <v>27.853538704665</v>
      </c>
      <c r="S459" s="41">
        <f>IF(AND(R459&gt;=CO2_pH_hi_mt,R460&lt;CO2_pH_hi_mt),EXP(LN(A459)+(LN(A460)-LN(A459))*(R459-CO2_pH_hi_mt)/(R459-R460)),0)</f>
        <v>0.0</v>
      </c>
    </row>
    <row r="460">
      <c r="A460" s="41">
        <f>A459*grid_ratio</f>
        <v>0.193148285285</v>
      </c>
      <c r="B460" s="41">
        <f>MAX(0,A460*60-spg_dur)</f>
        <v>10.938897117072</v>
      </c>
      <c r="C460" s="41">
        <f>k_eff_CO2*B460</f>
        <v>0.0001588425915574</v>
      </c>
      <c r="D460" s="41">
        <f>EXP(-C460)</f>
        <v>0.999841170023</v>
      </c>
      <c r="E460" s="41">
        <f>IF(C460&gt;0,(1-D460)/C460,1)</f>
        <v>0.999920582909</v>
      </c>
      <c r="F460" s="41">
        <f>IF(C460&gt;0,(C460-1+D460)/C460^2,1/2)</f>
        <v>0.499973527706</v>
      </c>
      <c r="G460" s="41">
        <f>(C_air_CO2/C_sat_CO2*F_vent_ex-CO2_fix_sched)*(B460/3600)/(V_L_CO2+Vg_CO2)</f>
        <v>-0.002098989924</v>
      </c>
      <c r="H460" s="41">
        <f>(G460*E460+pool_b*D460)/(1-pool_ret*D460)</f>
        <v>27.984978589556</v>
      </c>
      <c r="I460" s="41">
        <f>MIN(C_sat_CO2,MAX(C_air_CO2,(pool_ret*H460+pool_b)*E460+G460*F460))</f>
        <v>27.988250861036</v>
      </c>
      <c r="J460" s="41">
        <f>IF(AND(I460&gt;=CO2_pH_hi_mt,I461&lt;CO2_pH_hi_mt),EXP(LN(A460)+(LN(A461)-LN(A460))*(I460-CO2_pH_hi_mt)/(I460-I461)),0)</f>
        <v>0.0</v>
      </c>
      <c r="L460" s="41">
        <f>k_eff_CO2_l*B460</f>
        <v>0.0007944719266938</v>
      </c>
      <c r="M460" s="41">
        <f>EXP(-L460)</f>
        <v>0.999205843583</v>
      </c>
      <c r="N460" s="41">
        <f>IF(L460&gt;0,(1-M460)/L460,1)</f>
        <v>0.999602869213</v>
      </c>
      <c r="O460" s="41">
        <f>IF(L460&gt;0,(L460-1+M460)/L460^2,1/2)</f>
        <v>0.499867614241</v>
      </c>
      <c r="P460" s="41">
        <f>(C_air_CO2/C_sat_CO2*F_vent_ex-CO2_fix_l)*(B460/3600)/(V_L_CO2+Vg_CO2)</f>
        <v>1.836035567446e-06</v>
      </c>
      <c r="Q460" s="41">
        <f>(P460*N460+pool_b*M460)/(1-pool_ret*M460)</f>
        <v>27.81679640945</v>
      </c>
      <c r="R460" s="41">
        <f>MIN(C_sat_CO2,MAX(C_air_CO2,(pool_ret*Q460+pool_b)*N460+P460*O460))</f>
        <v>27.827848249951</v>
      </c>
      <c r="S460" s="41">
        <f>IF(AND(R460&gt;=CO2_pH_hi_mt,R461&lt;CO2_pH_hi_mt),EXP(LN(A460)+(LN(A461)-LN(A460))*(R460-CO2_pH_hi_mt)/(R460-R461)),0)</f>
        <v>0.0</v>
      </c>
    </row>
    <row r="461">
      <c r="A461" s="41">
        <f>A460*grid_ratio</f>
        <v>0.216338542766</v>
      </c>
      <c r="B461" s="41">
        <f>MAX(0,A461*60-spg_dur)</f>
        <v>12.330312565988</v>
      </c>
      <c r="C461" s="41">
        <f>k_eff_CO2*B461</f>
        <v>0.0001790471911138</v>
      </c>
      <c r="D461" s="41">
        <f>EXP(-C461)</f>
        <v>0.999820968837</v>
      </c>
      <c r="E461" s="41">
        <f>IF(C461&gt;0,(1-D461)/C461,1)</f>
        <v>0.999910481747</v>
      </c>
      <c r="F461" s="41">
        <f>IF(C461&gt;0,(C461-1+D461)/C461^2,1/2)</f>
        <v>0.499970159888</v>
      </c>
      <c r="G461" s="41">
        <f>(C_air_CO2/C_sat_CO2*F_vent_ex-CO2_fix_sched)*(B461/3600)/(V_L_CO2+Vg_CO2)</f>
        <v>-0.002365979089</v>
      </c>
      <c r="H461" s="41">
        <f>(G461*E461+pool_b*D461)/(1-pool_ret*D461)</f>
        <v>27.975998287715</v>
      </c>
      <c r="I461" s="41">
        <f>MIN(C_sat_CO2,MAX(C_air_CO2,(pool_ret*H461+pool_b)*E461+G461*F461))</f>
        <v>27.9796860093</v>
      </c>
      <c r="J461" s="41">
        <f>IF(AND(I461&gt;=CO2_pH_hi_mt,I462&lt;CO2_pH_hi_mt),EXP(LN(A461)+(LN(A462)-LN(A461))*(I461-CO2_pH_hi_mt)/(I461-I462)),0)</f>
        <v>0.0</v>
      </c>
      <c r="L461" s="41">
        <f>k_eff_CO2_l*B461</f>
        <v>0.0008955278650302</v>
      </c>
      <c r="M461" s="41">
        <f>EXP(-L461)</f>
        <v>0.999104873</v>
      </c>
      <c r="N461" s="41">
        <f>IF(L461&gt;0,(1-M461)/L461,1)</f>
        <v>0.999552369699</v>
      </c>
      <c r="O461" s="41">
        <f>IF(L461&gt;0,(L461-1+M461)/L461^2,1/2)</f>
        <v>0.499850778752</v>
      </c>
      <c r="P461" s="41">
        <f>(C_air_CO2/C_sat_CO2*F_vent_ex-CO2_fix_l)*(B461/3600)/(V_L_CO2+Vg_CO2)</f>
        <v>2.069577233116e-06</v>
      </c>
      <c r="Q461" s="41">
        <f>(P461*N461+pool_b*M461)/(1-pool_ret*M461)</f>
        <v>27.786684897321</v>
      </c>
      <c r="R461" s="41">
        <f>MIN(C_sat_CO2,MAX(C_air_CO2,(pool_ret*Q461+pool_b)*N461+P461*O461))</f>
        <v>27.799129452371</v>
      </c>
      <c r="S461" s="41">
        <f>IF(AND(R461&gt;=CO2_pH_hi_mt,R462&lt;CO2_pH_hi_mt),EXP(LN(A461)+(LN(A462)-LN(A461))*(R461-CO2_pH_hi_mt)/(R461-R462)),0)</f>
        <v>0.0</v>
      </c>
    </row>
    <row r="462">
      <c r="A462" s="41">
        <f>A461*grid_ratio</f>
        <v>0.24231312754</v>
      </c>
      <c r="B462" s="41">
        <f>MAX(0,A462*60-spg_dur)</f>
        <v>13.888787652411</v>
      </c>
      <c r="C462" s="41">
        <f>k_eff_CO2*B462</f>
        <v>0.0002016776463558</v>
      </c>
      <c r="D462" s="41">
        <f>EXP(-C462)</f>
        <v>0.999798342689</v>
      </c>
      <c r="E462" s="41">
        <f>IF(C462&gt;0,(1-D462)/C462,1)</f>
        <v>0.999899167955</v>
      </c>
      <c r="F462" s="41">
        <f>IF(C462&gt;0,(C462-1+D462)/C462^2,1/2)</f>
        <v>0.4999663895</v>
      </c>
      <c r="G462" s="41">
        <f>(C_air_CO2/C_sat_CO2*F_vent_ex-CO2_fix_sched)*(B462/3600)/(V_L_CO2+Vg_CO2)</f>
        <v>-0.002665024182</v>
      </c>
      <c r="H462" s="41">
        <f>(G462*E462+pool_b*D462)/(1-pool_ret*D462)</f>
        <v>27.965944201967</v>
      </c>
      <c r="I462" s="41">
        <f>MIN(C_sat_CO2,MAX(C_air_CO2,(pool_ret*H462+pool_b)*E462+G462*F462))</f>
        <v>27.970097046132</v>
      </c>
      <c r="J462" s="41">
        <f>IF(AND(I462&gt;=CO2_pH_hi_mt,I463&lt;CO2_pH_hi_mt),EXP(LN(A462)+(LN(A463)-LN(A462))*(I462-CO2_pH_hi_mt)/(I462-I463)),0)</f>
        <v>0.0</v>
      </c>
      <c r="L462" s="41">
        <f>k_eff_CO2_l*B462</f>
        <v>0.001008717037</v>
      </c>
      <c r="M462" s="41">
        <f>EXP(-L462)</f>
        <v>0.998991791547</v>
      </c>
      <c r="N462" s="41">
        <f>IF(L462&gt;0,(1-M462)/L462,1)</f>
        <v>0.999495811024</v>
      </c>
      <c r="O462" s="41">
        <f>IF(L462&gt;0,(L462-1+M462)/L462^2,1/2)</f>
        <v>0.499831922905</v>
      </c>
      <c r="P462" s="41">
        <f>(C_air_CO2/C_sat_CO2*F_vent_ex-CO2_fix_l)*(B462/3600)/(V_L_CO2+Vg_CO2)</f>
        <v>2.33115896837e-06</v>
      </c>
      <c r="Q462" s="41">
        <f>(P462*N462+pool_b*M462)/(1-pool_ret*M462)</f>
        <v>27.753031774601</v>
      </c>
      <c r="R462" s="41">
        <f>MIN(C_sat_CO2,MAX(C_air_CO2,(pool_ret*Q462+pool_b)*N462+P462*O462))</f>
        <v>27.767032794301</v>
      </c>
      <c r="S462" s="41">
        <f>IF(AND(R462&gt;=CO2_pH_hi_mt,R463&lt;CO2_pH_hi_mt),EXP(LN(A462)+(LN(A463)-LN(A462))*(R462-CO2_pH_hi_mt)/(R462-R463)),0)</f>
        <v>0.0</v>
      </c>
    </row>
    <row r="463">
      <c r="A463" s="41">
        <f>A462*grid_ratio</f>
        <v>0.271406338545</v>
      </c>
      <c r="B463" s="41">
        <f>MAX(0,A463*60-spg_dur)</f>
        <v>15.634380312671</v>
      </c>
      <c r="C463" s="41">
        <f>k_eff_CO2*B463</f>
        <v>0.0002270252164985</v>
      </c>
      <c r="D463" s="41">
        <f>EXP(-C463)</f>
        <v>0.999773000552</v>
      </c>
      <c r="E463" s="41">
        <f>IF(C463&gt;0,(1-D463)/C463,1)</f>
        <v>0.999886495981</v>
      </c>
      <c r="F463" s="41">
        <f>IF(C463&gt;0,(C463-1+D463)/C463^2,1/2)</f>
        <v>0.499962164475</v>
      </c>
      <c r="G463" s="41">
        <f>(C_air_CO2/C_sat_CO2*F_vent_ex-CO2_fix_sched)*(B463/3600)/(V_L_CO2+Vg_CO2)</f>
        <v>-0.002999973982</v>
      </c>
      <c r="H463" s="41">
        <f>(G463*E463+pool_b*D463)/(1-pool_ret*D463)</f>
        <v>27.954688533147</v>
      </c>
      <c r="I463" s="41">
        <f>MIN(C_sat_CO2,MAX(C_air_CO2,(pool_ret*H463+pool_b)*E463+G463*F463))</f>
        <v>27.959362083412</v>
      </c>
      <c r="J463" s="41">
        <f>IF(AND(I463&gt;=CO2_pH_hi_mt,I464&lt;CO2_pH_hi_mt),EXP(LN(A463)+(LN(A464)-LN(A463))*(I463-CO2_pH_hi_mt)/(I463-I464)),0)</f>
        <v>0.0</v>
      </c>
      <c r="L463" s="41">
        <f>k_eff_CO2_l*B463</f>
        <v>0.001135496213</v>
      </c>
      <c r="M463" s="41">
        <f>EXP(-L463)</f>
        <v>0.998865148219</v>
      </c>
      <c r="N463" s="41">
        <f>IF(L463&gt;0,(1-M463)/L463,1)</f>
        <v>0.999432466724</v>
      </c>
      <c r="O463" s="41">
        <f>IF(L463&gt;0,(L463-1+M463)/L463^2,1/2)</f>
        <v>0.499810804391</v>
      </c>
      <c r="P463" s="41">
        <f>(C_air_CO2/C_sat_CO2*F_vent_ex-CO2_fix_l)*(B463/3600)/(V_L_CO2+Vg_CO2)</f>
        <v>2.624147390896e-06</v>
      </c>
      <c r="Q463" s="41">
        <f>(P463*N463+pool_b*M463)/(1-pool_ret*M463)</f>
        <v>27.715430261901</v>
      </c>
      <c r="R463" s="41">
        <f>MIN(C_sat_CO2,MAX(C_air_CO2,(pool_ret*Q463+pool_b)*N463+P463*O463))</f>
        <v>27.731170289894</v>
      </c>
      <c r="S463" s="41">
        <f>IF(AND(R463&gt;=CO2_pH_hi_mt,R464&lt;CO2_pH_hi_mt),EXP(LN(A463)+(LN(A464)-LN(A463))*(R463-CO2_pH_hi_mt)/(R463-R464)),0)</f>
        <v>0.0</v>
      </c>
    </row>
    <row r="464">
      <c r="A464" s="41">
        <f>A463*grid_ratio</f>
        <v>0.303992612162</v>
      </c>
      <c r="B464" s="41">
        <f>MAX(0,A464*60-spg_dur)</f>
        <v>17.589556729734</v>
      </c>
      <c r="C464" s="41">
        <f>k_eff_CO2*B464</f>
        <v>0.0002554161306569</v>
      </c>
      <c r="D464" s="41">
        <f>EXP(-C464)</f>
        <v>0.999744616485</v>
      </c>
      <c r="E464" s="41">
        <f>IF(C464&gt;0,(1-D464)/C464,1)</f>
        <v>0.999872302807</v>
      </c>
      <c r="F464" s="41">
        <f>IF(C464&gt;0,(C464-1+D464)/C464^2,1/2)</f>
        <v>0.499957433352</v>
      </c>
      <c r="G464" s="41">
        <f>(C_air_CO2/C_sat_CO2*F_vent_ex-CO2_fix_sched)*(B464/3600)/(V_L_CO2+Vg_CO2)</f>
        <v>-0.003375139372</v>
      </c>
      <c r="H464" s="41">
        <f>(G464*E464+pool_b*D464)/(1-pool_ret*D464)</f>
        <v>27.942088422528</v>
      </c>
      <c r="I464" s="41">
        <f>MIN(C_sat_CO2,MAX(C_air_CO2,(pool_ret*H464+pool_b)*E464+G464*F464))</f>
        <v>27.947344869786</v>
      </c>
      <c r="J464" s="41">
        <f>IF(AND(I464&gt;=CO2_pH_hi_mt,I465&lt;CO2_pH_hi_mt),EXP(LN(A464)+(LN(A465)-LN(A464))*(I464-CO2_pH_hi_mt)/(I464-I465)),0)</f>
        <v>0.0</v>
      </c>
      <c r="L464" s="41">
        <f>k_eff_CO2_l*B464</f>
        <v>0.001277497071</v>
      </c>
      <c r="M464" s="41">
        <f>EXP(-L464)</f>
        <v>0.998723318581</v>
      </c>
      <c r="N464" s="41">
        <f>IF(L464&gt;0,(1-M464)/L464,1)</f>
        <v>0.999361523378</v>
      </c>
      <c r="O464" s="41">
        <f>IF(L464&gt;0,(L464-1+M464)/L464^2,1/2)</f>
        <v>0.499787151792</v>
      </c>
      <c r="P464" s="41">
        <f>(C_air_CO2/C_sat_CO2*F_vent_ex-CO2_fix_l)*(B464/3600)/(V_L_CO2+Vg_CO2)</f>
        <v>2.952313329742e-06</v>
      </c>
      <c r="Q464" s="41">
        <f>(P464*N464+pool_b*M464)/(1-pool_ret*M464)</f>
        <v>27.673429306605</v>
      </c>
      <c r="R464" s="41">
        <f>MIN(C_sat_CO2,MAX(C_air_CO2,(pool_ret*Q464+pool_b)*N464+P464*O464))</f>
        <v>27.69111172183</v>
      </c>
      <c r="S464" s="41">
        <f>IF(AND(R464&gt;=CO2_pH_hi_mt,R465&lt;CO2_pH_hi_mt),EXP(LN(A464)+(LN(A465)-LN(A464))*(R464-CO2_pH_hi_mt)/(R464-R465)),0)</f>
        <v>0.0</v>
      </c>
    </row>
    <row r="465">
      <c r="A465" s="41">
        <f>A464*grid_ratio</f>
        <v>0.340491341303</v>
      </c>
      <c r="B465" s="41">
        <f>MAX(0,A465*60-spg_dur)</f>
        <v>19.779480478194</v>
      </c>
      <c r="C465" s="41">
        <f>k_eff_CO2*B465</f>
        <v>0.0002872157864902</v>
      </c>
      <c r="D465" s="41">
        <f>EXP(-C465)</f>
        <v>0.999712825456</v>
      </c>
      <c r="E465" s="41">
        <f>IF(C465&gt;0,(1-D465)/C465,1)</f>
        <v>0.999856405854</v>
      </c>
      <c r="F465" s="41">
        <f>IF(C465&gt;0,(C465-1+D465)/C465^2,1/2)</f>
        <v>0.499952134143</v>
      </c>
      <c r="G465" s="41">
        <f>(C_air_CO2/C_sat_CO2*F_vent_ex-CO2_fix_sched)*(B465/3600)/(V_L_CO2+Vg_CO2)</f>
        <v>-0.003795348817</v>
      </c>
      <c r="H465" s="41">
        <f>(G465*E465+pool_b*D465)/(1-pool_ret*D465)</f>
        <v>27.927984215505</v>
      </c>
      <c r="I465" s="41">
        <f>MIN(C_sat_CO2,MAX(C_air_CO2,(pool_ret*H465+pool_b)*E465+G465*F465))</f>
        <v>27.933893134584</v>
      </c>
      <c r="J465" s="41">
        <f>IF(AND(I465&gt;=CO2_pH_hi_mt,I466&lt;CO2_pH_hi_mt),EXP(LN(A465)+(LN(A466)-LN(A465))*(I465-CO2_pH_hi_mt)/(I465-I466)),0)</f>
        <v>0.0</v>
      </c>
      <c r="L465" s="41">
        <f>k_eff_CO2_l*B465</f>
        <v>0.001436547195</v>
      </c>
      <c r="M465" s="41">
        <f>EXP(-L465)</f>
        <v>0.998564484146</v>
      </c>
      <c r="N465" s="41">
        <f>IF(L465&gt;0,(1-M465)/L465,1)</f>
        <v>0.999282070224</v>
      </c>
      <c r="O465" s="41">
        <f>IF(L465&gt;0,(L465-1+M465)/L465^2,1/2)</f>
        <v>0.49976066144</v>
      </c>
      <c r="P465" s="41">
        <f>(C_air_CO2/C_sat_CO2*F_vent_ex-CO2_fix_l)*(B465/3600)/(V_L_CO2+Vg_CO2)</f>
        <v>3.319880356759e-06</v>
      </c>
      <c r="Q465" s="41">
        <f>(P465*N465+pool_b*M465)/(1-pool_ret*M465)</f>
        <v>27.626529379059</v>
      </c>
      <c r="R465" s="41">
        <f>MIN(C_sat_CO2,MAX(C_air_CO2,(pool_ret*Q465+pool_b)*N465+P465*O465))</f>
        <v>27.64638063037</v>
      </c>
      <c r="S465" s="41">
        <f>IF(AND(R465&gt;=CO2_pH_hi_mt,R466&lt;CO2_pH_hi_mt),EXP(LN(A465)+(LN(A466)-LN(A465))*(R465-CO2_pH_hi_mt)/(R465-R466)),0)</f>
        <v>0.0</v>
      </c>
    </row>
    <row r="466">
      <c r="A466" s="41">
        <f>A465*grid_ratio</f>
        <v>0.381372273089</v>
      </c>
      <c r="B466" s="41">
        <f>MAX(0,A466*60-spg_dur)</f>
        <v>22.232336385319</v>
      </c>
      <c r="C466" s="41">
        <f>k_eff_CO2*B466</f>
        <v>0.0003228334529546</v>
      </c>
      <c r="D466" s="41">
        <f>EXP(-C466)</f>
        <v>0.999677218652</v>
      </c>
      <c r="E466" s="41">
        <f>IF(C466&gt;0,(1-D466)/C466,1)</f>
        <v>0.999838600642</v>
      </c>
      <c r="F466" s="41">
        <f>IF(C466&gt;0,(C466-1+D466)/C466^2,1/2)</f>
        <v>0.499946198387</v>
      </c>
      <c r="G466" s="41">
        <f>(C_air_CO2/C_sat_CO2*F_vent_ex-CO2_fix_sched)*(B466/3600)/(V_L_CO2+Vg_CO2)</f>
        <v>-0.004266010509</v>
      </c>
      <c r="H466" s="41">
        <f>(G466*E466+pool_b*D466)/(1-pool_ret*D466)</f>
        <v>27.912197534837</v>
      </c>
      <c r="I466" s="41">
        <f>MIN(C_sat_CO2,MAX(C_air_CO2,(pool_ret*H466+pool_b)*E466+G466*F466))</f>
        <v>27.918836750082</v>
      </c>
      <c r="J466" s="41">
        <f>IF(AND(I466&gt;=CO2_pH_hi_mt,I467&lt;CO2_pH_hi_mt),EXP(LN(A466)+(LN(A467)-LN(A466))*(I466-CO2_pH_hi_mt)/(I466-I467)),0)</f>
        <v>0.0</v>
      </c>
      <c r="L466" s="41">
        <f>k_eff_CO2_l*B466</f>
        <v>0.001614693596</v>
      </c>
      <c r="M466" s="41">
        <f>EXP(-L466)</f>
        <v>0.99838660932</v>
      </c>
      <c r="N466" s="41">
        <f>IF(L466&gt;0,(1-M466)/L466,1)</f>
        <v>0.999193087566</v>
      </c>
      <c r="O466" s="41">
        <f>IF(L466&gt;0,(L466-1+M466)/L466^2,1/2)</f>
        <v>0.499730993011</v>
      </c>
      <c r="P466" s="41">
        <f>(C_air_CO2/C_sat_CO2*F_vent_ex-CO2_fix_l)*(B466/3600)/(V_L_CO2+Vg_CO2)</f>
        <v>3.731579144956e-06</v>
      </c>
      <c r="Q466" s="41">
        <f>(P466*N466+pool_b*M466)/(1-pool_ret*M466)</f>
        <v>27.574178027252</v>
      </c>
      <c r="R466" s="41">
        <f>MIN(C_sat_CO2,MAX(C_air_CO2,(pool_ret*Q466+pool_b)*N466+P466*O466))</f>
        <v>27.596450071697</v>
      </c>
      <c r="S466" s="41">
        <f>IF(AND(R466&gt;=CO2_pH_hi_mt,R467&lt;CO2_pH_hi_mt),EXP(LN(A466)+(LN(A467)-LN(A466))*(R466-CO2_pH_hi_mt)/(R466-R467)),0)</f>
        <v>0.0</v>
      </c>
    </row>
    <row r="467">
      <c r="A467" s="41">
        <f>A466*grid_ratio</f>
        <v>0.427161554606</v>
      </c>
      <c r="B467" s="41">
        <f>MAX(0,A467*60-spg_dur)</f>
        <v>24.979693276332</v>
      </c>
      <c r="C467" s="41">
        <f>k_eff_CO2*B467</f>
        <v>0.0003627275376901</v>
      </c>
      <c r="D467" s="41">
        <f>EXP(-C467)</f>
        <v>0.99963733824</v>
      </c>
      <c r="E467" s="41">
        <f>IF(C467&gt;0,(1-D467)/C467,1)</f>
        <v>0.999818658158</v>
      </c>
      <c r="F467" s="41">
        <f>IF(C467&gt;0,(C467-1+D467)/C467^2,1/2)</f>
        <v>0.499939551164</v>
      </c>
      <c r="G467" s="41">
        <f>(C_air_CO2/C_sat_CO2*F_vent_ex-CO2_fix_sched)*(B467/3600)/(V_L_CO2+Vg_CO2)</f>
        <v>-0.004793181976</v>
      </c>
      <c r="H467" s="41">
        <f>(G467*E467+pool_b*D467)/(1-pool_ret*D467)</f>
        <v>27.894529145055</v>
      </c>
      <c r="I467" s="41">
        <f>MIN(C_sat_CO2,MAX(C_air_CO2,(pool_ret*H467+pool_b)*E467+G467*F467))</f>
        <v>27.901985694515</v>
      </c>
      <c r="J467" s="41">
        <f>IF(AND(I467&gt;=CO2_pH_hi_mt,I468&lt;CO2_pH_hi_mt),EXP(LN(A467)+(LN(A468)-LN(A467))*(I467-CO2_pH_hi_mt)/(I467-I468)),0)</f>
        <v>0.0</v>
      </c>
      <c r="L467" s="41">
        <f>k_eff_CO2_l*B467</f>
        <v>0.001814229061</v>
      </c>
      <c r="M467" s="41">
        <f>EXP(-L467)</f>
        <v>0.998187415658</v>
      </c>
      <c r="N467" s="41">
        <f>IF(L467&gt;0,(1-M467)/L467,1)</f>
        <v>0.999093433792</v>
      </c>
      <c r="O467" s="41">
        <f>IF(L467&gt;0,(L467-1+M467)/L467^2,1/2)</f>
        <v>0.499697765583</v>
      </c>
      <c r="P467" s="41">
        <f>(C_air_CO2/C_sat_CO2*F_vent_ex-CO2_fix_l)*(B467/3600)/(V_L_CO2+Vg_CO2)</f>
        <v>4.192708353356e-06</v>
      </c>
      <c r="Q467" s="41">
        <f>(P467*N467+pool_b*M467)/(1-pool_ret*M467)</f>
        <v>27.51576522038</v>
      </c>
      <c r="R467" s="41">
        <f>MIN(C_sat_CO2,MAX(C_air_CO2,(pool_ret*Q467+pool_b)*N467+P467*O467))</f>
        <v>27.540738174412</v>
      </c>
      <c r="S467" s="41">
        <f>IF(AND(R467&gt;=CO2_pH_hi_mt,R468&lt;CO2_pH_hi_mt),EXP(LN(A467)+(LN(A468)-LN(A467))*(R467-CO2_pH_hi_mt)/(R467-R468)),0)</f>
        <v>0.0</v>
      </c>
    </row>
    <row r="468">
      <c r="A468" s="41">
        <f>A467*grid_ratio</f>
        <v>0.478448504542</v>
      </c>
      <c r="B468" s="41">
        <f>MAX(0,A468*60-spg_dur)</f>
        <v>28.056910272514</v>
      </c>
      <c r="C468" s="41">
        <f>k_eff_CO2*B468</f>
        <v>0.000407411486833</v>
      </c>
      <c r="D468" s="41">
        <f>EXP(-C468)</f>
        <v>0.999592671494</v>
      </c>
      <c r="E468" s="41">
        <f>IF(C468&gt;0,(1-D468)/C468,1)</f>
        <v>0.999796321918</v>
      </c>
      <c r="F468" s="41">
        <f>IF(C468&gt;0,(C468-1+D468)/C468^2,1/2)</f>
        <v>0.499932105242</v>
      </c>
      <c r="G468" s="41">
        <f>(C_air_CO2/C_sat_CO2*F_vent_ex-CO2_fix_sched)*(B468/3600)/(V_L_CO2+Vg_CO2)</f>
        <v>-0.005383648035</v>
      </c>
      <c r="H468" s="41">
        <f>(G468*E468+pool_b*D468)/(1-pool_ret*D468)</f>
        <v>27.874756588559</v>
      </c>
      <c r="I468" s="41">
        <f>MIN(C_sat_CO2,MAX(C_air_CO2,(pool_ret*H468+pool_b)*E468+G468*F468))</f>
        <v>27.883127797389</v>
      </c>
      <c r="J468" s="41">
        <f>IF(AND(I468&gt;=CO2_pH_hi_mt,I469&lt;CO2_pH_hi_mt),EXP(LN(A468)+(LN(A469)-LN(A468))*(I468-CO2_pH_hi_mt)/(I468-I469)),0)</f>
        <v>0.0</v>
      </c>
      <c r="L468" s="41">
        <f>k_eff_CO2_l*B468</f>
        <v>0.002037721657</v>
      </c>
      <c r="M468" s="41">
        <f>EXP(-L468)</f>
        <v>0.997964353088</v>
      </c>
      <c r="N468" s="41">
        <f>IF(L468&gt;0,(1-M468)/L468,1)</f>
        <v>0.998981830871</v>
      </c>
      <c r="O468" s="41">
        <f>IF(L468&gt;0,(L468-1+M468)/L468^2,1/2)</f>
        <v>0.499660552664</v>
      </c>
      <c r="P468" s="41">
        <f>(C_air_CO2/C_sat_CO2*F_vent_ex-CO2_fix_l)*(B468/3600)/(V_L_CO2+Vg_CO2)</f>
        <v>4.709202821973e-06</v>
      </c>
      <c r="Q468" s="41">
        <f>(P468*N468+pool_b*M468)/(1-pool_ret*M468)</f>
        <v>27.450618527534</v>
      </c>
      <c r="R468" s="41">
        <f>MIN(C_sat_CO2,MAX(C_air_CO2,(pool_ret*Q468+pool_b)*N468+P468*O468))</f>
        <v>27.478603538196</v>
      </c>
      <c r="S468" s="41">
        <f>IF(AND(R468&gt;=CO2_pH_hi_mt,R469&lt;CO2_pH_hi_mt),EXP(LN(A468)+(LN(A469)-LN(A468))*(R468-CO2_pH_hi_mt)/(R468-R469)),0)</f>
        <v>0.0</v>
      </c>
    </row>
    <row r="469">
      <c r="A469" s="41">
        <f>A468*grid_ratio</f>
        <v>0.535893197855</v>
      </c>
      <c r="B469" s="41">
        <f>MAX(0,A469*60-spg_dur)</f>
        <v>31.503591871316</v>
      </c>
      <c r="C469" s="41">
        <f>k_eff_CO2*B469</f>
        <v>0.0004574603931869</v>
      </c>
      <c r="D469" s="41">
        <f>EXP(-C469)</f>
        <v>0.999542644226</v>
      </c>
      <c r="E469" s="41">
        <f>IF(C469&gt;0,(1-D469)/C469,1)</f>
        <v>0.999771304678</v>
      </c>
      <c r="F469" s="41">
        <f>IF(C469&gt;0,(C469-1+D469)/C469^2,1/2)</f>
        <v>0.499923765043</v>
      </c>
      <c r="G469" s="41">
        <f>(C_air_CO2/C_sat_CO2*F_vent_ex-CO2_fix_sched)*(B469/3600)/(V_L_CO2+Vg_CO2)</f>
        <v>-0.006045008121</v>
      </c>
      <c r="H469" s="41">
        <f>(G469*E469+pool_b*D469)/(1-pool_ret*D469)</f>
        <v>27.852631572936</v>
      </c>
      <c r="I469" s="41">
        <f>MIN(C_sat_CO2,MAX(C_air_CO2,(pool_ret*H469+pool_b)*E469+G469*F469))</f>
        <v>27.862026247405</v>
      </c>
      <c r="J469" s="41">
        <f>IF(AND(I469&gt;=CO2_pH_hi_mt,I470&lt;CO2_pH_hi_mt),EXP(LN(A469)+(LN(A470)-LN(A469))*(I469-CO2_pH_hi_mt)/(I469-I470)),0)</f>
        <v>0.0</v>
      </c>
      <c r="L469" s="41">
        <f>k_eff_CO2_l*B469</f>
        <v>0.002288047786</v>
      </c>
      <c r="M469" s="41">
        <f>EXP(-L469)</f>
        <v>0.9977145678</v>
      </c>
      <c r="N469" s="41">
        <f>IF(L469&gt;0,(1-M469)/L469,1)</f>
        <v>0.998856848135</v>
      </c>
      <c r="O469" s="41">
        <f>IF(L469&gt;0,(L469-1+M469)/L469^2,1/2)</f>
        <v>0.499618876737</v>
      </c>
      <c r="P469" s="41">
        <f>(C_air_CO2/C_sat_CO2*F_vent_ex-CO2_fix_l)*(B469/3600)/(V_L_CO2+Vg_CO2)</f>
        <v>5.287709954579e-06</v>
      </c>
      <c r="Q469" s="41">
        <f>(P469*N469+pool_b*M469)/(1-pool_ret*M469)</f>
        <v>27.37799819766</v>
      </c>
      <c r="R469" s="41">
        <f>MIN(C_sat_CO2,MAX(C_air_CO2,(pool_ret*Q469+pool_b)*N469+P469*O469))</f>
        <v>27.409340537586</v>
      </c>
      <c r="S469" s="41">
        <f>IF(AND(R469&gt;=CO2_pH_hi_mt,R470&lt;CO2_pH_hi_mt),EXP(LN(A469)+(LN(A470)-LN(A469))*(R469-CO2_pH_hi_mt)/(R469-R470)),0)</f>
        <v>0.0</v>
      </c>
    </row>
    <row r="470">
      <c r="A470" s="41">
        <f>A469*grid_ratio</f>
        <v>0.600234961091</v>
      </c>
      <c r="B470" s="41">
        <f>MAX(0,A470*60-spg_dur)</f>
        <v>35.364097665433</v>
      </c>
      <c r="C470" s="41">
        <f>k_eff_CO2*B470</f>
        <v>0.0005135183978008</v>
      </c>
      <c r="D470" s="41">
        <f>EXP(-C470)</f>
        <v>0.99948661343</v>
      </c>
      <c r="E470" s="41">
        <f>IF(C470&gt;0,(1-D470)/C470,1)</f>
        <v>0.999743284746</v>
      </c>
      <c r="F470" s="41">
        <f>IF(C470&gt;0,(C470-1+D470)/C470^2,1/2)</f>
        <v>0.499914424862</v>
      </c>
      <c r="G470" s="41">
        <f>(C_air_CO2/C_sat_CO2*F_vent_ex-CO2_fix_sched)*(B470/3600)/(V_L_CO2+Vg_CO2)</f>
        <v>-0.006785774094</v>
      </c>
      <c r="H470" s="41">
        <f>(G470*E470+pool_b*D470)/(1-pool_ret*D470)</f>
        <v>27.827877088271</v>
      </c>
      <c r="I470" s="41">
        <f>MIN(C_sat_CO2,MAX(C_air_CO2,(pool_ret*H470+pool_b)*E470+G470*F470))</f>
        <v>27.838416842784</v>
      </c>
      <c r="J470" s="41">
        <f>IF(AND(I470&gt;=CO2_pH_hi_mt,I471&lt;CO2_pH_hi_mt),EXP(LN(A470)+(LN(A471)-LN(A470))*(I470-CO2_pH_hi_mt)/(I470-I471)),0)</f>
        <v>0.0</v>
      </c>
      <c r="L470" s="41">
        <f>k_eff_CO2_l*B470</f>
        <v>0.002568429203</v>
      </c>
      <c r="M470" s="41">
        <f>EXP(-L470)</f>
        <v>0.997434866389</v>
      </c>
      <c r="N470" s="41">
        <f>IF(L470&gt;0,(1-M470)/L470,1)</f>
        <v>0.998716884164</v>
      </c>
      <c r="O470" s="41">
        <f>IF(L470&gt;0,(L470-1+M470)/L470^2,1/2)</f>
        <v>0.499572203195</v>
      </c>
      <c r="P470" s="41">
        <f>(C_air_CO2/C_sat_CO2*F_vent_ex-CO2_fix_l)*(B470/3600)/(V_L_CO2+Vg_CO2)</f>
        <v>5.935675272332e-06</v>
      </c>
      <c r="Q470" s="41">
        <f>(P470*N470+pool_b*M470)/(1-pool_ret*M470)</f>
        <v>27.297092231353</v>
      </c>
      <c r="R470" s="41">
        <f>MIN(C_sat_CO2,MAX(C_air_CO2,(pool_ret*Q470+pool_b)*N470+P470*O470))</f>
        <v>27.332174617054</v>
      </c>
      <c r="S470" s="41">
        <f>IF(AND(R470&gt;=CO2_pH_hi_mt,R471&lt;CO2_pH_hi_mt),EXP(LN(A470)+(LN(A471)-LN(A470))*(R470-CO2_pH_hi_mt)/(R470-R471)),0)</f>
        <v>0.0</v>
      </c>
    </row>
    <row r="471">
      <c r="A471" s="41">
        <f>A470*grid_ratio</f>
        <v>0.672301887685</v>
      </c>
      <c r="B471" s="41">
        <f>MAX(0,A471*60-spg_dur)</f>
        <v>39.68811326107</v>
      </c>
      <c r="C471" s="41">
        <f>k_eff_CO2*B471</f>
        <v>0.000576306980214</v>
      </c>
      <c r="D471" s="41">
        <f>EXP(-C471)</f>
        <v>0.999423859053</v>
      </c>
      <c r="E471" s="41">
        <f>IF(C471&gt;0,(1-D471)/C471,1)</f>
        <v>0.999711901857</v>
      </c>
      <c r="F471" s="41">
        <f>IF(C471&gt;0,(C471-1+D471)/C471^2,1/2)</f>
        <v>0.499903962847</v>
      </c>
      <c r="G471" s="41">
        <f>(C_air_CO2/C_sat_CO2*F_vent_ex-CO2_fix_sched)*(B471/3600)/(V_L_CO2+Vg_CO2)</f>
        <v>-0.007615479783</v>
      </c>
      <c r="H471" s="41">
        <f>(G471*E471+pool_b*D471)/(1-pool_ret*D471)</f>
        <v>27.800184232766</v>
      </c>
      <c r="I471" s="41">
        <f>MIN(C_sat_CO2,MAX(C_air_CO2,(pool_ret*H471+pool_b)*E471+G471*F471))</f>
        <v>27.812004963448</v>
      </c>
      <c r="J471" s="41">
        <f>IF(AND(I471&gt;=CO2_pH_hi_mt,I472&lt;CO2_pH_hi_mt),EXP(LN(A471)+(LN(A472)-LN(A471))*(I471-CO2_pH_hi_mt)/(I471-I472)),0)</f>
        <v>0.0</v>
      </c>
      <c r="L471" s="41">
        <f>k_eff_CO2_l*B471</f>
        <v>0.002882474483</v>
      </c>
      <c r="M471" s="41">
        <f>EXP(-L471)</f>
        <v>0.997121675858</v>
      </c>
      <c r="N471" s="41">
        <f>IF(L471&gt;0,(1-M471)/L471,1)</f>
        <v>0.998560146538</v>
      </c>
      <c r="O471" s="41">
        <f>IF(L471&gt;0,(L471-1+M471)/L471^2,1/2)</f>
        <v>0.499519933587</v>
      </c>
      <c r="P471" s="41">
        <f>(C_air_CO2/C_sat_CO2*F_vent_ex-CO2_fix_l)*(B471/3600)/(V_L_CO2+Vg_CO2)</f>
        <v>6.661438239367e-06</v>
      </c>
      <c r="Q471" s="41">
        <f>(P471*N471+pool_b*M471)/(1-pool_ret*M471)</f>
        <v>27.207011564803</v>
      </c>
      <c r="R471" s="41">
        <f>MIN(C_sat_CO2,MAX(C_air_CO2,(pool_ret*Q471+pool_b)*N471+P471*O471))</f>
        <v>27.246257691971</v>
      </c>
      <c r="S471" s="41">
        <f>IF(AND(R471&gt;=CO2_pH_hi_mt,R472&lt;CO2_pH_hi_mt),EXP(LN(A471)+(LN(A472)-LN(A471))*(R471-CO2_pH_hi_mt)/(R471-R472)),0)</f>
        <v>0.0</v>
      </c>
    </row>
    <row r="472">
      <c r="A472" s="41">
        <f>A471*grid_ratio</f>
        <v>0.75302149572</v>
      </c>
      <c r="B472" s="41">
        <f>MAX(0,A472*60-spg_dur)</f>
        <v>44.53128974323</v>
      </c>
      <c r="C472" s="41">
        <f>k_eff_CO2*B472</f>
        <v>0.0006466342440655</v>
      </c>
      <c r="D472" s="41">
        <f>EXP(-C472)</f>
        <v>0.999353574779</v>
      </c>
      <c r="E472" s="41">
        <f>IF(C472&gt;0,(1-D472)/C472,1)</f>
        <v>0.999676752556</v>
      </c>
      <c r="F472" s="41">
        <f>IF(C472&gt;0,(C472-1+D472)/C472^2,1/2)</f>
        <v>0.499892245265</v>
      </c>
      <c r="G472" s="41">
        <f>(C_air_CO2/C_sat_CO2*F_vent_ex-CO2_fix_sched)*(B472/3600)/(V_L_CO2+Vg_CO2)</f>
        <v>-0.008544803693</v>
      </c>
      <c r="H472" s="41">
        <f>(G472*E472+pool_b*D472)/(1-pool_ret*D472)</f>
        <v>27.76920872494</v>
      </c>
      <c r="I472" s="41">
        <f>MIN(C_sat_CO2,MAX(C_air_CO2,(pool_ret*H472+pool_b)*E472+G472*F472))</f>
        <v>27.782462244001</v>
      </c>
      <c r="J472" s="41">
        <f>IF(AND(I472&gt;=CO2_pH_hi_mt,I473&lt;CO2_pH_hi_mt),EXP(LN(A472)+(LN(A473)-LN(A472))*(I472-CO2_pH_hi_mt)/(I472-I473)),0)</f>
        <v>0.0</v>
      </c>
      <c r="L472" s="41">
        <f>k_eff_CO2_l*B472</f>
        <v>0.00323422546</v>
      </c>
      <c r="M472" s="41">
        <f>EXP(-L472)</f>
        <v>0.996770999013</v>
      </c>
      <c r="N472" s="41">
        <f>IF(L472&gt;0,(1-M472)/L472,1)</f>
        <v>0.99838462923</v>
      </c>
      <c r="O472" s="41">
        <f>IF(L472&gt;0,(L472-1+M472)/L472^2,1/2)</f>
        <v>0.499461397984</v>
      </c>
      <c r="P472" s="41">
        <f>(C_air_CO2/C_sat_CO2*F_vent_ex-CO2_fix_l)*(B472/3600)/(V_L_CO2+Vg_CO2)</f>
        <v>7.474339593635e-06</v>
      </c>
      <c r="Q472" s="41">
        <f>(P472*N472+pool_b*M472)/(1-pool_ret*M472)</f>
        <v>27.10678552176</v>
      </c>
      <c r="R472" s="41">
        <f>MIN(C_sat_CO2,MAX(C_air_CO2,(pool_ret*Q472+pool_b)*N472+P472*O472))</f>
        <v>27.15066380386</v>
      </c>
      <c r="S472" s="41">
        <f>IF(AND(R472&gt;=CO2_pH_hi_mt,R473&lt;CO2_pH_hi_mt),EXP(LN(A472)+(LN(A473)-LN(A472))*(R472-CO2_pH_hi_mt)/(R472-R473)),0)</f>
        <v>0.0</v>
      </c>
    </row>
    <row r="473">
      <c r="A473" s="41">
        <f>A472*grid_ratio</f>
        <v>0.843432665302</v>
      </c>
      <c r="B473" s="41">
        <f>MAX(0,A473*60-spg_dur)</f>
        <v>49.955959918105</v>
      </c>
      <c r="C473" s="41">
        <f>k_eff_CO2*B473</f>
        <v>0.0007254053175749</v>
      </c>
      <c r="D473" s="41">
        <f>EXP(-C473)</f>
        <v>0.999274857725</v>
      </c>
      <c r="E473" s="41">
        <f>IF(C473&gt;0,(1-D473)/C473,1)</f>
        <v>0.999637385027</v>
      </c>
      <c r="F473" s="41">
        <f>IF(C473&gt;0,(C473-1+D473)/C473^2,1/2)</f>
        <v>0.499879120998</v>
      </c>
      <c r="G473" s="41">
        <f>(C_air_CO2/C_sat_CO2*F_vent_ex-CO2_fix_sched)*(B473/3600)/(V_L_CO2+Vg_CO2)</f>
        <v>-0.009585706438</v>
      </c>
      <c r="H473" s="41">
        <f>(G473*E473+pool_b*D473)/(1-pool_ret*D473)</f>
        <v>27.734567081256</v>
      </c>
      <c r="I473" s="41">
        <f>MIN(C_sat_CO2,MAX(C_air_CO2,(pool_ret*H473+pool_b)*E473+G473*F473))</f>
        <v>27.74942292765</v>
      </c>
      <c r="J473" s="41">
        <f>IF(AND(I473&gt;=CO2_pH_hi_mt,I474&lt;CO2_pH_hi_mt),EXP(LN(A473)+(LN(A474)-LN(A473))*(I473-CO2_pH_hi_mt)/(I473-I474)),0)</f>
        <v>0.0</v>
      </c>
      <c r="L473" s="41">
        <f>k_eff_CO2_l*B473</f>
        <v>0.003628209252</v>
      </c>
      <c r="M473" s="41">
        <f>EXP(-L473)</f>
        <v>0.996378364746</v>
      </c>
      <c r="N473" s="41">
        <f>IF(L473&gt;0,(1-M473)/L473,1)</f>
        <v>0.998188087369</v>
      </c>
      <c r="O473" s="41">
        <f>IF(L473&gt;0,(L473-1+M473)/L473^2,1/2)</f>
        <v>0.499395846559</v>
      </c>
      <c r="P473" s="41">
        <f>(C_air_CO2/C_sat_CO2*F_vent_ex-CO2_fix_l)*(B473/3600)/(V_L_CO2+Vg_CO2)</f>
        <v>8.384841564368e-06</v>
      </c>
      <c r="Q473" s="41">
        <f>(P473*N473+pool_b*M473)/(1-pool_ret*M473)</f>
        <v>26.995357731268</v>
      </c>
      <c r="R473" s="41">
        <f>MIN(C_sat_CO2,MAX(C_air_CO2,(pool_ret*Q473+pool_b)*N473+P473*O473))</f>
        <v>27.044385218249</v>
      </c>
      <c r="S473" s="41">
        <f>IF(AND(R473&gt;=CO2_pH_hi_mt,R474&lt;CO2_pH_hi_mt),EXP(LN(A473)+(LN(A474)-LN(A473))*(R473-CO2_pH_hi_mt)/(R473-R474)),0)</f>
        <v>0.0</v>
      </c>
    </row>
    <row r="474">
      <c r="A474" s="41">
        <f>A473*grid_ratio</f>
        <v>0.944699009179</v>
      </c>
      <c r="B474" s="41">
        <f>MAX(0,A474*60-spg_dur)</f>
        <v>56.031940550769</v>
      </c>
      <c r="C474" s="41">
        <f>k_eff_CO2*B474</f>
        <v>0.0008136340027537</v>
      </c>
      <c r="D474" s="41">
        <f>EXP(-C474)</f>
        <v>0.999186696908</v>
      </c>
      <c r="E474" s="41">
        <f>IF(C474&gt;0,(1-D474)/C474,1)</f>
        <v>0.99959329331</v>
      </c>
      <c r="F474" s="41">
        <f>IF(C474&gt;0,(C474-1+D474)/C474^2,1/2)</f>
        <v>0.499864421983</v>
      </c>
      <c r="G474" s="41">
        <f>(C_air_CO2/C_sat_CO2*F_vent_ex-CO2_fix_sched)*(B474/3600)/(V_L_CO2+Vg_CO2)</f>
        <v>-0.010751584679</v>
      </c>
      <c r="H474" s="41">
        <f>(G474*E474+pool_b*D474)/(1-pool_ret*D474)</f>
        <v>27.695832439381</v>
      </c>
      <c r="I474" s="41">
        <f>MIN(C_sat_CO2,MAX(C_air_CO2,(pool_ret*H474+pool_b)*E474+G474*F474))</f>
        <v>27.712479881891</v>
      </c>
      <c r="J474" s="41">
        <f>IF(AND(I474&gt;=CO2_pH_hi_mt,I475&lt;CO2_pH_hi_mt),EXP(LN(A474)+(LN(A475)-LN(A474))*(I474-CO2_pH_hi_mt)/(I474-I475)),0)</f>
        <v>0.0</v>
      </c>
      <c r="L474" s="41">
        <f>k_eff_CO2_l*B474</f>
        <v>0.004069496521</v>
      </c>
      <c r="M474" s="41">
        <f>EXP(-L474)</f>
        <v>0.995938772659</v>
      </c>
      <c r="N474" s="41">
        <f>IF(L474&gt;0,(1-M474)/L474,1)</f>
        <v>0.997968009067</v>
      </c>
      <c r="O474" s="41">
        <f>IF(L474&gt;0,(L474-1+M474)/L474^2,1/2)</f>
        <v>0.499322440053</v>
      </c>
      <c r="P474" s="41">
        <f>(C_air_CO2/C_sat_CO2*F_vent_ex-CO2_fix_l)*(B474/3600)/(V_L_CO2+Vg_CO2)</f>
        <v>9.4046625234e-06</v>
      </c>
      <c r="Q474" s="41">
        <f>(P474*N474+pool_b*M474)/(1-pool_ret*M474)</f>
        <v>26.871582757376</v>
      </c>
      <c r="R474" s="41">
        <f>MIN(C_sat_CO2,MAX(C_air_CO2,(pool_ret*Q474+pool_b)*N474+P474*O474))</f>
        <v>26.926329199617</v>
      </c>
      <c r="S474" s="41">
        <f>IF(AND(R474&gt;=CO2_pH_hi_mt,R475&lt;CO2_pH_hi_mt),EXP(LN(A474)+(LN(A475)-LN(A474))*(R474-CO2_pH_hi_mt)/(R474-R475)),0)</f>
        <v>0.0</v>
      </c>
    </row>
    <row r="475">
      <c r="A475" s="41">
        <f>A474*grid_ratio</f>
        <v>1.058123848719</v>
      </c>
      <c r="B475" s="41">
        <f>MAX(0,A475*60-spg_dur)</f>
        <v>62.837430923161</v>
      </c>
      <c r="C475" s="41">
        <f>k_eff_CO2*B475</f>
        <v>0.0009124558232718</v>
      </c>
      <c r="D475" s="41">
        <f>EXP(-C475)</f>
        <v>0.999087960338</v>
      </c>
      <c r="E475" s="41">
        <f>IF(C475&gt;0,(1-D475)/C475,1)</f>
        <v>0.999543910819</v>
      </c>
      <c r="F475" s="41">
        <f>IF(C475&gt;0,(C475-1+D475)/C475^2,1/2)</f>
        <v>0.499847958677</v>
      </c>
      <c r="G475" s="41">
        <f>(C_air_CO2/C_sat_CO2*F_vent_ex-CO2_fix_sched)*(B475/3600)/(V_L_CO2+Vg_CO2)</f>
        <v>-0.012057443539</v>
      </c>
      <c r="H475" s="41">
        <f>(G475*E475+pool_b*D475)/(1-pool_ret*D475)</f>
        <v>27.652530009647</v>
      </c>
      <c r="I475" s="41">
        <f>MIN(C_sat_CO2,MAX(C_air_CO2,(pool_ret*H475+pool_b)*E475+G475*F475))</f>
        <v>27.671180259514</v>
      </c>
      <c r="J475" s="41">
        <f>IF(AND(I475&gt;=CO2_pH_hi_mt,I476&lt;CO2_pH_hi_mt),EXP(LN(A475)+(LN(A476)-LN(A475))*(I475-CO2_pH_hi_mt)/(I475-I476)),0)</f>
        <v>0.0</v>
      </c>
      <c r="L475" s="41">
        <f>k_eff_CO2_l*B475</f>
        <v>0.004563766738</v>
      </c>
      <c r="M475" s="41">
        <f>EXP(-L475)</f>
        <v>0.995446631421</v>
      </c>
      <c r="N475" s="41">
        <f>IF(L475&gt;0,(1-M475)/L475,1)</f>
        <v>0.997721584002</v>
      </c>
      <c r="O475" s="41">
        <f>IF(L475&gt;0,(L475-1+M475)/L475^2,1/2)</f>
        <v>0.499240239251</v>
      </c>
      <c r="P475" s="41">
        <f>(C_air_CO2/C_sat_CO2*F_vent_ex-CO2_fix_l)*(B475/3600)/(V_L_CO2+Vg_CO2)</f>
        <v>1.054692780334e-05</v>
      </c>
      <c r="Q475" s="41">
        <f>(P475*N475+pool_b*M475)/(1-pool_ret*M475)</f>
        <v>26.734223741898</v>
      </c>
      <c r="R475" s="41">
        <f>MIN(C_sat_CO2,MAX(C_air_CO2,(pool_ret*Q475+pool_b)*N475+P475*O475))</f>
        <v>26.795315750177</v>
      </c>
      <c r="S475" s="41">
        <f>IF(AND(R475&gt;=CO2_pH_hi_mt,R476&lt;CO2_pH_hi_mt),EXP(LN(A475)+(LN(A476)-LN(A475))*(R475-CO2_pH_hi_mt)/(R475-R476)),0)</f>
        <v>0.0</v>
      </c>
    </row>
    <row r="476">
      <c r="A476" s="41">
        <f>A475*grid_ratio</f>
        <v>1.18516698795</v>
      </c>
      <c r="B476" s="41">
        <f>MAX(0,A476*60-spg_dur)</f>
        <v>70.460019277003</v>
      </c>
      <c r="C476" s="41">
        <f>k_eff_CO2*B476</f>
        <v>0.001023142639</v>
      </c>
      <c r="D476" s="41">
        <f>EXP(-C476)</f>
        <v>0.998977380593</v>
      </c>
      <c r="E476" s="41">
        <f>IF(C476&gt;0,(1-D476)/C476,1)</f>
        <v>0.999488603106</v>
      </c>
      <c r="F476" s="41">
        <f>IF(C476&gt;0,(C476-1+D476)/C476^2,1/2)</f>
        <v>0.499829519888</v>
      </c>
      <c r="G476" s="41">
        <f>(C_air_CO2/C_sat_CO2*F_vent_ex-CO2_fix_sched)*(B476/3600)/(V_L_CO2+Vg_CO2)</f>
        <v>-0.013520089725</v>
      </c>
      <c r="H476" s="41">
        <f>(G476*E476+pool_b*D476)/(1-pool_ret*D476)</f>
        <v>27.60413214104</v>
      </c>
      <c r="I476" s="41">
        <f>MIN(C_sat_CO2,MAX(C_air_CO2,(pool_ret*H476+pool_b)*E476+G476*F476))</f>
        <v>27.625020791618</v>
      </c>
      <c r="J476" s="41">
        <f>IF(AND(I476&gt;=CO2_pH_hi_mt,I477&lt;CO2_pH_hi_mt),EXP(LN(A476)+(LN(A477)-LN(A476))*(I476-CO2_pH_hi_mt)/(I476-I477)),0)</f>
        <v>0.0</v>
      </c>
      <c r="L476" s="41">
        <f>k_eff_CO2_l*B476</f>
        <v>0.005117381274</v>
      </c>
      <c r="M476" s="41">
        <f>EXP(-L476)</f>
        <v>0.994895690214</v>
      </c>
      <c r="N476" s="41">
        <f>IF(L476&gt;0,(1-M476)/L476,1)</f>
        <v>0.997445668383</v>
      </c>
      <c r="O476" s="41">
        <f>IF(L476&gt;0,(L476-1+M476)/L476^2,1/2)</f>
        <v>0.499148193155</v>
      </c>
      <c r="P476" s="41">
        <f>(C_air_CO2/C_sat_CO2*F_vent_ex-CO2_fix_l)*(B476/3600)/(V_L_CO2+Vg_CO2)</f>
        <v>1.182633862363e-05</v>
      </c>
      <c r="Q476" s="41">
        <f>(P476*N476+pool_b*M476)/(1-pool_ret*M476)</f>
        <v>26.581951421994</v>
      </c>
      <c r="R476" s="41">
        <f>MIN(C_sat_CO2,MAX(C_air_CO2,(pool_ret*Q476+pool_b)*N476+P476*O476))</f>
        <v>26.650076657074</v>
      </c>
      <c r="S476" s="41">
        <f>IF(AND(R476&gt;=CO2_pH_hi_mt,R477&lt;CO2_pH_hi_mt),EXP(LN(A476)+(LN(A477)-LN(A476))*(R476-CO2_pH_hi_mt)/(R476-R477)),0)</f>
        <v>0.0</v>
      </c>
    </row>
    <row r="477">
      <c r="A477" s="41">
        <f>A476*grid_ratio</f>
        <v>1.32746350158</v>
      </c>
      <c r="B477" s="41">
        <f>MAX(0,A477*60-spg_dur)</f>
        <v>78.997810094817</v>
      </c>
      <c r="C477" s="41">
        <f>k_eff_CO2*B477</f>
        <v>0.001147119015</v>
      </c>
      <c r="D477" s="41">
        <f>EXP(-C477)</f>
        <v>0.998853538675</v>
      </c>
      <c r="E477" s="41">
        <f>IF(C477&gt;0,(1-D477)/C477,1)</f>
        <v>0.999426659743</v>
      </c>
      <c r="F477" s="41">
        <f>IF(C477&gt;0,(C477-1+D477)/C477^2,1/2)</f>
        <v>0.499808868312</v>
      </c>
      <c r="G477" s="41">
        <f>(C_air_CO2/C_sat_CO2*F_vent_ex-CO2_fix_sched)*(B477/3600)/(V_L_CO2+Vg_CO2)</f>
        <v>-0.015158347834</v>
      </c>
      <c r="H477" s="41">
        <f>(G477*E477+pool_b*D477)/(1-pool_ret*D477)</f>
        <v>27.550052993457</v>
      </c>
      <c r="I477" s="41">
        <f>MIN(C_sat_CO2,MAX(C_air_CO2,(pool_ret*H477+pool_b)*E477+G477*F477))</f>
        <v>27.573442704936</v>
      </c>
      <c r="J477" s="41">
        <f>IF(AND(I477&gt;=CO2_pH_hi_mt,I478&lt;CO2_pH_hi_mt),EXP(LN(A477)+(LN(A478)-LN(A477))*(I477-CO2_pH_hi_mt)/(I477-I478)),0)</f>
        <v>0.0</v>
      </c>
      <c r="L477" s="41">
        <f>k_eff_CO2_l*B477</f>
        <v>0.005737465278</v>
      </c>
      <c r="M477" s="41">
        <f>EXP(-L477)</f>
        <v>0.994278962543</v>
      </c>
      <c r="N477" s="41">
        <f>IF(L477&gt;0,(1-M477)/L477,1)</f>
        <v>0.997136745918</v>
      </c>
      <c r="O477" s="41">
        <f>IF(L477&gt;0,(L477-1+M477)/L477^2,1/2)</f>
        <v>0.499045125818</v>
      </c>
      <c r="P477" s="41">
        <f>(C_air_CO2/C_sat_CO2*F_vent_ex-CO2_fix_l)*(B477/3600)/(V_L_CO2+Vg_CO2)</f>
        <v>1.325936129869e-05</v>
      </c>
      <c r="Q477" s="41">
        <f>(P477*N477+pool_b*M477)/(1-pool_ret*M477)</f>
        <v>26.413344949309</v>
      </c>
      <c r="R477" s="41">
        <f>MIN(C_sat_CO2,MAX(C_air_CO2,(pool_ret*Q477+pool_b)*N477+P477*O477))</f>
        <v>26.489256254444</v>
      </c>
      <c r="S477" s="41">
        <f>IF(AND(R477&gt;=CO2_pH_hi_mt,R478&lt;CO2_pH_hi_mt),EXP(LN(A477)+(LN(A478)-LN(A477))*(R477-CO2_pH_hi_mt)/(R477-R478)),0)</f>
        <v>0.0</v>
      </c>
    </row>
    <row r="478">
      <c r="A478" s="41">
        <f>A477*grid_ratio</f>
        <v>1.48684477879</v>
      </c>
      <c r="B478" s="41">
        <f>MAX(0,A478*60-spg_dur)</f>
        <v>88.560686727399</v>
      </c>
      <c r="C478" s="41">
        <f>k_eff_CO2*B478</f>
        <v>0.001285980555</v>
      </c>
      <c r="D478" s="41">
        <f>EXP(-C478)</f>
        <v>0.998714845963</v>
      </c>
      <c r="E478" s="41">
        <f>IF(C478&gt;0,(1-D478)/C478,1)</f>
        <v>0.999357285258</v>
      </c>
      <c r="F478" s="41">
        <f>IF(C478&gt;0,(C478-1+D478)/C478^2,1/2)</f>
        <v>0.499785738754</v>
      </c>
      <c r="G478" s="41">
        <f>(C_air_CO2/C_sat_CO2*F_vent_ex-CO2_fix_sched)*(B478/3600)/(V_L_CO2+Vg_CO2)</f>
        <v>-0.016993302627</v>
      </c>
      <c r="H478" s="41">
        <f>(G478*E478+pool_b*D478)/(1-pool_ret*D478)</f>
        <v>27.489642815551</v>
      </c>
      <c r="I478" s="41">
        <f>MIN(C_sat_CO2,MAX(C_air_CO2,(pool_ret*H478+pool_b)*E478+G478*F478))</f>
        <v>27.515826262532</v>
      </c>
      <c r="J478" s="41">
        <f>IF(AND(I478&gt;=CO2_pH_hi_mt,I479&lt;CO2_pH_hi_mt),EXP(LN(A478)+(LN(A479)-LN(A478))*(I478-CO2_pH_hi_mt)/(I478-I479)),0)</f>
        <v>0.0</v>
      </c>
      <c r="L478" s="41">
        <f>k_eff_CO2_l*B478</f>
        <v>0.006431999374</v>
      </c>
      <c r="M478" s="41">
        <f>EXP(-L478)</f>
        <v>0.993588641656</v>
      </c>
      <c r="N478" s="41">
        <f>IF(L478&gt;0,(1-M478)/L478,1)</f>
        <v>0.996790884342</v>
      </c>
      <c r="O478" s="41">
        <f>IF(L478&gt;0,(L478-1+M478)/L478^2,1/2)</f>
        <v>0.498929721665</v>
      </c>
      <c r="P478" s="41">
        <f>(C_air_CO2/C_sat_CO2*F_vent_ex-CO2_fix_l)*(B478/3600)/(V_L_CO2+Vg_CO2)</f>
        <v>1.486443916318e-05</v>
      </c>
      <c r="Q478" s="41">
        <f>(P478*N478+pool_b*M478)/(1-pool_ret*M478)</f>
        <v>26.226895004212</v>
      </c>
      <c r="R478" s="41">
        <f>MIN(C_sat_CO2,MAX(C_air_CO2,(pool_ret*Q478+pool_b)*N478+P478*O478))</f>
        <v>26.311414370456</v>
      </c>
      <c r="S478" s="41">
        <f>IF(AND(R478&gt;=CO2_pH_hi_mt,R479&lt;CO2_pH_hi_mt),EXP(LN(A478)+(LN(A479)-LN(A478))*(R478-CO2_pH_hi_mt)/(R478-R479)),0)</f>
        <v>0.0</v>
      </c>
    </row>
    <row r="479">
      <c r="A479" s="41">
        <f>A478*grid_ratio</f>
        <v>1.665362093634</v>
      </c>
      <c r="B479" s="41">
        <f>MAX(0,A479*60-spg_dur)</f>
        <v>99.271725618066</v>
      </c>
      <c r="C479" s="41">
        <f>k_eff_CO2*B479</f>
        <v>0.001441514441</v>
      </c>
      <c r="D479" s="41">
        <f>EXP(-C479)</f>
        <v>0.998559524042</v>
      </c>
      <c r="E479" s="41">
        <f>IF(C479&gt;0,(1-D479)/C479,1)</f>
        <v>0.999279588982</v>
      </c>
      <c r="F479" s="41">
        <f>IF(C479&gt;0,(C479-1+D479)/C479^2,1/2)</f>
        <v>0.499759834171</v>
      </c>
      <c r="G479" s="41">
        <f>(C_air_CO2/C_sat_CO2*F_vent_ex-CO2_fix_sched)*(B479/3600)/(V_L_CO2+Vg_CO2)</f>
        <v>-0.019048570399</v>
      </c>
      <c r="H479" s="41">
        <f>(G479*E479+pool_b*D479)/(1-pool_ret*D479)</f>
        <v>27.422181837733</v>
      </c>
      <c r="I479" s="41">
        <f>MIN(C_sat_CO2,MAX(C_air_CO2,(pool_ret*H479+pool_b)*E479+G479*F479))</f>
        <v>27.451484937085</v>
      </c>
      <c r="J479" s="41">
        <f>IF(AND(I479&gt;=CO2_pH_hi_mt,I480&lt;CO2_pH_hi_mt),EXP(LN(A479)+(LN(A480)-LN(A479))*(I479-CO2_pH_hi_mt)/(I479-I480)),0)</f>
        <v>0.0</v>
      </c>
      <c r="L479" s="41">
        <f>k_eff_CO2_l*B479</f>
        <v>0.007209922378</v>
      </c>
      <c r="M479" s="41">
        <f>EXP(-L479)</f>
        <v>0.992816006759</v>
      </c>
      <c r="N479" s="41">
        <f>IF(L479&gt;0,(1-M479)/L479,1)</f>
        <v>0.996403687047</v>
      </c>
      <c r="O479" s="41">
        <f>IF(L479&gt;0,(L479-1+M479)/L479^2,1/2)</f>
        <v>0.498800509109</v>
      </c>
      <c r="P479" s="41">
        <f>(C_air_CO2/C_sat_CO2*F_vent_ex-CO2_fix_l)*(B479/3600)/(V_L_CO2+Vg_CO2)</f>
        <v>1.6662229942e-05</v>
      </c>
      <c r="Q479" s="41">
        <f>(P479*N479+pool_b*M479)/(1-pool_ret*M479)</f>
        <v>26.021009763427</v>
      </c>
      <c r="R479" s="41">
        <f>MIN(C_sat_CO2,MAX(C_air_CO2,(pool_ret*Q479+pool_b)*N479+P479*O479))</f>
        <v>26.115031991102</v>
      </c>
      <c r="S479" s="41">
        <f>IF(AND(R479&gt;=CO2_pH_hi_mt,R480&lt;CO2_pH_hi_mt),EXP(LN(A479)+(LN(A480)-LN(A479))*(R479-CO2_pH_hi_mt)/(R479-R480)),0)</f>
        <v>0.0</v>
      </c>
    </row>
    <row r="480">
      <c r="A480" s="41">
        <f>A479*grid_ratio</f>
        <v>1.865313005418</v>
      </c>
      <c r="B480" s="41">
        <f>MAX(0,A480*60-spg_dur)</f>
        <v>111.268780325066</v>
      </c>
      <c r="C480" s="41">
        <f>k_eff_CO2*B480</f>
        <v>0.00161572243</v>
      </c>
      <c r="D480" s="41">
        <f>EXP(-C480)</f>
        <v>0.998385582147</v>
      </c>
      <c r="E480" s="41">
        <f>IF(C480&gt;0,(1-D480)/C480,1)</f>
        <v>0.999192573703</v>
      </c>
      <c r="F480" s="41">
        <f>IF(C480&gt;0,(C480-1+D480)/C480^2,1/2)</f>
        <v>0.499730821667</v>
      </c>
      <c r="G480" s="41">
        <f>(C_air_CO2/C_sat_CO2*F_vent_ex-CO2_fix_sched)*(B480/3600)/(V_L_CO2+Vg_CO2)</f>
        <v>-0.021350602924</v>
      </c>
      <c r="H480" s="41">
        <f>(G480*E480+pool_b*D480)/(1-pool_ret*D480)</f>
        <v>27.346873803432</v>
      </c>
      <c r="I480" s="41">
        <f>MIN(C_sat_CO2,MAX(C_air_CO2,(pool_ret*H480+pool_b)*E480+G480*F480))</f>
        <v>27.379659238594</v>
      </c>
      <c r="J480" s="41">
        <f>IF(AND(I480&gt;=CO2_pH_hi_mt,I481&lt;CO2_pH_hi_mt),EXP(LN(A480)+(LN(A481)-LN(A480))*(I480-CO2_pH_hi_mt)/(I480-I481)),0)</f>
        <v>0.0</v>
      </c>
      <c r="L480" s="41">
        <f>k_eff_CO2_l*B480</f>
        <v>0.00808124634</v>
      </c>
      <c r="M480" s="41">
        <f>EXP(-L480)</f>
        <v>0.991951319149</v>
      </c>
      <c r="N480" s="41">
        <f>IF(L480&gt;0,(1-M480)/L480,1)</f>
        <v>0.9959702393</v>
      </c>
      <c r="O480" s="41">
        <f>IF(L480&gt;0,(L480-1+M480)/L480^2,1/2)</f>
        <v>0.498655842324</v>
      </c>
      <c r="P480" s="41">
        <f>(C_air_CO2/C_sat_CO2*F_vent_ex-CO2_fix_l)*(B480/3600)/(V_L_CO2+Vg_CO2)</f>
        <v>1.867587162004e-05</v>
      </c>
      <c r="Q480" s="41">
        <f>(P480*N480+pool_b*M480)/(1-pool_ret*M480)</f>
        <v>25.794024336465</v>
      </c>
      <c r="R480" s="41">
        <f>MIN(C_sat_CO2,MAX(C_air_CO2,(pool_ret*Q480+pool_b)*N480+P480*O480))</f>
        <v>25.898520226917</v>
      </c>
      <c r="S480" s="41">
        <f>IF(AND(R480&gt;=CO2_pH_hi_mt,R481&lt;CO2_pH_hi_mt),EXP(LN(A480)+(LN(A481)-LN(A480))*(R480-CO2_pH_hi_mt)/(R480-R481)),0)</f>
        <v>0.0</v>
      </c>
    </row>
    <row r="481">
      <c r="A481" s="41">
        <f>A480*grid_ratio</f>
        <v>2.089270928815</v>
      </c>
      <c r="B481" s="41">
        <f>MAX(0,A481*60-spg_dur)</f>
        <v>124.706255728892</v>
      </c>
      <c r="C481" s="41">
        <f>k_eff_CO2*B481</f>
        <v>0.001810846617</v>
      </c>
      <c r="D481" s="41">
        <f>EXP(-C481)</f>
        <v>0.998190791976</v>
      </c>
      <c r="E481" s="41">
        <f>IF(C481&gt;0,(1-D481)/C481,1)</f>
        <v>0.999095122972</v>
      </c>
      <c r="F481" s="41">
        <f>IF(C481&gt;0,(C481-1+D481)/C481^2,1/2)</f>
        <v>0.499698328794</v>
      </c>
      <c r="G481" s="41">
        <f>(C_air_CO2/C_sat_CO2*F_vent_ex-CO2_fix_sched)*(B481/3600)/(V_L_CO2+Vg_CO2)</f>
        <v>-0.023929027895</v>
      </c>
      <c r="H481" s="41">
        <f>(G481*E481+pool_b*D481)/(1-pool_ret*D481)</f>
        <v>27.262839179227</v>
      </c>
      <c r="I481" s="41">
        <f>MIN(C_sat_CO2,MAX(C_air_CO2,(pool_ret*H481+pool_b)*E481+G481*F481))</f>
        <v>27.299510235109</v>
      </c>
      <c r="J481" s="41">
        <f>IF(AND(I481&gt;=CO2_pH_hi_mt,I482&lt;CO2_pH_hi_mt),EXP(LN(A481)+(LN(A482)-LN(A481))*(I481-CO2_pH_hi_mt)/(I481-I482)),0)</f>
        <v>0.0</v>
      </c>
      <c r="L481" s="41">
        <f>k_eff_CO2_l*B481</f>
        <v>0.0090571854</v>
      </c>
      <c r="M481" s="41">
        <f>EXP(-L481)</f>
        <v>0.990983707353</v>
      </c>
      <c r="N481" s="41">
        <f>IF(L481&gt;0,(1-M481)/L481,1)</f>
        <v>0.9954850485</v>
      </c>
      <c r="O481" s="41">
        <f>IF(L481&gt;0,(L481-1+M481)/L481^2,1/2)</f>
        <v>0.498493880942</v>
      </c>
      <c r="P481" s="41">
        <f>(C_air_CO2/C_sat_CO2*F_vent_ex-CO2_fix_l)*(B481/3600)/(V_L_CO2+Vg_CO2)</f>
        <v>2.093128023336e-05</v>
      </c>
      <c r="Q481" s="41">
        <f>(P481*N481+pool_b*M481)/(1-pool_ret*M481)</f>
        <v>25.544214328207</v>
      </c>
      <c r="R481" s="41">
        <f>MIN(C_sat_CO2,MAX(C_air_CO2,(pool_ret*Q481+pool_b)*N481+P481*O481))</f>
        <v>25.66023320874</v>
      </c>
      <c r="S481" s="41">
        <f>IF(AND(R481&gt;=CO2_pH_hi_mt,R482&lt;CO2_pH_hi_mt),EXP(LN(A481)+(LN(A482)-LN(A481))*(R481-CO2_pH_hi_mt)/(R481-R482)),0)</f>
        <v>0.0</v>
      </c>
    </row>
    <row r="482">
      <c r="A482" s="41">
        <f>A481*grid_ratio</f>
        <v>2.340118254316</v>
      </c>
      <c r="B482" s="41">
        <f>MAX(0,A482*60-spg_dur)</f>
        <v>139.757095258952</v>
      </c>
      <c r="C482" s="41">
        <f>k_eff_CO2*B482</f>
        <v>0.002029398299</v>
      </c>
      <c r="D482" s="41">
        <f>EXP(-C482)</f>
        <v>0.997972659538</v>
      </c>
      <c r="E482" s="41">
        <f>IF(C482&gt;0,(1-D482)/C482,1)</f>
        <v>0.998985986912</v>
      </c>
      <c r="F482" s="41">
        <f>IF(C482&gt;0,(C482-1+D482)/C482^2,1/2)</f>
        <v>0.49966193848</v>
      </c>
      <c r="G482" s="41">
        <f>(C_air_CO2/C_sat_CO2*F_vent_ex-CO2_fix_sched)*(B482/3600)/(V_L_CO2+Vg_CO2)</f>
        <v>-0.026817030239</v>
      </c>
      <c r="H482" s="41">
        <f>(G482*E482+pool_b*D482)/(1-pool_ret*D482)</f>
        <v>27.16910810675</v>
      </c>
      <c r="I482" s="41">
        <f>MIN(C_sat_CO2,MAX(C_air_CO2,(pool_ret*H482+pool_b)*E482+G482*F482))</f>
        <v>27.210112826365</v>
      </c>
      <c r="J482" s="41">
        <f>IF(AND(I482&gt;=CO2_pH_hi_mt,I483&lt;CO2_pH_hi_mt),EXP(LN(A482)+(LN(A483)-LN(A482))*(I482-CO2_pH_hi_mt)/(I482-I483)),0)</f>
        <v>0.0</v>
      </c>
      <c r="L482" s="41">
        <f>k_eff_CO2_l*B482</f>
        <v>0.010150300122</v>
      </c>
      <c r="M482" s="41">
        <f>EXP(-L482)</f>
        <v>0.989901040321</v>
      </c>
      <c r="N482" s="41">
        <f>IF(L482&gt;0,(1-M482)/L482,1)</f>
        <v>0.994941977886</v>
      </c>
      <c r="O482" s="41">
        <f>IF(L482&gt;0,(L482-1+M482)/L482^2,1/2)</f>
        <v>0.498312567471</v>
      </c>
      <c r="P482" s="41">
        <f>(C_air_CO2/C_sat_CO2*F_vent_ex-CO2_fix_l)*(B482/3600)/(V_L_CO2+Vg_CO2)</f>
        <v>2.345748341466e-05</v>
      </c>
      <c r="Q482" s="41">
        <f>(P482*N482+pool_b*M482)/(1-pool_ret*M482)</f>
        <v>25.269814202021</v>
      </c>
      <c r="R482" s="41">
        <f>MIN(C_sat_CO2,MAX(C_air_CO2,(pool_ret*Q482+pool_b)*N482+P482*O482))</f>
        <v>25.398485554821</v>
      </c>
      <c r="S482" s="41">
        <f>IF(AND(R482&gt;=CO2_pH_hi_mt,R483&lt;CO2_pH_hi_mt),EXP(LN(A482)+(LN(A483)-LN(A482))*(R482-CO2_pH_hi_mt)/(R482-R483)),0)</f>
        <v>0.0</v>
      </c>
    </row>
    <row r="483">
      <c r="A483" s="41">
        <f>A482*grid_ratio</f>
        <v>2.621083445261</v>
      </c>
      <c r="B483" s="41">
        <f>MAX(0,A483*60-spg_dur)</f>
        <v>156.615006715679</v>
      </c>
      <c r="C483" s="41">
        <f>k_eff_CO2*B483</f>
        <v>0.002274190284</v>
      </c>
      <c r="D483" s="41">
        <f>EXP(-C483)</f>
        <v>0.997728393727</v>
      </c>
      <c r="E483" s="41">
        <f>IF(C483&gt;0,(1-D483)/C483,1)</f>
        <v>0.998863766358</v>
      </c>
      <c r="F483" s="41">
        <f>IF(C483&gt;0,(C483-1+D483)/C483^2,1/2)</f>
        <v>0.49962118368</v>
      </c>
      <c r="G483" s="41">
        <f>(C_air_CO2/C_sat_CO2*F_vent_ex-CO2_fix_sched)*(B483/3600)/(V_L_CO2+Vg_CO2)</f>
        <v>-0.030051779219</v>
      </c>
      <c r="H483" s="41">
        <f>(G483*E483+pool_b*D483)/(1-pool_ret*D483)</f>
        <v>27.06461318722</v>
      </c>
      <c r="I483" s="41">
        <f>MIN(C_sat_CO2,MAX(C_air_CO2,(pool_ret*H483+pool_b)*E483+G483*F483))</f>
        <v>27.110448856767</v>
      </c>
      <c r="J483" s="41">
        <f>IF(AND(I483&gt;=CO2_pH_hi_mt,I484&lt;CO2_pH_hi_mt),EXP(LN(A483)+(LN(A484)-LN(A483))*(I483-CO2_pH_hi_mt)/(I483-I484)),0)</f>
        <v>0.0</v>
      </c>
      <c r="L483" s="41">
        <f>k_eff_CO2_l*B483</f>
        <v>0.011374659146</v>
      </c>
      <c r="M483" s="41">
        <f>EXP(-L483)</f>
        <v>0.988689787705</v>
      </c>
      <c r="N483" s="41">
        <f>IF(L483&gt;0,(1-M483)/L483,1)</f>
        <v>0.994334173058</v>
      </c>
      <c r="O483" s="41">
        <f>IF(L483&gt;0,(L483-1+M483)/L483^2,1/2)</f>
        <v>0.498109602188</v>
      </c>
      <c r="P483" s="41">
        <f>(C_air_CO2/C_sat_CO2*F_vent_ex-CO2_fix_l)*(B483/3600)/(V_L_CO2+Vg_CO2)</f>
        <v>2.628699398563e-05</v>
      </c>
      <c r="Q483" s="41">
        <f>(P483*N483+pool_b*M483)/(1-pool_ret*M483)</f>
        <v>24.969041097962</v>
      </c>
      <c r="R483" s="41">
        <f>MIN(C_sat_CO2,MAX(C_air_CO2,(pool_ret*Q483+pool_b)*N483+P483*O483))</f>
        <v>25.111575032629</v>
      </c>
      <c r="S483" s="41">
        <f>IF(AND(R483&gt;=CO2_pH_hi_mt,R484&lt;CO2_pH_hi_mt),EXP(LN(A483)+(LN(A484)-LN(A483))*(R483-CO2_pH_hi_mt)/(R483-R484)),0)</f>
        <v>0.0</v>
      </c>
    </row>
    <row r="484">
      <c r="A484" s="41">
        <f>A483*grid_ratio</f>
        <v>2.935782588915</v>
      </c>
      <c r="B484" s="41">
        <f>MAX(0,A484*60-spg_dur)</f>
        <v>175.496955334905</v>
      </c>
      <c r="C484" s="41">
        <f>k_eff_CO2*B484</f>
        <v>0.002548373104</v>
      </c>
      <c r="D484" s="41">
        <f>EXP(-C484)</f>
        <v>0.997454871243</v>
      </c>
      <c r="E484" s="41">
        <f>IF(C484&gt;0,(1-D484)/C484,1)</f>
        <v>0.998726895127</v>
      </c>
      <c r="F484" s="41">
        <f>IF(C484&gt;0,(C484-1+D484)/C484^2,1/2)</f>
        <v>0.499575541605</v>
      </c>
      <c r="G484" s="41">
        <f>(C_air_CO2/C_sat_CO2*F_vent_ex-CO2_fix_sched)*(B484/3600)/(V_L_CO2+Vg_CO2)</f>
        <v>-0.033674906805</v>
      </c>
      <c r="H484" s="41">
        <f>(G484*E484+pool_b*D484)/(1-pool_ret*D484)</f>
        <v>26.948182224035</v>
      </c>
      <c r="I484" s="41">
        <f>MIN(C_sat_CO2,MAX(C_air_CO2,(pool_ret*H484+pool_b)*E484+G484*F484))</f>
        <v>26.999400187074</v>
      </c>
      <c r="J484" s="41">
        <f>IF(AND(I484&gt;=CO2_pH_hi_mt,I485&lt;CO2_pH_hi_mt),EXP(LN(A484)+(LN(A485)-LN(A484))*(I484-CO2_pH_hi_mt)/(I484-I485)),0)</f>
        <v>0.0</v>
      </c>
      <c r="L484" s="41">
        <f>k_eff_CO2_l*B484</f>
        <v>0.012746020256</v>
      </c>
      <c r="M484" s="41">
        <f>EXP(-L484)</f>
        <v>0.987334866235</v>
      </c>
      <c r="N484" s="41">
        <f>IF(L484&gt;0,(1-M484)/L484,1)</f>
        <v>0.99365398065</v>
      </c>
      <c r="O484" s="41">
        <f>IF(L484&gt;0,(L484-1+M484)/L484^2,1/2)</f>
        <v>0.497882415281</v>
      </c>
      <c r="P484" s="41">
        <f>(C_air_CO2/C_sat_CO2*F_vent_ex-CO2_fix_l)*(B484/3600)/(V_L_CO2+Vg_CO2)</f>
        <v>2.945622840447e-05</v>
      </c>
      <c r="Q484" s="41">
        <f>(P484*N484+pool_b*M484)/(1-pool_ret*M484)</f>
        <v>24.640124690061</v>
      </c>
      <c r="R484" s="41">
        <f>MIN(C_sat_CO2,MAX(C_air_CO2,(pool_ret*Q484+pool_b)*N484+P484*O484))</f>
        <v>24.797810971454</v>
      </c>
      <c r="S484" s="41">
        <f>IF(AND(R484&gt;=CO2_pH_hi_mt,R485&lt;CO2_pH_hi_mt),EXP(LN(A484)+(LN(A485)-LN(A484))*(R484-CO2_pH_hi_mt)/(R484-R485)),0)</f>
        <v>0.0</v>
      </c>
    </row>
    <row r="485">
      <c r="A485" s="41">
        <f>A484*grid_ratio</f>
        <v>3.288265936347</v>
      </c>
      <c r="B485" s="41">
        <f>MAX(0,A485*60-spg_dur)</f>
        <v>196.645956180846</v>
      </c>
      <c r="C485" s="41">
        <f>k_eff_CO2*B485</f>
        <v>0.002855475553</v>
      </c>
      <c r="D485" s="41">
        <f>EXP(-C485)</f>
        <v>0.997148597439</v>
      </c>
      <c r="E485" s="41">
        <f>IF(C485&gt;0,(1-D485)/C485,1)</f>
        <v>0.998573620211</v>
      </c>
      <c r="F485" s="41">
        <f>IF(C485&gt;0,(C485-1+D485)/C485^2,1/2)</f>
        <v>0.499524426947</v>
      </c>
      <c r="G485" s="41">
        <f>(C_air_CO2/C_sat_CO2*F_vent_ex-CO2_fix_sched)*(B485/3600)/(V_L_CO2+Vg_CO2)</f>
        <v>-0.037733043489</v>
      </c>
      <c r="H485" s="41">
        <f>(G485*E485+pool_b*D485)/(1-pool_ret*D485)</f>
        <v>26.818531090874</v>
      </c>
      <c r="I485" s="41">
        <f>MIN(C_sat_CO2,MAX(C_air_CO2,(pool_ret*H485+pool_b)*E485+G485*F485))</f>
        <v>26.875741884287</v>
      </c>
      <c r="J485" s="41">
        <f>IF(AND(I485&gt;=CO2_pH_hi_mt,I486&lt;CO2_pH_hi_mt),EXP(LN(A485)+(LN(A486)-LN(A485))*(I485-CO2_pH_hi_mt)/(I485-I486)),0)</f>
        <v>0.0</v>
      </c>
      <c r="L485" s="41">
        <f>k_eff_CO2_l*B485</f>
        <v>0.01428203319</v>
      </c>
      <c r="M485" s="41">
        <f>EXP(-L485)</f>
        <v>0.985819471242</v>
      </c>
      <c r="N485" s="41">
        <f>IF(L485&gt;0,(1-M485)/L485,1)</f>
        <v>0.992892858446</v>
      </c>
      <c r="O485" s="41">
        <f>IF(L485&gt;0,(L485-1+M485)/L485^2,1/2)</f>
        <v>0.497628135936</v>
      </c>
      <c r="P485" s="41">
        <f>(C_air_CO2/C_sat_CO2*F_vent_ex-CO2_fix_l)*(B485/3600)/(V_L_CO2+Vg_CO2)</f>
        <v>3.300597545424e-05</v>
      </c>
      <c r="Q485" s="41">
        <f>(P485*N485+pool_b*M485)/(1-pool_ret*M485)</f>
        <v>24.281343530383</v>
      </c>
      <c r="R485" s="41">
        <f>MIN(C_sat_CO2,MAX(C_air_CO2,(pool_ret*Q485+pool_b)*N485+P485*O485))</f>
        <v>24.455548851896</v>
      </c>
      <c r="S485" s="41">
        <f>IF(AND(R485&gt;=CO2_pH_hi_mt,R486&lt;CO2_pH_hi_mt),EXP(LN(A485)+(LN(A486)-LN(A485))*(R485-CO2_pH_hi_mt)/(R485-R486)),0)</f>
        <v>0.0</v>
      </c>
    </row>
    <row r="486">
      <c r="A486" s="41">
        <f>A485*grid_ratio</f>
        <v>3.683070030107</v>
      </c>
      <c r="B486" s="41">
        <f>MAX(0,A486*60-spg_dur)</f>
        <v>220.334201806416</v>
      </c>
      <c r="C486" s="41">
        <f>k_eff_CO2*B486</f>
        <v>0.003199450114</v>
      </c>
      <c r="D486" s="41">
        <f>EXP(-C486)</f>
        <v>0.996805662673</v>
      </c>
      <c r="E486" s="41">
        <f>IF(C486&gt;0,(1-D486)/C486,1)</f>
        <v>0.99840197966</v>
      </c>
      <c r="F486" s="41">
        <f>IF(C486&gt;0,(C486-1+D486)/C486^2,1/2)</f>
        <v>0.499467184561</v>
      </c>
      <c r="G486" s="41">
        <f>(C_air_CO2/C_sat_CO2*F_vent_ex-CO2_fix_sched)*(B486/3600)/(V_L_CO2+Vg_CO2)</f>
        <v>-0.042278418435</v>
      </c>
      <c r="H486" s="41">
        <f>(G486*E486+pool_b*D486)/(1-pool_ret*D486)</f>
        <v>26.674256943334</v>
      </c>
      <c r="I486" s="41">
        <f>MIN(C_sat_CO2,MAX(C_air_CO2,(pool_ret*H486+pool_b)*E486+G486*F486))</f>
        <v>26.738135737259</v>
      </c>
      <c r="J486" s="41">
        <f>IF(AND(I486&gt;=CO2_pH_hi_mt,I487&lt;CO2_pH_hi_mt),EXP(LN(A486)+(LN(A487)-LN(A486))*(I486-CO2_pH_hi_mt)/(I486-I487)),0)</f>
        <v>0.0</v>
      </c>
      <c r="L486" s="41">
        <f>k_eff_CO2_l*B486</f>
        <v>0.016002466789</v>
      </c>
      <c r="M486" s="41">
        <f>EXP(-L486)</f>
        <v>0.984124892424</v>
      </c>
      <c r="N486" s="41">
        <f>IF(L486&gt;0,(1-M486)/L486,1)</f>
        <v>0.992041276229</v>
      </c>
      <c r="O486" s="41">
        <f>IF(L486&gt;0,(L486-1+M486)/L486^2,1/2)</f>
        <v>0.4973435581</v>
      </c>
      <c r="P486" s="41">
        <f>(C_air_CO2/C_sat_CO2*F_vent_ex-CO2_fix_l)*(B486/3600)/(V_L_CO2+Vg_CO2)</f>
        <v>3.698192120394e-05</v>
      </c>
      <c r="Q486" s="41">
        <f>(P486*N486+pool_b*M486)/(1-pool_ret*M486)</f>
        <v>23.891068110554</v>
      </c>
      <c r="R486" s="41">
        <f>MIN(C_sat_CO2,MAX(C_air_CO2,(pool_ret*Q486+pool_b)*N486+P486*O486))</f>
        <v>24.083231291527</v>
      </c>
      <c r="S486" s="41">
        <f>IF(AND(R486&gt;=CO2_pH_hi_mt,R487&lt;CO2_pH_hi_mt),EXP(LN(A486)+(LN(A487)-LN(A486))*(R486-CO2_pH_hi_mt)/(R486-R487)),0)</f>
        <v>0.0</v>
      </c>
    </row>
    <row r="487">
      <c r="A487" s="41">
        <f>A486*grid_ratio</f>
        <v>4.125276090577</v>
      </c>
      <c r="B487" s="41">
        <f>MAX(0,A487*60-spg_dur)</f>
        <v>246.866565434603</v>
      </c>
      <c r="C487" s="41">
        <f>k_eff_CO2*B487</f>
        <v>0.003584723817</v>
      </c>
      <c r="D487" s="41">
        <f>EXP(-C487)</f>
        <v>0.996421693635</v>
      </c>
      <c r="E487" s="41">
        <f>IF(C487&gt;0,(1-D487)/C487,1)</f>
        <v>0.998209777881</v>
      </c>
      <c r="F487" s="41">
        <f>IF(C487&gt;0,(C487-1+D487)/C487^2,1/2)</f>
        <v>0.499403081071</v>
      </c>
      <c r="G487" s="41">
        <f>(C_air_CO2/C_sat_CO2*F_vent_ex-CO2_fix_sched)*(B487/3600)/(V_L_CO2+Vg_CO2)</f>
        <v>-0.047369531673</v>
      </c>
      <c r="H487" s="41">
        <f>(G487*E487+pool_b*D487)/(1-pool_ret*D487)</f>
        <v>26.51383205177</v>
      </c>
      <c r="I487" s="41">
        <f>MIN(C_sat_CO2,MAX(C_air_CO2,(pool_ret*H487+pool_b)*E487+G487*F487))</f>
        <v>26.585124362513</v>
      </c>
      <c r="J487" s="41">
        <f>IF(AND(I487&gt;=CO2_pH_hi_mt,I488&lt;CO2_pH_hi_mt),EXP(LN(A487)+(LN(A488)-LN(A487))*(I487-CO2_pH_hi_mt)/(I487-I488)),0)</f>
        <v>0.0</v>
      </c>
      <c r="L487" s="41">
        <f>k_eff_CO2_l*B487</f>
        <v>0.017929463435</v>
      </c>
      <c r="M487" s="41">
        <f>EXP(-L487)</f>
        <v>0.982230313067</v>
      </c>
      <c r="N487" s="41">
        <f>IF(L487&gt;0,(1-M487)/L487,1)</f>
        <v>0.991088606597</v>
      </c>
      <c r="O487" s="41">
        <f>IF(L487&gt;0,(L487-1+M487)/L487^2,1/2)</f>
        <v>0.497025102609</v>
      </c>
      <c r="P487" s="41">
        <f>(C_air_CO2/C_sat_CO2*F_vent_ex-CO2_fix_l)*(B487/3600)/(V_L_CO2+Vg_CO2)</f>
        <v>4.143523699879e-05</v>
      </c>
      <c r="Q487" s="41">
        <f>(P487*N487+pool_b*M487)/(1-pool_ret*M487)</f>
        <v>23.467810561163</v>
      </c>
      <c r="R487" s="41">
        <f>MIN(C_sat_CO2,MAX(C_air_CO2,(pool_ret*Q487+pool_b)*N487+P487*O487))</f>
        <v>23.679435350212</v>
      </c>
      <c r="S487" s="41">
        <f>IF(AND(R487&gt;=CO2_pH_hi_mt,R488&lt;CO2_pH_hi_mt),EXP(LN(A487)+(LN(A488)-LN(A487))*(R487-CO2_pH_hi_mt)/(R487-R488)),0)</f>
        <v>0.0</v>
      </c>
    </row>
    <row r="488">
      <c r="A488" s="41">
        <f>A487*grid_ratio</f>
        <v>4.620575412461</v>
      </c>
      <c r="B488" s="41">
        <f>MAX(0,A488*60-spg_dur)</f>
        <v>276.584524747656</v>
      </c>
      <c r="C488" s="41">
        <f>k_eff_CO2*B488</f>
        <v>0.004016255224</v>
      </c>
      <c r="D488" s="41">
        <f>EXP(-C488)</f>
        <v>0.995991799142</v>
      </c>
      <c r="E488" s="41">
        <f>IF(C488&gt;0,(1-D488)/C488,1)</f>
        <v>0.997994558075</v>
      </c>
      <c r="F488" s="41">
        <f>IF(C488&gt;0,(C488-1+D488)/C488^2,1/2)</f>
        <v>0.499331295688</v>
      </c>
      <c r="G488" s="41">
        <f>(C_air_CO2/C_sat_CO2*F_vent_ex-CO2_fix_sched)*(B488/3600)/(V_L_CO2+Vg_CO2)</f>
        <v>-0.053071907012</v>
      </c>
      <c r="H488" s="41">
        <f>(G488*E488+pool_b*D488)/(1-pool_ret*D488)</f>
        <v>26.335598602324</v>
      </c>
      <c r="I488" s="41">
        <f>MIN(C_sat_CO2,MAX(C_air_CO2,(pool_ret*H488+pool_b)*E488+G488*F488))</f>
        <v>26.415126230675</v>
      </c>
      <c r="J488" s="41">
        <f>IF(AND(I488&gt;=CO2_pH_hi_mt,I489&lt;CO2_pH_hi_mt),EXP(LN(A488)+(LN(A489)-LN(A488))*(I488-CO2_pH_hi_mt)/(I488-I489)),0)</f>
        <v>0.0</v>
      </c>
      <c r="L488" s="41">
        <f>k_eff_CO2_l*B488</f>
        <v>0.020087824021</v>
      </c>
      <c r="M488" s="41">
        <f>EXP(-L488)</f>
        <v>0.980112592098</v>
      </c>
      <c r="N488" s="41">
        <f>IF(L488&gt;0,(1-M488)/L488,1)</f>
        <v>0.990023005044</v>
      </c>
      <c r="O488" s="41">
        <f>IF(L488&gt;0,(L488-1+M488)/L488^2,1/2)</f>
        <v>0.496668775368</v>
      </c>
      <c r="P488" s="41">
        <f>(C_air_CO2/C_sat_CO2*F_vent_ex-CO2_fix_l)*(B488/3600)/(V_L_CO2+Vg_CO2)</f>
        <v>4.642323804741e-05</v>
      </c>
      <c r="Q488" s="41">
        <f>(P488*N488+pool_b*M488)/(1-pool_ret*M488)</f>
        <v>23.010280498267</v>
      </c>
      <c r="R488" s="41">
        <f>MIN(C_sat_CO2,MAX(C_air_CO2,(pool_ret*Q488+pool_b)*N488+P488*O488))</f>
        <v>23.242925686657</v>
      </c>
      <c r="S488" s="41">
        <f>IF(AND(R488&gt;=CO2_pH_hi_mt,R489&lt;CO2_pH_hi_mt),EXP(LN(A488)+(LN(A489)-LN(A488))*(R488-CO2_pH_hi_mt)/(R488-R489)),0)</f>
        <v>0.0</v>
      </c>
    </row>
    <row r="489">
      <c r="A489" s="41">
        <f>A488*grid_ratio</f>
        <v>5.17534261307</v>
      </c>
      <c r="B489" s="41">
        <f>MAX(0,A489*60-spg_dur)</f>
        <v>309.870556784171</v>
      </c>
      <c r="C489" s="41">
        <f>k_eff_CO2*B489</f>
        <v>0.004499598247</v>
      </c>
      <c r="D489" s="41">
        <f>EXP(-C489)</f>
        <v>0.995510509779</v>
      </c>
      <c r="E489" s="41">
        <f>IF(C489&gt;0,(1-D489)/C489,1)</f>
        <v>0.997753571482</v>
      </c>
      <c r="F489" s="41">
        <f>IF(C489&gt;0,(C489-1+D489)/C489^2,1/2)</f>
        <v>0.499250909798</v>
      </c>
      <c r="G489" s="41">
        <f>(C_air_CO2/C_sat_CO2*F_vent_ex-CO2_fix_sched)*(B489/3600)/(V_L_CO2+Vg_CO2)</f>
        <v>-0.059458935349</v>
      </c>
      <c r="H489" s="41">
        <f>(G489*E489+pool_b*D489)/(1-pool_ret*D489)</f>
        <v>26.137764891991</v>
      </c>
      <c r="I489" s="41">
        <f>MIN(C_sat_CO2,MAX(C_air_CO2,(pool_ret*H489+pool_b)*E489+G489*F489))</f>
        <v>26.226432019139</v>
      </c>
      <c r="J489" s="41">
        <f>IF(AND(I489&gt;=CO2_pH_hi_mt,I490&lt;CO2_pH_hi_mt),EXP(LN(A489)+(LN(A490)-LN(A489))*(I489-CO2_pH_hi_mt)/(I489-I490)),0)</f>
        <v>0.0</v>
      </c>
      <c r="L489" s="41">
        <f>k_eff_CO2_l*B489</f>
        <v>0.022505327149</v>
      </c>
      <c r="M489" s="41">
        <f>EXP(-L489)</f>
        <v>0.97774602858</v>
      </c>
      <c r="N489" s="41">
        <f>IF(L489&gt;0,(1-M489)/L489,1)</f>
        <v>0.988831278567</v>
      </c>
      <c r="O489" s="41">
        <f>IF(L489&gt;0,(L489-1+M489)/L489^2,1/2)</f>
        <v>0.496270121247</v>
      </c>
      <c r="P489" s="41">
        <f>(C_air_CO2/C_sat_CO2*F_vent_ex-CO2_fix_l)*(B489/3600)/(V_L_CO2+Vg_CO2)</f>
        <v>5.201012108179e-05</v>
      </c>
      <c r="Q489" s="41">
        <f>(P489*N489+pool_b*M489)/(1-pool_ret*M489)</f>
        <v>22.517446015115</v>
      </c>
      <c r="R489" s="41">
        <f>MIN(C_sat_CO2,MAX(C_air_CO2,(pool_ret*Q489+pool_b)*N489+P489*O489))</f>
        <v>22.772712610607</v>
      </c>
      <c r="S489" s="41">
        <f>IF(AND(R489&gt;=CO2_pH_hi_mt,R490&lt;CO2_pH_hi_mt),EXP(LN(A489)+(LN(A490)-LN(A489))*(R489-CO2_pH_hi_mt)/(R489-R490)),0)</f>
        <v>0.0</v>
      </c>
    </row>
    <row r="490">
      <c r="A490" s="41">
        <f>A489*grid_ratio</f>
        <v>5.796717675123</v>
      </c>
      <c r="B490" s="41">
        <f>MAX(0,A490*60-spg_dur)</f>
        <v>347.153060507409</v>
      </c>
      <c r="C490" s="41">
        <f>k_eff_CO2*B490</f>
        <v>0.00504097362</v>
      </c>
      <c r="D490" s="41">
        <f>EXP(-C490)</f>
        <v>0.994971710765</v>
      </c>
      <c r="E490" s="41">
        <f>IF(C490&gt;0,(1-D490)/C490,1)</f>
        <v>0.997483743094</v>
      </c>
      <c r="F490" s="41">
        <f>IF(C490&gt;0,(C490-1+D490)/C490^2,1/2)</f>
        <v>0.499160895473</v>
      </c>
      <c r="G490" s="41">
        <f>(C_air_CO2/C_sat_CO2*F_vent_ex-CO2_fix_sched)*(B490/3600)/(V_L_CO2+Vg_CO2)</f>
        <v>-0.066612819221</v>
      </c>
      <c r="H490" s="41">
        <f>(G490*E490+pool_b*D490)/(1-pool_ret*D490)</f>
        <v>25.9184034312</v>
      </c>
      <c r="I490" s="41">
        <f>MIN(C_sat_CO2,MAX(C_air_CO2,(pool_ret*H490+pool_b)*E490+G490*F490))</f>
        <v>26.01720278</v>
      </c>
      <c r="J490" s="41">
        <f>IF(AND(I490&gt;=CO2_pH_hi_mt,I491&lt;CO2_pH_hi_mt),EXP(LN(A490)+(LN(A491)-LN(A490))*(I490-CO2_pH_hi_mt)/(I490-I491)),0)</f>
        <v>0.0</v>
      </c>
      <c r="L490" s="41">
        <f>k_eff_CO2_l*B490</f>
        <v>0.025213086647</v>
      </c>
      <c r="M490" s="41">
        <f>EXP(-L490)</f>
        <v>0.97510210865</v>
      </c>
      <c r="N490" s="41">
        <f>IF(L490&gt;0,(1-M490)/L490,1)</f>
        <v>0.987498742155</v>
      </c>
      <c r="O490" s="41">
        <f>IF(L490&gt;0,(L490-1+M490)/L490^2,1/2)</f>
        <v>0.495824173374</v>
      </c>
      <c r="P490" s="41">
        <f>(C_air_CO2/C_sat_CO2*F_vent_ex-CO2_fix_l)*(B490/3600)/(V_L_CO2+Vg_CO2)</f>
        <v>5.826779058419e-05</v>
      </c>
      <c r="Q490" s="41">
        <f>(P490*N490+pool_b*M490)/(1-pool_ret*M490)</f>
        <v>21.98859821984</v>
      </c>
      <c r="R490" s="41">
        <f>MIN(C_sat_CO2,MAX(C_air_CO2,(pool_ret*Q490+pool_b)*N490+P490*O490))</f>
        <v>22.268113505686</v>
      </c>
      <c r="S490" s="41">
        <f>IF(AND(R490&gt;=CO2_pH_hi_mt,R491&lt;CO2_pH_hi_mt),EXP(LN(A490)+(LN(A491)-LN(A490))*(R490-CO2_pH_hi_mt)/(R490-R491)),0)</f>
        <v>0.0</v>
      </c>
    </row>
    <row r="491">
      <c r="A491" s="41">
        <f>A490*grid_ratio</f>
        <v>6.492697839991</v>
      </c>
      <c r="B491" s="41">
        <f>MAX(0,A491*60-spg_dur)</f>
        <v>388.91187039945</v>
      </c>
      <c r="C491" s="41">
        <f>k_eff_CO2*B491</f>
        <v>0.005647348971</v>
      </c>
      <c r="D491" s="41">
        <f>EXP(-C491)</f>
        <v>0.994368567328</v>
      </c>
      <c r="E491" s="41">
        <f>IF(C491&gt;0,(1-D491)/C491,1)</f>
        <v>0.997181633443</v>
      </c>
      <c r="F491" s="41">
        <f>IF(C491&gt;0,(C491-1+D491)/C491^2,1/2)</f>
        <v>0.49906010253</v>
      </c>
      <c r="G491" s="41">
        <f>(C_air_CO2/C_sat_CO2*F_vent_ex-CO2_fix_sched)*(B491/3600)/(V_L_CO2+Vg_CO2)</f>
        <v>-0.074625630775</v>
      </c>
      <c r="H491" s="41">
        <f>(G491*E491+pool_b*D491)/(1-pool_ret*D491)</f>
        <v>25.675451561946</v>
      </c>
      <c r="I491" s="41">
        <f>MIN(C_sat_CO2,MAX(C_air_CO2,(pool_ret*H491+pool_b)*E491+G491*F491))</f>
        <v>25.785470502431</v>
      </c>
      <c r="J491" s="41">
        <f>IF(AND(I491&gt;=CO2_pH_hi_mt,I492&lt;CO2_pH_hi_mt),EXP(LN(A491)+(LN(A492)-LN(A491))*(I491-CO2_pH_hi_mt)/(I491-I492)),0)</f>
        <v>0.0</v>
      </c>
      <c r="L491" s="41">
        <f>k_eff_CO2_l*B491</f>
        <v>0.028245952008</v>
      </c>
      <c r="M491" s="41">
        <f>EXP(-L491)</f>
        <v>0.972149235338</v>
      </c>
      <c r="N491" s="41">
        <f>IF(L491&gt;0,(1-M491)/L491,1)</f>
        <v>0.986009062594</v>
      </c>
      <c r="O491" s="41">
        <f>IF(L491&gt;0,(L491-1+M491)/L491^2,1/2)</f>
        <v>0.495325397491</v>
      </c>
      <c r="P491" s="41">
        <f>(C_air_CO2/C_sat_CO2*F_vent_ex-CO2_fix_l)*(B491/3600)/(V_L_CO2+Vg_CO2)</f>
        <v>6.527678421448e-05</v>
      </c>
      <c r="Q491" s="41">
        <f>(P491*N491+pool_b*M491)/(1-pool_ret*M491)</f>
        <v>21.423417065869</v>
      </c>
      <c r="R491" s="41">
        <f>MIN(C_sat_CO2,MAX(C_air_CO2,(pool_ret*Q491+pool_b)*N491+P491*O491))</f>
        <v>21.728815474585</v>
      </c>
      <c r="S491" s="41">
        <f>IF(AND(R491&gt;=CO2_pH_hi_mt,R492&lt;CO2_pH_hi_mt),EXP(LN(A491)+(LN(A492)-LN(A491))*(R491-CO2_pH_hi_mt)/(R491-R492)),0)</f>
        <v>0.0</v>
      </c>
    </row>
    <row r="492">
      <c r="A492" s="41">
        <f>A491*grid_ratio</f>
        <v>7.27224053404</v>
      </c>
      <c r="B492" s="41">
        <f>MAX(0,A492*60-spg_dur)</f>
        <v>435.684432042427</v>
      </c>
      <c r="C492" s="41">
        <f>k_eff_CO2*B492</f>
        <v>0.006326528492</v>
      </c>
      <c r="D492" s="41">
        <f>EXP(-C492)</f>
        <v>0.993693441852</v>
      </c>
      <c r="E492" s="41">
        <f>IF(C492&gt;0,(1-D492)/C492,1)</f>
        <v>0.996843396043</v>
      </c>
      <c r="F492" s="41">
        <f>IF(C492&gt;0,(C492-1+D492)/C492^2,1/2)</f>
        <v>0.498947244183</v>
      </c>
      <c r="G492" s="41">
        <f>(C_air_CO2/C_sat_CO2*F_vent_ex-CO2_fix_sched)*(B492/3600)/(V_L_CO2+Vg_CO2)</f>
        <v>-0.083600496757</v>
      </c>
      <c r="H492" s="41">
        <f>(G492*E492+pool_b*D492)/(1-pool_ret*D492)</f>
        <v>25.406715297562</v>
      </c>
      <c r="I492" s="41">
        <f>MIN(C_sat_CO2,MAX(C_air_CO2,(pool_ret*H492+pool_b)*E492+G492*F492))</f>
        <v>25.529141742013</v>
      </c>
      <c r="J492" s="41">
        <f>IF(AND(I492&gt;=CO2_pH_hi_mt,I493&lt;CO2_pH_hi_mt),EXP(LN(A492)+(LN(A493)-LN(A492))*(I492-CO2_pH_hi_mt)/(I492-I493)),0)</f>
        <v>0.0</v>
      </c>
      <c r="L492" s="41">
        <f>k_eff_CO2_l*B492</f>
        <v>0.031642956913</v>
      </c>
      <c r="M492" s="41">
        <f>EXP(-L492)</f>
        <v>0.968852442399</v>
      </c>
      <c r="N492" s="41">
        <f>IF(L492&gt;0,(1-M492)/L492,1)</f>
        <v>0.984344089168</v>
      </c>
      <c r="O492" s="41">
        <f>IF(L492&gt;0,(L492-1+M492)/L492^2,1/2)</f>
        <v>0.494767631069</v>
      </c>
      <c r="P492" s="41">
        <f>(C_air_CO2/C_sat_CO2*F_vent_ex-CO2_fix_l)*(B492/3600)/(V_L_CO2+Vg_CO2)</f>
        <v>7.31273093486e-05</v>
      </c>
      <c r="Q492" s="41">
        <f>(P492*N492+pool_b*M492)/(1-pool_ret*M492)</f>
        <v>20.822035559883</v>
      </c>
      <c r="R492" s="41">
        <f>MIN(C_sat_CO2,MAX(C_air_CO2,(pool_ret*Q492+pool_b)*N492+P492*O492))</f>
        <v>21.154936427332</v>
      </c>
      <c r="S492" s="41">
        <f>IF(AND(R492&gt;=CO2_pH_hi_mt,R493&lt;CO2_pH_hi_mt),EXP(LN(A492)+(LN(A493)-LN(A492))*(R492-CO2_pH_hi_mt)/(R492-R493)),0)</f>
        <v>0.0</v>
      </c>
    </row>
    <row r="493">
      <c r="A493" s="41">
        <f>A492*grid_ratio</f>
        <v>8.1453786528</v>
      </c>
      <c r="B493" s="41">
        <f>MAX(0,A493*60-spg_dur)</f>
        <v>488.072719167989</v>
      </c>
      <c r="C493" s="41">
        <f>k_eff_CO2*B493</f>
        <v>0.007087253381</v>
      </c>
      <c r="D493" s="41">
        <f>EXP(-C493)</f>
        <v>0.992937801973</v>
      </c>
      <c r="E493" s="41">
        <f>IF(C493&gt;0,(1-D493)/C493,1)</f>
        <v>0.996464730024</v>
      </c>
      <c r="F493" s="41">
        <f>IF(C493&gt;0,(C493-1+D493)/C493^2,1/2)</f>
        <v>0.498820881022</v>
      </c>
      <c r="G493" s="41">
        <f>(C_air_CO2/C_sat_CO2*F_vent_ex-CO2_fix_sched)*(B493/3600)/(V_L_CO2+Vg_CO2)</f>
        <v>-0.093652925776</v>
      </c>
      <c r="H493" s="41">
        <f>(G493*E493+pool_b*D493)/(1-pool_ret*D493)</f>
        <v>25.109877186622</v>
      </c>
      <c r="I493" s="41">
        <f>MIN(C_sat_CO2,MAX(C_air_CO2,(pool_ret*H493+pool_b)*E493+G493*F493))</f>
        <v>25.246005081447</v>
      </c>
      <c r="J493" s="41">
        <f>IF(AND(I493&gt;=CO2_pH_hi_mt,I494&lt;CO2_pH_hi_mt),EXP(LN(A493)+(LN(A494)-LN(A493))*(I493-CO2_pH_hi_mt)/(I493-I494)),0)</f>
        <v>0.0</v>
      </c>
      <c r="L493" s="41">
        <f>k_eff_CO2_l*B493</f>
        <v>0.035447821605</v>
      </c>
      <c r="M493" s="41">
        <f>EXP(-L493)</f>
        <v>0.965173094099</v>
      </c>
      <c r="N493" s="41">
        <f>IF(L493&gt;0,(1-M493)/L493,1)</f>
        <v>0.982483671042</v>
      </c>
      <c r="O493" s="41">
        <f>IF(L493&gt;0,(L493-1+M493)/L493^2,1/2)</f>
        <v>0.494144016901</v>
      </c>
      <c r="P493" s="41">
        <f>(C_air_CO2/C_sat_CO2*F_vent_ex-CO2_fix_l)*(B493/3600)/(V_L_CO2+Vg_CO2)</f>
        <v>8.192040406836e-05</v>
      </c>
      <c r="Q493" s="41">
        <f>(P493*N493+pool_b*M493)/(1-pool_ret*M493)</f>
        <v>20.185098830106</v>
      </c>
      <c r="R493" s="41">
        <f>MIN(C_sat_CO2,MAX(C_air_CO2,(pool_ret*Q493+pool_b)*N493+P493*O493))</f>
        <v>20.547081259527</v>
      </c>
      <c r="S493" s="41">
        <f>IF(AND(R493&gt;=CO2_pH_hi_mt,R494&lt;CO2_pH_hi_mt),EXP(LN(A493)+(LN(A494)-LN(A493))*(R493-CO2_pH_hi_mt)/(R493-R494)),0)</f>
        <v>0.0</v>
      </c>
    </row>
    <row r="494">
      <c r="A494" s="41">
        <f>A493*grid_ratio</f>
        <v>9.123349686651</v>
      </c>
      <c r="B494" s="41">
        <f>MAX(0,A494*60-spg_dur)</f>
        <v>546.750981199046</v>
      </c>
      <c r="C494" s="41">
        <f>k_eff_CO2*B494</f>
        <v>0.007939314344</v>
      </c>
      <c r="D494" s="41">
        <f>EXP(-C494)</f>
        <v>0.992092118771</v>
      </c>
      <c r="E494" s="41">
        <f>IF(C494&gt;0,(1-D494)/C494,1)</f>
        <v>0.996040827462</v>
      </c>
      <c r="F494" s="41">
        <f>IF(C494&gt;0,(C494-1+D494)/C494^2,1/2)</f>
        <v>0.498679403141</v>
      </c>
      <c r="G494" s="41">
        <f>(C_air_CO2/C_sat_CO2*F_vent_ex-CO2_fix_sched)*(B494/3600)/(V_L_CO2+Vg_CO2)</f>
        <v>-0.104912294929</v>
      </c>
      <c r="H494" s="41">
        <f>(G494*E494+pool_b*D494)/(1-pool_ret*D494)</f>
        <v>24.782509090518</v>
      </c>
      <c r="I494" s="41">
        <f>MIN(C_sat_CO2,MAX(C_air_CO2,(pool_ret*H494+pool_b)*E494+G494*F494))</f>
        <v>24.933743269894</v>
      </c>
      <c r="J494" s="41">
        <f>IF(AND(I494&gt;=CO2_pH_hi_mt,I495&lt;CO2_pH_hi_mt),EXP(LN(A494)+(LN(A495)-LN(A494))*(I494-CO2_pH_hi_mt)/(I494-I495)),0)</f>
        <v>0.0</v>
      </c>
      <c r="L494" s="41">
        <f>k_eff_CO2_l*B494</f>
        <v>0.039709515576</v>
      </c>
      <c r="M494" s="41">
        <f>EXP(-L494)</f>
        <v>0.961068574059</v>
      </c>
      <c r="N494" s="41">
        <f>IF(L494&gt;0,(1-M494)/L494,1)</f>
        <v>0.98040546141</v>
      </c>
      <c r="O494" s="41">
        <f>IF(L494&gt;0,(L494-1+M494)/L494^2,1/2)</f>
        <v>0.493446930941</v>
      </c>
      <c r="P494" s="41">
        <f>(C_air_CO2/C_sat_CO2*F_vent_ex-CO2_fix_l)*(B494/3600)/(V_L_CO2+Vg_CO2)</f>
        <v>9.176923754507e-05</v>
      </c>
      <c r="Q494" s="41">
        <f>(P494*N494+pool_b*M494)/(1-pool_ret*M494)</f>
        <v>19.51381407935</v>
      </c>
      <c r="R494" s="41">
        <f>MIN(C_sat_CO2,MAX(C_air_CO2,(pool_ret*Q494+pool_b)*N494+P494*O494))</f>
        <v>19.906389330484</v>
      </c>
      <c r="S494" s="41">
        <f>IF(AND(R494&gt;=CO2_pH_hi_mt,R495&lt;CO2_pH_hi_mt),EXP(LN(A494)+(LN(A495)-LN(A494))*(R494-CO2_pH_hi_mt)/(R494-R495)),0)</f>
        <v>0.0</v>
      </c>
    </row>
    <row r="495">
      <c r="A495" s="41">
        <f>A494*grid_ratio</f>
        <v>10.218740349941</v>
      </c>
      <c r="B495" s="41">
        <f>MAX(0,A495*60-spg_dur)</f>
        <v>612.47442099644</v>
      </c>
      <c r="C495" s="41">
        <f>k_eff_CO2*B495</f>
        <v>0.008893677603</v>
      </c>
      <c r="D495" s="41">
        <f>EXP(-C495)</f>
        <v>0.991145754163</v>
      </c>
      <c r="E495" s="41">
        <f>IF(C495&gt;0,(1-D495)/C495,1)</f>
        <v>0.995566314856</v>
      </c>
      <c r="F495" s="41">
        <f>IF(C495&gt;0,(C495-1+D495)/C495^2,1/2)</f>
        <v>0.498521010276</v>
      </c>
      <c r="G495" s="41">
        <f>(C_air_CO2/C_sat_CO2*F_vent_ex-CO2_fix_sched)*(B495/3600)/(V_L_CO2+Vg_CO2)</f>
        <v>-0.117523514912</v>
      </c>
      <c r="H495" s="41">
        <f>(G495*E495+pool_b*D495)/(1-pool_ret*D495)</f>
        <v>24.422090831413</v>
      </c>
      <c r="I495" s="41">
        <f>MIN(C_sat_CO2,MAX(C_air_CO2,(pool_ret*H495+pool_b)*E495+G495*F495))</f>
        <v>24.589950952227</v>
      </c>
      <c r="J495" s="41">
        <f>IF(AND(I495&gt;=CO2_pH_hi_mt,I496&lt;CO2_pH_hi_mt),EXP(LN(A495)+(LN(A496)-LN(A495))*(I495-CO2_pH_hi_mt)/(I495-I496)),0)</f>
        <v>0.0</v>
      </c>
      <c r="L495" s="41">
        <f>k_eff_CO2_l*B495</f>
        <v>0.044482887817</v>
      </c>
      <c r="M495" s="41">
        <f>EXP(-L495)</f>
        <v>0.956491967619</v>
      </c>
      <c r="N495" s="41">
        <f>IF(L495&gt;0,(1-M495)/L495,1)</f>
        <v>0.978084708885</v>
      </c>
      <c r="O495" s="41">
        <f>IF(L495&gt;0,(L495-1+M495)/L495^2,1/2)</f>
        <v>0.492667904243</v>
      </c>
      <c r="P495" s="41">
        <f>(C_air_CO2/C_sat_CO2*F_vent_ex-CO2_fix_l)*(B495/3600)/(V_L_CO2+Vg_CO2)</f>
        <v>0.0001028005665531</v>
      </c>
      <c r="Q495" s="41">
        <f>(P495*N495+pool_b*M495)/(1-pool_ret*M495)</f>
        <v>18.80998722522</v>
      </c>
      <c r="R495" s="41">
        <f>MIN(C_sat_CO2,MAX(C_air_CO2,(pool_ret*Q495+pool_b)*N495+P495*O495))</f>
        <v>19.23456923948</v>
      </c>
      <c r="S495" s="41">
        <f>IF(AND(R495&gt;=CO2_pH_hi_mt,R496&lt;CO2_pH_hi_mt),EXP(LN(A495)+(LN(A496)-LN(A495))*(R495-CO2_pH_hi_mt)/(R495-R496)),0)</f>
        <v>0.0</v>
      </c>
    </row>
    <row r="496">
      <c r="A496" s="41">
        <f>A495*grid_ratio</f>
        <v>11.445648574919</v>
      </c>
      <c r="B496" s="41">
        <f>MAX(0,A496*60-spg_dur)</f>
        <v>686.088914495161</v>
      </c>
      <c r="C496" s="41">
        <f>k_eff_CO2*B496</f>
        <v>0.009962626035</v>
      </c>
      <c r="D496" s="41">
        <f>EXP(-C496)</f>
        <v>0.990086836528</v>
      </c>
      <c r="E496" s="41">
        <f>IF(C496&gt;0,(1-D496)/C496,1)</f>
        <v>0.995035188183</v>
      </c>
      <c r="F496" s="41">
        <f>IF(C496&gt;0,(C496-1+D496)/C496^2,1/2)</f>
        <v>0.498343689681</v>
      </c>
      <c r="G496" s="41">
        <f>(C_air_CO2/C_sat_CO2*F_vent_ex-CO2_fix_sched)*(B496/3600)/(V_L_CO2+Vg_CO2)</f>
        <v>-0.131648895055</v>
      </c>
      <c r="H496" s="41">
        <f>(G496*E496+pool_b*D496)/(1-pool_ret*D496)</f>
        <v>24.026035701021</v>
      </c>
      <c r="I496" s="41">
        <f>MIN(C_sat_CO2,MAX(C_air_CO2,(pool_ret*H496+pool_b)*E496+G496*F496))</f>
        <v>24.212158931504</v>
      </c>
      <c r="J496" s="41">
        <f>IF(AND(I496&gt;=CO2_pH_hi_mt,I497&lt;CO2_pH_hi_mt),EXP(LN(A496)+(LN(A497)-LN(A496))*(I496-CO2_pH_hi_mt)/(I496-I497)),0)</f>
        <v>0.0</v>
      </c>
      <c r="L496" s="41">
        <f>k_eff_CO2_l*B496</f>
        <v>0.049829372737</v>
      </c>
      <c r="M496" s="41">
        <f>EXP(-L496)</f>
        <v>0.951391744021</v>
      </c>
      <c r="N496" s="41">
        <f>IF(L496&gt;0,(1-M496)/L496,1)</f>
        <v>0.975494037121</v>
      </c>
      <c r="O496" s="41">
        <f>IF(L496&gt;0,(L496-1+M496)/L496^2,1/2)</f>
        <v>0.49179753894</v>
      </c>
      <c r="P496" s="41">
        <f>(C_air_CO2/C_sat_CO2*F_vent_ex-CO2_fix_l)*(B496/3600)/(V_L_CO2+Vg_CO2)</f>
        <v>0.0001151563668588</v>
      </c>
      <c r="Q496" s="41">
        <f>(P496*N496+pool_b*M496)/(1-pool_ret*M496)</f>
        <v>18.076042133077</v>
      </c>
      <c r="R496" s="41">
        <f>MIN(C_sat_CO2,MAX(C_air_CO2,(pool_ret*Q496+pool_b)*N496+P496*O496))</f>
        <v>18.533916996485</v>
      </c>
      <c r="S496" s="41">
        <f>IF(AND(R496&gt;=CO2_pH_hi_mt,R497&lt;CO2_pH_hi_mt),EXP(LN(A496)+(LN(A497)-LN(A496))*(R496-CO2_pH_hi_mt)/(R496-R497)),0)</f>
        <v>0.0</v>
      </c>
    </row>
    <row r="497">
      <c r="A497" s="41">
        <f>A496*grid_ratio</f>
        <v>12.819864955402</v>
      </c>
      <c r="B497" s="41">
        <f>MAX(0,A497*60-spg_dur)</f>
        <v>768.541897324101</v>
      </c>
      <c r="C497" s="41">
        <f>k_eff_CO2*B497</f>
        <v>0.011159917255</v>
      </c>
      <c r="D497" s="41">
        <f>EXP(-C497)</f>
        <v>0.988902123616</v>
      </c>
      <c r="E497" s="41">
        <f>IF(C497&gt;0,(1-D497)/C497,1)</f>
        <v>0.994440740881</v>
      </c>
      <c r="F497" s="41">
        <f>IF(C497&gt;0,(C497-1+D497)/C497^2,1/2)</f>
        <v>0.498145191553</v>
      </c>
      <c r="G497" s="41">
        <f>(C_air_CO2/C_sat_CO2*F_vent_ex-CO2_fix_sched)*(B497/3600)/(V_L_CO2+Vg_CO2)</f>
        <v>-0.147470232281</v>
      </c>
      <c r="H497" s="41">
        <f>(G497*E497+pool_b*D497)/(1-pool_ret*D497)</f>
        <v>23.591723803888</v>
      </c>
      <c r="I497" s="41">
        <f>MIN(C_sat_CO2,MAX(C_air_CO2,(pool_ret*H497+pool_b)*E497+G497*F497))</f>
        <v>23.797865892003</v>
      </c>
      <c r="J497" s="41">
        <f>IF(AND(I497&gt;=CO2_pH_hi_mt,I498&lt;CO2_pH_hi_mt),EXP(LN(A497)+(LN(A498)-LN(A497))*(I497-CO2_pH_hi_mt)/(I497-I498)),0)</f>
        <v>0.0</v>
      </c>
      <c r="L497" s="41">
        <f>k_eff_CO2_l*B497</f>
        <v>0.05581778084</v>
      </c>
      <c r="M497" s="41">
        <f>EXP(-L497)</f>
        <v>0.945711446936</v>
      </c>
      <c r="N497" s="41">
        <f>IF(L497&gt;0,(1-M497)/L497,1)</f>
        <v>0.972603214367</v>
      </c>
      <c r="O497" s="41">
        <f>IF(L497&gt;0,(L497-1+M497)/L497^2,1/2)</f>
        <v>0.490825418369</v>
      </c>
      <c r="P497" s="41">
        <f>(C_air_CO2/C_sat_CO2*F_vent_ex-CO2_fix_l)*(B497/3600)/(V_L_CO2+Vg_CO2)</f>
        <v>0.0001289956604819</v>
      </c>
      <c r="Q497" s="41">
        <f>(P497*N497+pool_b*M497)/(1-pool_ret*M497)</f>
        <v>17.315018845246</v>
      </c>
      <c r="R497" s="41">
        <f>MIN(C_sat_CO2,MAX(C_air_CO2,(pool_ret*Q497+pool_b)*N497+P497*O497))</f>
        <v>17.807314158056</v>
      </c>
      <c r="S497" s="41">
        <f>IF(AND(R497&gt;=CO2_pH_hi_mt,R498&lt;CO2_pH_hi_mt),EXP(LN(A497)+(LN(A498)-LN(A497))*(R497-CO2_pH_hi_mt)/(R497-R498)),0)</f>
        <v>0.0</v>
      </c>
    </row>
    <row r="498">
      <c r="A498" s="41">
        <f>A497*grid_ratio</f>
        <v>14.359075975377</v>
      </c>
      <c r="B498" s="41">
        <f>MAX(0,A498*60-spg_dur)</f>
        <v>860.89455852264</v>
      </c>
      <c r="C498" s="41">
        <f>k_eff_CO2*B498</f>
        <v>0.012500960679</v>
      </c>
      <c r="D498" s="41">
        <f>EXP(-C498)</f>
        <v>0.987576851749</v>
      </c>
      <c r="E498" s="41">
        <f>IF(C498&gt;0,(1-D498)/C498,1)</f>
        <v>0.993775484134</v>
      </c>
      <c r="F498" s="41">
        <f>IF(C498&gt;0,(C498-1+D498)/C498^2,1/2)</f>
        <v>0.497923001725</v>
      </c>
      <c r="G498" s="41">
        <f>(C_air_CO2/C_sat_CO2*F_vent_ex-CO2_fix_sched)*(B498/3600)/(V_L_CO2+Vg_CO2)</f>
        <v>-0.165191150876</v>
      </c>
      <c r="H498" s="41">
        <f>(G498*E498+pool_b*D498)/(1-pool_ret*D498)</f>
        <v>23.116544121837</v>
      </c>
      <c r="I498" s="41">
        <f>MIN(C_sat_CO2,MAX(C_air_CO2,(pool_ret*H498+pool_b)*E498+G498*F498))</f>
        <v>23.344578427079</v>
      </c>
      <c r="J498" s="41">
        <f>IF(AND(I498&gt;=CO2_pH_hi_mt,I499&lt;CO2_pH_hi_mt),EXP(LN(A498)+(LN(A499)-LN(A498))*(I498-CO2_pH_hi_mt)/(I498-I499)),0)</f>
        <v>0.0</v>
      </c>
      <c r="L498" s="41">
        <f>k_eff_CO2_l*B498</f>
        <v>0.062525184328</v>
      </c>
      <c r="M498" s="41">
        <f>EXP(-L498)</f>
        <v>0.939389404625</v>
      </c>
      <c r="N498" s="41">
        <f>IF(L498&gt;0,(1-M498)/L498,1)</f>
        <v>0.9693789155</v>
      </c>
      <c r="O498" s="41">
        <f>IF(L498&gt;0,(L498-1+M498)/L498^2,1/2)</f>
        <v>0.48974001163</v>
      </c>
      <c r="P498" s="41">
        <f>(C_air_CO2/C_sat_CO2*F_vent_ex-CO2_fix_l)*(B498/3600)/(V_L_CO2+Vg_CO2)</f>
        <v>0.0001444965623456</v>
      </c>
      <c r="Q498" s="41">
        <f>(P498*N498+pool_b*M498)/(1-pool_ret*M498)</f>
        <v>16.530548134749</v>
      </c>
      <c r="R498" s="41">
        <f>MIN(C_sat_CO2,MAX(C_air_CO2,(pool_ret*Q498+pool_b)*N498+P498*O498))</f>
        <v>17.05820338022</v>
      </c>
      <c r="S498" s="41">
        <f>IF(AND(R498&gt;=CO2_pH_hi_mt,R499&lt;CO2_pH_hi_mt),EXP(LN(A498)+(LN(A499)-LN(A498))*(R498-CO2_pH_hi_mt)/(R498-R499)),0)</f>
        <v>0.0</v>
      </c>
    </row>
    <row r="499">
      <c r="A499" s="41">
        <f>A498*grid_ratio</f>
        <v>16.083091638168</v>
      </c>
      <c r="B499" s="41">
        <f>MAX(0,A499*60-spg_dur)</f>
        <v>964.335498290055</v>
      </c>
      <c r="C499" s="41">
        <f>k_eff_CO2*B499</f>
        <v>0.014003015847</v>
      </c>
      <c r="D499" s="41">
        <f>EXP(-C499)</f>
        <v>0.986094570348</v>
      </c>
      <c r="E499" s="41">
        <f>IF(C499&gt;0,(1-D499)/C499,1)</f>
        <v>0.993031058731</v>
      </c>
      <c r="F499" s="41">
        <f>IF(C499&gt;0,(C499-1+D499)/C499^2,1/2)</f>
        <v>0.497674311383</v>
      </c>
      <c r="G499" s="41">
        <f>(C_air_CO2/C_sat_CO2*F_vent_ex-CO2_fix_sched)*(B499/3600)/(V_L_CO2+Vg_CO2)</f>
        <v>-0.185039723176</v>
      </c>
      <c r="H499" s="41">
        <f>(G499*E499+pool_b*D499)/(1-pool_ret*D499)</f>
        <v>22.597946006949</v>
      </c>
      <c r="I499" s="41">
        <f>MIN(C_sat_CO2,MAX(C_air_CO2,(pool_ret*H499+pool_b)*E499+G499*F499))</f>
        <v>22.849860045247</v>
      </c>
      <c r="J499" s="41">
        <f>IF(AND(I499&gt;=CO2_pH_hi_mt,I500&lt;CO2_pH_hi_mt),EXP(LN(A499)+(LN(A500)-LN(A499))*(I499-CO2_pH_hi_mt)/(I499-I500)),0)</f>
        <v>0.0</v>
      </c>
      <c r="L499" s="41">
        <f>k_eff_CO2_l*B499</f>
        <v>0.070037909042</v>
      </c>
      <c r="M499" s="41">
        <f>EXP(-L499)</f>
        <v>0.932358474419</v>
      </c>
      <c r="N499" s="41">
        <f>IF(L499&gt;0,(1-M499)/L499,1)</f>
        <v>0.965784480231</v>
      </c>
      <c r="O499" s="41">
        <f>IF(L499&gt;0,(L499-1+M499)/L499^2,1/2)</f>
        <v>0.488528573131</v>
      </c>
      <c r="P499" s="41">
        <f>(C_air_CO2/C_sat_CO2*F_vent_ex-CO2_fix_l)*(B499/3600)/(V_L_CO2+Vg_CO2)</f>
        <v>0.0001618585726571</v>
      </c>
      <c r="Q499" s="41">
        <f>(P499*N499+pool_b*M499)/(1-pool_ret*M499)</f>
        <v>15.72680104293</v>
      </c>
      <c r="R499" s="41">
        <f>MIN(C_sat_CO2,MAX(C_air_CO2,(pool_ret*Q499+pool_b)*N499+P499*O499))</f>
        <v>16.290540108444</v>
      </c>
      <c r="S499" s="41">
        <f>IF(AND(R499&gt;=CO2_pH_hi_mt,R500&lt;CO2_pH_hi_mt),EXP(LN(A499)+(LN(A500)-LN(A499))*(R499-CO2_pH_hi_mt)/(R499-R500)),0)</f>
        <v>0.0</v>
      </c>
    </row>
    <row r="500">
      <c r="A500" s="41">
        <f>A499*grid_ratio</f>
        <v>18.014100425769</v>
      </c>
      <c r="B500" s="41">
        <f>MAX(0,A500*60-spg_dur)</f>
        <v>1080.196025546147</v>
      </c>
      <c r="C500" s="41">
        <f>k_eff_CO2*B500</f>
        <v>0.015685414558</v>
      </c>
      <c r="D500" s="41">
        <f>EXP(-C500)</f>
        <v>0.984436960885</v>
      </c>
      <c r="E500" s="41">
        <f>IF(C500&gt;0,(1-D500)/C500,1)</f>
        <v>0.992198137799</v>
      </c>
      <c r="F500" s="41">
        <f>IF(C500&gt;0,(C500-1+D500)/C500^2,1/2)</f>
        <v>0.497395983508</v>
      </c>
      <c r="G500" s="41">
        <f>(C_air_CO2/C_sat_CO2*F_vent_ex-CO2_fix_sched)*(B500/3600)/(V_L_CO2+Vg_CO2)</f>
        <v>-0.207271404918</v>
      </c>
      <c r="H500" s="41">
        <f>(G500*E500+pool_b*D500)/(1-pool_ret*D500)</f>
        <v>22.033500516834</v>
      </c>
      <c r="I500" s="41">
        <f>MIN(C_sat_CO2,MAX(C_air_CO2,(pool_ret*H500+pool_b)*E500+G500*F500))</f>
        <v>22.311389547921</v>
      </c>
      <c r="J500" s="41">
        <f>IF(AND(I500&gt;=CO2_pH_hi_mt,I501&lt;CO2_pH_hi_mt),EXP(LN(A500)+(LN(A501)-LN(A500))*(I500-CO2_pH_hi_mt)/(I500-I501)),0)</f>
        <v>0.0</v>
      </c>
      <c r="L500" s="41">
        <f>k_eff_CO2_l*B500</f>
        <v>0.078452645494</v>
      </c>
      <c r="M500" s="41">
        <f>EXP(-L500)</f>
        <v>0.924545840306</v>
      </c>
      <c r="N500" s="41">
        <f>IF(L500&gt;0,(1-M500)/L500,1)</f>
        <v>0.961779672545</v>
      </c>
      <c r="O500" s="41">
        <f>IF(L500&gt;0,(L500-1+M500)/L500^2,1/2)</f>
        <v>0.487177037999</v>
      </c>
      <c r="P500" s="41">
        <f>(C_air_CO2/C_sat_CO2*F_vent_ex-CO2_fix_l)*(B500/3600)/(V_L_CO2+Vg_CO2)</f>
        <v>0.0001813051445215</v>
      </c>
      <c r="Q500" s="41">
        <f>(P500*N500+pool_b*M500)/(1-pool_ret*M500)</f>
        <v>14.908413714787</v>
      </c>
      <c r="R500" s="41">
        <f>MIN(C_sat_CO2,MAX(C_air_CO2,(pool_ret*Q500+pool_b)*N500+P500*O500))</f>
        <v>15.508720701315</v>
      </c>
      <c r="S500" s="41">
        <f>IF(AND(R500&gt;=CO2_pH_hi_mt,R501&lt;CO2_pH_hi_mt),EXP(LN(A500)+(LN(A501)-LN(A500))*(R500-CO2_pH_hi_mt)/(R500-R501)),0)</f>
        <v>0.0</v>
      </c>
    </row>
    <row r="501">
      <c r="A501" s="41">
        <f>A500*grid_ratio</f>
        <v>20.176954869771</v>
      </c>
      <c r="B501" s="41">
        <f>MAX(0,A501*60-spg_dur)</f>
        <v>1209.967292186248</v>
      </c>
      <c r="C501" s="41">
        <f>k_eff_CO2*B501</f>
        <v>0.017569809674</v>
      </c>
      <c r="D501" s="41">
        <f>EXP(-C501)</f>
        <v>0.982583639427</v>
      </c>
      <c r="E501" s="41">
        <f>IF(C501&gt;0,(1-D501)/C501,1)</f>
        <v>0.991266319666</v>
      </c>
      <c r="F501" s="41">
        <f>IF(C501&gt;0,(C501-1+D501)/C501^2,1/2)</f>
        <v>0.497084515747</v>
      </c>
      <c r="G501" s="41">
        <f>(C_air_CO2/C_sat_CO2*F_vent_ex-CO2_fix_sched)*(B501/3600)/(V_L_CO2+Vg_CO2)</f>
        <v>-0.232172323009</v>
      </c>
      <c r="H501" s="41">
        <f>(G501*E501+pool_b*D501)/(1-pool_ret*D501)</f>
        <v>21.42097157837</v>
      </c>
      <c r="I501" s="41">
        <f>MIN(C_sat_CO2,MAX(C_air_CO2,(pool_ret*H501+pool_b)*E501+G501*F501))</f>
        <v>21.727028764717</v>
      </c>
      <c r="J501" s="41">
        <f>IF(AND(I501&gt;=CO2_pH_hi_mt,I502&lt;CO2_pH_hi_mt),EXP(LN(A501)+(LN(A502)-LN(A501))*(I501-CO2_pH_hi_mt)/(I501-I502)),0)</f>
        <v>0.0</v>
      </c>
      <c r="L501" s="41">
        <f>k_eff_CO2_l*B501</f>
        <v>0.087877693297</v>
      </c>
      <c r="M501" s="41">
        <f>EXP(-L501)</f>
        <v>0.915872887267</v>
      </c>
      <c r="N501" s="41">
        <f>IF(L501&gt;0,(1-M501)/L501,1)</f>
        <v>0.957320448195</v>
      </c>
      <c r="O501" s="41">
        <f>IF(L501&gt;0,(L501-1+M501)/L501^2,1/2)</f>
        <v>0.485669914671</v>
      </c>
      <c r="P501" s="41">
        <f>(C_air_CO2/C_sat_CO2*F_vent_ex-CO2_fix_l)*(B501/3600)/(V_L_CO2+Vg_CO2)</f>
        <v>0.0002030865598355</v>
      </c>
      <c r="Q501" s="41">
        <f>(P501*N501+pool_b*M501)/(1-pool_ret*M501)</f>
        <v>14.080389679282</v>
      </c>
      <c r="R501" s="41">
        <f>MIN(C_sat_CO2,MAX(C_air_CO2,(pool_ret*Q501+pool_b)*N501+P501*O501))</f>
        <v>14.717489031555</v>
      </c>
      <c r="S501" s="41">
        <f>IF(AND(R501&gt;=CO2_pH_hi_mt,R502&lt;CO2_pH_hi_mt),EXP(LN(A501)+(LN(A502)-LN(A501))*(R501-CO2_pH_hi_mt)/(R501-R502)),0)</f>
        <v>0.0</v>
      </c>
    </row>
    <row r="502">
      <c r="A502" s="41">
        <f>A501*grid_ratio</f>
        <v>22.599491409207</v>
      </c>
      <c r="B502" s="41">
        <f>MAX(0,A502*60-spg_dur)</f>
        <v>1355.31948455244</v>
      </c>
      <c r="C502" s="41">
        <f>k_eff_CO2*B502</f>
        <v>0.019680453798</v>
      </c>
      <c r="D502" s="41">
        <f>EXP(-C502)</f>
        <v>0.980511942119</v>
      </c>
      <c r="E502" s="41">
        <f>IF(C502&gt;0,(1-D502)/C502,1)</f>
        <v>0.990224010114</v>
      </c>
      <c r="F502" s="41">
        <f>IF(C502&gt;0,(C502-1+D502)/C502^2,1/2)</f>
        <v>0.496735999397</v>
      </c>
      <c r="G502" s="41">
        <f>(C_air_CO2/C_sat_CO2*F_vent_ex-CO2_fix_sched)*(B502/3600)/(V_L_CO2+Vg_CO2)</f>
        <v>-0.260062958049</v>
      </c>
      <c r="H502" s="41">
        <f>(G502*E502+pool_b*D502)/(1-pool_ret*D502)</f>
        <v>20.758396391531</v>
      </c>
      <c r="I502" s="41">
        <f>MIN(C_sat_CO2,MAX(C_air_CO2,(pool_ret*H502+pool_b)*E502+G502*F502))</f>
        <v>21.094899084536</v>
      </c>
      <c r="J502" s="41">
        <f>IF(AND(I502&gt;=CO2_pH_hi_mt,I503&lt;CO2_pH_hi_mt),EXP(LN(A502)+(LN(A503)-LN(A502))*(I502-CO2_pH_hi_mt)/(I502-I503)),0)</f>
        <v>0.0</v>
      </c>
      <c r="L502" s="41">
        <f>k_eff_CO2_l*B502</f>
        <v>0.098434355004</v>
      </c>
      <c r="M502" s="41">
        <f>EXP(-L502)</f>
        <v>0.906255181779</v>
      </c>
      <c r="N502" s="41">
        <f>IF(L502&gt;0,(1-M502)/L502,1)</f>
        <v>0.952358739149</v>
      </c>
      <c r="O502" s="41">
        <f>IF(L502&gt;0,(L502-1+M502)/L502^2,1/2)</f>
        <v>0.48399017649</v>
      </c>
      <c r="P502" s="41">
        <f>(C_air_CO2/C_sat_CO2*F_vent_ex-CO2_fix_l)*(B502/3600)/(V_L_CO2+Vg_CO2)</f>
        <v>0.000227483150473</v>
      </c>
      <c r="Q502" s="41">
        <f>(P502*N502+pool_b*M502)/(1-pool_ret*M502)</f>
        <v>13.247983542191</v>
      </c>
      <c r="R502" s="41">
        <f>MIN(C_sat_CO2,MAX(C_air_CO2,(pool_ret*Q502+pool_b)*N502+P502*O502))</f>
        <v>13.921825342593</v>
      </c>
      <c r="S502" s="41">
        <f>IF(AND(R502&gt;=CO2_pH_hi_mt,R503&lt;CO2_pH_hi_mt),EXP(LN(A502)+(LN(A503)-LN(A502))*(R502-CO2_pH_hi_mt)/(R502-R503)),0)</f>
        <v>0.0</v>
      </c>
    </row>
    <row r="503">
      <c r="A503" s="41">
        <f>A502*grid_ratio</f>
        <v>25.312888651995</v>
      </c>
      <c r="B503" s="41">
        <f>MAX(0,A503*60-spg_dur)</f>
        <v>1518.123319119698</v>
      </c>
      <c r="C503" s="41">
        <f>k_eff_CO2*B503</f>
        <v>0.02204451141</v>
      </c>
      <c r="D503" s="41">
        <f>EXP(-C503)</f>
        <v>0.978196693168</v>
      </c>
      <c r="E503" s="41">
        <f>IF(C503&gt;0,(1-D503)/C503,1)</f>
        <v>0.989058293304</v>
      </c>
      <c r="F503" s="41">
        <f>IF(C503&gt;0,(C503-1+D503)/C503^2,1/2)</f>
        <v>0.496346074172</v>
      </c>
      <c r="G503" s="41">
        <f>(C_air_CO2/C_sat_CO2*F_vent_ex-CO2_fix_sched)*(B503/3600)/(V_L_CO2+Vg_CO2)</f>
        <v>-0.291302268987</v>
      </c>
      <c r="H503" s="41">
        <f>(G503*E503+pool_b*D503)/(1-pool_ret*D503)</f>
        <v>20.044173761915</v>
      </c>
      <c r="I503" s="41">
        <f>MIN(C_sat_CO2,MAX(C_air_CO2,(pool_ret*H503+pool_b)*E503+G503*F503))</f>
        <v>20.41346553154</v>
      </c>
      <c r="J503" s="41">
        <f>IF(AND(I503&gt;=CO2_pH_hi_mt,I504&lt;CO2_pH_hi_mt),EXP(LN(A503)+(LN(A504)-LN(A503))*(I503-CO2_pH_hi_mt)/(I503-I504)),0)</f>
        <v>0.0</v>
      </c>
      <c r="L503" s="41">
        <f>k_eff_CO2_l*B503</f>
        <v>0.110258497305</v>
      </c>
      <c r="M503" s="41">
        <f>EXP(-L503)</f>
        <v>0.895602594515</v>
      </c>
      <c r="N503" s="41">
        <f>IF(L503&gt;0,(1-M503)/L503,1)</f>
        <v>0.946842266467</v>
      </c>
      <c r="O503" s="41">
        <f>IF(L503&gt;0,(L503-1+M503)/L503^2,1/2)</f>
        <v>0.482119154822</v>
      </c>
      <c r="P503" s="41">
        <f>(C_air_CO2/C_sat_CO2*F_vent_ex-CO2_fix_l)*(B503/3600)/(V_L_CO2+Vg_CO2)</f>
        <v>0.0002548089062218</v>
      </c>
      <c r="Q503" s="41">
        <f>(P503*N503+pool_b*M503)/(1-pool_ret*M503)</f>
        <v>12.416571651787</v>
      </c>
      <c r="R503" s="41">
        <f>MIN(C_sat_CO2,MAX(C_air_CO2,(pool_ret*Q503+pool_b)*N503+P503*O503))</f>
        <v>13.126822656556</v>
      </c>
      <c r="S503" s="41">
        <f>IF(AND(R503&gt;=CO2_pH_hi_mt,R504&lt;CO2_pH_hi_mt),EXP(LN(A503)+(LN(A504)-LN(A503))*(R503-CO2_pH_hi_mt)/(R503-R504)),0)</f>
        <v>0.0</v>
      </c>
    </row>
    <row r="504">
      <c r="A504" s="41">
        <f>A503*grid_ratio</f>
        <v>28.352068650857</v>
      </c>
      <c r="B504" s="41">
        <f>MAX(0,A504*60-spg_dur)</f>
        <v>1700.474119051411</v>
      </c>
      <c r="C504" s="41">
        <f>k_eff_CO2*B504</f>
        <v>0.024692408481</v>
      </c>
      <c r="D504" s="41">
        <f>EXP(-C504)</f>
        <v>0.975609955229</v>
      </c>
      <c r="E504" s="41">
        <f>IF(C504&gt;0,(1-D504)/C504,1)</f>
        <v>0.987754790712</v>
      </c>
      <c r="F504" s="41">
        <f>IF(C504&gt;0,(C504-1+D504)/C504^2,1/2)</f>
        <v>0.495909878433</v>
      </c>
      <c r="G504" s="41">
        <f>(C_air_CO2/C_sat_CO2*F_vent_ex-CO2_fix_sched)*(B504/3600)/(V_L_CO2+Vg_CO2)</f>
        <v>-0.326292313012</v>
      </c>
      <c r="H504" s="41">
        <f>(G504*E504+pool_b*D504)/(1-pool_ret*D504)</f>
        <v>19.27715819484</v>
      </c>
      <c r="I504" s="41">
        <f>MIN(C_sat_CO2,MAX(C_air_CO2,(pool_ret*H504+pool_b)*E504+G504*F504))</f>
        <v>19.68162631944</v>
      </c>
      <c r="J504" s="41">
        <f>IF(AND(I504&gt;=CO2_pH_hi_mt,I505&lt;CO2_pH_hi_mt),EXP(LN(A504)+(LN(A505)-LN(A504))*(I504-CO2_pH_hi_mt)/(I504-I505)),0)</f>
        <v>0.0</v>
      </c>
      <c r="L504" s="41">
        <f>k_eff_CO2_l*B504</f>
        <v>0.123502299656</v>
      </c>
      <c r="M504" s="41">
        <f>EXP(-L504)</f>
        <v>0.883819608761</v>
      </c>
      <c r="N504" s="41">
        <f>IF(L504&gt;0,(1-M504)/L504,1)</f>
        <v>0.940714396112</v>
      </c>
      <c r="O504" s="41">
        <f>IF(L504&gt;0,(L504-1+M504)/L504^2,1/2)</f>
        <v>0.480036436999</v>
      </c>
      <c r="P504" s="41">
        <f>(C_air_CO2/C_sat_CO2*F_vent_ex-CO2_fix_l)*(B504/3600)/(V_L_CO2+Vg_CO2)</f>
        <v>0.000285415515905</v>
      </c>
      <c r="Q504" s="41">
        <f>(P504*N504+pool_b*M504)/(1-pool_ret*M504)</f>
        <v>11.591516460288</v>
      </c>
      <c r="R504" s="41">
        <f>MIN(C_sat_CO2,MAX(C_air_CO2,(pool_ret*Q504+pool_b)*N504+P504*O504))</f>
        <v>12.337557137494</v>
      </c>
      <c r="S504" s="41">
        <f>IF(AND(R504&gt;=CO2_pH_hi_mt,R505&lt;CO2_pH_hi_mt),EXP(LN(A504)+(LN(A505)-LN(A504))*(R504-CO2_pH_hi_mt)/(R504-R505)),0)</f>
        <v>0.0</v>
      </c>
    </row>
    <row r="505">
      <c r="A505" s="41">
        <f>A504*grid_ratio</f>
        <v>31.756146358252</v>
      </c>
      <c r="B505" s="41">
        <f>MAX(0,A505*60-spg_dur)</f>
        <v>1904.718781495146</v>
      </c>
      <c r="C505" s="41">
        <f>k_eff_CO2*B505</f>
        <v>0.027658224061</v>
      </c>
      <c r="D505" s="41">
        <f>EXP(-C505)</f>
        <v>0.972720762548</v>
      </c>
      <c r="E505" s="41">
        <f>IF(C505&gt;0,(1-D505)/C505,1)</f>
        <v>0.98629750747</v>
      </c>
      <c r="F505" s="41">
        <f>IF(C505&gt;0,(C505-1+D505)/C505^2,1/2)</f>
        <v>0.49542199454</v>
      </c>
      <c r="G505" s="41">
        <f>(C_air_CO2/C_sat_CO2*F_vent_ex-CO2_fix_sched)*(B505/3600)/(V_L_CO2+Vg_CO2)</f>
        <v>-0.365483420118</v>
      </c>
      <c r="H505" s="41">
        <f>(G505*E505+pool_b*D505)/(1-pool_ret*D505)</f>
        <v>18.456756634079</v>
      </c>
      <c r="I505" s="41">
        <f>MIN(C_sat_CO2,MAX(C_air_CO2,(pool_ret*H505+pool_b)*E505+G505*F505))</f>
        <v>18.898804912261</v>
      </c>
      <c r="J505" s="41">
        <f>IF(AND(I505&gt;=CO2_pH_hi_mt,I506&lt;CO2_pH_hi_mt),EXP(LN(A505)+(LN(A506)-LN(A505))*(I505-CO2_pH_hi_mt)/(I505-I506)),0)</f>
        <v>0.0</v>
      </c>
      <c r="L505" s="41">
        <f>k_eff_CO2_l*B505</f>
        <v>0.138336212869</v>
      </c>
      <c r="M505" s="41">
        <f>EXP(-L505)</f>
        <v>0.870805866384</v>
      </c>
      <c r="N505" s="41">
        <f>IF(L505&gt;0,(1-M505)/L505,1)</f>
        <v>0.933914055738</v>
      </c>
      <c r="O505" s="41">
        <f>IF(L505&gt;0,(L505-1+M505)/L505^2,1/2)</f>
        <v>0.477719773378</v>
      </c>
      <c r="P505" s="41">
        <f>(C_air_CO2/C_sat_CO2*F_vent_ex-CO2_fix_l)*(B505/3600)/(V_L_CO2+Vg_CO2)</f>
        <v>0.0003196968936979</v>
      </c>
      <c r="Q505" s="41">
        <f>(P505*N505+pool_b*M505)/(1-pool_ret*M505)</f>
        <v>10.778031881241</v>
      </c>
      <c r="R505" s="41">
        <f>MIN(C_sat_CO2,MAX(C_air_CO2,(pool_ret*Q505+pool_b)*N505+P505*O505))</f>
        <v>11.558959363686</v>
      </c>
      <c r="S505" s="41">
        <f>IF(AND(R505&gt;=CO2_pH_hi_mt,R506&lt;CO2_pH_hi_mt),EXP(LN(A505)+(LN(A506)-LN(A505))*(R505-CO2_pH_hi_mt)/(R505-R506)),0)</f>
        <v>0.0</v>
      </c>
    </row>
    <row r="506">
      <c r="A506" s="41">
        <f>A505*grid_ratio</f>
        <v>35.568933044901</v>
      </c>
      <c r="B506" s="41">
        <f>MAX(0,A506*60-spg_dur)</f>
        <v>2133.48598269403</v>
      </c>
      <c r="C506" s="41">
        <f>k_eff_CO2*B506</f>
        <v>0.030980128885</v>
      </c>
      <c r="D506" s="41">
        <f>EXP(-C506)</f>
        <v>0.969494837828</v>
      </c>
      <c r="E506" s="41">
        <f>IF(C506&gt;0,(1-D506)/C506,1)</f>
        <v>0.984668665686</v>
      </c>
      <c r="F506" s="41">
        <f>IF(C506&gt;0,(C506-1+D506)/C506^2,1/2)</f>
        <v>0.494876389028</v>
      </c>
      <c r="G506" s="41">
        <f>(C_air_CO2/C_sat_CO2*F_vent_ex-CO2_fix_sched)*(B506/3600)/(V_L_CO2+Vg_CO2)</f>
        <v>-0.409379988953</v>
      </c>
      <c r="H506" s="41">
        <f>(G506*E506+pool_b*D506)/(1-pool_ret*D506)</f>
        <v>17.583023750116</v>
      </c>
      <c r="I506" s="41">
        <f>MIN(C_sat_CO2,MAX(C_air_CO2,(pool_ret*H506+pool_b)*E506+G506*F506))</f>
        <v>18.065040687364</v>
      </c>
      <c r="J506" s="41">
        <f>IF(AND(I506&gt;=CO2_pH_hi_mt,I507&lt;CO2_pH_hi_mt),EXP(LN(A506)+(LN(A507)-LN(A506))*(I506-CO2_pH_hi_mt)/(I506-I507)),0)</f>
        <v>0.0</v>
      </c>
      <c r="L506" s="41">
        <f>k_eff_CO2_l*B506</f>
        <v>0.154951152854</v>
      </c>
      <c r="M506" s="41">
        <f>EXP(-L506)</f>
        <v>0.856457011942</v>
      </c>
      <c r="N506" s="41">
        <f>IF(L506&gt;0,(1-M506)/L506,1)</f>
        <v>0.926375734633</v>
      </c>
      <c r="O506" s="41">
        <f>IF(L506&gt;0,(L506-1+M506)/L506^2,1/2)</f>
        <v>0.475144998991</v>
      </c>
      <c r="P506" s="41">
        <f>(C_air_CO2/C_sat_CO2*F_vent_ex-CO2_fix_l)*(B506/3600)/(V_L_CO2+Vg_CO2)</f>
        <v>0.0003580942488947</v>
      </c>
      <c r="Q506" s="41">
        <f>(P506*N506+pool_b*M506)/(1-pool_ret*M506)</f>
        <v>9.981056855614</v>
      </c>
      <c r="R506" s="41">
        <f>MIN(C_sat_CO2,MAX(C_air_CO2,(pool_ret*Q506+pool_b)*N506+P506*O506))</f>
        <v>10.795693379796</v>
      </c>
      <c r="S506" s="41">
        <f>IF(AND(R506&gt;=CO2_pH_hi_mt,R507&lt;CO2_pH_hi_mt),EXP(LN(A506)+(LN(A507)-LN(A506))*(R506-CO2_pH_hi_mt)/(R506-R507)),0)</f>
        <v>0.0</v>
      </c>
    </row>
    <row r="507">
      <c r="A507" s="41">
        <f>A506*grid_ratio</f>
        <v>39.839500161009</v>
      </c>
      <c r="B507" s="41">
        <f>MAX(0,A507*60-spg_dur)</f>
        <v>2389.720009660524</v>
      </c>
      <c r="C507" s="41">
        <f>k_eff_CO2*B507</f>
        <v>0.034700876639</v>
      </c>
      <c r="D507" s="41">
        <f>EXP(-C507)</f>
        <v>0.965894294598</v>
      </c>
      <c r="E507" s="41">
        <f>IF(C507&gt;0,(1-D507)/C507,1)</f>
        <v>0.982848524455</v>
      </c>
      <c r="F507" s="41">
        <f>IF(C507&gt;0,(C507-1+D507)/C507^2,1/2)</f>
        <v>0.494266347307</v>
      </c>
      <c r="G507" s="41">
        <f>(C_air_CO2/C_sat_CO2*F_vent_ex-CO2_fix_sched)*(B507/3600)/(V_L_CO2+Vg_CO2)</f>
        <v>-0.458546978556</v>
      </c>
      <c r="H507" s="41">
        <f>(G507*E507+pool_b*D507)/(1-pool_ret*D507)</f>
        <v>16.656750770555</v>
      </c>
      <c r="I507" s="41">
        <f>MIN(C_sat_CO2,MAX(C_air_CO2,(pool_ret*H507+pool_b)*E507+G507*F507))</f>
        <v>17.18107342696</v>
      </c>
      <c r="J507" s="41">
        <f>IF(AND(I507&gt;=CO2_pH_hi_mt,I508&lt;CO2_pH_hi_mt),EXP(LN(A507)+(LN(A508)-LN(A507))*(I507-CO2_pH_hi_mt)/(I507-I508)),0)</f>
        <v>0.0</v>
      </c>
      <c r="L507" s="41">
        <f>k_eff_CO2_l*B507</f>
        <v>0.173560957747</v>
      </c>
      <c r="M507" s="41">
        <f>EXP(-L507)</f>
        <v>0.840665904501</v>
      </c>
      <c r="N507" s="41">
        <f>IF(L507&gt;0,(1-M507)/L507,1)</f>
        <v>0.918029593567</v>
      </c>
      <c r="O507" s="41">
        <f>IF(L507&gt;0,(L507-1+M507)/L507^2,1/2)</f>
        <v>0.472285976623</v>
      </c>
      <c r="P507" s="41">
        <f>(C_air_CO2/C_sat_CO2*F_vent_ex-CO2_fix_l)*(B507/3600)/(V_L_CO2+Vg_CO2)</f>
        <v>0.0004011017643751</v>
      </c>
      <c r="Q507" s="41">
        <f>(P507*N507+pool_b*M507)/(1-pool_ret*M507)</f>
        <v>9.205143599328</v>
      </c>
      <c r="R507" s="41">
        <f>MIN(C_sat_CO2,MAX(C_air_CO2,(pool_ret*Q507+pool_b)*N507+P507*O507))</f>
        <v>10.052049694684</v>
      </c>
      <c r="S507" s="41">
        <f>IF(AND(R507&gt;=CO2_pH_hi_mt,R508&lt;CO2_pH_hi_mt),EXP(LN(A507)+(LN(A508)-LN(A507))*(R507-CO2_pH_hi_mt)/(R507-R508)),0)</f>
        <v>0.0</v>
      </c>
    </row>
    <row r="508">
      <c r="A508" s="41">
        <f>A507*grid_ratio</f>
        <v>44.622810897235</v>
      </c>
      <c r="B508" s="41">
        <f>MAX(0,A508*60-spg_dur)</f>
        <v>2676.718653834111</v>
      </c>
      <c r="C508" s="41">
        <f>k_eff_CO2*B508</f>
        <v>0.038868354213</v>
      </c>
      <c r="D508" s="41">
        <f>EXP(-C508)</f>
        <v>0.96187732791</v>
      </c>
      <c r="E508" s="41">
        <f>IF(C508&gt;0,(1-D508)/C508,1)</f>
        <v>0.980815186604</v>
      </c>
      <c r="F508" s="41">
        <f>IF(C508&gt;0,(C508-1+D508)/C508^2,1/2)</f>
        <v>0.493584402654</v>
      </c>
      <c r="G508" s="41">
        <f>(C_air_CO2/C_sat_CO2*F_vent_ex-CO2_fix_sched)*(B508/3600)/(V_L_CO2+Vg_CO2)</f>
        <v>-0.513617179502</v>
      </c>
      <c r="H508" s="41">
        <f>(G508*E508+pool_b*D508)/(1-pool_ret*D508)</f>
        <v>15.679542118176</v>
      </c>
      <c r="I508" s="41">
        <f>MIN(C_sat_CO2,MAX(C_air_CO2,(pool_ret*H508+pool_b)*E508+G508*F508))</f>
        <v>16.248416171199</v>
      </c>
      <c r="J508" s="41">
        <f>IF(AND(I508&gt;=CO2_pH_hi_mt,I509&lt;CO2_pH_hi_mt),EXP(LN(A508)+(LN(A509)-LN(A508))*(I508-CO2_pH_hi_mt)/(I508-I509)),0)</f>
        <v>0.0</v>
      </c>
      <c r="L508" s="41">
        <f>k_eff_CO2_l*B508</f>
        <v>0.194405140058</v>
      </c>
      <c r="M508" s="41">
        <f>EXP(-L508)</f>
        <v>0.823324275045</v>
      </c>
      <c r="N508" s="41">
        <f>IF(L508&gt;0,(1-M508)/L508,1)</f>
        <v>0.908801716364</v>
      </c>
      <c r="O508" s="41">
        <f>IF(L508&gt;0,(L508-1+M508)/L508^2,1/2)</f>
        <v>0.469114569753</v>
      </c>
      <c r="P508" s="41">
        <f>(C_air_CO2/C_sat_CO2*F_vent_ex-CO2_fix_l)*(B508/3600)/(V_L_CO2+Vg_CO2)</f>
        <v>0.000449272956852</v>
      </c>
      <c r="Q508" s="41">
        <f>(P508*N508+pool_b*M508)/(1-pool_ret*M508)</f>
        <v>8.454365713134</v>
      </c>
      <c r="R508" s="41">
        <f>MIN(C_sat_CO2,MAX(C_air_CO2,(pool_ret*Q508+pool_b)*N508+P508*O508))</f>
        <v>9.33185716029</v>
      </c>
      <c r="S508" s="41">
        <f>IF(AND(R508&gt;=CO2_pH_hi_mt,R509&lt;CO2_pH_hi_mt),EXP(LN(A508)+(LN(A509)-LN(A508))*(R508-CO2_pH_hi_mt)/(R508-R509)),0)</f>
        <v>0.0</v>
      </c>
    </row>
    <row r="509">
      <c r="A509" s="41">
        <f>A508*grid_ratio</f>
        <v>49.980427573718</v>
      </c>
      <c r="B509" s="41">
        <f>MAX(0,A509*60-spg_dur)</f>
        <v>2998.175654423062</v>
      </c>
      <c r="C509" s="41">
        <f>k_eff_CO2*B509</f>
        <v>0.043536198009</v>
      </c>
      <c r="D509" s="41">
        <f>EXP(-C509)</f>
        <v>0.957397897566</v>
      </c>
      <c r="E509" s="41">
        <f>IF(C509&gt;0,(1-D509)/C509,1)</f>
        <v>0.978544392535</v>
      </c>
      <c r="F509" s="41">
        <f>IF(C509&gt;0,(C509-1+D509)/C509^2,1/2)</f>
        <v>0.492822259325</v>
      </c>
      <c r="G509" s="41">
        <f>(C_air_CO2/C_sat_CO2*F_vent_ex-CO2_fix_sched)*(B509/3600)/(V_L_CO2+Vg_CO2)</f>
        <v>-0.575299358067</v>
      </c>
      <c r="H509" s="41">
        <f>(G509*E509+pool_b*D509)/(1-pool_ret*D509)</f>
        <v>14.653873714966</v>
      </c>
      <c r="I509" s="41">
        <f>MIN(C_sat_CO2,MAX(C_air_CO2,(pool_ret*H509+pool_b)*E509+G509*F509))</f>
        <v>15.269410577666</v>
      </c>
      <c r="J509" s="41">
        <f>IF(AND(I509&gt;=CO2_pH_hi_mt,I510&lt;CO2_pH_hi_mt),EXP(LN(A509)+(LN(A510)-LN(A509))*(I509-CO2_pH_hi_mt)/(I509-I510)),0)</f>
        <v>0.0</v>
      </c>
      <c r="L509" s="41">
        <f>k_eff_CO2_l*B509</f>
        <v>0.217751969256</v>
      </c>
      <c r="M509" s="41">
        <f>EXP(-L509)</f>
        <v>0.804324914234</v>
      </c>
      <c r="N509" s="41">
        <f>IF(L509&gt;0,(1-M509)/L509,1)</f>
        <v>0.898614540359</v>
      </c>
      <c r="O509" s="41">
        <f>IF(L509&gt;0,(L509-1+M509)/L509^2,1/2)</f>
        <v>0.465600655587</v>
      </c>
      <c r="P509" s="41">
        <f>(C_air_CO2/C_sat_CO2*F_vent_ex-CO2_fix_l)*(B509/3600)/(V_L_CO2+Vg_CO2)</f>
        <v>0.0005032278007608</v>
      </c>
      <c r="Q509" s="41">
        <f>(P509*N509+pool_b*M509)/(1-pool_ret*M509)</f>
        <v>7.732249662632</v>
      </c>
      <c r="R509" s="41">
        <f>MIN(C_sat_CO2,MAX(C_air_CO2,(pool_ret*Q509+pool_b)*N509+P509*O509))</f>
        <v>8.638417073669</v>
      </c>
      <c r="S509" s="41">
        <f>IF(AND(R509&gt;=CO2_pH_hi_mt,R510&lt;CO2_pH_hi_mt),EXP(LN(A509)+(LN(A510)-LN(A509))*(R509-CO2_pH_hi_mt)/(R509-R510)),0)</f>
        <v>0.0</v>
      </c>
    </row>
    <row r="510">
      <c r="A510" s="41">
        <f>A509*grid_ratio</f>
        <v>55.981303961432</v>
      </c>
      <c r="B510" s="41">
        <f>MAX(0,A510*60-spg_dur)</f>
        <v>3358.228237685943</v>
      </c>
      <c r="C510" s="41">
        <f>k_eff_CO2*B510</f>
        <v>0.048764484263</v>
      </c>
      <c r="D510" s="41">
        <f>EXP(-C510)</f>
        <v>0.952405409749</v>
      </c>
      <c r="E510" s="41">
        <f>IF(C510&gt;0,(1-D510)/C510,1)</f>
        <v>0.976009302069</v>
      </c>
      <c r="F510" s="41">
        <f>IF(C510&gt;0,(C510-1+D510)/C510^2,1/2)</f>
        <v>0.491970709705</v>
      </c>
      <c r="G510" s="41">
        <f>(C_air_CO2/C_sat_CO2*F_vent_ex-CO2_fix_sched)*(B510/3600)/(V_L_CO2+Vg_CO2)</f>
        <v>-0.644387378215</v>
      </c>
      <c r="H510" s="41">
        <f>(G510*E510+pool_b*D510)/(1-pool_ret*D510)</f>
        <v>13.58312685676</v>
      </c>
      <c r="I510" s="41">
        <f>MIN(C_sat_CO2,MAX(C_air_CO2,(pool_ret*H510+pool_b)*E510+G510*F510))</f>
        <v>14.247258976031</v>
      </c>
      <c r="J510" s="41">
        <f>IF(AND(I510&gt;=CO2_pH_hi_mt,I511&lt;CO2_pH_hi_mt),EXP(LN(A510)+(LN(A511)-LN(A510))*(I510-CO2_pH_hi_mt)/(I510-I511)),0)</f>
        <v>0.0</v>
      </c>
      <c r="L510" s="41">
        <f>k_eff_CO2_l*B510</f>
        <v>0.243901924455</v>
      </c>
      <c r="M510" s="41">
        <f>EXP(-L510)</f>
        <v>0.783564479008</v>
      </c>
      <c r="N510" s="41">
        <f>IF(L510&gt;0,(1-M510)/L510,1)</f>
        <v>0.88738750822</v>
      </c>
      <c r="O510" s="41">
        <f>IF(L510&gt;0,(L510-1+M510)/L510^2,1/2)</f>
        <v>0.461712190388</v>
      </c>
      <c r="P510" s="41">
        <f>(C_air_CO2/C_sat_CO2*F_vent_ex-CO2_fix_l)*(B510/3600)/(V_L_CO2+Vg_CO2)</f>
        <v>0.000563660707474</v>
      </c>
      <c r="Q510" s="41">
        <f>(P510*N510+pool_b*M510)/(1-pool_ret*M510)</f>
        <v>7.041731290763</v>
      </c>
      <c r="R510" s="41">
        <f>MIN(C_sat_CO2,MAX(C_air_CO2,(pool_ret*Q510+pool_b)*N510+P510*O510))</f>
        <v>7.974461087269</v>
      </c>
      <c r="S510" s="41">
        <f>IF(AND(R510&gt;=CO2_pH_hi_mt,R511&lt;CO2_pH_hi_mt),EXP(LN(A510)+(LN(A511)-LN(A510))*(R510-CO2_pH_hi_mt)/(R510-R511)),0)</f>
        <v>0.0</v>
      </c>
    </row>
    <row r="511">
      <c r="A511" s="41">
        <f>A510*grid_ratio</f>
        <v>62.702672733241</v>
      </c>
      <c r="B511" s="41">
        <f>MAX(0,A511*60-spg_dur)</f>
        <v>3761.510363994471</v>
      </c>
      <c r="C511" s="41">
        <f>k_eff_CO2*B511</f>
        <v>0.054620502231</v>
      </c>
      <c r="D511" s="41">
        <f>EXP(-C511)</f>
        <v>0.94684440512</v>
      </c>
      <c r="E511" s="41">
        <f>IF(C511&gt;0,(1-D511)/C511,1)</f>
        <v>0.973180265816</v>
      </c>
      <c r="F511" s="41">
        <f>IF(C511&gt;0,(C511-1+D511)/C511^2,1/2)</f>
        <v>0.491019545574</v>
      </c>
      <c r="G511" s="41">
        <f>(C_air_CO2/C_sat_CO2*F_vent_ex-CO2_fix_sched)*(B511/3600)/(V_L_CO2+Vg_CO2)</f>
        <v>-0.721770418813</v>
      </c>
      <c r="H511" s="41">
        <f>(G511*E511+pool_b*D511)/(1-pool_ret*D511)</f>
        <v>12.471592172971</v>
      </c>
      <c r="I511" s="41">
        <f>MIN(C_sat_CO2,MAX(C_air_CO2,(pool_ret*H511+pool_b)*E511+G511*F511))</f>
        <v>13.186027887483</v>
      </c>
      <c r="J511" s="41">
        <f>IF(AND(I511&gt;=CO2_pH_hi_mt,I512&lt;CO2_pH_hi_mt),EXP(LN(A511)+(LN(A512)-LN(A511))*(I511-CO2_pH_hi_mt)/(I511-I512)),0)</f>
        <v>0.0</v>
      </c>
      <c r="L511" s="41">
        <f>k_eff_CO2_l*B511</f>
        <v>0.273191561652</v>
      </c>
      <c r="M511" s="41">
        <f>EXP(-L511)</f>
        <v>0.760947005401</v>
      </c>
      <c r="N511" s="41">
        <f>IF(L511&gt;0,(1-M511)/L511,1)</f>
        <v>0.875037988559</v>
      </c>
      <c r="O511" s="41">
        <f>IF(L511&gt;0,(L511-1+M511)/L511^2,1/2)</f>
        <v>0.457415341402</v>
      </c>
      <c r="P511" s="41">
        <f>(C_air_CO2/C_sat_CO2*F_vent_ex-CO2_fix_l)*(B511/3600)/(V_L_CO2+Vg_CO2)</f>
        <v>0.0006313494625371</v>
      </c>
      <c r="Q511" s="41">
        <f>(P511*N511+pool_b*M511)/(1-pool_ret*M511)</f>
        <v>6.38513721857</v>
      </c>
      <c r="R511" s="41">
        <f>MIN(C_sat_CO2,MAX(C_air_CO2,(pool_ret*Q511+pool_b)*N511+P511*O511))</f>
        <v>7.342132793639</v>
      </c>
      <c r="S511" s="41">
        <f>IF(AND(R511&gt;=CO2_pH_hi_mt,R512&lt;CO2_pH_hi_mt),EXP(LN(A511)+(LN(A512)-LN(A511))*(R511-CO2_pH_hi_mt)/(R511-R512)),0)</f>
        <v>0.0</v>
      </c>
    </row>
    <row r="512">
      <c r="A512" s="41">
        <f>A511*grid_ratio</f>
        <v>70.23103946633</v>
      </c>
      <c r="B512" s="41">
        <f>MAX(0,A512*60-spg_dur)</f>
        <v>4213.212367979772</v>
      </c>
      <c r="C512" s="41">
        <f>k_eff_CO2*B512</f>
        <v>0.061179620226</v>
      </c>
      <c r="D512" s="41">
        <f>EXP(-C512)</f>
        <v>0.940654264069</v>
      </c>
      <c r="E512" s="41">
        <f>IF(C512&gt;0,(1-D512)/C512,1)</f>
        <v>0.970024588442</v>
      </c>
      <c r="F512" s="41">
        <f>IF(C512&gt;0,(C512-1+D512)/C512^2,1/2)</f>
        <v>0.489957463732</v>
      </c>
      <c r="G512" s="41">
        <f>(C_air_CO2/C_sat_CO2*F_vent_ex-CO2_fix_sched)*(B512/3600)/(V_L_CO2+Vg_CO2)</f>
        <v>-0.808444417565</v>
      </c>
      <c r="H512" s="41">
        <f>(G512*E512+pool_b*D512)/(1-pool_ret*D512)</f>
        <v>11.324439419566</v>
      </c>
      <c r="I512" s="41">
        <f>MIN(C_sat_CO2,MAX(C_air_CO2,(pool_ret*H512+pool_b)*E512+G512*F512))</f>
        <v>12.090618954013</v>
      </c>
      <c r="J512" s="41">
        <f>IF(AND(I512&gt;=CO2_pH_hi_mt,I513&lt;CO2_pH_hi_mt),EXP(LN(A512)+(LN(A513)-LN(A512))*(I512-CO2_pH_hi_mt)/(I512-I513)),0)</f>
        <v>0.0</v>
      </c>
      <c r="L512" s="41">
        <f>k_eff_CO2_l*B512</f>
        <v>0.30599784528</v>
      </c>
      <c r="M512" s="41">
        <f>EXP(-L512)</f>
        <v>0.736388206165</v>
      </c>
      <c r="N512" s="41">
        <f>IF(L512&gt;0,(1-M512)/L512,1)</f>
        <v>0.86148251663</v>
      </c>
      <c r="O512" s="41">
        <f>IF(L512&gt;0,(L512-1+M512)/L512^2,1/2)</f>
        <v>0.452674701821</v>
      </c>
      <c r="P512" s="41">
        <f>(C_air_CO2/C_sat_CO2*F_vent_ex-CO2_fix_l)*(B512/3600)/(V_L_CO2+Vg_CO2)</f>
        <v>0.000707165235949</v>
      </c>
      <c r="Q512" s="41">
        <f>(P512*N512+pool_b*M512)/(1-pool_ret*M512)</f>
        <v>5.764189403898</v>
      </c>
      <c r="R512" s="41">
        <f>MIN(C_sat_CO2,MAX(C_air_CO2,(pool_ret*Q512+pool_b)*N512+P512*O512))</f>
        <v>6.742991343095</v>
      </c>
      <c r="S512" s="41">
        <f>IF(AND(R512&gt;=CO2_pH_hi_mt,R513&lt;CO2_pH_hi_mt),EXP(LN(A512)+(LN(A513)-LN(A512))*(R512-CO2_pH_hi_mt)/(R512-R513)),0)</f>
        <v>0.0</v>
      </c>
    </row>
    <row r="513">
      <c r="A513" s="41">
        <f>A512*grid_ratio</f>
        <v>78.663295989076</v>
      </c>
      <c r="B513" s="41">
        <f>MAX(0,A513*60-spg_dur)</f>
        <v>4719.147759344581</v>
      </c>
      <c r="C513" s="41">
        <f>k_eff_CO2*B513</f>
        <v>0.068526255619</v>
      </c>
      <c r="D513" s="41">
        <f>EXP(-C513)</f>
        <v>0.9337689431</v>
      </c>
      <c r="E513" s="41">
        <f>IF(C513&gt;0,(1-D513)/C513,1)</f>
        <v>0.966506287286</v>
      </c>
      <c r="F513" s="41">
        <f>IF(C513&gt;0,(C513-1+D513)/C513^2,1/2)</f>
        <v>0.488771966473</v>
      </c>
      <c r="G513" s="41">
        <f>(C_air_CO2/C_sat_CO2*F_vent_ex-CO2_fix_sched)*(B513/3600)/(V_L_CO2+Vg_CO2)</f>
        <v>-0.905524888966</v>
      </c>
      <c r="H513" s="41">
        <f>(G513*E513+pool_b*D513)/(1-pool_ret*D513)</f>
        <v>10.14765069776</v>
      </c>
      <c r="I513" s="41">
        <f>MIN(C_sat_CO2,MAX(C_air_CO2,(pool_ret*H513+pool_b)*E513+G513*F513))</f>
        <v>10.966704979907</v>
      </c>
      <c r="J513" s="41">
        <f>IF(AND(I513&gt;=CO2_pH_hi_mt,I514&lt;CO2_pH_hi_mt),EXP(LN(A513)+(LN(A514)-LN(A513))*(I513-CO2_pH_hi_mt)/(I513-I514)),0)</f>
        <v>0.0</v>
      </c>
      <c r="L513" s="41">
        <f>k_eff_CO2_l*B513</f>
        <v>0.342742999828</v>
      </c>
      <c r="M513" s="41">
        <f>EXP(-L513)</f>
        <v>0.70982061214</v>
      </c>
      <c r="N513" s="41">
        <f>IF(L513&gt;0,(1-M513)/L513,1)</f>
        <v>0.846638408386</v>
      </c>
      <c r="O513" s="41">
        <f>IF(L513&gt;0,(L513-1+M513)/L513^2,1/2)</f>
        <v>0.447453607195</v>
      </c>
      <c r="P513" s="41">
        <f>(C_air_CO2/C_sat_CO2*F_vent_ex-CO2_fix_l)*(B513/3600)/(V_L_CO2+Vg_CO2)</f>
        <v>0.0007920837943223</v>
      </c>
      <c r="Q513" s="41">
        <f>(P513*N513+pool_b*M513)/(1-pool_ret*M513)</f>
        <v>5.180029890728</v>
      </c>
      <c r="R513" s="41">
        <f>MIN(C_sat_CO2,MAX(C_air_CO2,(pool_ret*Q513+pool_b)*N513+P513*O513))</f>
        <v>6.17803427974</v>
      </c>
      <c r="S513" s="41">
        <f>IF(AND(R513&gt;=CO2_pH_hi_mt,R514&lt;CO2_pH_hi_mt),EXP(LN(A513)+(LN(A514)-LN(A513))*(R513-CO2_pH_hi_mt)/(R513-R514)),0)</f>
        <v>0.0</v>
      </c>
    </row>
    <row r="514">
      <c r="A514" s="41">
        <f>A513*grid_ratio</f>
        <v>88.107967401389</v>
      </c>
      <c r="B514" s="41">
        <f>MAX(0,A514*60-spg_dur)</f>
        <v>5285.828044083345</v>
      </c>
      <c r="C514" s="41">
        <f>k_eff_CO2*B514</f>
        <v>0.076754961315</v>
      </c>
      <c r="D514" s="41">
        <f>EXP(-C514)</f>
        <v>0.926116760238</v>
      </c>
      <c r="E514" s="41">
        <f>IF(C514&gt;0,(1-D514)/C514,1)</f>
        <v>0.96258585108</v>
      </c>
      <c r="F514" s="41">
        <f>IF(C514&gt;0,(C514-1+D514)/C514^2,1/2)</f>
        <v>0.48744925773</v>
      </c>
      <c r="G514" s="41">
        <f>(C_air_CO2/C_sat_CO2*F_vent_ex-CO2_fix_sched)*(B514/3600)/(V_L_CO2+Vg_CO2)</f>
        <v>-1.014261281231</v>
      </c>
      <c r="H514" s="41">
        <f>(G514*E514+pool_b*D514)/(1-pool_ret*D514)</f>
        <v>8.947917042744</v>
      </c>
      <c r="I514" s="41">
        <f>MIN(C_sat_CO2,MAX(C_air_CO2,(pool_ret*H514+pool_b)*E514+G514*F514))</f>
        <v>9.820631028831</v>
      </c>
      <c r="J514" s="41">
        <f>IF(AND(I514&gt;=CO2_pH_hi_mt,I515&lt;CO2_pH_hi_mt),EXP(LN(A514)+(LN(A515)-LN(A514))*(I514-CO2_pH_hi_mt)/(I514-I515)),0)</f>
        <v>0.0</v>
      </c>
      <c r="L514" s="41">
        <f>k_eff_CO2_l*B514</f>
        <v>0.383899943972</v>
      </c>
      <c r="M514" s="41">
        <f>EXP(-L514)</f>
        <v>0.681199581895</v>
      </c>
      <c r="N514" s="41">
        <f>IF(L514&gt;0,(1-M514)/L514,1)</f>
        <v>0.830425800034</v>
      </c>
      <c r="O514" s="41">
        <f>IF(L514&gt;0,(L514-1+M514)/L514^2,1/2)</f>
        <v>0.441714573366</v>
      </c>
      <c r="P514" s="41">
        <f>(C_air_CO2/C_sat_CO2*F_vent_ex-CO2_fix_l)*(B514/3600)/(V_L_CO2+Vg_CO2)</f>
        <v>0.0008871980592264</v>
      </c>
      <c r="Q514" s="41">
        <f>(P514*N514+pool_b*M514)/(1-pool_ret*M514)</f>
        <v>4.633261959703</v>
      </c>
      <c r="R514" s="41">
        <f>MIN(C_sat_CO2,MAX(C_air_CO2,(pool_ret*Q514+pool_b)*N514+P514*O514))</f>
        <v>5.647736005805</v>
      </c>
      <c r="S514" s="41">
        <f>IF(AND(R514&gt;=CO2_pH_hi_mt,R515&lt;CO2_pH_hi_mt),EXP(LN(A514)+(LN(A515)-LN(A514))*(R514-CO2_pH_hi_mt)/(R514-R515)),0)</f>
        <v>0.0</v>
      </c>
    </row>
    <row r="515">
      <c r="A515" s="41">
        <f>A514*grid_ratio</f>
        <v>98.686608817946</v>
      </c>
      <c r="B515" s="41">
        <f>MAX(0,A515*60-spg_dur)</f>
        <v>5920.546529076732</v>
      </c>
      <c r="C515" s="41">
        <f>k_eff_CO2*B515</f>
        <v>0.085971642667</v>
      </c>
      <c r="D515" s="41">
        <f>EXP(-C515)</f>
        <v>0.917620252115</v>
      </c>
      <c r="E515" s="41">
        <f>IF(C515&gt;0,(1-D515)/C515,1)</f>
        <v>0.958220005227</v>
      </c>
      <c r="F515" s="41">
        <f>IF(C515&gt;0,(C515-1+D515)/C515^2,1/2)</f>
        <v>0.485974136088</v>
      </c>
      <c r="G515" s="41">
        <f>(C_air_CO2/C_sat_CO2*F_vent_ex-CO2_fix_sched)*(B515/3600)/(V_L_CO2+Vg_CO2)</f>
        <v>-1.136053056984</v>
      </c>
      <c r="H515" s="41">
        <f>(G515*E515+pool_b*D515)/(1-pool_ret*D515)</f>
        <v>7.732500991017</v>
      </c>
      <c r="I515" s="41">
        <f>MIN(C_sat_CO2,MAX(C_air_CO2,(pool_ret*H515+pool_b)*E515+G515*F515))</f>
        <v>8.659283058545</v>
      </c>
      <c r="J515" s="41">
        <f>IF(AND(I515&gt;=CO2_pH_hi_mt,I516&lt;CO2_pH_hi_mt),EXP(LN(A515)+(LN(A516)-LN(A515))*(I515-CO2_pH_hi_mt)/(I515-I516)),0)</f>
        <v>0.0</v>
      </c>
      <c r="L515" s="41">
        <f>k_eff_CO2_l*B515</f>
        <v>0.429998377139</v>
      </c>
      <c r="M515" s="41">
        <f>EXP(-L515)</f>
        <v>0.65051015041</v>
      </c>
      <c r="N515" s="41">
        <f>IF(L515&gt;0,(1-M515)/L515,1)</f>
        <v>0.812770159542</v>
      </c>
      <c r="O515" s="41">
        <f>IF(L515&gt;0,(L515-1+M515)/L515^2,1/2)</f>
        <v>0.43541987694</v>
      </c>
      <c r="P515" s="41">
        <f>(C_air_CO2/C_sat_CO2*F_vent_ex-CO2_fix_l)*(B515/3600)/(V_L_CO2+Vg_CO2)</f>
        <v>0.0009937321733415</v>
      </c>
      <c r="Q515" s="41">
        <f>(P515*N515+pool_b*M515)/(1-pool_ret*M515)</f>
        <v>4.124003487907</v>
      </c>
      <c r="R515" s="41">
        <f>MIN(C_sat_CO2,MAX(C_air_CO2,(pool_ret*Q515+pool_b)*N515+P515*O515))</f>
        <v>5.152097912061</v>
      </c>
      <c r="S515" s="41">
        <f>IF(AND(R515&gt;=CO2_pH_hi_mt,R516&lt;CO2_pH_hi_mt),EXP(LN(A515)+(LN(A516)-LN(A515))*(R515-CO2_pH_hi_mt)/(R515-R516)),0)</f>
        <v>0.0</v>
      </c>
    </row>
    <row r="516">
      <c r="A516" s="41">
        <f>A515*grid_ratio</f>
        <v>110.535369810752</v>
      </c>
      <c r="B516" s="41">
        <f>MAX(0,A516*60-spg_dur)</f>
        <v>6631.472188645109</v>
      </c>
      <c r="C516" s="41">
        <f>k_eff_CO2*B516</f>
        <v>0.096294920504</v>
      </c>
      <c r="D516" s="41">
        <f>EXP(-C516)</f>
        <v>0.908196130908</v>
      </c>
      <c r="E516" s="41">
        <f>IF(C516&gt;0,(1-D516)/C516,1)</f>
        <v>0.953361492091</v>
      </c>
      <c r="F516" s="41">
        <f>IF(C516&gt;0,(C516-1+D516)/C516^2,1/2)</f>
        <v>0.48432988641</v>
      </c>
      <c r="G516" s="41">
        <f>(C_air_CO2/C_sat_CO2*F_vent_ex-CO2_fix_sched)*(B516/3600)/(V_L_CO2+Vg_CO2)</f>
        <v>-1.272467704664</v>
      </c>
      <c r="H516" s="41">
        <f>(G516*E516+pool_b*D516)/(1-pool_ret*D516)</f>
        <v>6.509070440471</v>
      </c>
      <c r="I516" s="41">
        <f>MIN(C_sat_CO2,MAX(C_air_CO2,(pool_ret*H516+pool_b)*E516+G516*F516))</f>
        <v>7.489929153458</v>
      </c>
      <c r="J516" s="41">
        <f>IF(AND(I516&gt;=CO2_pH_hi_mt,I517&lt;CO2_pH_hi_mt),EXP(LN(A516)+(LN(A517)-LN(A516))*(I516-CO2_pH_hi_mt)/(I516-I517)),0)</f>
        <v>0.0</v>
      </c>
      <c r="L516" s="41">
        <f>k_eff_CO2_l*B516</f>
        <v>0.481631596873</v>
      </c>
      <c r="M516" s="41">
        <f>EXP(-L516)</f>
        <v>0.617774609945</v>
      </c>
      <c r="N516" s="41">
        <f>IF(L516&gt;0,(1-M516)/L516,1)</f>
        <v>0.79360530442</v>
      </c>
      <c r="O516" s="41">
        <f>IF(L516&gt;0,(L516-1+M516)/L516^2,1/2)</f>
        <v>0.42853229921</v>
      </c>
      <c r="P516" s="41">
        <f>(C_air_CO2/C_sat_CO2*F_vent_ex-CO2_fix_l)*(B516/3600)/(V_L_CO2+Vg_CO2)</f>
        <v>0.001113057255</v>
      </c>
      <c r="Q516" s="41">
        <f>(P516*N516+pool_b*M516)/(1-pool_ret*M516)</f>
        <v>3.651948298506</v>
      </c>
      <c r="R516" s="41">
        <f>MIN(C_sat_CO2,MAX(C_air_CO2,(pool_ret*Q516+pool_b)*N516+P516*O516))</f>
        <v>4.690706201507</v>
      </c>
      <c r="S516" s="41">
        <f>IF(AND(R516&gt;=CO2_pH_hi_mt,R517&lt;CO2_pH_hi_mt),EXP(LN(A516)+(LN(A517)-LN(A516))*(R516-CO2_pH_hi_mt)/(R516-R517)),0)</f>
        <v>0.0</v>
      </c>
    </row>
    <row r="517">
      <c r="A517" s="41">
        <f>A516*grid_ratio</f>
        <v>123.806746685756</v>
      </c>
      <c r="B517" s="41">
        <f>MAX(0,A517*60-spg_dur)</f>
        <v>7427.75480114535</v>
      </c>
      <c r="C517" s="41">
        <f>k_eff_CO2*B517</f>
        <v>0.10785765781</v>
      </c>
      <c r="D517" s="41">
        <f>EXP(-C517)</f>
        <v>0.897755375803</v>
      </c>
      <c r="E517" s="41">
        <f>IF(C517&gt;0,(1-D517)/C517,1)</f>
        <v>0.947958877225</v>
      </c>
      <c r="F517" s="41">
        <f>IF(C517&gt;0,(C517-1+D517)/C517^2,1/2)</f>
        <v>0.48249817242</v>
      </c>
      <c r="G517" s="41">
        <f>(C_air_CO2/C_sat_CO2*F_vent_ex-CO2_fix_sched)*(B517/3600)/(V_L_CO2+Vg_CO2)</f>
        <v>-1.425260912472</v>
      </c>
      <c r="H517" s="41">
        <f>(G517*E517+pool_b*D517)/(1-pool_ret*D517)</f>
        <v>5.285511551942</v>
      </c>
      <c r="I517" s="41">
        <f>MIN(C_sat_CO2,MAX(C_air_CO2,(pool_ret*H517+pool_b)*E517+G517*F517))</f>
        <v>6.320040735058</v>
      </c>
      <c r="J517" s="41">
        <f>IF(AND(I517&gt;=CO2_pH_hi_mt,I518&lt;CO2_pH_hi_mt),EXP(LN(A517)+(LN(A518)-LN(A517))*(I517-CO2_pH_hi_mt)/(I517-I518)),0)</f>
        <v>0.0</v>
      </c>
      <c r="L517" s="41">
        <f>k_eff_CO2_l*B517</f>
        <v>0.539464134704</v>
      </c>
      <c r="M517" s="41">
        <f>EXP(-L517)</f>
        <v>0.583060610622</v>
      </c>
      <c r="N517" s="41">
        <f>IF(L517&gt;0,(1-M517)/L517,1)</f>
        <v>0.772876939459</v>
      </c>
      <c r="O517" s="41">
        <f>IF(L517&gt;0,(L517-1+M517)/L517^2,1/2)</f>
        <v>0.421016052654</v>
      </c>
      <c r="P517" s="41">
        <f>(C_air_CO2/C_sat_CO2*F_vent_ex-CO2_fix_l)*(B517/3600)/(V_L_CO2+Vg_CO2)</f>
        <v>0.001246709047</v>
      </c>
      <c r="Q517" s="41">
        <f>(P517*N517+pool_b*M517)/(1-pool_ret*M517)</f>
        <v>3.21643155077</v>
      </c>
      <c r="R517" s="41">
        <f>MIN(C_sat_CO2,MAX(C_air_CO2,(pool_ret*Q517+pool_b)*N517+P517*O517))</f>
        <v>4.26279371219</v>
      </c>
      <c r="S517" s="41">
        <f>IF(AND(R517&gt;=CO2_pH_hi_mt,R518&lt;CO2_pH_hi_mt),EXP(LN(A517)+(LN(A518)-LN(A517))*(R517-CO2_pH_hi_mt)/(R517-R518)),0)</f>
        <v>0.0</v>
      </c>
    </row>
    <row r="518">
      <c r="A518" s="41">
        <f>A517*grid_ratio</f>
        <v>138.671545145724</v>
      </c>
      <c r="B518" s="41">
        <f>MAX(0,A518*60-spg_dur)</f>
        <v>8319.642708743411</v>
      </c>
      <c r="C518" s="41">
        <f>k_eff_CO2*B518</f>
        <v>0.120808669699</v>
      </c>
      <c r="D518" s="41">
        <f>EXP(-C518)</f>
        <v>0.886203500956</v>
      </c>
      <c r="E518" s="41">
        <f>IF(C518&gt;0,(1-D518)/C518,1)</f>
        <v>0.941956395413</v>
      </c>
      <c r="F518" s="41">
        <f>IF(C518&gt;0,(C518-1+D518)/C518^2,1/2)</f>
        <v>0.480458933387</v>
      </c>
      <c r="G518" s="41">
        <f>(C_air_CO2/C_sat_CO2*F_vent_ex-CO2_fix_sched)*(B518/3600)/(V_L_CO2+Vg_CO2)</f>
        <v>-1.59639916448</v>
      </c>
      <c r="H518" s="41">
        <f>(G518*E518+pool_b*D518)/(1-pool_ret*D518)</f>
        <v>4.069730298742</v>
      </c>
      <c r="I518" s="41">
        <f>MIN(C_sat_CO2,MAX(C_air_CO2,(pool_ret*H518+pool_b)*E518+G518*F518))</f>
        <v>5.157102900591</v>
      </c>
      <c r="J518" s="41">
        <f>IF(AND(I518&gt;=CO2_pH_hi_mt,I519&lt;CO2_pH_hi_mt),EXP(LN(A518)+(LN(A519)-LN(A518))*(I518-CO2_pH_hi_mt)/(I518-I519)),0)</f>
        <v>0.0</v>
      </c>
      <c r="L518" s="41">
        <f>k_eff_CO2_l*B518</f>
        <v>0.604240308825</v>
      </c>
      <c r="M518" s="41">
        <f>EXP(-L518)</f>
        <v>0.546489432181</v>
      </c>
      <c r="N518" s="41">
        <f>IF(L518&gt;0,(1-M518)/L518,1)</f>
        <v>0.75054669673</v>
      </c>
      <c r="O518" s="41">
        <f>IF(L518&gt;0,(L518-1+M518)/L518^2,1/2)</f>
        <v>0.412837905097</v>
      </c>
      <c r="P518" s="41">
        <f>(C_air_CO2/C_sat_CO2*F_vent_ex-CO2_fix_l)*(B518/3600)/(V_L_CO2+Vg_CO2)</f>
        <v>0.001396407678</v>
      </c>
      <c r="Q518" s="41">
        <f>(P518*N518+pool_b*M518)/(1-pool_ret*M518)</f>
        <v>2.816495695296</v>
      </c>
      <c r="R518" s="41">
        <f>MIN(C_sat_CO2,MAX(C_air_CO2,(pool_ret*Q518+pool_b)*N518+P518*O518))</f>
        <v>3.86730252564</v>
      </c>
      <c r="S518" s="41">
        <f>IF(AND(R518&gt;=CO2_pH_hi_mt,R519&lt;CO2_pH_hi_mt),EXP(LN(A518)+(LN(A519)-LN(A518))*(R518-CO2_pH_hi_mt)/(R518-R519)),0)</f>
        <v>0.0</v>
      </c>
    </row>
    <row r="519">
      <c r="A519" s="41">
        <f>A518*grid_ratio</f>
        <v>155.321078599304</v>
      </c>
      <c r="B519" s="41">
        <f>MAX(0,A519*60-spg_dur)</f>
        <v>9318.614715958256</v>
      </c>
      <c r="C519" s="41">
        <f>k_eff_CO2*B519</f>
        <v>0.135314638703</v>
      </c>
      <c r="D519" s="41">
        <f>EXP(-C519)</f>
        <v>0.87344105009</v>
      </c>
      <c r="E519" s="41">
        <f>IF(C519&gt;0,(1-D519)/C519,1)</f>
        <v>0.935293853813</v>
      </c>
      <c r="F519" s="41">
        <f>IF(C519&gt;0,(C519-1+D519)/C519^2,1/2)</f>
        <v>0.478190288995</v>
      </c>
      <c r="G519" s="41">
        <f>(C_air_CO2/C_sat_CO2*F_vent_ex-CO2_fix_sched)*(B519/3600)/(V_L_CO2+Vg_CO2)</f>
        <v>-1.788085049738</v>
      </c>
      <c r="H519" s="41">
        <f>(G519*E519+pool_b*D519)/(1-pool_ret*D519)</f>
        <v>2.869453305677</v>
      </c>
      <c r="I519" s="41">
        <f>MIN(C_sat_CO2,MAX(C_air_CO2,(pool_ret*H519+pool_b)*E519+G519*F519))</f>
        <v>4.008424026644</v>
      </c>
      <c r="J519" s="41">
        <f>IF(AND(I519&gt;=CO2_pH_hi_mt,I520&lt;CO2_pH_hi_mt),EXP(LN(A519)+(LN(A520)-LN(A519))*(I519-CO2_pH_hi_mt)/(I519-I520)),0)</f>
        <v>0.0</v>
      </c>
      <c r="L519" s="41">
        <f>k_eff_CO2_l*B519</f>
        <v>0.676793803641</v>
      </c>
      <c r="M519" s="41">
        <f>EXP(-L519)</f>
        <v>0.508243912641</v>
      </c>
      <c r="N519" s="41">
        <f>IF(L519&gt;0,(1-M519)/L519,1)</f>
        <v>0.726596615857</v>
      </c>
      <c r="O519" s="41">
        <f>IF(L519&gt;0,(L519-1+M519)/L519^2,1/2)</f>
        <v>0.403968509569</v>
      </c>
      <c r="P519" s="41">
        <f>(C_air_CO2/C_sat_CO2*F_vent_ex-CO2_fix_l)*(B519/3600)/(V_L_CO2+Vg_CO2)</f>
        <v>0.001564079804</v>
      </c>
      <c r="Q519" s="41">
        <f>(P519*N519+pool_b*M519)/(1-pool_ret*M519)</f>
        <v>2.450954104755</v>
      </c>
      <c r="R519" s="41">
        <f>MIN(C_sat_CO2,MAX(C_air_CO2,(pool_ret*Q519+pool_b)*N519+P519*O519))</f>
        <v>3.502944743165</v>
      </c>
      <c r="S519" s="41">
        <f>IF(AND(R519&gt;=CO2_pH_hi_mt,R520&lt;CO2_pH_hi_mt),EXP(LN(A519)+(LN(A520)-LN(A519))*(R519-CO2_pH_hi_mt)/(R519-R520)),0)</f>
        <v>0.0</v>
      </c>
    </row>
    <row r="520">
      <c r="A520" s="41">
        <f>A519*grid_ratio</f>
        <v>173.969630409034</v>
      </c>
      <c r="B520" s="41">
        <f>MAX(0,A520*60-spg_dur)</f>
        <v>10437.52782454</v>
      </c>
      <c r="C520" s="41">
        <f>k_eff_CO2*B520</f>
        <v>0.151562260012</v>
      </c>
      <c r="D520" s="41">
        <f>EXP(-C520)</f>
        <v>0.859364376571</v>
      </c>
      <c r="E520" s="41">
        <f>IF(C520&gt;0,(1-D520)/C520,1)</f>
        <v>0.927906613546</v>
      </c>
      <c r="F520" s="41">
        <f>IF(C520&gt;0,(C520-1+D520)/C520^2,1/2)</f>
        <v>0.475668457626</v>
      </c>
      <c r="G520" s="41">
        <f>(C_air_CO2/C_sat_CO2*F_vent_ex-CO2_fix_sched)*(B520/3600)/(V_L_CO2+Vg_CO2)</f>
        <v>-2.00278561011</v>
      </c>
      <c r="H520" s="41">
        <f>(G520*E520+pool_b*D520)/(1-pool_ret*D520)</f>
        <v>1.692038689563</v>
      </c>
      <c r="I520" s="41">
        <f>MIN(C_sat_CO2,MAX(C_air_CO2,(pool_ret*H520+pool_b)*E520+G520*F520))</f>
        <v>2.88095484167</v>
      </c>
      <c r="J520" s="41">
        <f>IF(AND(I520&gt;=CO2_pH_hi_mt,I521&lt;CO2_pH_hi_mt),EXP(LN(A520)+(LN(A521)-LN(A520))*(I520-CO2_pH_hi_mt)/(I520-I521)),0)</f>
        <v>0.0</v>
      </c>
      <c r="L520" s="41">
        <f>k_eff_CO2_l*B520</f>
        <v>0.758058399484</v>
      </c>
      <c r="M520" s="41">
        <f>EXP(-L520)</f>
        <v>0.468575330464</v>
      </c>
      <c r="N520" s="41">
        <f>IF(L520&gt;0,(1-M520)/L520,1)</f>
        <v>0.701033943952</v>
      </c>
      <c r="O520" s="41">
        <f>IF(L520&gt;0,(L520-1+M520)/L520^2,1/2)</f>
        <v>0.394383936979</v>
      </c>
      <c r="P520" s="41">
        <f>(C_air_CO2/C_sat_CO2*F_vent_ex-CO2_fix_l)*(B520/3600)/(V_L_CO2+Vg_CO2)</f>
        <v>0.001751883404</v>
      </c>
      <c r="Q520" s="41">
        <f>(P520*N520+pool_b*M520)/(1-pool_ret*M520)</f>
        <v>2.118450105022</v>
      </c>
      <c r="R520" s="41">
        <f>MIN(C_sat_CO2,MAX(C_air_CO2,(pool_ret*Q520+pool_b)*N520+P520*O520))</f>
        <v>3.168259446479</v>
      </c>
      <c r="S520" s="41">
        <f>IF(AND(R520&gt;=CO2_pH_hi_mt,R521&lt;CO2_pH_hi_mt),EXP(LN(A520)+(LN(A521)-LN(A520))*(R520-CO2_pH_hi_mt)/(R520-R521)),0)</f>
        <v>0.0</v>
      </c>
    </row>
    <row r="521">
      <c r="A521" s="41">
        <f>A520*grid_ratio</f>
        <v>194.857211767982</v>
      </c>
      <c r="B521" s="41">
        <f>MAX(0,A521*60-spg_dur)</f>
        <v>11690.78270608</v>
      </c>
      <c r="C521" s="41">
        <f>k_eff_CO2*B521</f>
        <v>0.169760644286</v>
      </c>
      <c r="D521" s="41">
        <f>EXP(-C521)</f>
        <v>0.84386677676</v>
      </c>
      <c r="E521" s="41">
        <f>IF(C521&gt;0,(1-D521)/C521,1)</f>
        <v>0.919725675504</v>
      </c>
      <c r="F521" s="41">
        <f>IF(C521&gt;0,(C521-1+D521)/C521^2,1/2)</f>
        <v>0.472867694595</v>
      </c>
      <c r="G521" s="41">
        <f>(C_air_CO2/C_sat_CO2*F_vent_ex-CO2_fix_sched)*(B521/3600)/(V_L_CO2+Vg_CO2)</f>
        <v>-2.243264091676</v>
      </c>
      <c r="H521" s="41">
        <f>(G521*E521+pool_b*D521)/(1-pool_ret*D521)</f>
        <v>0.544306709581</v>
      </c>
      <c r="I521" s="41">
        <f>MIN(C_sat_CO2,MAX(C_air_CO2,(pool_ret*H521+pool_b)*E521+G521*F521))</f>
        <v>1.781126310687</v>
      </c>
      <c r="J521" s="41">
        <f>IF(AND(I521&gt;=CO2_pH_hi_mt,I522&lt;CO2_pH_hi_mt),EXP(LN(A521)+(LN(A522)-LN(A521))*(I521-CO2_pH_hi_mt)/(I521-I522)),0)</f>
        <v>212.486056390007</v>
      </c>
      <c r="L521" s="41">
        <f>k_eff_CO2_l*B521</f>
        <v>0.849079990574</v>
      </c>
      <c r="M521" s="41">
        <f>EXP(-L521)</f>
        <v>0.427808338656</v>
      </c>
      <c r="N521" s="41">
        <f>IF(L521&gt;0,(1-M521)/L521,1)</f>
        <v>0.673896061262</v>
      </c>
      <c r="O521" s="41">
        <f>IF(L521&gt;0,(L521-1+M521)/L521^2,1/2)</f>
        <v>0.384067393365</v>
      </c>
      <c r="P521" s="41">
        <f>(C_air_CO2/C_sat_CO2*F_vent_ex-CO2_fix_l)*(B521/3600)/(V_L_CO2+Vg_CO2)</f>
        <v>0.001962235555</v>
      </c>
      <c r="Q521" s="41">
        <f>(P521*N521+pool_b*M521)/(1-pool_ret*M521)</f>
        <v>1.817509711031</v>
      </c>
      <c r="R521" s="41">
        <f>MIN(C_sat_CO2,MAX(C_air_CO2,(pool_ret*Q521+pool_b)*N521+P521*O521))</f>
        <v>2.861664471753</v>
      </c>
      <c r="S521" s="41">
        <f>IF(AND(R521&gt;=CO2_pH_hi_mt,R522&lt;CO2_pH_hi_mt),EXP(LN(A521)+(LN(A522)-LN(A521))*(R521-CO2_pH_hi_mt)/(R521-R522)),0)</f>
        <v>0.0</v>
      </c>
    </row>
    <row r="522">
      <c r="A522" s="41">
        <f>A521*grid_ratio</f>
        <v>218.252650699547</v>
      </c>
      <c r="B522" s="41">
        <f>MAX(0,A522*60-spg_dur)</f>
        <v>13094.50904197</v>
      </c>
      <c r="C522" s="41">
        <f>k_eff_CO2*B522</f>
        <v>0.190144008956</v>
      </c>
      <c r="D522" s="41">
        <f>EXP(-C522)</f>
        <v>0.826840052996</v>
      </c>
      <c r="E522" s="41">
        <f>IF(C522&gt;0,(1-D522)/C522,1)</f>
        <v>0.910677901209</v>
      </c>
      <c r="F522" s="41">
        <f>IF(C522&gt;0,(C522-1+D522)/C522^2,1/2)</f>
        <v>0.469760258453</v>
      </c>
      <c r="G522" s="41">
        <f>(C_air_CO2/C_sat_CO2*F_vent_ex-CO2_fix_sched)*(B522/3600)/(V_L_CO2+Vg_CO2)</f>
        <v>-2.512615508345</v>
      </c>
      <c r="H522" s="41">
        <f>(G522*E522+pool_b*D522)/(1-pool_ret*D522)</f>
        <v>-0.567601718558</v>
      </c>
      <c r="I522" s="41">
        <f>MIN(C_sat_CO2,MAX(C_air_CO2,(pool_ret*H522+pool_b)*E522+G522*F522))</f>
        <v>0.714714004445</v>
      </c>
      <c r="J522" s="41">
        <f>IF(AND(I522&gt;=CO2_pH_hi_mt,I523&lt;CO2_pH_hi_mt),EXP(LN(A522)+(LN(A523)-LN(A522))*(I522-CO2_pH_hi_mt)/(I522-I523)),0)</f>
        <v>0.0</v>
      </c>
      <c r="L522" s="41">
        <f>k_eff_CO2_l*B522</f>
        <v>0.951030045931</v>
      </c>
      <c r="M522" s="41">
        <f>EXP(-L522)</f>
        <v>0.386342867532</v>
      </c>
      <c r="N522" s="41">
        <f>IF(L522&gt;0,(1-M522)/L522,1)</f>
        <v>0.645255252548</v>
      </c>
      <c r="O522" s="41">
        <f>IF(L522&gt;0,(L522-1+M522)/L522^2,1/2)</f>
        <v>0.373011083056</v>
      </c>
      <c r="P522" s="41">
        <f>(C_air_CO2/C_sat_CO2*F_vent_ex-CO2_fix_l)*(B522/3600)/(V_L_CO2+Vg_CO2)</f>
        <v>0.002197843538</v>
      </c>
      <c r="Q522" s="41">
        <f>(P522*N522+pool_b*M522)/(1-pool_ret*M522)</f>
        <v>1.546586872698</v>
      </c>
      <c r="R522" s="41">
        <f>MIN(C_sat_CO2,MAX(C_air_CO2,(pool_ret*Q522+pool_b)*N522+P522*O522))</f>
        <v>2.581502175553</v>
      </c>
      <c r="S522" s="41">
        <f>IF(AND(R522&gt;=CO2_pH_hi_mt,R523&lt;CO2_pH_hi_mt),EXP(LN(A522)+(LN(A523)-LN(A522))*(R522-CO2_pH_hi_mt)/(R522-R523)),0)</f>
        <v>0.0</v>
      </c>
    </row>
    <row r="523">
      <c r="A523" s="41">
        <f>A522*grid_ratio</f>
        <v>244.457051936558</v>
      </c>
      <c r="B523" s="41">
        <f>MAX(0,A523*60-spg_dur)</f>
        <v>14666.77311619</v>
      </c>
      <c r="C523" s="41">
        <f>k_eff_CO2*B523</f>
        <v>0.212974692661</v>
      </c>
      <c r="D523" s="41">
        <f>EXP(-C523)</f>
        <v>0.808176589756</v>
      </c>
      <c r="E523" s="41">
        <f>IF(C523&gt;0,(1-D523)/C523,1)</f>
        <v>0.900686404787</v>
      </c>
      <c r="F523" s="41">
        <f>IF(C523&gt;0,(C523-1+D523)/C523^2,1/2)</f>
        <v>0.466316415216</v>
      </c>
      <c r="G523" s="41">
        <f>(C_air_CO2/C_sat_CO2*F_vent_ex-CO2_fix_sched)*(B523/3600)/(V_L_CO2+Vg_CO2)</f>
        <v>-2.814306475409</v>
      </c>
      <c r="H523" s="41">
        <f>(G523*E523+pool_b*D523)/(1-pool_ret*D523)</f>
        <v>-1.638332962118</v>
      </c>
      <c r="I523" s="41">
        <f>MIN(C_sat_CO2,MAX(C_air_CO2,(pool_ret*H523+pool_b)*E523+G523*F523))</f>
        <v>0.011558836641</v>
      </c>
      <c r="J523" s="41">
        <f>IF(AND(I523&gt;=CO2_pH_hi_mt,I524&lt;CO2_pH_hi_mt),EXP(LN(A523)+(LN(A524)-LN(A523))*(I523-CO2_pH_hi_mt)/(I523-I524)),0)</f>
        <v>0.0</v>
      </c>
      <c r="L523" s="41">
        <f>k_eff_CO2_l*B523</f>
        <v>1.065220686445</v>
      </c>
      <c r="M523" s="41">
        <f>EXP(-L523)</f>
        <v>0.344651786396</v>
      </c>
      <c r="N523" s="41">
        <f>IF(L523&gt;0,(1-M523)/L523,1)</f>
        <v>0.615222950458</v>
      </c>
      <c r="O523" s="41">
        <f>IF(L523&gt;0,(L523-1+M523)/L523^2,1/2)</f>
        <v>0.361218153607</v>
      </c>
      <c r="P523" s="41">
        <f>(C_air_CO2/C_sat_CO2*F_vent_ex-CO2_fix_l)*(B523/3600)/(V_L_CO2+Vg_CO2)</f>
        <v>0.002461739681</v>
      </c>
      <c r="Q523" s="41">
        <f>(P523*N523+pool_b*M523)/(1-pool_ret*M523)</f>
        <v>1.304100437343</v>
      </c>
      <c r="R523" s="41">
        <f>MIN(C_sat_CO2,MAX(C_air_CO2,(pool_ret*Q523+pool_b)*N523+P523*O523))</f>
        <v>2.32607883293</v>
      </c>
      <c r="S523" s="41">
        <f>IF(AND(R523&gt;=CO2_pH_hi_mt,R524&lt;CO2_pH_hi_mt),EXP(LN(A523)+(LN(A524)-LN(A523))*(R523-CO2_pH_hi_mt)/(R523-R524)),0)</f>
        <v>0.0</v>
      </c>
    </row>
    <row r="524">
      <c r="A524" s="41">
        <f>A523*grid_ratio</f>
        <v>273.807672209119</v>
      </c>
      <c r="B524" s="41">
        <f>MAX(0,A524*60-spg_dur)</f>
        <v>16427.81033255</v>
      </c>
      <c r="C524" s="41">
        <f>k_eff_CO2*B524</f>
        <v>0.238546531603</v>
      </c>
      <c r="D524" s="41">
        <f>EXP(-C524)</f>
        <v>0.787772031109</v>
      </c>
      <c r="E524" s="41">
        <f>IF(C524&gt;0,(1-D524)/C524,1)</f>
        <v>0.88967115751</v>
      </c>
      <c r="F524" s="41">
        <f>IF(C524&gt;0,(C524-1+D524)/C524^2,1/2)</f>
        <v>0.462504492306</v>
      </c>
      <c r="G524" s="41">
        <f>(C_air_CO2/C_sat_CO2*F_vent_ex-CO2_fix_sched)*(B524/3600)/(V_L_CO2+Vg_CO2)</f>
        <v>-3.152219825684</v>
      </c>
      <c r="H524" s="41">
        <f>(G524*E524+pool_b*D524)/(1-pool_ret*D524)</f>
        <v>-2.663392070583</v>
      </c>
      <c r="I524" s="41">
        <f>MIN(C_sat_CO2,MAX(C_air_CO2,(pool_ret*H524+pool_b)*E524+G524*F524))</f>
        <v>0.011558836641</v>
      </c>
      <c r="J524" s="41">
        <f>IF(AND(I524&gt;=CO2_pH_hi_mt,I525&lt;CO2_pH_hi_mt),EXP(LN(A524)+(LN(A525)-LN(A524))*(I524-CO2_pH_hi_mt)/(I524-I525)),0)</f>
        <v>0.0</v>
      </c>
      <c r="L524" s="41">
        <f>k_eff_CO2_l*B524</f>
        <v>1.193121572182</v>
      </c>
      <c r="M524" s="41">
        <f>EXP(-L524)</f>
        <v>0.303273096089</v>
      </c>
      <c r="N524" s="41">
        <f>IF(L524&gt;0,(1-M524)/L524,1)</f>
        <v>0.583952985308</v>
      </c>
      <c r="O524" s="41">
        <f>IF(L524&gt;0,(L524-1+M524)/L524^2,1/2)</f>
        <v>0.348704628591</v>
      </c>
      <c r="P524" s="41">
        <f>(C_air_CO2/C_sat_CO2*F_vent_ex-CO2_fix_l)*(B524/3600)/(V_L_CO2+Vg_CO2)</f>
        <v>0.00275732039</v>
      </c>
      <c r="Q524" s="41">
        <f>(P524*N524+pool_b*M524)/(1-pool_ret*M524)</f>
        <v>1.088462336023</v>
      </c>
      <c r="R524" s="41">
        <f>MIN(C_sat_CO2,MAX(C_air_CO2,(pool_ret*Q524+pool_b)*N524+P524*O524))</f>
        <v>2.09369767254</v>
      </c>
      <c r="S524" s="41">
        <f>IF(AND(R524&gt;=CO2_pH_hi_mt,R525&lt;CO2_pH_hi_mt),EXP(LN(A524)+(LN(A525)-LN(A524))*(R524-CO2_pH_hi_mt)/(R524-R525)),0)</f>
        <v>0.0</v>
      </c>
    </row>
    <row r="525">
      <c r="A525" s="41">
        <f>A524*grid_ratio</f>
        <v>306.682260817057</v>
      </c>
      <c r="B525" s="41">
        <f>MAX(0,A525*60-spg_dur)</f>
        <v>18400.28564902</v>
      </c>
      <c r="C525" s="41">
        <f>k_eff_CO2*B525</f>
        <v>0.267188641287</v>
      </c>
      <c r="D525" s="41">
        <f>EXP(-C525)</f>
        <v>0.765528647534</v>
      </c>
      <c r="E525" s="41">
        <f>IF(C525&gt;0,(1-D525)/C525,1)</f>
        <v>0.877549851432</v>
      </c>
      <c r="F525" s="41">
        <f>IF(C525&gt;0,(C525-1+D525)/C525^2,1/2)</f>
        <v>0.458290996123</v>
      </c>
      <c r="G525" s="41">
        <f>(C_air_CO2/C_sat_CO2*F_vent_ex-CO2_fix_sched)*(B525/3600)/(V_L_CO2+Vg_CO2)</f>
        <v>-3.530704582472</v>
      </c>
      <c r="H525" s="41">
        <f>(G525*E525+pool_b*D525)/(1-pool_ret*D525)</f>
        <v>-3.639177332218</v>
      </c>
      <c r="I525" s="41">
        <f>MIN(C_sat_CO2,MAX(C_air_CO2,(pool_ret*H525+pool_b)*E525+G525*F525))</f>
        <v>0.011558836641</v>
      </c>
      <c r="J525" s="41">
        <f>IF(AND(I525&gt;=CO2_pH_hi_mt,I526&lt;CO2_pH_hi_mt),EXP(LN(A525)+(LN(A526)-LN(A525))*(I525-CO2_pH_hi_mt)/(I525-I526)),0)</f>
        <v>0.0</v>
      </c>
      <c r="L525" s="41">
        <f>k_eff_CO2_l*B525</f>
        <v>1.336378817247</v>
      </c>
      <c r="M525" s="41">
        <f>EXP(-L525)</f>
        <v>0.26279557846</v>
      </c>
      <c r="N525" s="41">
        <f>IF(L525&gt;0,(1-M525)/L525,1)</f>
        <v>0.551643300557</v>
      </c>
      <c r="O525" s="41">
        <f>IF(L525&gt;0,(L525-1+M525)/L525^2,1/2)</f>
        <v>0.335501201947</v>
      </c>
      <c r="P525" s="41">
        <f>(C_air_CO2/C_sat_CO2*F_vent_ex-CO2_fix_l)*(B525/3600)/(V_L_CO2+Vg_CO2)</f>
        <v>0.003088389857</v>
      </c>
      <c r="Q525" s="41">
        <f>(P525*N525+pool_b*M525)/(1-pool_ret*M525)</f>
        <v>0.898096723551</v>
      </c>
      <c r="R525" s="41">
        <f>MIN(C_sat_CO2,MAX(C_air_CO2,(pool_ret*Q525+pool_b)*N525+P525*O525))</f>
        <v>1.882685822315</v>
      </c>
      <c r="S525" s="41">
        <f>IF(AND(R525&gt;=CO2_pH_hi_mt,R526&lt;CO2_pH_hi_mt),EXP(LN(A525)+(LN(A526)-LN(A525))*(R525-CO2_pH_hi_mt)/(R525-R526)),0)</f>
        <v>0.0</v>
      </c>
    </row>
    <row r="526">
      <c r="A526" s="41">
        <f>A525*grid_ratio</f>
        <v>343.503921351145</v>
      </c>
      <c r="B526" s="41">
        <f>MAX(0,A526*60-spg_dur)</f>
        <v>20609.58528107</v>
      </c>
      <c r="C526" s="41">
        <f>k_eff_CO2*B526</f>
        <v>0.299269652318</v>
      </c>
      <c r="D526" s="41">
        <f>EXP(-C526)</f>
        <v>0.741359473179</v>
      </c>
      <c r="E526" s="41">
        <f>IF(C526&gt;0,(1-D526)/C526,1)</f>
        <v>0.864239072748</v>
      </c>
      <c r="F526" s="41">
        <f>IF(C526&gt;0,(C526-1+D526)/C526^2,1/2)</f>
        <v>0.453640809219</v>
      </c>
      <c r="G526" s="41">
        <f>(C_air_CO2/C_sat_CO2*F_vent_ex-CO2_fix_sched)*(B526/3600)/(V_L_CO2+Vg_CO2)</f>
        <v>-3.954631932498</v>
      </c>
      <c r="H526" s="41">
        <f>(G526*E526+pool_b*D526)/(1-pool_ret*D526)</f>
        <v>-4.56298010098</v>
      </c>
      <c r="I526" s="41">
        <f>MIN(C_sat_CO2,MAX(C_air_CO2,(pool_ret*H526+pool_b)*E526+G526*F526))</f>
        <v>0.011558836641</v>
      </c>
      <c r="J526" s="41">
        <f>IF(AND(I526&gt;=CO2_pH_hi_mt,I527&lt;CO2_pH_hi_mt),EXP(LN(A526)+(LN(A527)-LN(A526))*(I526-CO2_pH_hi_mt)/(I526-I527)),0)</f>
        <v>0.0</v>
      </c>
      <c r="L526" s="41">
        <f>k_eff_CO2_l*B526</f>
        <v>1.496836175656</v>
      </c>
      <c r="M526" s="41">
        <f>EXP(-L526)</f>
        <v>0.223837222702</v>
      </c>
      <c r="N526" s="41">
        <f>IF(L526&gt;0,(1-M526)/L526,1)</f>
        <v>0.51853555514</v>
      </c>
      <c r="O526" s="41">
        <f>IF(L526&gt;0,(L526-1+M526)/L526^2,1/2)</f>
        <v>0.321654735962</v>
      </c>
      <c r="P526" s="41">
        <f>(C_air_CO2/C_sat_CO2*F_vent_ex-CO2_fix_l)*(B526/3600)/(V_L_CO2+Vg_CO2)</f>
        <v>0.003459209023</v>
      </c>
      <c r="Q526" s="41">
        <f>(P526*N526+pool_b*M526)/(1-pool_ret*M526)</f>
        <v>0.73144999038</v>
      </c>
      <c r="R526" s="41">
        <f>MIN(C_sat_CO2,MAX(C_air_CO2,(pool_ret*Q526+pool_b)*N526+P526*O526))</f>
        <v>1.691415620434</v>
      </c>
      <c r="S526" s="41">
        <f>IF(AND(R526&gt;=CO2_pH_hi_mt,R527&lt;CO2_pH_hi_mt),EXP(LN(A526)+(LN(A527)-LN(A526))*(R526-CO2_pH_hi_mt)/(R526-R527)),0)</f>
        <v>0.0</v>
      </c>
    </row>
    <row r="527">
      <c r="A527" s="41">
        <f>A526*grid_ratio</f>
        <v>384.746557134586</v>
      </c>
      <c r="B527" s="41">
        <f>MAX(0,A527*60-spg_dur)</f>
        <v>23084.14342808</v>
      </c>
      <c r="C527" s="41">
        <f>k_eff_CO2*B527</f>
        <v>0.335202454759</v>
      </c>
      <c r="D527" s="41">
        <f>EXP(-C527)</f>
        <v>0.715193277412</v>
      </c>
      <c r="E527" s="41">
        <f>IF(C527&gt;0,(1-D527)/C527,1)</f>
        <v>0.849655837971</v>
      </c>
      <c r="F527" s="41">
        <f>IF(C527&gt;0,(C527-1+D527)/C527^2,1/2)</f>
        <v>0.448517485163</v>
      </c>
      <c r="G527" s="41">
        <f>(C_air_CO2/C_sat_CO2*F_vent_ex-CO2_fix_sched)*(B527/3600)/(V_L_CO2+Vg_CO2)</f>
        <v>-4.429457919218</v>
      </c>
      <c r="H527" s="41">
        <f>(G527*E527+pool_b*D527)/(1-pool_ret*D527)</f>
        <v>-5.432953939697</v>
      </c>
      <c r="I527" s="41">
        <f>MIN(C_sat_CO2,MAX(C_air_CO2,(pool_ret*H527+pool_b)*E527+G527*F527))</f>
        <v>0.011558836641</v>
      </c>
      <c r="J527" s="41">
        <f>IF(AND(I527&gt;=CO2_pH_hi_mt,I528&lt;CO2_pH_hi_mt),EXP(LN(A527)+(LN(A528)-LN(A527))*(I527-CO2_pH_hi_mt)/(I527-I528)),0)</f>
        <v>0.0</v>
      </c>
      <c r="L527" s="41">
        <f>k_eff_CO2_l*B527</f>
        <v>1.67655877088</v>
      </c>
      <c r="M527" s="41">
        <f>EXP(-L527)</f>
        <v>0.187016436386</v>
      </c>
      <c r="N527" s="41">
        <f>IF(L527&gt;0,(1-M527)/L527,1)</f>
        <v>0.484912057803</v>
      </c>
      <c r="O527" s="41">
        <f>IF(L527&gt;0,(L527-1+M527)/L527^2,1/2)</f>
        <v>0.307229278892</v>
      </c>
      <c r="P527" s="41">
        <f>(C_air_CO2/C_sat_CO2*F_vent_ex-CO2_fix_l)*(B527/3600)/(V_L_CO2+Vg_CO2)</f>
        <v>0.003874550416</v>
      </c>
      <c r="Q527" s="41">
        <f>(P527*N527+pool_b*M527)/(1-pool_ret*M527)</f>
        <v>0.586991788557</v>
      </c>
      <c r="R527" s="41">
        <f>MIN(C_sat_CO2,MAX(C_air_CO2,(pool_ret*Q527+pool_b)*N527+P527*O527))</f>
        <v>1.518320852998</v>
      </c>
      <c r="S527" s="41">
        <f>IF(AND(R527&gt;=CO2_pH_hi_mt,R528&lt;CO2_pH_hi_mt),EXP(LN(A527)+(LN(A528)-LN(A527))*(R527-CO2_pH_hi_mt)/(R527-R528)),0)</f>
        <v>0.0</v>
      </c>
    </row>
    <row r="528">
      <c r="A528" s="41">
        <f>A527*grid_ratio</f>
        <v>430.940970468848</v>
      </c>
      <c r="B528" s="41">
        <f>MAX(0,A528*60-spg_dur)</f>
        <v>25855.80822813</v>
      </c>
      <c r="C528" s="41">
        <f>k_eff_CO2*B528</f>
        <v>0.375449512123</v>
      </c>
      <c r="D528" s="41">
        <f>EXP(-C528)</f>
        <v>0.686980403355</v>
      </c>
      <c r="E528" s="41">
        <f>IF(C528&gt;0,(1-D528)/C528,1)</f>
        <v>0.833719545606</v>
      </c>
      <c r="F528" s="41">
        <f>IF(C528&gt;0,(C528-1+D528)/C528^2,1/2)</f>
        <v>0.442883660853</v>
      </c>
      <c r="G528" s="41">
        <f>(C_air_CO2/C_sat_CO2*F_vent_ex-CO2_fix_sched)*(B528/3600)/(V_L_CO2+Vg_CO2)</f>
        <v>-4.961293663363</v>
      </c>
      <c r="H528" s="41">
        <f>(G528*E528+pool_b*D528)/(1-pool_ret*D528)</f>
        <v>-6.248058460054</v>
      </c>
      <c r="I528" s="41">
        <f>MIN(C_sat_CO2,MAX(C_air_CO2,(pool_ret*H528+pool_b)*E528+G528*F528))</f>
        <v>0.011558836641</v>
      </c>
      <c r="J528" s="41">
        <f>IF(AND(I528&gt;=CO2_pH_hi_mt,I529&lt;CO2_pH_hi_mt),EXP(LN(A528)+(LN(A529)-LN(A528))*(I528-CO2_pH_hi_mt)/(I528-I529)),0)</f>
        <v>0.0</v>
      </c>
      <c r="L528" s="41">
        <f>k_eff_CO2_l*B528</f>
        <v>1.877859674461</v>
      </c>
      <c r="M528" s="41">
        <f>EXP(-L528)</f>
        <v>0.152917048014</v>
      </c>
      <c r="N528" s="41">
        <f>IF(L528&gt;0,(1-M528)/L528,1)</f>
        <v>0.451089590722</v>
      </c>
      <c r="O528" s="41">
        <f>IF(L528&gt;0,(L528-1+M528)/L528^2,1/2)</f>
        <v>0.29230640433</v>
      </c>
      <c r="P528" s="41">
        <f>(C_air_CO2/C_sat_CO2*F_vent_ex-CO2_fix_l)*(B528/3600)/(V_L_CO2+Vg_CO2)</f>
        <v>0.004339759578</v>
      </c>
      <c r="Q528" s="41">
        <f>(P528*N528+pool_b*M528)/(1-pool_ret*M528)</f>
        <v>0.463207568297</v>
      </c>
      <c r="R528" s="41">
        <f>MIN(C_sat_CO2,MAX(C_air_CO2,(pool_ret*Q528+pool_b)*N528+P528*O528))</f>
        <v>1.361908526575</v>
      </c>
      <c r="S528" s="41">
        <f>IF(AND(R528&gt;=CO2_pH_hi_mt,R529&lt;CO2_pH_hi_mt),EXP(LN(A528)+(LN(A529)-LN(A528))*(R528-CO2_pH_hi_mt)/(R528-R529)),0)</f>
        <v>0.0</v>
      </c>
    </row>
    <row r="529">
      <c r="A529" s="41">
        <f>A528*grid_ratio</f>
        <v>482.681694182569</v>
      </c>
      <c r="B529" s="41">
        <f>MAX(0,A529*60-spg_dur)</f>
        <v>28960.25165095</v>
      </c>
      <c r="C529" s="41">
        <f>k_eff_CO2*B529</f>
        <v>0.420528813386</v>
      </c>
      <c r="D529" s="41">
        <f>EXP(-C529)</f>
        <v>0.656699456515</v>
      </c>
      <c r="E529" s="41">
        <f>IF(C529&gt;0,(1-D529)/C529,1)</f>
        <v>0.816354391322</v>
      </c>
      <c r="F529" s="41">
        <f>IF(C529&gt;0,(C529-1+D529)/C529^2,1/2)</f>
        <v>0.436701607196</v>
      </c>
      <c r="G529" s="41">
        <f>(C_air_CO2/C_sat_CO2*F_vent_ex-CO2_fix_sched)*(B529/3600)/(V_L_CO2+Vg_CO2)</f>
        <v>-5.556984014484</v>
      </c>
      <c r="H529" s="41">
        <f>(G529*E529+pool_b*D529)/(1-pool_ret*D529)</f>
        <v>-7.007983952381</v>
      </c>
      <c r="I529" s="41">
        <f>MIN(C_sat_CO2,MAX(C_air_CO2,(pool_ret*H529+pool_b)*E529+G529*F529))</f>
        <v>0.011558836641</v>
      </c>
      <c r="J529" s="41">
        <f>IF(AND(I529&gt;=CO2_pH_hi_mt,I530&lt;CO2_pH_hi_mt),EXP(LN(A529)+(LN(A530)-LN(A529))*(I529-CO2_pH_hi_mt)/(I529-I530)),0)</f>
        <v>0.0</v>
      </c>
      <c r="L529" s="41">
        <f>k_eff_CO2_l*B529</f>
        <v>2.103329675783</v>
      </c>
      <c r="M529" s="41">
        <f>EXP(-L529)</f>
        <v>0.122049366118</v>
      </c>
      <c r="N529" s="41">
        <f>IF(L529&gt;0,(1-M529)/L529,1)</f>
        <v>0.417409902019</v>
      </c>
      <c r="O529" s="41">
        <f>IF(L529&gt;0,(L529-1+M529)/L529^2,1/2)</f>
        <v>0.27698468038</v>
      </c>
      <c r="P529" s="41">
        <f>(C_air_CO2/C_sat_CO2*F_vent_ex-CO2_fix_l)*(B529/3600)/(V_L_CO2+Vg_CO2)</f>
        <v>0.004860823857</v>
      </c>
      <c r="Q529" s="41">
        <f>(P529*N529+pool_b*M529)/(1-pool_ret*M529)</f>
        <v>0.358583718203</v>
      </c>
      <c r="R529" s="41">
        <f>MIN(C_sat_CO2,MAX(C_air_CO2,(pool_ret*Q529+pool_b)*N529+P529*O529))</f>
        <v>1.220766786033</v>
      </c>
      <c r="S529" s="41">
        <f>IF(AND(R529&gt;=CO2_pH_hi_mt,R530&lt;CO2_pH_hi_mt),EXP(LN(A529)+(LN(A530)-LN(A529))*(R529-CO2_pH_hi_mt)/(R529-R530)),0)</f>
        <v>0.0</v>
      </c>
    </row>
    <row r="530">
      <c r="A530" s="41">
        <f>A529*grid_ratio</f>
        <v>540.634643407146</v>
      </c>
      <c r="B530" s="41">
        <f>MAX(0,A530*60-spg_dur)</f>
        <v>32437.42860443</v>
      </c>
      <c r="C530" s="41">
        <f>k_eff_CO2*B530</f>
        <v>0.471020539625</v>
      </c>
      <c r="D530" s="41">
        <f>EXP(-C530)</f>
        <v>0.624364754062</v>
      </c>
      <c r="E530" s="41">
        <f>IF(C530&gt;0,(1-D530)/C530,1)</f>
        <v>0.797492283961</v>
      </c>
      <c r="F530" s="41">
        <f>IF(C530&gt;0,(C530-1+D530)/C530^2,1/2)</f>
        <v>0.429933939187</v>
      </c>
      <c r="G530" s="41">
        <f>(C_air_CO2/C_sat_CO2*F_vent_ex-CO2_fix_sched)*(B530/3600)/(V_L_CO2+Vg_CO2)</f>
        <v>-6.224195645753</v>
      </c>
      <c r="H530" s="41">
        <f>(G530*E530+pool_b*D530)/(1-pool_ret*D530)</f>
        <v>-7.713063041303</v>
      </c>
      <c r="I530" s="41">
        <f>MIN(C_sat_CO2,MAX(C_air_CO2,(pool_ret*H530+pool_b)*E530+G530*F530))</f>
        <v>0.011558836641</v>
      </c>
      <c r="J530" s="41">
        <f>IF(AND(I530&gt;=CO2_pH_hi_mt,I531&lt;CO2_pH_hi_mt),EXP(LN(A530)+(LN(A531)-LN(A530))*(I530-CO2_pH_hi_mt)/(I530-I531)),0)</f>
        <v>0.0</v>
      </c>
      <c r="L530" s="41">
        <f>k_eff_CO2_l*B530</f>
        <v>2.355870626129</v>
      </c>
      <c r="M530" s="41">
        <f>EXP(-L530)</f>
        <v>0.094810925722</v>
      </c>
      <c r="N530" s="41">
        <f>IF(L530&gt;0,(1-M530)/L530,1)</f>
        <v>0.38422698778</v>
      </c>
      <c r="O530" s="41">
        <f>IF(L530&gt;0,(L530-1+M530)/L530^2,1/2)</f>
        <v>0.261378110237</v>
      </c>
      <c r="P530" s="41">
        <f>(C_air_CO2/C_sat_CO2*F_vent_ex-CO2_fix_l)*(B530/3600)/(V_L_CO2+Vg_CO2)</f>
        <v>0.005444449472</v>
      </c>
      <c r="Q530" s="41">
        <f>(P530*N530+pool_b*M530)/(1-pool_ret*M530)</f>
        <v>0.271587343472</v>
      </c>
      <c r="R530" s="41">
        <f>MIN(C_sat_CO2,MAX(C_air_CO2,(pool_ret*Q530+pool_b)*N530+P530*O530))</f>
        <v>1.093569560736</v>
      </c>
      <c r="S530" s="41">
        <f>IF(AND(R530&gt;=CO2_pH_hi_mt,R531&lt;CO2_pH_hi_mt),EXP(LN(A530)+(LN(A531)-LN(A530))*(R530-CO2_pH_hi_mt)/(R530-R531)),0)</f>
        <v>0.0</v>
      </c>
    </row>
    <row r="531">
      <c r="A531" s="41">
        <f>A530*grid_ratio</f>
        <v>605.54568605914</v>
      </c>
      <c r="B531" s="41">
        <f>MAX(0,A531*60-spg_dur)</f>
        <v>36332.09116355</v>
      </c>
      <c r="C531" s="41">
        <f>k_eff_CO2*B531</f>
        <v>0.527574531084</v>
      </c>
      <c r="D531" s="41">
        <f>EXP(-C531)</f>
        <v>0.590034345489</v>
      </c>
      <c r="E531" s="41">
        <f>IF(C531&gt;0,(1-D531)/C531,1)</f>
        <v>0.777076280898</v>
      </c>
      <c r="F531" s="41">
        <f>IF(C531&gt;0,(C531-1+D531)/C531^2,1/2)</f>
        <v>0.422544505027</v>
      </c>
      <c r="G531" s="41">
        <f>(C_air_CO2/C_sat_CO2*F_vent_ex-CO2_fix_sched)*(B531/3600)/(V_L_CO2+Vg_CO2)</f>
        <v>-6.971515725829</v>
      </c>
      <c r="H531" s="41">
        <f>(G531*E531+pool_b*D531)/(1-pool_ret*D531)</f>
        <v>-8.364175283562</v>
      </c>
      <c r="I531" s="41">
        <f>MIN(C_sat_CO2,MAX(C_air_CO2,(pool_ret*H531+pool_b)*E531+G531*F531))</f>
        <v>0.011558836641</v>
      </c>
      <c r="J531" s="41">
        <f>IF(AND(I531&gt;=CO2_pH_hi_mt,I532&lt;CO2_pH_hi_mt),EXP(LN(A531)+(LN(A532)-LN(A531))*(I531-CO2_pH_hi_mt)/(I531-I532)),0)</f>
        <v>0.0</v>
      </c>
      <c r="L531" s="41">
        <f>k_eff_CO2_l*B531</f>
        <v>2.638732786185</v>
      </c>
      <c r="M531" s="41">
        <f>EXP(-L531)</f>
        <v>0.071451756864</v>
      </c>
      <c r="N531" s="41">
        <f>IF(L531&gt;0,(1-M531)/L531,1)</f>
        <v>0.351891729241</v>
      </c>
      <c r="O531" s="41">
        <f>IF(L531&gt;0,(L531-1+M531)/L531^2,1/2)</f>
        <v>0.245613452848</v>
      </c>
      <c r="P531" s="41">
        <f>(C_air_CO2/C_sat_CO2*F_vent_ex-CO2_fix_l)*(B531/3600)/(V_L_CO2+Vg_CO2)</f>
        <v>0.006098147821</v>
      </c>
      <c r="Q531" s="41">
        <f>(P531*N531+pool_b*M531)/(1-pool_ret*M531)</f>
        <v>0.200644039877</v>
      </c>
      <c r="R531" s="41">
        <f>MIN(C_sat_CO2,MAX(C_air_CO2,(pool_ret*Q531+pool_b)*N531+P531*O531))</f>
        <v>0.979078480149</v>
      </c>
      <c r="S531" s="41">
        <f>IF(AND(R531&gt;=CO2_pH_hi_mt,R532&lt;CO2_pH_hi_mt),EXP(LN(A531)+(LN(A532)-LN(A531))*(R531-CO2_pH_hi_mt)/(R531-R532)),0)</f>
        <v>613.957173300919</v>
      </c>
    </row>
    <row r="532">
      <c r="A532" s="41">
        <f>A531*grid_ratio</f>
        <v>678.250242333597</v>
      </c>
      <c r="B532" s="41">
        <f>MAX(0,A532*60-spg_dur)</f>
        <v>40694.36454002</v>
      </c>
      <c r="C532" s="41">
        <f>k_eff_CO2*B532</f>
        <v>0.590918650769</v>
      </c>
      <c r="D532" s="41">
        <f>EXP(-C532)</f>
        <v>0.55381828538</v>
      </c>
      <c r="E532" s="41">
        <f>IF(C532&gt;0,(1-D532)/C532,1)</f>
        <v>0.755064532215</v>
      </c>
      <c r="F532" s="41">
        <f>IF(C532&gt;0,(C532-1+D532)/C532^2,1/2)</f>
        <v>0.414499470387</v>
      </c>
      <c r="G532" s="41">
        <f>(C_air_CO2/C_sat_CO2*F_vent_ex-CO2_fix_sched)*(B532/3600)/(V_L_CO2+Vg_CO2)</f>
        <v>-7.808562437716</v>
      </c>
      <c r="H532" s="41">
        <f>(G532*E532+pool_b*D532)/(1-pool_ret*D532)</f>
        <v>-8.962649975935</v>
      </c>
      <c r="I532" s="41">
        <f>MIN(C_sat_CO2,MAX(C_air_CO2,(pool_ret*H532+pool_b)*E532+G532*F532))</f>
        <v>0.011558836641</v>
      </c>
      <c r="J532" s="41">
        <f>IF(AND(I532&gt;=CO2_pH_hi_mt,I533&lt;CO2_pH_hi_mt),EXP(LN(A532)+(LN(A533)-LN(A532))*(I532-CO2_pH_hi_mt)/(I532-I533)),0)</f>
        <v>0.0</v>
      </c>
      <c r="L532" s="41">
        <f>k_eff_CO2_l*B532</f>
        <v>2.955556657648</v>
      </c>
      <c r="M532" s="41">
        <f>EXP(-L532)</f>
        <v>0.052049678659</v>
      </c>
      <c r="N532" s="41">
        <f>IF(L532&gt;0,(1-M532)/L532,1)</f>
        <v>0.320734951532</v>
      </c>
      <c r="O532" s="41">
        <f>IF(L532&gt;0,(L532-1+M532)/L532^2,1/2)</f>
        <v>0.229826434459</v>
      </c>
      <c r="P532" s="41">
        <f>(C_air_CO2/C_sat_CO2*F_vent_ex-CO2_fix_l)*(B532/3600)/(V_L_CO2+Vg_CO2)</f>
        <v>0.006830332152</v>
      </c>
      <c r="Q532" s="41">
        <f>(P532*N532+pool_b*M532)/(1-pool_ret*M532)</f>
        <v>0.144118605372</v>
      </c>
      <c r="R532" s="41">
        <f>MIN(C_sat_CO2,MAX(C_air_CO2,(pool_ret*Q532+pool_b)*N532+P532*O532))</f>
        <v>0.876142556822</v>
      </c>
      <c r="S532" s="41">
        <f>IF(AND(R532&gt;=CO2_pH_hi_mt,R533&lt;CO2_pH_hi_mt),EXP(LN(A532)+(LN(A533)-LN(A532))*(R532-CO2_pH_hi_mt)/(R532-R533)),0)</f>
        <v>0.0</v>
      </c>
    </row>
    <row r="533">
      <c r="A533" s="41">
        <f>A532*grid_ratio</f>
        <v>759.68403675599</v>
      </c>
      <c r="B533" s="41">
        <f>MAX(0,A533*60-spg_dur)</f>
        <v>45580.39220536</v>
      </c>
      <c r="C533" s="41">
        <f>k_eff_CO2*B533</f>
        <v>0.661868152211</v>
      </c>
      <c r="D533" s="41">
        <f>EXP(-C533)</f>
        <v>0.515886678871</v>
      </c>
      <c r="E533" s="41">
        <f>IF(C533&gt;0,(1-D533)/C533,1)</f>
        <v>0.731434681533</v>
      </c>
      <c r="F533" s="41">
        <f>IF(C533&gt;0,(C533-1+D533)/C533^2,1/2)</f>
        <v>0.405768607494</v>
      </c>
      <c r="G533" s="41">
        <f>(C_air_CO2/C_sat_CO2*F_vent_ex-CO2_fix_sched)*(B533/3600)/(V_L_CO2+Vg_CO2)</f>
        <v>-8.746108767005</v>
      </c>
      <c r="H533" s="41">
        <f>(G533*E533+pool_b*D533)/(1-pool_ret*D533)</f>
        <v>-9.510171602629</v>
      </c>
      <c r="I533" s="41">
        <f>MIN(C_sat_CO2,MAX(C_air_CO2,(pool_ret*H533+pool_b)*E533+G533*F533))</f>
        <v>0.011558836641</v>
      </c>
      <c r="J533" s="41">
        <f>IF(AND(I533&gt;=CO2_pH_hi_mt,I534&lt;CO2_pH_hi_mt),EXP(LN(A533)+(LN(A534)-LN(A533))*(I533-CO2_pH_hi_mt)/(I533-I534)),0)</f>
        <v>0.0</v>
      </c>
      <c r="L533" s="41">
        <f>k_eff_CO2_l*B533</f>
        <v>3.310419837328</v>
      </c>
      <c r="M533" s="41">
        <f>EXP(-L533)</f>
        <v>0.036500846119</v>
      </c>
      <c r="N533" s="41">
        <f>IF(L533&gt;0,(1-M533)/L533,1)</f>
        <v>0.2910504411</v>
      </c>
      <c r="O533" s="41">
        <f>IF(L533&gt;0,(L533-1+M533)/L533^2,1/2)</f>
        <v>0.214156993293</v>
      </c>
      <c r="P533" s="41">
        <f>(C_air_CO2/C_sat_CO2*F_vent_ex-CO2_fix_l)*(B533/3600)/(V_L_CO2+Vg_CO2)</f>
        <v>0.007650425849</v>
      </c>
      <c r="Q533" s="41">
        <f>(P533*N533+pool_b*M533)/(1-pool_ret*M533)</f>
        <v>0.100305082361</v>
      </c>
      <c r="R533" s="41">
        <f>MIN(C_sat_CO2,MAX(C_air_CO2,(pool_ret*Q533+pool_b)*N533+P533*O533))</f>
        <v>0.783696102605</v>
      </c>
      <c r="S533" s="41">
        <f>IF(AND(R533&gt;=CO2_pH_hi_mt,R534&lt;CO2_pH_hi_mt),EXP(LN(A533)+(LN(A534)-LN(A533))*(R533-CO2_pH_hi_mt)/(R533-R534)),0)</f>
        <v>0.0</v>
      </c>
    </row>
    <row r="534">
      <c r="A534" s="41">
        <f>A533*grid_ratio</f>
        <v>850.895141174193</v>
      </c>
      <c r="B534" s="41">
        <f>MAX(0,A534*60-spg_dur)</f>
        <v>51053.05847045</v>
      </c>
      <c r="C534" s="41">
        <f>k_eff_CO2*B534</f>
        <v>0.741336171973</v>
      </c>
      <c r="D534" s="41">
        <f>EXP(-C534)</f>
        <v>0.476476834998</v>
      </c>
      <c r="E534" s="41">
        <f>IF(C534&gt;0,(1-D534)/C534,1)</f>
        <v>0.706188615629</v>
      </c>
      <c r="F534" s="41">
        <f>IF(C534&gt;0,(C534-1+D534)/C534^2,1/2)</f>
        <v>0.396326788681</v>
      </c>
      <c r="G534" s="41">
        <f>(C_air_CO2/C_sat_CO2*F_vent_ex-CO2_fix_sched)*(B534/3600)/(V_L_CO2+Vg_CO2)</f>
        <v>-9.796221152707</v>
      </c>
      <c r="H534" s="41">
        <f>(G534*E534+pool_b*D534)/(1-pool_ret*D534)</f>
        <v>-10.008691447985</v>
      </c>
      <c r="I534" s="41">
        <f>MIN(C_sat_CO2,MAX(C_air_CO2,(pool_ret*H534+pool_b)*E534+G534*F534))</f>
        <v>0.011558836641</v>
      </c>
      <c r="J534" s="41">
        <f>IF(AND(I534&gt;=CO2_pH_hi_mt,I535&lt;CO2_pH_hi_mt),EXP(LN(A534)+(LN(A535)-LN(A534))*(I534-CO2_pH_hi_mt)/(I534-I535)),0)</f>
        <v>0.0</v>
      </c>
      <c r="L534" s="41">
        <f>k_eff_CO2_l*B534</f>
        <v>3.707889496769</v>
      </c>
      <c r="M534" s="41">
        <f>EXP(-L534)</f>
        <v>0.024529237716</v>
      </c>
      <c r="N534" s="41">
        <f>IF(L534&gt;0,(1-M534)/L534,1)</f>
        <v>0.263079782484</v>
      </c>
      <c r="O534" s="41">
        <f>IF(L534&gt;0,(L534-1+M534)/L534^2,1/2)</f>
        <v>0.198743845565</v>
      </c>
      <c r="P534" s="41">
        <f>(C_air_CO2/C_sat_CO2*F_vent_ex-CO2_fix_l)*(B534/3600)/(V_L_CO2+Vg_CO2)</f>
        <v>0.008568983708</v>
      </c>
      <c r="Q534" s="41">
        <f>(P534*N534+pool_b*M534)/(1-pool_ret*M534)</f>
        <v>0.067433108996</v>
      </c>
      <c r="R534" s="41">
        <f>MIN(C_sat_CO2,MAX(C_air_CO2,(pool_ret*Q534+pool_b)*N534+P534*O534))</f>
        <v>0.700755329226</v>
      </c>
      <c r="S534" s="41">
        <f>IF(AND(R534&gt;=CO2_pH_hi_mt,R535&lt;CO2_pH_hi_mt),EXP(LN(A534)+(LN(A535)-LN(A534))*(R534-CO2_pH_hi_mt)/(R534-R535)),0)</f>
        <v>0.0</v>
      </c>
    </row>
    <row r="535">
      <c r="A535" s="41">
        <f>A534*grid_ratio</f>
        <v>953.057463686584</v>
      </c>
      <c r="B535" s="41">
        <f>MAX(0,A535*60-spg_dur)</f>
        <v>57182.7978212</v>
      </c>
      <c r="C535" s="41">
        <f>k_eff_CO2*B535</f>
        <v>0.830345481927</v>
      </c>
      <c r="D535" s="41">
        <f>EXP(-C535)</f>
        <v>0.435898665194</v>
      </c>
      <c r="E535" s="41">
        <f>IF(C535&gt;0,(1-D535)/C535,1)</f>
        <v>0.679357384467</v>
      </c>
      <c r="F535" s="41">
        <f>IF(C535&gt;0,(C535-1+D535)/C535^2,1/2)</f>
        <v>0.386155669552</v>
      </c>
      <c r="G535" s="41">
        <f>(C_air_CO2/C_sat_CO2*F_vent_ex-CO2_fix_sched)*(B535/3600)/(V_L_CO2+Vg_CO2)</f>
        <v>-10.972414785124</v>
      </c>
      <c r="H535" s="41">
        <f>(G535*E535+pool_b*D535)/(1-pool_ret*D535)</f>
        <v>-10.460348031796</v>
      </c>
      <c r="I535" s="41">
        <f>MIN(C_sat_CO2,MAX(C_air_CO2,(pool_ret*H535+pool_b)*E535+G535*F535))</f>
        <v>0.011558836641</v>
      </c>
      <c r="J535" s="41">
        <f>IF(AND(I535&gt;=CO2_pH_hi_mt,I536&lt;CO2_pH_hi_mt),EXP(LN(A535)+(LN(A536)-LN(A535))*(I535-CO2_pH_hi_mt)/(I535-I536)),0)</f>
        <v>0.0</v>
      </c>
      <c r="L535" s="41">
        <f>k_eff_CO2_l*B535</f>
        <v>4.153081162802</v>
      </c>
      <c r="M535" s="41">
        <f>EXP(-L535)</f>
        <v>0.015715918505</v>
      </c>
      <c r="N535" s="41">
        <f>IF(L535&gt;0,(1-M535)/L535,1)</f>
        <v>0.237000926038</v>
      </c>
      <c r="O535" s="41">
        <f>IF(L535&gt;0,(L535-1+M535)/L535^2,1/2)</f>
        <v>0.183718796732</v>
      </c>
      <c r="P535" s="41">
        <f>(C_air_CO2/C_sat_CO2*F_vent_ex-CO2_fix_l)*(B535/3600)/(V_L_CO2+Vg_CO2)</f>
        <v>0.009597827781</v>
      </c>
      <c r="Q535" s="41">
        <f>(P535*N535+pool_b*M535)/(1-pool_ret*M535)</f>
        <v>0.04369630776</v>
      </c>
      <c r="R535" s="41">
        <f>MIN(C_sat_CO2,MAX(C_air_CO2,(pool_ret*Q535+pool_b)*N535+P535*O535))</f>
        <v>0.626414084537</v>
      </c>
      <c r="S535" s="41">
        <f>IF(AND(R535&gt;=CO2_pH_hi_mt,R536&lt;CO2_pH_hi_mt),EXP(LN(A535)+(LN(A536)-LN(A535))*(R535-CO2_pH_hi_mt)/(R535-R536)),0)</f>
        <v>0.0</v>
      </c>
    </row>
    <row r="536">
      <c r="A536" s="41">
        <f>A535*grid_ratio</f>
        <v>1067.485857111924</v>
      </c>
      <c r="B536" s="41">
        <f>MAX(0,A536*60-spg_dur)</f>
        <v>64048.50142672</v>
      </c>
      <c r="C536" s="41">
        <f>k_eff_CO2*B536</f>
        <v>0.930041652564</v>
      </c>
      <c r="D536" s="41">
        <f>EXP(-C536)</f>
        <v>0.39453727654</v>
      </c>
      <c r="E536" s="41">
        <f>IF(C536&gt;0,(1-D536)/C536,1)</f>
        <v>0.651006029451</v>
      </c>
      <c r="F536" s="41">
        <f>IF(C536&gt;0,(C536-1+D536)/C536^2,1/2)</f>
        <v>0.375245527538</v>
      </c>
      <c r="G536" s="41">
        <f>(C_air_CO2/C_sat_CO2*F_vent_ex-CO2_fix_sched)*(B536/3600)/(V_L_CO2+Vg_CO2)</f>
        <v>-12.289827549484</v>
      </c>
      <c r="H536" s="41">
        <f>(G536*E536+pool_b*D536)/(1-pool_ret*D536)</f>
        <v>-10.867398261194</v>
      </c>
      <c r="I536" s="41">
        <f>MIN(C_sat_CO2,MAX(C_air_CO2,(pool_ret*H536+pool_b)*E536+G536*F536))</f>
        <v>0.011558836641</v>
      </c>
      <c r="J536" s="41">
        <f>IF(AND(I536&gt;=CO2_pH_hi_mt,I537&lt;CO2_pH_hi_mt),EXP(LN(A536)+(LN(A537)-LN(A536))*(I536-CO2_pH_hi_mt)/(I536-I537)),0)</f>
        <v>0.0</v>
      </c>
      <c r="L536" s="41">
        <f>k_eff_CO2_l*B536</f>
        <v>4.651724555569</v>
      </c>
      <c r="M536" s="41">
        <f>EXP(-L536)</f>
        <v>0.009545126627</v>
      </c>
      <c r="N536" s="41">
        <f>IF(L536&gt;0,(1-M536)/L536,1)</f>
        <v>0.212922081164</v>
      </c>
      <c r="O536" s="41">
        <f>IF(L536&gt;0,(L536-1+M536)/L536^2,1/2)</f>
        <v>0.169201316508</v>
      </c>
      <c r="P536" s="41">
        <f>(C_air_CO2/C_sat_CO2*F_vent_ex-CO2_fix_l)*(B536/3600)/(V_L_CO2+Vg_CO2)</f>
        <v>0.010750199531</v>
      </c>
      <c r="Q536" s="41">
        <f>(P536*N536+pool_b*M536)/(1-pool_ret*M536)</f>
        <v>0.027304555367</v>
      </c>
      <c r="R536" s="41">
        <f>MIN(C_sat_CO2,MAX(C_air_CO2,(pool_ret*Q536+pool_b)*N536+P536*O536))</f>
        <v>0.559839174394</v>
      </c>
      <c r="S536" s="41">
        <f>IF(AND(R536&gt;=CO2_pH_hi_mt,R537&lt;CO2_pH_hi_mt),EXP(LN(A536)+(LN(A537)-LN(A536))*(R536-CO2_pH_hi_mt)/(R536-R537)),0)</f>
        <v>0.0</v>
      </c>
    </row>
    <row r="537">
      <c r="A537" s="41">
        <f>A536*grid_ratio</f>
        <v>1195.653041450516</v>
      </c>
      <c r="B537" s="41">
        <f>MAX(0,A537*60-spg_dur)</f>
        <v>71738.53248703</v>
      </c>
      <c r="C537" s="41">
        <f>k_eff_CO2*B537</f>
        <v>1.041707796756</v>
      </c>
      <c r="D537" s="41">
        <f>EXP(-C537)</f>
        <v>0.352851568344</v>
      </c>
      <c r="E537" s="41">
        <f>IF(C537&gt;0,(1-D537)/C537,1)</f>
        <v>0.62123796488</v>
      </c>
      <c r="F537" s="41">
        <f>IF(C537&gt;0,(C537-1+D537)/C537^2,1/2)</f>
        <v>0.363597197122</v>
      </c>
      <c r="G537" s="41">
        <f>(C_air_CO2/C_sat_CO2*F_vent_ex-CO2_fix_sched)*(B537/3600)/(V_L_CO2+Vg_CO2)</f>
        <v>-13.765414854046</v>
      </c>
      <c r="H537" s="41">
        <f>(G537*E537+pool_b*D537)/(1-pool_ret*D537)</f>
        <v>-11.232160572788</v>
      </c>
      <c r="I537" s="41">
        <f>MIN(C_sat_CO2,MAX(C_air_CO2,(pool_ret*H537+pool_b)*E537+G537*F537))</f>
        <v>0.011558836641</v>
      </c>
      <c r="J537" s="41">
        <f>IF(AND(I537&gt;=CO2_pH_hi_mt,I538&lt;CO2_pH_hi_mt),EXP(LN(A537)+(LN(A538)-LN(A537))*(I537-CO2_pH_hi_mt)/(I537-I538)),0)</f>
        <v>0.0</v>
      </c>
      <c r="L537" s="41">
        <f>k_eff_CO2_l*B537</f>
        <v>5.210237331349</v>
      </c>
      <c r="M537" s="41">
        <f>EXP(-L537)</f>
        <v>0.005460377615</v>
      </c>
      <c r="N537" s="41">
        <f>IF(L537&gt;0,(1-M537)/L537,1)</f>
        <v>0.190881827283</v>
      </c>
      <c r="O537" s="41">
        <f>IF(L537&gt;0,(L537-1+M537)/L537^2,1/2)</f>
        <v>0.155293918734</v>
      </c>
      <c r="P537" s="41">
        <f>(C_air_CO2/C_sat_CO2*F_vent_ex-CO2_fix_l)*(B537/3600)/(V_L_CO2+Vg_CO2)</f>
        <v>0.01204093025</v>
      </c>
      <c r="Q537" s="41">
        <f>(P537*N537+pool_b*M537)/(1-pool_ret*M537)</f>
        <v>0.016555536705</v>
      </c>
      <c r="R537" s="41">
        <f>MIN(C_sat_CO2,MAX(C_air_CO2,(pool_ret*Q537+pool_b)*N537+P537*O537))</f>
        <v>0.500265689646</v>
      </c>
      <c r="S537" s="41">
        <f>IF(AND(R537&gt;=CO2_pH_hi_mt,R538&lt;CO2_pH_hi_mt),EXP(LN(A537)+(LN(A538)-LN(A537))*(R537-CO2_pH_hi_mt)/(R537-R538)),0)</f>
        <v>0.0</v>
      </c>
    </row>
    <row r="538">
      <c r="A538" s="41">
        <f>A537*grid_ratio</f>
        <v>1339.208558132662</v>
      </c>
      <c r="B538" s="41">
        <f>MAX(0,A538*60-spg_dur)</f>
        <v>80351.86348796</v>
      </c>
      <c r="C538" s="41">
        <f>k_eff_CO2*B538</f>
        <v>1.166781083714</v>
      </c>
      <c r="D538" s="41">
        <f>EXP(-C538)</f>
        <v>0.311367596115</v>
      </c>
      <c r="E538" s="41">
        <f>IF(C538&gt;0,(1-D538)/C538,1)</f>
        <v>0.590198464388</v>
      </c>
      <c r="F538" s="41">
        <f>IF(C538&gt;0,(C538-1+D538)/C538^2,1/2)</f>
        <v>0.351224013941</v>
      </c>
      <c r="G538" s="41">
        <f>(C_air_CO2/C_sat_CO2*F_vent_ex-CO2_fix_sched)*(B538/3600)/(V_L_CO2+Vg_CO2)</f>
        <v>-15.418167850135</v>
      </c>
      <c r="H538" s="41">
        <f>(G538*E538+pool_b*D538)/(1-pool_ret*D538)</f>
        <v>-11.556970868165</v>
      </c>
      <c r="I538" s="41">
        <f>MIN(C_sat_CO2,MAX(C_air_CO2,(pool_ret*H538+pool_b)*E538+G538*F538))</f>
        <v>0.011558836641</v>
      </c>
      <c r="J538" s="41">
        <f>IF(AND(I538&gt;=CO2_pH_hi_mt,I539&lt;CO2_pH_hi_mt),EXP(LN(A538)+(LN(A539)-LN(A538))*(I538-CO2_pH_hi_mt)/(I538-I539)),0)</f>
        <v>0.0</v>
      </c>
      <c r="L538" s="41">
        <f>k_eff_CO2_l*B538</f>
        <v>5.835807679285</v>
      </c>
      <c r="M538" s="41">
        <f>EXP(-L538)</f>
        <v>0.002921063025</v>
      </c>
      <c r="N538" s="41">
        <f>IF(L538&gt;0,(1-M538)/L538,1)</f>
        <v>0.170855345442</v>
      </c>
      <c r="O538" s="41">
        <f>IF(L538&gt;0,(L538-1+M538)/L538^2,1/2)</f>
        <v>0.142078817556</v>
      </c>
      <c r="P538" s="41">
        <f>(C_air_CO2/C_sat_CO2*F_vent_ex-CO2_fix_l)*(B538/3600)/(V_L_CO2+Vg_CO2)</f>
        <v>0.013486631942</v>
      </c>
      <c r="Q538" s="41">
        <f>(P538*N538+pool_b*M538)/(1-pool_ret*M538)</f>
        <v>0.009913603781</v>
      </c>
      <c r="R538" s="41">
        <f>MIN(C_sat_CO2,MAX(C_air_CO2,(pool_ret*Q538+pool_b)*N538+P538*O538))</f>
        <v>0.44699266917</v>
      </c>
      <c r="S538" s="41">
        <f>IF(AND(R538&gt;=CO2_pH_hi_mt,R539&lt;CO2_pH_hi_mt),EXP(LN(A538)+(LN(A539)-LN(A538))*(R538-CO2_pH_hi_mt)/(R538-R539)),0)</f>
        <v>0.0</v>
      </c>
    </row>
    <row r="539">
      <c r="A539" s="41">
        <f>A538*grid_ratio</f>
        <v>1499.999999999992</v>
      </c>
      <c r="B539" s="41">
        <f>MAX(0,A539*60-spg_dur)</f>
        <v>89999.35</v>
      </c>
      <c r="C539" s="41">
        <f>k_eff_CO2*B539</f>
        <v>1.306871235691</v>
      </c>
      <c r="D539" s="41">
        <f>EXP(-C539)</f>
        <v>0.270665581782</v>
      </c>
      <c r="E539" s="41">
        <f>IF(C539&gt;0,(1-D539)/C539,1)</f>
        <v>0.55807672424</v>
      </c>
      <c r="F539" s="41">
        <f>IF(C539&gt;0,(C539-1+D539)/C539^2,1/2)</f>
        <v>0.338153647958</v>
      </c>
      <c r="G539" s="41">
        <f>(C_air_CO2/C_sat_CO2*F_vent_ex-CO2_fix_sched)*(B539/3600)/(V_L_CO2+Vg_CO2)</f>
        <v>-17.269357852677</v>
      </c>
      <c r="H539" s="41">
        <f>(G539*E539+pool_b*D539)/(1-pool_ret*D539)</f>
        <v>-11.844151699632</v>
      </c>
      <c r="I539" s="41">
        <f>MIN(C_sat_CO2,MAX(C_air_CO2,(pool_ret*H539+pool_b)*E539+G539*F539))</f>
        <v>0.011558836641</v>
      </c>
      <c r="J539" s="41">
        <f>0</f>
        <v>0.0</v>
      </c>
      <c r="L539" s="41">
        <f>k_eff_CO2_l*B539</f>
        <v>6.536486835048</v>
      </c>
      <c r="M539" s="41">
        <f>EXP(-L539)</f>
        <v>0.00144957215</v>
      </c>
      <c r="N539" s="41">
        <f>IF(L539&gt;0,(1-M539)/L539,1)</f>
        <v>0.152765614473</v>
      </c>
      <c r="O539" s="41">
        <f>IF(L539&gt;0,(L539-1+M539)/L539^2,1/2)</f>
        <v>0.129616169497</v>
      </c>
      <c r="P539" s="41">
        <f>(C_air_CO2/C_sat_CO2*F_vent_ex-CO2_fix_l)*(B539/3600)/(V_L_CO2+Vg_CO2)</f>
        <v>0.015105911124</v>
      </c>
      <c r="Q539" s="41">
        <f>(P539*N539+pool_b*M539)/(1-pool_ret*M539)</f>
        <v>0.006078740529</v>
      </c>
      <c r="R539" s="41">
        <f>MIN(C_sat_CO2,MAX(C_air_CO2,(pool_ret*Q539+pool_b)*N539+P539*O539))</f>
        <v>0.39937927455</v>
      </c>
      <c r="S539" s="41">
        <f>0</f>
        <v>0.0</v>
      </c>
    </row>
    <row r="541">
      <c r="A541" s="6" t="inlineStr">
        <is>
          <t xml:space="preserve">START-UP (LAG-PHASE) SCHEDULE — shown beside the growth one (owner, T4: both)</t>
        </is>
      </c>
    </row>
    <row r="542">
      <c r="A542" s="18" t="inlineStr">
        <is>
          <t xml:space="preserve">Headspace O₂ fraction allowed — lag</t>
        </is>
      </c>
      <c r="B542" s="19" t="inlineStr">
        <is>
          <t xml:space="preserve">y_O2_star_l</t>
        </is>
      </c>
      <c r="C542" s="20" t="inlineStr">
        <is>
          <t xml:space="preserve">-</t>
        </is>
      </c>
      <c r="D542" s="41" t="e">
        <f>IF(DO_target-DO_surf_excess_lag&gt;0,(DO_target-DO_surf_excess_lag)/(H_O2_T*P_dry),NA())</f>
        <v>#N/A</v>
      </c>
      <c r="E542" s="51" t="inlineStr">
        <is>
          <t xml:space="preserve">As D183 on the lag source (D181). #N/A = the surface cannot carry the lag O₂ flux at the target DO.</t>
        </is>
      </c>
    </row>
    <row r="543">
      <c r="A543" s="18" t="inlineStr">
        <is>
          <t xml:space="preserve">Duty needed to hold it — lag</t>
        </is>
      </c>
      <c r="B543" s="19" t="inlineStr">
        <is>
          <t xml:space="preserve">duty_DO_l</t>
        </is>
      </c>
      <c r="C543" s="20" t="inlineStr">
        <is>
          <t xml:space="preserve">-</t>
        </is>
      </c>
      <c r="D543" s="41" t="e">
        <f>IF(ISNUMBER(y_O2_star_l),MAX(0,((O2_src_l+y_O2_air*F_vent_ex)*saw_factor/y_O2_star_l-F_dil-O2_src_l-H2_src_l+CO2_fix_l)/CO2_rate_full),NA())</f>
        <v>#N/A</v>
      </c>
      <c r="E543" s="51" t="inlineStr">
        <is>
          <t xml:space="preserve">As D184 on the lag sources (D310, D314, D316).</t>
        </is>
      </c>
    </row>
    <row r="544">
      <c r="A544" s="18" t="inlineStr">
        <is>
          <t xml:space="preserve">DO-limited interval — lag</t>
        </is>
      </c>
      <c r="B544" s="19" t="inlineStr">
        <is>
          <t xml:space="preserve">spg_int_DO_l</t>
        </is>
      </c>
      <c r="C544" s="20" t="inlineStr">
        <is>
          <t xml:space="preserve">min</t>
        </is>
      </c>
      <c r="D544" s="41" t="str">
        <f>IF(ISNUMBER(duty_DO_l),IF(duty_DO_l&gt;0,spg_dur_eq_opt/(60*duty_DO_l),spg_int_carbon),"lag DO target unreachable at this surface kLa")</f>
        <v>lag DO target unreachable at this surface kLa</v>
      </c>
      <c r="E544" s="51" t="inlineStr">
        <is>
          <t xml:space="preserve">As D185 on the lag source; text when the lag target is unreachable (then the legacy guard D89 applies).</t>
        </is>
      </c>
    </row>
    <row r="545">
      <c r="A545" s="18" t="inlineStr">
        <is>
          <t xml:space="preserve">(import) Interval clearing the lag H₂ flammability screen</t>
        </is>
      </c>
      <c r="B545" s="19" t="inlineStr">
        <is>
          <t xml:space="preserve">spg_int_H2safe_mt</t>
        </is>
      </c>
      <c r="C545" s="20" t="inlineStr">
        <is>
          <t xml:space="preserve">min</t>
        </is>
      </c>
      <c r="D545" s="41">
        <f>Biology!spg_int_H2safe_saw</f>
        <v>2.328965780397</v>
      </c>
      <c r="E545" s="140" t="inlineStr">
        <is>
          <t xml:space="preserve">Import from Biology!D92 (on the pulse in use; "any interval" when nothing is needed).</t>
        </is>
      </c>
    </row>
    <row r="546">
      <c r="A546" s="18" t="inlineStr">
        <is>
          <t xml:space="preserve">Start-up interval (optimal-pulse basis)</t>
        </is>
      </c>
      <c r="B546" s="19" t="inlineStr">
        <is>
          <t xml:space="preserve">spg_int_su_opt</t>
        </is>
      </c>
      <c r="C546" s="20" t="inlineStr">
        <is>
          <t xml:space="preserve">min</t>
        </is>
      </c>
      <c r="D546" s="41">
        <f>IF(ph_unreach_l,NA(),MIN(spg_int_carbon,IF(ISNUMBER(spg_int_DO_l),spg_int_DO_l,spg_int_max),IF(ISNUMBER(spg_int_H2safe_opt),spg_int_H2safe_opt,spg_int_carbon),IF(ISNUMBER(spg_int_pH_l),spg_int_pH_l*spg_dur_eq_opt/spg_dur_eq,spg_int_carbon)))</f>
        <v>1.255448232589</v>
      </c>
      <c r="E546" s="51" t="inlineStr">
        <is>
          <t xml:space="preserve">The shortest of the carbon bound, the lag O₂ bound (or the legacy guard D89 when the lag DO target is unreachable), the H₂-screen interval (D563) and the lag pH ceiling (D561), on the basis of D91. #N/A when no interval holds the lag pH under the ceiling. Equals D91 when Summary D12 is Lag.</t>
        </is>
      </c>
    </row>
    <row r="547">
      <c r="A547" s="18" t="inlineStr">
        <is>
          <t xml:space="preserve">Start-up interval (as run)</t>
        </is>
      </c>
      <c r="B547" s="19" t="inlineStr">
        <is>
          <t xml:space="preserve">spg_int_su_run</t>
        </is>
      </c>
      <c r="C547" s="20" t="inlineStr">
        <is>
          <t xml:space="preserve">min</t>
        </is>
      </c>
      <c r="D547" s="41">
        <f>IF(FLOOR(spg_int_su_opt*spg_dur_eq/spg_dur_eq_opt,interval_res)*60&gt;spg_dur,FLOOR(spg_int_su_opt*spg_dur_eq/spg_dur_eq_opt,interval_res),NA())</f>
        <v>1.21</v>
      </c>
      <c r="E547" s="51" t="inlineStr">
        <is>
          <t xml:space="preserve">Rounded down to the command resolution for the pulse in use, as D420; #N/A if no gap is left.</t>
        </is>
      </c>
    </row>
    <row r="548">
      <c r="A548" s="18" t="inlineStr">
        <is>
          <t xml:space="preserve">Start-up binding constraint</t>
        </is>
      </c>
      <c r="B548" s="19" t="inlineStr">
        <is>
          <t xml:space="preserve">su_binding</t>
        </is>
      </c>
      <c r="C548" s="20" t="inlineStr">
        <is>
          <t xml:space="preserve">-</t>
        </is>
      </c>
      <c r="D548" s="41" t="str">
        <f>IF(ph_unreach_l,"pH ceiling unreachable in lag",IF(spg_int_su_opt=IF(ISNUMBER(spg_int_H2safe_opt),spg_int_H2safe_opt,spg_int_carbon),"the H₂ flammability screen (Biology D92)",IF(spg_int_su_opt=IF(ISNUMBER(spg_int_pH_l),spg_int_pH_l*spg_dur_eq_opt/spg_dur_eq,spg_int_carbon),"the pH ceiling (lag)",IF(spg_int_su_opt=spg_int_carbon,"carbon supply",IF(ISNUMBER(spg_int_DO_l),"lag O₂ dilution","the legacy O₂ flush guard (lag DO target unreachable)")))))</f>
        <v>the legacy O₂ flush guard (lag DO target unreachable)</v>
      </c>
      <c r="E548" s="51" t="inlineStr">
        <is>
          <t xml:space="preserve">Which bound sets the start-up interval.</t>
        </is>
      </c>
    </row>
    <row r="549">
      <c r="A549" s="18" t="inlineStr">
        <is>
          <t xml:space="preserve">Gap between pulses — start-up</t>
        </is>
      </c>
      <c r="B549" s="19" t="inlineStr">
        <is>
          <t xml:space="preserve">t_gap_su_h</t>
        </is>
      </c>
      <c r="C549" s="20" t="inlineStr">
        <is>
          <t xml:space="preserve">h</t>
        </is>
      </c>
      <c r="D549" s="41">
        <f>MAX(0,spg_int_su_run*60-spg_dur)/3600</f>
        <v>0.019986111111</v>
      </c>
      <c r="E549" s="51" t="inlineStr">
        <is>
          <t xml:space="preserve">As D325 at the start-up interval.</t>
        </is>
      </c>
    </row>
    <row r="550">
      <c r="A550" s="18" t="inlineStr">
        <is>
          <t xml:space="preserve">Headspace turnovers per gap — start-up</t>
        </is>
      </c>
      <c r="B550" s="19" t="inlineStr">
        <is>
          <t xml:space="preserve">x_su</t>
        </is>
      </c>
      <c r="C550" s="20" t="inlineStr">
        <is>
          <t xml:space="preserve">-</t>
        </is>
      </c>
      <c r="D550" s="41">
        <f>F_gap_l*t_gap_su_h/n_hs_gas</f>
        <v>0.035940779</v>
      </c>
      <c r="E550" s="51" t="inlineStr">
        <is>
          <t xml:space="preserve">As D354.</t>
        </is>
      </c>
    </row>
    <row r="551">
      <c r="A551" s="18" t="inlineStr">
        <is>
          <t xml:space="preserve">Φ(x) — start-up</t>
        </is>
      </c>
      <c r="B551" s="19" t="inlineStr">
        <is>
          <t xml:space="preserve">phi_su</t>
        </is>
      </c>
      <c r="C551" s="20" t="inlineStr">
        <is>
          <t xml:space="preserve">-</t>
        </is>
      </c>
      <c r="D551" s="41">
        <f>IF(x_su&gt;0,(1-EXP(-x_su))/x_su,1)</f>
        <v>0.982242979832</v>
      </c>
      <c r="E551" s="51" t="inlineStr">
        <is>
          <t xml:space="preserve">As D355.</t>
        </is>
      </c>
    </row>
    <row r="552">
      <c r="A552" s="18" t="inlineStr">
        <is>
          <t xml:space="preserve">Ψ(x) — start-up</t>
        </is>
      </c>
      <c r="B552" s="19" t="inlineStr">
        <is>
          <t xml:space="preserve">psi_su</t>
        </is>
      </c>
      <c r="C552" s="20" t="inlineStr">
        <is>
          <t xml:space="preserve">-</t>
        </is>
      </c>
      <c r="D552" s="41">
        <f>IF(x_su&gt;0,(x_su-1+EXP(-x_su))/x_su^2,1/2)</f>
        <v>0.494063308071</v>
      </c>
      <c r="E552" s="51" t="inlineStr">
        <is>
          <t xml:space="preserve">As D356.</t>
        </is>
      </c>
    </row>
    <row r="553">
      <c r="A553" s="18" t="inlineStr">
        <is>
          <t xml:space="preserve">O₂ rise per gap, undiluted — start-up</t>
        </is>
      </c>
      <c r="B553" s="19" t="inlineStr">
        <is>
          <t xml:space="preserve">dy_O2_su</t>
        </is>
      </c>
      <c r="C553" s="20" t="inlineStr">
        <is>
          <t xml:space="preserve">-</t>
        </is>
      </c>
      <c r="D553" s="41">
        <f>S_O2_l*t_gap_su_h/n_hs_gas</f>
        <v>0.011040074343</v>
      </c>
      <c r="E553" s="51" t="inlineStr">
        <is>
          <t xml:space="preserve">As D357.</t>
        </is>
      </c>
    </row>
    <row r="554">
      <c r="A554" s="18" t="inlineStr">
        <is>
          <t xml:space="preserve">Headspace O₂ just before a pulse — start-up</t>
        </is>
      </c>
      <c r="B554" s="19" t="inlineStr">
        <is>
          <t xml:space="preserve">y_O2_end_su</t>
        </is>
      </c>
      <c r="C554" s="20" t="inlineStr">
        <is>
          <t xml:space="preserve">-</t>
        </is>
      </c>
      <c r="D554" s="41">
        <f>dy_O2_su*phi_su/(1-flush_ret*EXP(-x_su))</f>
        <v>0.016702620853</v>
      </c>
      <c r="E554" s="51" t="inlineStr">
        <is>
          <t xml:space="preserve">As D358.</t>
        </is>
      </c>
    </row>
    <row r="555">
      <c r="A555" s="18" t="inlineStr">
        <is>
          <t xml:space="preserve">Time-mean headspace O₂ — start-up</t>
        </is>
      </c>
      <c r="B555" s="19" t="inlineStr">
        <is>
          <t xml:space="preserve">y_O2_avg_su</t>
        </is>
      </c>
      <c r="C555" s="20" t="inlineStr">
        <is>
          <t xml:space="preserve">-</t>
        </is>
      </c>
      <c r="D555" s="41">
        <f>y_O2_end_su*flush_ret*phi_su+dy_O2_su*psi_su</f>
        <v>0.011419634754</v>
      </c>
      <c r="E555" s="51" t="inlineStr">
        <is>
          <t xml:space="preserve">As D360.</t>
        </is>
      </c>
    </row>
    <row r="556">
      <c r="A556" s="18" t="inlineStr">
        <is>
          <t xml:space="preserve">Cycle-mean DO — start-up (mg/L)</t>
        </is>
      </c>
      <c r="B556" s="19" t="inlineStr">
        <is>
          <t xml:space="preserve">DO_avg_su_mgL</t>
        </is>
      </c>
      <c r="C556" s="20" t="inlineStr">
        <is>
          <t xml:space="preserve">mg/L</t>
        </is>
      </c>
      <c r="D556" s="41">
        <f>(DO_surf_excess_lag+H_O2_T*P_dry*y_O2_avg_su)*M_O2</f>
        <v>4.090403518227</v>
      </c>
      <c r="E556" s="51" t="inlineStr">
        <is>
          <t xml:space="preserve">As D364 at the start-up interval.</t>
        </is>
      </c>
    </row>
    <row r="557">
      <c r="A557" s="18" t="inlineStr">
        <is>
          <t xml:space="preserve">Peak DO — start-up (mg/L)</t>
        </is>
      </c>
      <c r="B557" s="19" t="inlineStr">
        <is>
          <t xml:space="preserve">DO_peak_su_mgL</t>
        </is>
      </c>
      <c r="C557" s="20" t="inlineStr">
        <is>
          <t xml:space="preserve">mg/L</t>
        </is>
      </c>
      <c r="D557" s="41">
        <f>(DO_surf_excess_lag+H_O2_T*P_dry*MAX(y_O2_avg_su,y_O2_end_su-(S_O2_l-F_gap_l*y_O2_end_su)/n_hs_gas*tau_L_h))*M_O2</f>
        <v>4.090403518227</v>
      </c>
      <c r="E557" s="51" t="inlineStr">
        <is>
          <t xml:space="preserve">As D365 at the start-up interval.</t>
        </is>
      </c>
    </row>
    <row r="558">
      <c r="A558" s="18" t="inlineStr">
        <is>
          <t xml:space="preserve">Headspace H₂ just before a pulse — start-up</t>
        </is>
      </c>
      <c r="B558" s="19" t="inlineStr">
        <is>
          <t xml:space="preserve">y_H2_end_su</t>
        </is>
      </c>
      <c r="C558" s="20" t="inlineStr">
        <is>
          <t xml:space="preserve">-</t>
        </is>
      </c>
      <c r="D558" s="41">
        <f>H2_src_l*t_gap_su_h/n_hs_gas*phi_su/(1-flush_ret*EXP(-x_su))</f>
        <v>0.029078582503</v>
      </c>
      <c r="E558" s="51" t="inlineStr">
        <is>
          <t xml:space="preserve">As D388 at the start-up interval.</t>
        </is>
      </c>
    </row>
    <row r="560">
      <c r="A560" s="18" t="inlineStr">
        <is>
          <t xml:space="preserve">Pool decay rate through the vent — lag</t>
        </is>
      </c>
      <c r="B560" s="19" t="inlineStr">
        <is>
          <t xml:space="preserve">k_eff_CO2_l</t>
        </is>
      </c>
      <c r="C560" s="20" t="inlineStr">
        <is>
          <t xml:space="preserve">1/s</t>
        </is>
      </c>
      <c r="D560" s="41">
        <f>F_gap_l/3600/n_hs_gas*Vg_CO2/(V_L_CO2+Vg_CO2)</f>
        <v>7.262815603722e-05</v>
      </c>
      <c r="E560" s="51" t="inlineStr">
        <is>
          <t xml:space="preserve">As D195 on the lag gas flow (F_gap_l, D353), for the lag columns L–S of the interval grid.</t>
        </is>
      </c>
    </row>
    <row r="561">
      <c r="A561" s="18" t="inlineStr">
        <is>
          <t xml:space="preserve">pH-ceiling interval — lag (pulse in use)</t>
        </is>
      </c>
      <c r="B561" s="19" t="inlineStr">
        <is>
          <t xml:space="preserve">spg_int_pH_l</t>
        </is>
      </c>
      <c r="C561" s="20" t="inlineStr">
        <is>
          <t xml:space="preserve">min</t>
        </is>
      </c>
      <c r="D561" s="41">
        <f>IF(CO2_pH_hi_mt&lt;=0,"no pH bound",IF(INDEX(pHg_C_l,1)&lt;CO2_pH_hi_mt,"pH above the band ceiling at any interval in lag",IF(MAX(pHg_x_l)&gt;0,MAX(pHg_x_l),"no pH bound")))</f>
        <v>613.957173300919</v>
      </c>
      <c r="E561" s="51" t="inlineStr">
        <is>
          <t xml:space="preserve">As D432 on the lag phase (no fixation, lag gas flow).</t>
        </is>
      </c>
    </row>
    <row r="562">
      <c r="A562" s="18" t="inlineStr">
        <is>
          <t xml:space="preserve">pH ceiling unreachable in lag?</t>
        </is>
      </c>
      <c r="B562" s="19" t="inlineStr">
        <is>
          <t xml:space="preserve">ph_unreach_l</t>
        </is>
      </c>
      <c r="C562" s="20" t="inlineStr">
        <is>
          <t xml:space="preserve">-</t>
        </is>
      </c>
      <c r="D562" s="41" t="b">
        <f>AND(CO2_pH_hi_mt&gt;0,INDEX(pHg_C_l,1)&lt;CO2_pH_hi_mt)</f>
        <v>0</v>
      </c>
      <c r="E562" s="51" t="inlineStr">
        <is>
          <t xml:space="preserve">As D434 on the lag phase; TRUE = no executable start-up schedule.</t>
        </is>
      </c>
    </row>
    <row r="563">
      <c r="A563" s="18" t="inlineStr">
        <is>
          <t xml:space="preserve">H₂-screen interval on the optimal-pulse basis</t>
        </is>
      </c>
      <c r="B563" s="19" t="inlineStr">
        <is>
          <t xml:space="preserve">spg_int_H2safe_opt</t>
        </is>
      </c>
      <c r="C563" s="20" t="inlineStr">
        <is>
          <t xml:space="preserve">min</t>
        </is>
      </c>
      <c r="D563" s="41">
        <f>IF(ISNUMBER(spg_int_H2safe_mt),spg_int_H2safe_mt*spg_dur_eq_opt/spg_dur_eq,"any interval")</f>
        <v>2.402446256223</v>
      </c>
      <c r="E563" s="51" t="inlineStr">
        <is>
          <t xml:space="preserve">D545 restated on the basis of D91, so D420 and D547 come back to it for the pulse in use.</t>
        </is>
      </c>
    </row>
    <row r="564">
      <c r="A564" s="18" t="inlineStr">
        <is>
          <t xml:space="preserve">Time-mean headspace H₂ — lag</t>
        </is>
      </c>
      <c r="B564" s="19" t="inlineStr">
        <is>
          <t xml:space="preserve">y_H2_avg_l</t>
        </is>
      </c>
      <c r="C564" s="20" t="inlineStr">
        <is>
          <t xml:space="preserve">-</t>
        </is>
      </c>
      <c r="D564" s="41">
        <f>y_H2_end_l*flush_ret*phi_hs_l+H2_src_l*t_gap_h/n_hs_gas*psi_hs_l</f>
        <v>0.101655502651</v>
      </c>
      <c r="E564" s="51" t="inlineStr">
        <is>
          <t xml:space="preserve">Exact time average of the lag H₂ sawtooth at the schedule in use (as D360 for O₂): the figure a time-weighted headspace measurement compares with. The mean-field fraction (D352) is the flux-weighted one.</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2"/>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inlineStr">
        <is>
          <t xml:space="preserve">Value in use: one least-squares fit of current against intensity over every included point for the active reactor (pooled, so a run with more points weighs more).</t>
        </is>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inlineStr">
        <is>
          <t xml:space="preserve">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is>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s">
        <v>1291</v>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inlineStr">
        <is>
          <t xml:space="preserve">Value in use - volume-equivalent depth (body volume ÷ A_x; not the physical depth)</t>
        </is>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inlineStr">
        <is>
          <t xml:space="preserve">Value in use: the most recent included measurement for the active reactor (the fitted frit is hardware, so the latest reading replaces older ones). A pore size outside the listed DURAN classes is reported in column E and not used.</t>
        </is>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IF(D81="","",IFERROR(IF((bp_const/D81)&gt;por_p0_hi,"above P0 – not a listed grade",IF((bp_const/D81)&gt;por_break_1,0,IF((bp_const/D81)&gt;por_break_2,1,IF((bp_const/D81)&gt;por_break_3,2,IF((bp_const/D81)&gt;por_break_4,3,IF((bp_const/D81)&gt;=por_break_5,4,IF(AND((bp_const/D81)&gt;=por_p5_lo,(bp_const/D81)&lt;=por_p5_hi),5,"between or below the listed grades – not used"))))))),""))</f>
        <v/>
      </c>
      <c r="F81" s="100" t="str">
        <f t="shared" ref="F81:F88" si="12">IFERROR(INDEX(ReactorTypeList,MATCH(C81,ReactorList,0)),"")</f>
        <v/>
      </c>
      <c r="G81" s="93"/>
      <c r="H81" s="93"/>
      <c r="I81" s="72"/>
      <c r="J81" s="72"/>
      <c r="K81" s="72"/>
      <c r="L81" s="72"/>
      <c r="M81" s="72"/>
    </row>
    <row r="82" spans="1:13" x14ac:dyDescent="0.2">
      <c r="A82" s="93"/>
      <c r="B82" s="94"/>
      <c r="C82" s="93"/>
      <c r="D82" s="94"/>
      <c r="E82" s="100" t="str">
        <f>IF(D82="","",IFERROR(IF((bp_const/D82)&gt;por_p0_hi,"above P0 – not a listed grade",IF((bp_const/D82)&gt;por_break_1,0,IF((bp_const/D82)&gt;por_break_2,1,IF((bp_const/D82)&gt;por_break_3,2,IF((bp_const/D82)&gt;por_break_4,3,IF((bp_const/D82)&gt;=por_break_5,4,IF(AND((bp_const/D82)&gt;=por_p5_lo,(bp_const/D82)&lt;=por_p5_hi),5,"between or below the listed grades – not used"))))))),""))</f>
        <v/>
      </c>
      <c r="F82" s="169" t="str">
        <f t="shared" si="12"/>
        <v/>
      </c>
      <c r="G82" s="93"/>
      <c r="H82" s="93"/>
      <c r="I82" s="72"/>
      <c r="J82" s="72"/>
      <c r="K82" s="72"/>
      <c r="L82" s="72"/>
      <c r="M82" s="72"/>
    </row>
    <row r="83" spans="1:13" x14ac:dyDescent="0.2">
      <c r="A83" s="93"/>
      <c r="B83" s="94"/>
      <c r="C83" s="93"/>
      <c r="D83" s="94"/>
      <c r="E83" s="100" t="str">
        <f>IF(D83="","",IFERROR(IF((bp_const/D83)&gt;por_p0_hi,"above P0 – not a listed grade",IF((bp_const/D83)&gt;por_break_1,0,IF((bp_const/D83)&gt;por_break_2,1,IF((bp_const/D83)&gt;por_break_3,2,IF((bp_const/D83)&gt;por_break_4,3,IF((bp_const/D83)&gt;=por_break_5,4,IF(AND((bp_const/D83)&gt;=por_p5_lo,(bp_const/D83)&lt;=por_p5_hi),5,"between or below the listed grades – not used"))))))),""))</f>
        <v/>
      </c>
      <c r="F83" s="169" t="str">
        <f t="shared" si="12"/>
        <v/>
      </c>
      <c r="G83" s="93"/>
      <c r="H83" s="93"/>
      <c r="I83" s="72"/>
      <c r="J83" s="72"/>
      <c r="K83" s="72"/>
      <c r="L83" s="72"/>
      <c r="M83" s="72"/>
    </row>
    <row r="84" spans="1:13" x14ac:dyDescent="0.2">
      <c r="A84" s="93"/>
      <c r="B84" s="94"/>
      <c r="C84" s="93"/>
      <c r="D84" s="94"/>
      <c r="E84" s="100" t="str">
        <f>IF(D84="","",IFERROR(IF((bp_const/D84)&gt;por_p0_hi,"above P0 – not a listed grade",IF((bp_const/D84)&gt;por_break_1,0,IF((bp_const/D84)&gt;por_break_2,1,IF((bp_const/D84)&gt;por_break_3,2,IF((bp_const/D84)&gt;por_break_4,3,IF((bp_const/D84)&gt;=por_break_5,4,IF(AND((bp_const/D84)&gt;=por_p5_lo,(bp_const/D84)&lt;=por_p5_hi),5,"between or below the listed grades – not used"))))))),""))</f>
        <v/>
      </c>
      <c r="F84" s="169" t="str">
        <f t="shared" si="12"/>
        <v/>
      </c>
      <c r="G84" s="93"/>
      <c r="H84" s="93"/>
      <c r="I84" s="72"/>
      <c r="J84" s="72"/>
      <c r="K84" s="72"/>
      <c r="L84" s="72"/>
      <c r="M84" s="72"/>
    </row>
    <row r="85" spans="1:13" x14ac:dyDescent="0.2">
      <c r="A85" s="93"/>
      <c r="B85" s="94"/>
      <c r="C85" s="93"/>
      <c r="D85" s="94"/>
      <c r="E85" s="100" t="str">
        <f>IF(D85="","",IFERROR(IF((bp_const/D85)&gt;por_p0_hi,"above P0 – not a listed grade",IF((bp_const/D85)&gt;por_break_1,0,IF((bp_const/D85)&gt;por_break_2,1,IF((bp_const/D85)&gt;por_break_3,2,IF((bp_const/D85)&gt;por_break_4,3,IF((bp_const/D85)&gt;=por_break_5,4,IF(AND((bp_const/D85)&gt;=por_p5_lo,(bp_const/D85)&lt;=por_p5_hi),5,"between or below the listed grades – not used"))))))),""))</f>
        <v/>
      </c>
      <c r="F85" s="169" t="str">
        <f t="shared" si="12"/>
        <v/>
      </c>
      <c r="G85" s="93"/>
      <c r="H85" s="93"/>
      <c r="I85" s="72"/>
      <c r="J85" s="72"/>
      <c r="K85" s="72"/>
      <c r="L85" s="72"/>
      <c r="M85" s="72"/>
    </row>
    <row r="86" spans="1:13" x14ac:dyDescent="0.2">
      <c r="A86" s="93"/>
      <c r="B86" s="94"/>
      <c r="C86" s="93"/>
      <c r="D86" s="94"/>
      <c r="E86" s="100" t="str">
        <f>IF(D86="","",IFERROR(IF((bp_const/D86)&gt;por_p0_hi,"above P0 – not a listed grade",IF((bp_const/D86)&gt;por_break_1,0,IF((bp_const/D86)&gt;por_break_2,1,IF((bp_const/D86)&gt;por_break_3,2,IF((bp_const/D86)&gt;por_break_4,3,IF((bp_const/D86)&gt;=por_break_5,4,IF(AND((bp_const/D86)&gt;=por_p5_lo,(bp_const/D86)&lt;=por_p5_hi),5,"between or below the listed grades – not used"))))))),""))</f>
        <v/>
      </c>
      <c r="F86" s="100" t="str">
        <f t="shared" si="12"/>
        <v/>
      </c>
      <c r="G86" s="93"/>
      <c r="H86" s="93"/>
      <c r="I86" s="72"/>
      <c r="J86" s="72"/>
      <c r="K86" s="72"/>
      <c r="L86" s="72"/>
      <c r="M86" s="72"/>
    </row>
    <row r="87" spans="1:13" x14ac:dyDescent="0.2">
      <c r="A87" s="93"/>
      <c r="B87" s="94"/>
      <c r="C87" s="93"/>
      <c r="D87" s="94"/>
      <c r="E87" s="100" t="str">
        <f>IF(D87="","",IFERROR(IF((bp_const/D87)&gt;por_p0_hi,"above P0 – not a listed grade",IF((bp_const/D87)&gt;por_break_1,0,IF((bp_const/D87)&gt;por_break_2,1,IF((bp_const/D87)&gt;por_break_3,2,IF((bp_const/D87)&gt;por_break_4,3,IF((bp_const/D87)&gt;=por_break_5,4,IF(AND((bp_const/D87)&gt;=por_p5_lo,(bp_const/D87)&lt;=por_p5_hi),5,"between or below the listed grades – not used"))))))),""))</f>
        <v/>
      </c>
      <c r="F87" s="100" t="str">
        <f t="shared" si="12"/>
        <v/>
      </c>
      <c r="G87" s="93"/>
      <c r="H87" s="93"/>
      <c r="I87" s="72"/>
      <c r="J87" s="72"/>
      <c r="K87" s="72"/>
      <c r="L87" s="72"/>
      <c r="M87" s="72"/>
    </row>
    <row r="88" spans="1:13" x14ac:dyDescent="0.2">
      <c r="A88" s="93"/>
      <c r="B88" s="94"/>
      <c r="C88" s="93"/>
      <c r="D88" s="94"/>
      <c r="E88" s="100" t="str">
        <f>IF(D88="","",IFERROR(IF((bp_const/D88)&gt;por_p0_hi,"above P0 – not a listed grade",IF((bp_const/D88)&gt;por_break_1,0,IF((bp_const/D88)&gt;por_break_2,1,IF((bp_const/D88)&gt;por_break_3,2,IF((bp_const/D88)&gt;por_break_4,3,IF((bp_const/D88)&gt;=por_break_5,4,IF(AND((bp_const/D88)&gt;=por_p5_lo,(bp_const/D88)&lt;=por_p5_hi),5,"between or below the listed grades – not used"))))))),""))</f>
        <v/>
      </c>
      <c r="F88" s="100" t="str">
        <f t="shared" si="12"/>
        <v/>
      </c>
      <c r="G88" s="93"/>
      <c r="H88" s="93"/>
      <c r="I88" s="72"/>
      <c r="J88" s="72"/>
      <c r="K88" s="72"/>
      <c r="L88" s="72"/>
      <c r="M88" s="72"/>
    </row>
    <row r="89" spans="1:13" x14ac:dyDescent="0.2">
      <c r="A89" s="96" t="s">
        <v>1297</v>
      </c>
      <c r="B89" s="72"/>
      <c r="C89" s="97" t="s">
        <v>491</v>
      </c>
      <c r="D89" s="95" t="str">
        <f>IFERROR(AVERAGEIFS(E81:E88,C81:C88,Reactor_sel,G81:G88,"y",B81:B88,SUMPRODUCT(MAX((C81:C88=Reactor_sel)*(G81:G88="y")*B81:B88))),"no included runs — model uses its default")</f>
        <v>no included runs — model uses its default</v>
      </c>
      <c r="E89" s="72"/>
      <c r="F89" s="72"/>
      <c r="G89" s="72"/>
      <c r="H89" s="72"/>
      <c r="I89" s="72"/>
      <c r="J89" s="72"/>
      <c r="K89" s="72"/>
      <c r="L89" s="72"/>
      <c r="M89" s="72"/>
    </row>
    <row r="90" spans="1:13" x14ac:dyDescent="0.2">
      <c r="A90" s="72"/>
      <c r="B90" s="72"/>
      <c r="C90" s="72"/>
      <c r="D90" s="72"/>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inlineStr">
        <is>
          <t xml:space="preserve">Value in use: each included run is reduced to O₂ per H₂ and CO₂ per H₂ (columns I–J), the ratios are averaged over the included runs for the active organism, and the model takes them on an H₂ basis of knall_H2_basis (D199), so a run’s size does not weight the result.</t>
        </is>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99" t="inlineStr">
        <is>
          <t xml:space="preserve">O₂ per H₂ (computed)</t>
        </is>
      </c>
      <c r="J111" s="99" t="inlineStr">
        <is>
          <t xml:space="preserve">CO₂ per H₂ (computed)</t>
        </is>
      </c>
      <c r="K111" s="72"/>
      <c r="L111" s="72"/>
      <c r="M111" s="72"/>
    </row>
    <row r="112" spans="1:13" x14ac:dyDescent="0.2">
      <c r="A112" s="93"/>
      <c r="B112" s="94"/>
      <c r="C112" s="93"/>
      <c r="D112" s="94"/>
      <c r="E112" s="94"/>
      <c r="F112" s="94"/>
      <c r="G112" s="93"/>
      <c r="H112" s="93"/>
      <c r="I112" s="94" t="str">
        <f>IF(OR(D112="",E112=""),"",IFERROR(IF(D112&gt;0,E112/D112,""),""))</f>
        <v/>
      </c>
      <c r="J112" s="94" t="str">
        <f>IF(OR(D112="",F112=""),"",IFERROR(IF(D112&gt;0,F112/D112,""),""))</f>
        <v/>
      </c>
      <c r="K112" s="72"/>
      <c r="L112" s="72"/>
      <c r="M112" s="72"/>
    </row>
    <row r="113" spans="1:13" x14ac:dyDescent="0.2">
      <c r="A113" s="93"/>
      <c r="B113" s="94"/>
      <c r="C113" s="93"/>
      <c r="D113" s="94"/>
      <c r="E113" s="94"/>
      <c r="F113" s="94"/>
      <c r="G113" s="93"/>
      <c r="H113" s="93"/>
      <c r="I113" s="94" t="str">
        <f>IF(OR(D113="",E113=""),"",IFERROR(IF(D113&gt;0,E113/D113,""),""))</f>
        <v/>
      </c>
      <c r="J113" s="94" t="str">
        <f>IF(OR(D113="",F113=""),"",IFERROR(IF(D113&gt;0,F113/D113,""),""))</f>
        <v/>
      </c>
      <c r="K113" s="72"/>
      <c r="L113" s="72"/>
      <c r="M113" s="72"/>
    </row>
    <row r="114" spans="1:13" x14ac:dyDescent="0.2">
      <c r="A114" s="93"/>
      <c r="B114" s="94"/>
      <c r="C114" s="93"/>
      <c r="D114" s="94"/>
      <c r="E114" s="94"/>
      <c r="F114" s="94"/>
      <c r="G114" s="93"/>
      <c r="H114" s="93"/>
      <c r="I114" s="94" t="str">
        <f>IF(OR(D114="",E114=""),"",IFERROR(IF(D114&gt;0,E114/D114,""),""))</f>
        <v/>
      </c>
      <c r="J114" s="94" t="str">
        <f>IF(OR(D114="",F114=""),"",IFERROR(IF(D114&gt;0,F114/D114,""),""))</f>
        <v/>
      </c>
      <c r="K114" s="72"/>
      <c r="L114" s="72"/>
      <c r="M114" s="72"/>
    </row>
    <row r="115" spans="1:13" x14ac:dyDescent="0.2">
      <c r="A115" s="93"/>
      <c r="B115" s="94"/>
      <c r="C115" s="93"/>
      <c r="D115" s="94"/>
      <c r="E115" s="94"/>
      <c r="F115" s="94"/>
      <c r="G115" s="93"/>
      <c r="H115" s="93"/>
      <c r="I115" s="94" t="str">
        <f>IF(OR(D115="",E115=""),"",IFERROR(IF(D115&gt;0,E115/D115,""),""))</f>
        <v/>
      </c>
      <c r="J115" s="94" t="str">
        <f>IF(OR(D115="",F115=""),"",IFERROR(IF(D115&gt;0,F115/D115,""),""))</f>
        <v/>
      </c>
      <c r="K115" s="72"/>
      <c r="L115" s="72"/>
      <c r="M115" s="72"/>
    </row>
    <row r="116" spans="1:13" x14ac:dyDescent="0.2">
      <c r="A116" s="93"/>
      <c r="B116" s="94"/>
      <c r="C116" s="93"/>
      <c r="D116" s="94"/>
      <c r="E116" s="94"/>
      <c r="F116" s="94"/>
      <c r="G116" s="93"/>
      <c r="H116" s="93"/>
      <c r="I116" s="94" t="str">
        <f>IF(OR(D116="",E116=""),"",IFERROR(IF(D116&gt;0,E116/D116,""),""))</f>
        <v/>
      </c>
      <c r="J116" s="94" t="str">
        <f>IF(OR(D116="",F116=""),"",IFERROR(IF(D116&gt;0,F116/D116,""),""))</f>
        <v/>
      </c>
      <c r="K116" s="72"/>
      <c r="L116" s="72"/>
      <c r="M116" s="72"/>
    </row>
    <row r="117" spans="1:13" x14ac:dyDescent="0.2">
      <c r="A117" s="93"/>
      <c r="B117" s="94"/>
      <c r="C117" s="93"/>
      <c r="D117" s="94"/>
      <c r="E117" s="94"/>
      <c r="F117" s="94"/>
      <c r="G117" s="93"/>
      <c r="H117" s="93"/>
      <c r="I117" s="94" t="str">
        <f>IF(OR(D117="",E117=""),"",IFERROR(IF(D117&gt;0,E117/D117,""),""))</f>
        <v/>
      </c>
      <c r="J117" s="94" t="str">
        <f>IF(OR(D117="",F117=""),"",IFERROR(IF(D117&gt;0,F117/D117,""),""))</f>
        <v/>
      </c>
      <c r="K117" s="72"/>
      <c r="L117" s="72"/>
      <c r="M117" s="72"/>
    </row>
    <row r="118" spans="1:13" x14ac:dyDescent="0.2">
      <c r="A118" s="93"/>
      <c r="B118" s="94"/>
      <c r="C118" s="93"/>
      <c r="D118" s="94"/>
      <c r="E118" s="94"/>
      <c r="F118" s="94"/>
      <c r="G118" s="93"/>
      <c r="H118" s="93"/>
      <c r="I118" s="94" t="str">
        <f>IF(OR(D118="",E118=""),"",IFERROR(IF(D118&gt;0,E118/D118,""),""))</f>
        <v/>
      </c>
      <c r="J118" s="94" t="str">
        <f>IF(OR(D118="",F118=""),"",IFERROR(IF(D118&gt;0,F118/D118,""),""))</f>
        <v/>
      </c>
      <c r="K118" s="72"/>
      <c r="L118" s="72"/>
      <c r="M118" s="72"/>
    </row>
    <row r="119" spans="1:13" x14ac:dyDescent="0.2">
      <c r="A119" s="93"/>
      <c r="B119" s="94"/>
      <c r="C119" s="93"/>
      <c r="D119" s="94"/>
      <c r="E119" s="94"/>
      <c r="F119" s="94"/>
      <c r="G119" s="93"/>
      <c r="H119" s="93"/>
      <c r="I119" s="94" t="str">
        <f>IF(OR(D119="",E119=""),"",IFERROR(IF(D119&gt;0,E119/D119,""),""))</f>
        <v/>
      </c>
      <c r="J119" s="94" t="str">
        <f>IF(OR(D119="",F119=""),"",IFERROR(IF(D119&gt;0,F119/D119,""),""))</f>
        <v/>
      </c>
      <c r="K119" s="72"/>
      <c r="L119" s="72"/>
      <c r="M119" s="72"/>
    </row>
    <row r="120" spans="1:13" x14ac:dyDescent="0.2">
      <c r="A120" s="96" t="s">
        <v>1311</v>
      </c>
      <c r="B120" s="72"/>
      <c r="C120" s="97" t="s">
        <v>1312</v>
      </c>
      <c r="D120" s="95" t="str">
        <f>IF(AND(ISNUMBER(cal_knall_O2),ISNUMBER(cal_knall_CO2)),knall_H2_basis,"no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IFERROR(knall_H2_basis*AVERAGEIFS(I112:I119,C112:C119,organism_sel,G112:G119,"y"),"no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IFERROR(knall_H2_basis*AVERAGEIFS(J112:J119,C112:C119,organism_sel,G112:G119,"y"),"no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c r="A139" s="98" t="str">
        <f>HYPERLINK("https://github.com/amy-bo/electroPioreactor/blob/AEP02/Media/protocols/electrode-mass-transfer.md","ELECTRODE MASS TRANSFER  (ferricyanide limiting current)")</f>
        <v>ELECTRODE MASS TRANSFER  (ferricyanide limiting current)</v>
      </c>
    </row>
    <row r="140">
      <c r="A140" s="72"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141">
      <c r="A141" s="99" t="inlineStr">
        <is>
          <t xml:space="preserve">Researcher</t>
        </is>
      </c>
      <c r="B141" s="99" t="inlineStr">
        <is>
          <t xml:space="preserve">Date</t>
        </is>
      </c>
      <c r="C141" s="99" t="inlineStr">
        <is>
          <t xml:space="preserve">Reactor</t>
        </is>
      </c>
      <c r="D141" s="99" t="inlineStr">
        <is>
          <t xml:space="preserve">Electrode (Summary D3 list)</t>
        </is>
      </c>
      <c r="E141" s="99" t="inlineStr">
        <is>
          <t xml:space="preserve">Stir rate (rpm)</t>
        </is>
      </c>
      <c r="F141" s="99" t="inlineStr">
        <is>
          <t xml:space="preserve">Temp (°C)</t>
        </is>
      </c>
      <c r="G141" s="99" t="inlineStr">
        <is>
          <t xml:space="preserve">Limiting current (mA)</t>
        </is>
      </c>
      <c r="H141" s="99" t="inlineStr">
        <is>
          <t xml:space="preserve">Electrode area (cm²)</t>
        </is>
      </c>
      <c r="I141" s="99" t="inlineStr">
        <is>
          <t xml:space="preserve">Ferricyanide (mM)</t>
        </is>
      </c>
      <c r="J141" s="99" t="inlineStr">
        <is>
          <t xml:space="preserve">D ferricyanide (m²/s)</t>
        </is>
      </c>
      <c r="K141" s="99" t="inlineStr">
        <is>
          <t xml:space="preserve">k_m ferricyanide (computed, cm/s)</t>
        </is>
      </c>
      <c r="L141" s="99" t="inlineStr">
        <is>
          <t xml:space="preserve">k_m O₂ (computed, cm/s)</t>
        </is>
      </c>
      <c r="M141" s="99" t="inlineStr">
        <is>
          <t xml:space="preserve">Type (auto)</t>
        </is>
      </c>
      <c r="N141" s="99" t="inlineStr">
        <is>
          <t xml:space="preserve">Include?</t>
        </is>
      </c>
      <c r="O141" s="99" t="inlineStr">
        <is>
          <t xml:space="preserve">Notes</t>
        </is>
      </c>
    </row>
    <row r="142">
      <c r="A142" s="93"/>
      <c r="B142" s="94"/>
      <c r="C142" s="93"/>
      <c r="D142" s="93"/>
      <c r="E142" s="94"/>
      <c r="F142" s="94"/>
      <c r="G142" s="94"/>
      <c r="H142" s="94"/>
      <c r="I142" s="94"/>
      <c r="J142" s="94"/>
      <c r="K142" s="100" t="str">
        <f>IF(OR(G142="",H142="",I142=""),"",IFERROR((G142/1000)/(n_e_fcn*F_const*(H142/10000)*I142)*100,""))</f>
        <v/>
      </c>
      <c r="L142" s="100" t="str">
        <f>IF(OR(K142="",J142=""),"",IFERROR(K142*(D_O2/J142)^km_exp,""))</f>
        <v/>
      </c>
      <c r="M142" s="100" t="str">
        <f>IFERROR(INDEX(ReactorTypeList,MATCH(C142,ReactorList,0)),"")</f>
        <v/>
      </c>
      <c r="N142" s="93"/>
      <c r="O142" s="93"/>
    </row>
    <row r="143">
      <c r="A143" s="93"/>
      <c r="B143" s="94"/>
      <c r="C143" s="93"/>
      <c r="D143" s="93"/>
      <c r="E143" s="94"/>
      <c r="F143" s="94"/>
      <c r="G143" s="94"/>
      <c r="H143" s="94"/>
      <c r="I143" s="94"/>
      <c r="J143" s="94"/>
      <c r="K143" s="100" t="str">
        <f>IF(OR(G143="",H143="",I143=""),"",IFERROR((G143/1000)/(n_e_fcn*F_const*(H143/10000)*I143)*100,""))</f>
        <v/>
      </c>
      <c r="L143" s="100" t="str">
        <f>IF(OR(K143="",J143=""),"",IFERROR(K143*(D_O2/J143)^km_exp,""))</f>
        <v/>
      </c>
      <c r="M143" s="100" t="str">
        <f>IFERROR(INDEX(ReactorTypeList,MATCH(C143,ReactorList,0)),"")</f>
        <v/>
      </c>
      <c r="N143" s="93"/>
      <c r="O143" s="93"/>
    </row>
    <row r="144">
      <c r="A144" s="93"/>
      <c r="B144" s="94"/>
      <c r="C144" s="93"/>
      <c r="D144" s="93"/>
      <c r="E144" s="94"/>
      <c r="F144" s="94"/>
      <c r="G144" s="94"/>
      <c r="H144" s="94"/>
      <c r="I144" s="94"/>
      <c r="J144" s="94"/>
      <c r="K144" s="100" t="str">
        <f>IF(OR(G144="",H144="",I144=""),"",IFERROR((G144/1000)/(n_e_fcn*F_const*(H144/10000)*I144)*100,""))</f>
        <v/>
      </c>
      <c r="L144" s="100" t="str">
        <f>IF(OR(K144="",J144=""),"",IFERROR(K144*(D_O2/J144)^km_exp,""))</f>
        <v/>
      </c>
      <c r="M144" s="100" t="str">
        <f>IFERROR(INDEX(ReactorTypeList,MATCH(C144,ReactorList,0)),"")</f>
        <v/>
      </c>
      <c r="N144" s="93"/>
      <c r="O144" s="93"/>
    </row>
    <row r="145">
      <c r="A145" s="93"/>
      <c r="B145" s="94"/>
      <c r="C145" s="93"/>
      <c r="D145" s="93"/>
      <c r="E145" s="94"/>
      <c r="F145" s="94"/>
      <c r="G145" s="94"/>
      <c r="H145" s="94"/>
      <c r="I145" s="94"/>
      <c r="J145" s="94"/>
      <c r="K145" s="100" t="str">
        <f>IF(OR(G145="",H145="",I145=""),"",IFERROR((G145/1000)/(n_e_fcn*F_const*(H145/10000)*I145)*100,""))</f>
        <v/>
      </c>
      <c r="L145" s="100" t="str">
        <f>IF(OR(K145="",J145=""),"",IFERROR(K145*(D_O2/J145)^km_exp,""))</f>
        <v/>
      </c>
      <c r="M145" s="100" t="str">
        <f>IFERROR(INDEX(ReactorTypeList,MATCH(C145,ReactorList,0)),"")</f>
        <v/>
      </c>
      <c r="N145" s="93"/>
      <c r="O145" s="93"/>
    </row>
    <row r="146">
      <c r="A146" s="93"/>
      <c r="B146" s="94"/>
      <c r="C146" s="93"/>
      <c r="D146" s="93"/>
      <c r="E146" s="94"/>
      <c r="F146" s="94"/>
      <c r="G146" s="94"/>
      <c r="H146" s="94"/>
      <c r="I146" s="94"/>
      <c r="J146" s="94"/>
      <c r="K146" s="100" t="str">
        <f>IF(OR(G146="",H146="",I146=""),"",IFERROR((G146/1000)/(n_e_fcn*F_const*(H146/10000)*I146)*100,""))</f>
        <v/>
      </c>
      <c r="L146" s="100" t="str">
        <f>IF(OR(K146="",J146=""),"",IFERROR(K146*(D_O2/J146)^km_exp,""))</f>
        <v/>
      </c>
      <c r="M146" s="100" t="str">
        <f>IFERROR(INDEX(ReactorTypeList,MATCH(C146,ReactorList,0)),"")</f>
        <v/>
      </c>
      <c r="N146" s="93"/>
      <c r="O146" s="93"/>
    </row>
    <row r="147">
      <c r="A147" s="93"/>
      <c r="B147" s="94"/>
      <c r="C147" s="93"/>
      <c r="D147" s="93"/>
      <c r="E147" s="94"/>
      <c r="F147" s="94"/>
      <c r="G147" s="94"/>
      <c r="H147" s="94"/>
      <c r="I147" s="94"/>
      <c r="J147" s="94"/>
      <c r="K147" s="100" t="str">
        <f>IF(OR(G147="",H147="",I147=""),"",IFERROR((G147/1000)/(n_e_fcn*F_const*(H147/10000)*I147)*100,""))</f>
        <v/>
      </c>
      <c r="L147" s="100" t="str">
        <f>IF(OR(K147="",J147=""),"",IFERROR(K147*(D_O2/J147)^km_exp,""))</f>
        <v/>
      </c>
      <c r="M147" s="100" t="str">
        <f>IFERROR(INDEX(ReactorTypeList,MATCH(C147,ReactorList,0)),"")</f>
        <v/>
      </c>
      <c r="N147" s="93"/>
      <c r="O147" s="93"/>
    </row>
    <row r="148">
      <c r="A148" s="93"/>
      <c r="B148" s="94"/>
      <c r="C148" s="93"/>
      <c r="D148" s="93"/>
      <c r="E148" s="94"/>
      <c r="F148" s="94"/>
      <c r="G148" s="94"/>
      <c r="H148" s="94"/>
      <c r="I148" s="94"/>
      <c r="J148" s="94"/>
      <c r="K148" s="100" t="str">
        <f>IF(OR(G148="",H148="",I148=""),"",IFERROR((G148/1000)/(n_e_fcn*F_const*(H148/10000)*I148)*100,""))</f>
        <v/>
      </c>
      <c r="L148" s="100" t="str">
        <f>IF(OR(K148="",J148=""),"",IFERROR(K148*(D_O2/J148)^km_exp,""))</f>
        <v/>
      </c>
      <c r="M148" s="100" t="str">
        <f>IFERROR(INDEX(ReactorTypeList,MATCH(C148,ReactorList,0)),"")</f>
        <v/>
      </c>
      <c r="N148" s="93"/>
      <c r="O148" s="93"/>
    </row>
    <row r="149">
      <c r="A149" s="93"/>
      <c r="B149" s="94"/>
      <c r="C149" s="93"/>
      <c r="D149" s="93"/>
      <c r="E149" s="94"/>
      <c r="F149" s="94"/>
      <c r="G149" s="94"/>
      <c r="H149" s="94"/>
      <c r="I149" s="94"/>
      <c r="J149" s="94"/>
      <c r="K149" s="100" t="str">
        <f>IF(OR(G149="",H149="",I149=""),"",IFERROR((G149/1000)/(n_e_fcn*F_const*(H149/10000)*I149)*100,""))</f>
        <v/>
      </c>
      <c r="L149" s="100" t="str">
        <f>IF(OR(K149="",J149=""),"",IFERROR(K149*(D_O2/J149)^km_exp,""))</f>
        <v/>
      </c>
      <c r="M149" s="100" t="str">
        <f>IFERROR(INDEX(ReactorTypeList,MATCH(C149,ReactorList,0)),"")</f>
        <v/>
      </c>
      <c r="N149" s="93"/>
      <c r="O149" s="93"/>
    </row>
    <row r="150">
      <c r="A150" s="96" t="inlineStr">
        <is>
          <t xml:space="preserve">Value in use - k_m O₂</t>
        </is>
      </c>
      <c r="C150" s="97" t="inlineStr">
        <is>
          <t xml:space="preserve">cm/s</t>
        </is>
      </c>
      <c r="D150" s="95" t="str">
        <f>IFERROR(AVERAGEIFS(L142:L149,C142:C149,Reactor_sel,D142:D149,electrode_sel,N142:N149,"y",E142:E149,stir_rpm_set,F142:F149,"&gt;="&amp;(temp_C-km_T_tol),F142:F149,"&lt;="&amp;(temp_C+km_T_tol)),"no included runs — model uses its default")</f>
        <v>no included runs — model uses its default</v>
      </c>
    </row>
    <row r="152">
      <c r="A152" s="98" t="str">
        <f>HYPERLINK("https://github.com/amy-bo/electroPioreactor/blob/AEP02/Media/protocols/chlorine-species.md","MONOCHLORAMINE LIFETIME  (DPD combined chlorine at plateau)")</f>
        <v>MONOCHLORAMINE LIFETIME  (DPD combined chlorine at plateau)</v>
      </c>
    </row>
    <row r="153">
      <c r="A153"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54">
      <c r="A154" s="99" t="inlineStr">
        <is>
          <t xml:space="preserve">Researcher</t>
        </is>
      </c>
      <c r="B154" s="99" t="inlineStr">
        <is>
          <t xml:space="preserve">Date</t>
        </is>
      </c>
      <c r="C154" s="99" t="inlineStr">
        <is>
          <t xml:space="preserve">Reactor</t>
        </is>
      </c>
      <c r="D154" s="99" t="inlineStr">
        <is>
          <t xml:space="preserve">Medium</t>
        </is>
      </c>
      <c r="E154" s="99" t="inlineStr">
        <is>
          <t xml:space="preserve">Combined chlorine plateau (mg/L as Cl₂)</t>
        </is>
      </c>
      <c r="F154" s="99" t="inlineStr">
        <is>
          <t xml:space="preserve">Chloride turnover k (1/s, Chemistry D271)</t>
        </is>
      </c>
      <c r="G154" s="99" t="inlineStr">
        <is>
          <t xml:space="preserve">Chloride pool C (mol/L, Chemistry D47)</t>
        </is>
      </c>
      <c r="H154" s="99" t="inlineStr">
        <is>
          <t xml:space="preserve">Max production P (mol/L/s, Chemistry D315)</t>
        </is>
      </c>
      <c r="I154" s="99" t="inlineStr">
        <is>
          <t xml:space="preserve">Lifetime (computed, h)</t>
        </is>
      </c>
      <c r="J154" s="99" t="inlineStr">
        <is>
          <t xml:space="preserve">Type (auto)</t>
        </is>
      </c>
      <c r="K154" s="99" t="inlineStr">
        <is>
          <t xml:space="preserve">Include?</t>
        </is>
      </c>
      <c r="L154" s="99" t="inlineStr">
        <is>
          <t xml:space="preserve">Notes</t>
        </is>
      </c>
    </row>
    <row r="155">
      <c r="A155" s="93"/>
      <c r="B155" s="94"/>
      <c r="C155" s="93"/>
      <c r="D155" s="93"/>
      <c r="E155" s="94"/>
      <c r="F155" s="94"/>
      <c r="G155" s="94"/>
      <c r="H155" s="94"/>
      <c r="I155" s="100" t="str">
        <f>IF(OR(E155="",F155="",G155="",H155=""),"",IF(E155/M_Cl2&gt;=G155,"not invertible: plateau at or above the chloride pool",IFERROR(MAX(E155/M_Cl2/(F155*(G155-E155/M_Cl2)),E155/M_Cl2/H155)/3600,"")))</f>
        <v/>
      </c>
      <c r="J155" s="100" t="str">
        <f>IFERROR(INDEX(ReactorTypeList,MATCH(C155,ReactorList,0)),"")</f>
        <v/>
      </c>
      <c r="K155" s="93"/>
      <c r="L155" s="93"/>
    </row>
    <row r="156">
      <c r="A156" s="93"/>
      <c r="B156" s="94"/>
      <c r="C156" s="93"/>
      <c r="D156" s="93"/>
      <c r="E156" s="94"/>
      <c r="F156" s="94"/>
      <c r="G156" s="94"/>
      <c r="H156" s="94"/>
      <c r="I156" s="100" t="str">
        <f>IF(OR(E156="",F156="",G156="",H156=""),"",IF(E156/M_Cl2&gt;=G156,"not invertible: plateau at or above the chloride pool",IFERROR(MAX(E156/M_Cl2/(F156*(G156-E156/M_Cl2)),E156/M_Cl2/H156)/3600,"")))</f>
        <v/>
      </c>
      <c r="J156" s="100" t="str">
        <f>IFERROR(INDEX(ReactorTypeList,MATCH(C156,ReactorList,0)),"")</f>
        <v/>
      </c>
      <c r="K156" s="93"/>
      <c r="L156" s="93"/>
    </row>
    <row r="157">
      <c r="A157" s="93"/>
      <c r="B157" s="94"/>
      <c r="C157" s="93"/>
      <c r="D157" s="93"/>
      <c r="E157" s="94"/>
      <c r="F157" s="94"/>
      <c r="G157" s="94"/>
      <c r="H157" s="94"/>
      <c r="I157" s="100" t="str">
        <f>IF(OR(E157="",F157="",G157="",H157=""),"",IF(E157/M_Cl2&gt;=G157,"not invertible: plateau at or above the chloride pool",IFERROR(MAX(E157/M_Cl2/(F157*(G157-E157/M_Cl2)),E157/M_Cl2/H157)/3600,"")))</f>
        <v/>
      </c>
      <c r="J157" s="100" t="str">
        <f>IFERROR(INDEX(ReactorTypeList,MATCH(C157,ReactorList,0)),"")</f>
        <v/>
      </c>
      <c r="K157" s="93"/>
      <c r="L157" s="93"/>
    </row>
    <row r="158">
      <c r="A158" s="93"/>
      <c r="B158" s="94"/>
      <c r="C158" s="93"/>
      <c r="D158" s="93"/>
      <c r="E158" s="94"/>
      <c r="F158" s="94"/>
      <c r="G158" s="94"/>
      <c r="H158" s="94"/>
      <c r="I158" s="100" t="str">
        <f>IF(OR(E158="",F158="",G158="",H158=""),"",IF(E158/M_Cl2&gt;=G158,"not invertible: plateau at or above the chloride pool",IFERROR(MAX(E158/M_Cl2/(F158*(G158-E158/M_Cl2)),E158/M_Cl2/H158)/3600,"")))</f>
        <v/>
      </c>
      <c r="J158" s="100" t="str">
        <f>IFERROR(INDEX(ReactorTypeList,MATCH(C158,ReactorList,0)),"")</f>
        <v/>
      </c>
      <c r="K158" s="93"/>
      <c r="L158" s="93"/>
    </row>
    <row r="159">
      <c r="A159" s="93"/>
      <c r="B159" s="94"/>
      <c r="C159" s="93"/>
      <c r="D159" s="93"/>
      <c r="E159" s="94"/>
      <c r="F159" s="94"/>
      <c r="G159" s="94"/>
      <c r="H159" s="94"/>
      <c r="I159" s="100" t="str">
        <f>IF(OR(E159="",F159="",G159="",H159=""),"",IF(E159/M_Cl2&gt;=G159,"not invertible: plateau at or above the chloride pool",IFERROR(MAX(E159/M_Cl2/(F159*(G159-E159/M_Cl2)),E159/M_Cl2/H159)/3600,"")))</f>
        <v/>
      </c>
      <c r="J159" s="100" t="str">
        <f>IFERROR(INDEX(ReactorTypeList,MATCH(C159,ReactorList,0)),"")</f>
        <v/>
      </c>
      <c r="K159" s="93"/>
      <c r="L159" s="93"/>
    </row>
    <row r="160">
      <c r="A160" s="93"/>
      <c r="B160" s="94"/>
      <c r="C160" s="93"/>
      <c r="D160" s="93"/>
      <c r="E160" s="94"/>
      <c r="F160" s="94"/>
      <c r="G160" s="94"/>
      <c r="H160" s="94"/>
      <c r="I160" s="100" t="str">
        <f>IF(OR(E160="",F160="",G160="",H160=""),"",IF(E160/M_Cl2&gt;=G160,"not invertible: plateau at or above the chloride pool",IFERROR(MAX(E160/M_Cl2/(F160*(G160-E160/M_Cl2)),E160/M_Cl2/H160)/3600,"")))</f>
        <v/>
      </c>
      <c r="J160" s="100" t="str">
        <f>IFERROR(INDEX(ReactorTypeList,MATCH(C160,ReactorList,0)),"")</f>
        <v/>
      </c>
      <c r="K160" s="93"/>
      <c r="L160" s="93"/>
    </row>
    <row r="161">
      <c r="A161" s="93"/>
      <c r="B161" s="94"/>
      <c r="C161" s="93"/>
      <c r="D161" s="93"/>
      <c r="E161" s="94"/>
      <c r="F161" s="94"/>
      <c r="G161" s="94"/>
      <c r="H161" s="94"/>
      <c r="I161" s="100" t="str">
        <f>IF(OR(E161="",F161="",G161="",H161=""),"",IF(E161/M_Cl2&gt;=G161,"not invertible: plateau at or above the chloride pool",IFERROR(MAX(E161/M_Cl2/(F161*(G161-E161/M_Cl2)),E161/M_Cl2/H161)/3600,"")))</f>
        <v/>
      </c>
      <c r="J161" s="100" t="str">
        <f>IFERROR(INDEX(ReactorTypeList,MATCH(C161,ReactorList,0)),"")</f>
        <v/>
      </c>
      <c r="K161" s="93"/>
      <c r="L161" s="93"/>
    </row>
    <row r="162">
      <c r="A162" s="93"/>
      <c r="B162" s="94"/>
      <c r="C162" s="93"/>
      <c r="D162" s="93"/>
      <c r="E162" s="94"/>
      <c r="F162" s="94"/>
      <c r="G162" s="94"/>
      <c r="H162" s="94"/>
      <c r="I162" s="100" t="str">
        <f>IF(OR(E162="",F162="",G162="",H162=""),"",IF(E162/M_Cl2&gt;=G162,"not invertible: plateau at or above the chloride pool",IFERROR(MAX(E162/M_Cl2/(F162*(G162-E162/M_Cl2)),E162/M_Cl2/H162)/3600,"")))</f>
        <v/>
      </c>
      <c r="J162" s="100" t="str">
        <f>IFERROR(INDEX(ReactorTypeList,MATCH(C162,ReactorList,0)),"")</f>
        <v/>
      </c>
      <c r="K162" s="93"/>
      <c r="L162" s="93"/>
    </row>
    <row r="163">
      <c r="A163" s="96" t="inlineStr">
        <is>
          <t xml:space="preserve">Value in use - monochloramine lifetime</t>
        </is>
      </c>
      <c r="C163" s="97" t="inlineStr">
        <is>
          <t xml:space="preserve">h</t>
        </is>
      </c>
      <c r="D163" s="95" t="str">
        <f>IFERROR(AVERAGEIFS(I155:I162,C155:C162,Reactor_sel,D155:D162,media_sel,K155:K162,"y"),"no included runs — model uses its default")</f>
        <v>no included runs — model uses its default</v>
      </c>
    </row>
    <row r="164" spans="1:5" x14ac:dyDescent="0.2">
      <c r="A164" s="18"/>
      <c r="B164" s="72"/>
      <c r="C164" s="20"/>
      <c r="D164" s="133"/>
      <c r="E164" s="134"/>
    </row>
    <row r="165" spans="1:13" ht="16" x14ac:dyDescent="0.2">
      <c r="A165" s="5" t="s">
        <v>2645</v>
      </c>
      <c r="B165" s="72"/>
      <c r="C165" s="72"/>
      <c r="D165" s="72"/>
      <c r="E165" s="72"/>
      <c r="F165" s="72"/>
      <c r="G165" s="72"/>
      <c r="H165" s="72"/>
      <c r="I165" s="72"/>
      <c r="J165" s="72"/>
      <c r="K165" s="72"/>
      <c r="L165" s="72"/>
      <c r="M165" s="72"/>
    </row>
    <row r="166" spans="1:13" x14ac:dyDescent="0.2">
      <c r="A166" s="18" t="s">
        <v>2646</v>
      </c>
      <c r="B166" s="72" t="s">
        <v>2647</v>
      </c>
      <c r="C166" s="20" t="s">
        <v>2648</v>
      </c>
      <c r="D166" s="132">
        <v>291.2</v>
      </c>
      <c r="E166" s="72" t="s">
        <v>2649</v>
      </c>
    </row>
    <row r="167" spans="1:13" x14ac:dyDescent="0.2">
      <c r="A167" s="18" t="s">
        <v>2650</v>
      </c>
      <c r="B167" s="72" t="s">
        <v>2651</v>
      </c>
      <c r="C167" s="20" t="s">
        <v>518</v>
      </c>
      <c r="D167" s="132">
        <v>160</v>
      </c>
      <c r="E167" s="72" t="s">
        <v>2652</v>
      </c>
    </row>
    <row r="168" spans="1:13" x14ac:dyDescent="0.2">
      <c r="A168" s="18" t="s">
        <v>2653</v>
      </c>
      <c r="B168" s="72" t="s">
        <v>2654</v>
      </c>
      <c r="C168" s="20" t="s">
        <v>518</v>
      </c>
      <c r="D168" s="132">
        <v>100</v>
      </c>
      <c r="E168" s="72" t="s">
        <v>2655</v>
      </c>
    </row>
    <row r="169" spans="1:13" x14ac:dyDescent="0.2">
      <c r="A169" s="18" t="s">
        <v>2656</v>
      </c>
      <c r="B169" s="72" t="s">
        <v>2657</v>
      </c>
      <c r="C169" s="20" t="s">
        <v>518</v>
      </c>
      <c r="D169" s="132">
        <v>40</v>
      </c>
      <c r="E169" s="72" t="s">
        <v>2658</v>
      </c>
    </row>
    <row r="170" spans="1:13" x14ac:dyDescent="0.2">
      <c r="A170" s="18" t="s">
        <v>2659</v>
      </c>
      <c r="B170" s="72" t="s">
        <v>2660</v>
      </c>
      <c r="C170" s="20" t="s">
        <v>518</v>
      </c>
      <c r="D170" s="132">
        <v>16</v>
      </c>
      <c r="E170" s="72" t="s">
        <v>2661</v>
      </c>
    </row>
    <row r="171" spans="1:5" x14ac:dyDescent="0.2">
      <c r="A171" s="18" t="s">
        <v>2662</v>
      </c>
      <c r="B171" s="72" t="s">
        <v>2663</v>
      </c>
      <c r="C171" s="20" t="s">
        <v>518</v>
      </c>
      <c r="D171" s="132">
        <v>10</v>
      </c>
      <c r="E171" s="72" t="s">
        <v>2664</v>
      </c>
    </row>
    <row r="172" spans="1:5" x14ac:dyDescent="0.2">
      <c r="A172" s="18" t="s">
        <v>2665</v>
      </c>
      <c r="B172" s="72" t="s">
        <v>291</v>
      </c>
      <c r="C172" s="20" t="s">
        <v>111</v>
      </c>
      <c r="D172" s="133">
        <f>Electrochemistry!z_e_H2</f>
        <v>2.0</v>
      </c>
      <c r="E172" s="134" t="s">
        <v>2666</v>
      </c>
    </row>
    <row r="173" spans="1:5" x14ac:dyDescent="0.2">
      <c r="A173" s="18" t="s">
        <v>2667</v>
      </c>
      <c r="B173" s="72" t="s">
        <v>294</v>
      </c>
      <c r="C173" s="20" t="s">
        <v>111</v>
      </c>
      <c r="D173" s="133">
        <f>Electrochemistry!z_e_O2</f>
        <v>4.0</v>
      </c>
      <c r="E173" s="134" t="s">
        <v>2668</v>
      </c>
    </row>
    <row r="174" spans="1:5" x14ac:dyDescent="0.2">
      <c r="A174" s="18" t="s">
        <v>2288</v>
      </c>
      <c r="B174" s="72" t="s">
        <v>2122</v>
      </c>
      <c r="C174" s="20" t="s">
        <v>262</v>
      </c>
      <c r="D174" s="133">
        <f>Biology!T_zero_C</f>
        <v>273.15</v>
      </c>
      <c r="E174" s="134" t="s">
        <v>2289</v>
      </c>
    </row>
    <row r="175" spans="1:5" x14ac:dyDescent="0.2">
      <c r="A175" s="18" t="s">
        <v>2669</v>
      </c>
      <c r="B175" s="72" t="s">
        <v>1698</v>
      </c>
      <c r="C175" s="20" t="s">
        <v>57</v>
      </c>
      <c r="D175" s="133">
        <f>'Mass Transfer'!pw_A</f>
        <v>610.94</v>
      </c>
      <c r="E175" s="134" t="s">
        <v>2670</v>
      </c>
    </row>
    <row r="176" spans="1:5" x14ac:dyDescent="0.2">
      <c r="A176" s="18" t="s">
        <v>2671</v>
      </c>
      <c r="B176" s="72" t="s">
        <v>1701</v>
      </c>
      <c r="C176" s="20" t="s">
        <v>111</v>
      </c>
      <c r="D176" s="133">
        <f>'Mass Transfer'!pw_B</f>
        <v>17.625</v>
      </c>
      <c r="E176" s="134" t="s">
        <v>2672</v>
      </c>
    </row>
    <row r="177" spans="1:5" x14ac:dyDescent="0.2">
      <c r="A177" s="18" t="s">
        <v>2673</v>
      </c>
      <c r="B177" s="72" t="s">
        <v>1703</v>
      </c>
      <c r="C177" s="20" t="s">
        <v>48</v>
      </c>
      <c r="D177" s="133">
        <f>'Mass Transfer'!pw_C</f>
        <v>243.04</v>
      </c>
      <c r="E177" s="134" t="s">
        <v>2674</v>
      </c>
    </row>
    <row r="181" spans="1:5" x14ac:dyDescent="0.2">
      <c r="A181" s="18" t="s">
        <v>2675</v>
      </c>
      <c r="B181" s="72" t="s">
        <v>2676</v>
      </c>
      <c r="C181" s="20" t="s">
        <v>508</v>
      </c>
      <c r="D181" s="133">
        <f>'Mass Transfer'!rho_0</f>
        <v>1003.33</v>
      </c>
      <c r="E181" s="134" t="s">
        <v>2677</v>
      </c>
    </row>
    <row r="182" spans="1:5" x14ac:dyDescent="0.2">
      <c r="A182" s="18" t="s">
        <v>2678</v>
      </c>
      <c r="B182" s="72" t="s">
        <v>2679</v>
      </c>
      <c r="C182" s="20" t="s">
        <v>1595</v>
      </c>
      <c r="D182" s="133">
        <f>'Mass Transfer'!rho_k</f>
        <v>-0.2556</v>
      </c>
      <c r="E182" s="134" t="s">
        <v>2680</v>
      </c>
    </row>
    <row r="183" spans="1:5" x14ac:dyDescent="0.2">
      <c r="A183" s="18" t="s">
        <v>2681</v>
      </c>
      <c r="B183" s="72" t="s">
        <v>26</v>
      </c>
      <c r="C183" s="20" t="s">
        <v>111</v>
      </c>
      <c r="D183" s="133" t="str">
        <f>Summary!Reactor_sel</f>
        <v>ed04</v>
      </c>
      <c r="E183" s="134" t="s">
        <v>2682</v>
      </c>
    </row>
    <row r="184" spans="1:5" x14ac:dyDescent="0.2">
      <c r="A184" s="18" t="s">
        <v>2683</v>
      </c>
      <c r="B184" s="72" t="s">
        <v>33</v>
      </c>
      <c r="C184" s="20" t="s">
        <v>111</v>
      </c>
      <c r="D184" s="133" t="str">
        <f>Summary!organism_sel</f>
        <v>Xanthobacter tagetidis</v>
      </c>
      <c r="E184" s="134" t="s">
        <v>2684</v>
      </c>
    </row>
    <row r="185" spans="1:5" x14ac:dyDescent="0.2">
      <c r="A185" s="18" t="s">
        <v>2685</v>
      </c>
      <c r="B185" s="72" t="s">
        <v>212</v>
      </c>
      <c r="C185" s="20" t="s">
        <v>111</v>
      </c>
      <c r="D185" s="133" t="str">
        <f>Geometry!rx_ver</f>
        <v>MEP0.3</v>
      </c>
      <c r="E185" s="134" t="s">
        <v>2686</v>
      </c>
    </row>
    <row r="186" spans="1:5" x14ac:dyDescent="0.2">
      <c r="A186" s="18" t="s">
        <v>486</v>
      </c>
      <c r="B186" s="72" t="s">
        <v>126</v>
      </c>
      <c r="C186" s="20" t="s">
        <v>127</v>
      </c>
      <c r="D186" s="133">
        <f>Geometry!A_x</f>
        <v>501.93100162698</v>
      </c>
      <c r="E186" s="134" t="s">
        <v>2687</v>
      </c>
    </row>
    <row r="187" spans="1:5" x14ac:dyDescent="0.2">
      <c r="A187" s="18" t="s">
        <v>2688</v>
      </c>
      <c r="B187" s="72" t="s">
        <v>266</v>
      </c>
      <c r="C187" s="20" t="s">
        <v>267</v>
      </c>
      <c r="D187" s="133">
        <f>'Mass Transfer'!R_gas</f>
        <v>8.314462618</v>
      </c>
      <c r="E187" s="134" t="s">
        <v>2689</v>
      </c>
    </row>
    <row r="188" spans="1:5" x14ac:dyDescent="0.2">
      <c r="A188" s="18" t="s">
        <v>767</v>
      </c>
      <c r="B188" s="72" t="s">
        <v>287</v>
      </c>
      <c r="C188" s="20" t="s">
        <v>288</v>
      </c>
      <c r="D188" s="133">
        <f>Electrochemistry!F_const</f>
        <v>96485.33212</v>
      </c>
      <c r="E188" s="134" t="s">
        <v>2690</v>
      </c>
    </row>
    <row r="189">
      <c r="A189" s="5" t="inlineStr">
        <is>
          <t xml:space="preserve">NAMED CONSTANTS AND IMPORTS (electrode mass transfer, monochloramine lifetime)</t>
        </is>
      </c>
    </row>
    <row r="190">
      <c r="A190" s="18" t="inlineStr">
        <is>
          <t xml:space="preserve">Electrons per ferricyanide reduced</t>
        </is>
      </c>
      <c r="B190" s="72" t="inlineStr">
        <is>
          <t xml:space="preserve">n_e_fcn</t>
        </is>
      </c>
      <c r="C190" s="20" t="inlineStr">
        <is>
          <t xml:space="preserve">-</t>
        </is>
      </c>
      <c r="D190" s="132">
        <v>1</v>
      </c>
      <c r="E190" s="134" t="inlineStr">
        <is>
          <t xml:space="preserve">Fe(CN)₆³⁻ + e⁻ → Fe(CN)₆⁴⁻: a one-electron couple (protocols/electrode-mass-transfer.md).</t>
        </is>
      </c>
    </row>
    <row r="191">
      <c r="A191" s="18" t="inlineStr">
        <is>
          <t xml:space="preserve">Temperature tolerance for a k_m run</t>
        </is>
      </c>
      <c r="B191" s="72" t="inlineStr">
        <is>
          <t xml:space="preserve">km_T_tol</t>
        </is>
      </c>
      <c r="C191" s="20" t="inlineStr">
        <is>
          <t xml:space="preserve">°C</t>
        </is>
      </c>
      <c r="D191" s="132">
        <v>1</v>
      </c>
      <c r="E191" s="34" t="inlineStr">
        <is>
          <t xml:space="preserve">Design assumption: diffusivity and viscosity move ~2 %/K, so a run within ±1 °C of the Summary temperature is used as measured; others need a separate temperature correction.</t>
        </is>
      </c>
    </row>
    <row r="192">
      <c r="A192" s="18" t="inlineStr">
        <is>
          <t xml:space="preserve">(import) Stirrer rate on Summary</t>
        </is>
      </c>
      <c r="B192" s="72" t="inlineStr">
        <is>
          <t xml:space="preserve">stir_rpm_set</t>
        </is>
      </c>
      <c r="C192" s="20" t="inlineStr">
        <is>
          <t xml:space="preserve">rpm</t>
        </is>
      </c>
      <c r="D192" s="133">
        <f>Summary!stir_rpm_set</f>
        <v>1000.0</v>
      </c>
      <c r="E192" s="134" t="inlineStr">
        <is>
          <t xml:space="preserve">Import from Summary!D7 (stir_rpm_set)</t>
        </is>
      </c>
    </row>
    <row r="193">
      <c r="A193" s="18" t="inlineStr">
        <is>
          <t xml:space="preserve">(import) Temperature setpoint on Summary</t>
        </is>
      </c>
      <c r="B193" s="72" t="inlineStr">
        <is>
          <t xml:space="preserve">temp_C</t>
        </is>
      </c>
      <c r="C193" s="20" t="inlineStr">
        <is>
          <t xml:space="preserve">°C</t>
        </is>
      </c>
      <c r="D193" s="133">
        <f>Summary!temp_C</f>
        <v>30.0</v>
      </c>
      <c r="E193" s="134" t="inlineStr">
        <is>
          <t xml:space="preserve">Import from Summary!D8 (temp_C)</t>
        </is>
      </c>
    </row>
    <row r="194">
      <c r="A194" s="18" t="inlineStr">
        <is>
          <t xml:space="preserve">(import) Medium selected on Summary</t>
        </is>
      </c>
      <c r="B194" s="72" t="inlineStr">
        <is>
          <t xml:space="preserve">media_sel</t>
        </is>
      </c>
      <c r="C194" s="20" t="inlineStr">
        <is>
          <t xml:space="preserve">-</t>
        </is>
      </c>
      <c r="D194" s="133" t="str">
        <f>Summary!media_sel</f>
        <v>AMYBO03</v>
      </c>
      <c r="E194" s="134" t="inlineStr">
        <is>
          <t xml:space="preserve">Import from Summary!D5 (media_sel)</t>
        </is>
      </c>
    </row>
    <row r="195">
      <c r="A195" s="18" t="inlineStr">
        <is>
          <t xml:space="preserve">(import) Electrode selected on Summary</t>
        </is>
      </c>
      <c r="B195" s="72" t="inlineStr">
        <is>
          <t xml:space="preserve">electrode_sel</t>
        </is>
      </c>
      <c r="C195" s="20" t="inlineStr">
        <is>
          <t xml:space="preserve">-</t>
        </is>
      </c>
      <c r="D195" s="133" t="str">
        <f>Summary!electrode_sel</f>
        <v>MMO tube</v>
      </c>
      <c r="E195" s="134" t="inlineStr">
        <is>
          <t xml:space="preserve">Import from Summary!D3 (electrode_sel)</t>
        </is>
      </c>
    </row>
    <row r="196">
      <c r="A196" s="18" t="inlineStr">
        <is>
          <t xml:space="preserve">(import) O₂ diffusivity at reactor T</t>
        </is>
      </c>
      <c r="B196" s="72" t="inlineStr">
        <is>
          <t xml:space="preserve">D_O2</t>
        </is>
      </c>
      <c r="C196" s="20" t="inlineStr">
        <is>
          <t xml:space="preserve">m²/s</t>
        </is>
      </c>
      <c r="D196" s="133">
        <f>'Mass Transfer'!D_O2</f>
        <v>2.249544435762e-09</v>
      </c>
      <c r="E196" s="134" t="inlineStr">
        <is>
          <t xml:space="preserve">Import from Mass Transfer!D32 (D_O2)</t>
        </is>
      </c>
    </row>
    <row r="197">
      <c r="A197" s="18" t="inlineStr">
        <is>
          <t xml:space="preserve">(import) Diffusivity exponent for k_m scaling</t>
        </is>
      </c>
      <c r="B197" s="72" t="inlineStr">
        <is>
          <t xml:space="preserve">km_exp</t>
        </is>
      </c>
      <c r="C197" s="20" t="inlineStr">
        <is>
          <t xml:space="preserve">-</t>
        </is>
      </c>
      <c r="D197" s="133">
        <f>Electrochemistry!km_exp</f>
        <v>0.644</v>
      </c>
      <c r="E197" s="134" t="inlineStr">
        <is>
          <t xml:space="preserve">Import from Electrochemistry!D84 (km_exp): the same Eisenberg scaling the model uses for every species.</t>
        </is>
      </c>
    </row>
    <row r="198">
      <c r="A198" s="18" t="inlineStr">
        <is>
          <t xml:space="preserve">(import) Cl₂ molar mass</t>
        </is>
      </c>
      <c r="B198" s="72" t="inlineStr">
        <is>
          <t xml:space="preserve">M_Cl2</t>
        </is>
      </c>
      <c r="C198" s="20" t="inlineStr">
        <is>
          <t xml:space="preserve">mg/mol</t>
        </is>
      </c>
      <c r="D198" s="133">
        <f>Chemistry!M_Cl2</f>
        <v>70906.0</v>
      </c>
      <c r="E198" s="134" t="inlineStr">
        <is>
          <t xml:space="preserve">Import from Chemistry!D223 (M_Cl2): DPD results are mg/L as Cl₂.</t>
        </is>
      </c>
    </row>
    <row r="199">
      <c r="A199" s="18" t="inlineStr">
        <is>
          <t xml:space="preserve">(import) H₂ basis of the uptake ratio</t>
        </is>
      </c>
      <c r="B199" s="72" t="inlineStr">
        <is>
          <t xml:space="preserve">knall_H2_basis</t>
        </is>
      </c>
      <c r="C199" s="20" t="inlineStr">
        <is>
          <t xml:space="preserve">parts</t>
        </is>
      </c>
      <c r="D199" s="133">
        <f>Biology!knall_H2_default</f>
        <v>6.0</v>
      </c>
      <c r="E199" s="134" t="inlineStr">
        <is>
          <t xml:space="preserve">Import from Biology!D63 (knall_H2_default): the H₂ term of the default 6:2:1, so a measured ratio reads on the same scale.</t>
        </is>
      </c>
    </row>
    <row r="200">
      <c r="A200" s="18" t="inlineStr">
        <is>
          <t xml:space="preserve">Sinter grade P0 upper bound</t>
        </is>
      </c>
      <c r="B200" s="72" t="inlineStr">
        <is>
          <t xml:space="preserve">por_p0_hi</t>
        </is>
      </c>
      <c r="C200" s="20" t="inlineStr">
        <is>
          <t xml:space="preserve">µm</t>
        </is>
      </c>
      <c r="D200" s="132">
        <v>250</v>
      </c>
      <c r="E200" s="72" t="inlineStr">
        <is>
          <t xml:space="preserve">DURAN P0 160–250 µm (Mass Transfer E33): above this the frit is coarser than any listed grade.</t>
        </is>
      </c>
    </row>
    <row r="201">
      <c r="A201" s="18" t="inlineStr">
        <is>
          <t xml:space="preserve">Sinter grade P5 upper bound</t>
        </is>
      </c>
      <c r="B201" s="72" t="inlineStr">
        <is>
          <t xml:space="preserve">por_p5_hi</t>
        </is>
      </c>
      <c r="C201" s="20" t="inlineStr">
        <is>
          <t xml:space="preserve">µm</t>
        </is>
      </c>
      <c r="D201" s="132">
        <v>1.6</v>
      </c>
      <c r="E201" s="72" t="inlineStr">
        <is>
          <t xml:space="preserve">DURAN P5 1.0–1.6 µm (Mass Transfer E38); 1.6–10 µm falls between P5 and P4 and is not a listed grade.</t>
        </is>
      </c>
    </row>
    <row r="202">
      <c r="A202" s="18" t="inlineStr">
        <is>
          <t xml:space="preserve">Sinter grade P5 lower bound</t>
        </is>
      </c>
      <c r="B202" s="72" t="inlineStr">
        <is>
          <t xml:space="preserve">por_p5_lo</t>
        </is>
      </c>
      <c r="C202" s="20" t="inlineStr">
        <is>
          <t xml:space="preserve">µm</t>
        </is>
      </c>
      <c r="D202" s="132">
        <v>1</v>
      </c>
      <c r="E202" s="72" t="inlineStr">
        <is>
          <t xml:space="preserve">DURAN P5 1.0–1.6 µm (Mass Transfer E38).</t>
        </is>
      </c>
    </row>
  </sheetData>
  <dataValidations count="8">
    <dataValidation type="list" allowBlank="1" showInputMessage="1" showErrorMessage="1" sqref="C8:C15 C23:C30 C38:C45 C52:C59 C66:C73 C81:C88" xr:uid="{00000000-0002-0000-0700-000000000000}">
      <formula1>ReactorList</formula1>
    </dataValidation>
    <dataValidation type="list" allowBlank="1" showInputMessage="1" showErrorMessage="1" sqref="F38:F45 F128:F135 G8:G15 G81:G88 G112:G119 H52:H59 H95:H102 J66:J73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12:C119 C128:C135" xr:uid="{00000000-0002-0000-0700-00000D000000}">
      <formula1>OrganismList</formula1>
    </dataValidation>
    <dataValidation type="list" allowBlank="1" showErrorMessage="1" errorTitle="Invalid value" error="Choose a reactor from the list." sqref="C142:C149 C155:C162">
      <formula1>ReactorList</formula1>
    </dataValidation>
    <dataValidation type="list" allowBlank="1" showErrorMessage="1" errorTitle="Invalid value" error="y or n." sqref="K155:K162 N142:N149">
      <formula1>"y,n"</formula1>
    </dataValidation>
    <dataValidation type="list" allowBlank="1" showErrorMessage="1" errorTitle="Invalid value" error="Choose an electrode from the list." sqref="D142:D149">
      <formula1>ElectrodeList</formula1>
    </dataValidation>
    <dataValidation type="list" allowBlank="1" showErrorMessage="1" errorTitle="Invalid value" error="Choose a medium from the list." sqref="D155:D162">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