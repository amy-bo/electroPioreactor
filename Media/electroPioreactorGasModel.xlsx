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<sst xmlns="http://schemas.openxmlformats.org/spreadsheetml/2006/main" count="3953" uniqueCount="2838">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</sst>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0"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54">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s">
        <v>1143</v>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FLAMMABLE HEADSPACE (lag): H₂ 9% mean, 15% before each pulse; O₂ 5% mean, 8% before each pulse – until uptake starts, sparge every ≤2.3 min or sweep ≥1.0 mL/min N₂; vent to a hood; no ignition sources</v>
      </c>
      <c r="E24" s="24" t="str">
        <f>HYPERLINK("#Biology!D44","→ Biology")</f>
        <v>→ Biology</v>
      </c>
      <c r="F24" s="22" t="s">
        <v>1730</v>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22"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22"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s">
        <v>1691</v>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22"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s">
        <v>2691</v>
      </c>
      <c r="C131" s="21" t="s">
        <v>2692</v>
      </c>
      <c r="D131" s="65">
        <f>Chemistry!$D$308</f>
        <v>0.124226377682</v>
      </c>
      <c r="E131" s="24" t="str">
        <f>HYPERLINK("#Chemistry!D306","→ Chemistry")</f>
        <v>→ Chemistry</v>
      </c>
      <c r="F131" s="22" t="s">
        <v>2693</v>
      </c>
    </row>
    <row r="132" spans="1:6" x14ac:dyDescent="0.2">
      <c r="A132" s="64" t="s">
        <v>2694</v>
      </c>
      <c r="C132" s="21" t="s">
        <v>2695</v>
      </c>
      <c r="D132" s="65">
        <f>Chemistry!$D$306*1000</f>
        <v>1.47876221841</v>
      </c>
      <c r="E132" s="24" t="str">
        <f>HYPERLINK("#Chemistry!D306","→ Chemistry")</f>
        <v>→ Chemistry</v>
      </c>
      <c r="F132" s="22" t="s">
        <v>2696</v>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s">
        <v>2708</v>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s">
        <v>2711</v>
      </c>
      <c r="B153" s="21" t="s">
        <v>922</v>
      </c>
      <c r="C153" s="21" t="s">
        <v>932</v>
      </c>
      <c r="F153" s="22" t="s">
        <v>2712</v>
      </c>
    </row>
    <row r="154" spans="1:6" x14ac:dyDescent="0.2">
      <c r="A154" s="21" t="s">
        <v>2713</v>
      </c>
      <c r="B154" s="21" t="s">
        <v>922</v>
      </c>
      <c r="C154" s="21" t="s">
        <v>923</v>
      </c>
      <c r="F154" s="22" t="inlineStr">
        <is>
          <t xml:space="preserve">Rows 131–132 give the NaHCO₃ for a target pH at first order (AMYBO03 already carries 40 mM; about 0.1 g/L more reaches the 6.5 floor). Still to do: an added-alkalinity input that feeds the charge balance, ionic strength and CO₂ storage.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s">
        <v>2719</v>
      </c>
      <c r="B157" s="21" t="s">
        <v>941</v>
      </c>
      <c r="C157" s="21" t="s">
        <v>926</v>
      </c>
      <c r="D157" s="33" t="str">
        <f>HYPERLINK("https://github.com/amy-bo/electroPioreactor/blob/AEP02/Media/protocols/electrode-mass-transfer.md","electrode-mass-transfer.md →")</f>
        <v>electrode-mass-transfer.md →</v>
      </c>
      <c r="F157" s="22" t="s">
        <v>2720</v>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21">
        <v>20</v>
      </c>
      <c r="D84" s="21">
        <v>55</v>
      </c>
      <c r="E84" s="21">
        <v>16</v>
      </c>
      <c r="F84" s="21">
        <v>20</v>
      </c>
      <c r="G84" s="21">
        <v>27.48</v>
      </c>
      <c r="H84" s="21">
        <v>12</v>
      </c>
      <c r="I84" s="21">
        <v>3</v>
      </c>
    </row>
    <row r="85" spans="1:9" x14ac:dyDescent="0.2">
      <c r="A85" s="21" t="s">
        <v>231</v>
      </c>
      <c r="B85" s="21" t="s">
        <v>254</v>
      </c>
      <c r="C85" s="21">
        <v>20</v>
      </c>
      <c r="D85" s="21">
        <v>55</v>
      </c>
      <c r="E85" s="21">
        <v>16</v>
      </c>
      <c r="F85" s="21">
        <v>20</v>
      </c>
      <c r="G85" s="21">
        <v>27.48</v>
      </c>
      <c r="H85" s="21">
        <v>12</v>
      </c>
      <c r="I85" s="21">
        <v>3</v>
      </c>
    </row>
    <row r="86" spans="1:9" x14ac:dyDescent="0.2">
      <c r="A86" s="21" t="s">
        <v>114</v>
      </c>
      <c r="B86" s="21" t="s">
        <v>255</v>
      </c>
      <c r="C86" s="21">
        <v>40</v>
      </c>
      <c r="D86" s="21">
        <v>95</v>
      </c>
      <c r="E86" s="21">
        <v>30</v>
      </c>
      <c r="F86" s="21">
        <v>42</v>
      </c>
      <c r="G86" s="21">
        <v>27.48</v>
      </c>
      <c r="H86" s="21">
        <v>15</v>
      </c>
      <c r="I86" s="21">
        <v>6</v>
      </c>
    </row>
    <row r="87" spans="1:9" x14ac:dyDescent="0.2">
      <c r="A87" s="21" t="s">
        <v>243</v>
      </c>
      <c r="B87" s="21" t="s">
        <v>255</v>
      </c>
      <c r="C87" s="21">
        <v>40</v>
      </c>
      <c r="D87" s="21">
        <v>95</v>
      </c>
      <c r="E87" s="21">
        <v>30</v>
      </c>
      <c r="F87" s="21">
        <v>42</v>
      </c>
      <c r="G87" s="21">
        <v>27.48</v>
      </c>
      <c r="H87" s="21">
        <v>15</v>
      </c>
      <c r="I87" s="21">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(gerrit_slope*intensity+gerrit_int)/1000</f>
        <v>0.00569</v>
      </c>
      <c r="E19" s="138" t="s">
        <v>301</v>
      </c>
      <c r="F19" s="21"/>
      <c r="G19" s="21"/>
      <c r="H19" s="21"/>
      <c r="I19" s="21"/>
    </row>
    <row r="20" spans="1:9" ht="24" customHeight="1" x14ac:dyDescent="0.2">
      <c r="A20" s="18" t="s">
        <v>302</v>
      </c>
      <c r="B20" s="19" t="s">
        <v>303</v>
      </c>
      <c r="C20" s="20" t="s">
        <v>111</v>
      </c>
      <c r="D20" s="45" t="str">
        <f>IF(AND(intensity&gt;=gerrit_min,intensity&lt;=gerrit_max),"OK","OUT")</f>
        <v>OK</v>
      </c>
      <c r="E20" s="138" t="s">
        <v>304</v>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21">
        <v>6</v>
      </c>
      <c r="D35" s="21" t="s">
        <v>343</v>
      </c>
      <c r="E35" s="21" t="s">
        <v>344</v>
      </c>
      <c r="F35" s="21" t="s">
        <v>345</v>
      </c>
      <c r="G35" s="21">
        <v>6</v>
      </c>
      <c r="H35" s="46" t="s">
        <v>346</v>
      </c>
      <c r="I35" s="21">
        <v>2</v>
      </c>
      <c r="J35" s="21" t="s">
        <v>1165</v>
      </c>
      <c r="K35" s="21">
        <v>100</v>
      </c>
      <c r="L35" s="21">
        <v>500</v>
      </c>
      <c r="M35" s="21" t="s">
        <v>1165</v>
      </c>
      <c r="N35" s="21" t="s">
        <v>1166</v>
      </c>
    </row>
    <row r="36" spans="1:14" x14ac:dyDescent="0.2">
      <c r="A36" s="21" t="s">
        <v>347</v>
      </c>
      <c r="B36" s="21" t="s">
        <v>348</v>
      </c>
      <c r="C36" s="21">
        <v>6</v>
      </c>
      <c r="D36" s="21" t="s">
        <v>343</v>
      </c>
      <c r="E36" s="21" t="s">
        <v>344</v>
      </c>
      <c r="F36" s="21" t="s">
        <v>345</v>
      </c>
      <c r="G36" s="21">
        <v>6</v>
      </c>
      <c r="H36" s="46" t="s">
        <v>346</v>
      </c>
      <c r="I36" s="21">
        <v>2</v>
      </c>
      <c r="J36" s="21" t="s">
        <v>1165</v>
      </c>
      <c r="K36" s="21">
        <v>50</v>
      </c>
      <c r="L36" s="21">
        <v>500</v>
      </c>
      <c r="M36" s="21" t="s">
        <v>1165</v>
      </c>
      <c r="N36" s="21" t="s">
        <v>1167</v>
      </c>
    </row>
    <row r="37" spans="1:14" x14ac:dyDescent="0.2">
      <c r="A37" s="21" t="s">
        <v>31</v>
      </c>
      <c r="B37" s="21" t="s">
        <v>348</v>
      </c>
      <c r="C37" s="21">
        <v>6</v>
      </c>
      <c r="D37" s="21" t="s">
        <v>349</v>
      </c>
      <c r="E37" s="46">
        <v>0</v>
      </c>
      <c r="F37" s="21" t="s">
        <v>345</v>
      </c>
      <c r="G37" s="21">
        <v>6</v>
      </c>
      <c r="H37" s="46" t="s">
        <v>346</v>
      </c>
      <c r="I37" s="21">
        <v>2</v>
      </c>
      <c r="J37" s="21" t="s">
        <v>1168</v>
      </c>
      <c r="K37" s="21">
        <v>10</v>
      </c>
      <c r="L37" s="21">
        <v>60</v>
      </c>
      <c r="M37" s="21" t="s">
        <v>1165</v>
      </c>
      <c r="N37" s="21" t="s">
        <v>1169</v>
      </c>
    </row>
    <row r="38" spans="1:14" x14ac:dyDescent="0.2">
      <c r="A38" s="21" t="s">
        <v>1170</v>
      </c>
      <c r="B38" s="21" t="s">
        <v>1171</v>
      </c>
      <c r="C38" s="21">
        <v>6</v>
      </c>
      <c r="D38" s="21" t="s">
        <v>343</v>
      </c>
      <c r="E38" s="21" t="s">
        <v>344</v>
      </c>
      <c r="F38" s="21" t="s">
        <v>345</v>
      </c>
      <c r="G38" s="21">
        <v>6</v>
      </c>
      <c r="H38" s="46" t="s">
        <v>346</v>
      </c>
      <c r="I38" s="21">
        <v>2</v>
      </c>
      <c r="J38" s="21" t="s">
        <v>1165</v>
      </c>
      <c r="K38" s="21">
        <v>35</v>
      </c>
      <c r="L38" s="21">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21">
        <v>2</v>
      </c>
      <c r="C66" s="21">
        <v>4</v>
      </c>
      <c r="D66" s="21" t="s">
        <v>926</v>
      </c>
      <c r="E66" s="87" t="s">
        <v>1244</v>
      </c>
    </row>
    <row r="67" spans="1:5" x14ac:dyDescent="0.2">
      <c r="A67" s="21" t="s">
        <v>468</v>
      </c>
      <c r="B67" s="21">
        <v>2</v>
      </c>
      <c r="C67" s="21">
        <v>4</v>
      </c>
      <c r="D67" s="21" t="s">
        <v>926</v>
      </c>
      <c r="E67" s="87" t="s">
        <v>1245</v>
      </c>
    </row>
    <row r="68" spans="1:5" x14ac:dyDescent="0.2">
      <c r="A68" s="21" t="s">
        <v>470</v>
      </c>
      <c r="B68" s="21">
        <v>2</v>
      </c>
      <c r="C68" s="21">
        <v>4</v>
      </c>
      <c r="D68" s="21" t="s">
        <v>926</v>
      </c>
      <c r="E68" s="87" t="s">
        <v>1245</v>
      </c>
    </row>
    <row r="69" spans="1:5" x14ac:dyDescent="0.2">
      <c r="A69" s="21" t="s">
        <v>472</v>
      </c>
      <c r="B69" s="21">
        <v>2</v>
      </c>
      <c r="C69" s="21">
        <v>4</v>
      </c>
      <c r="D69" s="21" t="s">
        <v>926</v>
      </c>
      <c r="E69" s="87" t="s">
        <v>1245</v>
      </c>
    </row>
    <row r="70" spans="1:5" x14ac:dyDescent="0.2">
      <c r="A70" s="21" t="s">
        <v>473</v>
      </c>
      <c r="B70" s="21">
        <v>2</v>
      </c>
      <c r="C70" s="21">
        <v>4</v>
      </c>
      <c r="D70" s="21" t="s">
        <v>926</v>
      </c>
      <c r="E70" s="87" t="s">
        <v>1246</v>
      </c>
    </row>
    <row r="71" spans="1:5" x14ac:dyDescent="0.2">
      <c r="A71" s="21" t="s">
        <v>474</v>
      </c>
      <c r="B71" s="21">
        <v>2.14</v>
      </c>
      <c r="C71" s="21">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30">
        <v>4.0000000000000001E-3</v>
      </c>
      <c r="E83" s="57" t="s">
        <v>1480</v>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51"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08"/>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44">
        <v>4.4499999999999997E-7</v>
      </c>
      <c r="C13" s="44">
        <v>9.15</v>
      </c>
      <c r="D13" s="49">
        <f t="shared" ref="D13:D20" si="0">B13*EXP(-C13*1000/R_gas*(1/TKc-1/T_ref))</f>
        <v>4.729325907259e-07</v>
      </c>
      <c r="E13" s="60" t="s">
        <v>783</v>
      </c>
    </row>
    <row r="14" spans="1:6" x14ac:dyDescent="0.2">
      <c r="A14" s="18" t="s">
        <v>785</v>
      </c>
      <c r="B14" s="44">
        <v>4.6900000000000001E-11</v>
      </c>
      <c r="C14" s="44">
        <v>14.9</v>
      </c>
      <c r="D14" s="49">
        <f t="shared" si="0"/>
        <v>5.178773212274e-11</v>
      </c>
      <c r="E14" s="60" t="s">
        <v>783</v>
      </c>
    </row>
    <row r="15" spans="1:6" x14ac:dyDescent="0.2">
      <c r="A15" s="18" t="s">
        <v>786</v>
      </c>
      <c r="B15" s="44">
        <v>7.1000000000000004E-3</v>
      </c>
      <c r="C15" s="44">
        <v>-8</v>
      </c>
      <c r="D15" s="49">
        <f t="shared" si="0"/>
        <v>0.006731968577</v>
      </c>
      <c r="E15" s="60" t="s">
        <v>783</v>
      </c>
    </row>
    <row r="16" spans="1:6" x14ac:dyDescent="0.2">
      <c r="A16" s="18" t="s">
        <v>787</v>
      </c>
      <c r="B16" s="44">
        <v>6.3100000000000003E-8</v>
      </c>
      <c r="C16" s="44">
        <v>3.6</v>
      </c>
      <c r="D16" s="49">
        <f t="shared" si="0"/>
        <v>6.46296315581e-08</v>
      </c>
      <c r="E16" s="60" t="s">
        <v>783</v>
      </c>
    </row>
    <row r="17" spans="1:6" x14ac:dyDescent="0.2">
      <c r="A17" s="18" t="s">
        <v>915</v>
      </c>
      <c r="B17" s="44">
        <v>4.1999999999999998E-13</v>
      </c>
      <c r="C17" s="44">
        <v>16</v>
      </c>
      <c r="D17" s="49">
        <f t="shared" si="0"/>
        <v>4.671774023329e-13</v>
      </c>
      <c r="E17" s="60" t="s">
        <v>783</v>
      </c>
    </row>
    <row r="18" spans="1:6" x14ac:dyDescent="0.2">
      <c r="A18" s="18" t="s">
        <v>788</v>
      </c>
      <c r="B18" s="44">
        <v>5.6000000000000003E-10</v>
      </c>
      <c r="C18" s="44">
        <v>52.2</v>
      </c>
      <c r="D18" s="49">
        <f t="shared" si="0"/>
        <v>7.92540891973e-10</v>
      </c>
      <c r="E18" s="60" t="s">
        <v>783</v>
      </c>
    </row>
    <row r="19" spans="1:6" x14ac:dyDescent="0.2">
      <c r="A19" s="18" t="s">
        <v>789</v>
      </c>
      <c r="B19" s="44">
        <v>1E-14</v>
      </c>
      <c r="C19" s="44">
        <v>55.8</v>
      </c>
      <c r="D19" s="49">
        <f t="shared" si="0"/>
        <v>1.449559255234e-14</v>
      </c>
      <c r="E19" s="60" t="s">
        <v>783</v>
      </c>
    </row>
    <row r="20" spans="1:6" x14ac:dyDescent="0.2">
      <c r="A20" s="18" t="s">
        <v>790</v>
      </c>
      <c r="B20" s="44">
        <v>2.8840315031266057E-8</v>
      </c>
      <c r="C20" s="44">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44">
        <v>136.08600000000001</v>
      </c>
      <c r="C25" s="21">
        <v>0</v>
      </c>
      <c r="D25" s="116">
        <v>2.2999999999999998</v>
      </c>
      <c r="E25" s="138" t="s">
        <v>797</v>
      </c>
    </row>
    <row r="26" spans="1:6" x14ac:dyDescent="0.2">
      <c r="A26" s="18" t="s">
        <v>805</v>
      </c>
      <c r="B26" s="44">
        <v>141.96</v>
      </c>
      <c r="C26" s="44">
        <v>2.895</v>
      </c>
      <c r="D26" s="116">
        <v>2.9</v>
      </c>
      <c r="E26" s="138" t="s">
        <v>798</v>
      </c>
    </row>
    <row r="27" spans="1:6" x14ac:dyDescent="0.2">
      <c r="A27" s="18" t="s">
        <v>806</v>
      </c>
      <c r="B27" s="44">
        <v>156.01</v>
      </c>
      <c r="C27" s="44">
        <v>3.06</v>
      </c>
      <c r="D27" s="21">
        <v>0</v>
      </c>
      <c r="E27" s="138" t="s">
        <v>798</v>
      </c>
    </row>
    <row r="28" spans="1:6" x14ac:dyDescent="0.2">
      <c r="A28" s="18" t="s">
        <v>807</v>
      </c>
      <c r="B28" s="44">
        <v>84.007000000000005</v>
      </c>
      <c r="C28" s="21">
        <v>0</v>
      </c>
      <c r="D28" s="116">
        <v>1.05</v>
      </c>
      <c r="E28" s="138" t="s">
        <v>797</v>
      </c>
    </row>
    <row r="29" spans="1:6" x14ac:dyDescent="0.2">
      <c r="A29" s="18" t="s">
        <v>808</v>
      </c>
      <c r="B29" s="44">
        <v>174.26</v>
      </c>
      <c r="C29" s="44">
        <v>0.17</v>
      </c>
      <c r="D29" s="21">
        <v>0</v>
      </c>
      <c r="E29" s="138" t="s">
        <v>798</v>
      </c>
    </row>
    <row r="30" spans="1:6" x14ac:dyDescent="0.2">
      <c r="A30" s="18" t="s">
        <v>809</v>
      </c>
      <c r="B30" s="44">
        <v>172.17</v>
      </c>
      <c r="C30" s="44">
        <v>9.7000000000000003E-2</v>
      </c>
      <c r="D30" s="21">
        <v>0</v>
      </c>
      <c r="E30" s="138" t="s">
        <v>798</v>
      </c>
    </row>
    <row r="31" spans="1:6" x14ac:dyDescent="0.2">
      <c r="A31" s="18" t="s">
        <v>810</v>
      </c>
      <c r="B31" s="44">
        <v>246.48</v>
      </c>
      <c r="C31" s="44">
        <v>0.8</v>
      </c>
      <c r="D31" s="116">
        <v>0.5</v>
      </c>
      <c r="E31" s="138" t="s">
        <v>798</v>
      </c>
    </row>
    <row r="32" spans="1:6" x14ac:dyDescent="0.2">
      <c r="A32" s="18" t="s">
        <v>811</v>
      </c>
      <c r="B32" s="44">
        <v>132.13999999999999</v>
      </c>
      <c r="C32" s="44">
        <v>0.94299999999999995</v>
      </c>
      <c r="D32" s="116">
        <v>0.47</v>
      </c>
      <c r="E32" s="138" t="s">
        <v>798</v>
      </c>
    </row>
    <row r="33" spans="1:5" ht="24" x14ac:dyDescent="0.2">
      <c r="A33" s="18" t="s">
        <v>812</v>
      </c>
      <c r="B33" s="44">
        <v>110.98</v>
      </c>
      <c r="C33" s="21">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IF(media_sel=INDEX(MediaList,1),SID_mc02,IF(media_sel=INDEX(MediaList,2),SID_udg,IF(media_sel=INDEX(MediaList,3),AMYBO03!$D$55,NA())))</f>
        <v>0.115446909129</v>
      </c>
      <c r="E44" s="138" t="s">
        <v>848</v>
      </c>
    </row>
    <row r="45" spans="1:5" x14ac:dyDescent="0.2">
      <c r="A45" s="18" t="s">
        <v>849</v>
      </c>
      <c r="B45" s="19" t="s">
        <v>850</v>
      </c>
      <c r="C45" s="20" t="s">
        <v>851</v>
      </c>
      <c r="D45" s="119">
        <f>IF(media_sel=INDEX(MediaList,1),PT_mc02,IF(media_sel=INDEX(MediaList,2),PT_udg,IF(media_sel=INDEX(MediaList,3),AMYBO03!$D$54,NA())))</f>
        <v>0.060006530132</v>
      </c>
      <c r="E45" s="138" t="s">
        <v>852</v>
      </c>
    </row>
    <row r="46" spans="1:5" x14ac:dyDescent="0.2">
      <c r="A46" s="18" t="s">
        <v>853</v>
      </c>
      <c r="B46" s="19" t="s">
        <v>854</v>
      </c>
      <c r="C46" s="20" t="s">
        <v>855</v>
      </c>
      <c r="D46" s="119">
        <f>IF(media_sel=INDEX(MediaList,1),NT_mc02,IF(media_sel=INDEX(MediaList,2),NT_udg,IF(media_sel=INDEX(MediaList,3),AMYBO03!$D$56,NA())))</f>
        <v>0.014272741032</v>
      </c>
      <c r="E46" s="138" t="s">
        <v>856</v>
      </c>
    </row>
    <row r="47" spans="1:5" x14ac:dyDescent="0.2">
      <c r="A47" s="18" t="s">
        <v>857</v>
      </c>
      <c r="B47" s="19" t="s">
        <v>858</v>
      </c>
      <c r="C47" s="20" t="s">
        <v>859</v>
      </c>
      <c r="D47" s="119">
        <f>IF(media_sel=INDEX(MediaList,1),Cl_mc02,IF(media_sel=INDEX(MediaList,2),Cl_udg,IF(media_sel=INDEX(MediaList,3),AMYBO03!$D$57,NA())))</f>
        <v>0.0</v>
      </c>
      <c r="E47" s="138" t="s">
        <v>860</v>
      </c>
    </row>
    <row r="49" spans="1:3" x14ac:dyDescent="0.2">
      <c r="A49" s="17" t="s">
        <v>1669</v>
      </c>
      <c r="B49" s="17" t="s">
        <v>861</v>
      </c>
      <c r="C49" s="17" t="s">
        <v>862</v>
      </c>
    </row>
    <row r="50" spans="1:3" x14ac:dyDescent="0.2">
      <c r="A50" s="21">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21">
        <v>4.0999999999999996</v>
      </c>
      <c r="B51" s="49">
        <f t="shared" si="1"/>
        <v>0.069751347811</v>
      </c>
      <c r="C51" s="49">
        <f t="shared" si="2"/>
        <v>0.0</v>
      </c>
    </row>
    <row r="52" spans="1:3" x14ac:dyDescent="0.2">
      <c r="A52" s="21">
        <v>4.2</v>
      </c>
      <c r="B52" s="49">
        <f t="shared" si="1"/>
        <v>0.06954335286</v>
      </c>
      <c r="C52" s="49">
        <f t="shared" si="2"/>
        <v>0.0</v>
      </c>
    </row>
    <row r="53" spans="1:3" x14ac:dyDescent="0.2">
      <c r="A53" s="21">
        <v>4.3</v>
      </c>
      <c r="B53" s="49">
        <f t="shared" si="1"/>
        <v>0.06932616269</v>
      </c>
      <c r="C53" s="49">
        <f t="shared" si="2"/>
        <v>0.0</v>
      </c>
    </row>
    <row r="54" spans="1:3" x14ac:dyDescent="0.2">
      <c r="A54" s="21">
        <v>4.4000000000000004</v>
      </c>
      <c r="B54" s="49">
        <f t="shared" si="1"/>
        <v>0.069088368641</v>
      </c>
      <c r="C54" s="49">
        <f t="shared" si="2"/>
        <v>0.0</v>
      </c>
    </row>
    <row r="55" spans="1:3" x14ac:dyDescent="0.2">
      <c r="A55" s="21">
        <v>4.5</v>
      </c>
      <c r="B55" s="49">
        <f t="shared" si="1"/>
        <v>0.068817465454</v>
      </c>
      <c r="C55" s="49">
        <f t="shared" si="2"/>
        <v>0.0</v>
      </c>
    </row>
    <row r="56" spans="1:3" x14ac:dyDescent="0.2">
      <c r="A56" s="21">
        <v>4.5999999999999996</v>
      </c>
      <c r="B56" s="49">
        <f t="shared" si="1"/>
        <v>0.068499218674</v>
      </c>
      <c r="C56" s="49">
        <f t="shared" si="2"/>
        <v>0.0</v>
      </c>
    </row>
    <row r="57" spans="1:3" x14ac:dyDescent="0.2">
      <c r="A57" s="21">
        <v>4.7</v>
      </c>
      <c r="B57" s="49">
        <f t="shared" si="1"/>
        <v>0.068116946912</v>
      </c>
      <c r="C57" s="49">
        <f t="shared" si="2"/>
        <v>0.0</v>
      </c>
    </row>
    <row r="58" spans="1:3" x14ac:dyDescent="0.2">
      <c r="A58" s="21">
        <v>4.8</v>
      </c>
      <c r="B58" s="49">
        <f t="shared" si="1"/>
        <v>0.067650688881</v>
      </c>
      <c r="C58" s="49">
        <f t="shared" si="2"/>
        <v>0.0</v>
      </c>
    </row>
    <row r="59" spans="1:3" x14ac:dyDescent="0.2">
      <c r="A59" s="21">
        <v>4.9000000000000004</v>
      </c>
      <c r="B59" s="49">
        <f t="shared" si="1"/>
        <v>0.067076221795</v>
      </c>
      <c r="C59" s="49">
        <f t="shared" si="2"/>
        <v>0.0</v>
      </c>
    </row>
    <row r="60" spans="1:3" x14ac:dyDescent="0.2">
      <c r="A60" s="21">
        <v>5</v>
      </c>
      <c r="B60" s="49">
        <f t="shared" si="1"/>
        <v>0.066363894488</v>
      </c>
      <c r="C60" s="49">
        <f t="shared" si="2"/>
        <v>0.0</v>
      </c>
    </row>
    <row r="61" spans="1:3" x14ac:dyDescent="0.2">
      <c r="A61" s="21">
        <v>5.0999999999999996</v>
      </c>
      <c r="B61" s="49">
        <f t="shared" si="1"/>
        <v>0.065477235967</v>
      </c>
      <c r="C61" s="49">
        <f t="shared" si="2"/>
        <v>0.0</v>
      </c>
    </row>
    <row r="62" spans="1:3" x14ac:dyDescent="0.2">
      <c r="A62" s="21">
        <v>5.2</v>
      </c>
      <c r="B62" s="49">
        <f t="shared" si="1"/>
        <v>0.064371298632</v>
      </c>
      <c r="C62" s="49">
        <f t="shared" si="2"/>
        <v>0.0</v>
      </c>
    </row>
    <row r="63" spans="1:3" x14ac:dyDescent="0.2">
      <c r="A63" s="21">
        <v>5.3</v>
      </c>
      <c r="B63" s="49">
        <f t="shared" si="1"/>
        <v>0.062990695937</v>
      </c>
      <c r="C63" s="49">
        <f t="shared" si="2"/>
        <v>0.0</v>
      </c>
    </row>
    <row r="64" spans="1:3" x14ac:dyDescent="0.2">
      <c r="A64" s="21">
        <v>5.4</v>
      </c>
      <c r="B64" s="49">
        <f t="shared" si="1"/>
        <v>0.061267297369</v>
      </c>
      <c r="C64" s="49">
        <f t="shared" si="2"/>
        <v>0.0</v>
      </c>
    </row>
    <row r="65" spans="1:3" x14ac:dyDescent="0.2">
      <c r="A65" s="21">
        <v>5.5</v>
      </c>
      <c r="B65" s="49">
        <f t="shared" si="1"/>
        <v>0.059117549391</v>
      </c>
      <c r="C65" s="49">
        <f t="shared" si="2"/>
        <v>0.0</v>
      </c>
    </row>
    <row r="66" spans="1:3" x14ac:dyDescent="0.2">
      <c r="A66" s="21">
        <v>5.6</v>
      </c>
      <c r="B66" s="49">
        <f t="shared" si="1"/>
        <v>0.056439397427</v>
      </c>
      <c r="C66" s="49">
        <f t="shared" si="2"/>
        <v>0.0</v>
      </c>
    </row>
    <row r="67" spans="1:3" x14ac:dyDescent="0.2">
      <c r="A67" s="21">
        <v>5.7</v>
      </c>
      <c r="B67" s="49">
        <f t="shared" si="1"/>
        <v>0.053108785561</v>
      </c>
      <c r="C67" s="49">
        <f t="shared" si="2"/>
        <v>0.0</v>
      </c>
    </row>
    <row r="68" spans="1:3" x14ac:dyDescent="0.2">
      <c r="A68" s="21">
        <v>5.8</v>
      </c>
      <c r="B68" s="49">
        <f t="shared" si="1"/>
        <v>0.048975695534</v>
      </c>
      <c r="C68" s="49">
        <f t="shared" si="2"/>
        <v>0.0</v>
      </c>
    </row>
    <row r="69" spans="1:3" x14ac:dyDescent="0.2">
      <c r="A69" s="21">
        <v>5.9</v>
      </c>
      <c r="B69" s="49">
        <f t="shared" si="1"/>
        <v>0.043859633841</v>
      </c>
      <c r="C69" s="49">
        <f t="shared" si="2"/>
        <v>0.0</v>
      </c>
    </row>
    <row r="70" spans="1:3" x14ac:dyDescent="0.2">
      <c r="A70" s="21">
        <v>6</v>
      </c>
      <c r="B70" s="49">
        <f t="shared" si="1"/>
        <v>0.037544354526</v>
      </c>
      <c r="C70" s="49">
        <f t="shared" si="2"/>
        <v>0.0</v>
      </c>
    </row>
    <row r="71" spans="1:3" x14ac:dyDescent="0.2">
      <c r="A71" s="21">
        <v>6.1</v>
      </c>
      <c r="B71" s="49">
        <f t="shared" si="1"/>
        <v>0.02977137912</v>
      </c>
      <c r="C71" s="49">
        <f t="shared" si="2"/>
        <v>0.0</v>
      </c>
    </row>
    <row r="72" spans="1:3" x14ac:dyDescent="0.2">
      <c r="A72" s="21">
        <v>6.2</v>
      </c>
      <c r="B72" s="49">
        <f t="shared" si="1"/>
        <v>0.020231516623</v>
      </c>
      <c r="C72" s="49">
        <f t="shared" si="2"/>
        <v>0.0</v>
      </c>
    </row>
    <row r="73" spans="1:3" x14ac:dyDescent="0.2">
      <c r="A73" s="21">
        <v>6.3</v>
      </c>
      <c r="B73" s="49">
        <f t="shared" si="1"/>
        <v>0.008553102653</v>
      </c>
      <c r="C73" s="49">
        <f t="shared" si="2"/>
        <v>6.359946204531</v>
      </c>
    </row>
    <row r="74" spans="1:3" x14ac:dyDescent="0.2">
      <c r="A74" s="21">
        <v>6.4</v>
      </c>
      <c r="B74" s="49">
        <f t="shared" si="1"/>
        <v>-0.005714860965</v>
      </c>
      <c r="C74" s="49">
        <f t="shared" si="2"/>
        <v>0.0</v>
      </c>
    </row>
    <row r="75" spans="1:3" x14ac:dyDescent="0.2">
      <c r="A75" s="21">
        <v>6.5</v>
      </c>
      <c r="B75" s="49">
        <f t="shared" si="1"/>
        <v>-0.023126933372</v>
      </c>
      <c r="C75" s="49">
        <f t="shared" si="2"/>
        <v>0.0</v>
      </c>
    </row>
    <row r="76" spans="1:3" x14ac:dyDescent="0.2">
      <c r="A76" s="21">
        <v>6.6</v>
      </c>
      <c r="B76" s="49">
        <f t="shared" si="1"/>
        <v>-0.044375284982</v>
      </c>
      <c r="C76" s="49">
        <f t="shared" si="2"/>
        <v>0.0</v>
      </c>
    </row>
    <row r="77" spans="1:3" x14ac:dyDescent="0.2">
      <c r="A77" s="21">
        <v>6.7</v>
      </c>
      <c r="B77" s="49">
        <f t="shared" si="1"/>
        <v>-0.070335872221</v>
      </c>
      <c r="C77" s="49">
        <f t="shared" si="2"/>
        <v>0.0</v>
      </c>
    </row>
    <row r="78" spans="1:3" x14ac:dyDescent="0.2">
      <c r="A78" s="21">
        <v>6.8</v>
      </c>
      <c r="B78" s="49">
        <f t="shared" si="1"/>
        <v>-0.102128665511</v>
      </c>
      <c r="C78" s="49">
        <f t="shared" si="2"/>
        <v>0.0</v>
      </c>
    </row>
    <row r="79" spans="1:3" x14ac:dyDescent="0.2">
      <c r="A79" s="21">
        <v>6.9</v>
      </c>
      <c r="B79" s="49">
        <f t="shared" si="1"/>
        <v>-0.141193643645</v>
      </c>
      <c r="C79" s="49">
        <f t="shared" si="2"/>
        <v>0.0</v>
      </c>
    </row>
    <row r="80" spans="1:3" x14ac:dyDescent="0.2">
      <c r="A80" s="21">
        <v>7</v>
      </c>
      <c r="B80" s="49">
        <f t="shared" si="1"/>
        <v>-0.189384694734</v>
      </c>
      <c r="C80" s="49">
        <f t="shared" si="2"/>
        <v>0.0</v>
      </c>
    </row>
    <row r="81" spans="1:3" x14ac:dyDescent="0.2">
      <c r="A81" s="21">
        <v>7.1</v>
      </c>
      <c r="B81" s="49">
        <f t="shared" si="1"/>
        <v>-0.249084986427</v>
      </c>
      <c r="C81" s="49">
        <f t="shared" si="2"/>
        <v>0.0</v>
      </c>
    </row>
    <row r="82" spans="1:3" x14ac:dyDescent="0.2">
      <c r="A82" s="21">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21">
        <v>7.3</v>
      </c>
      <c r="B83" s="49">
        <f t="shared" si="3"/>
        <v>-0.416086535989</v>
      </c>
      <c r="C83" s="49">
        <f t="shared" si="4"/>
        <v>0.0</v>
      </c>
    </row>
    <row r="84" spans="1:3" x14ac:dyDescent="0.2">
      <c r="A84" s="21">
        <v>7.4</v>
      </c>
      <c r="B84" s="49">
        <f t="shared" si="3"/>
        <v>-0.532284505155</v>
      </c>
      <c r="C84" s="49">
        <f t="shared" si="4"/>
        <v>0.0</v>
      </c>
    </row>
    <row r="85" spans="1:3" x14ac:dyDescent="0.2">
      <c r="A85" s="21">
        <v>7.5</v>
      </c>
      <c r="B85" s="49">
        <f t="shared" si="3"/>
        <v>-0.678314662396</v>
      </c>
      <c r="C85" s="49">
        <f t="shared" si="4"/>
        <v>0.0</v>
      </c>
    </row>
    <row r="86" spans="1:3" x14ac:dyDescent="0.2">
      <c r="A86" s="21">
        <v>7.6</v>
      </c>
      <c r="B86" s="49">
        <f t="shared" si="3"/>
        <v>-0.862323104188</v>
      </c>
      <c r="C86" s="49">
        <f t="shared" si="4"/>
        <v>0.0</v>
      </c>
    </row>
    <row r="87" spans="1:3" x14ac:dyDescent="0.2">
      <c r="A87" s="21">
        <v>7.7</v>
      </c>
      <c r="B87" s="49">
        <f t="shared" si="3"/>
        <v>-1.094754114774</v>
      </c>
      <c r="C87" s="49">
        <f t="shared" si="4"/>
        <v>0.0</v>
      </c>
    </row>
    <row r="88" spans="1:3" x14ac:dyDescent="0.2">
      <c r="A88" s="21">
        <v>7.8</v>
      </c>
      <c r="B88" s="49">
        <f t="shared" si="3"/>
        <v>-1.389051363861</v>
      </c>
      <c r="C88" s="49">
        <f t="shared" si="4"/>
        <v>0.0</v>
      </c>
    </row>
    <row r="89" spans="1:3" x14ac:dyDescent="0.2">
      <c r="A89" s="21">
        <v>7.9</v>
      </c>
      <c r="B89" s="49">
        <f t="shared" si="3"/>
        <v>-1.762607295089</v>
      </c>
      <c r="C89" s="49">
        <f t="shared" si="4"/>
        <v>0.0</v>
      </c>
    </row>
    <row r="90" spans="1:3" x14ac:dyDescent="0.2">
      <c r="A90" s="21">
        <v>8</v>
      </c>
      <c r="B90" s="49">
        <f t="shared" si="3"/>
        <v>-2.238062600223</v>
      </c>
      <c r="C90" s="49">
        <f t="shared" si="4"/>
        <v>0.0</v>
      </c>
    </row>
    <row r="91" spans="1:3" x14ac:dyDescent="0.2">
      <c r="A91" s="21">
        <v>8.1</v>
      </c>
      <c r="B91" s="49">
        <f t="shared" si="3"/>
        <v>-2.845106178424</v>
      </c>
      <c r="C91" s="49">
        <f t="shared" si="4"/>
        <v>0.0</v>
      </c>
    </row>
    <row r="92" spans="1:3" x14ac:dyDescent="0.2">
      <c r="A92" s="21">
        <v>8.1999999999999993</v>
      </c>
      <c r="B92" s="49">
        <f t="shared" si="3"/>
        <v>-3.623000128118</v>
      </c>
      <c r="C92" s="49">
        <f t="shared" si="4"/>
        <v>0.0</v>
      </c>
    </row>
    <row r="93" spans="1:3" x14ac:dyDescent="0.2">
      <c r="A93" s="21">
        <v>8.3000000000000007</v>
      </c>
      <c r="B93" s="49">
        <f t="shared" si="3"/>
        <v>-4.624168299219</v>
      </c>
      <c r="C93" s="49">
        <f t="shared" si="4"/>
        <v>0.0</v>
      </c>
    </row>
    <row r="94" spans="1:3" x14ac:dyDescent="0.2">
      <c r="A94" s="21">
        <v>8.4</v>
      </c>
      <c r="B94" s="49">
        <f t="shared" si="3"/>
        <v>-5.919363066712</v>
      </c>
      <c r="C94" s="49">
        <f t="shared" si="4"/>
        <v>0.0</v>
      </c>
    </row>
    <row r="95" spans="1:3" x14ac:dyDescent="0.2">
      <c r="A95" s="21">
        <v>8.5</v>
      </c>
      <c r="B95" s="49">
        <f t="shared" si="3"/>
        <v>-7.605198429237</v>
      </c>
      <c r="C95" s="49">
        <f t="shared" si="4"/>
        <v>0.0</v>
      </c>
    </row>
    <row r="96" spans="1:3" x14ac:dyDescent="0.2">
      <c r="A96" s="21">
        <v>8.6</v>
      </c>
      <c r="B96" s="49">
        <f t="shared" si="3"/>
        <v>-9.815263713325</v>
      </c>
      <c r="C96" s="49">
        <f t="shared" si="4"/>
        <v>0.0</v>
      </c>
    </row>
    <row r="97" spans="1:7" x14ac:dyDescent="0.2">
      <c r="A97" s="21">
        <v>8.6999999999999993</v>
      </c>
      <c r="B97" s="49">
        <f t="shared" si="3"/>
        <v>-12.73669853406</v>
      </c>
      <c r="C97" s="49">
        <f t="shared" si="4"/>
        <v>0.0</v>
      </c>
    </row>
    <row r="98" spans="1:7" x14ac:dyDescent="0.2">
      <c r="A98" s="21">
        <v>8.8000000000000007</v>
      </c>
      <c r="B98" s="49">
        <f t="shared" si="3"/>
        <v>-16.635154346949</v>
      </c>
      <c r="C98" s="49">
        <f t="shared" si="4"/>
        <v>0.0</v>
      </c>
    </row>
    <row r="99" spans="1:7" x14ac:dyDescent="0.2">
      <c r="A99" s="21">
        <v>8.9</v>
      </c>
      <c r="B99" s="49">
        <f t="shared" si="3"/>
        <v>-21.892709216041</v>
      </c>
      <c r="C99" s="49">
        <f t="shared" si="4"/>
        <v>0.0</v>
      </c>
    </row>
    <row r="100" spans="1:7" x14ac:dyDescent="0.2">
      <c r="A100" s="21">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AMYBO03!D54*1000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16">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6">
        <v>1</v>
      </c>
      <c r="E142" s="138" t="s">
        <v>1014</v>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IF(media_sel=INDEX(MediaList,1),kappa0_mc02,IF(media_sel=INDEX(MediaList,2),kappa0_udg,IF(media_sel=INDEX(MediaList,3),AMYBO03!$D$58,NA())))*kappa_fI*(1+kappa_TC*(TKc-T_ref))</f>
        <v>1.401288519775</v>
      </c>
      <c r="E180" s="51" t="s">
        <v>1373</v>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IF(media_sel=INDEX(MediaList,1),I_mc02,IF(media_sel=INDEX(MediaList,2),I_udg,IF(media_sel=INDEX(MediaList,3),AMYBO03!$D$59,NA())))</f>
        <v>0.200184197377</v>
      </c>
      <c r="E185" s="51" t="s">
        <v>860</v>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s">
        <v>2735</v>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s">
        <v>2743</v>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88"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IF(AND(y_H2_end_b&gt;=H2_LFL,y_O2_end_b&gt;=O2_LOC_H2*LOC_margin),"FLAMMABLE HEADSPACE (lag):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the H₂ LFL or under the O₂ LOC margin at every point of the cycle (lag): H₂ "&amp;TEXT(y_H2_end_b,"0%")&amp;", O₂ "&amp;TEXT(y_O2_end_b,"0%")&amp;" before each pulse ("&amp;TEXT(y_H2_hs_lag,"0%")&amp;" / "&amp;TEXT(y_O2_hs_lag,"0%")&amp;" mean)")</f>
        <v>FLAMMABLE HEADSPACE (lag): H₂ 9% mean, 15% before each pulse; O₂ 5% mean, 8% before each pulse – until uptake starts, sparge every ≤2.3 min or sweep ≥1.0 mL/min N₂; vent to a hood; no ignition sources</v>
      </c>
      <c r="E44" s="57" t="inlineStr">
        <is>
          <t xml:space="preserve">Pre-pulse lag hazard check. Remedy assumes the actual commanded pulse; displayed upper interval is rounded strictly down and minimum sweep strictly up. Bench safety verification remains required.</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21">
        <v>2.6</v>
      </c>
      <c r="D52" s="21">
        <v>3</v>
      </c>
      <c r="E52" s="21">
        <v>11.5</v>
      </c>
      <c r="F52" s="75" t="s">
        <v>467</v>
      </c>
    </row>
    <row r="53" spans="1:6" x14ac:dyDescent="0.2">
      <c r="A53" s="21" t="s">
        <v>468</v>
      </c>
      <c r="B53" s="46" t="s">
        <v>346</v>
      </c>
      <c r="C53" s="46" t="s">
        <v>346</v>
      </c>
      <c r="D53" s="46" t="s">
        <v>346</v>
      </c>
      <c r="E53" s="21">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H2_src_l_b/(n_flamm_src+CO2_supply_b+F_vent_ex_b)</f>
        <v>0.093689942909</v>
      </c>
      <c r="E84" s="53" t="s">
        <v>2154</v>
      </c>
    </row>
    <row r="85" spans="1:5" ht="24" x14ac:dyDescent="0.2">
      <c r="A85" s="18" t="s">
        <v>2155</v>
      </c>
      <c r="B85" s="19" t="s">
        <v>2156</v>
      </c>
      <c r="C85" s="20" t="s">
        <v>111</v>
      </c>
      <c r="D85" s="41">
        <f>(O2_src_l_b+y_O2_air_b*F_vent_ex_b)/(n_flamm_src+CO2_supply_b+F_vent_ex_b)</f>
        <v>0.053815126441</v>
      </c>
      <c r="E85" s="53" t="s">
        <v>2157</v>
      </c>
    </row>
    <row r="86" spans="1:5" ht="36" x14ac:dyDescent="0.2">
      <c r="A86" s="18" t="s">
        <v>2158</v>
      </c>
      <c r="B86" s="19" t="s">
        <v>2159</v>
      </c>
      <c r="C86" s="20" t="s">
        <v>111</v>
      </c>
      <c r="D86" s="41">
        <f>MAX(0,MIN(H2_src_l_b/H2_LFL-n_flamm_src-F_vent_ex_b,(O2_src_l_b+y_O2_air_b*F_vent_ex_b)/(O2_LOC_H2*LOC_margin)-n_flamm_src-F_vent_ex_b))/CO2_rate_full_b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s">
        <v>2176</v>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1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IF(ISNA(F_vent_ex+O2_src_sched),NA(),IF(ISNUMBER(spg_int_DO),MIN(spg_int_carbon,spg_int_DO),MIN(spg_int_carbon,spg_int_max)))</f>
        <v>7.398866407059</v>
      </c>
      <c r="E91" s="129" t="s">
        <v>2243</v>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21"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IF(ISNUMBER(y_O2_star),MAX(0,((O2_src_sched+y_O2_air*F_vent_ex)*saw_factor/y_O2_star-F_vent_ex-O2_src_sched-H2_src_sched+CO2_fix_sched)/CO2_rate_full),NA())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IF(F_vent_ex+CO2_rate_full*duty_carbon+O2_src_sched+H2_src_sched-CO2_fix_sched&gt;0,DO_surf_excess+H_O2_T*P_dry*MIN(1,saw_factor*(O2_src_sched+y_O2_air*F_vent_ex)/(F_vent_ex+CO2_rate_full*duty_carbon+O2_src_sched+H2_src_sched-CO2_fix_sched)),DO_surf_excess+H_O2_T*P_dry)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IF(F_vent_ex+F_hs_net_g&gt;0,S_O2_g/(F_vent_ex+F_hs_net_g),NA())</f>
        <v>0.027569266375</v>
      </c>
      <c r="E329" s="51" t="s">
        <v>2406</v>
      </c>
    </row>
    <row r="330" spans="1:5" x14ac:dyDescent="0.2">
      <c r="A330" s="18" t="s">
        <v>2407</v>
      </c>
      <c r="B330" s="19" t="s">
        <v>2408</v>
      </c>
      <c r="C330" s="20" t="s">
        <v>111</v>
      </c>
      <c r="D330" s="41">
        <f>IF(F_vent_ex+F_hs_net_g&gt;0,H2_src_g/(F_vent_ex+F_hs_net_g),NA())</f>
        <v>0.0</v>
      </c>
      <c r="E330" s="51" t="s">
        <v>2409</v>
      </c>
    </row>
    <row r="331" spans="1:5" ht="36" x14ac:dyDescent="0.2">
      <c r="A331" s="18" t="s">
        <v>2410</v>
      </c>
      <c r="B331" s="19" t="s">
        <v>2411</v>
      </c>
      <c r="C331" s="20" t="s">
        <v>307</v>
      </c>
      <c r="D331" s="41">
        <f>F_vent_ex+MAX(0,O2_src_g+H2_src_g-CO2_fix_g)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IF(F_vent_ex+F_hs_net_l&gt;0,S_O2_l/(F_vent_ex+F_hs_net_l),NA())</f>
        <v>0.053815126441</v>
      </c>
      <c r="E351" s="51" t="s">
        <v>2406</v>
      </c>
    </row>
    <row r="352" spans="1:5" x14ac:dyDescent="0.2">
      <c r="A352" s="18" t="s">
        <v>2468</v>
      </c>
      <c r="B352" s="19" t="s">
        <v>2469</v>
      </c>
      <c r="C352" s="20" t="s">
        <v>111</v>
      </c>
      <c r="D352" s="41">
        <f>IF(F_vent_ex+F_hs_net_l&gt;0,H2_src_l/(F_vent_ex+F_hs_net_l),NA())</f>
        <v>0.093689942909</v>
      </c>
      <c r="E352" s="51" t="s">
        <v>2409</v>
      </c>
    </row>
    <row r="353" spans="1:5" ht="36" x14ac:dyDescent="0.2">
      <c r="A353" s="18" t="s">
        <v>2470</v>
      </c>
      <c r="B353" s="19" t="s">
        <v>2471</v>
      </c>
      <c r="C353" s="20" t="s">
        <v>307</v>
      </c>
      <c r="D353" s="41">
        <f>F_vent_ex+MAX(0,O2_src_l+H2_src_l-CO2_fix_l)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IF(F_vent_ex+CO2_supply+O2_src_sched+H2_src_sched-CO2_fix_sched&gt;0,(CO2_supply-CO2_fix_sched+pCO2_air/P_dry*F_vent_ex)/(F_vent_ex+CO2_supply+O2_src_sched+H2_src_sched-CO2_fix_sched),NA())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IF(F_vent_ex&gt;0,"UNVERIFIED pressure closure: air ingress is assumed; measure vent make-up flow",IF(hs_sag&gt;hs_sag_max,"HEADSPACE SAGS "&amp;TEXT(hs_sag,"0%")&amp;" below 1 atm each cycle – a real cap will draw air back: use Open vent or Air exchange","OK – sag "&amp;TEXT(hs_sag,"0%")&amp;"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0">
        <v>46190</v>
      </c>
      <c r="C4" s="4">
        <v>50</v>
      </c>
      <c r="D4" s="4">
        <v>0</v>
      </c>
      <c r="E4" s="4"/>
      <c r="F4" s="4"/>
      <c r="G4" s="4"/>
      <c r="H4" s="4"/>
      <c r="I4" s="4">
        <v>0.25</v>
      </c>
      <c r="J4" s="4">
        <v>3.33</v>
      </c>
      <c r="K4" s="4"/>
      <c r="L4" s="11" t="s">
        <v>15</v>
      </c>
      <c r="M4" s="4"/>
      <c r="N4" s="4"/>
      <c r="O4" s="12"/>
      <c r="P4" s="13"/>
      <c r="Q4" s="4"/>
    </row>
    <row r="5" spans="1:17" x14ac:dyDescent="0.2">
      <c r="A5" s="4" t="s">
        <v>14</v>
      </c>
      <c r="B5" s="10">
        <v>46190</v>
      </c>
      <c r="C5" s="4">
        <v>50</v>
      </c>
      <c r="D5" s="4">
        <v>50</v>
      </c>
      <c r="E5" s="9">
        <f>D5-D4</f>
        <v>50.0</v>
      </c>
      <c r="F5" s="9">
        <v>15</v>
      </c>
      <c r="G5" s="4">
        <f>E5/F5</f>
        <v>3.333333333333</v>
      </c>
      <c r="H5" s="4">
        <f>AVERAGE(G5)</f>
        <v>3.333333333333</v>
      </c>
      <c r="I5" s="4"/>
      <c r="J5" s="4"/>
      <c r="K5" s="4"/>
      <c r="L5" s="4"/>
      <c r="M5" s="4"/>
      <c r="N5" s="14"/>
      <c r="O5" s="4"/>
      <c r="P5" s="4"/>
      <c r="Q5" s="4"/>
    </row>
    <row r="6" spans="1:17" x14ac:dyDescent="0.2">
      <c r="A6" s="4" t="s">
        <v>14</v>
      </c>
      <c r="B6" s="10">
        <v>46190</v>
      </c>
      <c r="C6" s="4">
        <v>50</v>
      </c>
      <c r="D6" s="4">
        <v>0</v>
      </c>
      <c r="E6" s="4"/>
      <c r="F6" s="4"/>
      <c r="G6" s="4"/>
      <c r="H6" s="4"/>
      <c r="I6" s="4"/>
      <c r="J6" s="4"/>
      <c r="K6" s="8" t="s">
        <v>16</v>
      </c>
      <c r="L6" s="8" t="s">
        <v>17</v>
      </c>
      <c r="M6" s="4"/>
      <c r="N6" s="4"/>
      <c r="O6" s="4"/>
      <c r="P6" s="4"/>
      <c r="Q6" s="4"/>
    </row>
    <row r="7" spans="1:17" x14ac:dyDescent="0.2">
      <c r="A7" s="4" t="s">
        <v>14</v>
      </c>
      <c r="B7" s="10">
        <v>46190</v>
      </c>
      <c r="C7" s="4">
        <v>50</v>
      </c>
      <c r="D7" s="4">
        <v>12</v>
      </c>
      <c r="E7" s="4">
        <f>D7-D6</f>
        <v>12.0</v>
      </c>
      <c r="F7" s="4">
        <v>4</v>
      </c>
      <c r="G7" s="4">
        <f>E7/F7</f>
        <v>3.0</v>
      </c>
      <c r="H7" s="4">
        <f>AVERAGE(G7:G9)</f>
        <v>3.333333333333</v>
      </c>
      <c r="I7" s="4"/>
      <c r="J7" s="4"/>
      <c r="K7" s="4" t="s">
        <v>18</v>
      </c>
      <c r="L7" s="4" t="s">
        <v>2633</v>
      </c>
      <c r="M7" s="4"/>
      <c r="N7" s="7"/>
      <c r="O7" s="4"/>
      <c r="P7" s="4"/>
      <c r="Q7" s="4"/>
    </row>
    <row r="8" spans="1:17" x14ac:dyDescent="0.2">
      <c r="A8" s="4" t="s">
        <v>14</v>
      </c>
      <c r="B8" s="10">
        <v>46190</v>
      </c>
      <c r="C8" s="4">
        <v>50</v>
      </c>
      <c r="D8" s="4">
        <v>26</v>
      </c>
      <c r="E8" s="4">
        <f>D8-D7</f>
        <v>14.0</v>
      </c>
      <c r="F8" s="4">
        <v>4</v>
      </c>
      <c r="G8" s="4">
        <f>E8/F8</f>
        <v>3.5</v>
      </c>
      <c r="H8" s="4"/>
      <c r="I8" s="4"/>
      <c r="J8" s="4"/>
      <c r="K8" s="10">
        <v>46190</v>
      </c>
      <c r="L8" s="4" t="s">
        <v>19</v>
      </c>
      <c r="M8" s="4"/>
      <c r="N8" s="4"/>
      <c r="O8" s="4"/>
      <c r="P8" s="4"/>
      <c r="Q8" s="4"/>
    </row>
    <row r="9" spans="1:17" x14ac:dyDescent="0.2">
      <c r="A9" s="4" t="s">
        <v>14</v>
      </c>
      <c r="B9" s="10">
        <v>46190</v>
      </c>
      <c r="C9" s="4">
        <v>50</v>
      </c>
      <c r="D9" s="4">
        <v>40</v>
      </c>
      <c r="E9" s="4">
        <f>D9-D8</f>
        <v>14.0</v>
      </c>
      <c r="F9" s="4">
        <v>4</v>
      </c>
      <c r="G9" s="4">
        <f>E9/F9</f>
        <v>3.5</v>
      </c>
      <c r="H9" s="4"/>
      <c r="I9" s="4"/>
      <c r="J9" s="4"/>
      <c r="K9" s="10">
        <v>46190</v>
      </c>
      <c r="L9" s="4" t="s">
        <v>2634</v>
      </c>
      <c r="M9" s="4"/>
      <c r="N9" s="4"/>
      <c r="O9" s="4"/>
      <c r="P9" s="4"/>
      <c r="Q9" s="4"/>
    </row>
    <row r="10" spans="1:17" x14ac:dyDescent="0.2">
      <c r="A10" s="4" t="s">
        <v>14</v>
      </c>
      <c r="B10" s="10">
        <v>46190</v>
      </c>
      <c r="C10" s="4">
        <v>50</v>
      </c>
      <c r="D10" s="4">
        <v>0</v>
      </c>
      <c r="E10" s="4"/>
      <c r="F10" s="4"/>
      <c r="G10" s="4"/>
      <c r="H10" s="4"/>
      <c r="I10" s="4"/>
      <c r="J10" s="4"/>
      <c r="K10" s="4"/>
      <c r="L10" s="4" t="s">
        <v>2635</v>
      </c>
      <c r="M10" s="4"/>
      <c r="N10" s="4"/>
      <c r="O10" s="4"/>
      <c r="P10" s="4"/>
      <c r="Q10" s="4"/>
    </row>
    <row r="11" spans="1:17" x14ac:dyDescent="0.2">
      <c r="A11" s="4" t="s">
        <v>14</v>
      </c>
      <c r="B11" s="10">
        <v>46190</v>
      </c>
      <c r="C11" s="4">
        <v>50</v>
      </c>
      <c r="D11" s="4">
        <v>6</v>
      </c>
      <c r="E11" s="4">
        <f t="shared" ref="E11:E16" si="0">D11-D10</f>
        <v>6.0</v>
      </c>
      <c r="F11" s="4">
        <v>2</v>
      </c>
      <c r="G11" s="4">
        <f t="shared" ref="G11:G16" si="1">E11/F11</f>
        <v>3.0</v>
      </c>
      <c r="H11" s="4">
        <f>AVERAGE(G11:G16)</f>
        <v>3.75</v>
      </c>
      <c r="I11" s="4"/>
      <c r="J11" s="4"/>
      <c r="K11" s="4"/>
      <c r="L11" s="4" t="s">
        <v>2636</v>
      </c>
      <c r="M11" s="4"/>
      <c r="N11" s="4"/>
      <c r="O11" s="4"/>
      <c r="P11" s="4"/>
      <c r="Q11" s="4"/>
    </row>
    <row r="12" spans="1:17" x14ac:dyDescent="0.2">
      <c r="A12" s="4" t="s">
        <v>14</v>
      </c>
      <c r="B12" s="10">
        <v>46190</v>
      </c>
      <c r="C12" s="4">
        <v>50</v>
      </c>
      <c r="D12" s="4">
        <v>15</v>
      </c>
      <c r="E12" s="4">
        <f t="shared" si="0"/>
        <v>9.0</v>
      </c>
      <c r="F12" s="4">
        <v>2</v>
      </c>
      <c r="G12" s="4">
        <f t="shared" si="1"/>
        <v>4.5</v>
      </c>
      <c r="H12" s="4"/>
      <c r="I12" s="4"/>
      <c r="J12" s="4"/>
      <c r="K12" s="4"/>
      <c r="L12" s="4"/>
      <c r="M12" s="4"/>
      <c r="N12" s="4"/>
      <c r="O12" s="4"/>
      <c r="P12" s="4"/>
      <c r="Q12" s="4"/>
    </row>
    <row r="13" spans="1:17" x14ac:dyDescent="0.2">
      <c r="A13" s="4" t="s">
        <v>14</v>
      </c>
      <c r="B13" s="10">
        <v>46190</v>
      </c>
      <c r="C13" s="4">
        <v>50</v>
      </c>
      <c r="D13" s="4">
        <v>21</v>
      </c>
      <c r="E13" s="4">
        <f t="shared" si="0"/>
        <v>6.0</v>
      </c>
      <c r="F13" s="4">
        <v>2</v>
      </c>
      <c r="G13" s="4">
        <f t="shared" si="1"/>
        <v>3.0</v>
      </c>
      <c r="H13" s="4"/>
      <c r="I13" s="4"/>
      <c r="J13" s="4"/>
      <c r="K13" s="4"/>
      <c r="L13" s="4"/>
      <c r="M13" s="4"/>
      <c r="N13" s="4"/>
      <c r="O13" s="4"/>
      <c r="P13" s="4"/>
      <c r="Q13" s="4"/>
    </row>
    <row r="14" spans="1:17" x14ac:dyDescent="0.2">
      <c r="A14" s="4" t="s">
        <v>14</v>
      </c>
      <c r="B14" s="10">
        <v>46190</v>
      </c>
      <c r="C14" s="4">
        <v>50</v>
      </c>
      <c r="D14" s="4">
        <v>29</v>
      </c>
      <c r="E14" s="4">
        <f t="shared" si="0"/>
        <v>8.0</v>
      </c>
      <c r="F14" s="4">
        <v>2</v>
      </c>
      <c r="G14" s="4">
        <f t="shared" si="1"/>
        <v>4.0</v>
      </c>
      <c r="H14" s="4"/>
      <c r="I14" s="4"/>
      <c r="J14" s="4"/>
      <c r="K14" s="4"/>
      <c r="L14" s="4"/>
      <c r="M14" s="4"/>
      <c r="N14" s="4"/>
      <c r="O14" s="4"/>
      <c r="P14" s="4"/>
      <c r="Q14" s="4"/>
    </row>
    <row r="15" spans="1:17" x14ac:dyDescent="0.2">
      <c r="A15" s="4" t="s">
        <v>14</v>
      </c>
      <c r="B15" s="10">
        <v>46190</v>
      </c>
      <c r="C15" s="4">
        <v>50</v>
      </c>
      <c r="D15" s="4">
        <v>35</v>
      </c>
      <c r="E15" s="4">
        <f t="shared" si="0"/>
        <v>6.0</v>
      </c>
      <c r="F15" s="4">
        <v>2</v>
      </c>
      <c r="G15" s="4">
        <f t="shared" si="1"/>
        <v>3.0</v>
      </c>
      <c r="H15" s="4"/>
      <c r="I15" s="4"/>
      <c r="J15" s="4"/>
      <c r="K15" s="4"/>
      <c r="L15" s="4"/>
      <c r="M15" s="4"/>
      <c r="N15" s="4"/>
      <c r="O15" s="4"/>
      <c r="P15" s="4"/>
      <c r="Q15" s="4"/>
    </row>
    <row r="16" spans="1:17" x14ac:dyDescent="0.2">
      <c r="A16" s="4" t="s">
        <v>14</v>
      </c>
      <c r="B16" s="10">
        <v>46190</v>
      </c>
      <c r="C16" s="4">
        <v>50</v>
      </c>
      <c r="D16" s="4">
        <v>45</v>
      </c>
      <c r="E16" s="4">
        <f t="shared" si="0"/>
        <v>10.0</v>
      </c>
      <c r="F16" s="4">
        <v>2</v>
      </c>
      <c r="G16" s="4">
        <f t="shared" si="1"/>
        <v>5.0</v>
      </c>
      <c r="H16" s="4"/>
      <c r="I16" s="4"/>
      <c r="J16" s="4"/>
      <c r="K16" s="4"/>
      <c r="L16" s="4"/>
      <c r="M16" s="4"/>
      <c r="N16" s="4"/>
      <c r="O16" s="4"/>
      <c r="P16" s="4"/>
      <c r="Q16" s="4"/>
    </row>
    <row r="17" spans="1:17" x14ac:dyDescent="0.2">
      <c r="A17" s="4" t="s">
        <v>14</v>
      </c>
      <c r="B17" s="10">
        <v>46190</v>
      </c>
      <c r="C17" s="4">
        <v>50</v>
      </c>
      <c r="D17" s="4">
        <v>0</v>
      </c>
      <c r="E17" s="4"/>
      <c r="F17" s="4"/>
      <c r="G17" s="4"/>
      <c r="H17" s="4"/>
      <c r="I17" s="4"/>
      <c r="J17" s="4"/>
      <c r="K17" s="4"/>
      <c r="L17" s="4"/>
      <c r="M17" s="4"/>
      <c r="N17" s="4"/>
      <c r="O17" s="4"/>
      <c r="P17" s="4"/>
      <c r="Q17" s="4"/>
    </row>
    <row r="18" spans="1:17" x14ac:dyDescent="0.2">
      <c r="A18" s="4" t="s">
        <v>14</v>
      </c>
      <c r="B18" s="10">
        <v>46190</v>
      </c>
      <c r="C18" s="4">
        <v>50</v>
      </c>
      <c r="D18" s="4">
        <v>4</v>
      </c>
      <c r="E18" s="4">
        <f t="shared" ref="E18:E23" si="2">D18-D17</f>
        <v>4.0</v>
      </c>
      <c r="F18" s="4">
        <v>1</v>
      </c>
      <c r="G18" s="4">
        <f t="shared" ref="G18:G23" si="3">E18/F18</f>
        <v>4.0</v>
      </c>
      <c r="H18" s="4">
        <f>AVERAGE(G18:G23)</f>
        <v>3.833333333333</v>
      </c>
      <c r="I18" s="4"/>
      <c r="J18" s="4"/>
      <c r="K18" s="4"/>
      <c r="L18" s="4"/>
      <c r="M18" s="4"/>
      <c r="N18" s="4"/>
      <c r="O18" s="4"/>
      <c r="P18" s="4"/>
      <c r="Q18" s="4"/>
    </row>
    <row r="19" spans="1:17" x14ac:dyDescent="0.2">
      <c r="A19" s="4" t="s">
        <v>14</v>
      </c>
      <c r="B19" s="10">
        <v>46190</v>
      </c>
      <c r="C19" s="4">
        <v>50</v>
      </c>
      <c r="D19" s="4">
        <v>8</v>
      </c>
      <c r="E19" s="4">
        <f t="shared" si="2"/>
        <v>4.0</v>
      </c>
      <c r="F19" s="4">
        <v>1</v>
      </c>
      <c r="G19" s="4">
        <f t="shared" si="3"/>
        <v>4.0</v>
      </c>
      <c r="H19" s="4"/>
      <c r="I19" s="4"/>
      <c r="J19" s="4"/>
      <c r="K19" s="4"/>
      <c r="L19" s="4"/>
      <c r="M19" s="4"/>
      <c r="N19" s="4"/>
      <c r="O19" s="4"/>
      <c r="P19" s="4"/>
      <c r="Q19" s="4"/>
    </row>
    <row r="20" spans="1:17" x14ac:dyDescent="0.2">
      <c r="A20" s="4" t="s">
        <v>14</v>
      </c>
      <c r="B20" s="10">
        <v>46190</v>
      </c>
      <c r="C20" s="4">
        <v>50</v>
      </c>
      <c r="D20" s="4">
        <v>11</v>
      </c>
      <c r="E20" s="4">
        <f t="shared" si="2"/>
        <v>3.0</v>
      </c>
      <c r="F20" s="4">
        <v>1</v>
      </c>
      <c r="G20" s="4">
        <f t="shared" si="3"/>
        <v>3.0</v>
      </c>
      <c r="H20" s="4"/>
      <c r="I20" s="4"/>
      <c r="J20" s="4"/>
      <c r="K20" s="4"/>
      <c r="L20" s="4"/>
      <c r="M20" s="4"/>
      <c r="N20" s="4"/>
      <c r="O20" s="4"/>
      <c r="P20" s="4"/>
      <c r="Q20" s="4"/>
    </row>
    <row r="21" spans="1:17" x14ac:dyDescent="0.2">
      <c r="A21" s="4" t="s">
        <v>14</v>
      </c>
      <c r="B21" s="10">
        <v>46190</v>
      </c>
      <c r="C21" s="4">
        <v>50</v>
      </c>
      <c r="D21" s="4">
        <v>15</v>
      </c>
      <c r="E21" s="4">
        <f t="shared" si="2"/>
        <v>4.0</v>
      </c>
      <c r="F21" s="4">
        <v>1</v>
      </c>
      <c r="G21" s="4">
        <f t="shared" si="3"/>
        <v>4.0</v>
      </c>
      <c r="H21" s="4"/>
      <c r="I21" s="4"/>
      <c r="J21" s="4"/>
      <c r="K21" s="4"/>
      <c r="L21" s="4"/>
      <c r="M21" s="4"/>
      <c r="N21" s="4"/>
      <c r="O21" s="4"/>
      <c r="P21" s="4"/>
      <c r="Q21" s="4"/>
    </row>
    <row r="22" spans="1:17" x14ac:dyDescent="0.2">
      <c r="A22" s="4" t="s">
        <v>14</v>
      </c>
      <c r="B22" s="10">
        <v>46190</v>
      </c>
      <c r="C22" s="4">
        <v>50</v>
      </c>
      <c r="D22" s="4">
        <v>19</v>
      </c>
      <c r="E22" s="4">
        <f t="shared" si="2"/>
        <v>4.0</v>
      </c>
      <c r="F22" s="4">
        <v>1</v>
      </c>
      <c r="G22" s="4">
        <f t="shared" si="3"/>
        <v>4.0</v>
      </c>
      <c r="H22" s="4"/>
      <c r="I22" s="4"/>
      <c r="J22" s="4"/>
      <c r="K22" s="4"/>
      <c r="L22" s="4"/>
      <c r="M22" s="4"/>
      <c r="N22" s="4"/>
      <c r="O22" s="4"/>
      <c r="P22" s="4"/>
      <c r="Q22" s="4"/>
    </row>
    <row r="23" spans="1:17" x14ac:dyDescent="0.2">
      <c r="A23" s="4" t="s">
        <v>14</v>
      </c>
      <c r="B23" s="10">
        <v>46190</v>
      </c>
      <c r="C23" s="4">
        <v>50</v>
      </c>
      <c r="D23" s="4">
        <v>23</v>
      </c>
      <c r="E23" s="4">
        <f t="shared" si="2"/>
        <v>4.0</v>
      </c>
      <c r="F23" s="4">
        <v>1</v>
      </c>
      <c r="G23" s="4">
        <f t="shared" si="3"/>
        <v>4.0</v>
      </c>
      <c r="H23" s="4"/>
      <c r="I23" s="4"/>
      <c r="J23" s="4"/>
      <c r="K23" s="4"/>
      <c r="L23" s="4"/>
      <c r="M23" s="4"/>
      <c r="N23" s="4"/>
      <c r="O23" s="4"/>
      <c r="P23" s="4"/>
      <c r="Q23" s="4"/>
    </row>
    <row r="24" spans="1:17" x14ac:dyDescent="0.2">
      <c r="A24" s="4" t="s">
        <v>14</v>
      </c>
      <c r="B24" s="10">
        <v>46190</v>
      </c>
      <c r="C24" s="4">
        <v>50</v>
      </c>
      <c r="D24" s="4">
        <v>31</v>
      </c>
      <c r="E24" s="4"/>
      <c r="F24" s="4"/>
      <c r="G24" s="4"/>
      <c r="H24" s="4"/>
      <c r="I24" s="4"/>
      <c r="J24" s="4"/>
      <c r="K24" s="4"/>
      <c r="L24" s="4"/>
      <c r="M24" s="4"/>
      <c r="N24" s="4"/>
      <c r="O24" s="4"/>
      <c r="P24" s="4"/>
      <c r="Q24" s="4"/>
    </row>
    <row r="25" spans="1:17" x14ac:dyDescent="0.2">
      <c r="A25" s="4" t="s">
        <v>14</v>
      </c>
      <c r="B25" s="10">
        <v>46190</v>
      </c>
      <c r="C25" s="4">
        <v>50</v>
      </c>
      <c r="D25" s="4">
        <v>33</v>
      </c>
      <c r="E25" s="4">
        <f t="shared" ref="E25:E39" si="4">D25-D24</f>
        <v>2.0</v>
      </c>
      <c r="F25" s="4">
        <v>0.5</v>
      </c>
      <c r="G25" s="4">
        <f t="shared" ref="G25:G34" si="5">E25/F25</f>
        <v>4.0</v>
      </c>
      <c r="H25" s="4">
        <f>AVERAGE(G25:G29)</f>
        <v>4.0</v>
      </c>
      <c r="I25" s="4"/>
      <c r="J25" s="4"/>
      <c r="K25" s="4"/>
      <c r="L25" s="4"/>
      <c r="M25" s="4"/>
      <c r="N25" s="4"/>
      <c r="O25" s="4"/>
      <c r="P25" s="4"/>
      <c r="Q25" s="4"/>
    </row>
    <row r="26" spans="1:17" x14ac:dyDescent="0.2">
      <c r="A26" s="4" t="s">
        <v>14</v>
      </c>
      <c r="B26" s="10">
        <v>46190</v>
      </c>
      <c r="C26" s="4">
        <v>50</v>
      </c>
      <c r="D26" s="4">
        <v>35</v>
      </c>
      <c r="E26" s="4">
        <f t="shared" si="4"/>
        <v>2.0</v>
      </c>
      <c r="F26" s="4">
        <v>0.5</v>
      </c>
      <c r="G26" s="4">
        <f t="shared" si="5"/>
        <v>4.0</v>
      </c>
      <c r="H26" s="4"/>
      <c r="I26" s="4"/>
      <c r="J26" s="4"/>
      <c r="K26" s="4"/>
      <c r="L26" s="4"/>
      <c r="M26" s="4"/>
      <c r="N26" s="4"/>
      <c r="O26" s="4"/>
      <c r="P26" s="4"/>
      <c r="Q26" s="4"/>
    </row>
    <row r="27" spans="1:17" x14ac:dyDescent="0.2">
      <c r="A27" s="4" t="s">
        <v>14</v>
      </c>
      <c r="B27" s="10">
        <v>46190</v>
      </c>
      <c r="C27" s="4">
        <v>50</v>
      </c>
      <c r="D27" s="4">
        <v>37</v>
      </c>
      <c r="E27" s="4">
        <f t="shared" si="4"/>
        <v>2.0</v>
      </c>
      <c r="F27" s="4">
        <v>0.5</v>
      </c>
      <c r="G27" s="4">
        <f t="shared" si="5"/>
        <v>4.0</v>
      </c>
      <c r="H27" s="4"/>
      <c r="I27" s="4"/>
      <c r="J27" s="4"/>
      <c r="K27" s="4"/>
      <c r="L27" s="4"/>
      <c r="M27" s="4"/>
      <c r="N27" s="4"/>
      <c r="O27" s="4"/>
      <c r="P27" s="4"/>
      <c r="Q27" s="4"/>
    </row>
    <row r="28" spans="1:17" x14ac:dyDescent="0.2">
      <c r="A28" s="4" t="s">
        <v>14</v>
      </c>
      <c r="B28" s="10">
        <v>46190</v>
      </c>
      <c r="C28" s="4">
        <v>50</v>
      </c>
      <c r="D28" s="4">
        <v>39</v>
      </c>
      <c r="E28" s="4">
        <f t="shared" si="4"/>
        <v>2.0</v>
      </c>
      <c r="F28" s="4">
        <v>0.5</v>
      </c>
      <c r="G28" s="4">
        <f t="shared" si="5"/>
        <v>4.0</v>
      </c>
      <c r="H28" s="4"/>
      <c r="I28" s="4"/>
      <c r="J28" s="4"/>
      <c r="K28" s="4"/>
      <c r="L28" s="4"/>
      <c r="M28" s="4"/>
      <c r="N28" s="4"/>
      <c r="O28" s="4"/>
      <c r="P28" s="4"/>
      <c r="Q28" s="4"/>
    </row>
    <row r="29" spans="1:17" x14ac:dyDescent="0.2">
      <c r="A29" s="4" t="s">
        <v>14</v>
      </c>
      <c r="B29" s="10">
        <v>46190</v>
      </c>
      <c r="C29" s="4">
        <v>50</v>
      </c>
      <c r="D29" s="4">
        <v>41</v>
      </c>
      <c r="E29" s="4">
        <f t="shared" si="4"/>
        <v>2.0</v>
      </c>
      <c r="F29" s="4">
        <v>0.5</v>
      </c>
      <c r="G29" s="4">
        <f t="shared" si="5"/>
        <v>4.0</v>
      </c>
      <c r="H29" s="4"/>
      <c r="I29" s="4"/>
      <c r="J29" s="4"/>
      <c r="K29" s="4"/>
      <c r="L29" s="4"/>
      <c r="M29" s="4"/>
      <c r="N29" s="4"/>
      <c r="O29" s="4"/>
      <c r="P29" s="4"/>
      <c r="Q29" s="4"/>
    </row>
    <row r="30" spans="1:17" x14ac:dyDescent="0.2">
      <c r="A30" s="4" t="s">
        <v>14</v>
      </c>
      <c r="B30" s="10">
        <v>46190</v>
      </c>
      <c r="C30" s="4">
        <v>50</v>
      </c>
      <c r="D30" s="4">
        <v>42</v>
      </c>
      <c r="E30" s="4">
        <f t="shared" si="4"/>
        <v>1.0</v>
      </c>
      <c r="F30" s="4">
        <v>0.25</v>
      </c>
      <c r="G30" s="4">
        <f t="shared" si="5"/>
        <v>4.0</v>
      </c>
      <c r="H30" s="4">
        <f>AVERAGE(G30:G34)</f>
        <v>4.0</v>
      </c>
      <c r="I30" s="4"/>
      <c r="J30" s="4"/>
      <c r="K30" s="4"/>
      <c r="L30" s="4"/>
      <c r="M30" s="4"/>
      <c r="N30" s="4"/>
      <c r="O30" s="4"/>
      <c r="P30" s="4"/>
      <c r="Q30" s="4"/>
    </row>
    <row r="31" spans="1:17" x14ac:dyDescent="0.2">
      <c r="A31" s="4" t="s">
        <v>14</v>
      </c>
      <c r="B31" s="10">
        <v>46190</v>
      </c>
      <c r="C31" s="4">
        <v>50</v>
      </c>
      <c r="D31" s="4">
        <v>43</v>
      </c>
      <c r="E31" s="4">
        <f t="shared" si="4"/>
        <v>1.0</v>
      </c>
      <c r="F31" s="4">
        <v>0.25</v>
      </c>
      <c r="G31" s="4">
        <f t="shared" si="5"/>
        <v>4.0</v>
      </c>
      <c r="H31" s="4"/>
      <c r="I31" s="4"/>
      <c r="J31" s="4"/>
      <c r="K31" s="4"/>
      <c r="L31" s="4"/>
      <c r="M31" s="4"/>
      <c r="N31" s="4"/>
      <c r="O31" s="4"/>
      <c r="P31" s="4"/>
      <c r="Q31" s="4"/>
    </row>
    <row r="32" spans="1:17" x14ac:dyDescent="0.2">
      <c r="A32" s="4" t="s">
        <v>14</v>
      </c>
      <c r="B32" s="10">
        <v>46190</v>
      </c>
      <c r="C32" s="4">
        <v>50</v>
      </c>
      <c r="D32" s="4">
        <v>44</v>
      </c>
      <c r="E32" s="4">
        <f t="shared" si="4"/>
        <v>1.0</v>
      </c>
      <c r="F32" s="4">
        <v>0.25</v>
      </c>
      <c r="G32" s="4">
        <f t="shared" si="5"/>
        <v>4.0</v>
      </c>
      <c r="H32" s="4"/>
      <c r="I32" s="4"/>
      <c r="J32" s="4"/>
      <c r="K32" s="4"/>
      <c r="L32" s="4"/>
      <c r="M32" s="4"/>
      <c r="N32" s="4"/>
      <c r="O32" s="4"/>
      <c r="P32" s="4"/>
      <c r="Q32" s="4"/>
    </row>
    <row r="33" spans="1:17" x14ac:dyDescent="0.2">
      <c r="A33" s="4" t="s">
        <v>14</v>
      </c>
      <c r="B33" s="10">
        <v>46190</v>
      </c>
      <c r="C33" s="4">
        <v>50</v>
      </c>
      <c r="D33" s="4">
        <v>45</v>
      </c>
      <c r="E33" s="4">
        <f t="shared" si="4"/>
        <v>1.0</v>
      </c>
      <c r="F33" s="4">
        <v>0.25</v>
      </c>
      <c r="G33" s="4">
        <f t="shared" si="5"/>
        <v>4.0</v>
      </c>
      <c r="H33" s="4"/>
      <c r="I33" s="4"/>
      <c r="J33" s="4"/>
      <c r="K33" s="4"/>
      <c r="L33" s="4"/>
      <c r="M33" s="4"/>
      <c r="N33" s="4"/>
      <c r="O33" s="4"/>
      <c r="P33" s="4"/>
      <c r="Q33" s="4"/>
    </row>
    <row r="34" spans="1:17" x14ac:dyDescent="0.2">
      <c r="A34" s="4" t="s">
        <v>14</v>
      </c>
      <c r="B34" s="10">
        <v>46190</v>
      </c>
      <c r="C34" s="4">
        <v>50</v>
      </c>
      <c r="D34" s="4">
        <v>46</v>
      </c>
      <c r="E34" s="4">
        <f t="shared" si="4"/>
        <v>1.0</v>
      </c>
      <c r="F34" s="4">
        <v>0.25</v>
      </c>
      <c r="G34" s="4">
        <f t="shared" si="5"/>
        <v>4.0</v>
      </c>
      <c r="H34" s="4"/>
      <c r="I34" s="4"/>
      <c r="J34" s="4"/>
      <c r="K34" s="4"/>
      <c r="L34" s="4"/>
      <c r="M34" s="4"/>
      <c r="N34" s="4"/>
      <c r="O34" s="4"/>
      <c r="P34" s="4"/>
      <c r="Q34" s="4"/>
    </row>
    <row r="35" spans="1:17" x14ac:dyDescent="0.2">
      <c r="A35" s="4" t="s">
        <v>14</v>
      </c>
      <c r="B35" s="10">
        <v>46190</v>
      </c>
      <c r="C35" s="4">
        <v>10</v>
      </c>
      <c r="D35" s="4">
        <v>0</v>
      </c>
      <c r="E35" s="4">
        <f t="shared" si="4"/>
        <v>-46.0</v>
      </c>
      <c r="F35" s="4"/>
      <c r="G35" s="4"/>
      <c r="H35" s="4"/>
      <c r="I35" s="4"/>
      <c r="J35" s="4"/>
      <c r="K35" s="4"/>
      <c r="L35" s="4"/>
      <c r="M35" s="4"/>
      <c r="N35" s="4"/>
      <c r="O35" s="4"/>
      <c r="P35" s="4"/>
      <c r="Q35" s="4"/>
    </row>
    <row r="36" spans="1:17" x14ac:dyDescent="0.2">
      <c r="A36" s="4" t="s">
        <v>14</v>
      </c>
      <c r="B36" s="10">
        <v>46190</v>
      </c>
      <c r="C36" s="4">
        <v>10</v>
      </c>
      <c r="D36" s="4">
        <v>0.4</v>
      </c>
      <c r="E36" s="4">
        <f t="shared" si="4"/>
        <v>0.4</v>
      </c>
      <c r="F36" s="4">
        <v>0.2</v>
      </c>
      <c r="G36" s="11">
        <f>E36/F36</f>
        <v>2.0</v>
      </c>
      <c r="H36" s="4"/>
      <c r="I36" s="4"/>
      <c r="J36" s="4"/>
      <c r="K36" s="4"/>
      <c r="L36" s="4"/>
      <c r="M36" s="4"/>
      <c r="N36" s="4">
        <v>1</v>
      </c>
      <c r="O36" s="4"/>
      <c r="P36" s="4"/>
      <c r="Q36" s="4"/>
    </row>
    <row r="37" spans="1:17" x14ac:dyDescent="0.2">
      <c r="A37" s="4" t="s">
        <v>14</v>
      </c>
      <c r="B37" s="10">
        <v>46190</v>
      </c>
      <c r="C37" s="4">
        <v>10</v>
      </c>
      <c r="D37" s="4">
        <v>1.2</v>
      </c>
      <c r="E37" s="4">
        <f t="shared" si="4"/>
        <v>0.8</v>
      </c>
      <c r="F37" s="4">
        <v>0.2</v>
      </c>
      <c r="G37" s="4">
        <f>E37/F37</f>
        <v>4.0</v>
      </c>
      <c r="H37" s="4">
        <f>AVERAGE(G37:G39)</f>
        <v>4.333333333333</v>
      </c>
      <c r="I37" s="4"/>
      <c r="J37" s="4"/>
      <c r="K37" s="4"/>
      <c r="L37" s="4"/>
      <c r="M37" s="4"/>
      <c r="N37" s="4"/>
      <c r="O37" s="4"/>
      <c r="P37" s="4"/>
      <c r="Q37" s="4"/>
    </row>
    <row r="38" spans="1:17" x14ac:dyDescent="0.2">
      <c r="A38" s="4" t="s">
        <v>14</v>
      </c>
      <c r="B38" s="10">
        <v>46190</v>
      </c>
      <c r="C38" s="4">
        <v>10</v>
      </c>
      <c r="D38" s="4">
        <v>2.2000000000000002</v>
      </c>
      <c r="E38" s="4">
        <f t="shared" si="4"/>
        <v>1.0</v>
      </c>
      <c r="F38" s="4">
        <v>0.2</v>
      </c>
      <c r="G38" s="4">
        <f>E38/F38</f>
        <v>5.0</v>
      </c>
      <c r="H38" s="4"/>
      <c r="I38" s="4"/>
      <c r="J38" s="4"/>
      <c r="K38" s="4"/>
      <c r="L38" s="4"/>
      <c r="M38" s="4"/>
      <c r="N38" s="4"/>
      <c r="O38" s="4"/>
      <c r="P38" s="4"/>
      <c r="Q38" s="4"/>
    </row>
    <row r="39" spans="1:17" x14ac:dyDescent="0.2">
      <c r="A39" s="4" t="s">
        <v>14</v>
      </c>
      <c r="B39" s="10">
        <v>46190</v>
      </c>
      <c r="C39" s="4">
        <v>10</v>
      </c>
      <c r="D39" s="4">
        <v>3</v>
      </c>
      <c r="E39" s="4">
        <f t="shared" si="4"/>
        <v>0.8</v>
      </c>
      <c r="F39" s="4">
        <v>0.2</v>
      </c>
      <c r="G39" s="4">
        <f>E39/F39</f>
        <v>4.0</v>
      </c>
      <c r="H39" s="4"/>
      <c r="I39" s="4"/>
      <c r="J39" s="4"/>
      <c r="K39" s="4"/>
      <c r="L39" s="4"/>
      <c r="M39" s="4"/>
      <c r="N39" s="4"/>
      <c r="O39" s="4"/>
      <c r="P39" s="4"/>
      <c r="Q39" s="4"/>
    </row>
    <row r="40" spans="1:17" x14ac:dyDescent="0.2">
      <c r="A40" s="4" t="s">
        <v>14</v>
      </c>
      <c r="B40" s="10">
        <v>46190</v>
      </c>
      <c r="C40" s="4">
        <v>10</v>
      </c>
      <c r="D40" s="4">
        <v>0</v>
      </c>
      <c r="E40" s="4"/>
      <c r="F40" s="4"/>
      <c r="G40" s="4"/>
      <c r="H40" s="4"/>
      <c r="I40" s="4"/>
      <c r="J40" s="4"/>
      <c r="K40" s="4"/>
      <c r="L40" s="4"/>
      <c r="M40" s="4"/>
      <c r="N40" s="4"/>
      <c r="O40" s="4"/>
      <c r="P40" s="4"/>
      <c r="Q40" s="4"/>
    </row>
    <row r="41" spans="1:17" x14ac:dyDescent="0.2">
      <c r="A41" s="4" t="s">
        <v>14</v>
      </c>
      <c r="B41" s="10">
        <v>46190</v>
      </c>
      <c r="C41" s="4">
        <v>10</v>
      </c>
      <c r="D41" s="4">
        <v>0.4</v>
      </c>
      <c r="E41" s="4">
        <f t="shared" ref="E41:E46" si="6">D41-D40</f>
        <v>0.4</v>
      </c>
      <c r="F41" s="4">
        <v>0.1</v>
      </c>
      <c r="G41" s="4">
        <f t="shared" ref="G41:G46" si="7">E41/F41</f>
        <v>4.0</v>
      </c>
      <c r="H41" s="4">
        <f>AVERAGE(G41:G45)</f>
        <v>5.2</v>
      </c>
      <c r="I41" s="4"/>
      <c r="J41" s="4"/>
      <c r="K41" s="4"/>
      <c r="L41" s="4"/>
      <c r="M41" s="4"/>
      <c r="N41" s="4"/>
      <c r="O41" s="4"/>
      <c r="P41" s="4"/>
      <c r="Q41" s="4"/>
    </row>
    <row r="42" spans="1:17" x14ac:dyDescent="0.2">
      <c r="A42" s="4" t="s">
        <v>14</v>
      </c>
      <c r="B42" s="10">
        <v>46190</v>
      </c>
      <c r="C42" s="4">
        <v>10</v>
      </c>
      <c r="D42" s="4">
        <v>0.8</v>
      </c>
      <c r="E42" s="4">
        <f t="shared" si="6"/>
        <v>0.4</v>
      </c>
      <c r="F42" s="4">
        <v>0.1</v>
      </c>
      <c r="G42" s="4">
        <f t="shared" si="7"/>
        <v>4.0</v>
      </c>
      <c r="H42" s="4"/>
      <c r="I42" s="4"/>
      <c r="J42" s="4"/>
      <c r="K42" s="4"/>
      <c r="L42" s="4"/>
      <c r="M42" s="4"/>
      <c r="N42" s="4"/>
      <c r="O42" s="4"/>
      <c r="P42" s="4"/>
      <c r="Q42" s="4"/>
    </row>
    <row r="43" spans="1:17" x14ac:dyDescent="0.2">
      <c r="A43" s="4" t="s">
        <v>14</v>
      </c>
      <c r="B43" s="10">
        <v>46190</v>
      </c>
      <c r="C43" s="4">
        <v>10</v>
      </c>
      <c r="D43" s="4">
        <v>1.4</v>
      </c>
      <c r="E43" s="4">
        <f t="shared" si="6"/>
        <v>0.6</v>
      </c>
      <c r="F43" s="4">
        <v>0.1</v>
      </c>
      <c r="G43" s="4">
        <f t="shared" si="7"/>
        <v>6.0</v>
      </c>
      <c r="H43" s="4"/>
      <c r="I43" s="4"/>
      <c r="J43" s="4"/>
      <c r="K43" s="4"/>
      <c r="L43" s="4"/>
      <c r="M43" s="4"/>
      <c r="N43" s="4"/>
      <c r="O43" s="4"/>
      <c r="P43" s="4"/>
      <c r="Q43" s="4"/>
    </row>
    <row r="44" spans="1:17" x14ac:dyDescent="0.2">
      <c r="A44" s="4" t="s">
        <v>14</v>
      </c>
      <c r="B44" s="10">
        <v>46190</v>
      </c>
      <c r="C44" s="4">
        <v>10</v>
      </c>
      <c r="D44" s="4">
        <v>2</v>
      </c>
      <c r="E44" s="4">
        <f t="shared" si="6"/>
        <v>0.6</v>
      </c>
      <c r="F44" s="4">
        <v>0.1</v>
      </c>
      <c r="G44" s="4">
        <f t="shared" si="7"/>
        <v>6.0</v>
      </c>
      <c r="H44" s="4"/>
      <c r="I44" s="4"/>
      <c r="J44" s="4"/>
      <c r="K44" s="4"/>
      <c r="L44" s="4"/>
      <c r="M44" s="4"/>
      <c r="N44" s="4"/>
      <c r="O44" s="4"/>
      <c r="P44" s="4"/>
      <c r="Q44" s="4"/>
    </row>
    <row r="45" spans="1:17" x14ac:dyDescent="0.2">
      <c r="A45" s="4" t="s">
        <v>14</v>
      </c>
      <c r="B45" s="10">
        <v>46190</v>
      </c>
      <c r="C45" s="4">
        <v>10</v>
      </c>
      <c r="D45" s="4">
        <v>2.6</v>
      </c>
      <c r="E45" s="4">
        <f t="shared" si="6"/>
        <v>0.6</v>
      </c>
      <c r="F45" s="4">
        <v>0.1</v>
      </c>
      <c r="G45" s="4">
        <f t="shared" si="7"/>
        <v>6.0</v>
      </c>
      <c r="H45" s="4"/>
      <c r="I45" s="4"/>
      <c r="J45" s="4"/>
      <c r="K45" s="4"/>
      <c r="L45" s="4"/>
      <c r="M45" s="4"/>
      <c r="N45" s="4"/>
      <c r="O45" s="4"/>
      <c r="P45" s="4"/>
      <c r="Q45" s="4"/>
    </row>
    <row r="46" spans="1:17" x14ac:dyDescent="0.2">
      <c r="A46" s="4" t="s">
        <v>14</v>
      </c>
      <c r="B46" s="10">
        <v>46190</v>
      </c>
      <c r="C46" s="4">
        <v>10</v>
      </c>
      <c r="D46" s="4">
        <v>2.8</v>
      </c>
      <c r="E46" s="4">
        <f t="shared" si="6"/>
        <v>0.2</v>
      </c>
      <c r="F46" s="4">
        <v>0.1</v>
      </c>
      <c r="G46" s="11">
        <f t="shared" si="7"/>
        <v>2.0</v>
      </c>
      <c r="H46" s="4"/>
      <c r="I46" s="4"/>
      <c r="J46" s="4"/>
      <c r="K46" s="4"/>
      <c r="L46" s="4"/>
      <c r="M46" s="4"/>
      <c r="N46" s="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63"/>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01" t="str">
        <f t="shared" si="12"/>
        <v/>
      </c>
      <c r="G82" s="93"/>
      <c r="H82" s="93"/>
      <c r="I82" s="72"/>
      <c r="J82" s="72"/>
      <c r="K82" s="72"/>
      <c r="L82" s="72"/>
      <c r="M82" s="72"/>
    </row>
    <row r="83" spans="1:13" x14ac:dyDescent="0.2">
      <c r="A83" s="93"/>
      <c r="B83" s="94"/>
      <c r="C83" s="93"/>
      <c r="D83" s="94"/>
      <c r="E83" s="100" t="str">
        <f t="shared" si="11"/>
        <v/>
      </c>
      <c r="F83" s="101" t="str">
        <f t="shared" si="12"/>
        <v/>
      </c>
      <c r="G83" s="93"/>
      <c r="H83" s="93"/>
      <c r="I83" s="72"/>
      <c r="J83" s="72"/>
      <c r="K83" s="72"/>
      <c r="L83" s="72"/>
      <c r="M83" s="72"/>
    </row>
    <row r="84" spans="1:13" x14ac:dyDescent="0.2">
      <c r="A84" s="93"/>
      <c r="B84" s="94"/>
      <c r="C84" s="93"/>
      <c r="D84" s="94"/>
      <c r="E84" s="100" t="str">
        <f t="shared" si="11"/>
        <v/>
      </c>
      <c r="F84" s="101" t="str">
        <f t="shared" si="12"/>
        <v/>
      </c>
      <c r="G84" s="93"/>
      <c r="H84" s="93"/>
      <c r="I84" s="72"/>
      <c r="J84" s="72"/>
      <c r="K84" s="72"/>
      <c r="L84" s="72"/>
      <c r="M84" s="72"/>
    </row>
    <row r="85" spans="1:13" x14ac:dyDescent="0.2">
      <c r="A85" s="93"/>
      <c r="B85" s="94"/>
      <c r="C85" s="93"/>
      <c r="D85" s="94"/>
      <c r="E85" s="100" t="str">
        <f t="shared" si="11"/>
        <v/>
      </c>
      <c r="F85" s="101"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I62"/>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49">
        <v>4.26</v>
      </c>
      <c r="D6" s="149">
        <v>141.96</v>
      </c>
      <c r="E6" s="149">
        <f t="shared" ref="E6:E12" si="0">C6/D6*1000</f>
        <v>30.008453085376</v>
      </c>
      <c r="F6" s="149">
        <v>30</v>
      </c>
      <c r="G6" s="149"/>
      <c r="H6" s="149"/>
      <c r="I6" s="143"/>
    </row>
    <row r="7" spans="1:9" ht="24" customHeight="1" x14ac:dyDescent="0.2">
      <c r="A7" s="143" t="s">
        <v>2756</v>
      </c>
      <c r="B7" s="143" t="s">
        <v>2757</v>
      </c>
      <c r="C7" s="149">
        <v>4.68</v>
      </c>
      <c r="D7" s="149">
        <v>156.01</v>
      </c>
      <c r="E7" s="149">
        <f t="shared" si="0"/>
        <v>29.998077046343</v>
      </c>
      <c r="F7" s="149">
        <v>30</v>
      </c>
      <c r="G7" s="149"/>
      <c r="H7" s="149"/>
      <c r="I7" s="143"/>
    </row>
    <row r="8" spans="1:9" ht="24" customHeight="1" x14ac:dyDescent="0.2">
      <c r="A8" s="143" t="s">
        <v>2758</v>
      </c>
      <c r="B8" s="143" t="s">
        <v>2759</v>
      </c>
      <c r="C8" s="149">
        <v>0.17</v>
      </c>
      <c r="D8" s="149">
        <v>174.26</v>
      </c>
      <c r="E8" s="149">
        <f t="shared" si="0"/>
        <v>0.975553770228</v>
      </c>
      <c r="F8" s="149">
        <v>0.98</v>
      </c>
      <c r="G8" s="149"/>
      <c r="H8" s="149"/>
      <c r="I8" s="143"/>
    </row>
    <row r="9" spans="1:9" ht="24" customHeight="1" x14ac:dyDescent="0.2">
      <c r="A9" s="143" t="s">
        <v>2760</v>
      </c>
      <c r="B9" s="143" t="s">
        <v>2761</v>
      </c>
      <c r="C9" s="149">
        <v>9.7000000000000003E-2</v>
      </c>
      <c r="D9" s="149">
        <v>172.17</v>
      </c>
      <c r="E9" s="149">
        <f t="shared" si="0"/>
        <v>0.563396642853</v>
      </c>
      <c r="F9" s="149">
        <v>0.56000000000000005</v>
      </c>
      <c r="G9" s="149"/>
      <c r="H9" s="149"/>
      <c r="I9" s="143"/>
    </row>
    <row r="10" spans="1:9" ht="24" customHeight="1" x14ac:dyDescent="0.2">
      <c r="A10" s="143" t="s">
        <v>2762</v>
      </c>
      <c r="B10" s="143" t="s">
        <v>2763</v>
      </c>
      <c r="C10" s="149">
        <v>0.8</v>
      </c>
      <c r="D10" s="149">
        <v>246.48</v>
      </c>
      <c r="E10" s="149">
        <f t="shared" si="0"/>
        <v>3.245699448231</v>
      </c>
      <c r="F10" s="149">
        <v>3.25</v>
      </c>
      <c r="G10" s="149"/>
      <c r="H10" s="149"/>
      <c r="I10" s="143"/>
    </row>
    <row r="11" spans="1:9" ht="24" customHeight="1" x14ac:dyDescent="0.2">
      <c r="A11" s="143" t="s">
        <v>2764</v>
      </c>
      <c r="B11" s="143" t="s">
        <v>2765</v>
      </c>
      <c r="C11" s="149">
        <v>0.94299999999999995</v>
      </c>
      <c r="D11" s="149">
        <v>132.13999999999999</v>
      </c>
      <c r="E11" s="149">
        <f t="shared" si="0"/>
        <v>7.136370516119</v>
      </c>
      <c r="F11" s="149">
        <v>7.14</v>
      </c>
      <c r="G11" s="149"/>
      <c r="H11" s="149"/>
      <c r="I11" s="143"/>
    </row>
    <row r="12" spans="1:9" ht="24" customHeight="1" x14ac:dyDescent="0.2">
      <c r="A12" s="143" t="s">
        <v>2766</v>
      </c>
      <c r="B12" s="143" t="s">
        <v>2767</v>
      </c>
      <c r="C12" s="149">
        <v>3.36</v>
      </c>
      <c r="D12" s="149">
        <v>84.007000000000005</v>
      </c>
      <c r="E12" s="149">
        <f t="shared" si="0"/>
        <v>39.996666944421</v>
      </c>
      <c r="F12" s="149">
        <v>40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43">
        <v>0.68</v>
      </c>
      <c r="C15" s="149" t="s">
        <v>2772</v>
      </c>
      <c r="D15" s="149"/>
      <c r="E15" s="149"/>
      <c r="F15" s="149"/>
      <c r="G15" s="149"/>
      <c r="H15" s="149"/>
      <c r="I15" s="143"/>
    </row>
    <row r="16" spans="1:9" ht="24" customHeight="1" x14ac:dyDescent="0.2">
      <c r="A16" s="143" t="s">
        <v>2773</v>
      </c>
      <c r="B16" s="143">
        <v>0.05</v>
      </c>
      <c r="C16" s="149" t="s">
        <v>2772</v>
      </c>
      <c r="D16" s="149"/>
      <c r="E16" s="149"/>
      <c r="F16" s="149"/>
      <c r="G16" s="149"/>
      <c r="H16" s="149"/>
      <c r="I16" s="143"/>
    </row>
    <row r="17" spans="1:9" ht="24" customHeight="1" x14ac:dyDescent="0.2">
      <c r="A17" s="143" t="s">
        <v>2774</v>
      </c>
      <c r="B17" s="143">
        <v>50</v>
      </c>
      <c r="C17" s="149" t="s">
        <v>2775</v>
      </c>
      <c r="D17" s="149"/>
      <c r="E17" s="149"/>
      <c r="F17" s="149"/>
      <c r="G17" s="149"/>
      <c r="H17" s="149"/>
      <c r="I17" s="143"/>
    </row>
    <row r="18" spans="1:9" ht="24" customHeight="1" x14ac:dyDescent="0.2">
      <c r="A18" s="143" t="s">
        <v>2776</v>
      </c>
      <c r="B18" s="143">
        <v>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49">
        <v>15</v>
      </c>
      <c r="D21" s="149">
        <v>278.01</v>
      </c>
      <c r="E21" s="149">
        <f>C21/D21*1000</f>
        <v>53.954893708859</v>
      </c>
      <c r="F21" s="149">
        <f>$B$15</f>
        <v>0.68</v>
      </c>
      <c r="G21" s="149">
        <f>E21*F21</f>
        <v>36.689327722024</v>
      </c>
      <c r="H21" s="149">
        <v>36.700000000000003</v>
      </c>
      <c r="I21" s="144">
        <v>54</v>
      </c>
    </row>
    <row r="22" spans="1:9" ht="24" customHeight="1" x14ac:dyDescent="0.2">
      <c r="A22" s="143" t="s">
        <v>2786</v>
      </c>
      <c r="B22" s="143" t="s">
        <v>2787</v>
      </c>
      <c r="C22" s="149"/>
      <c r="D22" s="149">
        <v>98.078999999999994</v>
      </c>
      <c r="E22" s="149">
        <v>200</v>
      </c>
      <c r="F22" s="149">
        <f>$B$15</f>
        <v>0.68</v>
      </c>
      <c r="G22" s="149">
        <f>E22*F22</f>
        <v>136.0</v>
      </c>
      <c r="H22" s="149">
        <v>140</v>
      </c>
      <c r="I22" s="144">
        <v>200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49">
        <v>1.8</v>
      </c>
      <c r="D25" s="149">
        <v>241.95</v>
      </c>
      <c r="E25" s="149">
        <f t="shared" ref="E25:E30" si="1">C25/D25*1000</f>
        <v>7.439553626782</v>
      </c>
      <c r="F25" s="149">
        <f t="shared" ref="F25:F31" si="2">$B$16</f>
        <v>0.05</v>
      </c>
      <c r="G25" s="149">
        <f t="shared" ref="G25:G31" si="3">E25*F25</f>
        <v>0.371977681339</v>
      </c>
      <c r="H25" s="149">
        <v>0.37</v>
      </c>
      <c r="I25" s="144">
        <v>7.44</v>
      </c>
    </row>
    <row r="26" spans="1:9" ht="24" customHeight="1" x14ac:dyDescent="0.2">
      <c r="A26" s="143" t="s">
        <v>2791</v>
      </c>
      <c r="B26" s="143" t="s">
        <v>2792</v>
      </c>
      <c r="C26" s="149">
        <v>2.4</v>
      </c>
      <c r="D26" s="149">
        <v>287.54000000000002</v>
      </c>
      <c r="E26" s="149">
        <f t="shared" si="1"/>
        <v>8.346664811852</v>
      </c>
      <c r="F26" s="149">
        <f t="shared" si="2"/>
        <v>0.05</v>
      </c>
      <c r="G26" s="149">
        <f t="shared" si="3"/>
        <v>0.417333240593</v>
      </c>
      <c r="H26" s="149">
        <v>0.42</v>
      </c>
      <c r="I26" s="144">
        <v>8.35</v>
      </c>
    </row>
    <row r="27" spans="1:9" ht="24" customHeight="1" x14ac:dyDescent="0.2">
      <c r="A27" s="143" t="s">
        <v>2793</v>
      </c>
      <c r="B27" s="143" t="s">
        <v>2794</v>
      </c>
      <c r="C27" s="149">
        <v>2.4</v>
      </c>
      <c r="D27" s="149">
        <v>169.02</v>
      </c>
      <c r="E27" s="149">
        <f t="shared" si="1"/>
        <v>14.199503017394</v>
      </c>
      <c r="F27" s="149">
        <f t="shared" si="2"/>
        <v>0.05</v>
      </c>
      <c r="G27" s="149">
        <f t="shared" si="3"/>
        <v>0.70997515087</v>
      </c>
      <c r="H27" s="149">
        <v>0.71</v>
      </c>
      <c r="I27" s="144">
        <v>14.2</v>
      </c>
    </row>
    <row r="28" spans="1:9" ht="24" customHeight="1" x14ac:dyDescent="0.2">
      <c r="A28" s="143" t="s">
        <v>2795</v>
      </c>
      <c r="B28" s="143" t="s">
        <v>2796</v>
      </c>
      <c r="C28" s="149">
        <v>0.48</v>
      </c>
      <c r="D28" s="149">
        <v>249.68</v>
      </c>
      <c r="E28" s="149">
        <f t="shared" si="1"/>
        <v>1.92246074976</v>
      </c>
      <c r="F28" s="149">
        <f t="shared" si="2"/>
        <v>0.05</v>
      </c>
      <c r="G28" s="149">
        <f t="shared" si="3"/>
        <v>0.096123037488</v>
      </c>
      <c r="H28" s="149">
        <v>9.6000000000000002E-2</v>
      </c>
      <c r="I28" s="144">
        <v>1.92</v>
      </c>
    </row>
    <row r="29" spans="1:9" ht="24" customHeight="1" x14ac:dyDescent="0.2">
      <c r="A29" s="143" t="s">
        <v>2797</v>
      </c>
      <c r="B29" s="143" t="s">
        <v>2798</v>
      </c>
      <c r="C29" s="149">
        <v>1.5</v>
      </c>
      <c r="D29" s="149">
        <v>262.85000000000002</v>
      </c>
      <c r="E29" s="149">
        <f t="shared" si="1"/>
        <v>5.70667681187</v>
      </c>
      <c r="F29" s="149">
        <f t="shared" si="2"/>
        <v>0.05</v>
      </c>
      <c r="G29" s="149">
        <f t="shared" si="3"/>
        <v>0.285333840593</v>
      </c>
      <c r="H29" s="149">
        <v>0.28999999999999998</v>
      </c>
      <c r="I29" s="144">
        <v>5.71</v>
      </c>
    </row>
    <row r="30" spans="1:9" ht="24" customHeight="1" x14ac:dyDescent="0.2">
      <c r="A30" s="143" t="s">
        <v>2799</v>
      </c>
      <c r="B30" s="143" t="s">
        <v>2800</v>
      </c>
      <c r="C30" s="149">
        <v>4.02E-2</v>
      </c>
      <c r="D30" s="149">
        <v>281.10000000000002</v>
      </c>
      <c r="E30" s="149">
        <f t="shared" si="1"/>
        <v>0.143009605123</v>
      </c>
      <c r="F30" s="149">
        <f t="shared" si="2"/>
        <v>0.05</v>
      </c>
      <c r="G30" s="149">
        <f t="shared" si="3"/>
        <v>0.007150480256</v>
      </c>
      <c r="H30" s="149">
        <v>7.1999999999999998E-3</v>
      </c>
      <c r="I30" s="144">
        <v>0.14299999999999999</v>
      </c>
    </row>
    <row r="31" spans="1:9" ht="24" customHeight="1" x14ac:dyDescent="0.2">
      <c r="A31" s="143" t="s">
        <v>2786</v>
      </c>
      <c r="B31" s="143" t="s">
        <v>2787</v>
      </c>
      <c r="C31" s="149"/>
      <c r="D31" s="149">
        <v>98.078999999999994</v>
      </c>
      <c r="E31" s="149">
        <v>200</v>
      </c>
      <c r="F31" s="149">
        <f t="shared" si="2"/>
        <v>0.05</v>
      </c>
      <c r="G31" s="149">
        <f t="shared" si="3"/>
        <v>10.0</v>
      </c>
      <c r="H31" s="149">
        <v>10</v>
      </c>
      <c r="I31" s="144">
        <v>200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49">
        <v>100</v>
      </c>
      <c r="D34" s="149">
        <v>218.14</v>
      </c>
      <c r="E34" s="149">
        <f>C34/D34*1000</f>
        <v>458.421197396168</v>
      </c>
      <c r="F34" s="149">
        <f>B17</f>
        <v>50.0</v>
      </c>
      <c r="G34" s="149">
        <f>E34*F34/1000</f>
        <v>22.921059869808</v>
      </c>
      <c r="H34" s="149">
        <v>23</v>
      </c>
      <c r="I34" s="144">
        <v>460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c r="A54" s="143" t="s">
        <v>2824</v>
      </c>
      <c r="B54" s="143" t="s">
        <v>2825</v>
      </c>
      <c r="C54" s="143" t="s">
        <v>429</v>
      </c>
      <c r="D54" s="152">
        <f>SUM(E6:E7)/1000</f>
        <v>0.060006530132</v>
      </c>
      <c r="E54" s="143"/>
      <c r="F54" s="143"/>
      <c r="G54" s="143"/>
      <c r="H54" s="143"/>
      <c r="I54" s="143"/>
    </row>
    <row r="55" spans="1:9" x14ac:dyDescent="0.2">
      <c r="A55" s="143" t="s">
        <v>2826</v>
      </c>
      <c r="B55" s="143" t="s">
        <v>2827</v>
      </c>
      <c r="C55" s="143" t="s">
        <v>429</v>
      </c>
      <c r="D55" s="152">
        <f>(2*E6+E7+E12+2*E8+2*E9+2*E10)/1000-2*(E8+E9+E10+E11)/1000-2*(G22+G31)/1000000</f>
        <v>0.115446909129</v>
      </c>
      <c r="E55" s="143"/>
      <c r="F55" s="143"/>
      <c r="G55" s="143"/>
      <c r="H55" s="143"/>
      <c r="I55" s="143"/>
    </row>
    <row r="56" spans="1:9" x14ac:dyDescent="0.2">
      <c r="A56" s="143" t="s">
        <v>2828</v>
      </c>
      <c r="B56" s="143" t="s">
        <v>2829</v>
      </c>
      <c r="C56" s="143" t="s">
        <v>429</v>
      </c>
      <c r="D56" s="152">
        <f>2*E11/1000</f>
        <v>0.014272741032</v>
      </c>
      <c r="E56" s="143"/>
      <c r="F56" s="143"/>
      <c r="G56" s="143"/>
      <c r="H56" s="143"/>
      <c r="I56" s="143"/>
    </row>
    <row r="57" spans="1:9" x14ac:dyDescent="0.2">
      <c r="A57" s="143" t="s">
        <v>2830</v>
      </c>
      <c r="B57" s="143" t="s">
        <v>2831</v>
      </c>
      <c r="C57" s="143" t="s">
        <v>429</v>
      </c>
      <c r="D57" s="152">
        <f>0</f>
        <v>0.0</v>
      </c>
      <c r="E57" s="143"/>
      <c r="F57" s="143"/>
      <c r="G57" s="143"/>
      <c r="H57" s="143"/>
      <c r="I57" s="143"/>
    </row>
    <row r="58" spans="1:9" x14ac:dyDescent="0.2">
      <c r="A58" s="143" t="s">
        <v>2832</v>
      </c>
      <c r="B58" s="143" t="s">
        <v>2833</v>
      </c>
      <c r="C58" s="143" t="s">
        <v>1359</v>
      </c>
      <c r="D58" s="152">
        <f>((2*E6+E7+E12)/1000*Chemistry!D166+2*E8/1000*Chemistry!D167+2*E11/1000*Chemistry!D168+E10/1000*Chemistry!D169+E9/1000*Chemistry!D170+E6/1000*Chemistry!D172+E7/1000*Chemistry!D171+((SUM(E8:E11)/1000)+(G21+G22+SUM(G26:G31))/1000000)*Chemistry!D173+E12/1000*Chemistry!D174)/10</f>
        <v>1.633203403002</v>
      </c>
      <c r="E58" s="143"/>
      <c r="F58" s="143"/>
      <c r="G58" s="143"/>
      <c r="H58" s="143"/>
      <c r="I58" s="143"/>
    </row>
    <row r="59" spans="1:9" x14ac:dyDescent="0.2">
      <c r="A59" s="143" t="s">
        <v>2834</v>
      </c>
      <c r="B59" s="143" t="s">
        <v>2835</v>
      </c>
      <c r="C59" s="143" t="s">
        <v>429</v>
      </c>
      <c r="D59" s="152">
        <f>3*E6/1000+E7/1000+3*E8/1000+4*(E9+E10)/1000+3*E11/1000+E12/1000+4*(G21+SUM(G26:G30))/1000000+3*G25/1000000+3*(G22+G31)/1000000</f>
        <v>0.200184197377</v>
      </c>
      <c r="E59" s="143"/>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sheetData>
  <mergeCells count="17">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