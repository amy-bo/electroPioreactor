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Cl2_prod" localSheetId="3">Chemistry!$D$134</definedName>
    <definedName name="NH3_N" localSheetId="3">Chemistry!$D$135</definedName>
    <definedName name="Cl_demand" localSheetId="3">Chemistry!$D$136</definedName>
    <definedName name="t_run" localSheetId="3">Chemistry!$D$137</definedName>
    <definedName name="Cl2_cum" localSheetId="3">Chemistry!$D$138</definedName>
    <definedName name="free_HOCl" localSheetId="3">Chemistry!$D$139</definedName>
    <definedName name="bleach_thresh" localSheetId="3">Chemistry!$D$140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6" l="1"/>
  <c r="E46" i="6"/>
  <c r="G45" i="6"/>
  <c r="E45" i="6"/>
  <c r="G44" i="6"/>
  <c r="E44" i="6"/>
  <c r="G43" i="6"/>
  <c r="E43" i="6"/>
  <c r="G42" i="6"/>
  <c r="E42" i="6"/>
  <c r="H41" i="6"/>
  <c r="G41" i="6"/>
  <c r="E41" i="6"/>
  <c r="G39" i="6"/>
  <c r="E39" i="6"/>
  <c r="E38" i="6"/>
  <c r="G38" i="6" s="1"/>
  <c r="H37" i="6" s="1"/>
  <c r="G37" i="6"/>
  <c r="E37" i="6"/>
  <c r="E36" i="6"/>
  <c r="G36" i="6" s="1"/>
  <c r="E35" i="6"/>
  <c r="E34" i="6"/>
  <c r="G34" i="6" s="1"/>
  <c r="G33" i="6"/>
  <c r="E33" i="6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G25" i="6"/>
  <c r="E25" i="6"/>
  <c r="E23" i="6"/>
  <c r="G23" i="6" s="1"/>
  <c r="G22" i="6"/>
  <c r="E22" i="6"/>
  <c r="G21" i="6"/>
  <c r="E21" i="6"/>
  <c r="G20" i="6"/>
  <c r="E20" i="6"/>
  <c r="G19" i="6"/>
  <c r="E19" i="6"/>
  <c r="E18" i="6"/>
  <c r="G18" i="6" s="1"/>
  <c r="H18" i="6" s="1"/>
  <c r="G16" i="6"/>
  <c r="E16" i="6"/>
  <c r="E15" i="6"/>
  <c r="G15" i="6" s="1"/>
  <c r="E14" i="6"/>
  <c r="G14" i="6" s="1"/>
  <c r="E13" i="6"/>
  <c r="G13" i="6" s="1"/>
  <c r="G12" i="6"/>
  <c r="E12" i="6"/>
  <c r="G11" i="6"/>
  <c r="E11" i="6"/>
  <c r="G9" i="6"/>
  <c r="E9" i="6"/>
  <c r="G8" i="6"/>
  <c r="E8" i="6"/>
  <c r="G7" i="6"/>
  <c r="H7" i="6" s="1"/>
  <c r="E7" i="6"/>
  <c r="G5" i="6"/>
  <c r="H5" i="6" s="1"/>
  <c r="E5" i="6"/>
  <c r="D115" i="5"/>
  <c r="D119" i="5" s="1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7" i="4"/>
  <c r="D23" i="5" s="1"/>
  <c r="D131" i="5" s="1"/>
  <c r="D32" i="4"/>
  <c r="D26" i="4"/>
  <c r="D7" i="5" s="1"/>
  <c r="D19" i="4"/>
  <c r="D9" i="5" s="1"/>
  <c r="D17" i="4"/>
  <c r="D18" i="4" s="1"/>
  <c r="E8" i="4"/>
  <c r="D8" i="4"/>
  <c r="E7" i="4"/>
  <c r="D7" i="4"/>
  <c r="E6" i="4"/>
  <c r="E5" i="4"/>
  <c r="E4" i="4"/>
  <c r="C100" i="7"/>
  <c r="D47" i="7"/>
  <c r="D46" i="7"/>
  <c r="D42" i="7"/>
  <c r="D41" i="7"/>
  <c r="D40" i="7"/>
  <c r="D44" i="7" s="1"/>
  <c r="D39" i="7"/>
  <c r="D45" i="7" s="1"/>
  <c r="D38" i="7"/>
  <c r="D37" i="7"/>
  <c r="D36" i="7"/>
  <c r="D35" i="7"/>
  <c r="C114" i="7" s="1"/>
  <c r="D7" i="7"/>
  <c r="D32" i="3"/>
  <c r="D20" i="5" s="1"/>
  <c r="D39" i="5" s="1"/>
  <c r="D10" i="3"/>
  <c r="E8" i="3"/>
  <c r="D8" i="3"/>
  <c r="D31" i="3" s="1"/>
  <c r="D21" i="5" s="1"/>
  <c r="D41" i="5" s="1"/>
  <c r="D42" i="5" s="1"/>
  <c r="E7" i="3"/>
  <c r="D7" i="3"/>
  <c r="E6" i="3"/>
  <c r="E5" i="3"/>
  <c r="D45" i="2"/>
  <c r="D38" i="2"/>
  <c r="D39" i="2" s="1"/>
  <c r="D32" i="2"/>
  <c r="E6" i="2"/>
  <c r="D6" i="2"/>
  <c r="E5" i="2"/>
  <c r="D5" i="2"/>
  <c r="D51" i="2" s="1"/>
  <c r="D68" i="1"/>
  <c r="D67" i="1"/>
  <c r="D66" i="1"/>
  <c r="D65" i="1"/>
  <c r="D64" i="1"/>
  <c r="D63" i="1"/>
  <c r="D62" i="1"/>
  <c r="D61" i="1"/>
  <c r="D60" i="1"/>
  <c r="D59" i="1"/>
  <c r="D58" i="1"/>
  <c r="E41" i="1"/>
  <c r="E40" i="1"/>
  <c r="E39" i="1"/>
  <c r="E38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46" i="5" l="1"/>
  <c r="D50" i="5"/>
  <c r="D51" i="5" s="1"/>
  <c r="D43" i="5"/>
  <c r="D24" i="2"/>
  <c r="D18" i="2"/>
  <c r="D20" i="2" s="1"/>
  <c r="D22" i="2"/>
  <c r="D52" i="2"/>
  <c r="D5" i="5" s="1"/>
  <c r="D68" i="5" s="1"/>
  <c r="D23" i="2"/>
  <c r="D46" i="4"/>
  <c r="D22" i="5" s="1"/>
  <c r="D45" i="4"/>
  <c r="D48" i="4"/>
  <c r="D24" i="5" s="1"/>
  <c r="D120" i="5"/>
  <c r="D20" i="1" s="1"/>
  <c r="D27" i="3"/>
  <c r="D20" i="3"/>
  <c r="D33" i="1" s="1"/>
  <c r="D19" i="3"/>
  <c r="D31" i="4"/>
  <c r="D33" i="4" s="1"/>
  <c r="D40" i="4"/>
  <c r="D41" i="4" s="1"/>
  <c r="D5" i="3"/>
  <c r="D4" i="7"/>
  <c r="H30" i="6"/>
  <c r="D24" i="4"/>
  <c r="H11" i="6"/>
  <c r="C115" i="7"/>
  <c r="D8" i="5"/>
  <c r="D60" i="5" s="1"/>
  <c r="H25" i="6"/>
  <c r="D6" i="3"/>
  <c r="D116" i="5"/>
  <c r="D117" i="5" s="1"/>
  <c r="D102" i="5" s="1"/>
  <c r="D62" i="5" l="1"/>
  <c r="D63" i="5" s="1"/>
  <c r="D64" i="5" s="1"/>
  <c r="D25" i="1" s="1"/>
  <c r="D104" i="5"/>
  <c r="D35" i="4"/>
  <c r="D41" i="1" s="1"/>
  <c r="D37" i="4"/>
  <c r="D5" i="7"/>
  <c r="D25" i="5"/>
  <c r="D110" i="5" s="1"/>
  <c r="D22" i="1" s="1"/>
  <c r="D34" i="1"/>
  <c r="D50" i="2"/>
  <c r="D29" i="2"/>
  <c r="D28" i="3"/>
  <c r="D6" i="7"/>
  <c r="D22" i="3"/>
  <c r="D21" i="3"/>
  <c r="D109" i="5"/>
  <c r="D21" i="1" s="1"/>
  <c r="D84" i="5"/>
  <c r="D15" i="5"/>
  <c r="D21" i="2"/>
  <c r="D118" i="5"/>
  <c r="D99" i="5" s="1"/>
  <c r="D27" i="4"/>
  <c r="D12" i="5"/>
  <c r="D13" i="7"/>
  <c r="D20" i="7"/>
  <c r="D21" i="7" s="1"/>
  <c r="D15" i="7"/>
  <c r="D19" i="7"/>
  <c r="D14" i="7"/>
  <c r="D18" i="7"/>
  <c r="D17" i="7"/>
  <c r="D16" i="7"/>
  <c r="D25" i="2"/>
  <c r="D111" i="5"/>
  <c r="D30" i="1" s="1"/>
  <c r="D69" i="5"/>
  <c r="D70" i="5" s="1"/>
  <c r="D40" i="1"/>
  <c r="D35" i="2" l="1"/>
  <c r="D36" i="2" s="1"/>
  <c r="D37" i="2"/>
  <c r="D23" i="3"/>
  <c r="D4" i="4"/>
  <c r="D6" i="5"/>
  <c r="D28" i="4"/>
  <c r="D17" i="5"/>
  <c r="D47" i="5" s="1"/>
  <c r="D90" i="2"/>
  <c r="D19" i="1" s="1"/>
  <c r="D44" i="2"/>
  <c r="D14" i="5" s="1"/>
  <c r="D29" i="3"/>
  <c r="D24" i="3"/>
  <c r="B85" i="7"/>
  <c r="B53" i="7"/>
  <c r="B94" i="7"/>
  <c r="B73" i="7"/>
  <c r="B62" i="7"/>
  <c r="B82" i="7"/>
  <c r="C82" i="7" s="1"/>
  <c r="B61" i="7"/>
  <c r="C61" i="7" s="1"/>
  <c r="B93" i="7"/>
  <c r="C93" i="7" s="1"/>
  <c r="B50" i="7"/>
  <c r="B74" i="7"/>
  <c r="B92" i="7"/>
  <c r="B60" i="7"/>
  <c r="B79" i="7"/>
  <c r="C79" i="7" s="1"/>
  <c r="B54" i="7"/>
  <c r="B99" i="7"/>
  <c r="C99" i="7" s="1"/>
  <c r="B67" i="7"/>
  <c r="C67" i="7" s="1"/>
  <c r="B58" i="7"/>
  <c r="B70" i="7"/>
  <c r="B57" i="7"/>
  <c r="B88" i="7"/>
  <c r="B56" i="7"/>
  <c r="C56" i="7" s="1"/>
  <c r="B75" i="7"/>
  <c r="B65" i="7"/>
  <c r="C65" i="7" s="1"/>
  <c r="B89" i="7"/>
  <c r="C89" i="7" s="1"/>
  <c r="B78" i="7"/>
  <c r="B84" i="7"/>
  <c r="C84" i="7" s="1"/>
  <c r="B52" i="7"/>
  <c r="C52" i="7" s="1"/>
  <c r="B71" i="7"/>
  <c r="B97" i="7"/>
  <c r="C97" i="7" s="1"/>
  <c r="B66" i="7"/>
  <c r="B69" i="7"/>
  <c r="C69" i="7" s="1"/>
  <c r="B81" i="7"/>
  <c r="C81" i="7" s="1"/>
  <c r="B98" i="7"/>
  <c r="B72" i="7"/>
  <c r="C72" i="7" s="1"/>
  <c r="B59" i="7"/>
  <c r="C59" i="7" s="1"/>
  <c r="B80" i="7"/>
  <c r="B77" i="7"/>
  <c r="C77" i="7" s="1"/>
  <c r="B76" i="7"/>
  <c r="C76" i="7" s="1"/>
  <c r="B95" i="7"/>
  <c r="C95" i="7" s="1"/>
  <c r="B63" i="7"/>
  <c r="C63" i="7" s="1"/>
  <c r="B91" i="7"/>
  <c r="C91" i="7" s="1"/>
  <c r="B64" i="7"/>
  <c r="B90" i="7"/>
  <c r="B86" i="7"/>
  <c r="B100" i="7"/>
  <c r="B68" i="7"/>
  <c r="B87" i="7"/>
  <c r="C87" i="7" s="1"/>
  <c r="B55" i="7"/>
  <c r="C55" i="7" s="1"/>
  <c r="B96" i="7"/>
  <c r="C96" i="7" s="1"/>
  <c r="B83" i="7"/>
  <c r="C83" i="7" s="1"/>
  <c r="B51" i="7"/>
  <c r="C51" i="7" s="1"/>
  <c r="C68" i="7" l="1"/>
  <c r="C98" i="7"/>
  <c r="C78" i="7"/>
  <c r="C58" i="7"/>
  <c r="D105" i="7"/>
  <c r="D103" i="7" s="1"/>
  <c r="C50" i="7"/>
  <c r="C85" i="7"/>
  <c r="C62" i="7"/>
  <c r="D25" i="3"/>
  <c r="C54" i="7"/>
  <c r="D13" i="5"/>
  <c r="D5" i="4"/>
  <c r="D13" i="4"/>
  <c r="C86" i="7"/>
  <c r="C80" i="7"/>
  <c r="C71" i="7"/>
  <c r="C88" i="7"/>
  <c r="C60" i="7"/>
  <c r="C73" i="7"/>
  <c r="C66" i="7"/>
  <c r="C90" i="7"/>
  <c r="C57" i="7"/>
  <c r="C92" i="7"/>
  <c r="C94" i="7"/>
  <c r="C75" i="7"/>
  <c r="C64" i="7"/>
  <c r="C70" i="7"/>
  <c r="C74" i="7"/>
  <c r="C53" i="7"/>
  <c r="D48" i="5"/>
  <c r="D49" i="5" s="1"/>
  <c r="D52" i="5" s="1"/>
  <c r="D59" i="5"/>
  <c r="D29" i="1" s="1"/>
  <c r="D40" i="2"/>
  <c r="D41" i="2" s="1"/>
  <c r="D15" i="4" l="1"/>
  <c r="D10" i="5" s="1"/>
  <c r="D14" i="4"/>
  <c r="D104" i="7"/>
  <c r="D125" i="7" s="1"/>
  <c r="D110" i="7"/>
  <c r="D35" i="1"/>
  <c r="D16" i="4"/>
  <c r="D11" i="5" s="1"/>
  <c r="D6" i="4"/>
  <c r="D42" i="2"/>
  <c r="D54" i="2"/>
  <c r="D31" i="1" s="1"/>
  <c r="D16" i="5"/>
  <c r="D132" i="5"/>
  <c r="D87" i="5" s="1"/>
  <c r="D54" i="5"/>
  <c r="D43" i="2" l="1"/>
  <c r="D55" i="2"/>
  <c r="D32" i="1" s="1"/>
  <c r="D48" i="2"/>
  <c r="D49" i="2" s="1"/>
  <c r="D19" i="5" s="1"/>
  <c r="D109" i="7"/>
  <c r="D36" i="1"/>
  <c r="D8" i="7"/>
  <c r="D107" i="7" s="1"/>
  <c r="D108" i="7" s="1"/>
  <c r="D42" i="4"/>
  <c r="D43" i="4"/>
  <c r="D44" i="4" s="1"/>
  <c r="D24" i="1" s="1"/>
  <c r="D89" i="5"/>
  <c r="D79" i="5"/>
  <c r="D71" i="5"/>
  <c r="D72" i="5" s="1"/>
  <c r="D98" i="5" s="1"/>
  <c r="D108" i="5" s="1"/>
  <c r="D65" i="5"/>
  <c r="D57" i="5"/>
  <c r="D86" i="5"/>
  <c r="D88" i="5" s="1"/>
  <c r="D113" i="5" l="1"/>
  <c r="D23" i="1" s="1"/>
  <c r="D38" i="1"/>
  <c r="D90" i="5"/>
  <c r="D73" i="5"/>
  <c r="D74" i="5" s="1"/>
  <c r="D135" i="5"/>
  <c r="D133" i="5"/>
  <c r="D134" i="5" s="1"/>
  <c r="D112" i="5" l="1"/>
  <c r="D39" i="1" s="1"/>
  <c r="D91" i="5"/>
  <c r="D121" i="5"/>
  <c r="D13" i="1"/>
  <c r="D14" i="1" s="1"/>
  <c r="D130" i="5" l="1"/>
  <c r="D27" i="1" s="1"/>
  <c r="D123" i="5"/>
  <c r="D128" i="5"/>
  <c r="D95" i="5"/>
  <c r="D28" i="1" s="1"/>
  <c r="D94" i="5"/>
  <c r="D92" i="5"/>
  <c r="D15" i="1"/>
  <c r="D16" i="1" s="1"/>
  <c r="D122" i="5"/>
  <c r="D93" i="5"/>
  <c r="D124" i="5" l="1"/>
  <c r="D125" i="5" s="1"/>
  <c r="D127" i="5"/>
  <c r="D129" i="5" s="1"/>
  <c r="D105" i="5"/>
  <c r="D53" i="5" l="1"/>
  <c r="D55" i="5"/>
  <c r="D77" i="5"/>
  <c r="D100" i="5"/>
  <c r="D75" i="5" l="1"/>
  <c r="D76" i="5" s="1"/>
  <c r="D126" i="5"/>
  <c r="D26" i="1" s="1"/>
  <c r="D80" i="5"/>
  <c r="D56" i="5"/>
  <c r="D66" i="5"/>
  <c r="D78" i="5"/>
</calcChain>
</file>

<file path=xl/sharedStrings.xml><?xml version="1.0" encoding="utf-8"?>
<sst xmlns="http://schemas.openxmlformats.org/spreadsheetml/2006/main" count="1578" uniqueCount="1158">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</sst>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</row>
    <row r="36" spans="1:6" ht="16" thickBot="1" x14ac:dyDescent="0.25">
      <c r="A36" s="91" t="s">
        <v>1157</v>
      </c>
      <c r="C36" s="28" t="s">
        <v>104</v>
      </c>
      <c r="D36" s="130">
        <f>Chemistry!$D$139</f>
        <v>0</v>
      </c>
      <c r="F36" s="21" t="s">
        <v>1022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8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8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6" s="20" customFormat="1" x14ac:dyDescent="0.2">
      <c r="A53" s="86" t="s">
        <v>124</v>
      </c>
    </row>
    <row r="54" spans="1:6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855</v>
      </c>
    </row>
    <row r="2" spans="1:6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6" x14ac:dyDescent="0.2">
      <c r="A3" s="110" t="s">
        <v>861</v>
      </c>
    </row>
    <row r="4" spans="1:6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6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6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6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6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6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6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6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6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6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6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6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6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6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6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6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6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6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6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6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6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6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6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6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6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7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7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7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7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7" s="99" customFormat="1" x14ac:dyDescent="0.2">
      <c r="B101" s="129"/>
      <c r="C101" s="129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7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7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IF(free_HOCl&gt;bleach_thresh,"FREE-CHLORINE RISK: "&amp;TEXT(free_HOCl,"0.00")&amp;" mg/L (&gt; "&amp;TEXT(bleach_thresh,"0.00")&amp;" onset)","no free chlorine (CER&lt;1% at trace Cl⁻; ammonium breakpoint demand scavenges it)")</f>
        <v>no free chlorine (CER&lt;1% at trace Cl⁻; ammonium breakpoint demand scavenges it)</v>
      </c>
      <c r="E109" s="52" t="s">
        <v>1156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7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5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>
      <c r="A127" s="111" t="s">
        <v>1104</v>
      </c>
    </row>
    <row r="128">
      <c r="A128" s="17" t="s">
        <v>1105</v>
      </c>
      <c r="B128" s="18" t="s">
        <v>1106</v>
      </c>
      <c r="C128" s="19" t="s">
        <v>1107</v>
      </c>
      <c r="D128" s="53">
        <v>0.01</v>
      </c>
      <c r="E128" s="52" t="s">
        <v>1108</v>
      </c>
    </row>
    <row r="129">
      <c r="A129" s="17" t="s">
        <v>1109</v>
      </c>
      <c r="B129" s="18" t="s">
        <v>1110</v>
      </c>
      <c r="C129" s="19" t="s">
        <v>1111</v>
      </c>
      <c r="D129" s="53">
        <v>0.003</v>
      </c>
      <c r="E129" s="52" t="s">
        <v>1112</v>
      </c>
    </row>
    <row r="130">
      <c r="A130" s="17" t="s">
        <v>1113</v>
      </c>
      <c r="B130" s="18" t="s">
        <v>1114</v>
      </c>
      <c r="C130" s="19" t="s">
        <v>1115</v>
      </c>
      <c r="D130" s="53">
        <v>5</v>
      </c>
      <c r="E130" s="52" t="s">
        <v>1116</v>
      </c>
    </row>
    <row r="131">
      <c r="A131" s="17" t="s">
        <v>1117</v>
      </c>
      <c r="B131" s="18" t="s">
        <v>1118</v>
      </c>
      <c r="C131" s="19" t="s">
        <v>1119</v>
      </c>
      <c r="D131" s="63">
        <f>Iappc*FE_CER</f>
        <v>5.692e-05</v>
      </c>
      <c r="E131" s="52" t="s">
        <v>1120</v>
      </c>
    </row>
    <row r="132">
      <c r="A132" s="17" t="s">
        <v>1121</v>
      </c>
      <c r="B132" s="18" t="s">
        <v>1122</v>
      </c>
      <c r="C132" s="19" t="s">
        <v>1119</v>
      </c>
      <c r="D132" s="63">
        <f>Fcc*km_Cl*(pH_Cl/1000)*A_anode</f>
        <v>0.0002608</v>
      </c>
      <c r="E132" s="52" t="s">
        <v>1123</v>
      </c>
    </row>
    <row r="133">
      <c r="A133" s="17" t="s">
        <v>1124</v>
      </c>
      <c r="B133" s="18" t="s">
        <v>1125</v>
      </c>
      <c r="C133" s="19" t="s">
        <v>1119</v>
      </c>
      <c r="D133" s="63">
        <f>MIN(I_Cl_FE,I_Cl_mt)</f>
        <v>5.692e-05</v>
      </c>
      <c r="E133" s="52" t="s">
        <v>1126</v>
      </c>
    </row>
    <row r="134">
      <c r="A134" s="17" t="s">
        <v>1127</v>
      </c>
      <c r="B134" s="18" t="s">
        <v>1128</v>
      </c>
      <c r="C134" s="19" t="s">
        <v>1129</v>
      </c>
      <c r="D134" s="63">
        <f>I_Cl/(2*Fcc)*52460*3600/VLc</f>
        <v>3.713</v>
      </c>
      <c r="E134" s="52" t="s">
        <v>1130</v>
      </c>
    </row>
    <row r="135">
      <c r="A135" s="17" t="s">
        <v>1131</v>
      </c>
      <c r="B135" s="18" t="s">
        <v>1132</v>
      </c>
      <c r="C135" s="19" t="s">
        <v>1133</v>
      </c>
      <c r="D135" s="63">
        <f>pH_NT*14007</f>
        <v>99.64</v>
      </c>
      <c r="E135" s="52" t="s">
        <v>1134</v>
      </c>
    </row>
    <row r="136">
      <c r="A136" s="17" t="s">
        <v>1135</v>
      </c>
      <c r="B136" s="18" t="s">
        <v>1136</v>
      </c>
      <c r="C136" s="19" t="s">
        <v>1133</v>
      </c>
      <c r="D136" s="63">
        <f>10*NH3_N</f>
        <v>996.4</v>
      </c>
      <c r="E136" s="52" t="s">
        <v>1137</v>
      </c>
    </row>
    <row r="137">
      <c r="A137" s="17" t="s">
        <v>1138</v>
      </c>
      <c r="B137" s="18" t="s">
        <v>1139</v>
      </c>
      <c r="C137" s="19" t="s">
        <v>1140</v>
      </c>
      <c r="D137" s="53">
        <v>168</v>
      </c>
      <c r="E137" s="52" t="s">
        <v>1141</v>
      </c>
    </row>
    <row r="138">
      <c r="A138" s="17" t="s">
        <v>1142</v>
      </c>
      <c r="B138" s="18" t="s">
        <v>1143</v>
      </c>
      <c r="C138" s="19" t="s">
        <v>1133</v>
      </c>
      <c r="D138" s="63">
        <f>Cl2_prod*t_run</f>
        <v>623.8</v>
      </c>
      <c r="E138" s="52" t="s">
        <v>1144</v>
      </c>
    </row>
    <row r="139">
      <c r="A139" s="17" t="s">
        <v>1145</v>
      </c>
      <c r="B139" s="18" t="s">
        <v>1146</v>
      </c>
      <c r="C139" s="19" t="s">
        <v>1133</v>
      </c>
      <c r="D139" s="63">
        <f>MAX(0,Cl2_cum-Cl_demand)*pH_fHOCl</f>
        <v>0.0</v>
      </c>
      <c r="E139" s="52" t="s">
        <v>1147</v>
      </c>
    </row>
    <row r="140">
      <c r="A140" s="17" t="s">
        <v>1148</v>
      </c>
      <c r="B140" s="18" t="s">
        <v>1149</v>
      </c>
      <c r="C140" s="19" t="s">
        <v>1133</v>
      </c>
      <c r="D140" s="53">
        <v>0.05</v>
      </c>
      <c r="E140" s="52" t="s">
        <v>1150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731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734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737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749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754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MIN(spg_dur_opt/(60*duty_opt),spg_int_max)</f>
        <v>2.8464317102116774</v>
      </c>
      <c r="E91" s="82" t="s">
        <v>760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IF(spg_int_opt&gt;=spg_int_max-0.0001,"O2-CEILING",IF(spg_int_opt&lt;spg_dur_opt/(60*duty_opt)-0.0001,"O2-FREQ",IF(duty_O2vent&gt;=duty_carbon,"O2-VENT","CARBON")))</f>
        <v>O2-CEILING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IF(spg_int_opt*60-spg_dur_opt&gt;=5,"OK","TIGHT")</f>
        <v>OK</v>
      </c>
      <c r="E95" s="102" t="s">
        <v>772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IF(sched_mode="Optimal",spg_int_opt,IF(sched_mode="Manual",spg_int_man,NA()))</f>
        <v>2.8464317102116774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