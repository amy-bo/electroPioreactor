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/>
  <mc:AlternateContent xmlns:mc="http://schemas.openxmlformats.org/markup-compatibility/2006">
    <mc:Choice Requires="x15">
      <x15ac:absPath xmlns:x15ac="http://schemas.microsoft.com/office/spreadsheetml/2010/11/ac" url="/Users/martincurrie/andeye Dropbox/andeye/Projects/electroPioreactor/Media/"/>
    </mc:Choice>
  </mc:AlternateContent>
  <xr:revisionPtr revIDLastSave="0" documentId="13_ncr:1_{42C80E64-664B-9C44-BF75-F5FF75F96D30}" xr6:coauthVersionLast="47" xr6:coauthVersionMax="47" xr10:uidLastSave="{00000000-0000-0000-0000-000000000000}"/>
  <bookViews>
    <workbookView xWindow="0" yWindow="580" windowWidth="14280" windowHeight="18060" tabRatio="500" xr2:uid="{00000000-000D-0000-FFFF-FFFF00000000}"/>
  </bookViews>
  <sheets>
    <sheet name="Summary" sheetId="1" r:id="rId1"/>
    <sheet name="Geometry" sheetId="2" r:id="rId2"/>
    <sheet name="Electrochemistry" sheetId="3" r:id="rId3"/>
    <sheet name="Chemistry" sheetId="7" r:id="rId4"/>
    <sheet name="Biology" sheetId="4" r:id="rId5"/>
    <sheet name="Mass Transfer" sheetId="5" r:id="rId6"/>
    <sheet name="CO2 flows" sheetId="6" r:id="rId7"/>
  </sheets>
  <definedNames>
    <definedName name="a_int" localSheetId="5">'Mass Transfer'!$D$49</definedName>
    <definedName name="a_surf" localSheetId="5">'Mass Transfer'!$D$71</definedName>
    <definedName name="A_x" localSheetId="1">Geometry!$D$21</definedName>
    <definedName name="A_x" localSheetId="5">'Mass Transfer'!$D$17</definedName>
    <definedName name="bio_CO2" localSheetId="4">Biology!$D$12</definedName>
    <definedName name="bio_H2" localSheetId="4">Biology!$D$10</definedName>
    <definedName name="bio_O2" localSheetId="4">Biology!$D$11</definedName>
    <definedName name="bleach_flag" localSheetId="3">Chemistry!$D$109</definedName>
    <definedName name="bleach_rate" localSheetId="3">Chemistry!$D$107</definedName>
    <definedName name="bleach_t1ppm" localSheetId="3">Chemistry!$D$108</definedName>
    <definedName name="bubble_regime" localSheetId="5">'Mass Transfer'!$D$64</definedName>
    <definedName name="C_H2_sat" localSheetId="4">Biology!$D$41</definedName>
    <definedName name="cal_warning" localSheetId="5">'Mass Transfer'!$D$120</definedName>
    <definedName name="carbon_margin_min" localSheetId="5">'Mass Transfer'!$D$85</definedName>
    <definedName name="carry_flag" localSheetId="5">'Mass Transfer'!$D$59</definedName>
    <definedName name="Cl_mc02" localSheetId="3">Chemistry!$D$38</definedName>
    <definedName name="Cl_udg" localSheetId="3">Chemistry!$D$42</definedName>
    <definedName name="CO2_carbon_margin" localSheetId="4">Biology!$D$35</definedName>
    <definedName name="CO2_cons" localSheetId="4">Biology!$D$15</definedName>
    <definedName name="CO2_cons" localSheetId="5">'Mass Transfer'!$D$10</definedName>
    <definedName name="CO2_diss" localSheetId="4">Biology!$D$33</definedName>
    <definedName name="CO2_pulse" localSheetId="5">'Mass Transfer'!$D$123</definedName>
    <definedName name="CO2_sd_ratio" localSheetId="5">'Mass Transfer'!$D$126</definedName>
    <definedName name="CO2_supply" localSheetId="5">'Mass Transfer'!$D$100</definedName>
    <definedName name="CO2aqc" localSheetId="3">Chemistry!$D$5</definedName>
    <definedName name="d_bubble" localSheetId="5">'Mass Transfer'!$D$42</definedName>
    <definedName name="d_bubble_mm" localSheetId="5">'Mass Transfer'!$D$43</definedName>
    <definedName name="D_int" localSheetId="1">Geometry!$D$22</definedName>
    <definedName name="D_int_1" localSheetId="1">Geometry!$D$12</definedName>
    <definedName name="D_int_2" localSheetId="1">Geometry!$D$13</definedName>
    <definedName name="D_O2" localSheetId="5">'Mass Transfer'!$D$32</definedName>
    <definedName name="d_orifice" localSheetId="5">'Mass Transfer'!$D$41</definedName>
    <definedName name="depth_warn" localSheetId="1">Geometry!$D$55</definedName>
    <definedName name="disp_tot" localSheetId="1">Geometry!$D$40</definedName>
    <definedName name="DO_impair" localSheetId="4">Biology!$D$47</definedName>
    <definedName name="DO_impair" localSheetId="5">'Mass Transfer'!$D$23</definedName>
    <definedName name="DO_min" localSheetId="4">Biology!$D$45</definedName>
    <definedName name="DO_min" localSheetId="5">'Mass Transfer'!$D$25</definedName>
    <definedName name="DO_opt" localSheetId="4">Biology!$D$46</definedName>
    <definedName name="DO_opt" localSheetId="5">'Mass Transfer'!$D$22</definedName>
    <definedName name="DO_ss" localSheetId="5">'Mass Transfer'!$D$108</definedName>
    <definedName name="DO_ss_vs_min" localSheetId="5">'Mass Transfer'!$D$110</definedName>
    <definedName name="DO_ss_vs_opt" localSheetId="5">'Mass Transfer'!$D$109</definedName>
    <definedName name="DO_toxic" localSheetId="4">Biology!$D$48</definedName>
    <definedName name="DO_toxic" localSheetId="5">'Mass Transfer'!$D$24</definedName>
    <definedName name="DO_vent_eq" localSheetId="5">'Mass Transfer'!$D$76</definedName>
    <definedName name="dur_ok" localSheetId="5">'Mass Transfer'!$D$130</definedName>
    <definedName name="duty" localSheetId="5">'Mass Transfer'!$D$105</definedName>
    <definedName name="duty_actual" localSheetId="5">'Mass Transfer'!$D$93</definedName>
    <definedName name="duty_carbon" localSheetId="5">'Mass Transfer'!$D$86</definedName>
    <definedName name="duty_O2vent" localSheetId="5">'Mass Transfer'!$D$87</definedName>
    <definedName name="duty_opt" localSheetId="5">'Mass Transfer'!$D$88</definedName>
    <definedName name="eff_disp" localSheetId="1">Geometry!$D$39</definedName>
    <definedName name="eff_ID" localSheetId="1">Geometry!$D$34</definedName>
    <definedName name="eff_OD" localSheetId="1">Geometry!$D$33</definedName>
    <definedName name="eff_sub_L" localSheetId="1">Geometry!$D$38</definedName>
    <definedName name="elec_clear" localSheetId="1">Geometry!$D$28</definedName>
    <definedName name="elec_disp" localSheetId="1">Geometry!$D$36</definedName>
    <definedName name="elec_ins" localSheetId="1">Geometry!$D$29</definedName>
    <definedName name="elec_sub_L" localSheetId="1">Geometry!$D$35</definedName>
    <definedName name="electrode_sel" localSheetId="2">Electrochemistry!$D$8</definedName>
    <definedName name="electrode_sel" localSheetId="0">Summary!$D$3</definedName>
    <definedName name="etaF" localSheetId="2">Electrochemistry!$D$18</definedName>
    <definedName name="etaF_OER" localSheetId="2">Electrochemistry!$D$26</definedName>
    <definedName name="F_const" localSheetId="2">Electrochemistry!$D$15</definedName>
    <definedName name="Fcc" localSheetId="3">Chemistry!$D$7</definedName>
    <definedName name="flowrate_cal" localSheetId="5">'Mass Transfer'!$D$117</definedName>
    <definedName name="flush_factor" localSheetId="5">'Mass Transfer'!$D$106</definedName>
    <definedName name="g_const" localSheetId="5">'Mass Transfer'!$D$31</definedName>
    <definedName name="geom_check" localSheetId="1">Geometry!$D$90</definedName>
    <definedName name="gerrit_int" localSheetId="2">Electrochemistry!$D$12</definedName>
    <definedName name="gerrit_max" localSheetId="2">Electrochemistry!$D$14</definedName>
    <definedName name="gerrit_min" localSheetId="2">Electrochemistry!$D$13</definedName>
    <definedName name="gerrit_slope" localSheetId="2">Electrochemistry!$D$11</definedName>
    <definedName name="h_actual" localSheetId="1">Geometry!$D$42</definedName>
    <definedName name="H_CO2_T" localSheetId="4">Biology!$D$31</definedName>
    <definedName name="H_CO2ref" localSheetId="4">Biology!$D$29</definedName>
    <definedName name="H_CO2T" localSheetId="4">Biology!$D$30</definedName>
    <definedName name="h_datum" localSheetId="1">Geometry!$D$25</definedName>
    <definedName name="H_H2_T" localSheetId="4">Biology!$D$40</definedName>
    <definedName name="H_H2ref" localSheetId="4">Biology!$D$38</definedName>
    <definedName name="H_H2T" localSheetId="4">Biology!$D$39</definedName>
    <definedName name="H_O2_T" localSheetId="4">Biology!$D$24</definedName>
    <definedName name="H_O2_T" localSheetId="5">'Mass Transfer'!$D$12</definedName>
    <definedName name="H_O2ref" localSheetId="4">Biology!$D$21</definedName>
    <definedName name="H_O2T" localSheetId="4">Biology!$D$22</definedName>
    <definedName name="H2_cons" localSheetId="4">Biology!$D$13</definedName>
    <definedName name="H2_safety" localSheetId="4">Biology!$D$44</definedName>
    <definedName name="H2_turnover" localSheetId="4">Biology!$D$43</definedName>
    <definedName name="has_cal" localSheetId="5">'Mass Transfer'!$D$119</definedName>
    <definedName name="headspace_V" localSheetId="1">Geometry!$D$49</definedName>
    <definedName name="headspace_V" localSheetId="5">'Mass Transfer'!$D$19</definedName>
    <definedName name="HOCl_max" localSheetId="3">Chemistry!$D$125</definedName>
    <definedName name="holdup" localSheetId="5">'Mass Transfer'!$D$48</definedName>
    <definedName name="hs_flush_time" localSheetId="5">'Mass Transfer'!$D$77</definedName>
    <definedName name="I_app" localSheetId="2">Electrochemistry!$D$19</definedName>
    <definedName name="I_valid" localSheetId="2">Electrochemistry!$D$20</definedName>
    <definedName name="Iappc" localSheetId="3">Chemistry!$D$6</definedName>
    <definedName name="intensity" localSheetId="2">Electrochemistry!$D$10</definedName>
    <definedName name="interface_A" localSheetId="1">Geometry!$D$44</definedName>
    <definedName name="interface_A" localSheetId="5">'Mass Transfer'!$D$14</definedName>
    <definedName name="Ka_HOCl" localSheetId="3">Chemistry!$D$20</definedName>
    <definedName name="Ka_NH4" localSheetId="3">Chemistry!$D$18</definedName>
    <definedName name="Ka1_carb" localSheetId="4">Biology!$D$36</definedName>
    <definedName name="Ka1c" localSheetId="3">Chemistry!$D$13</definedName>
    <definedName name="Ka1p" localSheetId="3">Chemistry!$D$15</definedName>
    <definedName name="Ka2c" localSheetId="3">Chemistry!$D$14</definedName>
    <definedName name="Ka2p" localSheetId="3">Chemistry!$D$16</definedName>
    <definedName name="Ka3p" localSheetId="3">Chemistry!$D$17</definedName>
    <definedName name="kinetic_caveat" localSheetId="5">'Mass Transfer'!$D$96</definedName>
    <definedName name="kL" localSheetId="5">'Mass Transfer'!$D$51</definedName>
    <definedName name="kL_surf" localSheetId="5">'Mass Transfer'!$D$70</definedName>
    <definedName name="kL_surf_crit" localSheetId="5">'Mass Transfer'!$D$131</definedName>
    <definedName name="kLa_avg" localSheetId="5">'Mass Transfer'!$D$53</definedName>
    <definedName name="kLa_meas" localSheetId="5">'Mass Transfer'!$D$97</definedName>
    <definedName name="kLa_req" localSheetId="5">'Mass Transfer'!$D$57</definedName>
    <definedName name="kLa_sparge" localSheetId="5">'Mass Transfer'!$D$52</definedName>
    <definedName name="kLa_surf" localSheetId="5">'Mass Transfer'!$D$72</definedName>
    <definedName name="kLa_surf_used" localSheetId="5">'Mass Transfer'!$D$98</definedName>
    <definedName name="Km_CO2" localSheetId="4">Biology!$D$34</definedName>
    <definedName name="Kw_w" localSheetId="3">Chemistry!$D$19</definedName>
    <definedName name="latest_date" localSheetId="5">'Mass Transfer'!$D$116</definedName>
    <definedName name="led_intensity" localSheetId="0">Summary!$D$6</definedName>
    <definedName name="M_CO2" localSheetId="5">'Mass Transfer'!$D$103</definedName>
    <definedName name="mc_CaSO4_2H2O" localSheetId="3">Chemistry!$C$30</definedName>
    <definedName name="mc_K2SO4" localSheetId="3">Chemistry!$C$29</definedName>
    <definedName name="mc_MgSO4_7H2O" localSheetId="3">Chemistry!$C$31</definedName>
    <definedName name="mc_Na2HPO4" localSheetId="3">Chemistry!$C$26</definedName>
    <definedName name="mc_NaH2PO4_2H2O" localSheetId="3">Chemistry!$C$27</definedName>
    <definedName name="mc_NH42SO4" localSheetId="3">Chemistry!$C$32</definedName>
    <definedName name="media_sel" localSheetId="0">Summary!$D$5</definedName>
    <definedName name="media_vol_warn" localSheetId="1">Geometry!$D$54</definedName>
    <definedName name="media_volume" localSheetId="1">Geometry!$D$6</definedName>
    <definedName name="media_volume" localSheetId="0">Summary!$D$9</definedName>
    <definedName name="mend_a" localSheetId="5">'Mass Transfer'!$D$44</definedName>
    <definedName name="mend_b" localSheetId="5">'Mass Transfer'!$D$45</definedName>
    <definedName name="min_sparge_cal" localSheetId="5">'Mass Transfer'!$D$118</definedName>
    <definedName name="MW_CaCl2" localSheetId="3">Chemistry!$B$33</definedName>
    <definedName name="MW_CaSO4_2H2O" localSheetId="3">Chemistry!$B$30</definedName>
    <definedName name="MW_K2SO4" localSheetId="3">Chemistry!$B$29</definedName>
    <definedName name="MW_KH2PO4" localSheetId="3">Chemistry!$B$25</definedName>
    <definedName name="MW_MgSO4_7H2O" localSheetId="3">Chemistry!$B$31</definedName>
    <definedName name="MW_Na2HPO4" localSheetId="3">Chemistry!$B$26</definedName>
    <definedName name="MW_NaH2PO4_2H2O" localSheetId="3">Chemistry!$B$27</definedName>
    <definedName name="MW_NaHCO3" localSheetId="3">Chemistry!$B$28</definedName>
    <definedName name="MW_NH42SO4" localSheetId="3">Chemistry!$B$32</definedName>
    <definedName name="n_pores_active" localSheetId="5">'Mass Transfer'!$D$61</definedName>
    <definedName name="nCO2_rate" localSheetId="5">'Mass Transfer'!$D$104</definedName>
    <definedName name="NT_mc02" localSheetId="3">Chemistry!$D$37</definedName>
    <definedName name="NT_udg" localSheetId="3">Chemistry!$D$41</definedName>
    <definedName name="O2_accum" localSheetId="5">'Mass Transfer'!$D$127</definedName>
    <definedName name="O2_cathode_ORR" localSheetId="2">Electrochemistry!$D$28</definedName>
    <definedName name="O2_ceil_atm" localSheetId="4">Biology!$D$25</definedName>
    <definedName name="O2_ceil_C" localSheetId="4">Biology!$D$27</definedName>
    <definedName name="O2_ceil_C" localSheetId="5">'Mass Transfer'!$D$6</definedName>
    <definedName name="O2_ceil_Pa" localSheetId="4">Biology!$D$26</definedName>
    <definedName name="O2_ceil_Pa" localSheetId="5">'Mass Transfer'!$D$7</definedName>
    <definedName name="O2_ceil_uM" localSheetId="4">Biology!$D$28</definedName>
    <definedName name="O2_cons" localSheetId="4">Biology!$D$14</definedName>
    <definedName name="O2_excess" localSheetId="4">Biology!$D$16</definedName>
    <definedName name="O2_excess" localSheetId="5">'Mass Transfer'!$D$11</definedName>
    <definedName name="O2_net_gen" localSheetId="4">Biology!$D$5</definedName>
    <definedName name="O2_net_gen" localSheetId="2">Electrochemistry!$D$29</definedName>
    <definedName name="O2_net_gen" localSheetId="5">'Mass Transfer'!$D$13</definedName>
    <definedName name="O2_removal_ratio" localSheetId="5">'Mass Transfer'!$D$78</definedName>
    <definedName name="O2_strip_pulse" localSheetId="5">'Mass Transfer'!$D$128</definedName>
    <definedName name="od_ok" localSheetId="5">'Mass Transfer'!$D$95</definedName>
    <definedName name="opt_binding" localSheetId="5">'Mass Transfer'!$D$94</definedName>
    <definedName name="organism_sel" localSheetId="4">Biology!$D$7</definedName>
    <definedName name="organism_sel" localSheetId="0">Summary!$D$4</definedName>
    <definedName name="P_atm" localSheetId="4">Biology!$D$19</definedName>
    <definedName name="P_atm" localSheetId="2">Electrochemistry!$D$6</definedName>
    <definedName name="P_atm" localSheetId="5">'Mass Transfer'!$D$9</definedName>
    <definedName name="P_atm_set" localSheetId="0">Summary!$D$10</definedName>
    <definedName name="p_CO2_sparge" localSheetId="4">Biology!$D$32</definedName>
    <definedName name="Pa_per_atm" localSheetId="4">Biology!$D$20</definedName>
    <definedName name="pH_band_flag" localSheetId="3">Chemistry!$D$110</definedName>
    <definedName name="pH_Cl" localSheetId="3">Chemistry!$D$47</definedName>
    <definedName name="pH_CO2_unbuf" localSheetId="4">Biology!$D$37</definedName>
    <definedName name="pH_fHOCl" localSheetId="3">Chemistry!$D$104</definedName>
    <definedName name="pH_NT" localSheetId="3">Chemistry!$D$46</definedName>
    <definedName name="pH_op" localSheetId="3">Chemistry!$D$103</definedName>
    <definedName name="pH_PT" localSheetId="3">Chemistry!$D$45</definedName>
    <definedName name="pH_SID" localSheetId="3">Chemistry!$D$44</definedName>
    <definedName name="pKa_HOCl" localSheetId="3">Chemistry!$D$21</definedName>
    <definedName name="por_grade" localSheetId="5">'Mass Transfer'!$D$20</definedName>
    <definedName name="por_grade_e" localSheetId="2">Electrochemistry!$D$32</definedName>
    <definedName name="por_pore" localSheetId="5">'Mass Transfer'!$D$39</definedName>
    <definedName name="por0_um" localSheetId="5">'Mass Transfer'!$D$33</definedName>
    <definedName name="por1_um" localSheetId="5">'Mass Transfer'!$D$34</definedName>
    <definedName name="por2_um" localSheetId="5">'Mass Transfer'!$D$35</definedName>
    <definedName name="por3_um" localSheetId="5">'Mass Transfer'!$D$36</definedName>
    <definedName name="por4_um" localSheetId="5">'Mass Transfer'!$D$37</definedName>
    <definedName name="por5_um" localSheetId="5">'Mass Transfer'!$D$38</definedName>
    <definedName name="PT_mc02" localSheetId="3">Chemistry!$D$35</definedName>
    <definedName name="PT_udg" localSheetId="3">Chemistry!$D$39</definedName>
    <definedName name="pulse_floor" localSheetId="5">'Mass Transfer'!$D$99</definedName>
    <definedName name="pulses_d" localSheetId="5">'Mass Transfer'!$D$125</definedName>
    <definedName name="pulses_h" localSheetId="5">'Mass Transfer'!$D$124</definedName>
    <definedName name="Q_CO2" localSheetId="5">'Mass Transfer'!$D$102</definedName>
    <definedName name="R_gas" localSheetId="3">Chemistry!$D$9</definedName>
    <definedName name="R_gas" localSheetId="2">Electrochemistry!$D$7</definedName>
    <definedName name="R_gas" localSheetId="5">'Mass Transfer'!$D$101</definedName>
    <definedName name="Reactor" localSheetId="5">'Mass Transfer'!$D$115</definedName>
    <definedName name="reactor_sel" localSheetId="1">Geometry!$D$5</definedName>
    <definedName name="Reactor_sel" localSheetId="0">Summary!$D$2</definedName>
    <definedName name="rH2_gen" localSheetId="4">Biology!$D$4</definedName>
    <definedName name="rH2_gen" localSheetId="2">Electrochemistry!$D$21</definedName>
    <definedName name="rho_CO2" localSheetId="5">'Mass Transfer'!$D$60</definedName>
    <definedName name="rho_L" localSheetId="5">'Mass Transfer'!$D$30</definedName>
    <definedName name="rO2_gen" localSheetId="2">Electrochemistry!$D$22</definedName>
    <definedName name="rod_d" localSheetId="1">Geometry!$D$26</definedName>
    <definedName name="rod_n" localSheetId="1">Geometry!$D$27</definedName>
    <definedName name="rx_ver" localSheetId="1">Geometry!$D$51</definedName>
    <definedName name="s_renew" localSheetId="5">'Mass Transfer'!$D$69</definedName>
    <definedName name="sched_bal" localSheetId="5">'Mass Transfer'!$D$129</definedName>
    <definedName name="sched_mode" localSheetId="5">'Mass Transfer'!$D$81</definedName>
    <definedName name="sched_regime" localSheetId="5">'Mass Transfer'!$D$113</definedName>
    <definedName name="SID_mc02" localSheetId="3">Chemistry!$D$36</definedName>
    <definedName name="SID_udg" localSheetId="3">Chemistry!$D$40</definedName>
    <definedName name="sigma" localSheetId="5">'Mass Transfer'!$D$29</definedName>
    <definedName name="sparge_depth" localSheetId="1">Geometry!$D$43</definedName>
    <definedName name="sparger" localSheetId="5">'Mass Transfer'!$D$21</definedName>
    <definedName name="sparger_e" localSheetId="2">Electrochemistry!$D$31</definedName>
    <definedName name="spg_disp" localSheetId="1">Geometry!$D$37</definedName>
    <definedName name="spg_dur" localSheetId="5">'Mass Transfer'!$D$121</definedName>
    <definedName name="spg_dur_man" localSheetId="5">'Mass Transfer'!$D$82</definedName>
    <definedName name="spg_dur_opt" localSheetId="5">'Mass Transfer'!$D$90</definedName>
    <definedName name="spg_ID" localSheetId="1">Geometry!$D$31</definedName>
    <definedName name="spg_ID" localSheetId="5">'Mass Transfer'!$D$18</definedName>
    <definedName name="spg_int" localSheetId="5">'Mass Transfer'!$D$122</definedName>
    <definedName name="spg_int_carbon" localSheetId="5">'Mass Transfer'!$D$112</definedName>
    <definedName name="spg_int_man" localSheetId="5">'Mass Transfer'!$D$83</definedName>
    <definedName name="spg_int_max" localSheetId="5">'Mass Transfer'!$D$89</definedName>
    <definedName name="spg_int_opt" localSheetId="5">'Mass Transfer'!$D$91</definedName>
    <definedName name="spg_int_opt_s" localSheetId="5">'Mass Transfer'!$D$92</definedName>
    <definedName name="spg_len" localSheetId="1">Geometry!$D$50</definedName>
    <definedName name="spg_name_1" localSheetId="5">'Mass Transfer'!$D$27</definedName>
    <definedName name="spg_name_2" localSheetId="5">'Mass Transfer'!$D$28</definedName>
    <definedName name="spg_OD" localSheetId="1">Geometry!$D$30</definedName>
    <definedName name="spg_tip_h" localSheetId="1">Geometry!$D$32</definedName>
    <definedName name="stir_bar_L" localSheetId="1">Geometry!$D$52</definedName>
    <definedName name="stir_len" localSheetId="5">'Mass Transfer'!$D$5</definedName>
    <definedName name="stir_rpm" localSheetId="5">'Mass Transfer'!$D$67</definedName>
    <definedName name="stir_rpm_set" localSheetId="0">Summary!$D$7</definedName>
    <definedName name="strip_avg" localSheetId="5">'Mass Transfer'!$D$55</definedName>
    <definedName name="strip_ratio" localSheetId="5">'Mass Transfer'!$D$56</definedName>
    <definedName name="strip_sparge" localSheetId="5">'Mass Transfer'!$D$54</definedName>
    <definedName name="surf_ratio" localSheetId="5">'Mass Transfer'!$D$74</definedName>
    <definedName name="surf_strip" localSheetId="5">'Mass Transfer'!$D$73</definedName>
    <definedName name="T_C" localSheetId="4">Biology!$D$17</definedName>
    <definedName name="t_contact" localSheetId="5">'Mass Transfer'!$D$50</definedName>
    <definedName name="t_H2_sat" localSheetId="4">Biology!$D$42</definedName>
    <definedName name="T_K" localSheetId="4">Biology!$D$18</definedName>
    <definedName name="T_K" localSheetId="2">Electrochemistry!$D$5</definedName>
    <definedName name="T_K" localSheetId="5">'Mass Transfer'!$D$8</definedName>
    <definedName name="t_O2_ceiling" localSheetId="5">'Mass Transfer'!$D$65</definedName>
    <definedName name="t_O2_ceiling_lag" localSheetId="5">'Mass Transfer'!$D$79</definedName>
    <definedName name="t_O2_ceiling_rem" localSheetId="5">'Mass Transfer'!$D$80</definedName>
    <definedName name="t_O2_ceiling_strip" localSheetId="5">'Mass Transfer'!$D$66</definedName>
    <definedName name="T_ref" localSheetId="4">Biology!$D$23</definedName>
    <definedName name="target_DO_frac" localSheetId="5">'Mass Transfer'!$D$84</definedName>
    <definedName name="temp_C" localSheetId="0">Summary!$D$8</definedName>
    <definedName name="tip_speed" localSheetId="5">'Mass Transfer'!$D$68</definedName>
    <definedName name="tip_warn" localSheetId="5">'Mass Transfer'!$D$111</definedName>
    <definedName name="TKc" localSheetId="3">Chemistry!$D$4</definedName>
    <definedName name="tube_d_m" localSheetId="5">'Mass Transfer'!$D$40</definedName>
    <definedName name="u_g_max" localSheetId="5">'Mass Transfer'!$D$58</definedName>
    <definedName name="u_rise" localSheetId="5">'Mass Transfer'!$D$46</definedName>
    <definedName name="u_sg" localSheetId="5">'Mass Transfer'!$D$47</definedName>
    <definedName name="udg_CaCl2" localSheetId="3">Chemistry!$D$33</definedName>
    <definedName name="udg_KH2PO4" localSheetId="3">Chemistry!$D$25</definedName>
    <definedName name="udg_MgSO4_7H2O" localSheetId="3">Chemistry!$D$31</definedName>
    <definedName name="udg_Na2HPO4" localSheetId="3">Chemistry!$D$26</definedName>
    <definedName name="udg_NaHCO3" localSheetId="3">Chemistry!$D$28</definedName>
    <definedName name="udg_NH42SO4" localSheetId="3">Chemistry!$D$32</definedName>
    <definedName name="V_charge" localSheetId="4">Biology!$D$6</definedName>
    <definedName name="V_charge" localSheetId="1">Geometry!$D$41</definedName>
    <definedName name="V_charge" localSheetId="5">'Mass Transfer'!$D$16</definedName>
    <definedName name="V_gas_total" localSheetId="2">Electrochemistry!$D$25</definedName>
    <definedName name="V_H2_gen" localSheetId="2">Electrochemistry!$D$23</definedName>
    <definedName name="V_inserts" localSheetId="1">Geometry!$D$48</definedName>
    <definedName name="V_max" localSheetId="1">Geometry!$D$23</definedName>
    <definedName name="V_O2_gen" localSheetId="2">Electrochemistry!$D$24</definedName>
    <definedName name="v_orifice" localSheetId="5">'Mass Transfer'!$D$62</definedName>
    <definedName name="V_vial_total" localSheetId="1">Geometry!$D$24</definedName>
    <definedName name="ver_name_1" localSheetId="1">Geometry!$D$8</definedName>
    <definedName name="ver_name_2" localSheetId="1">Geometry!$D$9</definedName>
    <definedName name="vial_ID" localSheetId="1">Geometry!$D$20</definedName>
    <definedName name="vial_ID" localSheetId="5">'Mass Transfer'!$D$15</definedName>
    <definedName name="vial_OD" localSheetId="1">Geometry!$D$18</definedName>
    <definedName name="vial_OD_1" localSheetId="1">Geometry!$D$10</definedName>
    <definedName name="vial_OD_2" localSheetId="1">Geometry!$D$11</definedName>
    <definedName name="vial_wall" localSheetId="1">Geometry!$D$19</definedName>
    <definedName name="VLc" localSheetId="3">Chemistry!$D$8</definedName>
    <definedName name="Vmax_1" localSheetId="1">Geometry!$D$14</definedName>
    <definedName name="Vmax_2" localSheetId="1">Geometry!$D$15</definedName>
    <definedName name="Vtot_1" localSheetId="1">Geometry!$D$16</definedName>
    <definedName name="Vtot_2" localSheetId="1">Geometry!$D$17</definedName>
    <definedName name="We_orifice" localSheetId="5">'Mass Transfer'!$D$63</definedName>
    <definedName name="xtube_n" localSheetId="1">Geometry!$D$46</definedName>
    <definedName name="xtube_OD" localSheetId="1">Geometry!$D$45</definedName>
    <definedName name="xtube_pro" localSheetId="1">Geometry!$D$47</definedName>
    <definedName name="y_O2_vent" localSheetId="5">'Mass Transfer'!$D$75</definedName>
    <definedName name="z_e_H2" localSheetId="2">Electrochemistry!$D$16</definedName>
    <definedName name="z_e_O2" localSheetId="2">Electrochemistry!$D$17</definedName>
    <definedName name="z_e_ORR" localSheetId="2">Electrochemistry!$D$27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6" i="6" l="1"/>
  <c r="G46" i="6" s="1"/>
  <c r="E45" i="6"/>
  <c r="G45" i="6" s="1"/>
  <c r="G44" i="6"/>
  <c r="E44" i="6"/>
  <c r="E43" i="6"/>
  <c r="G43" i="6" s="1"/>
  <c r="E42" i="6"/>
  <c r="G42" i="6" s="1"/>
  <c r="E41" i="6"/>
  <c r="G41" i="6" s="1"/>
  <c r="G39" i="6"/>
  <c r="E39" i="6"/>
  <c r="G38" i="6"/>
  <c r="E38" i="6"/>
  <c r="E37" i="6"/>
  <c r="G37" i="6" s="1"/>
  <c r="H37" i="6" s="1"/>
  <c r="E36" i="6"/>
  <c r="G36" i="6" s="1"/>
  <c r="E35" i="6"/>
  <c r="G34" i="6"/>
  <c r="E34" i="6"/>
  <c r="E33" i="6"/>
  <c r="G33" i="6" s="1"/>
  <c r="E32" i="6"/>
  <c r="G32" i="6" s="1"/>
  <c r="G31" i="6"/>
  <c r="H30" i="6" s="1"/>
  <c r="E31" i="6"/>
  <c r="G30" i="6"/>
  <c r="E30" i="6"/>
  <c r="E29" i="6"/>
  <c r="G29" i="6" s="1"/>
  <c r="E28" i="6"/>
  <c r="G28" i="6" s="1"/>
  <c r="E27" i="6"/>
  <c r="G27" i="6" s="1"/>
  <c r="G26" i="6"/>
  <c r="E26" i="6"/>
  <c r="E25" i="6"/>
  <c r="G25" i="6" s="1"/>
  <c r="G23" i="6"/>
  <c r="E23" i="6"/>
  <c r="G22" i="6"/>
  <c r="E22" i="6"/>
  <c r="E21" i="6"/>
  <c r="G21" i="6" s="1"/>
  <c r="E20" i="6"/>
  <c r="G20" i="6" s="1"/>
  <c r="G19" i="6"/>
  <c r="H18" i="6" s="1"/>
  <c r="E19" i="6"/>
  <c r="G18" i="6"/>
  <c r="E18" i="6"/>
  <c r="E16" i="6"/>
  <c r="G16" i="6" s="1"/>
  <c r="E15" i="6"/>
  <c r="G15" i="6" s="1"/>
  <c r="E14" i="6"/>
  <c r="G14" i="6" s="1"/>
  <c r="G13" i="6"/>
  <c r="E13" i="6"/>
  <c r="E12" i="6"/>
  <c r="G12" i="6" s="1"/>
  <c r="H11" i="6" s="1"/>
  <c r="G11" i="6"/>
  <c r="E11" i="6"/>
  <c r="G9" i="6"/>
  <c r="E9" i="6"/>
  <c r="E8" i="6"/>
  <c r="G8" i="6" s="1"/>
  <c r="G7" i="6"/>
  <c r="H7" i="6" s="1"/>
  <c r="E7" i="6"/>
  <c r="G5" i="6"/>
  <c r="H5" i="6" s="1"/>
  <c r="E5" i="6"/>
  <c r="D26" i="4"/>
  <c r="D19" i="4"/>
  <c r="D9" i="5" s="1"/>
  <c r="D17" i="4"/>
  <c r="D18" i="4" s="1"/>
  <c r="D4" i="7" s="1"/>
  <c r="D16" i="7" s="1"/>
  <c r="E8" i="4"/>
  <c r="D8" i="4"/>
  <c r="E7" i="4"/>
  <c r="D7" i="4"/>
  <c r="E6" i="4"/>
  <c r="E5" i="4"/>
  <c r="E4" i="4"/>
  <c r="C115" i="7"/>
  <c r="C100" i="7"/>
  <c r="D46" i="7"/>
  <c r="D45" i="7"/>
  <c r="D44" i="7"/>
  <c r="D42" i="7"/>
  <c r="D47" i="7" s="1"/>
  <c r="D109" i="7" s="1"/>
  <c r="D41" i="7"/>
  <c r="D40" i="7"/>
  <c r="D39" i="7"/>
  <c r="D38" i="7"/>
  <c r="D37" i="7"/>
  <c r="D36" i="7"/>
  <c r="D35" i="7"/>
  <c r="C114" i="7" s="1"/>
  <c r="D7" i="7"/>
  <c r="D10" i="3"/>
  <c r="D20" i="3" s="1"/>
  <c r="D33" i="1" s="1"/>
  <c r="E8" i="3"/>
  <c r="D8" i="3"/>
  <c r="D27" i="3" s="1"/>
  <c r="E7" i="3"/>
  <c r="D7" i="3"/>
  <c r="E6" i="3"/>
  <c r="E5" i="3"/>
  <c r="D45" i="2"/>
  <c r="D39" i="2"/>
  <c r="D38" i="2"/>
  <c r="D32" i="2"/>
  <c r="E6" i="2"/>
  <c r="D6" i="2"/>
  <c r="E5" i="2"/>
  <c r="D5" i="2"/>
  <c r="D51" i="2" s="1"/>
  <c r="D52" i="2" s="1"/>
  <c r="D5" i="5" s="1"/>
  <c r="D64" i="1"/>
  <c r="D63" i="1"/>
  <c r="D62" i="1"/>
  <c r="D61" i="1"/>
  <c r="D60" i="1"/>
  <c r="D59" i="1"/>
  <c r="D58" i="1"/>
  <c r="E41" i="1"/>
  <c r="E40" i="1"/>
  <c r="E39" i="1"/>
  <c r="E38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5" i="1"/>
  <c r="E13" i="1"/>
  <c r="D115" i="5"/>
  <c r="D116" i="5" s="1"/>
  <c r="D118" i="5" s="1"/>
  <c r="D99" i="5" s="1"/>
  <c r="D96" i="5"/>
  <c r="D67" i="5"/>
  <c r="D40" i="5"/>
  <c r="E25" i="5"/>
  <c r="E24" i="5"/>
  <c r="E23" i="5"/>
  <c r="E22" i="5"/>
  <c r="E21" i="5"/>
  <c r="E20" i="5"/>
  <c r="E19" i="5"/>
  <c r="E18" i="5"/>
  <c r="D18" i="5"/>
  <c r="E17" i="5"/>
  <c r="E16" i="5"/>
  <c r="E15" i="5"/>
  <c r="E14" i="5"/>
  <c r="E13" i="5"/>
  <c r="E12" i="5"/>
  <c r="E11" i="5"/>
  <c r="E10" i="5"/>
  <c r="E9" i="5"/>
  <c r="E8" i="5"/>
  <c r="E7" i="5"/>
  <c r="D7" i="5"/>
  <c r="E6" i="5"/>
  <c r="E5" i="5"/>
  <c r="D68" i="5" l="1"/>
  <c r="D19" i="3"/>
  <c r="D22" i="3" s="1"/>
  <c r="D119" i="5"/>
  <c r="D120" i="5" s="1"/>
  <c r="D20" i="1" s="1"/>
  <c r="D6" i="3"/>
  <c r="D32" i="4"/>
  <c r="D18" i="2"/>
  <c r="D20" i="2" s="1"/>
  <c r="D15" i="5" s="1"/>
  <c r="D69" i="5" s="1"/>
  <c r="D70" i="5" s="1"/>
  <c r="D32" i="3"/>
  <c r="D20" i="5" s="1"/>
  <c r="D39" i="5" s="1"/>
  <c r="D111" i="5"/>
  <c r="D30" i="1" s="1"/>
  <c r="D40" i="1"/>
  <c r="H25" i="6"/>
  <c r="D48" i="4"/>
  <c r="D24" i="5" s="1"/>
  <c r="D47" i="4"/>
  <c r="D23" i="5" s="1"/>
  <c r="D131" i="5" s="1"/>
  <c r="D46" i="4"/>
  <c r="D22" i="5" s="1"/>
  <c r="D117" i="5"/>
  <c r="D102" i="5" s="1"/>
  <c r="D40" i="4"/>
  <c r="D41" i="4" s="1"/>
  <c r="D5" i="3"/>
  <c r="D24" i="4"/>
  <c r="D8" i="5"/>
  <c r="D60" i="5" s="1"/>
  <c r="D31" i="4"/>
  <c r="D33" i="4" s="1"/>
  <c r="H41" i="6"/>
  <c r="D20" i="7"/>
  <c r="D21" i="7" s="1"/>
  <c r="D19" i="7"/>
  <c r="D18" i="7"/>
  <c r="D17" i="7"/>
  <c r="D14" i="7"/>
  <c r="D13" i="7"/>
  <c r="D45" i="4"/>
  <c r="D24" i="2"/>
  <c r="D23" i="2"/>
  <c r="D22" i="2"/>
  <c r="D15" i="7"/>
  <c r="D21" i="3"/>
  <c r="D31" i="3"/>
  <c r="D21" i="5" s="1"/>
  <c r="D41" i="5" s="1"/>
  <c r="D42" i="5" s="1"/>
  <c r="D6" i="7"/>
  <c r="D21" i="2" l="1"/>
  <c r="D24" i="3"/>
  <c r="D28" i="3"/>
  <c r="D29" i="3" s="1"/>
  <c r="D13" i="5" s="1"/>
  <c r="D5" i="4"/>
  <c r="D62" i="5"/>
  <c r="D63" i="5" s="1"/>
  <c r="D64" i="5" s="1"/>
  <c r="D25" i="1" s="1"/>
  <c r="D104" i="5"/>
  <c r="D25" i="5"/>
  <c r="D110" i="5" s="1"/>
  <c r="D22" i="1" s="1"/>
  <c r="D34" i="1"/>
  <c r="D29" i="2"/>
  <c r="D50" i="2"/>
  <c r="D46" i="5"/>
  <c r="D50" i="5" s="1"/>
  <c r="D51" i="5" s="1"/>
  <c r="D43" i="5"/>
  <c r="D25" i="2"/>
  <c r="D27" i="4"/>
  <c r="D12" i="5"/>
  <c r="D4" i="4"/>
  <c r="D23" i="3"/>
  <c r="D25" i="3" s="1"/>
  <c r="D84" i="5"/>
  <c r="D109" i="5"/>
  <c r="D21" i="1" s="1"/>
  <c r="B78" i="7"/>
  <c r="D17" i="5"/>
  <c r="D47" i="5" s="1"/>
  <c r="D90" i="2"/>
  <c r="D19" i="1" s="1"/>
  <c r="D44" i="2"/>
  <c r="D14" i="5" s="1"/>
  <c r="D37" i="4"/>
  <c r="D35" i="4"/>
  <c r="D41" i="1" s="1"/>
  <c r="D5" i="7"/>
  <c r="B72" i="7" s="1"/>
  <c r="B87" i="7" l="1"/>
  <c r="B58" i="7"/>
  <c r="B55" i="7"/>
  <c r="B69" i="7"/>
  <c r="B79" i="7"/>
  <c r="C78" i="7" s="1"/>
  <c r="B59" i="7"/>
  <c r="B51" i="7"/>
  <c r="C51" i="7" s="1"/>
  <c r="B68" i="7"/>
  <c r="B94" i="7"/>
  <c r="B98" i="7"/>
  <c r="B70" i="7"/>
  <c r="B52" i="7"/>
  <c r="B63" i="7"/>
  <c r="D13" i="4"/>
  <c r="B50" i="7"/>
  <c r="B82" i="7"/>
  <c r="B71" i="7"/>
  <c r="C71" i="7" s="1"/>
  <c r="B76" i="7"/>
  <c r="B53" i="7"/>
  <c r="B81" i="7"/>
  <c r="B85" i="7"/>
  <c r="B97" i="7"/>
  <c r="C97" i="7" s="1"/>
  <c r="B84" i="7"/>
  <c r="B83" i="7"/>
  <c r="B90" i="7"/>
  <c r="B61" i="7"/>
  <c r="D59" i="5"/>
  <c r="D29" i="1" s="1"/>
  <c r="D48" i="5"/>
  <c r="D49" i="5" s="1"/>
  <c r="D52" i="5" s="1"/>
  <c r="D6" i="5"/>
  <c r="D28" i="4"/>
  <c r="B56" i="7"/>
  <c r="B73" i="7"/>
  <c r="B80" i="7"/>
  <c r="B67" i="7"/>
  <c r="B54" i="7"/>
  <c r="C54" i="7" s="1"/>
  <c r="B74" i="7"/>
  <c r="B91" i="7"/>
  <c r="B65" i="7"/>
  <c r="B57" i="7"/>
  <c r="C57" i="7" s="1"/>
  <c r="B89" i="7"/>
  <c r="C89" i="7" s="1"/>
  <c r="B60" i="7"/>
  <c r="C60" i="7" s="1"/>
  <c r="B100" i="7"/>
  <c r="B75" i="7"/>
  <c r="C75" i="7" s="1"/>
  <c r="B99" i="7"/>
  <c r="B88" i="7"/>
  <c r="B92" i="7"/>
  <c r="B64" i="7"/>
  <c r="B62" i="7"/>
  <c r="C62" i="7" s="1"/>
  <c r="B66" i="7"/>
  <c r="C66" i="7" s="1"/>
  <c r="B96" i="7"/>
  <c r="B93" i="7"/>
  <c r="C93" i="7" s="1"/>
  <c r="D37" i="2"/>
  <c r="D35" i="2"/>
  <c r="D36" i="2" s="1"/>
  <c r="D40" i="2" s="1"/>
  <c r="D41" i="2" s="1"/>
  <c r="B86" i="7"/>
  <c r="C86" i="7" s="1"/>
  <c r="B95" i="7"/>
  <c r="B77" i="7"/>
  <c r="C77" i="7" s="1"/>
  <c r="C69" i="7" l="1"/>
  <c r="C56" i="7"/>
  <c r="C88" i="7"/>
  <c r="C55" i="7"/>
  <c r="C91" i="7"/>
  <c r="C85" i="7"/>
  <c r="C61" i="7"/>
  <c r="C98" i="7"/>
  <c r="C80" i="7"/>
  <c r="C64" i="7"/>
  <c r="C73" i="7"/>
  <c r="C82" i="7"/>
  <c r="C68" i="7"/>
  <c r="C96" i="7"/>
  <c r="D16" i="5"/>
  <c r="D54" i="5" s="1"/>
  <c r="D6" i="4"/>
  <c r="D54" i="2"/>
  <c r="D31" i="1" s="1"/>
  <c r="D42" i="2"/>
  <c r="C99" i="7"/>
  <c r="C65" i="7"/>
  <c r="C87" i="7"/>
  <c r="C84" i="7"/>
  <c r="C50" i="7"/>
  <c r="C94" i="7"/>
  <c r="C79" i="7"/>
  <c r="C59" i="7"/>
  <c r="C74" i="7"/>
  <c r="C90" i="7"/>
  <c r="C53" i="7"/>
  <c r="C63" i="7"/>
  <c r="C81" i="7"/>
  <c r="D14" i="4"/>
  <c r="D16" i="4" s="1"/>
  <c r="D11" i="5" s="1"/>
  <c r="D65" i="5" s="1"/>
  <c r="D15" i="4"/>
  <c r="D10" i="5" s="1"/>
  <c r="C83" i="7"/>
  <c r="C76" i="7"/>
  <c r="C52" i="7"/>
  <c r="C95" i="7"/>
  <c r="C92" i="7"/>
  <c r="C67" i="7"/>
  <c r="D79" i="5"/>
  <c r="C58" i="7"/>
  <c r="C70" i="7"/>
  <c r="C72" i="7"/>
  <c r="D103" i="7" l="1"/>
  <c r="D104" i="7" s="1"/>
  <c r="D125" i="7" s="1"/>
  <c r="D36" i="1" s="1"/>
  <c r="D55" i="2"/>
  <c r="D32" i="1" s="1"/>
  <c r="D43" i="2"/>
  <c r="D48" i="2"/>
  <c r="D49" i="2" s="1"/>
  <c r="D19" i="5" s="1"/>
  <c r="D57" i="5"/>
  <c r="D86" i="5"/>
  <c r="D8" i="7"/>
  <c r="D107" i="7" s="1"/>
  <c r="D108" i="7" s="1"/>
  <c r="D42" i="4"/>
  <c r="D43" i="4"/>
  <c r="D44" i="4" s="1"/>
  <c r="D24" i="1" s="1"/>
  <c r="D71" i="5"/>
  <c r="D72" i="5" s="1"/>
  <c r="D98" i="5" s="1"/>
  <c r="D73" i="5" s="1"/>
  <c r="D87" i="5" s="1"/>
  <c r="D110" i="7" l="1"/>
  <c r="D35" i="1"/>
  <c r="D88" i="5"/>
  <c r="D90" i="5"/>
  <c r="D89" i="5"/>
  <c r="D74" i="5"/>
  <c r="D108" i="5"/>
  <c r="D121" i="5" l="1"/>
  <c r="D112" i="5"/>
  <c r="D39" i="1" s="1"/>
  <c r="D91" i="5"/>
  <c r="D13" i="1"/>
  <c r="D14" i="1" s="1"/>
  <c r="D113" i="5"/>
  <c r="D23" i="1" s="1"/>
  <c r="D38" i="1"/>
  <c r="D122" i="5" l="1"/>
  <c r="D92" i="5"/>
  <c r="D95" i="5"/>
  <c r="D28" i="1" s="1"/>
  <c r="D94" i="5"/>
  <c r="D15" i="1"/>
  <c r="D16" i="1" s="1"/>
  <c r="D130" i="5"/>
  <c r="D27" i="1" s="1"/>
  <c r="D105" i="5"/>
  <c r="D123" i="5"/>
  <c r="D128" i="5"/>
  <c r="D93" i="5"/>
  <c r="D53" i="5" l="1"/>
  <c r="D55" i="5"/>
  <c r="D77" i="5"/>
  <c r="D124" i="5"/>
  <c r="D125" i="5" s="1"/>
  <c r="D127" i="5"/>
  <c r="D129" i="5" s="1"/>
  <c r="D80" i="5" l="1"/>
  <c r="D78" i="5"/>
  <c r="D56" i="5"/>
  <c r="D66" i="5"/>
  <c r="D100" i="5"/>
  <c r="D75" i="5" l="1"/>
  <c r="D76" i="5" s="1"/>
  <c r="D126" i="5"/>
  <c r="D26" i="1" s="1"/>
</calcChain>
</file>

<file path=xl/sharedStrings.xml><?xml version="1.0" encoding="utf-8"?>
<sst xmlns="http://schemas.openxmlformats.org/spreadsheetml/2006/main" count="1484" uniqueCount="1054">
  <si>
    <t>CO₂ DOSING FLOWRATES</t>
  </si>
  <si>
    <t>Reactor</t>
  </si>
  <si>
    <t>date</t>
  </si>
  <si>
    <t>cylinder size</t>
  </si>
  <si>
    <t>observed volume*</t>
  </si>
  <si>
    <t>volume</t>
  </si>
  <si>
    <t>time</t>
  </si>
  <si>
    <t>flowrate</t>
  </si>
  <si>
    <t>average flowrate</t>
  </si>
  <si>
    <t>minimum sparge</t>
  </si>
  <si>
    <t>nominal flowrate</t>
  </si>
  <si>
    <t>KEY</t>
  </si>
  <si>
    <t>ml</t>
  </si>
  <si>
    <t>s</t>
  </si>
  <si>
    <t>ml/s</t>
  </si>
  <si>
    <t>Flowrate set by inspection, as maximum to not give bubbles rising into vial neck</t>
  </si>
  <si>
    <t>ed04</t>
  </si>
  <si>
    <t>First or last data point removed as suspect outlier</t>
  </si>
  <si>
    <t>Point</t>
  </si>
  <si>
    <t>Note</t>
  </si>
  <si>
    <t>*</t>
  </si>
  <si>
    <t>CO2 collected in measuring cyclinder over CO2-saturated water</t>
  </si>
  <si>
    <t>Collected using inlet CO2 tube rather than outlet as MEP vialcap leaking</t>
  </si>
  <si>
    <t>Collected over saturated NaHCO3 soln, as Martin  innovated without thinking</t>
  </si>
  <si>
    <t>Parameter</t>
  </si>
  <si>
    <t>Name</t>
  </si>
  <si>
    <t>Unit</t>
  </si>
  <si>
    <t>Value</t>
  </si>
  <si>
    <t>Source</t>
  </si>
  <si>
    <t>Comment</t>
  </si>
  <si>
    <t>Reactor_sel</t>
  </si>
  <si>
    <t>select</t>
  </si>
  <si>
    <t>Active build. Choose from the values below. Dropdown.</t>
  </si>
  <si>
    <t>Electrode</t>
  </si>
  <si>
    <t>electrode_sel</t>
  </si>
  <si>
    <t>MMO tube</t>
  </si>
  <si>
    <t>CO₂ delivery route. Choose from the values below. Dropdown.</t>
  </si>
  <si>
    <t>HOB organism</t>
  </si>
  <si>
    <t>organism_sel</t>
  </si>
  <si>
    <t>Cupriavidus necator</t>
  </si>
  <si>
    <t>The HOB strain; sets the DO band the schedule targets.</t>
  </si>
  <si>
    <t>Media</t>
  </si>
  <si>
    <t>media_sel</t>
  </si>
  <si>
    <t>Growth medium.</t>
  </si>
  <si>
    <t>LED intensity setpoint</t>
  </si>
  <si>
    <t>led_intensity</t>
  </si>
  <si>
    <t>%</t>
  </si>
  <si>
    <t>input</t>
  </si>
  <si>
    <t>Pioreactor LED channel % driving electrolysis current (Gerrit's Law, valid 3-25%).</t>
  </si>
  <si>
    <t>Stirrer rate</t>
  </si>
  <si>
    <t>stir_rpm_set</t>
  </si>
  <si>
    <t>rpm</t>
  </si>
  <si>
    <t>Stir rate; sets tip speed and surface O2 transfer.</t>
  </si>
  <si>
    <t>Temperature setpoint</t>
  </si>
  <si>
    <t>temp_C</t>
  </si>
  <si>
    <t>°C</t>
  </si>
  <si>
    <t>Temperature setpoint; sets Henry solubilities and rates.</t>
  </si>
  <si>
    <t>Media volume</t>
  </si>
  <si>
    <t>media_volume</t>
  </si>
  <si>
    <t>mL</t>
  </si>
  <si>
    <t>input/blank</t>
  </si>
  <si>
    <t>Liquid charged; leave blank to use the reactor's recommended max working volume.</t>
  </si>
  <si>
    <t>Ambient pressure</t>
  </si>
  <si>
    <t>P_atm_set</t>
  </si>
  <si>
    <t>Pa</t>
  </si>
  <si>
    <t>blank = default 101325 Pa</t>
  </si>
  <si>
    <t>Results</t>
  </si>
  <si>
    <t>CO₂ pulse duration</t>
  </si>
  <si>
    <t>How long to open the CO2 solenoid each dose.</t>
  </si>
  <si>
    <t>CO₂ pulse duration (rounded)</t>
  </si>
  <si>
    <t>CO₂ sparge interval</t>
  </si>
  <si>
    <t>min</t>
  </si>
  <si>
    <t>Time between doses. Now credits surface O2 stripping (kL_surf proxy); when surface handles the O2 this is carbon-limited. Refine via the kL_surf measurement.</t>
  </si>
  <si>
    <t>CO₂ sparge interval rounded)</t>
  </si>
  <si>
    <t>Checks</t>
  </si>
  <si>
    <t>Vial geometry consistent?</t>
  </si>
  <si>
    <t>Red until the vial headspace is measured (vial-geometry.md). While red, the pulse above is provisional (~4x uncertain).</t>
  </si>
  <si>
    <t>Reactor calibrated?</t>
  </si>
  <si>
    <t>Red = no CO2-flow calibration for this reactor; results read 'calibrate first' (flow-calibration.md).</t>
  </si>
  <si>
    <t>O₂ at/under organism optimum?</t>
  </si>
  <si>
    <t>Green = dissolved O2 sits at/under the organism optimum; red = surface stripping insufficient, O2 may breach impairment.</t>
  </si>
  <si>
    <t>O₂ above organism minimum?</t>
  </si>
  <si>
    <t>Minimum DO is a data gap for most organisms (dissolved-oxygen.md).</t>
  </si>
  <si>
    <t>Interval can be relaxed (carbon-limited)?</t>
  </si>
  <si>
    <t>If surface stripping handles O2 you may dose far less often (the carbon-limited interval, in Supporting figures). The interval above is the safe fallback until kL_surf is measured.</t>
  </si>
  <si>
    <t>H₂ headspace safe?</t>
  </si>
  <si>
    <t>EXPLOSIVE = H2 evolves faster than it dissolves; ensure headspace venting and no ignition source.</t>
  </si>
  <si>
    <t>Bubble model valid?</t>
  </si>
  <si>
    <t>'Sinter OOR' = sinter pore size out of the validated bubble range; sparge mass-transfer is approximate (expected for the porosity-0 disc).</t>
  </si>
  <si>
    <t>CO₂ supply meets demand?</t>
  </si>
  <si>
    <t>Ratio of CO2 supplied to carbon demand; should be &gt;= 1.</t>
  </si>
  <si>
    <t>Pulse ≥ solenoid floor?</t>
  </si>
  <si>
    <t>The optimal pulse must exceed the shortest reliable sparge.</t>
  </si>
  <si>
    <t>Dosing window OK?</t>
  </si>
  <si>
    <t>Enough gap between doses to read OD without sparging.</t>
  </si>
  <si>
    <t>Carryover risk?</t>
  </si>
  <si>
    <t>Gas velocity below the entrainment limit (no liquid carried out).</t>
  </si>
  <si>
    <t>Tip-speed shear OK?</t>
  </si>
  <si>
    <t>Stirrer tip speed under the conservative 1.5 m/s shear limit.</t>
  </si>
  <si>
    <t>Media volume fits vial?</t>
  </si>
  <si>
    <t>Media volume not exceeding the max working volume.</t>
  </si>
  <si>
    <t>Liquid level OK?</t>
  </si>
  <si>
    <t>Liquid not above the usable vial depth.</t>
  </si>
  <si>
    <t>LED current-law in range?</t>
  </si>
  <si>
    <t>LED intensity within Gerrit's-Law validated band 3-25% (gerrit-current.md).</t>
  </si>
  <si>
    <t>SUPPORTING FIGURES</t>
  </si>
  <si>
    <t>Steady-state DO (surface)</t>
  </si>
  <si>
    <t>mg/L</t>
  </si>
  <si>
    <t>Predicted dissolved O2 the surface stripping settles at; compare to the organism band.</t>
  </si>
  <si>
    <t>Sparge interval if O₂ handled</t>
  </si>
  <si>
    <t>The longer (carbon-limited) interval usable if the 'relaxed' check is green.</t>
  </si>
  <si>
    <t>Stir-bar tip speed</t>
  </si>
  <si>
    <t>m/s</t>
  </si>
  <si>
    <t>Checked against 1.5 m/s above.</t>
  </si>
  <si>
    <t>Carbon margin</t>
  </si>
  <si>
    <t>×</t>
  </si>
  <si>
    <t>Dissolved CO2 vs RuBisCO Km at in-sparge peak; large = ample carbon.</t>
  </si>
  <si>
    <t>Key</t>
  </si>
  <si>
    <t>Verified / handbook / defined / standard</t>
  </si>
  <si>
    <t>Literature-supported (~90%)</t>
  </si>
  <si>
    <t>Design assumption (~70%)</t>
  </si>
  <si>
    <t>Weak / coarse estimate (~50%)</t>
  </si>
  <si>
    <t>Guess - replace when known</t>
  </si>
  <si>
    <t>DATA GAP - measure, do not invent</t>
  </si>
  <si>
    <t>Value font: blue = input you set/measure</t>
  </si>
  <si>
    <t>black = formula / derived</t>
  </si>
  <si>
    <t>purple = fixed data / constant</t>
  </si>
  <si>
    <t>OK</t>
  </si>
  <si>
    <t>Caution</t>
  </si>
  <si>
    <t>Problem</t>
  </si>
  <si>
    <t>Improvements</t>
  </si>
  <si>
    <t>Impact</t>
  </si>
  <si>
    <t>Effort</t>
  </si>
  <si>
    <t>Protocol</t>
  </si>
  <si>
    <t>Why it matters</t>
  </si>
  <si>
    <t>Measure surface kLa (kL_surf)</t>
  </si>
  <si>
    <t>HIGH</t>
  </si>
  <si>
    <t>med</t>
  </si>
  <si>
    <t>375% sensitivity; decides the safe sparge interval</t>
  </si>
  <si>
    <t>Measure cathodic Faradaic efficiency</t>
  </si>
  <si>
    <t>sets the H2/O2 split; O2 figures are an upper bound at etaF=1</t>
  </si>
  <si>
    <t>Determine organism minimum DO</t>
  </si>
  <si>
    <t>MED</t>
  </si>
  <si>
    <t>low</t>
  </si>
  <si>
    <t>lower DO guardrail; a gap for every organism</t>
  </si>
  <si>
    <t>Calibrate flow for each reactor</t>
  </si>
  <si>
    <t>each experiment; only ed04 done</t>
  </si>
  <si>
    <t>Confirm knallgas uptake ratio (H2:O2:CO2)</t>
  </si>
  <si>
    <t>high</t>
  </si>
  <si>
    <t>sets O2 surplus + carbon demand; needs a growing culture</t>
  </si>
  <si>
    <t>Measure / confirm sinter porosity</t>
  </si>
  <si>
    <t>LOW</t>
  </si>
  <si>
    <t>bubble size; currently grade 0 from Gerrit's disc</t>
  </si>
  <si>
    <t>Record lab ambient pressure</t>
  </si>
  <si>
    <t>Henry solubilities + gas volumes</t>
  </si>
  <si>
    <t>GEOMETRY</t>
  </si>
  <si>
    <t>Source / assumption</t>
  </si>
  <si>
    <t>IMPORTS (from other tabs)</t>
  </si>
  <si>
    <t>(import) Reactor selection</t>
  </si>
  <si>
    <t>reactor_sel</t>
  </si>
  <si>
    <t>-</t>
  </si>
  <si>
    <t>(import) Media volume (set)</t>
  </si>
  <si>
    <t xml:space="preserve">  valid version 1</t>
  </si>
  <si>
    <t>ver_name_1</t>
  </si>
  <si>
    <t>AEP0.1.1</t>
  </si>
  <si>
    <t>Superseded by the reactor-type lookup below; not read by any formula</t>
  </si>
  <si>
    <t xml:space="preserve">  valid version 2</t>
  </si>
  <si>
    <t>ver_name_2</t>
  </si>
  <si>
    <t>AEP0.2</t>
  </si>
  <si>
    <t>Vial outer diameter - AEP0.1.1</t>
  </si>
  <si>
    <t>vial_OD_1</t>
  </si>
  <si>
    <t>mm</t>
  </si>
  <si>
    <t>Vial outer diameter - AEP0.2</t>
  </si>
  <si>
    <t>vial_OD_2</t>
  </si>
  <si>
    <t>Internal usable depth - AEP0.1.1</t>
  </si>
  <si>
    <t>D_int_1</t>
  </si>
  <si>
    <t>Internal usable depth - AEP0.2</t>
  </si>
  <si>
    <t>D_int_2</t>
  </si>
  <si>
    <t>Recommended max working volume - AEP0.1.1</t>
  </si>
  <si>
    <t>Vmax_1</t>
  </si>
  <si>
    <t>Recommended max working volume - AEP0.2</t>
  </si>
  <si>
    <t>Vmax_2</t>
  </si>
  <si>
    <t>Total internal vial volume - AEP0.1.1</t>
  </si>
  <si>
    <t>Vtot_1</t>
  </si>
  <si>
    <t>Total internal vial volume - AEP0.2</t>
  </si>
  <si>
    <t>Vtot_2</t>
  </si>
  <si>
    <t>Vial outer diameter</t>
  </si>
  <si>
    <t>vial_OD</t>
  </si>
  <si>
    <t>Selected by rx_ver; invalid version returns an error.</t>
  </si>
  <si>
    <t>Vial wall thickness</t>
  </si>
  <si>
    <t>vial_wall</t>
  </si>
  <si>
    <t>Borosilicate vial; Pioreactor publish neither wall nor internal diameter, so wall estimated ~1.1 mm (typical for this glass-vial class).</t>
  </si>
  <si>
    <t>Vial internal diameter</t>
  </si>
  <si>
    <t>vial_ID</t>
  </si>
  <si>
    <t>OD minus two wall thicknesses.</t>
  </si>
  <si>
    <t>Internal cross-sectional area</t>
  </si>
  <si>
    <t>A_x</t>
  </si>
  <si>
    <t>mm²</t>
  </si>
  <si>
    <t>Uniform-cylinder body approximation (neck excluded - see headspace).</t>
  </si>
  <si>
    <t>Internal usable depth</t>
  </si>
  <si>
    <t>D_int</t>
  </si>
  <si>
    <t>Selected by rx_ver.</t>
  </si>
  <si>
    <t>Recommended max working volume (datum)</t>
  </si>
  <si>
    <t>V_max</t>
  </si>
  <si>
    <t>Total internal vial volume</t>
  </si>
  <si>
    <t>V_vial_total</t>
  </si>
  <si>
    <t>Bare liquid level (datum height)</t>
  </si>
  <si>
    <t>h_datum</t>
  </si>
  <si>
    <t>Height the bare max volume reaches with no inserts.</t>
  </si>
  <si>
    <t>Electrode rod diameter</t>
  </si>
  <si>
    <t>rod_d</t>
  </si>
  <si>
    <t>6 mm rod electrodes.</t>
  </si>
  <si>
    <t>Number of electrodes</t>
  </si>
  <si>
    <t>rod_n</t>
  </si>
  <si>
    <t>Anode + cathode.</t>
  </si>
  <si>
    <t>Electrode tip clearance above base</t>
  </si>
  <si>
    <t>elec_clear</t>
  </si>
  <si>
    <t>Held constant across builds (OD clear zone). 22 mm ↔ 33 mm insertion in AEP0.1.1. Input.</t>
  </si>
  <si>
    <t>Electrode insertion depth (derived)</t>
  </si>
  <si>
    <t>elec_ins</t>
  </si>
  <si>
    <t>Cap underside -&gt; tip. Increases for the taller AEP0.2 to keep clearance constant.</t>
  </si>
  <si>
    <t>Sparge tube OD</t>
  </si>
  <si>
    <t>spg_OD</t>
  </si>
  <si>
    <t>1/8" OD Flexelene 135C.</t>
  </si>
  <si>
    <t>Sparge tube ID</t>
  </si>
  <si>
    <t>spg_ID</t>
  </si>
  <si>
    <t>1/16" ID.</t>
  </si>
  <si>
    <t>Sparge release height (= anode tip)</t>
  </si>
  <si>
    <t>spg_tip_h</t>
  </si>
  <si>
    <t>CO₂ released near anode tip.</t>
  </si>
  <si>
    <t>Efflux tube OD</t>
  </si>
  <si>
    <t>eff_OD</t>
  </si>
  <si>
    <t>Efflux tube ID</t>
  </si>
  <si>
    <t>eff_ID</t>
  </si>
  <si>
    <t>Electrode submerged length (@datum)</t>
  </si>
  <si>
    <t>elec_sub_L</t>
  </si>
  <si>
    <t>For displacement bookkeeping.</t>
  </si>
  <si>
    <t>Electrode displaced volume</t>
  </si>
  <si>
    <t>elec_disp</t>
  </si>
  <si>
    <t>Submerged rod volume.</t>
  </si>
  <si>
    <t>Sparge tube displaced volume</t>
  </si>
  <si>
    <t>spg_disp</t>
  </si>
  <si>
    <t>Submerged sparge-tube volume.</t>
  </si>
  <si>
    <t>Efflux tube submerged length</t>
  </si>
  <si>
    <t>eff_sub_L</t>
  </si>
  <si>
    <t>45 deg cut; level held at top of the ID opening, so wall is wetted from tip up to (OD+ID)/2.</t>
  </si>
  <si>
    <t>Efflux tube displaced volume</t>
  </si>
  <si>
    <t>eff_disp</t>
  </si>
  <si>
    <t>Annular wall only (bore is open to withdrawal). 45 deg approximation.</t>
  </si>
  <si>
    <t>Total displaced volume</t>
  </si>
  <si>
    <t>disp_tot</t>
  </si>
  <si>
    <t>Sum of submerged inserts.</t>
  </si>
  <si>
    <t>LIQUID VOLUME TO CHARGE</t>
  </si>
  <si>
    <t>V_charge</t>
  </si>
  <si>
    <t>Integer mL to charge so the level matches the bare datum despite inserts.</t>
  </si>
  <si>
    <t>Resulting liquid level</t>
  </si>
  <si>
    <t>h_actual</t>
  </si>
  <si>
    <t>Level achieved by the integer charge (displacement taken at datum; sub-mm error).</t>
  </si>
  <si>
    <t>Sparge depth / bubble path length</t>
  </si>
  <si>
    <t>sparge_depth</t>
  </si>
  <si>
    <t>Release point to surface.</t>
  </si>
  <si>
    <t>Gas-liquid interfacial area</t>
  </si>
  <si>
    <t>interface_A</t>
  </si>
  <si>
    <t>Free surface = cross-section minus inserts piercing it.</t>
  </si>
  <si>
    <t>Extra headspace tube OD</t>
  </si>
  <si>
    <t>xtube_OD</t>
  </si>
  <si>
    <t>3 further 1/8" tubes (gas-out, etc.) through the cap.</t>
  </si>
  <si>
    <t>Number of extra headspace tubes</t>
  </si>
  <si>
    <t>xtube_n</t>
  </si>
  <si>
    <t>Protrude through the cap into headspace. 1x media in, 2x gas out</t>
  </si>
  <si>
    <t>Extra tube protrusion</t>
  </si>
  <si>
    <t>xtube_pro</t>
  </si>
  <si>
    <t>Each protrudes ~5 mm below cap (45 deg cut). Input.</t>
  </si>
  <si>
    <t>Total in-vial insert volume</t>
  </si>
  <si>
    <t>V_inserts</t>
  </si>
  <si>
    <t>In-vial inserts: electrodes &amp; sparge solid; efflux annular (open bore); extra tubes solid.</t>
  </si>
  <si>
    <t>Headspace gas volume</t>
  </si>
  <si>
    <t>headspace_V</t>
  </si>
  <si>
    <t>Total vial volume - liquid charged - inserts (captures neck narrowing).</t>
  </si>
  <si>
    <t>Sparge tube in-vial length</t>
  </si>
  <si>
    <t>spg_len</t>
  </si>
  <si>
    <t>Cap underside to release point; tracks spg_tip_h.</t>
  </si>
  <si>
    <t>Reactor type (resolved from reactor)</t>
  </si>
  <si>
    <t>rx_ver</t>
  </si>
  <si>
    <t>Stir-bar length (from reactor type)</t>
  </si>
  <si>
    <t>stir_bar_L</t>
  </si>
  <si>
    <t>40 mL OD = 20 mL diameter (Pioreactor source); depths/volumes confirm by measurement.</t>
  </si>
  <si>
    <t>Media vs max working volume</t>
  </si>
  <si>
    <t>media_vol_warn</t>
  </si>
  <si>
    <t>Liquid level vs usable depth</t>
  </si>
  <si>
    <t>depth_warn</t>
  </si>
  <si>
    <t>REACTOR LOOKUP  (reactor ID → type)</t>
  </si>
  <si>
    <t>Type</t>
  </si>
  <si>
    <t>imp01</t>
  </si>
  <si>
    <t>imp02</t>
  </si>
  <si>
    <t>imp03</t>
  </si>
  <si>
    <t>imp04</t>
  </si>
  <si>
    <t>imp05</t>
  </si>
  <si>
    <t>imp06</t>
  </si>
  <si>
    <t>ed01</t>
  </si>
  <si>
    <t>ed02</t>
  </si>
  <si>
    <t>ed03</t>
  </si>
  <si>
    <t>MEP0.3</t>
  </si>
  <si>
    <t>ed05</t>
  </si>
  <si>
    <t>ed06</t>
  </si>
  <si>
    <t>ed07</t>
  </si>
  <si>
    <t>ed08</t>
  </si>
  <si>
    <t>imp07</t>
  </si>
  <si>
    <t>imp08</t>
  </si>
  <si>
    <t>imp09</t>
  </si>
  <si>
    <t>imp10</t>
  </si>
  <si>
    <t>imp11</t>
  </si>
  <si>
    <t>imp12</t>
  </si>
  <si>
    <t>nm01</t>
  </si>
  <si>
    <t>AEP0.2a</t>
  </si>
  <si>
    <t>nm02</t>
  </si>
  <si>
    <t>REACTOR-TYPE LOOKUP  (geometry &amp; stir bar; pulled by type)</t>
  </si>
  <si>
    <t>Pioreactor</t>
  </si>
  <si>
    <t>vial (mL)</t>
  </si>
  <si>
    <t>usable depth (mm)</t>
  </si>
  <si>
    <t>max working (mL)</t>
  </si>
  <si>
    <t>total vial (mL)</t>
  </si>
  <si>
    <t>vial OD (mm)</t>
  </si>
  <si>
    <t>stir bar L (mm)</t>
  </si>
  <si>
    <t>stir bar dia (mm)</t>
  </si>
  <si>
    <t>1.1</t>
  </si>
  <si>
    <t>1.5</t>
  </si>
  <si>
    <t>VIAL GEOMETRY CONSISTENCY CHECK</t>
  </si>
  <si>
    <t>Vial geometry consistency check</t>
  </si>
  <si>
    <t>geom_check</t>
  </si>
  <si>
    <t>Fires INCONSISTENT for the 20 mL vial because the bare cylinder (A_x x usable depth ~28 mL) overestimates the true 20 mL vial (it tapers/necks, not a full cylinder to 55 mm). Expected tolerance artifact, not a data error - resolved by measuring true bore depth (protocols/vial-geometry.md).</t>
  </si>
  <si>
    <t>ELECTROCHEMISTRY</t>
  </si>
  <si>
    <t>(import) Temperature (absolute)</t>
  </si>
  <si>
    <t>T_K</t>
  </si>
  <si>
    <t>K</t>
  </si>
  <si>
    <t>(import) Surface pressure</t>
  </si>
  <si>
    <t>P_atm</t>
  </si>
  <si>
    <t>(import) Ideal gas constant</t>
  </si>
  <si>
    <t>R_gas</t>
  </si>
  <si>
    <t>J/mol/K</t>
  </si>
  <si>
    <t>(import) Electrode selection</t>
  </si>
  <si>
    <t>LED intensity setpoint (Pioreactor LED_D)</t>
  </si>
  <si>
    <t>intensity</t>
  </si>
  <si>
    <t>Electrode drive via LED_D channel. Input.</t>
  </si>
  <si>
    <t>Gerrit's Law - slope</t>
  </si>
  <si>
    <t>gerrit_slope</t>
  </si>
  <si>
    <t>mA/%</t>
  </si>
  <si>
    <t>Gerrit's Law fit (slope) - from LED-current calibration; see protocol gerrit-current.md</t>
  </si>
  <si>
    <t>Gerrit's Law - intercept</t>
  </si>
  <si>
    <t>gerrit_int</t>
  </si>
  <si>
    <t>mA</t>
  </si>
  <si>
    <t>Gerrit's Law fit (intercept); calibration-derived constant</t>
  </si>
  <si>
    <t>Gerrit's Law - min valid intensity</t>
  </si>
  <si>
    <t>gerrit_min</t>
  </si>
  <si>
    <t>Fit validated from 3%.</t>
  </si>
  <si>
    <t>Gerrit's Law - max valid intensity</t>
  </si>
  <si>
    <t>gerrit_max</t>
  </si>
  <si>
    <t>Fit validated to 25%; above this constant-current may fail as cell V nears the 5 V rail.</t>
  </si>
  <si>
    <t>Faraday constant</t>
  </si>
  <si>
    <t>F_const</t>
  </si>
  <si>
    <t>C/mol</t>
  </si>
  <si>
    <t>NIST CODATA (exact, SI 2019).</t>
  </si>
  <si>
    <t>Electrons per H₂</t>
  </si>
  <si>
    <t>z_e_H2</t>
  </si>
  <si>
    <t>2H⁺ + 2e⁻ -&gt; H₂.</t>
  </si>
  <si>
    <t>Electrons per O₂</t>
  </si>
  <si>
    <t>z_e_O2</t>
  </si>
  <si>
    <t>2H₂O -&gt; O₂ + 4H⁺ + 4e⁻.</t>
  </si>
  <si>
    <t>Faradaic efficiency – H₂ at cathode (HER share)</t>
  </si>
  <si>
    <t>etaF</t>
  </si>
  <si>
    <t>Cathodic H₂ faradaic efficiency. Neutral-pH HER peaks ~97% and competes with O₂ reduction, so true FE is likely &lt;1 and unmeasured (Clary 2020, PNAS 117:32947). 1.0 = optimistic; measure by gas collection.</t>
  </si>
  <si>
    <t>Electrolysis current (Gerrit's Law)</t>
  </si>
  <si>
    <t>I_app</t>
  </si>
  <si>
    <t>A</t>
  </si>
  <si>
    <t>I(mA) = slope x intensity + intercept; /1000 -&gt; A.</t>
  </si>
  <si>
    <t>Gerrit's Law validity flag</t>
  </si>
  <si>
    <t>I_valid</t>
  </si>
  <si>
    <t>Linear fit only validated over the stated range.</t>
  </si>
  <si>
    <t>H₂ generation rate</t>
  </si>
  <si>
    <t>rH2_gen</t>
  </si>
  <si>
    <t>mol/h</t>
  </si>
  <si>
    <t>Faraday: I x etaF /(z F).</t>
  </si>
  <si>
    <t>O₂ generation rate (anodic, gross)</t>
  </si>
  <si>
    <t>rO2_gen</t>
  </si>
  <si>
    <t>Anodic OER, gross. Uses etaF_OER (anodic), not the cathodic etaF. H₂:O₂(anodic) = 2:1.</t>
  </si>
  <si>
    <t>H₂ generation rate (volumetric)</t>
  </si>
  <si>
    <t>V_H2_gen</t>
  </si>
  <si>
    <t>mL/min</t>
  </si>
  <si>
    <t>Ideal gas at surface T,P. Collect gas over water to check against this.</t>
  </si>
  <si>
    <t>O₂ generation rate (volumetric)</t>
  </si>
  <si>
    <t>V_O2_gen</t>
  </si>
  <si>
    <t>Anodic gross O₂.</t>
  </si>
  <si>
    <t>Total gas generation rate</t>
  </si>
  <si>
    <t>V_gas_total</t>
  </si>
  <si>
    <t>Total electrolytic gas (H₂+O₂) — abiotic check: collect over water, no cells, to verify Gerrit/etaF. Less if etaF&lt;1.</t>
  </si>
  <si>
    <t>Anodic O₂ faradaic efficiency</t>
  </si>
  <si>
    <t>etaF_OER</t>
  </si>
  <si>
    <t>Assumes chloride-free medium (no competing Cl2 evolution at the anode)</t>
  </si>
  <si>
    <t>Electrons per O₂ reduced (cathode)</t>
  </si>
  <si>
    <t>z_e_ORR</t>
  </si>
  <si>
    <t>Electrode lookup fixes ORR at 2 e- (peroxide pathway, SS cathode, neutral pH) for every current electrode; a 4 e- (to-water) electrode would need its own table row.</t>
  </si>
  <si>
    <t>O₂ consumed at cathode (ORR)</t>
  </si>
  <si>
    <t>O2_cathode_ORR</t>
  </si>
  <si>
    <t>Cathodic current not making H₂ (1−etaF) reduces dissolved O₂. 0 at etaF=1.</t>
  </si>
  <si>
    <t>Net O₂ to dissolved pool</t>
  </si>
  <si>
    <t>O2_net_gen</t>
  </si>
  <si>
    <t>Anodic O₂ minus cathodic consumption — the O₂ the dissolved pool receives.</t>
  </si>
  <si>
    <t>z_e_ORR=2 assumed (peroxide, non-Pt SS cathode, neutral pH); etaF unmeasured - both live here per electrode.</t>
  </si>
  <si>
    <t>Sparger (from electrode)</t>
  </si>
  <si>
    <t>sparger_e</t>
  </si>
  <si>
    <t>Sinter porosity grade (from electrode)</t>
  </si>
  <si>
    <t>por_grade_e</t>
  </si>
  <si>
    <t>Porosity 0 = Gerrit's sourced sintered disc (SD8/0/P 8mm, fallback SD10/0/P 10mm; Scientific Glass Labs, 2026-05)</t>
  </si>
  <si>
    <t>ELECTRODE LOOKUP  (selecting the electrode sets sparger, porosity, cathode)</t>
  </si>
  <si>
    <t>anode material</t>
  </si>
  <si>
    <t>anode dia (mm)</t>
  </si>
  <si>
    <t>sparger</t>
  </si>
  <si>
    <t>sinter porosity</t>
  </si>
  <si>
    <t>cathode</t>
  </si>
  <si>
    <t>cathode dia (mm)</t>
  </si>
  <si>
    <t>Pt/Ti rod</t>
  </si>
  <si>
    <t>Pt/Ti</t>
  </si>
  <si>
    <t>Tube</t>
  </si>
  <si>
    <t>n/a</t>
  </si>
  <si>
    <t>SS rod</t>
  </si>
  <si>
    <t>?</t>
  </si>
  <si>
    <t>MMO rod</t>
  </si>
  <si>
    <t>MMO</t>
  </si>
  <si>
    <t>Sintered</t>
  </si>
  <si>
    <t>BIOLOGY</t>
  </si>
  <si>
    <t>(import) H₂ generation rate</t>
  </si>
  <si>
    <t>(import) Net O₂ to dissolved pool</t>
  </si>
  <si>
    <t>(import) LIQUID VOLUME TO CHARGE</t>
  </si>
  <si>
    <t>(import) HOB organism</t>
  </si>
  <si>
    <t>Gas requirement ratio - H₂</t>
  </si>
  <si>
    <t>bio_H2</t>
  </si>
  <si>
    <t>H₂:O₂:CO₂ UPTAKE ratio (not feed; phase-dependent, Lu &amp; Yu 2019). Knallgas caps O₂:H₂≤0.5; growth gives O₂:H₂≈0.29–0.35, CO₂:H₂≈0.15–0.19. 6:2:1 = mid-range central. Feed optimum 7:2:1 (Ishizaki 2001). Can't measure pre-growth.</t>
  </si>
  <si>
    <t>Gas requirement ratio - O₂</t>
  </si>
  <si>
    <t>bio_O2</t>
  </si>
  <si>
    <t>O₂:H₂ uptake, range 0.29–0.35 (×6 → 1.75–2.1). 2 = central; 1.8 (lean) is growth-protective.</t>
  </si>
  <si>
    <t>Gas requirement ratio - CO₂</t>
  </si>
  <si>
    <t>bio_CO2</t>
  </si>
  <si>
    <t>CO₂:H₂ uptake, range 0.15–0.19 (×6 → 0.9–1.15). 1 = central. Supply ≫ demand → non-limiting.</t>
  </si>
  <si>
    <t>H₂ consumed</t>
  </si>
  <si>
    <t>H2_cons</t>
  </si>
  <si>
    <t>Assumes 100% of evolved H₂ consumed — steady growth only; ~0 during lag (see §13).</t>
  </si>
  <si>
    <t>O₂ consumed</t>
  </si>
  <si>
    <t>O2_cons</t>
  </si>
  <si>
    <t>Assumes 100% H₂ uptake (upper bound); true limit is gas-liquid H₂ transfer — see H2_turnover</t>
  </si>
  <si>
    <t>CO₂ consumed (carbon fixation)</t>
  </si>
  <si>
    <t>CO2_cons</t>
  </si>
  <si>
    <t>H₂ consumed x (CO₂/H₂ ratio).</t>
  </si>
  <si>
    <t>EXCESS O₂ to remove</t>
  </si>
  <si>
    <t>O2_excess</t>
  </si>
  <si>
    <t>Upper bound: rests on full-uptake O2_cons above</t>
  </si>
  <si>
    <t>Temperature</t>
  </si>
  <si>
    <t>T_C</t>
  </si>
  <si>
    <t>C. necator optimum ~30 °C. Input.</t>
  </si>
  <si>
    <t>Temperature (absolute)</t>
  </si>
  <si>
    <t>°C + 273.15.</t>
  </si>
  <si>
    <t>Surface pressure</t>
  </si>
  <si>
    <t>Atmospheric at the liquid surface (assumed).</t>
  </si>
  <si>
    <t>Standard atmosphere (atm-&gt;Pa)</t>
  </si>
  <si>
    <t>Pa_per_atm</t>
  </si>
  <si>
    <t>Pa/atm</t>
  </si>
  <si>
    <t>Defined: 1 atm = 101 325 Pa exactly.</t>
  </si>
  <si>
    <t>Henry solubility O₂ (ref, 298.15 K)</t>
  </si>
  <si>
    <t>H_O2ref</t>
  </si>
  <si>
    <t>mol/m³/Pa</t>
  </si>
  <si>
    <t>Sander (2023) recommended H^cp O2; reproduces ~7.5 mg/L air-saturation at 30 degC</t>
  </si>
  <si>
    <t>Henry T-dependence O₂</t>
  </si>
  <si>
    <t>H_O2T</t>
  </si>
  <si>
    <t>Sander (2023): d ln(Hcp)/d(1/T).</t>
  </si>
  <si>
    <t>Reference temperature</t>
  </si>
  <si>
    <t>T_ref</t>
  </si>
  <si>
    <t>Standard reference for Henry constants.</t>
  </si>
  <si>
    <t>Henry solubility O₂ at T</t>
  </si>
  <si>
    <t>H_O2_T</t>
  </si>
  <si>
    <t>van 't Hoff correction to reactor T.</t>
  </si>
  <si>
    <t>O₂ growth-inhibition ceiling (gas)</t>
  </si>
  <si>
    <t>O2_ceil_atm</t>
  </si>
  <si>
    <t>atm</t>
  </si>
  <si>
    <t>Whole-cell growth inhibited above ~0.30 atm O₂ (Amer &amp; Kim 2023); the [NiFe] hydrogenase itself is O₂-tolerant.</t>
  </si>
  <si>
    <t>O₂ ceiling (partial pressure)</t>
  </si>
  <si>
    <t>O2_ceil_Pa</t>
  </si>
  <si>
    <t>Ceiling in Pa.</t>
  </si>
  <si>
    <t>Dissolved-O₂ ceiling</t>
  </si>
  <si>
    <t>O2_ceil_C</t>
  </si>
  <si>
    <t>mol/m³</t>
  </si>
  <si>
    <t>Henry's law at the gas ceiling.</t>
  </si>
  <si>
    <t>O2_ceil_uM</t>
  </si>
  <si>
    <t>µM</t>
  </si>
  <si>
    <t>mol/m³ = mM; ×1000 = µM. Aim: minimise dissolved O₂; floor set by O₂-removal capacity (§11).</t>
  </si>
  <si>
    <t>Henry solubility CO₂ (ref, 298.15 K)</t>
  </si>
  <si>
    <t>H_CO2ref</t>
  </si>
  <si>
    <t>Sander (2023) compilation; CO₂ ~25× more soluble than O₂.</t>
  </si>
  <si>
    <t>Henry T-dependence CO₂</t>
  </si>
  <si>
    <t>H_CO2T</t>
  </si>
  <si>
    <t>Sander (2023): d ln(Hcp)/d(1/T) for CO₂.</t>
  </si>
  <si>
    <t>Henry solubility CO₂ at T</t>
  </si>
  <si>
    <t>H_CO2_T</t>
  </si>
  <si>
    <t>van 't Hoff to reactor T.</t>
  </si>
  <si>
    <t>CO₂ partial pressure at sparge</t>
  </si>
  <si>
    <t>p_CO2_sparge</t>
  </si>
  <si>
    <t>Pure-CO₂ sparge: p_CO₂ ≈ surface pressure during a pulse. Assumption.</t>
  </si>
  <si>
    <t>Dissolved CO₂ (during sparge)</t>
  </si>
  <si>
    <t>CO2_diss</t>
  </si>
  <si>
    <t>Equilibrium dissolved CO₂ while sparging (mol/m³ = mM).</t>
  </si>
  <si>
    <t>RuBisCO Km for CO₂</t>
  </si>
  <si>
    <t>Km_CO2</t>
  </si>
  <si>
    <t>RuBisCO Km(CO₂) ~ order 50 µM. Coarse — confirm.</t>
  </si>
  <si>
    <t>Carbon margin (dissolved CO₂ : Km)</t>
  </si>
  <si>
    <t>CO2_carbon_margin</t>
  </si>
  <si>
    <t>Dissolved CO₂ : RuBisCO Km. ≫1 = saturating (duty-averaged lower).</t>
  </si>
  <si>
    <t>Carbonic-acid Ka1 (apparent)</t>
  </si>
  <si>
    <t>Ka1_carb</t>
  </si>
  <si>
    <t>mol/L</t>
  </si>
  <si>
    <t>CO₂(aq)+H₂O ⇌ H⁺+HCO₃⁻, pKa1 6.35 (25 °C).</t>
  </si>
  <si>
    <t>pH — UNBUFFERED worst case</t>
  </si>
  <si>
    <t>pH_CO2_unbuf</t>
  </si>
  <si>
    <t>Unbuffered worst case (pure water + CO₂) — lower bound only; the Sydow phosphate medium holds pH near setpoint.</t>
  </si>
  <si>
    <t>Henry solubility H₂ (ref, 298.15 K)</t>
  </si>
  <si>
    <t>H_H2ref</t>
  </si>
  <si>
    <t>Sander (2023). H₂ ~1.7× less soluble than O₂.</t>
  </si>
  <si>
    <t>Henry T-dependence H₂</t>
  </si>
  <si>
    <t>H_H2T</t>
  </si>
  <si>
    <t>Sander (2023): d ln(Hcp)/d(1/T) for H₂ (weak T-dependence).</t>
  </si>
  <si>
    <t>Henry solubility H₂ at T</t>
  </si>
  <si>
    <t>H_H2_T</t>
  </si>
  <si>
    <t>Dissolved-H₂ saturation (1 atm)</t>
  </si>
  <si>
    <t>C_H2_sat</t>
  </si>
  <si>
    <t>Max dissolved H₂ at 1 atm — the cells' H₂ ceiling.</t>
  </si>
  <si>
    <t>Time to saturate dissolved H₂ (LAG)</t>
  </si>
  <si>
    <t>t_H2_sat</t>
  </si>
  <si>
    <t>Lag: dissolved H₂ saturates this fast unconsumed, then bubbles off (lost + explosive headspace). Mirrors the O₂ lag timescale.</t>
  </si>
  <si>
    <t>H₂ pool turnovers per hour</t>
  </si>
  <si>
    <t>H2_turnover</t>
  </si>
  <si>
    <t>1/h</t>
  </si>
  <si>
    <t>H₂ evolved ÷ saturable pool. ≫1 → cells must consume in near-real-time or it escapes.</t>
  </si>
  <si>
    <t>H₂ headspace safety flag</t>
  </si>
  <si>
    <t>H2_safety</t>
  </si>
  <si>
    <t>On when H₂ escapes faster than it dissolves (H2_turnover&gt;1) → explosive H₂+O₂ headspace (4–94% in O₂). On at any useful current — headspace venting is mandatory.</t>
  </si>
  <si>
    <t>Pink no longer used here - red fill = hazard (H2 evolving faster than it dissolves), not a data gap.</t>
  </si>
  <si>
    <t>Minimum DO (organism)</t>
  </si>
  <si>
    <t>DO_min</t>
  </si>
  <si>
    <t>Optimum DO (organism)</t>
  </si>
  <si>
    <t>DO_opt</t>
  </si>
  <si>
    <t>Impairment DO (organism)</t>
  </si>
  <si>
    <t>DO_impair</t>
  </si>
  <si>
    <t>Toxic/inhibition DO (organism)</t>
  </si>
  <si>
    <t>DO_toxic</t>
  </si>
  <si>
    <t>HOB LOOKUP  (dissolved O₂ thresholds, mg/L)</t>
  </si>
  <si>
    <t>Organism</t>
  </si>
  <si>
    <t>minimum DO</t>
  </si>
  <si>
    <t>optimum DO</t>
  </si>
  <si>
    <t>impairment DO</t>
  </si>
  <si>
    <t>toxic DO</t>
  </si>
  <si>
    <t>source</t>
  </si>
  <si>
    <t>11.5 = Wilde &amp; Schlegel 1982 literature datum; model's operative O2 ceiling is computed via Henry (~10.7 mg/L at 30C) - the two differ slightly</t>
  </si>
  <si>
    <t>Xanthobacter autotrophicus</t>
  </si>
  <si>
    <t>Wilde &amp; Schlegel 1982 (~0.30 atm)</t>
  </si>
  <si>
    <t>Xanthobacter flavus</t>
  </si>
  <si>
    <t>no species data — assume genus ~11.5</t>
  </si>
  <si>
    <t>Xanthobacter tagetidis</t>
  </si>
  <si>
    <t>Cupriavidus metallidurans</t>
  </si>
  <si>
    <t>UdG (mixed)</t>
  </si>
  <si>
    <t>Rovira-Alsina 2025; Pous 2022/23</t>
  </si>
  <si>
    <t>MASS TRANSFER</t>
  </si>
  <si>
    <t>(import) Stir-bar length (from reactor type)</t>
  </si>
  <si>
    <t>stir_len</t>
  </si>
  <si>
    <t>Magnetic stir bar. Pioreactor max 20 mm; confirm the supplied bar's length. Input.</t>
  </si>
  <si>
    <t>(import) Dissolved-O₂ ceiling</t>
  </si>
  <si>
    <t>(import) O₂ ceiling (partial pressure)</t>
  </si>
  <si>
    <t>(import) CO₂ consumed (carbon fixation)</t>
  </si>
  <si>
    <t>(import) EXCESS O₂ to remove</t>
  </si>
  <si>
    <t>(import) Henry solubility O₂ at T</t>
  </si>
  <si>
    <t>(import) Gas-liquid interfacial area</t>
  </si>
  <si>
    <t>(import) Vial internal diameter</t>
  </si>
  <si>
    <t>(import) Internal cross-sectional area</t>
  </si>
  <si>
    <t>(import) Sparge tube ID</t>
  </si>
  <si>
    <t>(import) Headspace gas volume</t>
  </si>
  <si>
    <t>(import) Sinter porosity grade (from electrode)</t>
  </si>
  <si>
    <t>por_grade</t>
  </si>
  <si>
    <t>0-5</t>
  </si>
  <si>
    <t>(import) Sparger type (from electrode)</t>
  </si>
  <si>
    <t>(import) Optimum DO (organism)</t>
  </si>
  <si>
    <t>(import) Impairment DO (organism)</t>
  </si>
  <si>
    <t>(import) Toxic/inhibition DO (organism)</t>
  </si>
  <si>
    <t>(import) Minimum DO (organism)</t>
  </si>
  <si>
    <t xml:space="preserve">  valid sparger 1</t>
  </si>
  <si>
    <t>spg_name_1</t>
  </si>
  <si>
    <t>Bare 1/8" OD x 1/16" ID Flexelene 135C tube orifice.</t>
  </si>
  <si>
    <t xml:space="preserve">  valid sparger 2</t>
  </si>
  <si>
    <t>spg_name_2</t>
  </si>
  <si>
    <t>10 mm sintered-glass disc annulus on a tubular anode.</t>
  </si>
  <si>
    <t>Surface tension (water, T)</t>
  </si>
  <si>
    <t>sigma</t>
  </si>
  <si>
    <t>N/m</t>
  </si>
  <si>
    <t>IAPWS R1-76(2014) formulation, evaluated at 30 °C.</t>
  </si>
  <si>
    <t>Liquid density (water, T)</t>
  </si>
  <si>
    <t>rho_L</t>
  </si>
  <si>
    <t>kg/m³</t>
  </si>
  <si>
    <t>IAPWS-95, evaluated at 30 °C.</t>
  </si>
  <si>
    <t>Gravitational acceleration</t>
  </si>
  <si>
    <t>g_const</t>
  </si>
  <si>
    <t>m/s²</t>
  </si>
  <si>
    <t>Standard gravity (defined).</t>
  </si>
  <si>
    <t>O₂ diffusivity in water (T)</t>
  </si>
  <si>
    <t>D_O2</t>
  </si>
  <si>
    <t>m²/s</t>
  </si>
  <si>
    <t>O₂ diffusivity in water at 30 °C. Han &amp; Bartels (1996) fit log₁₀(D[cm²/s]) = −4.410 + 773.8/T − (506.4/T)² → 2.25e-9 m²/s at 303.15 K.</t>
  </si>
  <si>
    <t>Pore size - grade 0</t>
  </si>
  <si>
    <t>por0_um</t>
  </si>
  <si>
    <t>µm</t>
  </si>
  <si>
    <t>DURAN P0 160-250 µm, midpoint. ISO 4793 (paywalled) underlies; DURAN table is free.</t>
  </si>
  <si>
    <t>Pore size - grade 1</t>
  </si>
  <si>
    <t>por1_um</t>
  </si>
  <si>
    <t>DURAN P1 100-160 µm, midpoint.</t>
  </si>
  <si>
    <t>Pore size - grade 2</t>
  </si>
  <si>
    <t>por2_um</t>
  </si>
  <si>
    <t>DURAN P2 40-100 µm, midpoint.</t>
  </si>
  <si>
    <t>Pore size - grade 3</t>
  </si>
  <si>
    <t>por3_um</t>
  </si>
  <si>
    <t>DURAN P3 16-40 µm, midpoint.</t>
  </si>
  <si>
    <t>Pore size - grade 4</t>
  </si>
  <si>
    <t>por4_um</t>
  </si>
  <si>
    <t>DURAN P4 10-16 µm, midpoint.</t>
  </si>
  <si>
    <t>Pore size - grade 5</t>
  </si>
  <si>
    <t>por5_um</t>
  </si>
  <si>
    <t>DURAN P5 1.0-1.6 µm, midpoint.</t>
  </si>
  <si>
    <t>Selected sinter pore diameter</t>
  </si>
  <si>
    <t>por_pore</t>
  </si>
  <si>
    <t>m</t>
  </si>
  <si>
    <t>Picked by por_grade.</t>
  </si>
  <si>
    <t>Tube orifice diameter</t>
  </si>
  <si>
    <t>tube_d_m</t>
  </si>
  <si>
    <t>Tube ID in metres.</t>
  </si>
  <si>
    <t>Effective orifice/pore diameter</t>
  </si>
  <si>
    <t>d_orifice</t>
  </si>
  <si>
    <t>Tube ID or sinter pore; invalid sparger returns an error.</t>
  </si>
  <si>
    <t>Bubble detachment diameter</t>
  </si>
  <si>
    <t>d_bubble</t>
  </si>
  <si>
    <t>Static low-flow force balance (buoyancy vs surface tension); valid in the quasi-static regime — see bubble_regime (§10).</t>
  </si>
  <si>
    <t>Bubble diameter (display)</t>
  </si>
  <si>
    <t>d_bubble_mm</t>
  </si>
  <si>
    <t>Mendelson coefficient a</t>
  </si>
  <si>
    <t>mend_a</t>
  </si>
  <si>
    <t>Mendelson (1967) wave-theory bubble rise correlation (AIChE J, paywalled).</t>
  </si>
  <si>
    <t>Mendelson coefficient b</t>
  </si>
  <si>
    <t>mend_b</t>
  </si>
  <si>
    <t>Mendelson (1967), as above.</t>
  </si>
  <si>
    <t>Bubble rise velocity</t>
  </si>
  <si>
    <t>u_rise</t>
  </si>
  <si>
    <t>Mendelson rise velocity, valid ~1–10 mm. Sub-mm bubbles (fine sinters) are out of range → bubble strip excluded and flagged (bubble_regime); §11 surface path and §14 optimiser unaffected. Tube = 4.1 mm.</t>
  </si>
  <si>
    <t>Superficial gas velocity (sparge on)</t>
  </si>
  <si>
    <t>u_sg</t>
  </si>
  <si>
    <t>Gas flow / liquid cross-section.</t>
  </si>
  <si>
    <t>Gas holdup (sparge on)</t>
  </si>
  <si>
    <t>holdup</t>
  </si>
  <si>
    <t>ε ≈ superficial gas velocity / rise velocity.</t>
  </si>
  <si>
    <t>Interfacial area for transfer</t>
  </si>
  <si>
    <t>a_int</t>
  </si>
  <si>
    <t>1/m</t>
  </si>
  <si>
    <t>a = 6ε/d_b (spheres).</t>
  </si>
  <si>
    <t>Bubble-liquid contact time</t>
  </si>
  <si>
    <t>t_contact</t>
  </si>
  <si>
    <t>d_b / rise velocity.</t>
  </si>
  <si>
    <t>Liquid-film coefficient kL</t>
  </si>
  <si>
    <t>kL</t>
  </si>
  <si>
    <t>Higbie penetration theory.</t>
  </si>
  <si>
    <t>kLa during sparge</t>
  </si>
  <si>
    <t>kLa_sparge</t>
  </si>
  <si>
    <t>1/s</t>
  </si>
  <si>
    <t>kL x a.</t>
  </si>
  <si>
    <t>kLa time-averaged</t>
  </si>
  <si>
    <t>kLa_avg</t>
  </si>
  <si>
    <t>Sparge-on regime only; not meaningful in the surface-strip-dominated default</t>
  </si>
  <si>
    <t>O₂ strip rate at ceiling (sparge on)</t>
  </si>
  <si>
    <t>strip_sparge</t>
  </si>
  <si>
    <t>Bubble O₂ strip at the ceiling driving force (best case). 0 for sub-mm bubbles (fine sinter, bubble model out of range — see bubble_regime).</t>
  </si>
  <si>
    <t>O₂ strip rate time-averaged</t>
  </si>
  <si>
    <t>strip_avg</t>
  </si>
  <si>
    <t>x duty cycle.</t>
  </si>
  <si>
    <t>Strip capacity : excess-O₂</t>
  </si>
  <si>
    <t>strip_ratio</t>
  </si>
  <si>
    <t>Bubble strip : surplus. ≪1 — the §11 surface path is the real route.</t>
  </si>
  <si>
    <t>Required time-avg kLa</t>
  </si>
  <si>
    <t>kLa_req</t>
  </si>
  <si>
    <t>kLa that would exactly strip the excess at the ceiling.</t>
  </si>
  <si>
    <t>Entrainment velocity ceiling (rule of thumb)</t>
  </si>
  <si>
    <t>u_g_max</t>
  </si>
  <si>
    <t>Provisional superficial-velocity ceiling above which droplet carryover to the hydrophilic vent filters becomes likely. Replace with measured value.</t>
  </si>
  <si>
    <t>Carryover flag</t>
  </si>
  <si>
    <t>carry_flag</t>
  </si>
  <si>
    <t>Operating gas velocity vs ceiling.</t>
  </si>
  <si>
    <t>CO₂ gas density (T,P)</t>
  </si>
  <si>
    <t>rho_CO2</t>
  </si>
  <si>
    <t>Ideal gas at surface conditions; for the orifice Weber number.</t>
  </si>
  <si>
    <t>Active sparge orifices</t>
  </si>
  <si>
    <t>n_pores_active</t>
  </si>
  <si>
    <t>Tube = 1. Sinter pore count unknown; 1 = worst case. DATA GAP.</t>
  </si>
  <si>
    <t>Gas velocity at orifice</t>
  </si>
  <si>
    <t>v_orifice</t>
  </si>
  <si>
    <t>Orifice Weber number</t>
  </si>
  <si>
    <t>We_orifice</t>
  </si>
  <si>
    <t>Bubble-formation regime</t>
  </si>
  <si>
    <t>bubble_regime</t>
  </si>
  <si>
    <t>Tate's law assumes quasi-static detachment (We&lt;~2). 'Sinter OOR' = sub-mm bubble; the fine-sinter model isn't built yet.</t>
  </si>
  <si>
    <t>O₂ time-to-ceiling (no removal)</t>
  </si>
  <si>
    <t>t_O2_ceiling</t>
  </si>
  <si>
    <t>Minutes to reach the O₂ ceiling from ~0 with no removal (steady, etaF=1) — the O₂ timescale.</t>
  </si>
  <si>
    <t>O₂ time-to-ceiling (with time-avg strip)</t>
  </si>
  <si>
    <t>t_O2_ceiling_strip</t>
  </si>
  <si>
    <t>As above, crediting time-averaged bubble strip (≈unchanged → bubbles aren't the mechanism). 9999 = cleared.</t>
  </si>
  <si>
    <t>Stir-bar speed</t>
  </si>
  <si>
    <t>stir_rpm</t>
  </si>
  <si>
    <t>1/min</t>
  </si>
  <si>
    <t>Pioreactor stir setpoint. RPM floor ~125 (stalls below). Input/confirm.</t>
  </si>
  <si>
    <t>tip_speed</t>
  </si>
  <si>
    <t>π·d·rpm/60.</t>
  </si>
  <si>
    <t>Surface renewal frequency</t>
  </si>
  <si>
    <t>s_renew</t>
  </si>
  <si>
    <t>Surface renewal ≈ tip speed / vial ID. Coarse proxy.</t>
  </si>
  <si>
    <t>Surface liquid-film coeff kL</t>
  </si>
  <si>
    <t>kL_surf</t>
  </si>
  <si>
    <t>Danckwerts surface-renewal estimate — coarse; measure by gassing-out (§15).</t>
  </si>
  <si>
    <t>Surface area per volume</t>
  </si>
  <si>
    <t>a_surf</t>
  </si>
  <si>
    <t>Free-surface area / liquid volume (mm²/mL = 1/m); uses interface_A (§1B).</t>
  </si>
  <si>
    <t>Surface O₂ transfer kLa</t>
  </si>
  <si>
    <t>kLa_surf</t>
  </si>
  <si>
    <t>kL_surf × a_surf.</t>
  </si>
  <si>
    <t>O₂ strip via surface (ceiling)</t>
  </si>
  <si>
    <t>surf_strip</t>
  </si>
  <si>
    <t>O₂ removed across the stirred surface at ceiling driving force, headspace ~O₂-free. Best case.</t>
  </si>
  <si>
    <t>Surface strip : excess-O₂</t>
  </si>
  <si>
    <t>surf_ratio</t>
  </si>
  <si>
    <t>Surface strip : surplus. Coarse (kL_surf). ≫ bubble path — the dominant O₂ route.</t>
  </si>
  <si>
    <t>Headspace O₂ frac. to vent excess</t>
  </si>
  <si>
    <t>y_O2_vent</t>
  </si>
  <si>
    <t>Headspace O₂ fraction at which the vented CO₂ carries the surplus out. kL-independent.</t>
  </si>
  <si>
    <t>DO in equilib. with that headspace</t>
  </si>
  <si>
    <t>DO_vent_eq</t>
  </si>
  <si>
    <t>Dissolved O₂ matching that headspace fraction. ≪ ceiling → vent-feasible.</t>
  </si>
  <si>
    <t>Headspace flush time</t>
  </si>
  <si>
    <t>hs_flush_time</t>
  </si>
  <si>
    <t>Avg CO₂ flow to displace one headspace volume.</t>
  </si>
  <si>
    <t>Combined O₂ removal : excess</t>
  </si>
  <si>
    <t>O2_removal_ratio</t>
  </si>
  <si>
    <t>Upper bound: surface + sparge O2 sinks are in series (liquid-&gt;headspace-&gt;vent), not strictly additive</t>
  </si>
  <si>
    <t>O₂ time-to-ceiling (LAG, no uptake)</t>
  </si>
  <si>
    <t>t_O2_ceiling_lag</t>
  </si>
  <si>
    <t>Lag/establishment: no biological O₂ uptake yet, so the full net O₂ accumulates. Worst case.</t>
  </si>
  <si>
    <t>O₂ time-to-ceiling (with all removal)</t>
  </si>
  <si>
    <t>t_O2_ceiling_rem</t>
  </si>
  <si>
    <t>LAG-with-removal partner to t_O2_ceiling_lag: cells not yet consuming, so removal (bubble + surface) must offset the full net electrolytic O₂ (O2_net_gen, which already nets the cathodic sink), not the steady surplus. 9999 = removal holds the ceiling (no finite time).</t>
  </si>
  <si>
    <t>Schedule mode</t>
  </si>
  <si>
    <t>sched_mode</t>
  </si>
  <si>
    <t>Optimal</t>
  </si>
  <si>
    <t>Manual = use the values you type below; Optimal = the model computes &amp; applies the optimum. Dropdown.</t>
  </si>
  <si>
    <t>Manual pulse duration</t>
  </si>
  <si>
    <t>spg_dur_man</t>
  </si>
  <si>
    <t>Your pulse length, used when sched_mode=Manual.</t>
  </si>
  <si>
    <t>Manual sparge interval</t>
  </si>
  <si>
    <t>spg_int_man</t>
  </si>
  <si>
    <t>Your interval, used when sched_mode=Manual.</t>
  </si>
  <si>
    <t>Target DO fraction (organism optimum / inhibition)</t>
  </si>
  <si>
    <t>target_DO_frac</t>
  </si>
  <si>
    <t>Hold DO at ≤ this × the inhibition ceiling. Lower = safer O₂ margin → needs more flushing. Input.</t>
  </si>
  <si>
    <t>Min carbon supply margin</t>
  </si>
  <si>
    <t>carbon_margin_min</t>
  </si>
  <si>
    <t>Required CO₂ supply : fixation demand. Input.</t>
  </si>
  <si>
    <t>Duty floor — carbon</t>
  </si>
  <si>
    <t>duty_carbon</t>
  </si>
  <si>
    <t>Duty needed so CO₂ supply ≥ margin × fixation demand.</t>
  </si>
  <si>
    <t>Duty floor — O₂ venting (lag)</t>
  </si>
  <si>
    <t>duty_O2vent</t>
  </si>
  <si>
    <t>O2 the sparge must vent = net O2 minus surface stripping (proxy); 0 when surface stripping alone holds DO</t>
  </si>
  <si>
    <t>Optimal duty cycle</t>
  </si>
  <si>
    <t>duty_opt</t>
  </si>
  <si>
    <t>Least feasible CO₂ (binding of the two floors). O₂-venting binds, not pH (buffer holds pH; over-dose limited by pCO₂ lag).</t>
  </si>
  <si>
    <t>Max interval — O₂ flush frequency</t>
  </si>
  <si>
    <t>spg_int_max</t>
  </si>
  <si>
    <t>O2-limited interval, now crediting surface stripping (surf_strip from the kL_surf proxy) rather than assuming zero; refine by measuring kL_surf</t>
  </si>
  <si>
    <t>► OPTIMAL pulse duration</t>
  </si>
  <si>
    <t>spg_dur_opt</t>
  </si>
  <si>
    <t>ANSWER. Shortest reliable pulse → most frequent, smoothest DO, best OD-read windows.</t>
  </si>
  <si>
    <t>► OPTIMAL sparge interval</t>
  </si>
  <si>
    <t>spg_int_opt</t>
  </si>
  <si>
    <t>ANSWER. From optimal duty at the floor pulse, capped by the O₂-flush frequency limit. Set sched_mode=Optimal to apply.</t>
  </si>
  <si>
    <t xml:space="preserve">  optimal interval (seconds)</t>
  </si>
  <si>
    <t>spg_int_opt_s</t>
  </si>
  <si>
    <t>Convenience: interval in seconds.</t>
  </si>
  <si>
    <t xml:space="preserve">  resulting duty / binding constraint</t>
  </si>
  <si>
    <t>duty_actual</t>
  </si>
  <si>
    <t>Achieved duty at the optimum (= duty_opt unless the flush-frequency cap binds, raising it).</t>
  </si>
  <si>
    <t xml:space="preserve">  binding constraint</t>
  </si>
  <si>
    <t>opt_binding</t>
  </si>
  <si>
    <t>Which limit sets the schedule: O2-VENT (O₂ removal), O2-FREQ (flush frequency), or CARBON.</t>
  </si>
  <si>
    <t xml:space="preserve">  OD-window check</t>
  </si>
  <si>
    <t>od_ok</t>
  </si>
  <si>
    <t>≥5 s gap between pulses for an OD read. Can't measure OD while sparging.</t>
  </si>
  <si>
    <t>ACCURACY LIMIT — no validated kinetics</t>
  </si>
  <si>
    <t>kinetic_caveat</t>
  </si>
  <si>
    <t>Constraint-proxy optimiser, not a fitted growth model — no validated μ(O₂,pH,CO₂) or lag kinetics exist for this system. Gives the lag-minimising direction, not an exact optimum; bounded by etaF, surface kL and the unbuffered-pH simplification. Validate empirically.</t>
  </si>
  <si>
    <t>Measured surface kLa</t>
  </si>
  <si>
    <t>kLa_meas</t>
  </si>
  <si>
    <t>Measured surface kLa (gassing-out). 0 = use the §11 estimate. kLa = slope of −LN(1−DO/DO_sat) vs time.</t>
  </si>
  <si>
    <t>Surface kLa used downstream</t>
  </si>
  <si>
    <t>kLa_surf_used</t>
  </si>
  <si>
    <t>What §11 actually uses: the measured value if entered, otherwise the theoretical estimate. Swap estimate→truth here once measured.</t>
  </si>
  <si>
    <t>Min reliable pulse (solenoid floor)</t>
  </si>
  <si>
    <t>pulse_floor</t>
  </si>
  <si>
    <t>From Dosing.</t>
  </si>
  <si>
    <t>Average CO₂ supply rate</t>
  </si>
  <si>
    <t>CO2_supply</t>
  </si>
  <si>
    <t>Ideal gas constant</t>
  </si>
  <si>
    <t>CO₂ volumetric flow rate</t>
  </si>
  <si>
    <t>Q_CO2</t>
  </si>
  <si>
    <t>Molar mass CO₂</t>
  </si>
  <si>
    <t>M_CO2</t>
  </si>
  <si>
    <t>g/mol</t>
  </si>
  <si>
    <t>CO₂ molar flow during sparge</t>
  </si>
  <si>
    <t>nCO2_rate</t>
  </si>
  <si>
    <t>mol/s</t>
  </si>
  <si>
    <t>Sparge duty cycle</t>
  </si>
  <si>
    <t>duty</t>
  </si>
  <si>
    <t>CO2 per pulse (headspace volumes)</t>
  </si>
  <si>
    <t>flush_factor</t>
  </si>
  <si>
    <t>STEADY-STATE DO CHECK (surface stripping vs organism band)</t>
  </si>
  <si>
    <t>Steady-state DO under surface stripping</t>
  </si>
  <si>
    <t>DO_ss</t>
  </si>
  <si>
    <t xml:space="preserve">  DO_ss vs optimum (organism)</t>
  </si>
  <si>
    <t>DO_ss_vs_opt</t>
  </si>
  <si>
    <t xml:space="preserve">  DO_ss vs minimum (organism)</t>
  </si>
  <si>
    <t>DO_ss_vs_min</t>
  </si>
  <si>
    <t>Tip-speed shear flag (&lt;1.5 m/s)</t>
  </si>
  <si>
    <t>tip_warn</t>
  </si>
  <si>
    <t>Conservative shear limit: &lt;1.5 m/s impeller-tip velocity recommended to avoid adverse cell-growth effects (BioProcess International, cell-culture norm); precautionary for robust HOB.</t>
  </si>
  <si>
    <t>Interval if surface stripping handles O2 (carbon-limited)</t>
  </si>
  <si>
    <t>spg_int_carbon</t>
  </si>
  <si>
    <t>Schedule regime (which interval applies)</t>
  </si>
  <si>
    <t>sched_regime</t>
  </si>
  <si>
    <t>Resolved by measuring kL_surf (improvement #1).</t>
  </si>
  <si>
    <t>CO₂ DOSING &amp; SCHEDULE (folded from Dosing)</t>
  </si>
  <si>
    <t>Reactor (calibration key)</t>
  </si>
  <si>
    <t>latest calibration date</t>
  </si>
  <si>
    <t>latest_date</t>
  </si>
  <si>
    <t>flowrate (calibrated)</t>
  </si>
  <si>
    <t>flowrate_cal</t>
  </si>
  <si>
    <t>min sparge (calibrated)</t>
  </si>
  <si>
    <t>min_sparge_cal</t>
  </si>
  <si>
    <t>reactor has a calibration row?</t>
  </si>
  <si>
    <t>has_cal</t>
  </si>
  <si>
    <t>count</t>
  </si>
  <si>
    <t>calibration source</t>
  </si>
  <si>
    <t>cal_warning</t>
  </si>
  <si>
    <t>Sparge duration per pulse</t>
  </si>
  <si>
    <t>spg_dur</t>
  </si>
  <si>
    <t>Sparge interval</t>
  </si>
  <si>
    <t>spg_int</t>
  </si>
  <si>
    <t>CO₂ per pulse</t>
  </si>
  <si>
    <t>CO2_pulse</t>
  </si>
  <si>
    <t>mol</t>
  </si>
  <si>
    <t>Pulses per hour</t>
  </si>
  <si>
    <t>pulses_h</t>
  </si>
  <si>
    <t>/h</t>
  </si>
  <si>
    <t>Pulses per day</t>
  </si>
  <si>
    <t>pulses_d</t>
  </si>
  <si>
    <t>/d</t>
  </si>
  <si>
    <t>CO₂ supply : carbon demand</t>
  </si>
  <si>
    <t>CO2_sd_ratio</t>
  </si>
  <si>
    <t>O₂ accumulated per interval</t>
  </si>
  <si>
    <t>O2_accum</t>
  </si>
  <si>
    <t>O₂ removable per pulse</t>
  </si>
  <si>
    <t>O2_strip_pulse</t>
  </si>
  <si>
    <t>Per-pulse balance</t>
  </si>
  <si>
    <t>sched_bal</t>
  </si>
  <si>
    <t>Duration floor check</t>
  </si>
  <si>
    <t>dur_ok</t>
  </si>
  <si>
    <t>Critical surface kL_surf (DO_ss = impairment DO)</t>
  </si>
  <si>
    <t>kL_surf_crit</t>
  </si>
  <si>
    <t>Measured kL_surf must EXCEED this or DO_ss breaches impairment; current model kL_surf vs this = the safety margin. See protocol surface-kla.md</t>
  </si>
  <si>
    <t>UdG phosphate</t>
  </si>
  <si>
    <t>CHEMISTRY — buffered pH &amp; anodic bleaching (open-system carbonate+phosphate charge balance, van't Hoff to reactor T)</t>
  </si>
  <si>
    <t>Parameter</t>
  </si>
  <si>
    <t>Name</t>
  </si>
  <si>
    <t>Unit</t>
  </si>
  <si>
    <t>Value</t>
  </si>
  <si>
    <t>Source / assumption</t>
  </si>
  <si>
    <t>IMPORTS (from other tabs)</t>
  </si>
  <si>
    <t>(import) Reactor temperature</t>
  </si>
  <si>
    <t>TKc</t>
  </si>
  <si>
    <t>K</t>
  </si>
  <si>
    <t>→ Biology</t>
  </si>
  <si>
    <t>(import) Dissolved CO₂ (worst case, full sparge)</t>
  </si>
  <si>
    <t>CO2aqc</t>
  </si>
  <si>
    <t>mol/L</t>
  </si>
  <si>
    <t>→ Biology (CO2_diss / 1000)</t>
  </si>
  <si>
    <t>(import) Electrolysis current (Gerrit's Law)</t>
  </si>
  <si>
    <t>Iappc</t>
  </si>
  <si>
    <t>A</t>
  </si>
  <si>
    <t>→ Electrochemistry (I_app)</t>
  </si>
  <si>
    <t>(import) Faraday constant</t>
  </si>
  <si>
    <t>Fcc</t>
  </si>
  <si>
    <t>C/mol</t>
  </si>
  <si>
    <t>→ Electrochemistry (F_const)</t>
  </si>
  <si>
    <t>(import) Reactor liquid volume</t>
  </si>
  <si>
    <t>VLc</t>
  </si>
  <si>
    <t>L</t>
  </si>
  <si>
    <t>→ Biology (V_charge / 1000)</t>
  </si>
  <si>
    <t>Molar gas constant</t>
  </si>
  <si>
    <t>R_gas</t>
  </si>
  <si>
    <t>J/mol/K</t>
  </si>
  <si>
    <t>Handbook (CODATA)</t>
  </si>
  <si>
    <t>EQUILIBRIUM CONSTANTS (van't Hoff to reactor T)</t>
  </si>
  <si>
    <t>K(T)=K₂₅·exp(−ΔH/R·(1/T−1/298.15)). ΔH = standard enthalpy of dissociation; well documented. Same van't Hoff treatment your sheet already uses for the Henry constants.</t>
  </si>
  <si>
    <t>constant</t>
  </si>
  <si>
    <t>K₂₅</t>
  </si>
  <si>
    <t>ΔH kJ/mol</t>
  </si>
  <si>
    <t>K at reactor T</t>
  </si>
  <si>
    <t>source</t>
  </si>
  <si>
    <t>Handbook: K₂₅ (CRC/IUPAC); ΔH dissociation (CRC)</t>
  </si>
  <si>
    <t>Carbonate Ka1 (pKa 6.35)</t>
  </si>
  <si>
    <t>Carbonate Ka2 (pKa 10.33)</t>
  </si>
  <si>
    <t>Phosphate Ka1 (pKa 2.15)</t>
  </si>
  <si>
    <t>Phosphate Ka2 (pKa 7.20)</t>
  </si>
  <si>
    <t>Phosphate Ka3 (pKa 12.35)</t>
  </si>
  <si>
    <t>Ammonium Ka (pKa 9.25)</t>
  </si>
  <si>
    <t>Water Kw</t>
  </si>
  <si>
    <t>Hypochlorous Ka (pKa 7.54)</t>
  </si>
  <si>
    <t>HOCl pKa at reactor T</t>
  </si>
  <si>
    <t>pKa_HOCl</t>
  </si>
  <si>
    <t>-</t>
  </si>
  <si>
    <t>= −log₁₀(Ka_HOCl at T)</t>
  </si>
  <si>
    <t>MEDIA IONIC COMPOSITION (per litre, as published; Excel derives the charge balance)</t>
  </si>
  <si>
    <t>Trace-metal salts omitted from SID (&lt;0.2 mM charge, negligible vs ~50–60 mM); their chloride is carried in the chloride row.</t>
  </si>
  <si>
    <t>Pous 2022 (BiTE 101010) / Pous 2023 (JECE 111550), UdG recipe</t>
  </si>
  <si>
    <t>Media/README.md (MC02); per Sydow 2017 SI Table S1</t>
  </si>
  <si>
    <t>salt</t>
  </si>
  <si>
    <t>MW g/mol</t>
  </si>
  <si>
    <t>MC02 g/L</t>
  </si>
  <si>
    <t>UdG g/L</t>
  </si>
  <si>
    <t>source</t>
  </si>
  <si>
    <t>KH₂PO₄</t>
  </si>
  <si>
    <t>Na₂HPO₄</t>
  </si>
  <si>
    <t>NaH₂PO₄·2H₂O</t>
  </si>
  <si>
    <t>NaHCO₃</t>
  </si>
  <si>
    <t>K₂SO₄</t>
  </si>
  <si>
    <t>CaSO₄·2H₂O</t>
  </si>
  <si>
    <t>MgSO₄·7H₂O</t>
  </si>
  <si>
    <t>(NH₄)₂SO₄</t>
  </si>
  <si>
    <t>CaCl₂</t>
  </si>
  <si>
    <t>MC02 — total phosphate</t>
  </si>
  <si>
    <t>PT_mc02</t>
  </si>
  <si>
    <t>mol/L</t>
  </si>
  <si>
    <t>Σ phosphate salts</t>
  </si>
  <si>
    <t>MC02 — strong-ion difference</t>
  </si>
  <si>
    <t>SID_mc02</t>
  </si>
  <si>
    <t>mol/L</t>
  </si>
  <si>
    <t>Σ strong cations − strong anions</t>
  </si>
  <si>
    <t>MC02 — total ammonium</t>
  </si>
  <si>
    <t>NT_mc02</t>
  </si>
  <si>
    <t>mol/L</t>
  </si>
  <si>
    <t/>
  </si>
  <si>
    <t>MC02 — chloride</t>
  </si>
  <si>
    <t>Cl_mc02</t>
  </si>
  <si>
    <t>mol/L</t>
  </si>
  <si>
    <t>no chloride salts</t>
  </si>
  <si>
    <t>UdG — total phosphate</t>
  </si>
  <si>
    <t>PT_udg</t>
  </si>
  <si>
    <t>mol/L</t>
  </si>
  <si>
    <t>Σ phosphate salts</t>
  </si>
  <si>
    <t>UdG — strong-ion difference</t>
  </si>
  <si>
    <t>SID_udg</t>
  </si>
  <si>
    <t>mol/L</t>
  </si>
  <si>
    <t>Σ strong cations − strong anions</t>
  </si>
  <si>
    <t>UdG — total ammonium</t>
  </si>
  <si>
    <t>NT_udg</t>
  </si>
  <si>
    <t>mol/L</t>
  </si>
  <si>
    <t/>
  </si>
  <si>
    <t>UdG — chloride</t>
  </si>
  <si>
    <t>Cl_udg</t>
  </si>
  <si>
    <t>mol/L</t>
  </si>
  <si>
    <t>trace-metal Cl excluded (negligible)</t>
  </si>
  <si>
    <t>(sel) strong-ion difference</t>
  </si>
  <si>
    <t>pH_SID</t>
  </si>
  <si>
    <t>mol/L</t>
  </si>
  <si>
    <t>by media_sel</t>
  </si>
  <si>
    <t>(sel) total phosphate</t>
  </si>
  <si>
    <t>pH_PT</t>
  </si>
  <si>
    <t>mol/L</t>
  </si>
  <si>
    <t>by media_sel</t>
  </si>
  <si>
    <t>(sel) total ammonium</t>
  </si>
  <si>
    <t>pH_NT</t>
  </si>
  <si>
    <t>mol/L</t>
  </si>
  <si>
    <t>by media_sel</t>
  </si>
  <si>
    <t>(sel) chloride</t>
  </si>
  <si>
    <t>pH_Cl</t>
  </si>
  <si>
    <t>mol/L</t>
  </si>
  <si>
    <t>by media_sel</t>
  </si>
  <si>
    <t>pH SOLVE GRID  (charge residual vs trial pH; root = operating pH)</t>
  </si>
  <si>
    <t>residual mol/L</t>
  </si>
  <si>
    <t>interp pH at root</t>
  </si>
  <si>
    <t>OPERATING pH (buffered, worst case)</t>
  </si>
  <si>
    <t>pH_op</t>
  </si>
  <si>
    <t>-</t>
  </si>
  <si>
    <t>root of charge-balance grid; full-sparge CO₂ trough</t>
  </si>
  <si>
    <t>WORST CASE: pH at full-sparge dissolved CO₂ (the trough during/after a CO₂ pulse). A real probe with response lag may read higher between pulses — a measurement that misses this trough is not the model being wrong.</t>
  </si>
  <si>
    <t>HOCl fraction at operating pH</t>
  </si>
  <si>
    <t>pH_fHOCl</t>
  </si>
  <si>
    <t>-</t>
  </si>
  <si>
    <t>Henderson–Hasselbalch; biocidal membrane-permeant form</t>
  </si>
  <si>
    <t>ANODIC BLEACHING (free-chlorine evolution; conservative FE=1)</t>
  </si>
  <si>
    <t>Free-chlorine production ceiling (FE=1)</t>
  </si>
  <si>
    <t>bleach_rate</t>
  </si>
  <si>
    <t>mg/L/h</t>
  </si>
  <si>
    <t>all anode current→Cl₂ at FE=1 (upper bound; real Cl₂ FE is chloride-limited). 2 e⁻/Cl₂→HOCl, MW 52.46</t>
  </si>
  <si>
    <t>Time to ~1 ppm HOCl (FE=1)</t>
  </si>
  <si>
    <t>bleach_t1ppm</t>
  </si>
  <si>
    <t>min</t>
  </si>
  <si>
    <t>~1 mg/L HOCl ≈ bactericidal threshold</t>
  </si>
  <si>
    <t>Bleaching / hypochlorite flag</t>
  </si>
  <si>
    <t>bleach_flag</t>
  </si>
  <si>
    <t>-</t>
  </si>
  <si>
    <t>the model's chloride-free assumption, enforced</t>
  </si>
  <si>
    <t>pH band flag (HOB optimum 6.5–7.5)</t>
  </si>
  <si>
    <t>pH_band_flag</t>
  </si>
  <si>
    <t>-</t>
  </si>
  <si>
    <t>Pous/Rovira-Alsina HOB optimum 6.5–7.5</t>
  </si>
  <si>
    <t>MEDIA LOOKUP (selector source)</t>
  </si>
  <si>
    <t>Media</t>
  </si>
  <si>
    <t>buffer</t>
  </si>
  <si>
    <t>buffer conc mM</t>
  </si>
  <si>
    <t>notes</t>
  </si>
  <si>
    <t>source</t>
  </si>
  <si>
    <t>MC02</t>
  </si>
  <si>
    <t>phosphate</t>
  </si>
  <si>
    <t>low-chloride, organic-free</t>
  </si>
  <si>
    <t>Media/README.md (MC02); per Sydow 2017 SI</t>
  </si>
  <si>
    <t>UdG phosphate</t>
  </si>
  <si>
    <t>phosphate</t>
  </si>
  <si>
    <t>low-chloride (trace Cl⁻); N varies urea/(NH₄)₂SO₄/NH₄Cl</t>
  </si>
  <si>
    <t>Pous 2022 &amp; 2023; Rovira-Alsina 2025</t>
  </si>
  <si>
    <t>Max achievable HOCl (medium chloride × HOCl fraction)</t>
  </si>
  <si>
    <t>HOCl_max</t>
  </si>
  <si>
    <t>mg/L</t>
  </si>
  <si>
    <t>conservative ceiling: all chloride oxidised to free chlorine, ×HOCl fraction at operating pH</t>
  </si>
  <si>
    <t>Organism DO data present?</t>
  </si>
  <si>
    <t>Red = the selected organism has no measured DO thresholds, so every DO/sparge verdict above is running on missing data.</t>
  </si>
  <si>
    <t>Endpoint pH (worst-case, full sparge)</t>
  </si>
  <si>
    <t>Operating pH at the CO2 trough. Green 6.5-7.5; red outside 6-8.</t>
  </si>
  <si>
    <t>Max HOCl (bleaching)</t>
  </si>
  <si>
    <t>Worst-case hypochlorite from the medium's chloride. Green &lt;0.1, red &gt;1 mg/L. Zero for chloride-free media.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</si>
</sst>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yyyy\-mm\-dd\ h:mm:ss"/>
    <numFmt numFmtId="165" formatCode="0.0"/>
    <numFmt numFmtId="166" formatCode="0.000"/>
    <numFmt numFmtId="167" formatCode="0.0000"/>
    <numFmt numFmtId="168" formatCode="0.000000"/>
    <numFmt numFmtId="169" formatCode="0.00000"/>
    <numFmt numFmtId="170" formatCode="0.00000000"/>
    <numFmt numFmtId="171" formatCode="0.0000000"/>
  </numFmts>
  <fonts count="43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sz val="9"/>
      <color rgb="FF7030A0"/>
      <name val="Consolas"/>
      <family val="2"/>
    </font>
    <font>
      <sz val="9"/>
      <color rgb="FF595959"/>
      <name val="Arial"/>
      <family val="2"/>
    </font>
    <font>
      <sz val="8"/>
      <color rgb="FF404040"/>
      <name val="Arial"/>
      <family val="2"/>
    </font>
    <font>
      <u/>
      <sz val="8"/>
      <color rgb="FF0563C1"/>
      <name val="Arial"/>
      <family val="2"/>
    </font>
    <font>
      <sz val="10"/>
      <color rgb="FF000000"/>
      <name val="Arial"/>
      <family val="2"/>
    </font>
    <font>
      <sz val="10"/>
      <color rgb="FF7030A0"/>
      <name val="Arial"/>
      <family val="2"/>
    </font>
    <font>
      <sz val="11"/>
      <color rgb="FF7030A0"/>
      <name val="Calibri"/>
      <family val="2"/>
    </font>
    <font>
      <b/>
      <sz val="12"/>
      <name val="Calibri"/>
      <family val="2"/>
    </font>
    <font>
      <b/>
      <sz val="11"/>
      <color rgb="FFFFFFFF"/>
      <name val="Calibri"/>
      <family val="2"/>
    </font>
    <font>
      <sz val="11"/>
      <color theme="0"/>
      <name val="Calibri"/>
      <family val="2"/>
      <charset val="1"/>
    </font>
    <font>
      <b/>
      <sz val="11"/>
      <name val="Calibri"/>
      <family val="2"/>
    </font>
    <font>
      <sz val="11"/>
      <color rgb="FF000000"/>
      <name val="Calibri"/>
      <family val="2"/>
    </font>
    <font>
      <sz val="11"/>
      <color rgb="FF7030A0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</font>
    <font>
      <u/>
      <sz val="9"/>
      <color rgb="FF0000FF"/>
      <name val="Calibri"/>
      <family val="2"/>
    </font>
    <font>
      <sz val="11"/>
      <color rgb="FF7030A0"/>
      <name val="Calibri"/>
      <family val="2"/>
    </font>
    <font>
      <sz val="11"/>
      <color theme="1"/>
      <name val="Calibri"/>
      <family val="2"/>
    </font>
    <font>
      <sz val="9"/>
      <name val="Calibri"/>
      <family val="2"/>
    </font>
    <font>
      <b/>
      <sz val="11"/>
      <name val="Calibri"/>
      <family val="2"/>
    </font>
    <font>
      <i/>
      <sz val="9"/>
      <name val="Calibri"/>
      <family val="2"/>
    </font>
    <font>
      <b/>
      <sz val="11"/>
      <name val="Calibri"/>
      <family val="2"/>
    </font>
    <font>
      <sz val="11"/>
      <color rgb="FF000000"/>
      <name val="Calibri"/>
      <family val="2"/>
    </font>
    <font>
      <u/>
      <sz val="9"/>
      <color rgb="FF0000FF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3"/>
      <name val="Calibri"/>
      <family val="2"/>
    </font>
    <font>
      <sz val="11"/>
      <color rgb="FF000000"/>
      <name val="Calibri"/>
      <family val="2"/>
    </font>
    <font>
      <sz val="11"/>
      <color theme="3"/>
      <name val="Calibri"/>
      <family val="2"/>
    </font>
    <font>
      <sz val="9"/>
      <color theme="3"/>
      <name val="Calibri"/>
      <family val="2"/>
    </font>
    <font>
      <sz val="11"/>
      <color theme="3"/>
      <name val="Calibri"/>
      <family val="2"/>
    </font>
    <font>
      <sz val="9"/>
      <name val="Calibri"/>
      <family val="2"/>
    </font>
    <font>
      <sz val="11"/>
      <name val="Calibri"/>
      <family val="2"/>
    </font>
    <font>
      <sz val="12"/>
      <name val="Calibri"/>
      <family val="2"/>
    </font>
    <font>
      <sz val="10"/>
      <color theme="3"/>
      <name val="Calibri"/>
      <family val="2"/>
    </font>
    <font>
      <sz val="10"/>
      <name val="Arial"/>
      <family val="2"/>
    </font>
    <font>
      <sz val="10"/>
      <color rgb="FF000000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rgb="FFBDD7EE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C7CE"/>
        <bgColor rgb="FFFCE4D6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FFE699"/>
      </patternFill>
    </fill>
    <fill>
      <patternFill patternType="solid">
        <fgColor rgb="FFD9E1F2"/>
      </patternFill>
    </fill>
    <fill>
      <patternFill patternType="solid">
        <fgColor rgb="FF4472C4"/>
      </patternFill>
    </fill>
    <fill>
      <patternFill patternType="solid">
        <fgColor rgb="FFFF00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CE4D6"/>
      </patternFill>
    </fill>
    <fill>
      <patternFill patternType="solid">
        <fgColor rgb="FF4472C4"/>
        <bgColor rgb="FF000000"/>
      </patternFill>
    </fill>
    <fill>
      <patternFill patternType="solid">
        <fgColor rgb="FFFFEB9C"/>
      </patternFill>
    </fill>
    <fill>
      <patternFill patternType="solid">
        <fgColor theme="6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9"/>
      </left>
      <right style="medium">
        <color theme="9"/>
      </right>
      <top style="medium">
        <color theme="9"/>
      </top>
      <bottom style="medium">
        <color theme="9"/>
      </bottom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/>
      <right/>
      <top/>
      <bottom/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rgb="FFFFFC00"/>
      </left>
      <right style="medium">
        <color rgb="FFFFFC00"/>
      </right>
      <top style="medium">
        <color rgb="FFFFFC00"/>
      </top>
      <bottom style="medium">
        <color rgb="FFFFFC00"/>
      </bottom>
      <diagonal/>
    </border>
  </borders>
  <cellStyleXfs count="4">
    <xf numFmtId="0" fontId="0" fillId="0" borderId="11"/>
    <xf numFmtId="0" fontId="28" fillId="8" borderId="11"/>
    <xf numFmtId="0" fontId="29" fillId="10" borderId="11"/>
    <xf numFmtId="0" fontId="30" fillId="18" borderId="11"/>
  </cellStyleXfs>
  <cellXfs count="131">
    <xf numFmtId="0" fontId="0" fillId="0" borderId="0" xfId="0" applyBorder="1"/>
    <xf numFmtId="0" fontId="12" fillId="0" borderId="0" xfId="0" applyFont="1" applyBorder="1"/>
    <xf numFmtId="0" fontId="19" fillId="0" borderId="0" xfId="0" applyFont="1" applyBorder="1"/>
    <xf numFmtId="0" fontId="0" fillId="0" borderId="1" xfId="0" applyBorder="1"/>
    <xf numFmtId="0" fontId="9" fillId="0" borderId="1" xfId="0" applyFont="1" applyBorder="1"/>
    <xf numFmtId="0" fontId="10" fillId="13" borderId="1" xfId="0" applyFont="1" applyFill="1" applyBorder="1"/>
    <xf numFmtId="0" fontId="21" fillId="0" borderId="1" xfId="0" applyFont="1" applyBorder="1"/>
    <xf numFmtId="0" fontId="16" fillId="0" borderId="1" xfId="0" applyFont="1" applyBorder="1"/>
    <xf numFmtId="0" fontId="11" fillId="15" borderId="1" xfId="0" applyFont="1" applyFill="1" applyBorder="1"/>
    <xf numFmtId="14" fontId="0" fillId="0" borderId="1" xfId="0" applyNumberFormat="1" applyBorder="1"/>
    <xf numFmtId="0" fontId="11" fillId="14" borderId="1" xfId="0" applyFont="1" applyFill="1" applyBorder="1"/>
    <xf numFmtId="164" fontId="0" fillId="0" borderId="1" xfId="0" applyNumberFormat="1" applyBorder="1"/>
    <xf numFmtId="2" fontId="0" fillId="0" borderId="1" xfId="0" applyNumberFormat="1" applyBorder="1"/>
    <xf numFmtId="0" fontId="22" fillId="0" borderId="1" xfId="0" applyFont="1" applyBorder="1"/>
    <xf numFmtId="0" fontId="23" fillId="0" borderId="1" xfId="0" applyFont="1" applyBorder="1"/>
    <xf numFmtId="0" fontId="0" fillId="0" borderId="2" xfId="0" applyBorder="1"/>
    <xf numFmtId="0" fontId="10" fillId="13" borderId="3" xfId="0" applyFont="1" applyFill="1" applyBorder="1"/>
    <xf numFmtId="0" fontId="1" fillId="0" borderId="3" xfId="0" applyFont="1" applyBorder="1"/>
    <xf numFmtId="0" fontId="2" fillId="0" borderId="3" xfId="0" applyFont="1" applyBorder="1"/>
    <xf numFmtId="0" fontId="3" fillId="0" borderId="3" xfId="0" applyFont="1" applyBorder="1"/>
    <xf numFmtId="0" fontId="0" fillId="0" borderId="3" xfId="0" applyBorder="1"/>
    <xf numFmtId="0" fontId="20" fillId="0" borderId="3" xfId="0" applyFont="1" applyBorder="1"/>
    <xf numFmtId="0" fontId="26" fillId="0" borderId="4" xfId="0" applyFont="1" applyBorder="1"/>
    <xf numFmtId="0" fontId="17" fillId="0" borderId="3" xfId="0" applyFont="1" applyBorder="1"/>
    <xf numFmtId="0" fontId="26" fillId="0" borderId="3" xfId="0" applyFont="1" applyBorder="1"/>
    <xf numFmtId="0" fontId="26" fillId="0" borderId="5" xfId="0" applyFont="1" applyBorder="1"/>
    <xf numFmtId="0" fontId="26" fillId="0" borderId="6" xfId="0" applyFont="1" applyBorder="1"/>
    <xf numFmtId="0" fontId="26" fillId="0" borderId="7" xfId="0" applyFont="1" applyBorder="1"/>
    <xf numFmtId="0" fontId="8" fillId="0" borderId="3" xfId="0" applyFont="1" applyBorder="1"/>
    <xf numFmtId="0" fontId="13" fillId="0" borderId="3" xfId="0" applyFont="1" applyBorder="1"/>
    <xf numFmtId="0" fontId="0" fillId="7" borderId="3" xfId="0" applyFill="1" applyBorder="1"/>
    <xf numFmtId="0" fontId="0" fillId="11" borderId="3" xfId="0" applyFill="1" applyBorder="1"/>
    <xf numFmtId="0" fontId="13" fillId="16" borderId="3" xfId="0" applyFont="1" applyFill="1" applyBorder="1"/>
    <xf numFmtId="0" fontId="13" fillId="10" borderId="3" xfId="0" applyFont="1" applyFill="1" applyBorder="1"/>
    <xf numFmtId="0" fontId="15" fillId="0" borderId="3" xfId="0" applyFont="1" applyBorder="1"/>
    <xf numFmtId="0" fontId="18" fillId="0" borderId="3" xfId="0" applyFont="1" applyBorder="1"/>
    <xf numFmtId="0" fontId="10" fillId="17" borderId="3" xfId="0" applyFont="1" applyFill="1" applyBorder="1"/>
    <xf numFmtId="0" fontId="25" fillId="0" borderId="3" xfId="0" applyFont="1" applyBorder="1"/>
    <xf numFmtId="0" fontId="4" fillId="3" borderId="3" xfId="0" applyFont="1" applyFill="1" applyBorder="1" applyAlignment="1">
      <alignment vertical="top" wrapText="1"/>
    </xf>
    <xf numFmtId="0" fontId="26" fillId="0" borderId="8" xfId="0" applyFont="1" applyBorder="1"/>
    <xf numFmtId="0" fontId="5" fillId="5" borderId="3" xfId="0" applyFont="1" applyFill="1" applyBorder="1" applyAlignment="1">
      <alignment vertical="top" wrapText="1"/>
    </xf>
    <xf numFmtId="2" fontId="26" fillId="0" borderId="3" xfId="0" applyNumberFormat="1" applyFont="1" applyBorder="1"/>
    <xf numFmtId="0" fontId="4" fillId="5" borderId="3" xfId="0" applyFont="1" applyFill="1" applyBorder="1" applyAlignment="1">
      <alignment vertical="top" wrapText="1"/>
    </xf>
    <xf numFmtId="2" fontId="27" fillId="0" borderId="3" xfId="0" applyNumberFormat="1" applyFont="1" applyBorder="1"/>
    <xf numFmtId="165" fontId="27" fillId="0" borderId="3" xfId="0" applyNumberFormat="1" applyFont="1" applyBorder="1"/>
    <xf numFmtId="165" fontId="26" fillId="0" borderId="3" xfId="0" applyNumberFormat="1" applyFont="1" applyBorder="1"/>
    <xf numFmtId="166" fontId="27" fillId="0" borderId="3" xfId="0" applyNumberFormat="1" applyFont="1" applyBorder="1"/>
    <xf numFmtId="167" fontId="27" fillId="0" borderId="3" xfId="0" applyNumberFormat="1" applyFont="1" applyBorder="1"/>
    <xf numFmtId="1" fontId="26" fillId="0" borderId="3" xfId="0" applyNumberFormat="1" applyFont="1" applyBorder="1"/>
    <xf numFmtId="168" fontId="27" fillId="0" borderId="3" xfId="0" applyNumberFormat="1" applyFont="1" applyBorder="1"/>
    <xf numFmtId="1" fontId="13" fillId="0" borderId="3" xfId="0" applyNumberFormat="1" applyFont="1" applyBorder="1"/>
    <xf numFmtId="2" fontId="7" fillId="0" borderId="3" xfId="0" applyNumberFormat="1" applyFont="1" applyBorder="1"/>
    <xf numFmtId="0" fontId="5" fillId="2" borderId="3" xfId="0" applyFont="1" applyFill="1" applyBorder="1" applyAlignment="1">
      <alignment vertical="top" wrapText="1"/>
    </xf>
    <xf numFmtId="0" fontId="7" fillId="0" borderId="3" xfId="0" applyFont="1" applyBorder="1"/>
    <xf numFmtId="1" fontId="26" fillId="0" borderId="8" xfId="0" applyNumberFormat="1" applyFont="1" applyBorder="1"/>
    <xf numFmtId="165" fontId="7" fillId="0" borderId="3" xfId="0" applyNumberFormat="1" applyFont="1" applyBorder="1"/>
    <xf numFmtId="1" fontId="7" fillId="0" borderId="3" xfId="0" applyNumberFormat="1" applyFont="1" applyBorder="1"/>
    <xf numFmtId="169" fontId="7" fillId="0" borderId="3" xfId="0" applyNumberFormat="1" applyFont="1" applyBorder="1"/>
    <xf numFmtId="0" fontId="5" fillId="6" borderId="3" xfId="0" applyFont="1" applyFill="1" applyBorder="1" applyAlignment="1">
      <alignment vertical="top" wrapText="1"/>
    </xf>
    <xf numFmtId="0" fontId="27" fillId="0" borderId="3" xfId="0" applyFont="1" applyBorder="1"/>
    <xf numFmtId="0" fontId="0" fillId="10" borderId="3" xfId="0" applyFill="1" applyBorder="1"/>
    <xf numFmtId="168" fontId="6" fillId="0" borderId="3" xfId="0" applyNumberFormat="1" applyFont="1" applyBorder="1"/>
    <xf numFmtId="0" fontId="5" fillId="3" borderId="3" xfId="0" applyFont="1" applyFill="1" applyBorder="1" applyAlignment="1">
      <alignment vertical="top" wrapText="1"/>
    </xf>
    <xf numFmtId="165" fontId="26" fillId="0" borderId="8" xfId="0" applyNumberFormat="1" applyFont="1" applyBorder="1"/>
    <xf numFmtId="0" fontId="24" fillId="0" borderId="8" xfId="0" applyFont="1" applyBorder="1"/>
    <xf numFmtId="170" fontId="27" fillId="0" borderId="3" xfId="0" applyNumberFormat="1" applyFont="1" applyBorder="1"/>
    <xf numFmtId="0" fontId="4" fillId="2" borderId="3" xfId="0" applyFont="1" applyFill="1" applyBorder="1" applyAlignment="1">
      <alignment vertical="top" wrapText="1"/>
    </xf>
    <xf numFmtId="168" fontId="7" fillId="0" borderId="3" xfId="0" applyNumberFormat="1" applyFont="1" applyBorder="1"/>
    <xf numFmtId="0" fontId="4" fillId="7" borderId="3" xfId="0" applyFont="1" applyFill="1" applyBorder="1" applyAlignment="1">
      <alignment vertical="top" wrapText="1"/>
    </xf>
    <xf numFmtId="0" fontId="4" fillId="9" borderId="3" xfId="0" applyFont="1" applyFill="1" applyBorder="1" applyAlignment="1">
      <alignment vertical="top" wrapText="1"/>
    </xf>
    <xf numFmtId="0" fontId="4" fillId="11" borderId="3" xfId="0" applyFont="1" applyFill="1" applyBorder="1" applyAlignment="1">
      <alignment vertical="top" wrapText="1"/>
    </xf>
    <xf numFmtId="0" fontId="4" fillId="10" borderId="3" xfId="0" applyFont="1" applyFill="1" applyBorder="1" applyAlignment="1">
      <alignment vertical="top" wrapText="1"/>
    </xf>
    <xf numFmtId="0" fontId="26" fillId="10" borderId="3" xfId="0" applyFont="1" applyFill="1" applyBorder="1"/>
    <xf numFmtId="168" fontId="26" fillId="0" borderId="5" xfId="0" applyNumberFormat="1" applyFont="1" applyBorder="1"/>
    <xf numFmtId="0" fontId="17" fillId="11" borderId="3" xfId="0" applyFont="1" applyFill="1" applyBorder="1" applyAlignment="1">
      <alignment vertical="top" wrapText="1"/>
    </xf>
    <xf numFmtId="167" fontId="6" fillId="0" borderId="3" xfId="0" applyNumberFormat="1" applyFont="1" applyBorder="1"/>
    <xf numFmtId="0" fontId="4" fillId="4" borderId="3" xfId="0" applyFont="1" applyFill="1" applyBorder="1" applyAlignment="1">
      <alignment vertical="top" wrapText="1"/>
    </xf>
    <xf numFmtId="167" fontId="7" fillId="0" borderId="3" xfId="0" applyNumberFormat="1" applyFont="1" applyBorder="1"/>
    <xf numFmtId="171" fontId="27" fillId="0" borderId="3" xfId="0" applyNumberFormat="1" applyFont="1" applyBorder="1"/>
    <xf numFmtId="166" fontId="7" fillId="0" borderId="3" xfId="0" applyNumberFormat="1" applyFont="1" applyBorder="1"/>
    <xf numFmtId="168" fontId="26" fillId="0" borderId="8" xfId="0" applyNumberFormat="1" applyFont="1" applyBorder="1"/>
    <xf numFmtId="168" fontId="26" fillId="0" borderId="3" xfId="0" applyNumberFormat="1" applyFont="1" applyBorder="1"/>
    <xf numFmtId="0" fontId="4" fillId="12" borderId="3" xfId="0" applyFont="1" applyFill="1" applyBorder="1" applyAlignment="1">
      <alignment vertical="top" wrapText="1"/>
    </xf>
    <xf numFmtId="0" fontId="14" fillId="0" borderId="3" xfId="0" applyFont="1" applyBorder="1"/>
    <xf numFmtId="0" fontId="0" fillId="9" borderId="3" xfId="0" applyFill="1" applyBorder="1"/>
    <xf numFmtId="0" fontId="26" fillId="0" borderId="9" xfId="0" applyFont="1" applyBorder="1"/>
    <xf numFmtId="0" fontId="31" fillId="8" borderId="3" xfId="1" applyFont="1" applyBorder="1"/>
    <xf numFmtId="0" fontId="31" fillId="18" borderId="3" xfId="3" applyFont="1" applyBorder="1"/>
    <xf numFmtId="0" fontId="31" fillId="10" borderId="3" xfId="2" applyFont="1" applyBorder="1"/>
    <xf numFmtId="0" fontId="0" fillId="19" borderId="3" xfId="0" applyFill="1" applyBorder="1"/>
    <xf numFmtId="0" fontId="32" fillId="0" borderId="3" xfId="0" applyFont="1" applyBorder="1"/>
    <xf numFmtId="0" fontId="33" fillId="0" borderId="3" xfId="0" applyFont="1" applyBorder="1"/>
    <xf numFmtId="0" fontId="33" fillId="0" borderId="10" xfId="0" applyFont="1" applyBorder="1"/>
    <xf numFmtId="0" fontId="33" fillId="0" borderId="11" xfId="0" applyFont="1"/>
    <xf numFmtId="0" fontId="34" fillId="0" borderId="3" xfId="0" applyFont="1" applyBorder="1"/>
    <xf numFmtId="0" fontId="34" fillId="0" borderId="11" xfId="0" applyFont="1"/>
    <xf numFmtId="0" fontId="33" fillId="0" borderId="12" xfId="0" applyFont="1" applyBorder="1"/>
    <xf numFmtId="0" fontId="33" fillId="0" borderId="13" xfId="0" applyFont="1" applyBorder="1"/>
    <xf numFmtId="0" fontId="33" fillId="0" borderId="14" xfId="0" applyFont="1" applyBorder="1"/>
    <xf numFmtId="0" fontId="0" fillId="0" borderId="11" xfId="0"/>
    <xf numFmtId="0" fontId="34" fillId="9" borderId="3" xfId="0" applyFont="1" applyFill="1" applyBorder="1"/>
    <xf numFmtId="0" fontId="35" fillId="0" borderId="3" xfId="0" applyFont="1" applyBorder="1"/>
    <xf numFmtId="0" fontId="4" fillId="19" borderId="3" xfId="0" applyFont="1" applyFill="1" applyBorder="1" applyAlignment="1">
      <alignment vertical="top" wrapText="1"/>
    </xf>
    <xf numFmtId="0" fontId="5" fillId="19" borderId="3" xfId="0" applyFont="1" applyFill="1" applyBorder="1" applyAlignment="1">
      <alignment vertical="top" wrapText="1"/>
    </xf>
    <xf numFmtId="0" fontId="36" fillId="0" borderId="12" xfId="0" applyFont="1" applyBorder="1"/>
    <xf numFmtId="0" fontId="36" fillId="0" borderId="14" xfId="0" applyFont="1" applyBorder="1"/>
    <xf numFmtId="0" fontId="36" fillId="0" borderId="13" xfId="0" applyFont="1" applyBorder="1"/>
    <xf numFmtId="0" fontId="36" fillId="0" borderId="11" xfId="0" applyFont="1"/>
    <xf numFmtId="0" fontId="37" fillId="0" borderId="3" xfId="0" applyFont="1" applyBorder="1"/>
    <xf numFmtId="0" fontId="36" fillId="0" borderId="3" xfId="0" applyFont="1" applyBorder="1"/>
    <xf numFmtId="0" fontId="38" fillId="0" borderId="3" xfId="0" applyFont="1" applyBorder="1"/>
    <xf numFmtId="0" fontId="39" fillId="0" borderId="3" xfId="0" applyFont="1" applyBorder="1"/>
    <xf numFmtId="0" fontId="40" fillId="0" borderId="3" xfId="0" applyFont="1" applyBorder="1"/>
    <xf numFmtId="165" fontId="40" fillId="0" borderId="3" xfId="0" applyNumberFormat="1" applyFont="1" applyBorder="1"/>
    <xf numFmtId="0" fontId="37" fillId="3" borderId="3" xfId="0" applyFont="1" applyFill="1" applyBorder="1" applyAlignment="1">
      <alignment vertical="top" wrapText="1"/>
    </xf>
    <xf numFmtId="2" fontId="40" fillId="0" borderId="3" xfId="0" applyNumberFormat="1" applyFont="1" applyBorder="1"/>
    <xf numFmtId="0" fontId="37" fillId="2" borderId="3" xfId="0" applyFont="1" applyFill="1" applyBorder="1" applyAlignment="1">
      <alignment vertical="top" wrapText="1"/>
    </xf>
    <xf numFmtId="0" fontId="37" fillId="7" borderId="3" xfId="0" applyFont="1" applyFill="1" applyBorder="1" applyAlignment="1">
      <alignment vertical="top" wrapText="1"/>
    </xf>
    <xf numFmtId="0" fontId="37" fillId="5" borderId="3" xfId="0" applyFont="1" applyFill="1" applyBorder="1" applyAlignment="1">
      <alignment vertical="top" wrapText="1"/>
    </xf>
    <xf numFmtId="0" fontId="37" fillId="6" borderId="3" xfId="0" applyFont="1" applyFill="1" applyBorder="1" applyAlignment="1">
      <alignment vertical="top" wrapText="1"/>
    </xf>
    <xf numFmtId="0" fontId="41" fillId="0" borderId="3" xfId="0" applyFont="1" applyBorder="1"/>
    <xf numFmtId="166" fontId="40" fillId="0" borderId="3" xfId="0" applyNumberFormat="1" applyFont="1" applyBorder="1"/>
    <xf numFmtId="167" fontId="40" fillId="0" borderId="3" xfId="0" applyNumberFormat="1" applyFont="1" applyBorder="1"/>
    <xf numFmtId="0" fontId="37" fillId="9" borderId="3" xfId="0" applyFont="1" applyFill="1" applyBorder="1" applyAlignment="1">
      <alignment vertical="top" wrapText="1"/>
    </xf>
    <xf numFmtId="0" fontId="37" fillId="19" borderId="3" xfId="0" applyFont="1" applyFill="1" applyBorder="1" applyAlignment="1">
      <alignment vertical="top" wrapText="1"/>
    </xf>
    <xf numFmtId="168" fontId="40" fillId="0" borderId="3" xfId="0" applyNumberFormat="1" applyFont="1" applyBorder="1"/>
    <xf numFmtId="0" fontId="37" fillId="4" borderId="3" xfId="0" applyFont="1" applyFill="1" applyBorder="1" applyAlignment="1">
      <alignment vertical="top" wrapText="1"/>
    </xf>
    <xf numFmtId="0" fontId="37" fillId="11" borderId="3" xfId="0" applyFont="1" applyFill="1" applyBorder="1" applyAlignment="1">
      <alignment vertical="top" wrapText="1"/>
    </xf>
    <xf numFmtId="168" fontId="42" fillId="0" borderId="3" xfId="0" applyNumberFormat="1" applyFont="1" applyBorder="1"/>
    <xf numFmtId="170" fontId="27" fillId="0" borderId="11" xfId="0" applyNumberFormat="1" applyFont="1"/>
    <xf numFmtId="165" fontId="33" fillId="0" borderId="15" xfId="0" applyNumberFormat="1" applyFont="1" applyBorder="1"/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29"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FCE4D6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F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A1:F67"/>
  <sheetViews>
    <sheetView tabSelected="1" topLeftCell="A22" zoomScale="113" workbookViewId="0">
      <selection activeCell="D34" sqref="D34"/>
    </sheetView>
  </sheetViews>
  <sheetFormatPr baseColWidth="10" defaultColWidth="8.83203125" defaultRowHeight="15" x14ac:dyDescent="0.2"/>
  <cols>
    <col min="1" max="1" width="34" customWidth="1"/>
    <col min="2" max="2" width="13" customWidth="1"/>
    <col min="3" max="3" width="6" customWidth="1"/>
    <col min="4" max="4" width="24.6640625" customWidth="1"/>
    <col min="5" max="5" width="13.1640625" bestFit="1" customWidth="1"/>
    <col min="6" max="6" width="110.5" style="2" bestFit="1" customWidth="1"/>
  </cols>
  <sheetData>
    <row r="1" spans="1:6" x14ac:dyDescent="0.2">
      <c r="A1" s="16" t="s">
        <v>24</v>
      </c>
      <c r="B1" s="16" t="s">
        <v>25</v>
      </c>
      <c r="C1" s="16" t="s">
        <v>26</v>
      </c>
      <c r="D1" s="16" t="s">
        <v>27</v>
      </c>
      <c r="E1" s="16" t="s">
        <v>28</v>
      </c>
      <c r="F1" s="16" t="s">
        <v>29</v>
      </c>
    </row>
    <row r="2" spans="1:6" ht="16" customHeight="1" thickBot="1" x14ac:dyDescent="0.25">
      <c r="A2" s="17" t="s">
        <v>1</v>
      </c>
      <c r="B2" s="18" t="s">
        <v>30</v>
      </c>
      <c r="C2" s="19"/>
      <c r="D2" s="104" t="s">
        <v>16</v>
      </c>
      <c r="E2" s="20" t="s">
        <v>31</v>
      </c>
      <c r="F2" s="21" t="s">
        <v>32</v>
      </c>
    </row>
    <row r="3" spans="1:6" ht="16" customHeight="1" thickBot="1" x14ac:dyDescent="0.25">
      <c r="A3" s="17" t="s">
        <v>33</v>
      </c>
      <c r="B3" s="18" t="s">
        <v>34</v>
      </c>
      <c r="C3" s="19"/>
      <c r="D3" s="105" t="s">
        <v>420</v>
      </c>
      <c r="E3" s="20" t="s">
        <v>31</v>
      </c>
      <c r="F3" s="21" t="s">
        <v>36</v>
      </c>
    </row>
    <row r="4" spans="1:6" x14ac:dyDescent="0.2">
      <c r="A4" s="17" t="s">
        <v>37</v>
      </c>
      <c r="B4" s="18" t="s">
        <v>38</v>
      </c>
      <c r="C4" s="19"/>
      <c r="D4" s="106" t="s">
        <v>565</v>
      </c>
      <c r="E4" s="20" t="s">
        <v>31</v>
      </c>
      <c r="F4" s="21" t="s">
        <v>40</v>
      </c>
    </row>
    <row r="5" spans="1:6" x14ac:dyDescent="0.2">
      <c r="A5" s="20" t="s">
        <v>41</v>
      </c>
      <c r="B5" s="18" t="s">
        <v>42</v>
      </c>
      <c r="C5" s="20"/>
      <c r="D5" s="106" t="s">
        <v>883</v>
      </c>
      <c r="E5" s="20" t="s">
        <v>31</v>
      </c>
      <c r="F5" s="21" t="s">
        <v>43</v>
      </c>
    </row>
    <row r="6" spans="1:6" x14ac:dyDescent="0.2">
      <c r="A6" s="20" t="s">
        <v>44</v>
      </c>
      <c r="B6" s="18" t="s">
        <v>45</v>
      </c>
      <c r="C6" s="20" t="s">
        <v>46</v>
      </c>
      <c r="D6" s="107">
        <v>3</v>
      </c>
      <c r="E6" s="20" t="s">
        <v>47</v>
      </c>
      <c r="F6" s="21" t="s">
        <v>48</v>
      </c>
    </row>
    <row r="7" spans="1:6" x14ac:dyDescent="0.2">
      <c r="A7" s="20" t="s">
        <v>49</v>
      </c>
      <c r="B7" s="18" t="s">
        <v>50</v>
      </c>
      <c r="C7" s="20" t="s">
        <v>51</v>
      </c>
      <c r="D7" s="107">
        <v>500</v>
      </c>
      <c r="E7" s="20" t="s">
        <v>47</v>
      </c>
      <c r="F7" s="21" t="s">
        <v>52</v>
      </c>
    </row>
    <row r="8" spans="1:6" x14ac:dyDescent="0.2">
      <c r="A8" s="20" t="s">
        <v>53</v>
      </c>
      <c r="B8" s="18" t="s">
        <v>54</v>
      </c>
      <c r="C8" s="20" t="s">
        <v>55</v>
      </c>
      <c r="D8" s="107">
        <v>30</v>
      </c>
      <c r="E8" s="20" t="s">
        <v>47</v>
      </c>
      <c r="F8" s="21" t="s">
        <v>56</v>
      </c>
    </row>
    <row r="9" spans="1:6" x14ac:dyDescent="0.2">
      <c r="A9" s="20" t="s">
        <v>57</v>
      </c>
      <c r="B9" s="18" t="s">
        <v>58</v>
      </c>
      <c r="C9" s="20" t="s">
        <v>59</v>
      </c>
      <c r="D9" s="107"/>
      <c r="E9" s="20" t="s">
        <v>60</v>
      </c>
      <c r="F9" s="21" t="s">
        <v>61</v>
      </c>
    </row>
    <row r="10" spans="1:6" ht="16" customHeight="1" x14ac:dyDescent="0.2">
      <c r="A10" s="20" t="s">
        <v>62</v>
      </c>
      <c r="B10" s="18" t="s">
        <v>63</v>
      </c>
      <c r="C10" s="20" t="s">
        <v>64</v>
      </c>
      <c r="D10" s="107"/>
      <c r="E10" s="20" t="s">
        <v>60</v>
      </c>
      <c r="F10" s="108" t="s">
        <v>65</v>
      </c>
    </row>
    <row r="11" spans="1:6" x14ac:dyDescent="0.2">
      <c r="A11" s="20"/>
      <c r="B11" s="20"/>
      <c r="C11" s="20"/>
      <c r="D11" s="109"/>
      <c r="E11" s="20"/>
      <c r="F11" s="21"/>
    </row>
    <row r="12" spans="1:6" ht="16" customHeight="1" thickBot="1" x14ac:dyDescent="0.25">
      <c r="A12" s="16" t="s">
        <v>66</v>
      </c>
      <c r="B12" s="16" t="s">
        <v>25</v>
      </c>
      <c r="C12" s="16" t="s">
        <v>26</v>
      </c>
      <c r="D12" s="16" t="s">
        <v>27</v>
      </c>
      <c r="E12" s="16" t="s">
        <v>28</v>
      </c>
      <c r="F12" s="16" t="s">
        <v>29</v>
      </c>
    </row>
    <row r="13" spans="1:6" ht="16" customHeight="1" thickBot="1" x14ac:dyDescent="0.25">
      <c r="A13" s="91" t="s">
        <v>67</v>
      </c>
      <c r="B13" s="20"/>
      <c r="C13" s="20" t="s">
        <v>13</v>
      </c>
      <c r="D13" s="92">
        <f>IFERROR('Mass Transfer'!$D$90,"calibrate this reactor first (see CO2 flows)")</f>
        <v>0.78451304982496561</v>
      </c>
      <c r="E13" s="23" t="str">
        <f>HYPERLINK("#'Mass Transfer'!D90","→ Mass")</f>
        <v>→ Mass</v>
      </c>
      <c r="F13" s="21" t="s">
        <v>68</v>
      </c>
    </row>
    <row r="14" spans="1:6" s="3" customFormat="1" ht="16" customHeight="1" thickBot="1" x14ac:dyDescent="0.25">
      <c r="A14" s="91" t="s">
        <v>69</v>
      </c>
      <c r="B14" s="20"/>
      <c r="C14" s="20" t="s">
        <v>13</v>
      </c>
      <c r="D14" s="93">
        <f>IF(D13&gt;0.5,ROUND(D13,0),ROUND(D13,1-(1+INT(LOG10(ABS(D13))))))</f>
        <v>1</v>
      </c>
      <c r="E14" s="20"/>
      <c r="F14" s="21"/>
    </row>
    <row r="15" spans="1:6" ht="16" customHeight="1" thickBot="1" x14ac:dyDescent="0.25">
      <c r="A15" s="91" t="s">
        <v>70</v>
      </c>
      <c r="B15" s="20"/>
      <c r="C15" s="20" t="s">
        <v>71</v>
      </c>
      <c r="D15" s="92">
        <f>IFERROR('Mass Transfer'!$D$91,"calibrate this reactor first (see CO2 flows)")</f>
        <v>178.08128884816398</v>
      </c>
      <c r="E15" s="23" t="str">
        <f>HYPERLINK("#'Mass Transfer'!D91","→ Mass")</f>
        <v>→ Mass</v>
      </c>
      <c r="F15" s="21" t="s">
        <v>72</v>
      </c>
    </row>
    <row r="16" spans="1:6" x14ac:dyDescent="0.2">
      <c r="A16" s="91" t="s">
        <v>73</v>
      </c>
      <c r="B16" s="20"/>
      <c r="C16" s="20" t="s">
        <v>71</v>
      </c>
      <c r="D16" s="93">
        <f>IF(D15&gt;0.5,ROUND(D15,0),ROUND(D15,1-(1+INT(LOG10(ABS(D15))))))</f>
        <v>178</v>
      </c>
      <c r="E16" s="94"/>
      <c r="F16" s="21"/>
    </row>
    <row r="17" spans="1:6" s="3" customFormat="1" x14ac:dyDescent="0.2">
      <c r="A17" s="91"/>
      <c r="B17" s="20"/>
      <c r="C17" s="20"/>
      <c r="D17" s="95"/>
      <c r="E17" s="94"/>
      <c r="F17" s="21"/>
    </row>
    <row r="18" spans="1:6" x14ac:dyDescent="0.2">
      <c r="A18" s="16" t="s">
        <v>74</v>
      </c>
      <c r="B18" s="16"/>
      <c r="C18" s="16"/>
      <c r="D18" s="16" t="s">
        <v>27</v>
      </c>
      <c r="E18" s="16" t="s">
        <v>28</v>
      </c>
      <c r="F18" s="16" t="s">
        <v>29</v>
      </c>
    </row>
    <row r="19" spans="1:6" x14ac:dyDescent="0.2">
      <c r="A19" s="91" t="s">
        <v>75</v>
      </c>
      <c r="B19" s="20"/>
      <c r="C19" s="20"/>
      <c r="D19" s="96" t="str">
        <f>Geometry!$D$90</f>
        <v>VIAL GEOMETRY INCONSISTENT - measure true fill volume &amp; bore depth</v>
      </c>
      <c r="E19" s="23" t="str">
        <f>HYPERLINK("#Geometry!D90","→ Geometry")</f>
        <v>→ Geometry</v>
      </c>
      <c r="F19" s="21" t="s">
        <v>76</v>
      </c>
    </row>
    <row r="20" spans="1:6" x14ac:dyDescent="0.2">
      <c r="A20" s="91" t="s">
        <v>77</v>
      </c>
      <c r="B20" s="20"/>
      <c r="C20" s="20"/>
      <c r="D20" s="92" t="str">
        <f>'Mass Transfer'!$D$120</f>
        <v>calibrated: ed04</v>
      </c>
      <c r="E20" s="23" t="str">
        <f>HYPERLINK("#'Mass Transfer'!D120","→ Mass")</f>
        <v>→ Mass</v>
      </c>
      <c r="F20" s="21" t="s">
        <v>78</v>
      </c>
    </row>
    <row r="21" spans="1:6" x14ac:dyDescent="0.2">
      <c r="A21" s="91" t="s">
        <v>79</v>
      </c>
      <c r="B21" s="20"/>
      <c r="C21" s="20"/>
      <c r="D21" s="92" t="str">
        <f>'Mass Transfer'!$D$109</f>
        <v>organism optimum unknown</v>
      </c>
      <c r="E21" s="23" t="str">
        <f>HYPERLINK("#'Mass Transfer'!D109","→ Mass")</f>
        <v>→ Mass</v>
      </c>
      <c r="F21" s="21" t="s">
        <v>80</v>
      </c>
    </row>
    <row r="22" spans="1:6" x14ac:dyDescent="0.2">
      <c r="A22" s="91" t="s">
        <v>81</v>
      </c>
      <c r="B22" s="20"/>
      <c r="C22" s="20"/>
      <c r="D22" s="92" t="str">
        <f>'Mass Transfer'!$D$110</f>
        <v>minimum DO unknown - measure</v>
      </c>
      <c r="E22" s="23" t="str">
        <f>HYPERLINK("#'Mass Transfer'!D110","→ Mass")</f>
        <v>→ Mass</v>
      </c>
      <c r="F22" s="21" t="s">
        <v>82</v>
      </c>
    </row>
    <row r="23" spans="1:6" x14ac:dyDescent="0.2">
      <c r="A23" s="91" t="s">
        <v>83</v>
      </c>
      <c r="B23" s="20"/>
      <c r="C23" s="20"/>
      <c r="D23" s="92" t="str">
        <f>'Mass Transfer'!$D$113</f>
        <v>organism DO unknown</v>
      </c>
      <c r="E23" s="23" t="str">
        <f>HYPERLINK("#'Mass Transfer'!D113","→ Mass")</f>
        <v>→ Mass</v>
      </c>
      <c r="F23" s="21" t="s">
        <v>84</v>
      </c>
    </row>
    <row r="24" spans="1:6" x14ac:dyDescent="0.2">
      <c r="A24" s="91" t="s">
        <v>85</v>
      </c>
      <c r="B24" s="20"/>
      <c r="C24" s="20"/>
      <c r="D24" s="97" t="str">
        <f>Biology!$D$44</f>
        <v>EXPLOSIVE</v>
      </c>
      <c r="E24" s="23" t="str">
        <f>HYPERLINK("#Biology!D44","→ Biology")</f>
        <v>→ Biology</v>
      </c>
      <c r="F24" s="21" t="s">
        <v>86</v>
      </c>
    </row>
    <row r="25" spans="1:6" x14ac:dyDescent="0.2">
      <c r="A25" s="91" t="s">
        <v>87</v>
      </c>
      <c r="B25" s="20"/>
      <c r="C25" s="20"/>
      <c r="D25" s="92" t="str">
        <f>'Mass Transfer'!$D$64</f>
        <v>Static</v>
      </c>
      <c r="E25" s="23" t="str">
        <f>HYPERLINK("#'Mass Transfer'!D64","→ Mass")</f>
        <v>→ Mass</v>
      </c>
      <c r="F25" s="21" t="s">
        <v>88</v>
      </c>
    </row>
    <row r="26" spans="1:6" x14ac:dyDescent="0.2">
      <c r="A26" s="91" t="s">
        <v>89</v>
      </c>
      <c r="B26" s="20"/>
      <c r="C26" s="20"/>
      <c r="D26" s="92" t="str">
        <f>IFERROR(IF('Mass Transfer'!$D$126&gt;=1,"OK","SHORTFALL (CO2 &lt; demand)"),"calibrate this reactor first")</f>
        <v>OK</v>
      </c>
      <c r="E26" s="23" t="str">
        <f>HYPERLINK("#'Mass Transfer'!D126","→ Mass")</f>
        <v>→ Mass</v>
      </c>
      <c r="F26" s="21" t="s">
        <v>90</v>
      </c>
    </row>
    <row r="27" spans="1:6" x14ac:dyDescent="0.2">
      <c r="A27" s="91" t="s">
        <v>91</v>
      </c>
      <c r="B27" s="20"/>
      <c r="C27" s="20"/>
      <c r="D27" s="92" t="str">
        <f>IFERROR('Mass Transfer'!$D$130,"calibrate this reactor first (see CO2 flows)")</f>
        <v>OK</v>
      </c>
      <c r="E27" s="23" t="str">
        <f>HYPERLINK("#'Mass Transfer'!D130","→ Mass")</f>
        <v>→ Mass</v>
      </c>
      <c r="F27" s="21" t="s">
        <v>92</v>
      </c>
    </row>
    <row r="28" spans="1:6" x14ac:dyDescent="0.2">
      <c r="A28" s="91" t="s">
        <v>93</v>
      </c>
      <c r="B28" s="20"/>
      <c r="C28" s="20"/>
      <c r="D28" s="92" t="str">
        <f>IFERROR('Mass Transfer'!$D$95,"calibrate this reactor first (see CO2 flows)")</f>
        <v>OK</v>
      </c>
      <c r="E28" s="23" t="str">
        <f>HYPERLINK("#'Mass Transfer'!D95","→ Mass")</f>
        <v>→ Mass</v>
      </c>
      <c r="F28" s="21" t="s">
        <v>94</v>
      </c>
    </row>
    <row r="29" spans="1:6" x14ac:dyDescent="0.2">
      <c r="A29" s="91" t="s">
        <v>95</v>
      </c>
      <c r="B29" s="20"/>
      <c r="C29" s="20"/>
      <c r="D29" s="92" t="str">
        <f>'Mass Transfer'!$D$59</f>
        <v>OK</v>
      </c>
      <c r="E29" s="23" t="str">
        <f>HYPERLINK("#'Mass Transfer'!D59","→ Mass")</f>
        <v>→ Mass</v>
      </c>
      <c r="F29" s="21" t="s">
        <v>96</v>
      </c>
    </row>
    <row r="30" spans="1:6" x14ac:dyDescent="0.2">
      <c r="A30" s="91" t="s">
        <v>97</v>
      </c>
      <c r="B30" s="20"/>
      <c r="C30" s="20"/>
      <c r="D30" s="92" t="str">
        <f>'Mass Transfer'!$D$111</f>
        <v>OK</v>
      </c>
      <c r="E30" s="23" t="str">
        <f>HYPERLINK("#'Mass Transfer'!D111","→ Mass")</f>
        <v>→ Mass</v>
      </c>
      <c r="F30" s="21" t="s">
        <v>98</v>
      </c>
    </row>
    <row r="31" spans="1:6" x14ac:dyDescent="0.2">
      <c r="A31" s="91" t="s">
        <v>99</v>
      </c>
      <c r="B31" s="20"/>
      <c r="C31" s="20"/>
      <c r="D31" s="96" t="str">
        <f>Geometry!$D$54</f>
        <v>OK</v>
      </c>
      <c r="E31" s="23" t="str">
        <f>HYPERLINK("#Geometry!D54","→ Geometry")</f>
        <v>→ Geometry</v>
      </c>
      <c r="F31" s="21" t="s">
        <v>100</v>
      </c>
    </row>
    <row r="32" spans="1:6" x14ac:dyDescent="0.2">
      <c r="A32" s="91" t="s">
        <v>101</v>
      </c>
      <c r="B32" s="20"/>
      <c r="C32" s="20"/>
      <c r="D32" s="96" t="str">
        <f>Geometry!$D$55</f>
        <v>OK</v>
      </c>
      <c r="E32" s="23" t="str">
        <f>HYPERLINK("#Geometry!D55","→ Geometry")</f>
        <v>→ Geometry</v>
      </c>
      <c r="F32" s="21" t="s">
        <v>102</v>
      </c>
    </row>
    <row r="33" spans="1:6" ht="16" thickBot="1" x14ac:dyDescent="0.25">
      <c r="A33" s="91" t="s">
        <v>103</v>
      </c>
      <c r="B33" s="20"/>
      <c r="C33" s="20"/>
      <c r="D33" s="98" t="str">
        <f>Electrochemistry!$D$20</f>
        <v>OK</v>
      </c>
      <c r="E33" s="23" t="str">
        <f>HYPERLINK("#Electrochemistry!D20","→ Electrochemistry")</f>
        <v>→ Electrochemistry</v>
      </c>
      <c r="F33" s="21" t="s">
        <v>104</v>
      </c>
    </row>
    <row r="34" spans="1:6" ht="16" thickBot="1" x14ac:dyDescent="0.25">
      <c r="A34" s="91" t="s">
        <v>1048</v>
      </c>
      <c r="C34" s="20"/>
      <c r="D34" s="96" t="str">
        <f>IF(AND(ISNUMBER(Biology!$D$45),ISNUMBER(Biology!$D$46),ISNUMBER(Biology!$D$47),ISNUMBER(Biology!$D$48)),"inputs present","DATA GAP - organism DO thresholds unmeasured; DO &amp; sparge results unreliable")</f>
        <v>DATA GAP - organism DO thresholds unmeasured; DO &amp; sparge results unreliable</v>
      </c>
      <c r="F34" s="21" t="s">
        <v>1049</v>
      </c>
    </row>
    <row r="35" spans="1:6" ht="16" thickBot="1" x14ac:dyDescent="0.25">
      <c r="A35" s="91" t="s">
        <v>1050</v>
      </c>
      <c r="C35" s="20"/>
      <c r="D35" s="130">
        <f>Chemistry!$D$103</f>
        <v>6.3125785894509363</v>
      </c>
      <c r="F35" s="21" t="s">
        <v>1051</v>
      </c>
    </row>
    <row r="36" spans="1:6" ht="16" thickBot="1" x14ac:dyDescent="0.25">
      <c r="A36" s="91" t="s">
        <v>1052</v>
      </c>
      <c r="C36" s="28" t="s">
        <v>107</v>
      </c>
      <c r="D36" s="130">
        <f>Chemistry!$D$125</f>
        <v>8.877523507988645</v>
      </c>
      <c r="F36" s="21" t="s">
        <v>1053</v>
      </c>
    </row>
    <row r="37" spans="1:6" ht="16" thickBot="1" x14ac:dyDescent="0.25">
      <c r="A37" s="110" t="s">
        <v>105</v>
      </c>
      <c r="B37" s="20"/>
      <c r="C37" s="20"/>
      <c r="D37" s="20"/>
      <c r="E37" s="20"/>
      <c r="F37" s="21"/>
    </row>
    <row r="38" spans="1:6" x14ac:dyDescent="0.2">
      <c r="A38" s="91" t="s">
        <v>106</v>
      </c>
      <c r="B38" s="109"/>
      <c r="C38" s="28" t="s">
        <v>107</v>
      </c>
      <c r="D38" s="92">
        <f>'Mass Transfer'!$D$108</f>
        <v>1.9407611529861681</v>
      </c>
      <c r="E38" s="23" t="str">
        <f>HYPERLINK("#'Mass Transfer'!D108","→ Mass")</f>
        <v>→ Mass</v>
      </c>
      <c r="F38" s="21" t="s">
        <v>108</v>
      </c>
    </row>
    <row r="39" spans="1:6" x14ac:dyDescent="0.2">
      <c r="A39" s="91" t="s">
        <v>109</v>
      </c>
      <c r="B39" s="109"/>
      <c r="C39" s="28" t="s">
        <v>71</v>
      </c>
      <c r="D39" s="92">
        <f>'Mass Transfer'!$D$112</f>
        <v>178.08128884816398</v>
      </c>
      <c r="E39" s="23" t="str">
        <f>HYPERLINK("#'Mass Transfer'!D112","→ Mass")</f>
        <v>→ Mass</v>
      </c>
      <c r="F39" s="21" t="s">
        <v>110</v>
      </c>
    </row>
    <row r="40" spans="1:6" x14ac:dyDescent="0.2">
      <c r="A40" s="91" t="s">
        <v>111</v>
      </c>
      <c r="B40" s="20"/>
      <c r="C40" s="20" t="s">
        <v>112</v>
      </c>
      <c r="D40" s="92">
        <f>'Mass Transfer'!$D$68</f>
        <v>0.31415926535897931</v>
      </c>
      <c r="E40" s="23" t="str">
        <f>HYPERLINK("#'Mass Transfer'!D68","→ Mass")</f>
        <v>→ Mass</v>
      </c>
      <c r="F40" s="21" t="s">
        <v>113</v>
      </c>
    </row>
    <row r="41" spans="1:6" x14ac:dyDescent="0.2">
      <c r="A41" s="91" t="s">
        <v>114</v>
      </c>
      <c r="B41" s="20"/>
      <c r="C41" s="20" t="s">
        <v>115</v>
      </c>
      <c r="D41" s="97">
        <f>Biology!$D$35</f>
        <v>585.59956132513264</v>
      </c>
      <c r="E41" s="23" t="str">
        <f>HYPERLINK("#Biology!D35","→ Biology")</f>
        <v>→ Biology</v>
      </c>
      <c r="F41" s="21" t="s">
        <v>116</v>
      </c>
    </row>
    <row r="42" spans="1:6" x14ac:dyDescent="0.2">
      <c r="A42" s="20"/>
      <c r="B42" s="20"/>
      <c r="C42" s="20"/>
      <c r="D42" s="20"/>
      <c r="E42" s="20"/>
      <c r="F42" s="20"/>
    </row>
    <row r="43" spans="1:6" x14ac:dyDescent="0.2">
      <c r="A43" s="16" t="s">
        <v>117</v>
      </c>
      <c r="B43" s="16"/>
      <c r="C43" s="16"/>
      <c r="D43" s="16"/>
      <c r="E43" s="16"/>
      <c r="F43" s="16"/>
    </row>
    <row r="44" spans="1:6" x14ac:dyDescent="0.2">
      <c r="A44" s="89" t="s">
        <v>118</v>
      </c>
      <c r="B44" s="20"/>
      <c r="C44" s="20"/>
      <c r="D44" s="29"/>
      <c r="E44" s="20"/>
      <c r="F44" s="20"/>
    </row>
    <row r="45" spans="1:6" x14ac:dyDescent="0.2">
      <c r="A45" s="30" t="s">
        <v>119</v>
      </c>
      <c r="B45" s="20"/>
      <c r="C45" s="20"/>
      <c r="D45" s="29"/>
      <c r="E45" s="20"/>
      <c r="F45" s="20"/>
    </row>
    <row r="46" spans="1:6" x14ac:dyDescent="0.2">
      <c r="A46" s="100" t="s">
        <v>120</v>
      </c>
      <c r="B46" s="20"/>
      <c r="C46" s="20"/>
      <c r="D46" s="29"/>
      <c r="E46" s="20"/>
      <c r="F46" s="20"/>
    </row>
    <row r="47" spans="1:6" x14ac:dyDescent="0.2">
      <c r="A47" s="31" t="s">
        <v>121</v>
      </c>
      <c r="B47" s="20"/>
      <c r="C47" s="20"/>
      <c r="D47" s="29"/>
      <c r="E47" s="20"/>
      <c r="F47" s="20"/>
    </row>
    <row r="48" spans="1:6" x14ac:dyDescent="0.2">
      <c r="A48" s="32" t="s">
        <v>122</v>
      </c>
      <c r="B48" s="20"/>
      <c r="C48" s="20"/>
      <c r="D48" s="29"/>
      <c r="E48" s="94"/>
      <c r="F48" s="20"/>
    </row>
    <row r="49" spans="1:6" x14ac:dyDescent="0.2">
      <c r="A49" s="33" t="s">
        <v>123</v>
      </c>
      <c r="B49" s="20"/>
      <c r="C49" s="20"/>
      <c r="D49" s="29"/>
      <c r="E49" s="94"/>
      <c r="F49" s="20"/>
    </row>
    <row r="50" spans="1:6" x14ac:dyDescent="0.2">
      <c r="A50" s="90" t="s">
        <v>124</v>
      </c>
      <c r="B50" s="20"/>
      <c r="C50" s="20"/>
      <c r="D50" s="29"/>
      <c r="E50" s="94"/>
      <c r="F50" s="20"/>
    </row>
    <row r="51" spans="1:6" x14ac:dyDescent="0.2">
      <c r="A51" s="34" t="s">
        <v>125</v>
      </c>
      <c r="B51" s="20"/>
      <c r="C51" s="20"/>
      <c r="D51" s="20"/>
      <c r="E51" s="20"/>
      <c r="F51" s="20"/>
    </row>
    <row r="52" spans="1:6" x14ac:dyDescent="0.2">
      <c r="A52" s="35" t="s">
        <v>126</v>
      </c>
      <c r="B52" s="20"/>
      <c r="C52" s="20"/>
      <c r="D52" s="20"/>
      <c r="E52" s="20"/>
      <c r="F52" s="20"/>
    </row>
    <row r="53" spans="1:6" s="20" customFormat="1" x14ac:dyDescent="0.2">
      <c r="A53" s="86" t="s">
        <v>127</v>
      </c>
    </row>
    <row r="54" spans="1:6" s="20" customFormat="1" x14ac:dyDescent="0.2">
      <c r="A54" s="87" t="s">
        <v>128</v>
      </c>
    </row>
    <row r="55" spans="1:6" x14ac:dyDescent="0.2">
      <c r="A55" s="88" t="s">
        <v>129</v>
      </c>
      <c r="B55" s="20"/>
      <c r="C55" s="20"/>
      <c r="D55" s="20"/>
      <c r="E55" s="20"/>
      <c r="F55" s="20"/>
    </row>
    <row r="56" spans="1:6" x14ac:dyDescent="0.2">
      <c r="A56" s="20"/>
      <c r="B56" s="20"/>
      <c r="C56" s="20"/>
      <c r="D56" s="29"/>
      <c r="E56" s="94"/>
      <c r="F56" s="20"/>
    </row>
    <row r="57" spans="1:6" x14ac:dyDescent="0.2">
      <c r="A57" s="36" t="s">
        <v>130</v>
      </c>
      <c r="B57" s="36" t="s">
        <v>131</v>
      </c>
      <c r="C57" s="36" t="s">
        <v>132</v>
      </c>
      <c r="D57" s="36" t="s">
        <v>133</v>
      </c>
      <c r="E57" s="36"/>
      <c r="F57" s="36" t="s">
        <v>134</v>
      </c>
    </row>
    <row r="58" spans="1:6" x14ac:dyDescent="0.2">
      <c r="A58" s="20" t="s">
        <v>135</v>
      </c>
      <c r="B58" s="20" t="s">
        <v>136</v>
      </c>
      <c r="C58" s="20" t="s">
        <v>137</v>
      </c>
      <c r="D58" s="37" t="str">
        <f>HYPERLINK("https://github.com/amy-bo/electroPioreactor/blob/CO2-modular/Media/protocols/surface-kla.md","surface-kla.md →")</f>
        <v>surface-kla.md →</v>
      </c>
      <c r="E58" s="110"/>
      <c r="F58" s="21" t="s">
        <v>138</v>
      </c>
    </row>
    <row r="59" spans="1:6" x14ac:dyDescent="0.2">
      <c r="A59" s="20" t="s">
        <v>139</v>
      </c>
      <c r="B59" s="20" t="s">
        <v>136</v>
      </c>
      <c r="C59" s="20" t="s">
        <v>137</v>
      </c>
      <c r="D59" s="37" t="str">
        <f>HYPERLINK("https://github.com/amy-bo/electroPioreactor/blob/CO2-modular/Media/protocols/faradaic-efficiency.md","faradaic-efficiency.md →")</f>
        <v>faradaic-efficiency.md →</v>
      </c>
      <c r="E59" s="20"/>
      <c r="F59" s="21" t="s">
        <v>140</v>
      </c>
    </row>
    <row r="60" spans="1:6" x14ac:dyDescent="0.2">
      <c r="A60" s="20" t="s">
        <v>141</v>
      </c>
      <c r="B60" s="20" t="s">
        <v>142</v>
      </c>
      <c r="C60" s="20" t="s">
        <v>143</v>
      </c>
      <c r="D60" s="37" t="str">
        <f>HYPERLINK("https://github.com/amy-bo/electroPioreactor/blob/CO2-modular/Media/protocols/dissolved-oxygen.md","dissolved-oxygen.md →")</f>
        <v>dissolved-oxygen.md →</v>
      </c>
      <c r="E60" s="20"/>
      <c r="F60" s="21" t="s">
        <v>144</v>
      </c>
    </row>
    <row r="61" spans="1:6" x14ac:dyDescent="0.2">
      <c r="A61" s="20" t="s">
        <v>145</v>
      </c>
      <c r="B61" s="20" t="s">
        <v>142</v>
      </c>
      <c r="C61" s="20" t="s">
        <v>143</v>
      </c>
      <c r="D61" s="37" t="str">
        <f>HYPERLINK("https://github.com/amy-bo/electroPioreactor/blob/CO2-modular/Media/protocols/flow-calibration.md","flow-calibration.md →")</f>
        <v>flow-calibration.md →</v>
      </c>
      <c r="E61" s="20"/>
      <c r="F61" s="21" t="s">
        <v>146</v>
      </c>
    </row>
    <row r="62" spans="1:6" x14ac:dyDescent="0.2">
      <c r="A62" s="20" t="s">
        <v>147</v>
      </c>
      <c r="B62" s="20" t="s">
        <v>142</v>
      </c>
      <c r="C62" s="20" t="s">
        <v>148</v>
      </c>
      <c r="D62" s="37" t="str">
        <f>HYPERLINK("https://github.com/amy-bo/electroPioreactor/blob/CO2-modular/Media/protocols/knallgas-stoichiometry.md","knallgas-stoichiometry.md →")</f>
        <v>knallgas-stoichiometry.md →</v>
      </c>
      <c r="E62" s="20"/>
      <c r="F62" s="21" t="s">
        <v>149</v>
      </c>
    </row>
    <row r="63" spans="1:6" x14ac:dyDescent="0.2">
      <c r="A63" s="20" t="s">
        <v>150</v>
      </c>
      <c r="B63" s="20" t="s">
        <v>151</v>
      </c>
      <c r="C63" s="20" t="s">
        <v>143</v>
      </c>
      <c r="D63" s="37" t="str">
        <f>HYPERLINK("https://github.com/amy-bo/electroPioreactor/blob/CO2-modular/Media/protocols/sinter-porosity.md","sinter-porosity.md →")</f>
        <v>sinter-porosity.md →</v>
      </c>
      <c r="E63" s="20"/>
      <c r="F63" s="21" t="s">
        <v>152</v>
      </c>
    </row>
    <row r="64" spans="1:6" x14ac:dyDescent="0.2">
      <c r="A64" s="20" t="s">
        <v>153</v>
      </c>
      <c r="B64" s="20" t="s">
        <v>151</v>
      </c>
      <c r="C64" s="20" t="s">
        <v>143</v>
      </c>
      <c r="D64" s="37" t="str">
        <f>HYPERLINK("https://github.com/amy-bo/electroPioreactor/blob/CO2-modular/Media/protocols/README.md","README.md →")</f>
        <v>README.md →</v>
      </c>
      <c r="E64" s="20"/>
      <c r="F64" s="21" t="s">
        <v>154</v>
      </c>
    </row>
    <row r="65" spans="1:6" x14ac:dyDescent="0.2">
      <c r="A65" s="20"/>
      <c r="B65" s="20"/>
      <c r="C65" s="20"/>
      <c r="D65" s="101"/>
      <c r="E65" s="20"/>
      <c r="F65" s="20"/>
    </row>
    <row r="66" spans="1:6" x14ac:dyDescent="0.2">
      <c r="A66" s="20"/>
      <c r="B66" s="20"/>
      <c r="C66" s="20"/>
      <c r="D66" s="29"/>
      <c r="E66" s="20"/>
      <c r="F66" s="20"/>
    </row>
    <row r="67" spans="1:6" x14ac:dyDescent="0.2">
      <c r="A67" s="20"/>
      <c r="B67" s="20"/>
      <c r="C67" s="20"/>
      <c r="D67" s="29"/>
      <c r="E67" s="20"/>
      <c r="F67" s="20"/>
    </row>
  </sheetData>
  <conditionalFormatting sqref="B56:B64">
    <cfRule type="expression" dxfId="28" priority="15" stopIfTrue="1">
      <formula>EXACT(B56,"HIGH")</formula>
    </cfRule>
    <cfRule type="expression" dxfId="27" priority="16" stopIfTrue="1">
      <formula>EXACT(B56,"MED")</formula>
    </cfRule>
    <cfRule type="expression" dxfId="26" priority="17" stopIfTrue="1">
      <formula>EXACT(B56,"LOW")</formula>
    </cfRule>
  </conditionalFormatting>
  <conditionalFormatting sqref="C56:C64">
    <cfRule type="expression" dxfId="25" priority="18" stopIfTrue="1">
      <formula>EXACT(C56,"low")</formula>
    </cfRule>
    <cfRule type="expression" dxfId="24" priority="19" stopIfTrue="1">
      <formula>EXACT(C56,"med")</formula>
    </cfRule>
    <cfRule type="expression" dxfId="23" priority="20" stopIfTrue="1">
      <formula>EXACT(C56,"high")</formula>
    </cfRule>
  </conditionalFormatting>
  <conditionalFormatting sqref="D13:D16">
    <cfRule type="expression" dxfId="22" priority="14" stopIfTrue="1">
      <formula>ISNUMBER(SEARCH("calibrate this",D13))</formula>
    </cfRule>
  </conditionalFormatting>
  <conditionalFormatting sqref="D19:D36">
    <cfRule type="expression" dxfId="21" priority="11" stopIfTrue="1">
      <formula>OR(ISNUMBER(SEARCH("INCONSISTENT",D19)),ISNUMBER(SEARCH("OVER",D19)),ISNUMBER(SEARCH("BELOW",D19)),ISNUMBER(SEARCH("EXCEED",D19)),ISNUMBER(SEARCH("NO CALIB",D19)),ISNUMBER(SEARCH("calibrate this",D19)),ISNUMBER(SEARCH("RISK",D19)),ISNUMBER(SEARCH("EXPLOSIVE",D19)),ISNUMBER(SEARCH("OOR",D19)),ISNUMBER(SEARCH("insufficient",D19)),ISNUMBER(SEARCH("TIP SPEED",D19)),ISNUMBER(SEARCH("SHORTFALL",D19)),EXACT(D19,"OUT"),EXACT(D19,"LOW"),ISNUMBER(SEARCH("GAP",D19)))</formula>
    </cfRule>
    <cfRule type="expression" dxfId="20" priority="12" stopIfTrue="1">
      <formula>OR(ISNUMBER(SEARCH("above optimum",D19)),ISNUMBER(SEARCH("watch",D19)),ISNUMBER(SEARCH("NEAREST",D19)),ISNUMBER(SEARCH("unknown",D19)),ISNUMBER(SEARCH("TIGHT",D19)))</formula>
    </cfRule>
    <cfRule type="expression" dxfId="19" priority="13" stopIfTrue="1">
      <formula>OR(EXACT(D19,"OK"),ISNUMBER(SEARCH("calibrated:",D19)),ISNUMBER(SEARCH("optimum",D19)),ISNUMBER(SEARCH("above min",D19)),ISNUMBER(SEARCH("CARBON-limited",D19)),ISNUMBER(SEARCH("Static",D19)),ISNUMBER(SEARCH("Dynamic",D19)),ISNUMBER(SEARCH("present",D19)))</formula>
    </cfRule>
  </conditionalFormatting>
  <conditionalFormatting sqref="D35">
    <cfRule type="expression" dxfId="18" priority="21" stopIfTrue="1">
      <formula>OR(D35&lt;6,D35&gt;8)</formula>
    </cfRule>
    <cfRule type="expression" dxfId="17" priority="22" stopIfTrue="1">
      <formula>OR(D35&lt;6.5,D35&gt;7.5)</formula>
    </cfRule>
    <cfRule type="expression" dxfId="16" priority="23" stopIfTrue="1">
      <formula>ISNUMBER(D35)</formula>
    </cfRule>
  </conditionalFormatting>
  <conditionalFormatting sqref="D36">
    <cfRule type="expression" dxfId="15" priority="24" stopIfTrue="1">
      <formula>D36&gt;1</formula>
    </cfRule>
    <cfRule type="expression" dxfId="14" priority="25" stopIfTrue="1">
      <formula>D36&gt;0.1</formula>
    </cfRule>
    <cfRule type="expression" dxfId="13" priority="26" stopIfTrue="1">
      <formula>ISNUMBER(D36)</formula>
    </cfRule>
  </conditionalFormatting>
  <pageMargins left="0.75" right="0.75" top="1" bottom="1" header="0.5" footer="0.5"/>
  <pageSetup paperSize="9"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000-000000000000}">
          <x14:formula1>
            <xm:f>Geometry!$A$59:$A$80</xm:f>
          </x14:formula1>
          <xm:sqref>D2</xm:sqref>
        </x14:dataValidation>
        <x14:dataValidation type="list" allowBlank="1" xr:uid="{00000000-0002-0000-0000-000001000000}">
          <x14:formula1>
            <xm:f>Electrochemistry!$A$35:$A$37</xm:f>
          </x14:formula1>
          <xm:sqref>D3</xm:sqref>
        </x14:dataValidation>
        <x14:dataValidation type="list" allowBlank="1" xr:uid="{00000000-0002-0000-0000-000002000000}">
          <x14:formula1>
            <xm:f>Biology!$A$52:$A$57</xm:f>
          </x14:formula1>
          <xm:sqref>D4</xm:sqref>
        </x14:dataValidation>
        <x14:dataValidation type="list" allowBlank="1" xr:uid="{00000000-0002-0000-0000-000003000000}">
          <x14:formula1>
            <xm:f>Chemistry!$A$114:$A$115</xm:f>
          </x14:formula1>
          <xm:sqref>D5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/>
  </sheetPr>
  <dimension ref="A1:I90"/>
  <sheetViews>
    <sheetView topLeftCell="A70" zoomScale="174" workbookViewId="0"/>
  </sheetViews>
  <sheetFormatPr baseColWidth="10" defaultColWidth="8.83203125" defaultRowHeight="15" x14ac:dyDescent="0.2"/>
  <cols>
    <col min="1" max="1" width="30" customWidth="1"/>
    <col min="2" max="2" width="15" customWidth="1"/>
    <col min="5" max="5" width="60" customWidth="1"/>
  </cols>
  <sheetData>
    <row r="1" spans="1:9" ht="16" customHeight="1" x14ac:dyDescent="0.2">
      <c r="A1" s="111" t="s">
        <v>155</v>
      </c>
      <c r="B1" s="20"/>
      <c r="C1" s="20"/>
      <c r="D1" s="20"/>
      <c r="E1" s="20"/>
      <c r="F1" s="20"/>
      <c r="G1" s="20"/>
      <c r="H1" s="20"/>
      <c r="I1" s="20"/>
    </row>
    <row r="2" spans="1:9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156</v>
      </c>
      <c r="F2" s="20"/>
      <c r="G2" s="20"/>
      <c r="H2" s="20"/>
      <c r="I2" s="20"/>
    </row>
    <row r="3" spans="1:9" x14ac:dyDescent="0.2">
      <c r="A3" s="17"/>
      <c r="B3" s="18"/>
      <c r="C3" s="19"/>
      <c r="D3" s="112"/>
      <c r="E3" s="38"/>
      <c r="F3" s="20"/>
      <c r="G3" s="20"/>
      <c r="H3" s="20"/>
      <c r="I3" s="20"/>
    </row>
    <row r="4" spans="1:9" ht="16" customHeight="1" x14ac:dyDescent="0.2">
      <c r="A4" s="111" t="s">
        <v>157</v>
      </c>
      <c r="B4" s="18"/>
      <c r="C4" s="19"/>
      <c r="D4" s="112"/>
      <c r="E4" s="38"/>
      <c r="F4" s="20"/>
      <c r="G4" s="20"/>
      <c r="H4" s="20"/>
      <c r="I4" s="20"/>
    </row>
    <row r="5" spans="1:9" x14ac:dyDescent="0.2">
      <c r="A5" s="20" t="s">
        <v>158</v>
      </c>
      <c r="B5" s="20" t="s">
        <v>159</v>
      </c>
      <c r="C5" s="20" t="s">
        <v>160</v>
      </c>
      <c r="D5" s="39" t="str">
        <f>Summary!$D$2</f>
        <v>ed04</v>
      </c>
      <c r="E5" s="23" t="str">
        <f>HYPERLINK("#Summary!D3","→ Summary")</f>
        <v>→ Summary</v>
      </c>
      <c r="F5" s="20"/>
      <c r="G5" s="20"/>
      <c r="H5" s="20"/>
      <c r="I5" s="20"/>
    </row>
    <row r="6" spans="1:9" x14ac:dyDescent="0.2">
      <c r="A6" s="20" t="s">
        <v>161</v>
      </c>
      <c r="B6" s="20" t="s">
        <v>58</v>
      </c>
      <c r="C6" s="20" t="s">
        <v>59</v>
      </c>
      <c r="D6" s="39">
        <f>Summary!$D$9</f>
        <v>0</v>
      </c>
      <c r="E6" s="23" t="str">
        <f>HYPERLINK("#Summary!D9","→ Summary")</f>
        <v>→ Summary</v>
      </c>
      <c r="F6" s="20"/>
      <c r="G6" s="20"/>
      <c r="H6" s="20"/>
      <c r="I6" s="20"/>
    </row>
    <row r="7" spans="1:9" x14ac:dyDescent="0.2">
      <c r="A7" s="17"/>
      <c r="B7" s="18"/>
      <c r="C7" s="19"/>
      <c r="D7" s="113"/>
      <c r="E7" s="40"/>
      <c r="F7" s="20"/>
      <c r="G7" s="20"/>
      <c r="H7" s="20"/>
      <c r="I7" s="20"/>
    </row>
    <row r="8" spans="1:9" ht="26" customHeight="1" x14ac:dyDescent="0.2">
      <c r="A8" s="17" t="s">
        <v>162</v>
      </c>
      <c r="B8" s="18" t="s">
        <v>163</v>
      </c>
      <c r="C8" s="19" t="s">
        <v>160</v>
      </c>
      <c r="D8" s="112" t="s">
        <v>164</v>
      </c>
      <c r="E8" s="114" t="s">
        <v>165</v>
      </c>
      <c r="F8" s="20"/>
      <c r="G8" s="20"/>
      <c r="H8" s="20"/>
      <c r="I8" s="20"/>
    </row>
    <row r="9" spans="1:9" x14ac:dyDescent="0.2">
      <c r="A9" s="17" t="s">
        <v>166</v>
      </c>
      <c r="B9" s="18" t="s">
        <v>167</v>
      </c>
      <c r="C9" s="19" t="s">
        <v>160</v>
      </c>
      <c r="D9" s="112" t="s">
        <v>168</v>
      </c>
      <c r="E9" s="114" t="s">
        <v>165</v>
      </c>
      <c r="F9" s="20"/>
      <c r="G9" s="20"/>
      <c r="H9" s="20"/>
      <c r="I9" s="20"/>
    </row>
    <row r="10" spans="1:9" ht="24" customHeight="1" x14ac:dyDescent="0.2">
      <c r="A10" s="17" t="s">
        <v>169</v>
      </c>
      <c r="B10" s="18" t="s">
        <v>170</v>
      </c>
      <c r="C10" s="19" t="s">
        <v>171</v>
      </c>
      <c r="D10" s="115">
        <v>27.48</v>
      </c>
      <c r="E10" s="116" t="s">
        <v>165</v>
      </c>
      <c r="F10" s="20"/>
      <c r="G10" s="20"/>
      <c r="H10" s="20"/>
      <c r="I10" s="20"/>
    </row>
    <row r="11" spans="1:9" x14ac:dyDescent="0.2">
      <c r="A11" s="17" t="s">
        <v>172</v>
      </c>
      <c r="B11" s="18" t="s">
        <v>173</v>
      </c>
      <c r="C11" s="19" t="s">
        <v>171</v>
      </c>
      <c r="D11" s="115">
        <v>27.48</v>
      </c>
      <c r="E11" s="117" t="s">
        <v>165</v>
      </c>
      <c r="F11" s="20"/>
      <c r="G11" s="20"/>
      <c r="H11" s="20"/>
      <c r="I11" s="20"/>
    </row>
    <row r="12" spans="1:9" x14ac:dyDescent="0.2">
      <c r="A12" s="17" t="s">
        <v>174</v>
      </c>
      <c r="B12" s="18" t="s">
        <v>175</v>
      </c>
      <c r="C12" s="19" t="s">
        <v>171</v>
      </c>
      <c r="D12" s="113">
        <v>55</v>
      </c>
      <c r="E12" s="118" t="s">
        <v>165</v>
      </c>
      <c r="F12" s="20"/>
      <c r="G12" s="20"/>
      <c r="H12" s="20"/>
      <c r="I12" s="20"/>
    </row>
    <row r="13" spans="1:9" x14ac:dyDescent="0.2">
      <c r="A13" s="17" t="s">
        <v>176</v>
      </c>
      <c r="B13" s="18" t="s">
        <v>177</v>
      </c>
      <c r="C13" s="19" t="s">
        <v>171</v>
      </c>
      <c r="D13" s="113">
        <v>95</v>
      </c>
      <c r="E13" s="118" t="s">
        <v>165</v>
      </c>
      <c r="F13" s="20"/>
      <c r="G13" s="20"/>
      <c r="H13" s="20"/>
      <c r="I13" s="20"/>
    </row>
    <row r="14" spans="1:9" ht="24" customHeight="1" x14ac:dyDescent="0.2">
      <c r="A14" s="17" t="s">
        <v>178</v>
      </c>
      <c r="B14" s="18" t="s">
        <v>179</v>
      </c>
      <c r="C14" s="19" t="s">
        <v>59</v>
      </c>
      <c r="D14" s="113">
        <v>16</v>
      </c>
      <c r="E14" s="116" t="s">
        <v>165</v>
      </c>
      <c r="F14" s="20"/>
      <c r="G14" s="20"/>
      <c r="H14" s="20"/>
      <c r="I14" s="20"/>
    </row>
    <row r="15" spans="1:9" ht="24" customHeight="1" x14ac:dyDescent="0.2">
      <c r="A15" s="17" t="s">
        <v>180</v>
      </c>
      <c r="B15" s="18" t="s">
        <v>181</v>
      </c>
      <c r="C15" s="19" t="s">
        <v>59</v>
      </c>
      <c r="D15" s="113">
        <v>30</v>
      </c>
      <c r="E15" s="116" t="s">
        <v>165</v>
      </c>
      <c r="F15" s="20"/>
      <c r="G15" s="20"/>
      <c r="H15" s="20"/>
      <c r="I15" s="20"/>
    </row>
    <row r="16" spans="1:9" x14ac:dyDescent="0.2">
      <c r="A16" s="17" t="s">
        <v>182</v>
      </c>
      <c r="B16" s="18" t="s">
        <v>183</v>
      </c>
      <c r="C16" s="19" t="s">
        <v>59</v>
      </c>
      <c r="D16" s="113">
        <v>20</v>
      </c>
      <c r="E16" s="119" t="s">
        <v>165</v>
      </c>
      <c r="F16" s="20"/>
      <c r="G16" s="20"/>
      <c r="H16" s="20"/>
      <c r="I16" s="20"/>
    </row>
    <row r="17" spans="1:9" x14ac:dyDescent="0.2">
      <c r="A17" s="17" t="s">
        <v>184</v>
      </c>
      <c r="B17" s="18" t="s">
        <v>185</v>
      </c>
      <c r="C17" s="19" t="s">
        <v>59</v>
      </c>
      <c r="D17" s="113">
        <v>42</v>
      </c>
      <c r="E17" s="119" t="s">
        <v>165</v>
      </c>
      <c r="F17" s="20"/>
      <c r="G17" s="20"/>
      <c r="H17" s="20"/>
      <c r="I17" s="20"/>
    </row>
    <row r="18" spans="1:9" x14ac:dyDescent="0.2">
      <c r="A18" s="17" t="s">
        <v>186</v>
      </c>
      <c r="B18" s="18" t="s">
        <v>187</v>
      </c>
      <c r="C18" s="19" t="s">
        <v>171</v>
      </c>
      <c r="D18" s="41">
        <f>VLOOKUP(rx_ver,$A$84:$I$87,7,FALSE)</f>
        <v>27.48</v>
      </c>
      <c r="E18" s="102" t="s">
        <v>188</v>
      </c>
      <c r="F18" s="20"/>
      <c r="G18" s="20"/>
      <c r="H18" s="20"/>
      <c r="I18" s="20"/>
    </row>
    <row r="19" spans="1:9" ht="24" customHeight="1" x14ac:dyDescent="0.2">
      <c r="A19" s="17" t="s">
        <v>189</v>
      </c>
      <c r="B19" s="18" t="s">
        <v>190</v>
      </c>
      <c r="C19" s="19" t="s">
        <v>171</v>
      </c>
      <c r="D19" s="115">
        <v>1.1000000000000001</v>
      </c>
      <c r="E19" s="42" t="s">
        <v>191</v>
      </c>
      <c r="F19" s="20"/>
      <c r="G19" s="20"/>
      <c r="H19" s="20"/>
      <c r="I19" s="20"/>
    </row>
    <row r="20" spans="1:9" x14ac:dyDescent="0.2">
      <c r="A20" s="17" t="s">
        <v>192</v>
      </c>
      <c r="B20" s="18" t="s">
        <v>193</v>
      </c>
      <c r="C20" s="19" t="s">
        <v>171</v>
      </c>
      <c r="D20" s="43">
        <f>vial_OD-2*vial_wall</f>
        <v>25.28</v>
      </c>
      <c r="E20" s="102" t="s">
        <v>194</v>
      </c>
      <c r="F20" s="20"/>
      <c r="G20" s="20"/>
      <c r="H20" s="20"/>
      <c r="I20" s="20"/>
    </row>
    <row r="21" spans="1:9" x14ac:dyDescent="0.2">
      <c r="A21" s="17" t="s">
        <v>195</v>
      </c>
      <c r="B21" s="18" t="s">
        <v>196</v>
      </c>
      <c r="C21" s="19" t="s">
        <v>197</v>
      </c>
      <c r="D21" s="44">
        <f>PI()/4*vial_ID^2</f>
        <v>501.93100162697988</v>
      </c>
      <c r="E21" s="102" t="s">
        <v>198</v>
      </c>
      <c r="F21" s="20"/>
      <c r="G21" s="20"/>
      <c r="H21" s="20"/>
      <c r="I21" s="20"/>
    </row>
    <row r="22" spans="1:9" x14ac:dyDescent="0.2">
      <c r="A22" s="17" t="s">
        <v>199</v>
      </c>
      <c r="B22" s="18" t="s">
        <v>200</v>
      </c>
      <c r="C22" s="19" t="s">
        <v>171</v>
      </c>
      <c r="D22" s="45">
        <f>VLOOKUP(rx_ver,$A$84:$I$87,4,FALSE)</f>
        <v>55</v>
      </c>
      <c r="E22" s="102" t="s">
        <v>201</v>
      </c>
      <c r="F22" s="20"/>
      <c r="G22" s="20"/>
      <c r="H22" s="20"/>
      <c r="I22" s="20"/>
    </row>
    <row r="23" spans="1:9" x14ac:dyDescent="0.2">
      <c r="A23" s="17" t="s">
        <v>202</v>
      </c>
      <c r="B23" s="18" t="s">
        <v>203</v>
      </c>
      <c r="C23" s="19" t="s">
        <v>59</v>
      </c>
      <c r="D23" s="45">
        <f>VLOOKUP(rx_ver,$A$84:$I$87,5,FALSE)</f>
        <v>16</v>
      </c>
      <c r="E23" s="102" t="s">
        <v>201</v>
      </c>
      <c r="F23" s="20"/>
      <c r="G23" s="20"/>
      <c r="H23" s="20"/>
      <c r="I23" s="20"/>
    </row>
    <row r="24" spans="1:9" x14ac:dyDescent="0.2">
      <c r="A24" s="17" t="s">
        <v>204</v>
      </c>
      <c r="B24" s="18" t="s">
        <v>205</v>
      </c>
      <c r="C24" s="19" t="s">
        <v>59</v>
      </c>
      <c r="D24" s="45">
        <f>VLOOKUP(rx_ver,$A$84:$I$87,6,FALSE)</f>
        <v>20</v>
      </c>
      <c r="E24" s="102" t="s">
        <v>201</v>
      </c>
      <c r="F24" s="20"/>
      <c r="G24" s="20"/>
      <c r="H24" s="20"/>
      <c r="I24" s="20"/>
    </row>
    <row r="25" spans="1:9" x14ac:dyDescent="0.2">
      <c r="A25" s="17" t="s">
        <v>206</v>
      </c>
      <c r="B25" s="18" t="s">
        <v>207</v>
      </c>
      <c r="C25" s="19" t="s">
        <v>171</v>
      </c>
      <c r="D25" s="43">
        <f>V_max*1000/A_x</f>
        <v>31.876891341911417</v>
      </c>
      <c r="E25" s="102" t="s">
        <v>208</v>
      </c>
      <c r="F25" s="20"/>
      <c r="G25" s="20"/>
      <c r="H25" s="20"/>
      <c r="I25" s="20"/>
    </row>
    <row r="26" spans="1:9" x14ac:dyDescent="0.2">
      <c r="A26" s="17" t="s">
        <v>209</v>
      </c>
      <c r="B26" s="18" t="s">
        <v>210</v>
      </c>
      <c r="C26" s="19" t="s">
        <v>171</v>
      </c>
      <c r="D26" s="113">
        <v>6</v>
      </c>
      <c r="E26" s="38" t="s">
        <v>211</v>
      </c>
      <c r="F26" s="20"/>
      <c r="G26" s="20"/>
      <c r="H26" s="20"/>
      <c r="I26" s="20"/>
    </row>
    <row r="27" spans="1:9" x14ac:dyDescent="0.2">
      <c r="A27" s="17" t="s">
        <v>212</v>
      </c>
      <c r="B27" s="18" t="s">
        <v>213</v>
      </c>
      <c r="C27" s="19" t="s">
        <v>160</v>
      </c>
      <c r="D27" s="112">
        <v>2</v>
      </c>
      <c r="E27" s="102" t="s">
        <v>214</v>
      </c>
      <c r="F27" s="20"/>
      <c r="G27" s="20"/>
      <c r="H27" s="20"/>
      <c r="I27" s="20"/>
    </row>
    <row r="28" spans="1:9" x14ac:dyDescent="0.2">
      <c r="A28" s="17" t="s">
        <v>215</v>
      </c>
      <c r="B28" s="18" t="s">
        <v>216</v>
      </c>
      <c r="C28" s="19" t="s">
        <v>171</v>
      </c>
      <c r="D28" s="113">
        <v>22</v>
      </c>
      <c r="E28" s="38" t="s">
        <v>217</v>
      </c>
      <c r="F28" s="20"/>
      <c r="G28" s="20"/>
      <c r="H28" s="20"/>
      <c r="I28" s="20"/>
    </row>
    <row r="29" spans="1:9" x14ac:dyDescent="0.2">
      <c r="A29" s="120" t="s">
        <v>218</v>
      </c>
      <c r="B29" s="18" t="s">
        <v>219</v>
      </c>
      <c r="C29" s="19" t="s">
        <v>171</v>
      </c>
      <c r="D29" s="44">
        <f>D_int-elec_clear</f>
        <v>33</v>
      </c>
      <c r="E29" s="102" t="s">
        <v>220</v>
      </c>
      <c r="F29" s="20"/>
      <c r="G29" s="20"/>
      <c r="H29" s="20"/>
      <c r="I29" s="20"/>
    </row>
    <row r="30" spans="1:9" x14ac:dyDescent="0.2">
      <c r="A30" s="17" t="s">
        <v>221</v>
      </c>
      <c r="B30" s="18" t="s">
        <v>222</v>
      </c>
      <c r="C30" s="19" t="s">
        <v>171</v>
      </c>
      <c r="D30" s="121">
        <v>3.1749999999999998</v>
      </c>
      <c r="E30" s="102" t="s">
        <v>223</v>
      </c>
      <c r="F30" s="20"/>
      <c r="G30" s="20"/>
      <c r="H30" s="20"/>
      <c r="I30" s="20"/>
    </row>
    <row r="31" spans="1:9" x14ac:dyDescent="0.2">
      <c r="A31" s="17" t="s">
        <v>224</v>
      </c>
      <c r="B31" s="18" t="s">
        <v>225</v>
      </c>
      <c r="C31" s="19" t="s">
        <v>171</v>
      </c>
      <c r="D31" s="122">
        <v>1.5874999999999999</v>
      </c>
      <c r="E31" s="102" t="s">
        <v>226</v>
      </c>
      <c r="F31" s="20"/>
      <c r="G31" s="20"/>
      <c r="H31" s="20"/>
      <c r="I31" s="20"/>
    </row>
    <row r="32" spans="1:9" x14ac:dyDescent="0.2">
      <c r="A32" s="17" t="s">
        <v>227</v>
      </c>
      <c r="B32" s="18" t="s">
        <v>228</v>
      </c>
      <c r="C32" s="19" t="s">
        <v>171</v>
      </c>
      <c r="D32" s="44">
        <f>elec_clear</f>
        <v>22</v>
      </c>
      <c r="E32" s="38" t="s">
        <v>229</v>
      </c>
      <c r="F32" s="20"/>
      <c r="G32" s="20"/>
      <c r="H32" s="20"/>
      <c r="I32" s="20"/>
    </row>
    <row r="33" spans="1:9" x14ac:dyDescent="0.2">
      <c r="A33" s="17" t="s">
        <v>230</v>
      </c>
      <c r="B33" s="18" t="s">
        <v>231</v>
      </c>
      <c r="C33" s="19" t="s">
        <v>171</v>
      </c>
      <c r="D33" s="121">
        <v>3.1749999999999998</v>
      </c>
      <c r="E33" s="102" t="s">
        <v>223</v>
      </c>
      <c r="F33" s="20"/>
      <c r="G33" s="20"/>
      <c r="H33" s="20"/>
      <c r="I33" s="20"/>
    </row>
    <row r="34" spans="1:9" x14ac:dyDescent="0.2">
      <c r="A34" s="17" t="s">
        <v>232</v>
      </c>
      <c r="B34" s="18" t="s">
        <v>233</v>
      </c>
      <c r="C34" s="19" t="s">
        <v>171</v>
      </c>
      <c r="D34" s="122">
        <v>1.5874999999999999</v>
      </c>
      <c r="E34" s="102" t="s">
        <v>226</v>
      </c>
      <c r="F34" s="20"/>
      <c r="G34" s="20"/>
      <c r="H34" s="20"/>
      <c r="I34" s="20"/>
    </row>
    <row r="35" spans="1:9" x14ac:dyDescent="0.2">
      <c r="A35" s="17" t="s">
        <v>234</v>
      </c>
      <c r="B35" s="18" t="s">
        <v>235</v>
      </c>
      <c r="C35" s="19" t="s">
        <v>171</v>
      </c>
      <c r="D35" s="43">
        <f>MAX(0,h_datum-elec_clear)</f>
        <v>9.876891341911417</v>
      </c>
      <c r="E35" s="102" t="s">
        <v>236</v>
      </c>
      <c r="F35" s="20"/>
      <c r="G35" s="20"/>
      <c r="H35" s="20"/>
      <c r="I35" s="20"/>
    </row>
    <row r="36" spans="1:9" x14ac:dyDescent="0.2">
      <c r="A36" s="17" t="s">
        <v>237</v>
      </c>
      <c r="B36" s="18" t="s">
        <v>238</v>
      </c>
      <c r="C36" s="19" t="s">
        <v>59</v>
      </c>
      <c r="D36" s="46">
        <f>rod_n*(PI()/4*rod_d^2)*elec_sub_L/1000</f>
        <v>0.55852504704096373</v>
      </c>
      <c r="E36" s="102" t="s">
        <v>239</v>
      </c>
      <c r="F36" s="20"/>
      <c r="G36" s="20"/>
      <c r="H36" s="20"/>
      <c r="I36" s="20"/>
    </row>
    <row r="37" spans="1:9" x14ac:dyDescent="0.2">
      <c r="A37" s="17" t="s">
        <v>240</v>
      </c>
      <c r="B37" s="18" t="s">
        <v>241</v>
      </c>
      <c r="C37" s="19" t="s">
        <v>59</v>
      </c>
      <c r="D37" s="46">
        <f>(PI()/4*spg_OD^2)*MAX(0,h_datum-spg_tip_h)/1000</f>
        <v>7.8198354893434921E-2</v>
      </c>
      <c r="E37" s="102" t="s">
        <v>242</v>
      </c>
      <c r="F37" s="20"/>
      <c r="G37" s="20"/>
      <c r="H37" s="20"/>
      <c r="I37" s="20"/>
    </row>
    <row r="38" spans="1:9" x14ac:dyDescent="0.2">
      <c r="A38" s="17" t="s">
        <v>243</v>
      </c>
      <c r="B38" s="18" t="s">
        <v>244</v>
      </c>
      <c r="C38" s="19" t="s">
        <v>171</v>
      </c>
      <c r="D38" s="46">
        <f>(eff_OD+eff_ID)/2</f>
        <v>2.3812499999999996</v>
      </c>
      <c r="E38" s="38" t="s">
        <v>245</v>
      </c>
      <c r="F38" s="20"/>
      <c r="G38" s="20"/>
      <c r="H38" s="20"/>
      <c r="I38" s="20"/>
    </row>
    <row r="39" spans="1:9" x14ac:dyDescent="0.2">
      <c r="A39" s="17" t="s">
        <v>246</v>
      </c>
      <c r="B39" s="18" t="s">
        <v>247</v>
      </c>
      <c r="C39" s="19" t="s">
        <v>59</v>
      </c>
      <c r="D39" s="47">
        <f>(PI()/4*(eff_OD^2-eff_ID^2))*eff_sub_L/1000</f>
        <v>1.4139810757041989E-2</v>
      </c>
      <c r="E39" s="38" t="s">
        <v>248</v>
      </c>
      <c r="F39" s="20"/>
      <c r="G39" s="20"/>
      <c r="H39" s="20"/>
      <c r="I39" s="20"/>
    </row>
    <row r="40" spans="1:9" x14ac:dyDescent="0.2">
      <c r="A40" s="17" t="s">
        <v>249</v>
      </c>
      <c r="B40" s="18" t="s">
        <v>250</v>
      </c>
      <c r="C40" s="19" t="s">
        <v>59</v>
      </c>
      <c r="D40" s="46">
        <f>elec_disp+spg_disp+eff_disp</f>
        <v>0.65086321269144065</v>
      </c>
      <c r="E40" s="102" t="s">
        <v>251</v>
      </c>
      <c r="F40" s="20"/>
      <c r="G40" s="20"/>
      <c r="H40" s="20"/>
      <c r="I40" s="20"/>
    </row>
    <row r="41" spans="1:9" x14ac:dyDescent="0.2">
      <c r="A41" s="120" t="s">
        <v>252</v>
      </c>
      <c r="B41" s="18" t="s">
        <v>253</v>
      </c>
      <c r="C41" s="19" t="s">
        <v>59</v>
      </c>
      <c r="D41" s="48">
        <f>IF(media_volume&gt;0,media_volume,ROUND(V_max-disp_tot,0))</f>
        <v>15</v>
      </c>
      <c r="E41" s="102" t="s">
        <v>254</v>
      </c>
      <c r="F41" s="20"/>
      <c r="G41" s="20"/>
      <c r="H41" s="20"/>
      <c r="I41" s="20"/>
    </row>
    <row r="42" spans="1:9" x14ac:dyDescent="0.2">
      <c r="A42" s="120" t="s">
        <v>255</v>
      </c>
      <c r="B42" s="18" t="s">
        <v>256</v>
      </c>
      <c r="C42" s="19" t="s">
        <v>171</v>
      </c>
      <c r="D42" s="43">
        <f>(V_charge+disp_tot)*1000/A_x</f>
        <v>31.18130412738023</v>
      </c>
      <c r="E42" s="102" t="s">
        <v>257</v>
      </c>
      <c r="F42" s="20"/>
      <c r="G42" s="20"/>
      <c r="H42" s="20"/>
      <c r="I42" s="20"/>
    </row>
    <row r="43" spans="1:9" x14ac:dyDescent="0.2">
      <c r="A43" s="120" t="s">
        <v>258</v>
      </c>
      <c r="B43" s="18" t="s">
        <v>259</v>
      </c>
      <c r="C43" s="19" t="s">
        <v>171</v>
      </c>
      <c r="D43" s="43">
        <f>MAX(0,h_actual-spg_tip_h)</f>
        <v>9.1813041273802298</v>
      </c>
      <c r="E43" s="102" t="s">
        <v>260</v>
      </c>
      <c r="F43" s="20"/>
      <c r="G43" s="20"/>
      <c r="H43" s="20"/>
      <c r="I43" s="20"/>
    </row>
    <row r="44" spans="1:9" x14ac:dyDescent="0.2">
      <c r="A44" s="120" t="s">
        <v>261</v>
      </c>
      <c r="B44" s="18" t="s">
        <v>262</v>
      </c>
      <c r="C44" s="19" t="s">
        <v>197</v>
      </c>
      <c r="D44" s="44">
        <f>A_x-(rod_n*(PI()/4*rod_d^2)+(PI()/4*spg_OD^2)+(PI()/4*eff_OD^2))</f>
        <v>429.5477251405668</v>
      </c>
      <c r="E44" s="38" t="s">
        <v>263</v>
      </c>
      <c r="F44" s="20"/>
      <c r="G44" s="20"/>
      <c r="H44" s="20"/>
      <c r="I44" s="20"/>
    </row>
    <row r="45" spans="1:9" x14ac:dyDescent="0.2">
      <c r="A45" s="17" t="s">
        <v>264</v>
      </c>
      <c r="B45" s="18" t="s">
        <v>265</v>
      </c>
      <c r="C45" s="19" t="s">
        <v>171</v>
      </c>
      <c r="D45" s="46">
        <f>eff_OD</f>
        <v>3.1749999999999998</v>
      </c>
      <c r="E45" s="38" t="s">
        <v>266</v>
      </c>
      <c r="F45" s="20"/>
      <c r="G45" s="20"/>
      <c r="H45" s="20"/>
      <c r="I45" s="20"/>
    </row>
    <row r="46" spans="1:9" x14ac:dyDescent="0.2">
      <c r="A46" s="17" t="s">
        <v>267</v>
      </c>
      <c r="B46" s="18" t="s">
        <v>268</v>
      </c>
      <c r="C46" s="19" t="s">
        <v>160</v>
      </c>
      <c r="D46" s="112">
        <v>3</v>
      </c>
      <c r="E46" s="38" t="s">
        <v>269</v>
      </c>
      <c r="F46" s="20"/>
      <c r="G46" s="20"/>
      <c r="H46" s="20"/>
      <c r="I46" s="20"/>
    </row>
    <row r="47" spans="1:9" x14ac:dyDescent="0.2">
      <c r="A47" s="17" t="s">
        <v>270</v>
      </c>
      <c r="B47" s="18" t="s">
        <v>271</v>
      </c>
      <c r="C47" s="19" t="s">
        <v>171</v>
      </c>
      <c r="D47" s="113">
        <v>5</v>
      </c>
      <c r="E47" s="42" t="s">
        <v>272</v>
      </c>
      <c r="F47" s="20"/>
      <c r="G47" s="20"/>
      <c r="H47" s="20"/>
      <c r="I47" s="20"/>
    </row>
    <row r="48" spans="1:9" x14ac:dyDescent="0.2">
      <c r="A48" s="17" t="s">
        <v>273</v>
      </c>
      <c r="B48" s="18" t="s">
        <v>274</v>
      </c>
      <c r="C48" s="19" t="s">
        <v>59</v>
      </c>
      <c r="D48" s="46">
        <f>(rod_n*(PI()/4*rod_d^2)*elec_ins+(PI()/4*spg_OD^2)*spg_len+(PI()/4*(eff_OD^2-eff_ID^2))*(D_int-h_actual)+xtube_n*(PI()/4*xtube_OD^2)*xtube_pro)/1000</f>
        <v>2.3875715440828644</v>
      </c>
      <c r="E48" s="38" t="s">
        <v>275</v>
      </c>
      <c r="F48" s="20"/>
      <c r="G48" s="20"/>
      <c r="H48" s="20"/>
      <c r="I48" s="20"/>
    </row>
    <row r="49" spans="1:9" x14ac:dyDescent="0.2">
      <c r="A49" s="120" t="s">
        <v>276</v>
      </c>
      <c r="B49" s="18" t="s">
        <v>277</v>
      </c>
      <c r="C49" s="19" t="s">
        <v>59</v>
      </c>
      <c r="D49" s="43">
        <f>V_vial_total-V_charge-V_inserts</f>
        <v>2.6124284559171356</v>
      </c>
      <c r="E49" s="38" t="s">
        <v>278</v>
      </c>
      <c r="F49" s="20"/>
      <c r="G49" s="20"/>
      <c r="H49" s="20"/>
      <c r="I49" s="20"/>
    </row>
    <row r="50" spans="1:9" x14ac:dyDescent="0.2">
      <c r="A50" s="17" t="s">
        <v>279</v>
      </c>
      <c r="B50" s="18" t="s">
        <v>280</v>
      </c>
      <c r="C50" s="19" t="s">
        <v>171</v>
      </c>
      <c r="D50" s="49">
        <f>D_int-spg_tip_h</f>
        <v>33</v>
      </c>
      <c r="E50" s="102" t="s">
        <v>281</v>
      </c>
      <c r="F50" s="20"/>
      <c r="G50" s="20"/>
      <c r="H50" s="20"/>
      <c r="I50" s="20"/>
    </row>
    <row r="51" spans="1:9" x14ac:dyDescent="0.2">
      <c r="A51" s="20" t="s">
        <v>282</v>
      </c>
      <c r="B51" s="20" t="s">
        <v>283</v>
      </c>
      <c r="C51" s="20"/>
      <c r="D51" s="24" t="str">
        <f>VLOOKUP(reactor_sel,$A$59:$B$80,2,FALSE)</f>
        <v>MEP0.3</v>
      </c>
      <c r="E51" s="20"/>
      <c r="F51" s="20"/>
      <c r="G51" s="20"/>
      <c r="H51" s="20"/>
      <c r="I51" s="20"/>
    </row>
    <row r="52" spans="1:9" x14ac:dyDescent="0.2">
      <c r="A52" s="20" t="s">
        <v>284</v>
      </c>
      <c r="B52" s="20" t="s">
        <v>285</v>
      </c>
      <c r="C52" s="20"/>
      <c r="D52" s="24">
        <f>VLOOKUP(rx_ver,$A$84:$I$87,8,FALSE)</f>
        <v>12</v>
      </c>
      <c r="E52" s="20"/>
      <c r="F52" s="20"/>
      <c r="G52" s="20"/>
      <c r="H52" s="20"/>
      <c r="I52" s="20"/>
    </row>
    <row r="53" spans="1:9" x14ac:dyDescent="0.2">
      <c r="A53" s="108" t="s">
        <v>286</v>
      </c>
      <c r="B53" s="20"/>
      <c r="C53" s="20"/>
      <c r="D53" s="20"/>
      <c r="E53" s="20"/>
      <c r="F53" s="20"/>
      <c r="G53" s="20"/>
      <c r="H53" s="20"/>
      <c r="I53" s="20"/>
    </row>
    <row r="54" spans="1:9" x14ac:dyDescent="0.2">
      <c r="A54" s="20" t="s">
        <v>287</v>
      </c>
      <c r="B54" s="20" t="s">
        <v>288</v>
      </c>
      <c r="C54" s="20"/>
      <c r="D54" s="24" t="str">
        <f>IF(V_charge&gt;V_max,"MEDIA &gt; MAX WORKING VOLUME","OK")</f>
        <v>OK</v>
      </c>
      <c r="E54" s="20"/>
      <c r="F54" s="20"/>
      <c r="G54" s="20"/>
      <c r="H54" s="20"/>
      <c r="I54" s="20"/>
    </row>
    <row r="55" spans="1:9" x14ac:dyDescent="0.2">
      <c r="A55" s="20" t="s">
        <v>289</v>
      </c>
      <c r="B55" s="20" t="s">
        <v>290</v>
      </c>
      <c r="C55" s="20"/>
      <c r="D55" s="24" t="str">
        <f>IF(h_actual&gt;D_int,"LIQUID OVER USABLE DEPTH","OK")</f>
        <v>OK</v>
      </c>
      <c r="E55" s="20"/>
      <c r="F55" s="20"/>
      <c r="G55" s="20"/>
      <c r="H55" s="20"/>
      <c r="I55" s="20"/>
    </row>
    <row r="56" spans="1:9" x14ac:dyDescent="0.2">
      <c r="A56" s="20"/>
      <c r="B56" s="20"/>
      <c r="C56" s="20"/>
      <c r="D56" s="20"/>
      <c r="E56" s="20"/>
      <c r="F56" s="20"/>
      <c r="G56" s="20"/>
      <c r="H56" s="20"/>
      <c r="I56" s="20"/>
    </row>
    <row r="57" spans="1:9" x14ac:dyDescent="0.2">
      <c r="A57" s="110" t="s">
        <v>291</v>
      </c>
      <c r="B57" s="20"/>
      <c r="C57" s="20"/>
      <c r="D57" s="20"/>
      <c r="E57" s="20"/>
      <c r="F57" s="20"/>
      <c r="G57" s="20"/>
      <c r="H57" s="20"/>
      <c r="I57" s="20"/>
    </row>
    <row r="58" spans="1:9" x14ac:dyDescent="0.2">
      <c r="A58" s="110" t="s">
        <v>1</v>
      </c>
      <c r="B58" s="110" t="s">
        <v>292</v>
      </c>
      <c r="C58" s="20"/>
      <c r="D58" s="20"/>
      <c r="E58" s="20"/>
      <c r="F58" s="20"/>
      <c r="G58" s="20"/>
      <c r="H58" s="20"/>
      <c r="I58" s="20"/>
    </row>
    <row r="59" spans="1:9" x14ac:dyDescent="0.2">
      <c r="A59" s="20" t="s">
        <v>293</v>
      </c>
      <c r="B59" s="20" t="s">
        <v>164</v>
      </c>
      <c r="C59" s="20"/>
      <c r="D59" s="20"/>
      <c r="E59" s="20"/>
      <c r="F59" s="20"/>
      <c r="G59" s="20"/>
      <c r="H59" s="20"/>
      <c r="I59" s="20"/>
    </row>
    <row r="60" spans="1:9" x14ac:dyDescent="0.2">
      <c r="A60" s="20" t="s">
        <v>294</v>
      </c>
      <c r="B60" s="20" t="s">
        <v>164</v>
      </c>
      <c r="C60" s="20"/>
      <c r="D60" s="20"/>
      <c r="E60" s="20"/>
      <c r="F60" s="20"/>
      <c r="G60" s="20"/>
      <c r="H60" s="20"/>
      <c r="I60" s="20"/>
    </row>
    <row r="61" spans="1:9" x14ac:dyDescent="0.2">
      <c r="A61" s="20" t="s">
        <v>295</v>
      </c>
      <c r="B61" s="20" t="s">
        <v>164</v>
      </c>
      <c r="C61" s="20"/>
      <c r="D61" s="20"/>
      <c r="E61" s="20"/>
      <c r="F61" s="20"/>
      <c r="G61" s="20"/>
      <c r="H61" s="20"/>
      <c r="I61" s="20"/>
    </row>
    <row r="62" spans="1:9" x14ac:dyDescent="0.2">
      <c r="A62" s="20" t="s">
        <v>296</v>
      </c>
      <c r="B62" s="20" t="s">
        <v>164</v>
      </c>
      <c r="C62" s="20"/>
      <c r="D62" s="20"/>
      <c r="E62" s="20"/>
      <c r="F62" s="20"/>
      <c r="G62" s="20"/>
      <c r="H62" s="20"/>
      <c r="I62" s="20"/>
    </row>
    <row r="63" spans="1:9" x14ac:dyDescent="0.2">
      <c r="A63" s="20" t="s">
        <v>297</v>
      </c>
      <c r="B63" s="20" t="s">
        <v>164</v>
      </c>
      <c r="C63" s="20"/>
      <c r="D63" s="20"/>
      <c r="E63" s="20"/>
      <c r="F63" s="20"/>
      <c r="G63" s="20"/>
      <c r="H63" s="20"/>
      <c r="I63" s="20"/>
    </row>
    <row r="64" spans="1:9" x14ac:dyDescent="0.2">
      <c r="A64" s="20" t="s">
        <v>298</v>
      </c>
      <c r="B64" s="20" t="s">
        <v>164</v>
      </c>
      <c r="C64" s="20"/>
      <c r="D64" s="20"/>
      <c r="E64" s="20"/>
      <c r="F64" s="20"/>
      <c r="G64" s="20"/>
      <c r="H64" s="20"/>
      <c r="I64" s="20"/>
    </row>
    <row r="65" spans="1:9" x14ac:dyDescent="0.2">
      <c r="A65" s="20" t="s">
        <v>299</v>
      </c>
      <c r="B65" s="20" t="s">
        <v>164</v>
      </c>
      <c r="C65" s="20"/>
      <c r="D65" s="20"/>
      <c r="E65" s="20"/>
      <c r="F65" s="20"/>
      <c r="G65" s="20"/>
      <c r="H65" s="20"/>
      <c r="I65" s="20"/>
    </row>
    <row r="66" spans="1:9" x14ac:dyDescent="0.2">
      <c r="A66" s="20" t="s">
        <v>300</v>
      </c>
      <c r="B66" s="20" t="s">
        <v>164</v>
      </c>
      <c r="C66" s="20"/>
      <c r="D66" s="20"/>
      <c r="E66" s="20"/>
      <c r="F66" s="20"/>
      <c r="G66" s="20"/>
      <c r="H66" s="20"/>
      <c r="I66" s="20"/>
    </row>
    <row r="67" spans="1:9" x14ac:dyDescent="0.2">
      <c r="A67" s="20" t="s">
        <v>301</v>
      </c>
      <c r="B67" s="20" t="s">
        <v>164</v>
      </c>
      <c r="C67" s="20"/>
      <c r="D67" s="20"/>
      <c r="E67" s="20"/>
      <c r="F67" s="20"/>
      <c r="G67" s="20"/>
      <c r="H67" s="20"/>
      <c r="I67" s="20"/>
    </row>
    <row r="68" spans="1:9" x14ac:dyDescent="0.2">
      <c r="A68" s="20" t="s">
        <v>16</v>
      </c>
      <c r="B68" s="20" t="s">
        <v>302</v>
      </c>
      <c r="C68" s="20"/>
      <c r="D68" s="20"/>
      <c r="E68" s="20"/>
      <c r="F68" s="20"/>
      <c r="G68" s="20"/>
      <c r="H68" s="20"/>
      <c r="I68" s="20"/>
    </row>
    <row r="69" spans="1:9" x14ac:dyDescent="0.2">
      <c r="A69" s="20" t="s">
        <v>303</v>
      </c>
      <c r="B69" s="20" t="s">
        <v>302</v>
      </c>
      <c r="C69" s="20"/>
      <c r="D69" s="20"/>
      <c r="E69" s="20"/>
      <c r="F69" s="20"/>
      <c r="G69" s="20"/>
      <c r="H69" s="20"/>
      <c r="I69" s="20"/>
    </row>
    <row r="70" spans="1:9" x14ac:dyDescent="0.2">
      <c r="A70" s="20" t="s">
        <v>304</v>
      </c>
      <c r="B70" s="20" t="s">
        <v>168</v>
      </c>
      <c r="C70" s="20"/>
      <c r="D70" s="20"/>
      <c r="E70" s="20"/>
      <c r="F70" s="20"/>
      <c r="G70" s="20"/>
      <c r="H70" s="20"/>
      <c r="I70" s="20"/>
    </row>
    <row r="71" spans="1:9" x14ac:dyDescent="0.2">
      <c r="A71" s="20" t="s">
        <v>305</v>
      </c>
      <c r="B71" s="20" t="s">
        <v>168</v>
      </c>
      <c r="C71" s="20"/>
      <c r="D71" s="20"/>
      <c r="E71" s="20"/>
      <c r="F71" s="20"/>
      <c r="G71" s="20"/>
      <c r="H71" s="20"/>
      <c r="I71" s="20"/>
    </row>
    <row r="72" spans="1:9" x14ac:dyDescent="0.2">
      <c r="A72" s="20" t="s">
        <v>306</v>
      </c>
      <c r="B72" s="20" t="s">
        <v>168</v>
      </c>
      <c r="C72" s="20"/>
      <c r="D72" s="20"/>
      <c r="E72" s="20"/>
      <c r="F72" s="20"/>
      <c r="G72" s="20"/>
      <c r="H72" s="20"/>
      <c r="I72" s="20"/>
    </row>
    <row r="73" spans="1:9" x14ac:dyDescent="0.2">
      <c r="A73" s="20" t="s">
        <v>307</v>
      </c>
      <c r="B73" s="20" t="s">
        <v>168</v>
      </c>
      <c r="C73" s="20"/>
      <c r="D73" s="20"/>
      <c r="E73" s="20"/>
      <c r="F73" s="20"/>
      <c r="G73" s="20"/>
      <c r="H73" s="20"/>
      <c r="I73" s="20"/>
    </row>
    <row r="74" spans="1:9" x14ac:dyDescent="0.2">
      <c r="A74" s="20" t="s">
        <v>308</v>
      </c>
      <c r="B74" s="20" t="s">
        <v>168</v>
      </c>
      <c r="C74" s="20"/>
      <c r="D74" s="20"/>
      <c r="E74" s="20"/>
      <c r="F74" s="20"/>
      <c r="G74" s="20"/>
      <c r="H74" s="20"/>
      <c r="I74" s="20"/>
    </row>
    <row r="75" spans="1:9" x14ac:dyDescent="0.2">
      <c r="A75" s="20" t="s">
        <v>309</v>
      </c>
      <c r="B75" s="20" t="s">
        <v>168</v>
      </c>
      <c r="C75" s="20"/>
      <c r="D75" s="20"/>
      <c r="E75" s="20"/>
      <c r="F75" s="20"/>
      <c r="G75" s="20"/>
      <c r="H75" s="20"/>
      <c r="I75" s="20"/>
    </row>
    <row r="76" spans="1:9" x14ac:dyDescent="0.2">
      <c r="A76" s="20" t="s">
        <v>310</v>
      </c>
      <c r="B76" s="20" t="s">
        <v>168</v>
      </c>
      <c r="C76" s="20"/>
      <c r="D76" s="20"/>
      <c r="E76" s="20"/>
      <c r="F76" s="20"/>
      <c r="G76" s="20"/>
      <c r="H76" s="20"/>
      <c r="I76" s="20"/>
    </row>
    <row r="77" spans="1:9" x14ac:dyDescent="0.2">
      <c r="A77" s="20" t="s">
        <v>311</v>
      </c>
      <c r="B77" s="20" t="s">
        <v>168</v>
      </c>
      <c r="C77" s="20"/>
      <c r="D77" s="20"/>
      <c r="E77" s="20"/>
      <c r="F77" s="20"/>
      <c r="G77" s="20"/>
      <c r="H77" s="20"/>
      <c r="I77" s="20"/>
    </row>
    <row r="78" spans="1:9" x14ac:dyDescent="0.2">
      <c r="A78" s="20" t="s">
        <v>312</v>
      </c>
      <c r="B78" s="20" t="s">
        <v>168</v>
      </c>
      <c r="C78" s="20"/>
      <c r="D78" s="20"/>
      <c r="E78" s="20"/>
      <c r="F78" s="20"/>
      <c r="G78" s="20"/>
      <c r="H78" s="20"/>
      <c r="I78" s="20"/>
    </row>
    <row r="79" spans="1:9" x14ac:dyDescent="0.2">
      <c r="A79" s="20" t="s">
        <v>313</v>
      </c>
      <c r="B79" s="20" t="s">
        <v>314</v>
      </c>
      <c r="C79" s="20"/>
      <c r="D79" s="20"/>
      <c r="E79" s="20"/>
      <c r="F79" s="20"/>
      <c r="G79" s="20"/>
      <c r="H79" s="20"/>
      <c r="I79" s="20"/>
    </row>
    <row r="80" spans="1:9" x14ac:dyDescent="0.2">
      <c r="A80" s="20" t="s">
        <v>315</v>
      </c>
      <c r="B80" s="20" t="s">
        <v>168</v>
      </c>
      <c r="C80" s="20"/>
      <c r="D80" s="20"/>
      <c r="E80" s="20"/>
      <c r="F80" s="20"/>
      <c r="G80" s="20"/>
      <c r="H80" s="20"/>
      <c r="I80" s="20"/>
    </row>
    <row r="81" spans="1:9" x14ac:dyDescent="0.2">
      <c r="A81" s="20"/>
      <c r="B81" s="20"/>
      <c r="C81" s="20"/>
      <c r="D81" s="20"/>
      <c r="E81" s="20"/>
      <c r="F81" s="20"/>
      <c r="G81" s="20"/>
      <c r="H81" s="20"/>
      <c r="I81" s="20"/>
    </row>
    <row r="82" spans="1:9" x14ac:dyDescent="0.2">
      <c r="A82" s="110" t="s">
        <v>316</v>
      </c>
      <c r="B82" s="20"/>
      <c r="C82" s="20"/>
      <c r="D82" s="20"/>
      <c r="E82" s="20"/>
      <c r="F82" s="20"/>
      <c r="G82" s="20"/>
      <c r="H82" s="20"/>
      <c r="I82" s="20"/>
    </row>
    <row r="83" spans="1:9" x14ac:dyDescent="0.2">
      <c r="A83" s="110" t="s">
        <v>292</v>
      </c>
      <c r="B83" s="110" t="s">
        <v>317</v>
      </c>
      <c r="C83" s="110" t="s">
        <v>318</v>
      </c>
      <c r="D83" s="110" t="s">
        <v>319</v>
      </c>
      <c r="E83" s="110" t="s">
        <v>320</v>
      </c>
      <c r="F83" s="110" t="s">
        <v>321</v>
      </c>
      <c r="G83" s="110" t="s">
        <v>322</v>
      </c>
      <c r="H83" s="110" t="s">
        <v>323</v>
      </c>
      <c r="I83" s="110" t="s">
        <v>324</v>
      </c>
    </row>
    <row r="84" spans="1:9" x14ac:dyDescent="0.2">
      <c r="A84" s="20" t="s">
        <v>164</v>
      </c>
      <c r="B84" s="20" t="s">
        <v>325</v>
      </c>
      <c r="C84" s="20">
        <v>20</v>
      </c>
      <c r="D84" s="20">
        <v>55</v>
      </c>
      <c r="E84" s="20">
        <v>16</v>
      </c>
      <c r="F84" s="20">
        <v>20</v>
      </c>
      <c r="G84" s="20">
        <v>27.48</v>
      </c>
      <c r="H84" s="20">
        <v>12</v>
      </c>
      <c r="I84" s="20">
        <v>3</v>
      </c>
    </row>
    <row r="85" spans="1:9" x14ac:dyDescent="0.2">
      <c r="A85" s="20" t="s">
        <v>302</v>
      </c>
      <c r="B85" s="20" t="s">
        <v>325</v>
      </c>
      <c r="C85" s="20">
        <v>20</v>
      </c>
      <c r="D85" s="20">
        <v>55</v>
      </c>
      <c r="E85" s="20">
        <v>16</v>
      </c>
      <c r="F85" s="20">
        <v>20</v>
      </c>
      <c r="G85" s="20">
        <v>27.48</v>
      </c>
      <c r="H85" s="20">
        <v>12</v>
      </c>
      <c r="I85" s="20">
        <v>3</v>
      </c>
    </row>
    <row r="86" spans="1:9" x14ac:dyDescent="0.2">
      <c r="A86" s="20" t="s">
        <v>168</v>
      </c>
      <c r="B86" s="20" t="s">
        <v>326</v>
      </c>
      <c r="C86" s="20">
        <v>40</v>
      </c>
      <c r="D86" s="20">
        <v>95</v>
      </c>
      <c r="E86" s="20">
        <v>30</v>
      </c>
      <c r="F86" s="20">
        <v>42</v>
      </c>
      <c r="G86" s="20">
        <v>27.48</v>
      </c>
      <c r="H86" s="20">
        <v>15</v>
      </c>
      <c r="I86" s="20">
        <v>6</v>
      </c>
    </row>
    <row r="87" spans="1:9" x14ac:dyDescent="0.2">
      <c r="A87" s="20" t="s">
        <v>314</v>
      </c>
      <c r="B87" s="20" t="s">
        <v>326</v>
      </c>
      <c r="C87" s="20">
        <v>40</v>
      </c>
      <c r="D87" s="20">
        <v>95</v>
      </c>
      <c r="E87" s="20">
        <v>30</v>
      </c>
      <c r="F87" s="20">
        <v>42</v>
      </c>
      <c r="G87" s="20">
        <v>27.48</v>
      </c>
      <c r="H87" s="20">
        <v>15</v>
      </c>
      <c r="I87" s="20">
        <v>6</v>
      </c>
    </row>
    <row r="88" spans="1:9" x14ac:dyDescent="0.2">
      <c r="A88" s="20"/>
      <c r="B88" s="20"/>
      <c r="C88" s="20"/>
      <c r="D88" s="20"/>
      <c r="E88" s="20"/>
      <c r="F88" s="20"/>
      <c r="G88" s="20"/>
      <c r="H88" s="20"/>
      <c r="I88" s="20"/>
    </row>
    <row r="89" spans="1:9" x14ac:dyDescent="0.2">
      <c r="A89" s="110" t="s">
        <v>327</v>
      </c>
      <c r="B89" s="20"/>
      <c r="C89" s="20"/>
      <c r="D89" s="20"/>
      <c r="E89" s="20"/>
      <c r="F89" s="20"/>
      <c r="G89" s="20"/>
      <c r="H89" s="20"/>
      <c r="I89" s="20"/>
    </row>
    <row r="90" spans="1:9" x14ac:dyDescent="0.2">
      <c r="A90" s="20" t="s">
        <v>328</v>
      </c>
      <c r="B90" s="20" t="s">
        <v>329</v>
      </c>
      <c r="C90" s="20"/>
      <c r="D90" s="24" t="str">
        <f>IF(ABS(A_x*D_int/1000-V_vial_total)&gt;3,"VIAL GEOMETRY INCONSISTENT - measure true fill volume &amp; bore depth","OK")</f>
        <v>VIAL GEOMETRY INCONSISTENT - measure true fill volume &amp; bore depth</v>
      </c>
      <c r="E90" s="20"/>
      <c r="F90" s="108" t="s">
        <v>330</v>
      </c>
      <c r="G90" s="20"/>
      <c r="H90" s="20"/>
      <c r="I90" s="20"/>
    </row>
  </sheetData>
  <conditionalFormatting sqref="D86:D87">
    <cfRule type="expression" dxfId="12" priority="1">
      <formula>OR(ISNUMBER(SEARCH("RISK",D86)),ISNUMBER(SEARCH("OVER",D86)),ISNUMBER(SEARCH("BELOW",D86)),ISNUMBER(SEARCH("EXCEED",D86)),ISNUMBER(SEARCH("NO CALIB",D86)),ISNUMBER(SEARCH("NEAREST",D86)),ISNUMBER(SEARCH("EXPLOSIVE",D86)),ISNUMBER(SEARCH("LOW",D86)),ISNUMBER(SEARCH("TIGHT",D86)),ISNUMBER(SEARCH("insufficient",D86)))</formula>
    </cfRule>
    <cfRule type="expression" dxfId="11" priority="2">
      <formula>OR(ISNUMBER(SEARCH("OK",D86)),ISNUMBER(SEARCH("calibrated",D86)),ISNUMBER(SEARCH("under optimum",D86)),ISNUMBER(SEARCH("above min",D86)),ISNUMBER(SEARCH("exact",D86)))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/>
  </sheetPr>
  <dimension ref="A1:I39"/>
  <sheetViews>
    <sheetView topLeftCell="A19" zoomScale="181" workbookViewId="0">
      <selection activeCell="G34" sqref="G34"/>
    </sheetView>
  </sheetViews>
  <sheetFormatPr baseColWidth="10" defaultColWidth="8.83203125" defaultRowHeight="15" x14ac:dyDescent="0.2"/>
  <cols>
    <col min="1" max="1" width="30" customWidth="1"/>
    <col min="2" max="2" width="15" customWidth="1"/>
    <col min="4" max="4" width="11.6640625" bestFit="1" customWidth="1"/>
    <col min="5" max="5" width="60" customWidth="1"/>
  </cols>
  <sheetData>
    <row r="1" spans="1:9" ht="16" customHeight="1" x14ac:dyDescent="0.2">
      <c r="A1" s="111" t="s">
        <v>331</v>
      </c>
      <c r="B1" s="20"/>
      <c r="C1" s="20"/>
      <c r="D1" s="20"/>
      <c r="E1" s="20"/>
      <c r="F1" s="20"/>
      <c r="G1" s="20"/>
      <c r="H1" s="20"/>
      <c r="I1" s="20"/>
    </row>
    <row r="2" spans="1:9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156</v>
      </c>
      <c r="F2" s="20"/>
      <c r="G2" s="20"/>
      <c r="H2" s="20"/>
      <c r="I2" s="20"/>
    </row>
    <row r="3" spans="1:9" x14ac:dyDescent="0.2">
      <c r="A3" s="17"/>
      <c r="B3" s="18"/>
      <c r="C3" s="19"/>
      <c r="D3" s="50"/>
      <c r="E3" s="38"/>
      <c r="F3" s="20"/>
      <c r="G3" s="20"/>
      <c r="H3" s="20"/>
      <c r="I3" s="20"/>
    </row>
    <row r="4" spans="1:9" ht="16" customHeight="1" x14ac:dyDescent="0.2">
      <c r="A4" s="111" t="s">
        <v>157</v>
      </c>
      <c r="B4" s="18"/>
      <c r="C4" s="19"/>
      <c r="D4" s="51"/>
      <c r="E4" s="52"/>
      <c r="F4" s="20"/>
      <c r="G4" s="20"/>
      <c r="H4" s="20"/>
      <c r="I4" s="20"/>
    </row>
    <row r="5" spans="1:9" x14ac:dyDescent="0.2">
      <c r="A5" s="20" t="s">
        <v>332</v>
      </c>
      <c r="B5" s="20" t="s">
        <v>333</v>
      </c>
      <c r="C5" s="20" t="s">
        <v>334</v>
      </c>
      <c r="D5" s="26">
        <f>Biology!$D$18</f>
        <v>303.14999999999998</v>
      </c>
      <c r="E5" s="23" t="str">
        <f>HYPERLINK("#Biology!D18","→ Biology")</f>
        <v>→ Biology</v>
      </c>
      <c r="F5" s="20"/>
      <c r="G5" s="20"/>
      <c r="H5" s="20"/>
      <c r="I5" s="20"/>
    </row>
    <row r="6" spans="1:9" x14ac:dyDescent="0.2">
      <c r="A6" s="20" t="s">
        <v>335</v>
      </c>
      <c r="B6" s="20" t="s">
        <v>336</v>
      </c>
      <c r="C6" s="20" t="s">
        <v>64</v>
      </c>
      <c r="D6" s="26">
        <f>Biology!$D$19</f>
        <v>101325</v>
      </c>
      <c r="E6" s="23" t="str">
        <f>HYPERLINK("#Biology!D19","→ Biology")</f>
        <v>→ Biology</v>
      </c>
      <c r="F6" s="20"/>
      <c r="G6" s="20"/>
      <c r="H6" s="20"/>
      <c r="I6" s="20"/>
    </row>
    <row r="7" spans="1:9" x14ac:dyDescent="0.2">
      <c r="A7" s="20" t="s">
        <v>337</v>
      </c>
      <c r="B7" s="20" t="s">
        <v>338</v>
      </c>
      <c r="C7" s="20" t="s">
        <v>339</v>
      </c>
      <c r="D7" s="22">
        <f>'Mass Transfer'!$D$101</f>
        <v>8.3144626180000003</v>
      </c>
      <c r="E7" s="23" t="str">
        <f>HYPERLINK("#'Mass Transfer'!D101","→ Mass Transfer")</f>
        <v>→ Mass Transfer</v>
      </c>
      <c r="F7" s="20"/>
      <c r="G7" s="20"/>
      <c r="H7" s="20"/>
      <c r="I7" s="20"/>
    </row>
    <row r="8" spans="1:9" x14ac:dyDescent="0.2">
      <c r="A8" s="20" t="s">
        <v>340</v>
      </c>
      <c r="B8" s="20" t="s">
        <v>34</v>
      </c>
      <c r="C8" s="20"/>
      <c r="D8" s="39" t="str">
        <f>Summary!$D$3</f>
        <v>Pt/Ti rod</v>
      </c>
      <c r="E8" s="23" t="str">
        <f>HYPERLINK("#Summary!D4","→ Summary")</f>
        <v>→ Summary</v>
      </c>
      <c r="F8" s="20"/>
      <c r="G8" s="20"/>
      <c r="H8" s="20"/>
      <c r="I8" s="20"/>
    </row>
    <row r="9" spans="1:9" x14ac:dyDescent="0.2">
      <c r="A9" s="17"/>
      <c r="B9" s="18"/>
      <c r="C9" s="19"/>
      <c r="D9" s="53"/>
      <c r="E9" s="102"/>
      <c r="F9" s="20"/>
      <c r="G9" s="20"/>
      <c r="H9" s="20"/>
      <c r="I9" s="20"/>
    </row>
    <row r="10" spans="1:9" x14ac:dyDescent="0.2">
      <c r="A10" s="17" t="s">
        <v>341</v>
      </c>
      <c r="B10" s="18" t="s">
        <v>342</v>
      </c>
      <c r="C10" s="19" t="s">
        <v>46</v>
      </c>
      <c r="D10" s="54">
        <f>Summary!$D$6</f>
        <v>3</v>
      </c>
      <c r="E10" s="38" t="s">
        <v>343</v>
      </c>
      <c r="F10" s="20"/>
      <c r="G10" s="20"/>
      <c r="H10" s="20"/>
      <c r="I10" s="20"/>
    </row>
    <row r="11" spans="1:9" ht="36" customHeight="1" x14ac:dyDescent="0.2">
      <c r="A11" s="17" t="s">
        <v>344</v>
      </c>
      <c r="B11" s="18" t="s">
        <v>345</v>
      </c>
      <c r="C11" s="19" t="s">
        <v>346</v>
      </c>
      <c r="D11" s="51">
        <v>1.03</v>
      </c>
      <c r="E11" s="116" t="s">
        <v>347</v>
      </c>
      <c r="F11" s="20"/>
      <c r="G11" s="20"/>
      <c r="H11" s="20"/>
      <c r="I11" s="20"/>
    </row>
    <row r="12" spans="1:9" x14ac:dyDescent="0.2">
      <c r="A12" s="17" t="s">
        <v>348</v>
      </c>
      <c r="B12" s="18" t="s">
        <v>349</v>
      </c>
      <c r="C12" s="19" t="s">
        <v>350</v>
      </c>
      <c r="D12" s="55">
        <v>2.6</v>
      </c>
      <c r="E12" s="116" t="s">
        <v>351</v>
      </c>
      <c r="F12" s="20"/>
      <c r="G12" s="20"/>
      <c r="H12" s="20"/>
      <c r="I12" s="20"/>
    </row>
    <row r="13" spans="1:9" x14ac:dyDescent="0.2">
      <c r="A13" s="17" t="s">
        <v>352</v>
      </c>
      <c r="B13" s="18" t="s">
        <v>353</v>
      </c>
      <c r="C13" s="19" t="s">
        <v>46</v>
      </c>
      <c r="D13" s="56">
        <v>3</v>
      </c>
      <c r="E13" s="52" t="s">
        <v>354</v>
      </c>
      <c r="F13" s="20"/>
      <c r="G13" s="20"/>
      <c r="H13" s="20"/>
      <c r="I13" s="20"/>
    </row>
    <row r="14" spans="1:9" x14ac:dyDescent="0.2">
      <c r="A14" s="17" t="s">
        <v>355</v>
      </c>
      <c r="B14" s="18" t="s">
        <v>356</v>
      </c>
      <c r="C14" s="19" t="s">
        <v>46</v>
      </c>
      <c r="D14" s="56">
        <v>25</v>
      </c>
      <c r="E14" s="52" t="s">
        <v>357</v>
      </c>
      <c r="F14" s="20"/>
      <c r="G14" s="20"/>
      <c r="H14" s="20"/>
      <c r="I14" s="20"/>
    </row>
    <row r="15" spans="1:9" x14ac:dyDescent="0.2">
      <c r="A15" s="17" t="s">
        <v>358</v>
      </c>
      <c r="B15" s="18" t="s">
        <v>359</v>
      </c>
      <c r="C15" s="19" t="s">
        <v>360</v>
      </c>
      <c r="D15" s="57">
        <v>96485.332120000006</v>
      </c>
      <c r="E15" s="103" t="s">
        <v>361</v>
      </c>
      <c r="F15" s="20"/>
      <c r="G15" s="20"/>
      <c r="H15" s="20"/>
      <c r="I15" s="20"/>
    </row>
    <row r="16" spans="1:9" x14ac:dyDescent="0.2">
      <c r="A16" s="17" t="s">
        <v>362</v>
      </c>
      <c r="B16" s="18" t="s">
        <v>363</v>
      </c>
      <c r="C16" s="19" t="s">
        <v>160</v>
      </c>
      <c r="D16" s="53">
        <v>2</v>
      </c>
      <c r="E16" s="102" t="s">
        <v>364</v>
      </c>
      <c r="F16" s="20"/>
      <c r="G16" s="20"/>
      <c r="H16" s="20"/>
      <c r="I16" s="20"/>
    </row>
    <row r="17" spans="1:9" x14ac:dyDescent="0.2">
      <c r="A17" s="17" t="s">
        <v>365</v>
      </c>
      <c r="B17" s="18" t="s">
        <v>366</v>
      </c>
      <c r="C17" s="19" t="s">
        <v>160</v>
      </c>
      <c r="D17" s="53">
        <v>4</v>
      </c>
      <c r="E17" s="102" t="s">
        <v>367</v>
      </c>
      <c r="F17" s="20"/>
      <c r="G17" s="20"/>
      <c r="H17" s="20"/>
      <c r="I17" s="20"/>
    </row>
    <row r="18" spans="1:9" ht="24" customHeight="1" x14ac:dyDescent="0.2">
      <c r="A18" s="17" t="s">
        <v>368</v>
      </c>
      <c r="B18" s="18" t="s">
        <v>369</v>
      </c>
      <c r="C18" s="19" t="s">
        <v>160</v>
      </c>
      <c r="D18" s="115">
        <v>1</v>
      </c>
      <c r="E18" s="58" t="s">
        <v>370</v>
      </c>
      <c r="F18" s="20"/>
      <c r="G18" s="20"/>
      <c r="H18" s="20"/>
      <c r="I18" s="20"/>
    </row>
    <row r="19" spans="1:9" ht="24" customHeight="1" x14ac:dyDescent="0.2">
      <c r="A19" s="17" t="s">
        <v>371</v>
      </c>
      <c r="B19" s="18" t="s">
        <v>372</v>
      </c>
      <c r="C19" s="19" t="s">
        <v>373</v>
      </c>
      <c r="D19" s="47">
        <f>(gerrit_slope*intensity+gerrit_int)/1000</f>
        <v>5.6899999999999997E-3</v>
      </c>
      <c r="E19" s="52" t="s">
        <v>374</v>
      </c>
      <c r="F19" s="20"/>
      <c r="G19" s="20"/>
      <c r="H19" s="20"/>
      <c r="I19" s="20"/>
    </row>
    <row r="20" spans="1:9" ht="24" customHeight="1" x14ac:dyDescent="0.2">
      <c r="A20" s="17" t="s">
        <v>375</v>
      </c>
      <c r="B20" s="18" t="s">
        <v>376</v>
      </c>
      <c r="C20" s="19" t="s">
        <v>160</v>
      </c>
      <c r="D20" s="59" t="str">
        <f>IF(AND(intensity&gt;=gerrit_min,intensity&lt;=gerrit_max),"OK","OUT")</f>
        <v>OK</v>
      </c>
      <c r="E20" s="52" t="s">
        <v>377</v>
      </c>
      <c r="F20" s="20"/>
      <c r="G20" s="20"/>
      <c r="H20" s="20"/>
      <c r="I20" s="20"/>
    </row>
    <row r="21" spans="1:9" x14ac:dyDescent="0.2">
      <c r="A21" s="17" t="s">
        <v>378</v>
      </c>
      <c r="B21" s="18" t="s">
        <v>379</v>
      </c>
      <c r="C21" s="19" t="s">
        <v>380</v>
      </c>
      <c r="D21" s="49">
        <f>I_app*etaF/(z_e_H2*F_const)*3600</f>
        <v>1.0615084982307878E-4</v>
      </c>
      <c r="E21" s="102" t="s">
        <v>381</v>
      </c>
      <c r="F21" s="20"/>
      <c r="G21" s="20"/>
      <c r="H21" s="20"/>
      <c r="I21" s="20"/>
    </row>
    <row r="22" spans="1:9" x14ac:dyDescent="0.2">
      <c r="A22" s="17" t="s">
        <v>382</v>
      </c>
      <c r="B22" s="18" t="s">
        <v>383</v>
      </c>
      <c r="C22" s="19" t="s">
        <v>380</v>
      </c>
      <c r="D22" s="49">
        <f>I_app*etaF_OER/(z_e_O2*F_const)*3600</f>
        <v>5.3075424911539388E-5</v>
      </c>
      <c r="E22" s="102" t="s">
        <v>384</v>
      </c>
      <c r="F22" s="20"/>
      <c r="G22" s="20"/>
      <c r="H22" s="20"/>
      <c r="I22" s="20"/>
    </row>
    <row r="23" spans="1:9" x14ac:dyDescent="0.2">
      <c r="A23" s="17" t="s">
        <v>385</v>
      </c>
      <c r="B23" s="18" t="s">
        <v>386</v>
      </c>
      <c r="C23" s="19" t="s">
        <v>387</v>
      </c>
      <c r="D23" s="49">
        <f>rH2_gen/60*R_gas*T_K/P_atm*1000000</f>
        <v>4.4009594822921834E-2</v>
      </c>
      <c r="E23" s="102" t="s">
        <v>388</v>
      </c>
      <c r="F23" s="20"/>
      <c r="G23" s="20"/>
      <c r="H23" s="20"/>
      <c r="I23" s="20"/>
    </row>
    <row r="24" spans="1:9" x14ac:dyDescent="0.2">
      <c r="A24" s="17" t="s">
        <v>389</v>
      </c>
      <c r="B24" s="18" t="s">
        <v>390</v>
      </c>
      <c r="C24" s="19" t="s">
        <v>387</v>
      </c>
      <c r="D24" s="49">
        <f>rO2_gen/60*R_gas*T_K/P_atm*1000000</f>
        <v>2.2004797411460917E-2</v>
      </c>
      <c r="E24" s="102" t="s">
        <v>391</v>
      </c>
      <c r="F24" s="20"/>
      <c r="G24" s="20"/>
      <c r="H24" s="20"/>
      <c r="I24" s="20"/>
    </row>
    <row r="25" spans="1:9" ht="24" customHeight="1" x14ac:dyDescent="0.2">
      <c r="A25" s="17" t="s">
        <v>392</v>
      </c>
      <c r="B25" s="18" t="s">
        <v>393</v>
      </c>
      <c r="C25" s="19" t="s">
        <v>387</v>
      </c>
      <c r="D25" s="49">
        <f>V_H2_gen+V_O2_gen</f>
        <v>6.6014392234382754E-2</v>
      </c>
      <c r="E25" s="102" t="s">
        <v>394</v>
      </c>
      <c r="F25" s="20"/>
      <c r="G25" s="20"/>
      <c r="H25" s="20"/>
      <c r="I25" s="20"/>
    </row>
    <row r="26" spans="1:9" x14ac:dyDescent="0.2">
      <c r="A26" s="17" t="s">
        <v>395</v>
      </c>
      <c r="B26" s="18" t="s">
        <v>396</v>
      </c>
      <c r="C26" s="19" t="s">
        <v>160</v>
      </c>
      <c r="D26" s="115">
        <v>1</v>
      </c>
      <c r="E26" s="123" t="s">
        <v>397</v>
      </c>
      <c r="F26" s="20"/>
      <c r="G26" s="20"/>
      <c r="H26" s="20"/>
      <c r="I26" s="20"/>
    </row>
    <row r="27" spans="1:9" ht="24" customHeight="1" x14ac:dyDescent="0.2">
      <c r="A27" s="17" t="s">
        <v>398</v>
      </c>
      <c r="B27" s="18" t="s">
        <v>399</v>
      </c>
      <c r="C27" s="19" t="s">
        <v>160</v>
      </c>
      <c r="D27" s="41">
        <f>VLOOKUP(electrode_sel,$A$35:$I$37,9,FALSE)</f>
        <v>2</v>
      </c>
      <c r="E27" s="123" t="s">
        <v>400</v>
      </c>
      <c r="F27" s="20"/>
      <c r="G27" s="20"/>
      <c r="H27" s="20"/>
      <c r="I27" s="20"/>
    </row>
    <row r="28" spans="1:9" x14ac:dyDescent="0.2">
      <c r="A28" s="17" t="s">
        <v>401</v>
      </c>
      <c r="B28" s="18" t="s">
        <v>402</v>
      </c>
      <c r="C28" s="19" t="s">
        <v>380</v>
      </c>
      <c r="D28" s="49">
        <f>I_app*(1-etaF)/(z_e_ORR*F_const)*3600</f>
        <v>0</v>
      </c>
      <c r="E28" s="102" t="s">
        <v>403</v>
      </c>
      <c r="F28" s="20"/>
      <c r="G28" s="20"/>
      <c r="H28" s="20"/>
      <c r="I28" s="20"/>
    </row>
    <row r="29" spans="1:9" x14ac:dyDescent="0.2">
      <c r="A29" s="17" t="s">
        <v>404</v>
      </c>
      <c r="B29" s="18" t="s">
        <v>405</v>
      </c>
      <c r="C29" s="19" t="s">
        <v>380</v>
      </c>
      <c r="D29" s="49">
        <f>rO2_gen-O2_cathode_ORR</f>
        <v>5.3075424911539388E-5</v>
      </c>
      <c r="E29" s="102" t="s">
        <v>406</v>
      </c>
      <c r="F29" s="20"/>
      <c r="G29" s="20"/>
      <c r="H29" s="20"/>
      <c r="I29" s="20"/>
    </row>
    <row r="30" spans="1:9" x14ac:dyDescent="0.2">
      <c r="A30" s="108" t="s">
        <v>407</v>
      </c>
      <c r="B30" s="20"/>
      <c r="C30" s="20"/>
      <c r="D30" s="20"/>
      <c r="E30" s="20"/>
      <c r="F30" s="20"/>
      <c r="G30" s="20"/>
      <c r="H30" s="20"/>
      <c r="I30" s="20"/>
    </row>
    <row r="31" spans="1:9" x14ac:dyDescent="0.2">
      <c r="A31" s="20" t="s">
        <v>408</v>
      </c>
      <c r="B31" s="20" t="s">
        <v>409</v>
      </c>
      <c r="C31" s="20"/>
      <c r="D31" s="24" t="str">
        <f>VLOOKUP(electrode_sel,$A$35:$I$37,4,FALSE)</f>
        <v>Tube</v>
      </c>
      <c r="E31" s="20"/>
      <c r="F31" s="20"/>
      <c r="G31" s="20"/>
      <c r="H31" s="20"/>
      <c r="I31" s="20"/>
    </row>
    <row r="32" spans="1:9" x14ac:dyDescent="0.2">
      <c r="A32" s="20" t="s">
        <v>410</v>
      </c>
      <c r="B32" s="20" t="s">
        <v>411</v>
      </c>
      <c r="C32" s="20"/>
      <c r="D32" s="24">
        <f>IF(ISNUMBER(VLOOKUP(electrode_sel,$A$35:$I$37,5,FALSE)),VLOOKUP(electrode_sel,$A$35:$I$37,5,FALSE),0)</f>
        <v>0</v>
      </c>
      <c r="E32" s="108" t="s">
        <v>412</v>
      </c>
      <c r="F32" s="20"/>
      <c r="G32" s="20"/>
      <c r="H32" s="60"/>
      <c r="I32" s="20"/>
    </row>
    <row r="33" spans="1:9" x14ac:dyDescent="0.2">
      <c r="A33" s="110" t="s">
        <v>413</v>
      </c>
      <c r="B33" s="20"/>
      <c r="C33" s="20"/>
      <c r="D33" s="20"/>
      <c r="E33" s="20"/>
      <c r="F33" s="20"/>
      <c r="G33" s="20"/>
      <c r="H33" s="20"/>
      <c r="I33" s="20"/>
    </row>
    <row r="34" spans="1:9" x14ac:dyDescent="0.2">
      <c r="A34" s="110" t="s">
        <v>33</v>
      </c>
      <c r="B34" s="110" t="s">
        <v>414</v>
      </c>
      <c r="C34" s="110" t="s">
        <v>415</v>
      </c>
      <c r="D34" s="110" t="s">
        <v>416</v>
      </c>
      <c r="E34" s="110" t="s">
        <v>417</v>
      </c>
      <c r="F34" s="110" t="s">
        <v>418</v>
      </c>
      <c r="G34" s="110" t="s">
        <v>419</v>
      </c>
      <c r="H34" s="110" t="s">
        <v>369</v>
      </c>
      <c r="I34" s="110" t="s">
        <v>399</v>
      </c>
    </row>
    <row r="35" spans="1:9" x14ac:dyDescent="0.2">
      <c r="A35" s="20" t="s">
        <v>420</v>
      </c>
      <c r="B35" s="20" t="s">
        <v>421</v>
      </c>
      <c r="C35" s="20">
        <v>6</v>
      </c>
      <c r="D35" s="20" t="s">
        <v>422</v>
      </c>
      <c r="E35" s="20" t="s">
        <v>423</v>
      </c>
      <c r="F35" s="20" t="s">
        <v>424</v>
      </c>
      <c r="G35" s="20">
        <v>6</v>
      </c>
      <c r="H35" s="60" t="s">
        <v>425</v>
      </c>
      <c r="I35" s="20">
        <v>2</v>
      </c>
    </row>
    <row r="36" spans="1:9" x14ac:dyDescent="0.2">
      <c r="A36" s="20" t="s">
        <v>426</v>
      </c>
      <c r="B36" s="20" t="s">
        <v>427</v>
      </c>
      <c r="C36" s="20">
        <v>6</v>
      </c>
      <c r="D36" s="20" t="s">
        <v>422</v>
      </c>
      <c r="E36" s="20" t="s">
        <v>423</v>
      </c>
      <c r="F36" s="20" t="s">
        <v>424</v>
      </c>
      <c r="G36" s="20">
        <v>6</v>
      </c>
      <c r="H36" s="60" t="s">
        <v>425</v>
      </c>
      <c r="I36" s="20">
        <v>2</v>
      </c>
    </row>
    <row r="37" spans="1:9" x14ac:dyDescent="0.2">
      <c r="A37" s="20" t="s">
        <v>35</v>
      </c>
      <c r="B37" s="20" t="s">
        <v>427</v>
      </c>
      <c r="C37" s="20">
        <v>6</v>
      </c>
      <c r="D37" s="20" t="s">
        <v>428</v>
      </c>
      <c r="E37" s="60">
        <v>0</v>
      </c>
      <c r="F37" s="20" t="s">
        <v>424</v>
      </c>
      <c r="G37" s="20">
        <v>6</v>
      </c>
      <c r="H37" s="60" t="s">
        <v>425</v>
      </c>
      <c r="I37" s="20">
        <v>2</v>
      </c>
    </row>
    <row r="38" spans="1:9" x14ac:dyDescent="0.2">
      <c r="A38" s="20"/>
      <c r="B38" s="20"/>
      <c r="C38" s="20"/>
      <c r="D38" s="29"/>
      <c r="E38" s="20"/>
      <c r="F38" s="20"/>
      <c r="G38" s="20"/>
      <c r="H38" s="20"/>
      <c r="I38" s="20"/>
    </row>
    <row r="39" spans="1:9" x14ac:dyDescent="0.2">
      <c r="A39" s="20"/>
      <c r="B39" s="20"/>
      <c r="C39" s="20"/>
      <c r="D39" s="29"/>
      <c r="E39" s="20"/>
      <c r="F39" s="20"/>
      <c r="G39" s="20"/>
      <c r="H39" s="20"/>
      <c r="I39" s="20"/>
    </row>
  </sheetData>
  <conditionalFormatting sqref="D13">
    <cfRule type="cellIs" dxfId="10" priority="1" operator="equal">
      <formula>"OK"</formula>
    </cfRule>
    <cfRule type="cellIs" dxfId="9" priority="2" operator="equal">
      <formula>"OUT"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C00"/>
  </sheetPr>
  <dimension ref="A1:F125"/>
  <sheetViews>
    <sheetView topLeftCell="A92" workbookViewId="0">
      <selection activeCell="E115" sqref="E115"/>
    </sheetView>
  </sheetViews>
  <sheetFormatPr baseColWidth="10" defaultColWidth="8.83203125" defaultRowHeight="15" x14ac:dyDescent="0.2"/>
  <cols>
    <col min="1" max="1" width="39.33203125" customWidth="1"/>
    <col min="2" max="2" width="12.33203125" bestFit="1" customWidth="1"/>
    <col min="3" max="3" width="13.83203125" bestFit="1" customWidth="1"/>
    <col min="4" max="4" width="15.33203125" customWidth="1"/>
    <col min="5" max="5" width="39.33203125" bestFit="1" customWidth="1"/>
  </cols>
  <sheetData>
    <row r="1" spans="1:6" ht="16" x14ac:dyDescent="0.2">
      <c r="A1" s="111" t="s">
        <v>884</v>
      </c>
    </row>
    <row r="2" spans="1:6" x14ac:dyDescent="0.2">
      <c r="A2" s="16" t="s">
        <v>885</v>
      </c>
      <c r="B2" s="16" t="s">
        <v>886</v>
      </c>
      <c r="C2" s="16" t="s">
        <v>887</v>
      </c>
      <c r="D2" s="16" t="s">
        <v>888</v>
      </c>
      <c r="E2" s="16" t="s">
        <v>889</v>
      </c>
    </row>
    <row r="3" spans="1:6" x14ac:dyDescent="0.2">
      <c r="A3" s="110" t="s">
        <v>890</v>
      </c>
    </row>
    <row r="4" spans="1:6" x14ac:dyDescent="0.2">
      <c r="A4" s="17" t="s">
        <v>891</v>
      </c>
      <c r="B4" s="18" t="s">
        <v>892</v>
      </c>
      <c r="C4" s="19" t="s">
        <v>893</v>
      </c>
      <c r="D4" s="65">
        <f>Biology!$D$18</f>
        <v>303.14999999999998</v>
      </c>
      <c r="E4" s="52" t="s">
        <v>894</v>
      </c>
    </row>
    <row r="5" spans="1:6" x14ac:dyDescent="0.2">
      <c r="A5" s="17" t="s">
        <v>895</v>
      </c>
      <c r="B5" s="18" t="s">
        <v>896</v>
      </c>
      <c r="C5" s="19" t="s">
        <v>897</v>
      </c>
      <c r="D5" s="65">
        <f>Biology!$D$33/1000</f>
        <v>2.927997806625663E-2</v>
      </c>
      <c r="E5" s="52" t="s">
        <v>898</v>
      </c>
    </row>
    <row r="6" spans="1:6" x14ac:dyDescent="0.2">
      <c r="A6" s="17" t="s">
        <v>899</v>
      </c>
      <c r="B6" s="18" t="s">
        <v>900</v>
      </c>
      <c r="C6" s="19" t="s">
        <v>901</v>
      </c>
      <c r="D6" s="65">
        <f>Electrochemistry!$D$19</f>
        <v>5.6899999999999997E-3</v>
      </c>
      <c r="E6" s="52" t="s">
        <v>902</v>
      </c>
    </row>
    <row r="7" spans="1:6" x14ac:dyDescent="0.2">
      <c r="A7" s="17" t="s">
        <v>903</v>
      </c>
      <c r="B7" s="18" t="s">
        <v>904</v>
      </c>
      <c r="C7" s="19" t="s">
        <v>905</v>
      </c>
      <c r="D7" s="65">
        <f>Electrochemistry!$D$15</f>
        <v>96485.332120000006</v>
      </c>
      <c r="E7" s="52" t="s">
        <v>906</v>
      </c>
    </row>
    <row r="8" spans="1:6" x14ac:dyDescent="0.2">
      <c r="A8" s="17" t="s">
        <v>907</v>
      </c>
      <c r="B8" s="18" t="s">
        <v>908</v>
      </c>
      <c r="C8" s="19" t="s">
        <v>909</v>
      </c>
      <c r="D8" s="65">
        <f>Biology!$D$6/1000</f>
        <v>1.4999999999999999E-2</v>
      </c>
      <c r="E8" s="52" t="s">
        <v>910</v>
      </c>
    </row>
    <row r="9" spans="1:6" x14ac:dyDescent="0.2">
      <c r="A9" s="17" t="s">
        <v>911</v>
      </c>
      <c r="B9" s="18" t="s">
        <v>912</v>
      </c>
      <c r="C9" s="19" t="s">
        <v>913</v>
      </c>
      <c r="D9" s="53">
        <v>8.3140000000000001</v>
      </c>
      <c r="E9" s="86" t="s">
        <v>914</v>
      </c>
    </row>
    <row r="11" spans="1:6" ht="16" x14ac:dyDescent="0.2">
      <c r="A11" s="111" t="s">
        <v>915</v>
      </c>
      <c r="F11" s="108" t="s">
        <v>916</v>
      </c>
    </row>
    <row r="12" spans="1:6" x14ac:dyDescent="0.2">
      <c r="A12" s="16" t="s">
        <v>917</v>
      </c>
      <c r="B12" s="16" t="s">
        <v>918</v>
      </c>
      <c r="C12" s="16" t="s">
        <v>919</v>
      </c>
      <c r="D12" s="16" t="s">
        <v>920</v>
      </c>
      <c r="E12" s="16" t="s">
        <v>921</v>
      </c>
    </row>
    <row r="13" spans="1:6" x14ac:dyDescent="0.2">
      <c r="A13" s="17" t="s">
        <v>923</v>
      </c>
      <c r="B13" s="53">
        <v>4.4499999999999997E-7</v>
      </c>
      <c r="C13" s="53">
        <v>9.15</v>
      </c>
      <c r="D13" s="65">
        <f t="shared" ref="D13:D20" si="0">B13*EXP(-C13*1000/R_gas*(1/TKc-1/298.15))</f>
        <v>4.729341927793971E-7</v>
      </c>
      <c r="E13" s="86" t="s">
        <v>922</v>
      </c>
    </row>
    <row r="14" spans="1:6" x14ac:dyDescent="0.2">
      <c r="A14" s="17" t="s">
        <v>924</v>
      </c>
      <c r="B14" s="53">
        <v>4.6900000000000001E-11</v>
      </c>
      <c r="C14" s="53">
        <v>14.9</v>
      </c>
      <c r="D14" s="65">
        <f t="shared" si="0"/>
        <v>5.178801779646767E-11</v>
      </c>
      <c r="E14" s="86" t="s">
        <v>922</v>
      </c>
    </row>
    <row r="15" spans="1:6" x14ac:dyDescent="0.2">
      <c r="A15" s="17" t="s">
        <v>925</v>
      </c>
      <c r="B15" s="53">
        <v>7.1000000000000004E-3</v>
      </c>
      <c r="C15" s="53">
        <v>-8</v>
      </c>
      <c r="D15" s="65">
        <f t="shared" si="0"/>
        <v>6.7319486390705358E-3</v>
      </c>
      <c r="E15" s="86" t="s">
        <v>922</v>
      </c>
    </row>
    <row r="16" spans="1:6" x14ac:dyDescent="0.2">
      <c r="A16" s="17" t="s">
        <v>926</v>
      </c>
      <c r="B16" s="53">
        <v>6.3100000000000003E-8</v>
      </c>
      <c r="C16" s="53">
        <v>3.6</v>
      </c>
      <c r="D16" s="65">
        <f t="shared" si="0"/>
        <v>6.4629717695231246E-8</v>
      </c>
      <c r="E16" s="86" t="s">
        <v>922</v>
      </c>
    </row>
    <row r="17" spans="1:6" x14ac:dyDescent="0.2">
      <c r="A17" s="17" t="s">
        <v>927</v>
      </c>
      <c r="B17" s="53">
        <v>4.1999999999999998E-13</v>
      </c>
      <c r="C17" s="53">
        <v>16</v>
      </c>
      <c r="D17" s="65">
        <f t="shared" si="0"/>
        <v>4.6718016965068138E-13</v>
      </c>
      <c r="E17" s="86" t="s">
        <v>922</v>
      </c>
    </row>
    <row r="18" spans="1:6" x14ac:dyDescent="0.2">
      <c r="A18" s="17" t="s">
        <v>928</v>
      </c>
      <c r="B18" s="53">
        <v>5.6000000000000003E-10</v>
      </c>
      <c r="C18" s="53">
        <v>52.2</v>
      </c>
      <c r="D18" s="65">
        <f t="shared" si="0"/>
        <v>7.9255620821851618E-10</v>
      </c>
      <c r="E18" s="86" t="s">
        <v>922</v>
      </c>
    </row>
    <row r="19" spans="1:6" x14ac:dyDescent="0.2">
      <c r="A19" s="17" t="s">
        <v>929</v>
      </c>
      <c r="B19" s="53">
        <v>1E-14</v>
      </c>
      <c r="C19" s="53">
        <v>55.8</v>
      </c>
      <c r="D19" s="65">
        <f t="shared" si="0"/>
        <v>1.4495892006669007E-14</v>
      </c>
      <c r="E19" s="86" t="s">
        <v>922</v>
      </c>
    </row>
    <row r="20" spans="1:6" x14ac:dyDescent="0.2">
      <c r="A20" s="17" t="s">
        <v>930</v>
      </c>
      <c r="B20" s="53">
        <v>2.8840315031266057E-8</v>
      </c>
      <c r="C20" s="53">
        <v>13.8</v>
      </c>
      <c r="D20" s="65">
        <f t="shared" si="0"/>
        <v>3.1613878660865636E-8</v>
      </c>
      <c r="E20" s="86" t="s">
        <v>922</v>
      </c>
    </row>
    <row r="21" spans="1:6" x14ac:dyDescent="0.2">
      <c r="A21" s="17" t="s">
        <v>931</v>
      </c>
      <c r="B21" s="18" t="s">
        <v>932</v>
      </c>
      <c r="C21" s="19" t="s">
        <v>933</v>
      </c>
      <c r="D21" s="63">
        <f>-LOG10(Ka_HOCl)</f>
        <v>7.5001222179322129</v>
      </c>
      <c r="E21" s="52" t="s">
        <v>934</v>
      </c>
    </row>
    <row r="23" spans="1:6" ht="16" x14ac:dyDescent="0.2">
      <c r="A23" s="111" t="s">
        <v>935</v>
      </c>
      <c r="F23" s="108" t="s">
        <v>936</v>
      </c>
    </row>
    <row r="24" spans="1:6" x14ac:dyDescent="0.2">
      <c r="A24" s="16" t="s">
        <v>939</v>
      </c>
      <c r="B24" s="16" t="s">
        <v>940</v>
      </c>
      <c r="C24" s="16" t="s">
        <v>941</v>
      </c>
      <c r="D24" s="16" t="s">
        <v>942</v>
      </c>
      <c r="E24" s="16" t="s">
        <v>943</v>
      </c>
    </row>
    <row r="25" spans="1:6" x14ac:dyDescent="0.2">
      <c r="A25" s="17" t="s">
        <v>944</v>
      </c>
      <c r="B25" s="53">
        <v>136.08600000000001</v>
      </c>
      <c r="C25" s="20">
        <v>0</v>
      </c>
      <c r="D25" s="53">
        <v>2.2999999999999998</v>
      </c>
      <c r="E25" s="52" t="s">
        <v>937</v>
      </c>
    </row>
    <row r="26" spans="1:6" x14ac:dyDescent="0.2">
      <c r="A26" s="17" t="s">
        <v>945</v>
      </c>
      <c r="B26" s="53">
        <v>141.96</v>
      </c>
      <c r="C26" s="53">
        <v>2.895</v>
      </c>
      <c r="D26" s="53">
        <v>2.9</v>
      </c>
      <c r="E26" s="52" t="s">
        <v>938</v>
      </c>
    </row>
    <row r="27" spans="1:6" x14ac:dyDescent="0.2">
      <c r="A27" s="17" t="s">
        <v>946</v>
      </c>
      <c r="B27" s="53">
        <v>156.01</v>
      </c>
      <c r="C27" s="53">
        <v>3.06</v>
      </c>
      <c r="D27" s="20">
        <v>0</v>
      </c>
      <c r="E27" s="52" t="s">
        <v>938</v>
      </c>
    </row>
    <row r="28" spans="1:6" x14ac:dyDescent="0.2">
      <c r="A28" s="17" t="s">
        <v>947</v>
      </c>
      <c r="B28" s="53">
        <v>84.007000000000005</v>
      </c>
      <c r="C28" s="20">
        <v>0</v>
      </c>
      <c r="D28" s="53">
        <v>1.05</v>
      </c>
      <c r="E28" s="52" t="s">
        <v>937</v>
      </c>
    </row>
    <row r="29" spans="1:6" x14ac:dyDescent="0.2">
      <c r="A29" s="17" t="s">
        <v>948</v>
      </c>
      <c r="B29" s="53">
        <v>174.26</v>
      </c>
      <c r="C29" s="53">
        <v>0.17</v>
      </c>
      <c r="D29" s="20">
        <v>0</v>
      </c>
      <c r="E29" s="52" t="s">
        <v>938</v>
      </c>
    </row>
    <row r="30" spans="1:6" x14ac:dyDescent="0.2">
      <c r="A30" s="17" t="s">
        <v>949</v>
      </c>
      <c r="B30" s="53">
        <v>172.17</v>
      </c>
      <c r="C30" s="53">
        <v>9.7000000000000003E-2</v>
      </c>
      <c r="D30" s="20">
        <v>0</v>
      </c>
      <c r="E30" s="52" t="s">
        <v>938</v>
      </c>
    </row>
    <row r="31" spans="1:6" x14ac:dyDescent="0.2">
      <c r="A31" s="17" t="s">
        <v>950</v>
      </c>
      <c r="B31" s="53">
        <v>246.48</v>
      </c>
      <c r="C31" s="53">
        <v>0.8</v>
      </c>
      <c r="D31" s="53">
        <v>0.5</v>
      </c>
      <c r="E31" s="52" t="s">
        <v>938</v>
      </c>
    </row>
    <row r="32" spans="1:6" x14ac:dyDescent="0.2">
      <c r="A32" s="17" t="s">
        <v>951</v>
      </c>
      <c r="B32" s="53">
        <v>132.13999999999999</v>
      </c>
      <c r="C32" s="53">
        <v>0.94299999999999995</v>
      </c>
      <c r="D32" s="53">
        <v>0.47</v>
      </c>
      <c r="E32" s="52" t="s">
        <v>938</v>
      </c>
    </row>
    <row r="33" spans="1:5" x14ac:dyDescent="0.2">
      <c r="A33" s="17" t="s">
        <v>952</v>
      </c>
      <c r="B33" s="53">
        <v>110.98</v>
      </c>
      <c r="C33" s="20">
        <v>0</v>
      </c>
      <c r="D33" s="53">
        <v>0.01</v>
      </c>
      <c r="E33" s="52" t="s">
        <v>937</v>
      </c>
    </row>
    <row r="35" spans="1:5" x14ac:dyDescent="0.2">
      <c r="A35" s="17" t="s">
        <v>953</v>
      </c>
      <c r="B35" s="18" t="s">
        <v>954</v>
      </c>
      <c r="C35" s="19" t="s">
        <v>955</v>
      </c>
      <c r="D35" s="63">
        <f>mc_Na2HPO4/MW_Na2HPO4+mc_NaH2PO4_2H2O/MW_NaH2PO4_2H2O</f>
        <v>4.0007195769523628E-2</v>
      </c>
      <c r="E35" s="52" t="s">
        <v>956</v>
      </c>
    </row>
    <row r="36" spans="1:5" x14ac:dyDescent="0.2">
      <c r="A36" s="17" t="s">
        <v>957</v>
      </c>
      <c r="B36" s="18" t="s">
        <v>958</v>
      </c>
      <c r="C36" s="19" t="s">
        <v>959</v>
      </c>
      <c r="D36" s="63">
        <f>(2*mc_Na2HPO4/MW_Na2HPO4+mc_NaH2PO4_2H2O/MW_NaH2PO4_2H2O+2*mc_K2SO4/MW_K2SO4)-2*(mc_NH42SO4/MW_NH42SO4+mc_MgSO4_7H2O/MW_MgSO4_7H2O+mc_K2SO4/MW_K2SO4+mc_CaSO4_2H2O/MW_CaSO4_2H2O)</f>
        <v>3.8509331025108465E-2</v>
      </c>
      <c r="E36" s="52" t="s">
        <v>960</v>
      </c>
    </row>
    <row r="37" spans="1:5" x14ac:dyDescent="0.2">
      <c r="A37" s="17" t="s">
        <v>961</v>
      </c>
      <c r="B37" s="18" t="s">
        <v>962</v>
      </c>
      <c r="C37" s="19" t="s">
        <v>963</v>
      </c>
      <c r="D37" s="63">
        <f>2*mc_NH42SO4/MW_NH42SO4</f>
        <v>1.4272741032238535E-2</v>
      </c>
      <c r="E37" s="52" t="s">
        <v>964</v>
      </c>
    </row>
    <row r="38" spans="1:5" x14ac:dyDescent="0.2">
      <c r="A38" s="17" t="s">
        <v>965</v>
      </c>
      <c r="B38" s="18" t="s">
        <v>966</v>
      </c>
      <c r="C38" s="19" t="s">
        <v>967</v>
      </c>
      <c r="D38" s="63">
        <f>0</f>
        <v>0</v>
      </c>
      <c r="E38" s="52" t="s">
        <v>968</v>
      </c>
    </row>
    <row r="39" spans="1:5" x14ac:dyDescent="0.2">
      <c r="A39" s="17" t="s">
        <v>969</v>
      </c>
      <c r="B39" s="18" t="s">
        <v>970</v>
      </c>
      <c r="C39" s="19" t="s">
        <v>971</v>
      </c>
      <c r="D39" s="63">
        <f>udg_KH2PO4/MW_KH2PO4+udg_Na2HPO4/MW_Na2HPO4</f>
        <v>3.7329366919026843E-2</v>
      </c>
      <c r="E39" s="52" t="s">
        <v>972</v>
      </c>
    </row>
    <row r="40" spans="1:5" x14ac:dyDescent="0.2">
      <c r="A40" s="17" t="s">
        <v>973</v>
      </c>
      <c r="B40" s="18" t="s">
        <v>974</v>
      </c>
      <c r="C40" s="19" t="s">
        <v>975</v>
      </c>
      <c r="D40" s="63">
        <f>(udg_NaHCO3/MW_NaHCO3+2*udg_Na2HPO4/MW_Na2HPO4+udg_KH2PO4/MW_KH2PO4+2*udg_MgSO4_7H2O/MW_MgSO4_7H2O+2*udg_CaCl2/MW_CaCl2)-(2*(udg_NH42SO4/MW_NH42SO4+udg_MgSO4_7H2O/MW_MgSO4_7H2O)+2*udg_CaCl2/MW_CaCl2)</f>
        <v>6.3142947675680683E-2</v>
      </c>
      <c r="E40" s="52" t="s">
        <v>976</v>
      </c>
    </row>
    <row r="41" spans="1:5" x14ac:dyDescent="0.2">
      <c r="A41" s="17" t="s">
        <v>977</v>
      </c>
      <c r="B41" s="18" t="s">
        <v>978</v>
      </c>
      <c r="C41" s="19" t="s">
        <v>979</v>
      </c>
      <c r="D41" s="63">
        <f>2*udg_NH42SO4/MW_NH42SO4</f>
        <v>7.1136673225367037E-3</v>
      </c>
      <c r="E41" s="52" t="s">
        <v>980</v>
      </c>
    </row>
    <row r="42" spans="1:5" x14ac:dyDescent="0.2">
      <c r="A42" s="17" t="s">
        <v>981</v>
      </c>
      <c r="B42" s="18" t="s">
        <v>982</v>
      </c>
      <c r="C42" s="19" t="s">
        <v>983</v>
      </c>
      <c r="D42" s="63">
        <f>2*udg_CaCl2/MW_CaCl2</f>
        <v>1.8021265092809516E-4</v>
      </c>
      <c r="E42" s="52" t="s">
        <v>984</v>
      </c>
    </row>
    <row r="44" spans="1:5" x14ac:dyDescent="0.2">
      <c r="A44" s="17" t="s">
        <v>985</v>
      </c>
      <c r="B44" s="18" t="s">
        <v>986</v>
      </c>
      <c r="C44" s="19" t="s">
        <v>987</v>
      </c>
      <c r="D44" s="63">
        <f>IF(Summary!$D$5="MC02",SID_mc02,IF(Summary!$D$5="UdG phosphate",SID_udg,NA()))</f>
        <v>6.3142947675680683E-2</v>
      </c>
      <c r="E44" s="52" t="s">
        <v>988</v>
      </c>
    </row>
    <row r="45" spans="1:5" x14ac:dyDescent="0.2">
      <c r="A45" s="17" t="s">
        <v>989</v>
      </c>
      <c r="B45" s="18" t="s">
        <v>990</v>
      </c>
      <c r="C45" s="19" t="s">
        <v>991</v>
      </c>
      <c r="D45" s="63">
        <f>IF(Summary!$D$5="MC02",PT_mc02,IF(Summary!$D$5="UdG phosphate",PT_udg,NA()))</f>
        <v>3.7329366919026843E-2</v>
      </c>
      <c r="E45" s="52" t="s">
        <v>992</v>
      </c>
    </row>
    <row r="46" spans="1:5" x14ac:dyDescent="0.2">
      <c r="A46" s="17" t="s">
        <v>993</v>
      </c>
      <c r="B46" s="18" t="s">
        <v>994</v>
      </c>
      <c r="C46" s="19" t="s">
        <v>995</v>
      </c>
      <c r="D46" s="63">
        <f>IF(Summary!$D$5="MC02",NT_mc02,IF(Summary!$D$5="UdG phosphate",NT_udg,NA()))</f>
        <v>7.1136673225367037E-3</v>
      </c>
      <c r="E46" s="52" t="s">
        <v>996</v>
      </c>
    </row>
    <row r="47" spans="1:5" x14ac:dyDescent="0.2">
      <c r="A47" s="17" t="s">
        <v>997</v>
      </c>
      <c r="B47" s="18" t="s">
        <v>998</v>
      </c>
      <c r="C47" s="19" t="s">
        <v>999</v>
      </c>
      <c r="D47" s="63">
        <f>IF(Summary!$D$5="MC02",Cl_mc02,IF(Summary!$D$5="UdG phosphate",Cl_udg,NA()))</f>
        <v>1.8021265092809516E-4</v>
      </c>
      <c r="E47" s="52" t="s">
        <v>1000</v>
      </c>
    </row>
    <row r="49" spans="1:3" x14ac:dyDescent="0.2">
      <c r="A49" s="16" t="s">
        <v>1001</v>
      </c>
      <c r="B49" s="16" t="s">
        <v>1002</v>
      </c>
      <c r="C49" s="16" t="s">
        <v>1003</v>
      </c>
    </row>
    <row r="50" spans="1:3" x14ac:dyDescent="0.2">
      <c r="A50" s="20">
        <v>4</v>
      </c>
      <c r="B50" s="65">
        <f t="shared" ref="B50:B81" si="1">pH_SID + pH_NT*(10^-A50)/((10^-A50)+Ka_NH4) + (10^-A50) - (pH_PT*Ka1p*(10^-A50)^2 + 2*pH_PT*Ka1p*Ka2p*(10^-A50) + 3*pH_PT*Ka1p*Ka2p*Ka3p)/((10^-A50)^3 + Ka1p*(10^-A50)^2 + Ka1p*Ka2p*(10^-A50) + Ka1p*Ka2p*Ka3p) - Ka1c*CO2aqc/(10^-A50) - 2*Ka1c*Ka2c*CO2aqc/(10^-A50)^2 - Kw_w/(10^-A50)</f>
        <v>3.3411005177517397E-2</v>
      </c>
      <c r="C50" s="65">
        <f t="shared" ref="C50:C81" si="2">IF(AND(B50&gt;=0,B51&lt;0),A50+0.1*B50/(B50-B51),0)</f>
        <v>0</v>
      </c>
    </row>
    <row r="51" spans="1:3" x14ac:dyDescent="0.2">
      <c r="A51" s="20">
        <v>4.0999999999999996</v>
      </c>
      <c r="B51" s="65">
        <f t="shared" si="1"/>
        <v>3.3237262468913863E-2</v>
      </c>
      <c r="C51" s="65">
        <f t="shared" si="2"/>
        <v>0</v>
      </c>
    </row>
    <row r="52" spans="1:3" x14ac:dyDescent="0.2">
      <c r="A52" s="20">
        <v>4.2</v>
      </c>
      <c r="B52" s="65">
        <f t="shared" si="1"/>
        <v>3.3079214636650062E-2</v>
      </c>
      <c r="C52" s="65">
        <f t="shared" si="2"/>
        <v>0</v>
      </c>
    </row>
    <row r="53" spans="1:3" x14ac:dyDescent="0.2">
      <c r="A53" s="20">
        <v>4.3</v>
      </c>
      <c r="B53" s="65">
        <f t="shared" si="1"/>
        <v>3.2928746049466016E-2</v>
      </c>
      <c r="C53" s="65">
        <f t="shared" si="2"/>
        <v>0</v>
      </c>
    </row>
    <row r="54" spans="1:3" x14ac:dyDescent="0.2">
      <c r="A54" s="20">
        <v>4.4000000000000004</v>
      </c>
      <c r="B54" s="65">
        <f t="shared" si="1"/>
        <v>3.2778037503939296E-2</v>
      </c>
      <c r="C54" s="65">
        <f t="shared" si="2"/>
        <v>0</v>
      </c>
    </row>
    <row r="55" spans="1:3" x14ac:dyDescent="0.2">
      <c r="A55" s="20">
        <v>4.5</v>
      </c>
      <c r="B55" s="65">
        <f t="shared" si="1"/>
        <v>3.2619189843033865E-2</v>
      </c>
      <c r="C55" s="65">
        <f t="shared" si="2"/>
        <v>0</v>
      </c>
    </row>
    <row r="56" spans="1:3" x14ac:dyDescent="0.2">
      <c r="A56" s="20">
        <v>4.5999999999999996</v>
      </c>
      <c r="B56" s="65">
        <f t="shared" si="1"/>
        <v>3.2443829703374491E-2</v>
      </c>
      <c r="C56" s="65">
        <f t="shared" si="2"/>
        <v>0</v>
      </c>
    </row>
    <row r="57" spans="1:3" x14ac:dyDescent="0.2">
      <c r="A57" s="20">
        <v>4.7</v>
      </c>
      <c r="B57" s="65">
        <f t="shared" si="1"/>
        <v>3.2242681652266021E-2</v>
      </c>
      <c r="C57" s="65">
        <f t="shared" si="2"/>
        <v>0</v>
      </c>
    </row>
    <row r="58" spans="1:3" x14ac:dyDescent="0.2">
      <c r="A58" s="20">
        <v>4.8</v>
      </c>
      <c r="B58" s="65">
        <f t="shared" si="1"/>
        <v>3.2005087592142163E-2</v>
      </c>
      <c r="C58" s="65">
        <f t="shared" si="2"/>
        <v>0</v>
      </c>
    </row>
    <row r="59" spans="1:3" x14ac:dyDescent="0.2">
      <c r="A59" s="20">
        <v>4.9000000000000004</v>
      </c>
      <c r="B59" s="65">
        <f t="shared" si="1"/>
        <v>3.1718450589226233E-2</v>
      </c>
      <c r="C59" s="65">
        <f t="shared" si="2"/>
        <v>0</v>
      </c>
    </row>
    <row r="60" spans="1:3" x14ac:dyDescent="0.2">
      <c r="A60" s="20">
        <v>5</v>
      </c>
      <c r="B60" s="65">
        <f t="shared" si="1"/>
        <v>3.1367575876201072E-2</v>
      </c>
      <c r="C60" s="65">
        <f t="shared" si="2"/>
        <v>0</v>
      </c>
    </row>
    <row r="61" spans="1:3" x14ac:dyDescent="0.2">
      <c r="A61" s="20">
        <v>5.0999999999999996</v>
      </c>
      <c r="B61" s="65">
        <f t="shared" si="1"/>
        <v>3.093387638586256E-2</v>
      </c>
      <c r="C61" s="65">
        <f t="shared" si="2"/>
        <v>0</v>
      </c>
    </row>
    <row r="62" spans="1:3" x14ac:dyDescent="0.2">
      <c r="A62" s="20">
        <v>5.2</v>
      </c>
      <c r="B62" s="65">
        <f t="shared" si="1"/>
        <v>3.0394403520812907E-2</v>
      </c>
      <c r="C62" s="65">
        <f t="shared" si="2"/>
        <v>0</v>
      </c>
    </row>
    <row r="63" spans="1:3" x14ac:dyDescent="0.2">
      <c r="A63" s="20">
        <v>5.3</v>
      </c>
      <c r="B63" s="65">
        <f t="shared" si="1"/>
        <v>2.9720655693159983E-2</v>
      </c>
      <c r="C63" s="65">
        <f t="shared" si="2"/>
        <v>0</v>
      </c>
    </row>
    <row r="64" spans="1:3" x14ac:dyDescent="0.2">
      <c r="A64" s="20">
        <v>5.4</v>
      </c>
      <c r="B64" s="65">
        <f t="shared" si="1"/>
        <v>2.8877107225470607E-2</v>
      </c>
      <c r="C64" s="65">
        <f t="shared" si="2"/>
        <v>0</v>
      </c>
    </row>
    <row r="65" spans="1:3" x14ac:dyDescent="0.2">
      <c r="A65" s="20">
        <v>5.5</v>
      </c>
      <c r="B65" s="65">
        <f t="shared" si="1"/>
        <v>2.7819388244058781E-2</v>
      </c>
      <c r="C65" s="65">
        <f t="shared" si="2"/>
        <v>0</v>
      </c>
    </row>
    <row r="66" spans="1:3" x14ac:dyDescent="0.2">
      <c r="A66" s="20">
        <v>5.6</v>
      </c>
      <c r="B66" s="65">
        <f t="shared" si="1"/>
        <v>2.6492031974962277E-2</v>
      </c>
      <c r="C66" s="65">
        <f t="shared" si="2"/>
        <v>0</v>
      </c>
    </row>
    <row r="67" spans="1:3" x14ac:dyDescent="0.2">
      <c r="A67" s="20">
        <v>5.7</v>
      </c>
      <c r="B67" s="65">
        <f t="shared" si="1"/>
        <v>2.4825689108250497E-2</v>
      </c>
      <c r="C67" s="65">
        <f t="shared" si="2"/>
        <v>0</v>
      </c>
    </row>
    <row r="68" spans="1:3" x14ac:dyDescent="0.2">
      <c r="A68" s="20">
        <v>5.8</v>
      </c>
      <c r="B68" s="65">
        <f t="shared" si="1"/>
        <v>2.2733689269276519E-2</v>
      </c>
      <c r="C68" s="65">
        <f t="shared" si="2"/>
        <v>0</v>
      </c>
    </row>
    <row r="69" spans="1:3" x14ac:dyDescent="0.2">
      <c r="A69" s="20">
        <v>5.9</v>
      </c>
      <c r="B69" s="65">
        <f t="shared" si="1"/>
        <v>2.0107806487561539E-2</v>
      </c>
      <c r="C69" s="65">
        <f t="shared" si="2"/>
        <v>0</v>
      </c>
    </row>
    <row r="70" spans="1:3" x14ac:dyDescent="0.2">
      <c r="A70" s="20">
        <v>6</v>
      </c>
      <c r="B70" s="65">
        <f t="shared" si="1"/>
        <v>1.6813057573666496E-2</v>
      </c>
      <c r="C70" s="65">
        <f t="shared" si="2"/>
        <v>0</v>
      </c>
    </row>
    <row r="71" spans="1:3" x14ac:dyDescent="0.2">
      <c r="A71" s="20">
        <v>6.1</v>
      </c>
      <c r="B71" s="65">
        <f t="shared" si="1"/>
        <v>1.2681326782820666E-2</v>
      </c>
      <c r="C71" s="65">
        <f t="shared" si="2"/>
        <v>0</v>
      </c>
    </row>
    <row r="72" spans="1:3" x14ac:dyDescent="0.2">
      <c r="A72" s="20">
        <v>6.2</v>
      </c>
      <c r="B72" s="65">
        <f t="shared" si="1"/>
        <v>7.5035617208652284E-3</v>
      </c>
      <c r="C72" s="65">
        <f t="shared" si="2"/>
        <v>0</v>
      </c>
    </row>
    <row r="73" spans="1:3" x14ac:dyDescent="0.2">
      <c r="A73" s="20">
        <v>6.3</v>
      </c>
      <c r="B73" s="65">
        <f t="shared" si="1"/>
        <v>1.0202144488385134E-3</v>
      </c>
      <c r="C73" s="65">
        <f t="shared" si="2"/>
        <v>6.3125785894509363</v>
      </c>
    </row>
    <row r="74" spans="1:3" x14ac:dyDescent="0.2">
      <c r="A74" s="20">
        <v>6.4</v>
      </c>
      <c r="B74" s="65">
        <f t="shared" si="1"/>
        <v>-7.0905077654283121E-3</v>
      </c>
      <c r="C74" s="65">
        <f t="shared" si="2"/>
        <v>0</v>
      </c>
    </row>
    <row r="75" spans="1:3" x14ac:dyDescent="0.2">
      <c r="A75" s="20">
        <v>6.5</v>
      </c>
      <c r="B75" s="65">
        <f t="shared" si="1"/>
        <v>-1.7227188823528528E-2</v>
      </c>
      <c r="C75" s="65">
        <f t="shared" si="2"/>
        <v>0</v>
      </c>
    </row>
    <row r="76" spans="1:3" x14ac:dyDescent="0.2">
      <c r="A76" s="20">
        <v>6.6</v>
      </c>
      <c r="B76" s="65">
        <f t="shared" si="1"/>
        <v>-2.9883415535076379E-2</v>
      </c>
      <c r="C76" s="65">
        <f t="shared" si="2"/>
        <v>0</v>
      </c>
    </row>
    <row r="77" spans="1:3" x14ac:dyDescent="0.2">
      <c r="A77" s="20">
        <v>6.7</v>
      </c>
      <c r="B77" s="65">
        <f t="shared" si="1"/>
        <v>-4.5670900767530727E-2</v>
      </c>
      <c r="C77" s="65">
        <f t="shared" si="2"/>
        <v>0</v>
      </c>
    </row>
    <row r="78" spans="1:3" x14ac:dyDescent="0.2">
      <c r="A78" s="20">
        <v>6.8</v>
      </c>
      <c r="B78" s="65">
        <f t="shared" si="1"/>
        <v>-6.534926709786508E-2</v>
      </c>
      <c r="C78" s="65">
        <f t="shared" si="2"/>
        <v>0</v>
      </c>
    </row>
    <row r="79" spans="1:3" x14ac:dyDescent="0.2">
      <c r="A79" s="20">
        <v>6.9</v>
      </c>
      <c r="B79" s="65">
        <f t="shared" si="1"/>
        <v>-8.9864842303463963E-2</v>
      </c>
      <c r="C79" s="65">
        <f t="shared" si="2"/>
        <v>0</v>
      </c>
    </row>
    <row r="80" spans="1:3" x14ac:dyDescent="0.2">
      <c r="A80" s="20">
        <v>7</v>
      </c>
      <c r="B80" s="65">
        <f t="shared" si="1"/>
        <v>-0.12040145221333261</v>
      </c>
      <c r="C80" s="65">
        <f t="shared" si="2"/>
        <v>0</v>
      </c>
    </row>
    <row r="81" spans="1:3" x14ac:dyDescent="0.2">
      <c r="A81" s="20">
        <v>7.1</v>
      </c>
      <c r="B81" s="65">
        <f t="shared" si="1"/>
        <v>-0.15844677985204098</v>
      </c>
      <c r="C81" s="65">
        <f t="shared" si="2"/>
        <v>0</v>
      </c>
    </row>
    <row r="82" spans="1:3" x14ac:dyDescent="0.2">
      <c r="A82" s="20">
        <v>7.2</v>
      </c>
      <c r="B82" s="65">
        <f t="shared" ref="B82:B100" si="3">pH_SID + pH_NT*(10^-A82)/((10^-A82)+Ka_NH4) + (10^-A82) - (pH_PT*Ka1p*(10^-A82)^2 + 2*pH_PT*Ka1p*Ka2p*(10^-A82) + 3*pH_PT*Ka1p*Ka2p*Ka3p)/((10^-A82)^3 + Ka1p*(10^-A82)^2 + Ka1p*Ka2p*(10^-A82) + Ka1p*Ka2p*Ka3p) - Ka1c*CO2aqc/(10^-A82) - 2*Ka1c*Ka2c*CO2aqc/(10^-A82)^2 - Kw_w/(10^-A82)</f>
        <v>-0.20587836236800799</v>
      </c>
      <c r="C82" s="65">
        <f t="shared" ref="C82:C99" si="4">IF(AND(B82&gt;=0,B83&lt;0),A82+0.1*B82/(B82-B83),0)</f>
        <v>0</v>
      </c>
    </row>
    <row r="83" spans="1:3" x14ac:dyDescent="0.2">
      <c r="A83" s="20">
        <v>7.3</v>
      </c>
      <c r="B83" s="65">
        <f t="shared" si="3"/>
        <v>-0.26507382599007184</v>
      </c>
      <c r="C83" s="65">
        <f t="shared" si="4"/>
        <v>0</v>
      </c>
    </row>
    <row r="84" spans="1:3" x14ac:dyDescent="0.2">
      <c r="A84" s="20">
        <v>7.4</v>
      </c>
      <c r="B84" s="65">
        <f t="shared" si="3"/>
        <v>-0.33905079507140423</v>
      </c>
      <c r="C84" s="65">
        <f t="shared" si="4"/>
        <v>0</v>
      </c>
    </row>
    <row r="85" spans="1:3" x14ac:dyDescent="0.2">
      <c r="A85" s="20">
        <v>7.5</v>
      </c>
      <c r="B85" s="65">
        <f t="shared" si="3"/>
        <v>-0.43164344416525446</v>
      </c>
      <c r="C85" s="65">
        <f t="shared" si="4"/>
        <v>0</v>
      </c>
    </row>
    <row r="86" spans="1:3" x14ac:dyDescent="0.2">
      <c r="A86" s="20">
        <v>7.6</v>
      </c>
      <c r="B86" s="65">
        <f t="shared" si="3"/>
        <v>-0.54772525361315882</v>
      </c>
      <c r="C86" s="65">
        <f t="shared" si="4"/>
        <v>0</v>
      </c>
    </row>
    <row r="87" spans="1:3" x14ac:dyDescent="0.2">
      <c r="A87" s="20">
        <v>7.7</v>
      </c>
      <c r="B87" s="65">
        <f t="shared" si="3"/>
        <v>-0.6934914187247373</v>
      </c>
      <c r="C87" s="65">
        <f t="shared" si="4"/>
        <v>0</v>
      </c>
    </row>
    <row r="88" spans="1:3" x14ac:dyDescent="0.2">
      <c r="A88" s="20">
        <v>7.8</v>
      </c>
      <c r="B88" s="65">
        <f t="shared" si="3"/>
        <v>-0.87681972500775718</v>
      </c>
      <c r="C88" s="65">
        <f t="shared" si="4"/>
        <v>0</v>
      </c>
    </row>
    <row r="89" spans="1:3" x14ac:dyDescent="0.2">
      <c r="A89" s="20">
        <v>7.9</v>
      </c>
      <c r="B89" s="65">
        <f t="shared" si="3"/>
        <v>-1.107735849928343</v>
      </c>
      <c r="C89" s="65">
        <f t="shared" si="4"/>
        <v>0</v>
      </c>
    </row>
    <row r="90" spans="1:3" x14ac:dyDescent="0.2">
      <c r="A90" s="20">
        <v>8</v>
      </c>
      <c r="B90" s="65">
        <f t="shared" si="3"/>
        <v>-1.3990186820382349</v>
      </c>
      <c r="C90" s="65">
        <f t="shared" si="4"/>
        <v>0</v>
      </c>
    </row>
    <row r="91" spans="1:3" x14ac:dyDescent="0.2">
      <c r="A91" s="20">
        <v>8.1</v>
      </c>
      <c r="B91" s="65">
        <f t="shared" si="3"/>
        <v>-1.7669946498116265</v>
      </c>
      <c r="C91" s="65">
        <f t="shared" si="4"/>
        <v>0</v>
      </c>
    </row>
    <row r="92" spans="1:3" x14ac:dyDescent="0.2">
      <c r="A92" s="20">
        <v>8.1999999999999993</v>
      </c>
      <c r="B92" s="65">
        <f t="shared" si="3"/>
        <v>-2.232589303424485</v>
      </c>
      <c r="C92" s="65">
        <f t="shared" si="4"/>
        <v>0</v>
      </c>
    </row>
    <row r="93" spans="1:3" x14ac:dyDescent="0.2">
      <c r="A93" s="20">
        <v>8.3000000000000007</v>
      </c>
      <c r="B93" s="65">
        <f t="shared" si="3"/>
        <v>-2.8227326605252623</v>
      </c>
      <c r="C93" s="65">
        <f t="shared" si="4"/>
        <v>0</v>
      </c>
    </row>
    <row r="94" spans="1:3" x14ac:dyDescent="0.2">
      <c r="A94" s="20">
        <v>8.4</v>
      </c>
      <c r="B94" s="65">
        <f t="shared" si="3"/>
        <v>-3.5722569096289791</v>
      </c>
      <c r="C94" s="65">
        <f t="shared" si="4"/>
        <v>0</v>
      </c>
    </row>
    <row r="95" spans="1:3" x14ac:dyDescent="0.2">
      <c r="A95" s="20">
        <v>8.5</v>
      </c>
      <c r="B95" s="65">
        <f t="shared" si="3"/>
        <v>-4.5264883150053237</v>
      </c>
      <c r="C95" s="65">
        <f t="shared" si="4"/>
        <v>0</v>
      </c>
    </row>
    <row r="96" spans="1:3" x14ac:dyDescent="0.2">
      <c r="A96" s="20">
        <v>8.6</v>
      </c>
      <c r="B96" s="65">
        <f t="shared" si="3"/>
        <v>-5.7448309854557431</v>
      </c>
      <c r="C96" s="65">
        <f t="shared" si="4"/>
        <v>0</v>
      </c>
    </row>
    <row r="97" spans="1:6" x14ac:dyDescent="0.2">
      <c r="A97" s="20">
        <v>8.6999999999999993</v>
      </c>
      <c r="B97" s="65">
        <f t="shared" si="3"/>
        <v>-7.3057863595314148</v>
      </c>
      <c r="C97" s="65">
        <f t="shared" si="4"/>
        <v>0</v>
      </c>
    </row>
    <row r="98" spans="1:6" x14ac:dyDescent="0.2">
      <c r="A98" s="20">
        <v>8.8000000000000007</v>
      </c>
      <c r="B98" s="65">
        <f t="shared" si="3"/>
        <v>-9.3140767320399984</v>
      </c>
      <c r="C98" s="65">
        <f t="shared" si="4"/>
        <v>0</v>
      </c>
    </row>
    <row r="99" spans="1:6" x14ac:dyDescent="0.2">
      <c r="A99" s="20">
        <v>8.9</v>
      </c>
      <c r="B99" s="65">
        <f t="shared" si="3"/>
        <v>-11.910887761710022</v>
      </c>
      <c r="C99" s="65">
        <f t="shared" si="4"/>
        <v>0</v>
      </c>
    </row>
    <row r="100" spans="1:6" x14ac:dyDescent="0.2">
      <c r="A100" s="20">
        <v>9</v>
      </c>
      <c r="B100" s="65">
        <f t="shared" si="3"/>
        <v>-15.288782705473936</v>
      </c>
      <c r="C100" s="65">
        <f>0</f>
        <v>0</v>
      </c>
    </row>
    <row r="101" spans="1:6" s="99" customFormat="1" x14ac:dyDescent="0.2">
      <c r="B101" s="129"/>
      <c r="C101" s="129"/>
    </row>
    <row r="102" spans="1:6" x14ac:dyDescent="0.2">
      <c r="A102" s="16" t="s">
        <v>24</v>
      </c>
      <c r="B102" s="16" t="s">
        <v>25</v>
      </c>
      <c r="C102" s="16" t="s">
        <v>26</v>
      </c>
      <c r="D102" s="16" t="s">
        <v>27</v>
      </c>
      <c r="E102" s="16" t="s">
        <v>156</v>
      </c>
    </row>
    <row r="103" spans="1:6" x14ac:dyDescent="0.2">
      <c r="A103" s="17" t="s">
        <v>1004</v>
      </c>
      <c r="B103" s="18" t="s">
        <v>1005</v>
      </c>
      <c r="C103" s="19" t="s">
        <v>1006</v>
      </c>
      <c r="D103" s="63">
        <f>SUM(C50:C100)</f>
        <v>6.3125785894509363</v>
      </c>
      <c r="E103" s="52" t="s">
        <v>1007</v>
      </c>
      <c r="F103" s="108" t="s">
        <v>1008</v>
      </c>
    </row>
    <row r="104" spans="1:6" x14ac:dyDescent="0.2">
      <c r="A104" s="17" t="s">
        <v>1009</v>
      </c>
      <c r="B104" s="18" t="s">
        <v>1010</v>
      </c>
      <c r="C104" s="19" t="s">
        <v>1011</v>
      </c>
      <c r="D104" s="63">
        <f>1/(1+10^(pH_op-pKa_HOCl))</f>
        <v>0.93902741032842141</v>
      </c>
      <c r="E104" s="52" t="s">
        <v>1012</v>
      </c>
    </row>
    <row r="106" spans="1:6" ht="16" x14ac:dyDescent="0.2">
      <c r="A106" s="111" t="s">
        <v>1013</v>
      </c>
    </row>
    <row r="107" spans="1:6" ht="24" x14ac:dyDescent="0.2">
      <c r="A107" s="17" t="s">
        <v>1014</v>
      </c>
      <c r="B107" s="18" t="s">
        <v>1015</v>
      </c>
      <c r="C107" s="19" t="s">
        <v>1016</v>
      </c>
      <c r="D107" s="63">
        <f>Iappc/(2*Fcc)*52460*3600/VLc</f>
        <v>371.24490544791416</v>
      </c>
      <c r="E107" s="52" t="s">
        <v>1017</v>
      </c>
    </row>
    <row r="108" spans="1:6" x14ac:dyDescent="0.2">
      <c r="A108" s="17" t="s">
        <v>1018</v>
      </c>
      <c r="B108" s="18" t="s">
        <v>1019</v>
      </c>
      <c r="C108" s="19" t="s">
        <v>1020</v>
      </c>
      <c r="D108" s="63">
        <f>1/(bleach_rate)*60</f>
        <v>0.16161837945657148</v>
      </c>
      <c r="E108" s="52" t="s">
        <v>1021</v>
      </c>
    </row>
    <row r="109" spans="1:6" x14ac:dyDescent="0.2">
      <c r="A109" s="17" t="s">
        <v>1022</v>
      </c>
      <c r="B109" s="18" t="s">
        <v>1023</v>
      </c>
      <c r="C109" s="19" t="s">
        <v>1024</v>
      </c>
      <c r="D109" s="65" t="str">
        <f>IF(pH_Cl&gt;0.0005,"BLEACHING RISK: chloride medium + electrolysis makes up to "&amp;TEXT(bleach_rate,"0")&amp;" mg/L/h free chlorine (FE=1 ceiling); "&amp;TEXT(pH_fHOCl*100,"0")&amp;"% is biocidal HOCl at pH "&amp;TEXT(pH_op,"0.0")&amp;"; ~1 ppm in minutes","chloride-free: no chlorine evolution, no bleaching")</f>
        <v>chloride-free: no chlorine evolution, no bleaching</v>
      </c>
      <c r="E109" s="52" t="s">
        <v>1025</v>
      </c>
    </row>
    <row r="110" spans="1:6" x14ac:dyDescent="0.2">
      <c r="A110" s="17" t="s">
        <v>1026</v>
      </c>
      <c r="B110" s="18" t="s">
        <v>1027</v>
      </c>
      <c r="C110" s="19" t="s">
        <v>1028</v>
      </c>
      <c r="D110" s="65" t="str">
        <f>IF(pH_op&lt;6.5,"pH BELOW HOB optimum (&lt;6.5) — reduce CO₂ dose",IF(pH_op&gt;7.5,"pH above optimum (&gt;7.5)","pH in HOB band 6.5–7.5"))</f>
        <v>pH BELOW HOB optimum (&lt;6.5) — reduce CO₂ dose</v>
      </c>
      <c r="E110" s="52" t="s">
        <v>1029</v>
      </c>
    </row>
    <row r="112" spans="1:6" ht="16" x14ac:dyDescent="0.2">
      <c r="A112" s="111" t="s">
        <v>1030</v>
      </c>
    </row>
    <row r="113" spans="1:5" x14ac:dyDescent="0.2">
      <c r="A113" s="16" t="s">
        <v>1031</v>
      </c>
      <c r="B113" s="16" t="s">
        <v>1032</v>
      </c>
      <c r="C113" s="16" t="s">
        <v>1033</v>
      </c>
      <c r="D113" s="16" t="s">
        <v>1034</v>
      </c>
      <c r="E113" s="16" t="s">
        <v>1035</v>
      </c>
    </row>
    <row r="114" spans="1:5" x14ac:dyDescent="0.2">
      <c r="A114" s="20" t="s">
        <v>1036</v>
      </c>
      <c r="B114" s="20" t="s">
        <v>1037</v>
      </c>
      <c r="C114" s="63">
        <f>PT_mc02*1000</f>
        <v>40.007195769523626</v>
      </c>
      <c r="D114" s="20" t="s">
        <v>1038</v>
      </c>
      <c r="E114" s="20" t="s">
        <v>1039</v>
      </c>
    </row>
    <row r="115" spans="1:5" x14ac:dyDescent="0.2">
      <c r="A115" s="20" t="s">
        <v>1040</v>
      </c>
      <c r="B115" s="20" t="s">
        <v>1041</v>
      </c>
      <c r="C115" s="63">
        <f>PT_udg*1000</f>
        <v>37.329366919026846</v>
      </c>
      <c r="D115" s="20" t="s">
        <v>1042</v>
      </c>
      <c r="E115" s="20" t="s">
        <v>1043</v>
      </c>
    </row>
    <row r="123" spans="1:5" ht="16" x14ac:dyDescent="0.2">
      <c r="A123" s="111"/>
    </row>
    <row r="125" spans="1:5" ht="24" x14ac:dyDescent="0.2">
      <c r="A125" s="17" t="s">
        <v>1044</v>
      </c>
      <c r="B125" s="18" t="s">
        <v>1045</v>
      </c>
      <c r="C125" s="19" t="s">
        <v>1046</v>
      </c>
      <c r="D125" s="63">
        <f>pH_Cl*pH_fHOCl*52460</f>
        <v>8.877523507988645</v>
      </c>
      <c r="E125" s="52" t="s">
        <v>1047</v>
      </c>
    </row>
  </sheetData>
  <pageMargins left="0.75" right="0.75" top="1" bottom="1" header="0.5" footer="0.5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/>
  </sheetPr>
  <dimension ref="A1:F58"/>
  <sheetViews>
    <sheetView zoomScale="89" workbookViewId="0"/>
  </sheetViews>
  <sheetFormatPr baseColWidth="10" defaultColWidth="8.83203125" defaultRowHeight="15" x14ac:dyDescent="0.2"/>
  <cols>
    <col min="1" max="1" width="30" customWidth="1"/>
    <col min="2" max="2" width="15" customWidth="1"/>
    <col min="4" max="4" width="12" bestFit="1" customWidth="1"/>
    <col min="5" max="5" width="60" customWidth="1"/>
  </cols>
  <sheetData>
    <row r="1" spans="1:6" ht="16" customHeight="1" x14ac:dyDescent="0.2">
      <c r="A1" s="111" t="s">
        <v>429</v>
      </c>
      <c r="B1" s="20"/>
      <c r="C1" s="20"/>
      <c r="D1" s="20"/>
      <c r="E1" s="20"/>
      <c r="F1" s="20"/>
    </row>
    <row r="2" spans="1:6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156</v>
      </c>
      <c r="F2" s="20"/>
    </row>
    <row r="3" spans="1:6" ht="16" customHeight="1" x14ac:dyDescent="0.2">
      <c r="A3" s="111" t="s">
        <v>157</v>
      </c>
      <c r="B3" s="18"/>
      <c r="C3" s="19"/>
      <c r="D3" s="112"/>
      <c r="E3" s="20"/>
      <c r="F3" s="20"/>
    </row>
    <row r="4" spans="1:6" x14ac:dyDescent="0.2">
      <c r="A4" s="20" t="s">
        <v>430</v>
      </c>
      <c r="B4" s="18" t="s">
        <v>379</v>
      </c>
      <c r="C4" s="20" t="s">
        <v>380</v>
      </c>
      <c r="D4" s="27">
        <f>Electrochemistry!$D$21</f>
        <v>1.0615084982307878E-4</v>
      </c>
      <c r="E4" s="23" t="str">
        <f>HYPERLINK("#Electrochemistry!D21","→ Electrochemistry")</f>
        <v>→ Electrochemistry</v>
      </c>
      <c r="F4" s="20"/>
    </row>
    <row r="5" spans="1:6" x14ac:dyDescent="0.2">
      <c r="A5" s="20" t="s">
        <v>431</v>
      </c>
      <c r="B5" s="18" t="s">
        <v>405</v>
      </c>
      <c r="C5" s="20" t="s">
        <v>380</v>
      </c>
      <c r="D5" s="27">
        <f>Electrochemistry!$D$29</f>
        <v>5.3075424911539388E-5</v>
      </c>
      <c r="E5" s="23" t="str">
        <f>HYPERLINK("#Electrochemistry!D29","→ Electrochemistry")</f>
        <v>→ Electrochemistry</v>
      </c>
      <c r="F5" s="20"/>
    </row>
    <row r="6" spans="1:6" x14ac:dyDescent="0.2">
      <c r="A6" s="20" t="s">
        <v>432</v>
      </c>
      <c r="B6" s="18" t="s">
        <v>253</v>
      </c>
      <c r="C6" s="20" t="s">
        <v>59</v>
      </c>
      <c r="D6" s="25">
        <f>Geometry!$D$41</f>
        <v>15</v>
      </c>
      <c r="E6" s="23" t="str">
        <f>HYPERLINK("#Geometry!D41","→ Geometry")</f>
        <v>→ Geometry</v>
      </c>
      <c r="F6" s="20"/>
    </row>
    <row r="7" spans="1:6" x14ac:dyDescent="0.2">
      <c r="A7" s="20" t="s">
        <v>433</v>
      </c>
      <c r="B7" s="18" t="s">
        <v>38</v>
      </c>
      <c r="C7" s="20"/>
      <c r="D7" s="39" t="str">
        <f>Summary!$D$4</f>
        <v>UdG (mixed)</v>
      </c>
      <c r="E7" s="23" t="str">
        <f>HYPERLINK("#Summary!D5","→ Summary")</f>
        <v>→ Summary</v>
      </c>
      <c r="F7" s="20"/>
    </row>
    <row r="8" spans="1:6" s="15" customFormat="1" x14ac:dyDescent="0.2">
      <c r="A8" s="20" t="s">
        <v>433</v>
      </c>
      <c r="B8" s="18" t="s">
        <v>38</v>
      </c>
      <c r="C8" s="20"/>
      <c r="D8" s="39" t="str">
        <f>Summary!$D$4</f>
        <v>UdG (mixed)</v>
      </c>
      <c r="E8" s="23" t="str">
        <f>HYPERLINK("#Summary!D5","→ Summary")</f>
        <v>→ Summary</v>
      </c>
      <c r="F8" s="20"/>
    </row>
    <row r="9" spans="1:6" x14ac:dyDescent="0.2">
      <c r="A9" s="120"/>
      <c r="B9" s="18"/>
      <c r="C9" s="19"/>
      <c r="D9" s="61"/>
      <c r="E9" s="20"/>
      <c r="F9" s="20"/>
    </row>
    <row r="10" spans="1:6" ht="36" customHeight="1" x14ac:dyDescent="0.2">
      <c r="A10" s="17" t="s">
        <v>434</v>
      </c>
      <c r="B10" s="18" t="s">
        <v>435</v>
      </c>
      <c r="C10" s="19" t="s">
        <v>160</v>
      </c>
      <c r="D10" s="112">
        <v>6</v>
      </c>
      <c r="E10" s="62" t="s">
        <v>436</v>
      </c>
      <c r="F10" s="20"/>
    </row>
    <row r="11" spans="1:6" x14ac:dyDescent="0.2">
      <c r="A11" s="17" t="s">
        <v>437</v>
      </c>
      <c r="B11" s="18" t="s">
        <v>438</v>
      </c>
      <c r="C11" s="19" t="s">
        <v>160</v>
      </c>
      <c r="D11" s="112">
        <v>2</v>
      </c>
      <c r="E11" s="62" t="s">
        <v>439</v>
      </c>
      <c r="F11" s="20"/>
    </row>
    <row r="12" spans="1:6" x14ac:dyDescent="0.2">
      <c r="A12" s="17" t="s">
        <v>440</v>
      </c>
      <c r="B12" s="18" t="s">
        <v>441</v>
      </c>
      <c r="C12" s="19" t="s">
        <v>160</v>
      </c>
      <c r="D12" s="112">
        <v>1</v>
      </c>
      <c r="E12" s="62" t="s">
        <v>442</v>
      </c>
      <c r="F12" s="20"/>
    </row>
    <row r="13" spans="1:6" x14ac:dyDescent="0.2">
      <c r="A13" s="17" t="s">
        <v>443</v>
      </c>
      <c r="B13" s="18" t="s">
        <v>444</v>
      </c>
      <c r="C13" s="19" t="s">
        <v>380</v>
      </c>
      <c r="D13" s="49">
        <f>rH2_gen</f>
        <v>1.0615084982307878E-4</v>
      </c>
      <c r="E13" s="38" t="s">
        <v>445</v>
      </c>
      <c r="F13" s="20"/>
    </row>
    <row r="14" spans="1:6" ht="26" customHeight="1" x14ac:dyDescent="0.2">
      <c r="A14" s="17" t="s">
        <v>446</v>
      </c>
      <c r="B14" s="18" t="s">
        <v>447</v>
      </c>
      <c r="C14" s="19" t="s">
        <v>380</v>
      </c>
      <c r="D14" s="49">
        <f>H2_cons*bio_O2/bio_H2</f>
        <v>3.5383616607692927E-5</v>
      </c>
      <c r="E14" s="114" t="s">
        <v>448</v>
      </c>
      <c r="F14" s="20"/>
    </row>
    <row r="15" spans="1:6" x14ac:dyDescent="0.2">
      <c r="A15" s="17" t="s">
        <v>449</v>
      </c>
      <c r="B15" s="18" t="s">
        <v>450</v>
      </c>
      <c r="C15" s="19" t="s">
        <v>380</v>
      </c>
      <c r="D15" s="49">
        <f>H2_cons*bio_CO2/bio_H2</f>
        <v>1.7691808303846464E-5</v>
      </c>
      <c r="E15" s="38" t="s">
        <v>451</v>
      </c>
      <c r="F15" s="20"/>
    </row>
    <row r="16" spans="1:6" x14ac:dyDescent="0.2">
      <c r="A16" s="120" t="s">
        <v>452</v>
      </c>
      <c r="B16" s="18" t="s">
        <v>453</v>
      </c>
      <c r="C16" s="19" t="s">
        <v>380</v>
      </c>
      <c r="D16" s="49">
        <f>O2_net_gen-O2_cons</f>
        <v>1.769180830384646E-5</v>
      </c>
      <c r="E16" s="124" t="s">
        <v>454</v>
      </c>
      <c r="F16" s="20"/>
    </row>
    <row r="17" spans="1:6" x14ac:dyDescent="0.2">
      <c r="A17" s="17" t="s">
        <v>455</v>
      </c>
      <c r="B17" s="18" t="s">
        <v>456</v>
      </c>
      <c r="C17" s="19" t="s">
        <v>55</v>
      </c>
      <c r="D17" s="63">
        <f>Summary!$D$8</f>
        <v>30</v>
      </c>
      <c r="E17" s="38" t="s">
        <v>457</v>
      </c>
      <c r="F17" s="20"/>
    </row>
    <row r="18" spans="1:6" ht="24" customHeight="1" x14ac:dyDescent="0.2">
      <c r="A18" s="17" t="s">
        <v>458</v>
      </c>
      <c r="B18" s="18" t="s">
        <v>333</v>
      </c>
      <c r="C18" s="19" t="s">
        <v>334</v>
      </c>
      <c r="D18" s="43">
        <f>T_C+273.15</f>
        <v>303.14999999999998</v>
      </c>
      <c r="E18" s="102" t="s">
        <v>459</v>
      </c>
      <c r="F18" s="20"/>
    </row>
    <row r="19" spans="1:6" x14ac:dyDescent="0.2">
      <c r="A19" s="17" t="s">
        <v>460</v>
      </c>
      <c r="B19" s="18" t="s">
        <v>336</v>
      </c>
      <c r="C19" s="19" t="s">
        <v>64</v>
      </c>
      <c r="D19" s="64">
        <f>IF(Summary!$D$10&gt;0,Summary!$D$10,101325)</f>
        <v>101325</v>
      </c>
      <c r="E19" s="38" t="s">
        <v>461</v>
      </c>
      <c r="F19" s="20"/>
    </row>
    <row r="20" spans="1:6" x14ac:dyDescent="0.2">
      <c r="A20" s="17" t="s">
        <v>462</v>
      </c>
      <c r="B20" s="18" t="s">
        <v>463</v>
      </c>
      <c r="C20" s="19" t="s">
        <v>464</v>
      </c>
      <c r="D20" s="53">
        <v>101325</v>
      </c>
      <c r="E20" s="102" t="s">
        <v>465</v>
      </c>
      <c r="F20" s="20"/>
    </row>
    <row r="21" spans="1:6" x14ac:dyDescent="0.2">
      <c r="A21" s="17" t="s">
        <v>466</v>
      </c>
      <c r="B21" s="18" t="s">
        <v>467</v>
      </c>
      <c r="C21" s="19" t="s">
        <v>468</v>
      </c>
      <c r="D21" s="53">
        <v>1.2E-5</v>
      </c>
      <c r="E21" s="52" t="s">
        <v>469</v>
      </c>
      <c r="F21" s="20"/>
    </row>
    <row r="22" spans="1:6" x14ac:dyDescent="0.2">
      <c r="A22" s="17" t="s">
        <v>470</v>
      </c>
      <c r="B22" s="18" t="s">
        <v>471</v>
      </c>
      <c r="C22" s="19" t="s">
        <v>334</v>
      </c>
      <c r="D22" s="53">
        <v>1500</v>
      </c>
      <c r="E22" s="52" t="s">
        <v>472</v>
      </c>
      <c r="F22" s="20"/>
    </row>
    <row r="23" spans="1:6" x14ac:dyDescent="0.2">
      <c r="A23" s="17" t="s">
        <v>473</v>
      </c>
      <c r="B23" s="18" t="s">
        <v>474</v>
      </c>
      <c r="C23" s="19" t="s">
        <v>334</v>
      </c>
      <c r="D23" s="53">
        <v>298.14999999999998</v>
      </c>
      <c r="E23" s="102" t="s">
        <v>475</v>
      </c>
      <c r="F23" s="20"/>
    </row>
    <row r="24" spans="1:6" x14ac:dyDescent="0.2">
      <c r="A24" s="17" t="s">
        <v>476</v>
      </c>
      <c r="B24" s="18" t="s">
        <v>477</v>
      </c>
      <c r="C24" s="19" t="s">
        <v>468</v>
      </c>
      <c r="D24" s="65">
        <f>H_O2ref*EXP(H_O2T*(1/T_K-1/T_ref))</f>
        <v>1.1044444261766009E-5</v>
      </c>
      <c r="E24" s="102" t="s">
        <v>478</v>
      </c>
      <c r="F24" s="20"/>
    </row>
    <row r="25" spans="1:6" ht="24" customHeight="1" x14ac:dyDescent="0.2">
      <c r="A25" s="17" t="s">
        <v>479</v>
      </c>
      <c r="B25" s="18" t="s">
        <v>480</v>
      </c>
      <c r="C25" s="19" t="s">
        <v>481</v>
      </c>
      <c r="D25" s="53">
        <v>0.3</v>
      </c>
      <c r="E25" s="52" t="s">
        <v>482</v>
      </c>
      <c r="F25" s="20"/>
    </row>
    <row r="26" spans="1:6" x14ac:dyDescent="0.2">
      <c r="A26" s="17" t="s">
        <v>483</v>
      </c>
      <c r="B26" s="18" t="s">
        <v>484</v>
      </c>
      <c r="C26" s="19" t="s">
        <v>64</v>
      </c>
      <c r="D26" s="44">
        <f>O2_ceil_atm*Pa_per_atm</f>
        <v>30397.5</v>
      </c>
      <c r="E26" s="102" t="s">
        <v>485</v>
      </c>
      <c r="F26" s="20"/>
    </row>
    <row r="27" spans="1:6" x14ac:dyDescent="0.2">
      <c r="A27" s="17" t="s">
        <v>486</v>
      </c>
      <c r="B27" s="18" t="s">
        <v>487</v>
      </c>
      <c r="C27" s="19" t="s">
        <v>488</v>
      </c>
      <c r="D27" s="47">
        <f>H_O2_T*O2_ceil_Pa</f>
        <v>0.33572349444703226</v>
      </c>
      <c r="E27" s="102" t="s">
        <v>489</v>
      </c>
      <c r="F27" s="20"/>
    </row>
    <row r="28" spans="1:6" x14ac:dyDescent="0.2">
      <c r="A28" s="120" t="s">
        <v>486</v>
      </c>
      <c r="B28" s="18" t="s">
        <v>490</v>
      </c>
      <c r="C28" s="19" t="s">
        <v>491</v>
      </c>
      <c r="D28" s="44">
        <f>O2_ceil_C*1000</f>
        <v>335.72349444703224</v>
      </c>
      <c r="E28" s="66" t="s">
        <v>492</v>
      </c>
      <c r="F28" s="20"/>
    </row>
    <row r="29" spans="1:6" x14ac:dyDescent="0.2">
      <c r="A29" s="17" t="s">
        <v>493</v>
      </c>
      <c r="B29" s="18" t="s">
        <v>494</v>
      </c>
      <c r="C29" s="19" t="s">
        <v>468</v>
      </c>
      <c r="D29" s="67">
        <v>3.3E-4</v>
      </c>
      <c r="E29" s="68" t="s">
        <v>495</v>
      </c>
      <c r="F29" s="20"/>
    </row>
    <row r="30" spans="1:6" ht="24" customHeight="1" x14ac:dyDescent="0.2">
      <c r="A30" s="17" t="s">
        <v>496</v>
      </c>
      <c r="B30" s="18" t="s">
        <v>497</v>
      </c>
      <c r="C30" s="19" t="s">
        <v>334</v>
      </c>
      <c r="D30" s="67">
        <v>2400</v>
      </c>
      <c r="E30" s="68" t="s">
        <v>498</v>
      </c>
      <c r="F30" s="20"/>
    </row>
    <row r="31" spans="1:6" x14ac:dyDescent="0.2">
      <c r="A31" s="17" t="s">
        <v>499</v>
      </c>
      <c r="B31" s="18" t="s">
        <v>500</v>
      </c>
      <c r="C31" s="19" t="s">
        <v>468</v>
      </c>
      <c r="D31" s="49">
        <f>H_CO2ref*EXP(H_CO2T*(1/T_K-1/T_ref))</f>
        <v>2.8897091602523201E-4</v>
      </c>
      <c r="E31" s="102" t="s">
        <v>501</v>
      </c>
      <c r="F31" s="20"/>
    </row>
    <row r="32" spans="1:6" x14ac:dyDescent="0.2">
      <c r="A32" s="17" t="s">
        <v>502</v>
      </c>
      <c r="B32" s="18" t="s">
        <v>503</v>
      </c>
      <c r="C32" s="19" t="s">
        <v>64</v>
      </c>
      <c r="D32" s="49">
        <f>P_atm</f>
        <v>101325</v>
      </c>
      <c r="E32" s="69" t="s">
        <v>504</v>
      </c>
      <c r="F32" s="20"/>
    </row>
    <row r="33" spans="1:6" x14ac:dyDescent="0.2">
      <c r="A33" s="17" t="s">
        <v>505</v>
      </c>
      <c r="B33" s="18" t="s">
        <v>506</v>
      </c>
      <c r="C33" s="19" t="s">
        <v>488</v>
      </c>
      <c r="D33" s="49">
        <f>H_CO2_T*p_CO2_sparge</f>
        <v>29.279978066256632</v>
      </c>
      <c r="E33" s="102" t="s">
        <v>507</v>
      </c>
      <c r="F33" s="20"/>
    </row>
    <row r="34" spans="1:6" x14ac:dyDescent="0.2">
      <c r="A34" s="17" t="s">
        <v>508</v>
      </c>
      <c r="B34" s="18" t="s">
        <v>509</v>
      </c>
      <c r="C34" s="19" t="s">
        <v>491</v>
      </c>
      <c r="D34" s="125">
        <v>50</v>
      </c>
      <c r="E34" s="70" t="s">
        <v>510</v>
      </c>
      <c r="F34" s="20"/>
    </row>
    <row r="35" spans="1:6" ht="24" customHeight="1" x14ac:dyDescent="0.2">
      <c r="A35" s="17" t="s">
        <v>511</v>
      </c>
      <c r="B35" s="18" t="s">
        <v>512</v>
      </c>
      <c r="C35" s="19" t="s">
        <v>115</v>
      </c>
      <c r="D35" s="49">
        <f>CO2_diss*1000/Km_CO2</f>
        <v>585.59956132513264</v>
      </c>
      <c r="E35" s="102" t="s">
        <v>513</v>
      </c>
      <c r="F35" s="20"/>
    </row>
    <row r="36" spans="1:6" x14ac:dyDescent="0.2">
      <c r="A36" s="17" t="s">
        <v>514</v>
      </c>
      <c r="B36" s="18" t="s">
        <v>515</v>
      </c>
      <c r="C36" s="19" t="s">
        <v>516</v>
      </c>
      <c r="D36" s="67">
        <v>4.4499999999999997E-7</v>
      </c>
      <c r="E36" s="68" t="s">
        <v>517</v>
      </c>
      <c r="F36" s="20"/>
    </row>
    <row r="37" spans="1:6" ht="24" customHeight="1" x14ac:dyDescent="0.2">
      <c r="A37" s="17" t="s">
        <v>518</v>
      </c>
      <c r="B37" s="18" t="s">
        <v>519</v>
      </c>
      <c r="C37" s="19" t="s">
        <v>160</v>
      </c>
      <c r="D37" s="49">
        <f>-LOG10(SQRT(Ka1_carb*(CO2_diss/1000)))</f>
        <v>3.9425346209821237</v>
      </c>
      <c r="E37" s="70" t="s">
        <v>520</v>
      </c>
      <c r="F37" s="20"/>
    </row>
    <row r="38" spans="1:6" x14ac:dyDescent="0.2">
      <c r="A38" s="17" t="s">
        <v>521</v>
      </c>
      <c r="B38" s="18" t="s">
        <v>522</v>
      </c>
      <c r="C38" s="19" t="s">
        <v>468</v>
      </c>
      <c r="D38" s="67">
        <v>7.7999999999999999E-6</v>
      </c>
      <c r="E38" s="68" t="s">
        <v>523</v>
      </c>
      <c r="F38" s="20"/>
    </row>
    <row r="39" spans="1:6" x14ac:dyDescent="0.2">
      <c r="A39" s="17" t="s">
        <v>524</v>
      </c>
      <c r="B39" s="18" t="s">
        <v>525</v>
      </c>
      <c r="C39" s="19" t="s">
        <v>334</v>
      </c>
      <c r="D39" s="67">
        <v>500</v>
      </c>
      <c r="E39" s="68" t="s">
        <v>526</v>
      </c>
      <c r="F39" s="20"/>
    </row>
    <row r="40" spans="1:6" x14ac:dyDescent="0.2">
      <c r="A40" s="17" t="s">
        <v>527</v>
      </c>
      <c r="B40" s="18" t="s">
        <v>528</v>
      </c>
      <c r="C40" s="19" t="s">
        <v>468</v>
      </c>
      <c r="D40" s="49">
        <f>H_H2ref*EXP(H_H2T*(1/T_K-1/T_ref))</f>
        <v>7.5872106737254795E-6</v>
      </c>
      <c r="E40" s="102" t="s">
        <v>501</v>
      </c>
      <c r="F40" s="20"/>
    </row>
    <row r="41" spans="1:6" x14ac:dyDescent="0.2">
      <c r="A41" s="17" t="s">
        <v>529</v>
      </c>
      <c r="B41" s="18" t="s">
        <v>530</v>
      </c>
      <c r="C41" s="19" t="s">
        <v>488</v>
      </c>
      <c r="D41" s="49">
        <f>H_H2_T*P_atm</f>
        <v>0.76877412151523417</v>
      </c>
      <c r="E41" s="102" t="s">
        <v>531</v>
      </c>
      <c r="F41" s="20"/>
    </row>
    <row r="42" spans="1:6" ht="24" customHeight="1" x14ac:dyDescent="0.2">
      <c r="A42" s="17" t="s">
        <v>532</v>
      </c>
      <c r="B42" s="18" t="s">
        <v>533</v>
      </c>
      <c r="C42" s="19" t="s">
        <v>71</v>
      </c>
      <c r="D42" s="49">
        <f>C_H2_sat*(V_charge/1000000)/rH2_gen*60</f>
        <v>6.5180515324831827</v>
      </c>
      <c r="E42" s="102" t="s">
        <v>534</v>
      </c>
      <c r="F42" s="20"/>
    </row>
    <row r="43" spans="1:6" x14ac:dyDescent="0.2">
      <c r="A43" s="17" t="s">
        <v>535</v>
      </c>
      <c r="B43" s="18" t="s">
        <v>536</v>
      </c>
      <c r="C43" s="19" t="s">
        <v>537</v>
      </c>
      <c r="D43" s="49">
        <f>rH2_gen/(V_charge/1000000)/C_H2_sat</f>
        <v>9.20520491453399</v>
      </c>
      <c r="E43" s="70" t="s">
        <v>538</v>
      </c>
      <c r="F43" s="20"/>
    </row>
    <row r="44" spans="1:6" ht="24" customHeight="1" x14ac:dyDescent="0.2">
      <c r="A44" s="17" t="s">
        <v>539</v>
      </c>
      <c r="B44" s="18" t="s">
        <v>540</v>
      </c>
      <c r="C44" s="19" t="s">
        <v>160</v>
      </c>
      <c r="D44" s="49" t="str">
        <f>IF(H2_turnover&gt;1,"EXPLOSIVE","watch")</f>
        <v>EXPLOSIVE</v>
      </c>
      <c r="E44" s="71" t="s">
        <v>541</v>
      </c>
      <c r="F44" s="108" t="s">
        <v>542</v>
      </c>
    </row>
    <row r="45" spans="1:6" x14ac:dyDescent="0.2">
      <c r="A45" s="20" t="s">
        <v>543</v>
      </c>
      <c r="B45" s="20" t="s">
        <v>544</v>
      </c>
      <c r="C45" s="20" t="s">
        <v>107</v>
      </c>
      <c r="D45" s="72" t="e">
        <f>IF(ISNUMBER(VLOOKUP(organism_sel,$A$52:$F$57,2,FALSE)),VLOOKUP(organism_sel,$A$52:$F$57,2,FALSE),NA())</f>
        <v>#N/A</v>
      </c>
      <c r="E45" s="20"/>
      <c r="F45" s="20"/>
    </row>
    <row r="46" spans="1:6" x14ac:dyDescent="0.2">
      <c r="A46" s="20" t="s">
        <v>545</v>
      </c>
      <c r="B46" s="20" t="s">
        <v>546</v>
      </c>
      <c r="C46" s="20" t="s">
        <v>107</v>
      </c>
      <c r="D46" s="24" t="e">
        <f>IF(ISNUMBER(VLOOKUP(organism_sel,$A$52:$F$57,3,FALSE)),VLOOKUP(organism_sel,$A$52:$F$57,3,FALSE),NA())</f>
        <v>#N/A</v>
      </c>
      <c r="E46" s="20"/>
      <c r="F46" s="20"/>
    </row>
    <row r="47" spans="1:6" x14ac:dyDescent="0.2">
      <c r="A47" s="20" t="s">
        <v>547</v>
      </c>
      <c r="B47" s="20" t="s">
        <v>548</v>
      </c>
      <c r="C47" s="20" t="s">
        <v>107</v>
      </c>
      <c r="D47" s="24" t="e">
        <f>IF(ISNUMBER(VLOOKUP(organism_sel,$A$52:$F$57,4,FALSE)),VLOOKUP(organism_sel,$A$52:$F$57,4,FALSE),NA())</f>
        <v>#N/A</v>
      </c>
      <c r="E47" s="20"/>
      <c r="F47" s="20"/>
    </row>
    <row r="48" spans="1:6" x14ac:dyDescent="0.2">
      <c r="A48" s="20" t="s">
        <v>549</v>
      </c>
      <c r="B48" s="20" t="s">
        <v>550</v>
      </c>
      <c r="C48" s="20" t="s">
        <v>107</v>
      </c>
      <c r="D48" s="24" t="e">
        <f>IF(ISNUMBER(VLOOKUP(organism_sel,$A$52:$F$57,5,FALSE)),VLOOKUP(organism_sel,$A$52:$F$57,5,FALSE),NA())</f>
        <v>#N/A</v>
      </c>
      <c r="E48" s="20"/>
      <c r="F48" s="20"/>
    </row>
    <row r="49" spans="1:6" x14ac:dyDescent="0.2">
      <c r="A49" s="20"/>
      <c r="B49" s="60"/>
      <c r="C49" s="60"/>
      <c r="D49" s="60"/>
      <c r="E49" s="60"/>
      <c r="F49" s="20"/>
    </row>
    <row r="50" spans="1:6" x14ac:dyDescent="0.2">
      <c r="A50" s="110" t="s">
        <v>551</v>
      </c>
      <c r="B50" s="20"/>
      <c r="C50" s="20"/>
      <c r="D50" s="20"/>
      <c r="E50" s="20"/>
      <c r="F50" s="20"/>
    </row>
    <row r="51" spans="1:6" x14ac:dyDescent="0.2">
      <c r="A51" s="110" t="s">
        <v>552</v>
      </c>
      <c r="B51" s="110" t="s">
        <v>553</v>
      </c>
      <c r="C51" s="110" t="s">
        <v>554</v>
      </c>
      <c r="D51" s="110" t="s">
        <v>555</v>
      </c>
      <c r="E51" s="110" t="s">
        <v>556</v>
      </c>
      <c r="F51" s="110" t="s">
        <v>557</v>
      </c>
    </row>
    <row r="52" spans="1:6" x14ac:dyDescent="0.2">
      <c r="A52" s="20" t="s">
        <v>39</v>
      </c>
      <c r="B52" s="60" t="s">
        <v>425</v>
      </c>
      <c r="C52" s="20">
        <v>2.6</v>
      </c>
      <c r="D52" s="20">
        <v>3</v>
      </c>
      <c r="E52" s="20">
        <v>11.5</v>
      </c>
      <c r="F52" s="108" t="s">
        <v>558</v>
      </c>
    </row>
    <row r="53" spans="1:6" x14ac:dyDescent="0.2">
      <c r="A53" s="20" t="s">
        <v>559</v>
      </c>
      <c r="B53" s="60" t="s">
        <v>425</v>
      </c>
      <c r="C53" s="60" t="s">
        <v>425</v>
      </c>
      <c r="D53" s="60" t="s">
        <v>425</v>
      </c>
      <c r="E53" s="20">
        <v>11.5</v>
      </c>
      <c r="F53" s="20" t="s">
        <v>560</v>
      </c>
    </row>
    <row r="54" spans="1:6" x14ac:dyDescent="0.2">
      <c r="A54" s="20" t="s">
        <v>561</v>
      </c>
      <c r="B54" s="60" t="s">
        <v>425</v>
      </c>
      <c r="C54" s="60" t="s">
        <v>425</v>
      </c>
      <c r="D54" s="60" t="s">
        <v>425</v>
      </c>
      <c r="E54" s="60" t="s">
        <v>425</v>
      </c>
      <c r="F54" s="20" t="s">
        <v>562</v>
      </c>
    </row>
    <row r="55" spans="1:6" x14ac:dyDescent="0.2">
      <c r="A55" s="20" t="s">
        <v>563</v>
      </c>
      <c r="B55" s="60" t="s">
        <v>425</v>
      </c>
      <c r="C55" s="60" t="s">
        <v>425</v>
      </c>
      <c r="D55" s="60" t="s">
        <v>425</v>
      </c>
      <c r="E55" s="60" t="s">
        <v>425</v>
      </c>
      <c r="F55" s="20" t="s">
        <v>562</v>
      </c>
    </row>
    <row r="56" spans="1:6" x14ac:dyDescent="0.2">
      <c r="A56" s="20" t="s">
        <v>564</v>
      </c>
      <c r="B56" s="60" t="s">
        <v>425</v>
      </c>
      <c r="C56" s="60" t="s">
        <v>425</v>
      </c>
      <c r="D56" s="60" t="s">
        <v>425</v>
      </c>
      <c r="E56" s="60" t="s">
        <v>425</v>
      </c>
      <c r="F56" s="20" t="s">
        <v>562</v>
      </c>
    </row>
    <row r="57" spans="1:6" x14ac:dyDescent="0.2">
      <c r="A57" s="20" t="s">
        <v>565</v>
      </c>
      <c r="B57" s="60" t="s">
        <v>425</v>
      </c>
      <c r="C57" s="60" t="s">
        <v>425</v>
      </c>
      <c r="D57" s="60" t="s">
        <v>425</v>
      </c>
      <c r="E57" s="60" t="s">
        <v>425</v>
      </c>
      <c r="F57" s="20" t="s">
        <v>566</v>
      </c>
    </row>
    <row r="58" spans="1:6" x14ac:dyDescent="0.2">
      <c r="A58" s="20"/>
      <c r="B58" s="20"/>
      <c r="C58" s="20"/>
      <c r="D58" s="33"/>
      <c r="E58" s="20"/>
      <c r="F58" s="20"/>
    </row>
  </sheetData>
  <conditionalFormatting sqref="D9">
    <cfRule type="colorScale" priority="2">
      <colorScale>
        <cfvo type="num" val="0"/>
        <cfvo type="num" val="1.5E-5"/>
        <cfvo type="num" val="4.0000000000000003E-5"/>
        <color rgb="FF63BE7B"/>
        <color rgb="FFFFEB84"/>
        <color rgb="FFF8696B"/>
      </colorScale>
    </cfRule>
  </conditionalFormatting>
  <conditionalFormatting sqref="D37">
    <cfRule type="cellIs" dxfId="8" priority="1" operator="equal">
      <formula>"EXPLOSIVE"</formula>
    </cfRule>
  </conditionalFormatting>
  <conditionalFormatting sqref="D44">
    <cfRule type="expression" dxfId="7" priority="3" stopIfTrue="1">
      <formula>ISNUMBER(SEARCH("EXPLOSIVE",D44))</formula>
    </cfRule>
  </conditionalFormatting>
  <pageMargins left="0.75" right="0.75" top="1" bottom="1" header="0.5" footer="0.5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6"/>
  </sheetPr>
  <dimension ref="A1:F132"/>
  <sheetViews>
    <sheetView topLeftCell="A101" zoomScale="137" workbookViewId="0">
      <selection activeCell="D113" sqref="D113"/>
    </sheetView>
  </sheetViews>
  <sheetFormatPr baseColWidth="10" defaultColWidth="8.83203125" defaultRowHeight="15" x14ac:dyDescent="0.2"/>
  <cols>
    <col min="1" max="1" width="30" customWidth="1"/>
    <col min="2" max="2" width="15" customWidth="1"/>
    <col min="4" max="4" width="14.5" customWidth="1"/>
    <col min="5" max="5" width="60" customWidth="1"/>
  </cols>
  <sheetData>
    <row r="1" spans="1:6" ht="16" customHeight="1" x14ac:dyDescent="0.2">
      <c r="A1" s="111" t="s">
        <v>567</v>
      </c>
      <c r="B1" s="20"/>
      <c r="C1" s="20"/>
      <c r="D1" s="20"/>
      <c r="E1" s="20"/>
      <c r="F1" s="20"/>
    </row>
    <row r="2" spans="1:6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156</v>
      </c>
      <c r="F2" s="20"/>
    </row>
    <row r="3" spans="1:6" x14ac:dyDescent="0.2">
      <c r="A3" s="17"/>
      <c r="B3" s="18"/>
      <c r="C3" s="19"/>
      <c r="D3" s="112"/>
      <c r="E3" s="38"/>
      <c r="F3" s="20"/>
    </row>
    <row r="4" spans="1:6" ht="16" customHeight="1" x14ac:dyDescent="0.2">
      <c r="A4" s="111" t="s">
        <v>157</v>
      </c>
      <c r="B4" s="18"/>
      <c r="C4" s="19"/>
      <c r="D4" s="112"/>
      <c r="E4" s="38"/>
      <c r="F4" s="20"/>
    </row>
    <row r="5" spans="1:6" x14ac:dyDescent="0.2">
      <c r="A5" s="17" t="s">
        <v>568</v>
      </c>
      <c r="B5" s="18" t="s">
        <v>569</v>
      </c>
      <c r="C5" s="19" t="s">
        <v>171</v>
      </c>
      <c r="D5" s="73">
        <f>Geometry!$D$52</f>
        <v>12</v>
      </c>
      <c r="E5" s="74" t="str">
        <f>HYPERLINK("#Geometry!D52","→ Geometry")</f>
        <v>→ Geometry</v>
      </c>
      <c r="F5" s="108" t="s">
        <v>570</v>
      </c>
    </row>
    <row r="6" spans="1:6" x14ac:dyDescent="0.2">
      <c r="A6" s="20" t="s">
        <v>571</v>
      </c>
      <c r="B6" s="20" t="s">
        <v>487</v>
      </c>
      <c r="C6" s="20" t="s">
        <v>488</v>
      </c>
      <c r="D6" s="26">
        <f>Biology!$D$27</f>
        <v>0.33572349444703226</v>
      </c>
      <c r="E6" s="23" t="str">
        <f>HYPERLINK("#Biology!D27","→ Biology")</f>
        <v>→ Biology</v>
      </c>
      <c r="F6" s="20"/>
    </row>
    <row r="7" spans="1:6" x14ac:dyDescent="0.2">
      <c r="A7" s="20" t="s">
        <v>572</v>
      </c>
      <c r="B7" s="20" t="s">
        <v>484</v>
      </c>
      <c r="C7" s="20" t="s">
        <v>64</v>
      </c>
      <c r="D7" s="26">
        <f>Biology!$D$26</f>
        <v>30397.5</v>
      </c>
      <c r="E7" s="23" t="str">
        <f>HYPERLINK("#Biology!D26","→ Biology")</f>
        <v>→ Biology</v>
      </c>
      <c r="F7" s="20"/>
    </row>
    <row r="8" spans="1:6" ht="24" customHeight="1" x14ac:dyDescent="0.2">
      <c r="A8" s="20" t="s">
        <v>332</v>
      </c>
      <c r="B8" s="20" t="s">
        <v>333</v>
      </c>
      <c r="C8" s="20" t="s">
        <v>334</v>
      </c>
      <c r="D8" s="26">
        <f>Biology!$D$18</f>
        <v>303.14999999999998</v>
      </c>
      <c r="E8" s="23" t="str">
        <f>HYPERLINK("#Biology!D18","→ Biology")</f>
        <v>→ Biology</v>
      </c>
      <c r="F8" s="20"/>
    </row>
    <row r="9" spans="1:6" x14ac:dyDescent="0.2">
      <c r="A9" s="20" t="s">
        <v>335</v>
      </c>
      <c r="B9" s="20" t="s">
        <v>336</v>
      </c>
      <c r="C9" s="20" t="s">
        <v>64</v>
      </c>
      <c r="D9" s="26">
        <f>Biology!$D$19</f>
        <v>101325</v>
      </c>
      <c r="E9" s="23" t="str">
        <f>HYPERLINK("#Biology!D19","→ Biology")</f>
        <v>→ Biology</v>
      </c>
      <c r="F9" s="20"/>
    </row>
    <row r="10" spans="1:6" x14ac:dyDescent="0.2">
      <c r="A10" s="20" t="s">
        <v>573</v>
      </c>
      <c r="B10" s="20" t="s">
        <v>450</v>
      </c>
      <c r="C10" s="20" t="s">
        <v>380</v>
      </c>
      <c r="D10" s="26">
        <f>Biology!$D$15</f>
        <v>1.7691808303846464E-5</v>
      </c>
      <c r="E10" s="23" t="str">
        <f>HYPERLINK("#Biology!D15","→ Biology")</f>
        <v>→ Biology</v>
      </c>
      <c r="F10" s="20"/>
    </row>
    <row r="11" spans="1:6" x14ac:dyDescent="0.2">
      <c r="A11" s="20" t="s">
        <v>574</v>
      </c>
      <c r="B11" s="20" t="s">
        <v>453</v>
      </c>
      <c r="C11" s="20" t="s">
        <v>380</v>
      </c>
      <c r="D11" s="26">
        <f>Biology!$D$16</f>
        <v>1.769180830384646E-5</v>
      </c>
      <c r="E11" s="23" t="str">
        <f>HYPERLINK("#Biology!D16","→ Biology")</f>
        <v>→ Biology</v>
      </c>
      <c r="F11" s="20"/>
    </row>
    <row r="12" spans="1:6" x14ac:dyDescent="0.2">
      <c r="A12" s="20" t="s">
        <v>575</v>
      </c>
      <c r="B12" s="20" t="s">
        <v>477</v>
      </c>
      <c r="C12" s="20" t="s">
        <v>468</v>
      </c>
      <c r="D12" s="26">
        <f>Biology!$D$24</f>
        <v>1.1044444261766009E-5</v>
      </c>
      <c r="E12" s="23" t="str">
        <f>HYPERLINK("#Biology!D24","→ Biology")</f>
        <v>→ Biology</v>
      </c>
      <c r="F12" s="20"/>
    </row>
    <row r="13" spans="1:6" x14ac:dyDescent="0.2">
      <c r="A13" s="20" t="s">
        <v>431</v>
      </c>
      <c r="B13" s="20" t="s">
        <v>405</v>
      </c>
      <c r="C13" s="20" t="s">
        <v>380</v>
      </c>
      <c r="D13" s="27">
        <f>Electrochemistry!$D$29</f>
        <v>5.3075424911539388E-5</v>
      </c>
      <c r="E13" s="23" t="str">
        <f>HYPERLINK("#Electrochemistry!D29","→ Electrochemistry")</f>
        <v>→ Electrochemistry</v>
      </c>
      <c r="F13" s="20"/>
    </row>
    <row r="14" spans="1:6" x14ac:dyDescent="0.2">
      <c r="A14" s="20" t="s">
        <v>576</v>
      </c>
      <c r="B14" s="20" t="s">
        <v>262</v>
      </c>
      <c r="C14" s="20" t="s">
        <v>197</v>
      </c>
      <c r="D14" s="25">
        <f>Geometry!$D$44</f>
        <v>429.5477251405668</v>
      </c>
      <c r="E14" s="23" t="str">
        <f>HYPERLINK("#Geometry!D44","→ Geometry")</f>
        <v>→ Geometry</v>
      </c>
      <c r="F14" s="20"/>
    </row>
    <row r="15" spans="1:6" x14ac:dyDescent="0.2">
      <c r="A15" s="20" t="s">
        <v>577</v>
      </c>
      <c r="B15" s="20" t="s">
        <v>193</v>
      </c>
      <c r="C15" s="20" t="s">
        <v>171</v>
      </c>
      <c r="D15" s="25">
        <f>Geometry!$D$20</f>
        <v>25.28</v>
      </c>
      <c r="E15" s="23" t="str">
        <f>HYPERLINK("#Geometry!D20","→ Geometry")</f>
        <v>→ Geometry</v>
      </c>
      <c r="F15" s="20"/>
    </row>
    <row r="16" spans="1:6" x14ac:dyDescent="0.2">
      <c r="A16" s="20" t="s">
        <v>432</v>
      </c>
      <c r="B16" s="20" t="s">
        <v>253</v>
      </c>
      <c r="C16" s="20" t="s">
        <v>59</v>
      </c>
      <c r="D16" s="25">
        <f>Geometry!$D$41</f>
        <v>15</v>
      </c>
      <c r="E16" s="23" t="str">
        <f>HYPERLINK("#Geometry!D41","→ Geometry")</f>
        <v>→ Geometry</v>
      </c>
      <c r="F16" s="20"/>
    </row>
    <row r="17" spans="1:6" x14ac:dyDescent="0.2">
      <c r="A17" s="20" t="s">
        <v>578</v>
      </c>
      <c r="B17" s="20" t="s">
        <v>196</v>
      </c>
      <c r="C17" s="20" t="s">
        <v>197</v>
      </c>
      <c r="D17" s="25">
        <f>Geometry!$D$21</f>
        <v>501.93100162697988</v>
      </c>
      <c r="E17" s="23" t="str">
        <f>HYPERLINK("#Geometry!D21","→ Geometry")</f>
        <v>→ Geometry</v>
      </c>
      <c r="F17" s="20"/>
    </row>
    <row r="18" spans="1:6" ht="24" customHeight="1" x14ac:dyDescent="0.2">
      <c r="A18" s="20" t="s">
        <v>579</v>
      </c>
      <c r="B18" s="20" t="s">
        <v>225</v>
      </c>
      <c r="C18" s="20" t="s">
        <v>171</v>
      </c>
      <c r="D18" s="25">
        <f>Geometry!$D$31</f>
        <v>1.5874999999999999</v>
      </c>
      <c r="E18" s="23" t="str">
        <f>HYPERLINK("#Geometry!D31","→ Geometry")</f>
        <v>→ Geometry</v>
      </c>
      <c r="F18" s="20"/>
    </row>
    <row r="19" spans="1:6" x14ac:dyDescent="0.2">
      <c r="A19" s="20" t="s">
        <v>580</v>
      </c>
      <c r="B19" s="20" t="s">
        <v>277</v>
      </c>
      <c r="C19" s="20" t="s">
        <v>59</v>
      </c>
      <c r="D19" s="25">
        <f>Geometry!$D$49</f>
        <v>2.6124284559171356</v>
      </c>
      <c r="E19" s="23" t="str">
        <f>HYPERLINK("#Geometry!D49","→ Geometry")</f>
        <v>→ Geometry</v>
      </c>
      <c r="F19" s="20"/>
    </row>
    <row r="20" spans="1:6" x14ac:dyDescent="0.2">
      <c r="A20" s="20" t="s">
        <v>581</v>
      </c>
      <c r="B20" s="20" t="s">
        <v>582</v>
      </c>
      <c r="C20" s="20" t="s">
        <v>583</v>
      </c>
      <c r="D20" s="27">
        <f>Electrochemistry!$D$32</f>
        <v>0</v>
      </c>
      <c r="E20" s="23" t="str">
        <f>HYPERLINK("#Electrochemistry!D32","→ Electrochemistry")</f>
        <v>→ Electrochemistry</v>
      </c>
      <c r="F20" s="20"/>
    </row>
    <row r="21" spans="1:6" x14ac:dyDescent="0.2">
      <c r="A21" s="20" t="s">
        <v>584</v>
      </c>
      <c r="B21" s="20" t="s">
        <v>416</v>
      </c>
      <c r="C21" s="20" t="s">
        <v>160</v>
      </c>
      <c r="D21" s="27" t="str">
        <f>Electrochemistry!$D$31</f>
        <v>Tube</v>
      </c>
      <c r="E21" s="23" t="str">
        <f>HYPERLINK("#Electrochemistry!D31","→ Electrochemistry")</f>
        <v>→ Electrochemistry</v>
      </c>
      <c r="F21" s="20"/>
    </row>
    <row r="22" spans="1:6" ht="36" customHeight="1" x14ac:dyDescent="0.2">
      <c r="A22" s="20" t="s">
        <v>585</v>
      </c>
      <c r="B22" s="20" t="s">
        <v>546</v>
      </c>
      <c r="C22" s="20"/>
      <c r="D22" s="26" t="e">
        <f>Biology!$D$46</f>
        <v>#N/A</v>
      </c>
      <c r="E22" s="23" t="str">
        <f>HYPERLINK("#Biology!D46","→ Biology")</f>
        <v>→ Biology</v>
      </c>
      <c r="F22" s="20"/>
    </row>
    <row r="23" spans="1:6" x14ac:dyDescent="0.2">
      <c r="A23" s="20" t="s">
        <v>586</v>
      </c>
      <c r="B23" s="20" t="s">
        <v>548</v>
      </c>
      <c r="C23" s="20"/>
      <c r="D23" s="26" t="e">
        <f>Biology!$D$47</f>
        <v>#N/A</v>
      </c>
      <c r="E23" s="23" t="str">
        <f>HYPERLINK("#Biology!D47","→ Biology")</f>
        <v>→ Biology</v>
      </c>
      <c r="F23" s="20"/>
    </row>
    <row r="24" spans="1:6" x14ac:dyDescent="0.2">
      <c r="A24" s="20" t="s">
        <v>587</v>
      </c>
      <c r="B24" s="20" t="s">
        <v>550</v>
      </c>
      <c r="C24" s="20"/>
      <c r="D24" s="26" t="e">
        <f>Biology!$D$48</f>
        <v>#N/A</v>
      </c>
      <c r="E24" s="23" t="str">
        <f>HYPERLINK("#Biology!D48","→ Biology")</f>
        <v>→ Biology</v>
      </c>
      <c r="F24" s="20"/>
    </row>
    <row r="25" spans="1:6" x14ac:dyDescent="0.2">
      <c r="A25" s="20" t="s">
        <v>588</v>
      </c>
      <c r="B25" s="20" t="s">
        <v>544</v>
      </c>
      <c r="C25" s="20"/>
      <c r="D25" s="26" t="e">
        <f>Biology!$D$45</f>
        <v>#N/A</v>
      </c>
      <c r="E25" s="23" t="str">
        <f>HYPERLINK("#Biology!D45","→ Biology")</f>
        <v>→ Biology</v>
      </c>
      <c r="F25" s="20"/>
    </row>
    <row r="26" spans="1:6" x14ac:dyDescent="0.2">
      <c r="A26" s="17"/>
      <c r="B26" s="18"/>
      <c r="C26" s="19"/>
      <c r="D26" s="75"/>
      <c r="E26" s="76"/>
      <c r="F26" s="20"/>
    </row>
    <row r="27" spans="1:6" x14ac:dyDescent="0.2">
      <c r="A27" s="17" t="s">
        <v>589</v>
      </c>
      <c r="B27" s="18" t="s">
        <v>590</v>
      </c>
      <c r="C27" s="19" t="s">
        <v>160</v>
      </c>
      <c r="D27" s="112" t="s">
        <v>422</v>
      </c>
      <c r="E27" s="38" t="s">
        <v>591</v>
      </c>
      <c r="F27" s="20"/>
    </row>
    <row r="28" spans="1:6" x14ac:dyDescent="0.2">
      <c r="A28" s="17" t="s">
        <v>592</v>
      </c>
      <c r="B28" s="18" t="s">
        <v>593</v>
      </c>
      <c r="C28" s="19" t="s">
        <v>160</v>
      </c>
      <c r="D28" s="112" t="s">
        <v>428</v>
      </c>
      <c r="E28" s="38" t="s">
        <v>594</v>
      </c>
      <c r="F28" s="20"/>
    </row>
    <row r="29" spans="1:6" x14ac:dyDescent="0.2">
      <c r="A29" s="17" t="s">
        <v>595</v>
      </c>
      <c r="B29" s="18" t="s">
        <v>596</v>
      </c>
      <c r="C29" s="19" t="s">
        <v>597</v>
      </c>
      <c r="D29" s="77">
        <v>7.1199999999999999E-2</v>
      </c>
      <c r="E29" s="52" t="s">
        <v>598</v>
      </c>
      <c r="F29" s="20"/>
    </row>
    <row r="30" spans="1:6" ht="24" customHeight="1" x14ac:dyDescent="0.2">
      <c r="A30" s="17" t="s">
        <v>599</v>
      </c>
      <c r="B30" s="18" t="s">
        <v>600</v>
      </c>
      <c r="C30" s="19" t="s">
        <v>601</v>
      </c>
      <c r="D30" s="51">
        <v>995.65</v>
      </c>
      <c r="E30" s="52" t="s">
        <v>602</v>
      </c>
      <c r="F30" s="20"/>
    </row>
    <row r="31" spans="1:6" x14ac:dyDescent="0.2">
      <c r="A31" s="17" t="s">
        <v>603</v>
      </c>
      <c r="B31" s="18" t="s">
        <v>604</v>
      </c>
      <c r="C31" s="19" t="s">
        <v>605</v>
      </c>
      <c r="D31" s="57">
        <v>9.8066499999999994</v>
      </c>
      <c r="E31" s="103" t="s">
        <v>606</v>
      </c>
      <c r="F31" s="20"/>
    </row>
    <row r="32" spans="1:6" ht="24" customHeight="1" x14ac:dyDescent="0.2">
      <c r="A32" s="17" t="s">
        <v>607</v>
      </c>
      <c r="B32" s="18" t="s">
        <v>608</v>
      </c>
      <c r="C32" s="19" t="s">
        <v>609</v>
      </c>
      <c r="D32" s="53">
        <v>2.249E-9</v>
      </c>
      <c r="E32" s="38" t="s">
        <v>610</v>
      </c>
      <c r="F32" s="20"/>
    </row>
    <row r="33" spans="1:6" x14ac:dyDescent="0.2">
      <c r="A33" s="17" t="s">
        <v>611</v>
      </c>
      <c r="B33" s="18" t="s">
        <v>612</v>
      </c>
      <c r="C33" s="19" t="s">
        <v>613</v>
      </c>
      <c r="D33" s="53">
        <v>205</v>
      </c>
      <c r="E33" s="52" t="s">
        <v>614</v>
      </c>
      <c r="F33" s="20"/>
    </row>
    <row r="34" spans="1:6" ht="24" customHeight="1" x14ac:dyDescent="0.2">
      <c r="A34" s="17" t="s">
        <v>615</v>
      </c>
      <c r="B34" s="18" t="s">
        <v>616</v>
      </c>
      <c r="C34" s="19" t="s">
        <v>613</v>
      </c>
      <c r="D34" s="53">
        <v>130</v>
      </c>
      <c r="E34" s="52" t="s">
        <v>617</v>
      </c>
      <c r="F34" s="20"/>
    </row>
    <row r="35" spans="1:6" x14ac:dyDescent="0.2">
      <c r="A35" s="17" t="s">
        <v>618</v>
      </c>
      <c r="B35" s="18" t="s">
        <v>619</v>
      </c>
      <c r="C35" s="19" t="s">
        <v>613</v>
      </c>
      <c r="D35" s="53">
        <v>70</v>
      </c>
      <c r="E35" s="52" t="s">
        <v>620</v>
      </c>
      <c r="F35" s="20"/>
    </row>
    <row r="36" spans="1:6" x14ac:dyDescent="0.2">
      <c r="A36" s="17" t="s">
        <v>621</v>
      </c>
      <c r="B36" s="18" t="s">
        <v>622</v>
      </c>
      <c r="C36" s="19" t="s">
        <v>613</v>
      </c>
      <c r="D36" s="53">
        <v>28</v>
      </c>
      <c r="E36" s="52" t="s">
        <v>623</v>
      </c>
      <c r="F36" s="20"/>
    </row>
    <row r="37" spans="1:6" x14ac:dyDescent="0.2">
      <c r="A37" s="17" t="s">
        <v>624</v>
      </c>
      <c r="B37" s="18" t="s">
        <v>625</v>
      </c>
      <c r="C37" s="19" t="s">
        <v>613</v>
      </c>
      <c r="D37" s="53">
        <v>13</v>
      </c>
      <c r="E37" s="52" t="s">
        <v>626</v>
      </c>
      <c r="F37" s="20"/>
    </row>
    <row r="38" spans="1:6" x14ac:dyDescent="0.2">
      <c r="A38" s="17" t="s">
        <v>627</v>
      </c>
      <c r="B38" s="18" t="s">
        <v>628</v>
      </c>
      <c r="C38" s="19" t="s">
        <v>613</v>
      </c>
      <c r="D38" s="55">
        <v>1.3</v>
      </c>
      <c r="E38" s="52" t="s">
        <v>629</v>
      </c>
      <c r="F38" s="20"/>
    </row>
    <row r="39" spans="1:6" x14ac:dyDescent="0.2">
      <c r="A39" s="17" t="s">
        <v>630</v>
      </c>
      <c r="B39" s="18" t="s">
        <v>631</v>
      </c>
      <c r="C39" s="19" t="s">
        <v>632</v>
      </c>
      <c r="D39" s="78">
        <f>CHOOSE(por_grade+1,por0_um,por1_um,por2_um,por3_um,por4_um,por5_um)/1000000</f>
        <v>2.05E-4</v>
      </c>
      <c r="E39" s="102" t="s">
        <v>633</v>
      </c>
      <c r="F39" s="20"/>
    </row>
    <row r="40" spans="1:6" ht="24" customHeight="1" x14ac:dyDescent="0.2">
      <c r="A40" s="17" t="s">
        <v>634</v>
      </c>
      <c r="B40" s="18" t="s">
        <v>635</v>
      </c>
      <c r="C40" s="19" t="s">
        <v>632</v>
      </c>
      <c r="D40" s="78">
        <f>spg_ID/1000</f>
        <v>1.5874999999999999E-3</v>
      </c>
      <c r="E40" s="102" t="s">
        <v>636</v>
      </c>
      <c r="F40" s="20"/>
    </row>
    <row r="41" spans="1:6" x14ac:dyDescent="0.2">
      <c r="A41" s="17" t="s">
        <v>637</v>
      </c>
      <c r="B41" s="18" t="s">
        <v>638</v>
      </c>
      <c r="C41" s="19" t="s">
        <v>632</v>
      </c>
      <c r="D41" s="78">
        <f>IF(sparger=spg_name_1,tube_d_m,IF(sparger=spg_name_2,por_pore,NA()))</f>
        <v>1.5874999999999999E-3</v>
      </c>
      <c r="E41" s="102" t="s">
        <v>639</v>
      </c>
      <c r="F41" s="20"/>
    </row>
    <row r="42" spans="1:6" ht="24" customHeight="1" x14ac:dyDescent="0.2">
      <c r="A42" s="120" t="s">
        <v>640</v>
      </c>
      <c r="B42" s="18" t="s">
        <v>641</v>
      </c>
      <c r="C42" s="19" t="s">
        <v>632</v>
      </c>
      <c r="D42" s="49">
        <f>(6*d_orifice*sigma/(rho_L*g_const))^(1/3)</f>
        <v>4.1106061542088958E-3</v>
      </c>
      <c r="E42" s="76" t="s">
        <v>642</v>
      </c>
      <c r="F42" s="20"/>
    </row>
    <row r="43" spans="1:6" x14ac:dyDescent="0.2">
      <c r="A43" s="120" t="s">
        <v>643</v>
      </c>
      <c r="B43" s="18" t="s">
        <v>644</v>
      </c>
      <c r="C43" s="19" t="s">
        <v>171</v>
      </c>
      <c r="D43" s="46">
        <f>d_bubble*1000</f>
        <v>4.1106061542088961</v>
      </c>
      <c r="E43" s="76"/>
      <c r="F43" s="20"/>
    </row>
    <row r="44" spans="1:6" x14ac:dyDescent="0.2">
      <c r="A44" s="17" t="s">
        <v>645</v>
      </c>
      <c r="B44" s="18" t="s">
        <v>646</v>
      </c>
      <c r="C44" s="19" t="s">
        <v>160</v>
      </c>
      <c r="D44" s="51">
        <v>2.14</v>
      </c>
      <c r="E44" s="76" t="s">
        <v>647</v>
      </c>
      <c r="F44" s="20"/>
    </row>
    <row r="45" spans="1:6" x14ac:dyDescent="0.2">
      <c r="A45" s="17" t="s">
        <v>648</v>
      </c>
      <c r="B45" s="18" t="s">
        <v>649</v>
      </c>
      <c r="C45" s="19" t="s">
        <v>160</v>
      </c>
      <c r="D45" s="79">
        <v>0.505</v>
      </c>
      <c r="E45" s="76" t="s">
        <v>650</v>
      </c>
      <c r="F45" s="20"/>
    </row>
    <row r="46" spans="1:6" ht="36" customHeight="1" x14ac:dyDescent="0.2">
      <c r="A46" s="17" t="s">
        <v>651</v>
      </c>
      <c r="B46" s="18" t="s">
        <v>652</v>
      </c>
      <c r="C46" s="19" t="s">
        <v>112</v>
      </c>
      <c r="D46" s="47">
        <f>SQRT(mend_a*sigma/(rho_L*d_bubble)+mend_b*g_const*d_bubble)</f>
        <v>0.23997120602218533</v>
      </c>
      <c r="E46" s="76" t="s">
        <v>653</v>
      </c>
      <c r="F46" s="20"/>
    </row>
    <row r="47" spans="1:6" x14ac:dyDescent="0.2">
      <c r="A47" s="17" t="s">
        <v>654</v>
      </c>
      <c r="B47" s="18" t="s">
        <v>655</v>
      </c>
      <c r="C47" s="19" t="s">
        <v>112</v>
      </c>
      <c r="D47" s="49">
        <f>(Q_CO2/1000000/60)/(A_x/1000000)</f>
        <v>6.6343780105353137E-3</v>
      </c>
      <c r="E47" s="102" t="s">
        <v>656</v>
      </c>
      <c r="F47" s="20"/>
    </row>
    <row r="48" spans="1:6" x14ac:dyDescent="0.2">
      <c r="A48" s="17" t="s">
        <v>657</v>
      </c>
      <c r="B48" s="18" t="s">
        <v>658</v>
      </c>
      <c r="C48" s="19" t="s">
        <v>160</v>
      </c>
      <c r="D48" s="49">
        <f>u_sg/u_rise</f>
        <v>2.764655860387669E-2</v>
      </c>
      <c r="E48" s="76" t="s">
        <v>659</v>
      </c>
      <c r="F48" s="20"/>
    </row>
    <row r="49" spans="1:6" x14ac:dyDescent="0.2">
      <c r="A49" s="17" t="s">
        <v>660</v>
      </c>
      <c r="B49" s="18" t="s">
        <v>661</v>
      </c>
      <c r="C49" s="19" t="s">
        <v>662</v>
      </c>
      <c r="D49" s="43">
        <f>6*holdup/d_bubble</f>
        <v>40.353988049527544</v>
      </c>
      <c r="E49" s="76" t="s">
        <v>663</v>
      </c>
      <c r="F49" s="20"/>
    </row>
    <row r="50" spans="1:6" x14ac:dyDescent="0.2">
      <c r="A50" s="17" t="s">
        <v>664</v>
      </c>
      <c r="B50" s="18" t="s">
        <v>665</v>
      </c>
      <c r="C50" s="19" t="s">
        <v>13</v>
      </c>
      <c r="D50" s="47">
        <f>d_bubble/u_rise</f>
        <v>1.7129580762405595E-2</v>
      </c>
      <c r="E50" s="76" t="s">
        <v>666</v>
      </c>
      <c r="F50" s="20"/>
    </row>
    <row r="51" spans="1:6" x14ac:dyDescent="0.2">
      <c r="A51" s="17" t="s">
        <v>667</v>
      </c>
      <c r="B51" s="18" t="s">
        <v>668</v>
      </c>
      <c r="C51" s="19" t="s">
        <v>112</v>
      </c>
      <c r="D51" s="49">
        <f>2*SQRT(D_O2/(PI()*t_contact))</f>
        <v>4.088616905871452E-4</v>
      </c>
      <c r="E51" s="76" t="s">
        <v>669</v>
      </c>
      <c r="F51" s="20"/>
    </row>
    <row r="52" spans="1:6" x14ac:dyDescent="0.2">
      <c r="A52" s="120" t="s">
        <v>670</v>
      </c>
      <c r="B52" s="18" t="s">
        <v>671</v>
      </c>
      <c r="C52" s="19" t="s">
        <v>672</v>
      </c>
      <c r="D52" s="49">
        <f>kL*a_int</f>
        <v>1.6499199775863286E-2</v>
      </c>
      <c r="E52" s="76" t="s">
        <v>673</v>
      </c>
      <c r="F52" s="20"/>
    </row>
    <row r="53" spans="1:6" x14ac:dyDescent="0.2">
      <c r="A53" s="17" t="s">
        <v>674</v>
      </c>
      <c r="B53" s="18" t="s">
        <v>675</v>
      </c>
      <c r="C53" s="19" t="s">
        <v>672</v>
      </c>
      <c r="D53" s="65">
        <f>kLa_sparge*duty</f>
        <v>1.2114165783086187E-6</v>
      </c>
      <c r="E53" s="126" t="s">
        <v>676</v>
      </c>
      <c r="F53" s="20"/>
    </row>
    <row r="54" spans="1:6" ht="24" customHeight="1" x14ac:dyDescent="0.2">
      <c r="A54" s="17" t="s">
        <v>677</v>
      </c>
      <c r="B54" s="18" t="s">
        <v>678</v>
      </c>
      <c r="C54" s="19" t="s">
        <v>380</v>
      </c>
      <c r="D54" s="49">
        <f>IF(d_bubble&lt;0.001,0,kLa_sparge*(V_charge/1000000)*O2_ceil_C*3600)</f>
        <v>2.9911512623395577E-4</v>
      </c>
      <c r="E54" s="76" t="s">
        <v>679</v>
      </c>
      <c r="F54" s="20"/>
    </row>
    <row r="55" spans="1:6" ht="24" customHeight="1" x14ac:dyDescent="0.2">
      <c r="A55" s="120" t="s">
        <v>680</v>
      </c>
      <c r="B55" s="18" t="s">
        <v>681</v>
      </c>
      <c r="C55" s="19" t="s">
        <v>380</v>
      </c>
      <c r="D55" s="49">
        <f>strip_sparge*duty</f>
        <v>2.1961854372645165E-8</v>
      </c>
      <c r="E55" s="76" t="s">
        <v>682</v>
      </c>
      <c r="F55" s="20"/>
    </row>
    <row r="56" spans="1:6" x14ac:dyDescent="0.2">
      <c r="A56" s="120" t="s">
        <v>683</v>
      </c>
      <c r="B56" s="18" t="s">
        <v>684</v>
      </c>
      <c r="C56" s="19" t="s">
        <v>115</v>
      </c>
      <c r="D56" s="46">
        <f>IF(O2_excess&gt;0,strip_avg/O2_excess,NA())</f>
        <v>1.241357242598561E-3</v>
      </c>
      <c r="E56" s="76" t="s">
        <v>685</v>
      </c>
      <c r="F56" s="20"/>
    </row>
    <row r="57" spans="1:6" ht="36" customHeight="1" x14ac:dyDescent="0.2">
      <c r="A57" s="17" t="s">
        <v>686</v>
      </c>
      <c r="B57" s="18" t="s">
        <v>687</v>
      </c>
      <c r="C57" s="19" t="s">
        <v>672</v>
      </c>
      <c r="D57" s="49">
        <f>IF(O2_excess&gt;0,O2_excess/3600/((V_charge/1000000)*O2_ceil_C),NA())</f>
        <v>9.7588070278039642E-4</v>
      </c>
      <c r="E57" s="76" t="s">
        <v>688</v>
      </c>
      <c r="F57" s="20"/>
    </row>
    <row r="58" spans="1:6" ht="24" customHeight="1" x14ac:dyDescent="0.2">
      <c r="A58" s="17" t="s">
        <v>689</v>
      </c>
      <c r="B58" s="18" t="s">
        <v>690</v>
      </c>
      <c r="C58" s="19" t="s">
        <v>112</v>
      </c>
      <c r="D58" s="121">
        <v>0.05</v>
      </c>
      <c r="E58" s="76" t="s">
        <v>691</v>
      </c>
      <c r="F58" s="20"/>
    </row>
    <row r="59" spans="1:6" x14ac:dyDescent="0.2">
      <c r="A59" s="120" t="s">
        <v>692</v>
      </c>
      <c r="B59" s="18" t="s">
        <v>693</v>
      </c>
      <c r="C59" s="19" t="s">
        <v>160</v>
      </c>
      <c r="D59" s="59" t="str">
        <f>IF(u_sg&gt;u_g_max,"RISK","OK")</f>
        <v>OK</v>
      </c>
      <c r="E59" s="76" t="s">
        <v>694</v>
      </c>
      <c r="F59" s="20"/>
    </row>
    <row r="60" spans="1:6" x14ac:dyDescent="0.2">
      <c r="A60" s="17" t="s">
        <v>695</v>
      </c>
      <c r="B60" s="18" t="s">
        <v>696</v>
      </c>
      <c r="C60" s="19" t="s">
        <v>601</v>
      </c>
      <c r="D60" s="49">
        <f>P_atm*(M_CO2/1000)/(R_gas*T_K)</f>
        <v>1.7691770185137061</v>
      </c>
      <c r="E60" s="102" t="s">
        <v>697</v>
      </c>
      <c r="F60" s="20"/>
    </row>
    <row r="61" spans="1:6" x14ac:dyDescent="0.2">
      <c r="A61" s="17" t="s">
        <v>698</v>
      </c>
      <c r="B61" s="18" t="s">
        <v>699</v>
      </c>
      <c r="C61" s="19" t="s">
        <v>160</v>
      </c>
      <c r="D61" s="115">
        <v>1</v>
      </c>
      <c r="E61" s="71" t="s">
        <v>700</v>
      </c>
      <c r="F61" s="20"/>
    </row>
    <row r="62" spans="1:6" x14ac:dyDescent="0.2">
      <c r="A62" s="17" t="s">
        <v>701</v>
      </c>
      <c r="B62" s="18" t="s">
        <v>702</v>
      </c>
      <c r="C62" s="19" t="s">
        <v>112</v>
      </c>
      <c r="D62" s="49">
        <f>(Q_CO2/1000000/60)/(n_pores_active*(PI()/4*d_orifice^2))</f>
        <v>1.6823907977801345</v>
      </c>
      <c r="E62" s="124" t="s">
        <v>676</v>
      </c>
      <c r="F62" s="20"/>
    </row>
    <row r="63" spans="1:6" x14ac:dyDescent="0.2">
      <c r="A63" s="17" t="s">
        <v>703</v>
      </c>
      <c r="B63" s="18" t="s">
        <v>704</v>
      </c>
      <c r="C63" s="19" t="s">
        <v>160</v>
      </c>
      <c r="D63" s="49">
        <f>rho_CO2*v_orifice^2*d_orifice/sigma</f>
        <v>0.11165001815603587</v>
      </c>
      <c r="E63" s="124" t="s">
        <v>676</v>
      </c>
      <c r="F63" s="20"/>
    </row>
    <row r="64" spans="1:6" ht="24" customHeight="1" x14ac:dyDescent="0.2">
      <c r="A64" s="17" t="s">
        <v>705</v>
      </c>
      <c r="B64" s="18" t="s">
        <v>706</v>
      </c>
      <c r="C64" s="19" t="s">
        <v>160</v>
      </c>
      <c r="D64" s="49" t="str">
        <f>IF(d_bubble&lt;0.001,"Sinter OOR – add fine-bubble model",IF(We_orifice&lt;2,"Static","Dynamic"))</f>
        <v>Static</v>
      </c>
      <c r="E64" s="102" t="s">
        <v>707</v>
      </c>
      <c r="F64" s="20"/>
    </row>
    <row r="65" spans="1:6" ht="24" customHeight="1" x14ac:dyDescent="0.2">
      <c r="A65" s="17" t="s">
        <v>708</v>
      </c>
      <c r="B65" s="18" t="s">
        <v>709</v>
      </c>
      <c r="C65" s="19" t="s">
        <v>71</v>
      </c>
      <c r="D65" s="49">
        <f>O2_ceil_C*(V_charge/1000000)/O2_excess*60</f>
        <v>17.078590261270065</v>
      </c>
      <c r="E65" s="102" t="s">
        <v>710</v>
      </c>
      <c r="F65" s="20"/>
    </row>
    <row r="66" spans="1:6" ht="24" customHeight="1" x14ac:dyDescent="0.2">
      <c r="A66" s="17" t="s">
        <v>711</v>
      </c>
      <c r="B66" s="18" t="s">
        <v>712</v>
      </c>
      <c r="C66" s="19" t="s">
        <v>71</v>
      </c>
      <c r="D66" s="49">
        <f>IF(O2_excess-strip_avg&gt;0,O2_ceil_C*(V_charge/1000000)/(O2_excess-strip_avg)*60,9999)</f>
        <v>17.099817243252087</v>
      </c>
      <c r="E66" s="102" t="s">
        <v>713</v>
      </c>
      <c r="F66" s="20"/>
    </row>
    <row r="67" spans="1:6" x14ac:dyDescent="0.2">
      <c r="A67" s="17" t="s">
        <v>714</v>
      </c>
      <c r="B67" s="18" t="s">
        <v>715</v>
      </c>
      <c r="C67" s="19" t="s">
        <v>716</v>
      </c>
      <c r="D67" s="80">
        <f>Summary!$D$7</f>
        <v>500</v>
      </c>
      <c r="E67" s="69" t="s">
        <v>717</v>
      </c>
      <c r="F67" s="20"/>
    </row>
    <row r="68" spans="1:6" ht="24" customHeight="1" x14ac:dyDescent="0.2">
      <c r="A68" s="17" t="s">
        <v>111</v>
      </c>
      <c r="B68" s="18" t="s">
        <v>718</v>
      </c>
      <c r="C68" s="19" t="s">
        <v>112</v>
      </c>
      <c r="D68" s="49">
        <f>PI()*(stir_len/1000)*stir_rpm/60</f>
        <v>0.31415926535897931</v>
      </c>
      <c r="E68" s="102" t="s">
        <v>719</v>
      </c>
      <c r="F68" s="20"/>
    </row>
    <row r="69" spans="1:6" x14ac:dyDescent="0.2">
      <c r="A69" s="17" t="s">
        <v>720</v>
      </c>
      <c r="B69" s="18" t="s">
        <v>721</v>
      </c>
      <c r="C69" s="19" t="s">
        <v>672</v>
      </c>
      <c r="D69" s="49">
        <f>tip_speed/(vial_ID/1000)</f>
        <v>12.42718612970646</v>
      </c>
      <c r="E69" s="70" t="s">
        <v>722</v>
      </c>
      <c r="F69" s="20"/>
    </row>
    <row r="70" spans="1:6" x14ac:dyDescent="0.2">
      <c r="A70" s="17" t="s">
        <v>723</v>
      </c>
      <c r="B70" s="18" t="s">
        <v>724</v>
      </c>
      <c r="C70" s="19" t="s">
        <v>112</v>
      </c>
      <c r="D70" s="49">
        <f>2*SQRT(D_O2*s_renew/PI())</f>
        <v>1.8864104282465861E-4</v>
      </c>
      <c r="E70" s="70" t="s">
        <v>725</v>
      </c>
      <c r="F70" s="20"/>
    </row>
    <row r="71" spans="1:6" x14ac:dyDescent="0.2">
      <c r="A71" s="17" t="s">
        <v>726</v>
      </c>
      <c r="B71" s="18" t="s">
        <v>727</v>
      </c>
      <c r="C71" s="19" t="s">
        <v>662</v>
      </c>
      <c r="D71" s="49">
        <f>interface_A/V_charge</f>
        <v>28.63651500937112</v>
      </c>
      <c r="E71" s="102" t="s">
        <v>728</v>
      </c>
      <c r="F71" s="20"/>
    </row>
    <row r="72" spans="1:6" x14ac:dyDescent="0.2">
      <c r="A72" s="17" t="s">
        <v>729</v>
      </c>
      <c r="B72" s="18" t="s">
        <v>730</v>
      </c>
      <c r="C72" s="19" t="s">
        <v>672</v>
      </c>
      <c r="D72" s="49">
        <f>kL_surf*a_surf</f>
        <v>5.4020220542317565E-3</v>
      </c>
      <c r="E72" s="70" t="s">
        <v>731</v>
      </c>
      <c r="F72" s="20"/>
    </row>
    <row r="73" spans="1:6" ht="36" customHeight="1" x14ac:dyDescent="0.2">
      <c r="A73" s="17" t="s">
        <v>732</v>
      </c>
      <c r="B73" s="18" t="s">
        <v>733</v>
      </c>
      <c r="C73" s="19" t="s">
        <v>380</v>
      </c>
      <c r="D73" s="49">
        <f>kLa_surf_used*(V_charge/1000000)*O2_ceil_C*3600</f>
        <v>9.793362894083752E-5</v>
      </c>
      <c r="E73" s="70" t="s">
        <v>734</v>
      </c>
      <c r="F73" s="20"/>
    </row>
    <row r="74" spans="1:6" ht="24" customHeight="1" x14ac:dyDescent="0.2">
      <c r="A74" s="17" t="s">
        <v>735</v>
      </c>
      <c r="B74" s="18" t="s">
        <v>736</v>
      </c>
      <c r="C74" s="19" t="s">
        <v>115</v>
      </c>
      <c r="D74" s="49">
        <f>IF(O2_excess&gt;0,surf_strip/O2_excess,NA())</f>
        <v>5.5355352747941149</v>
      </c>
      <c r="E74" s="70" t="s">
        <v>737</v>
      </c>
      <c r="F74" s="20"/>
    </row>
    <row r="75" spans="1:6" ht="24" customHeight="1" x14ac:dyDescent="0.2">
      <c r="A75" s="17" t="s">
        <v>738</v>
      </c>
      <c r="B75" s="18" t="s">
        <v>739</v>
      </c>
      <c r="C75" s="19" t="s">
        <v>160</v>
      </c>
      <c r="D75" s="49">
        <f>IF(CO2_supply&gt;0,O2_excess/CO2_supply,NA())</f>
        <v>0.5</v>
      </c>
      <c r="E75" s="102" t="s">
        <v>740</v>
      </c>
      <c r="F75" s="20"/>
    </row>
    <row r="76" spans="1:6" x14ac:dyDescent="0.2">
      <c r="A76" s="17" t="s">
        <v>741</v>
      </c>
      <c r="B76" s="18" t="s">
        <v>742</v>
      </c>
      <c r="C76" s="19" t="s">
        <v>491</v>
      </c>
      <c r="D76" s="49">
        <f>H_O2_T*y_O2_vent*P_atm*1000</f>
        <v>559.53915741172045</v>
      </c>
      <c r="E76" s="102" t="s">
        <v>743</v>
      </c>
      <c r="F76" s="20"/>
    </row>
    <row r="77" spans="1:6" x14ac:dyDescent="0.2">
      <c r="A77" s="17" t="s">
        <v>744</v>
      </c>
      <c r="B77" s="18" t="s">
        <v>745</v>
      </c>
      <c r="C77" s="19" t="s">
        <v>71</v>
      </c>
      <c r="D77" s="49">
        <f>headspace_V/(Q_CO2*duty)</f>
        <v>178.08128884816398</v>
      </c>
      <c r="E77" s="102" t="s">
        <v>746</v>
      </c>
      <c r="F77" s="20"/>
    </row>
    <row r="78" spans="1:6" ht="26" customHeight="1" x14ac:dyDescent="0.2">
      <c r="A78" s="17" t="s">
        <v>747</v>
      </c>
      <c r="B78" s="18" t="s">
        <v>748</v>
      </c>
      <c r="C78" s="19" t="s">
        <v>115</v>
      </c>
      <c r="D78" s="49">
        <f>IF(O2_excess&gt;0,(strip_avg+surf_strip)/O2_excess,NA())</f>
        <v>5.5367766320367133</v>
      </c>
      <c r="E78" s="127" t="s">
        <v>749</v>
      </c>
      <c r="F78" s="20"/>
    </row>
    <row r="79" spans="1:6" x14ac:dyDescent="0.2">
      <c r="A79" s="17" t="s">
        <v>750</v>
      </c>
      <c r="B79" s="18" t="s">
        <v>751</v>
      </c>
      <c r="C79" s="19" t="s">
        <v>71</v>
      </c>
      <c r="D79" s="49">
        <f>O2_ceil_C*(V_charge/1000000)/O2_net_gen*60</f>
        <v>5.6928634204233548</v>
      </c>
      <c r="E79" s="102" t="s">
        <v>752</v>
      </c>
      <c r="F79" s="20"/>
    </row>
    <row r="80" spans="1:6" ht="36" customHeight="1" x14ac:dyDescent="0.2">
      <c r="A80" s="17" t="s">
        <v>753</v>
      </c>
      <c r="B80" s="18" t="s">
        <v>754</v>
      </c>
      <c r="C80" s="19" t="s">
        <v>71</v>
      </c>
      <c r="D80" s="49">
        <f>IF(O2_net_gen-strip_avg-surf_strip&gt;0,O2_ceil_C*(V_charge/1000000)/(O2_net_gen-strip_avg-surf_strip)*60,9999)</f>
        <v>9999</v>
      </c>
      <c r="E80" s="70" t="s">
        <v>755</v>
      </c>
      <c r="F80" s="20"/>
    </row>
    <row r="81" spans="1:6" ht="24" customHeight="1" x14ac:dyDescent="0.2">
      <c r="A81" s="17" t="s">
        <v>756</v>
      </c>
      <c r="B81" s="18" t="s">
        <v>757</v>
      </c>
      <c r="C81" s="19" t="s">
        <v>160</v>
      </c>
      <c r="D81" s="125" t="s">
        <v>758</v>
      </c>
      <c r="E81" s="69" t="s">
        <v>759</v>
      </c>
      <c r="F81" s="20"/>
    </row>
    <row r="82" spans="1:6" x14ac:dyDescent="0.2">
      <c r="A82" s="17" t="s">
        <v>760</v>
      </c>
      <c r="B82" s="18" t="s">
        <v>761</v>
      </c>
      <c r="C82" s="19" t="s">
        <v>13</v>
      </c>
      <c r="D82" s="125">
        <v>1</v>
      </c>
      <c r="E82" s="69" t="s">
        <v>762</v>
      </c>
      <c r="F82" s="20"/>
    </row>
    <row r="83" spans="1:6" x14ac:dyDescent="0.2">
      <c r="A83" s="17" t="s">
        <v>763</v>
      </c>
      <c r="B83" s="18" t="s">
        <v>764</v>
      </c>
      <c r="C83" s="19" t="s">
        <v>71</v>
      </c>
      <c r="D83" s="125">
        <v>1</v>
      </c>
      <c r="E83" s="69" t="s">
        <v>765</v>
      </c>
      <c r="F83" s="20"/>
    </row>
    <row r="84" spans="1:6" x14ac:dyDescent="0.2">
      <c r="A84" s="17" t="s">
        <v>766</v>
      </c>
      <c r="B84" s="18" t="s">
        <v>767</v>
      </c>
      <c r="C84" s="19" t="s">
        <v>160</v>
      </c>
      <c r="D84" s="81">
        <f>IF(AND(ISNUMBER(DO_opt),ISNUMBER(DO_toxic)),DO_opt/DO_toxic,0.5)</f>
        <v>0.5</v>
      </c>
      <c r="E84" s="69" t="s">
        <v>768</v>
      </c>
      <c r="F84" s="20"/>
    </row>
    <row r="85" spans="1:6" x14ac:dyDescent="0.2">
      <c r="A85" s="17" t="s">
        <v>769</v>
      </c>
      <c r="B85" s="18" t="s">
        <v>770</v>
      </c>
      <c r="C85" s="19" t="s">
        <v>160</v>
      </c>
      <c r="D85" s="125">
        <v>2</v>
      </c>
      <c r="E85" s="69" t="s">
        <v>771</v>
      </c>
      <c r="F85" s="20"/>
    </row>
    <row r="86" spans="1:6" x14ac:dyDescent="0.2">
      <c r="A86" s="17" t="s">
        <v>772</v>
      </c>
      <c r="B86" s="18" t="s">
        <v>773</v>
      </c>
      <c r="C86" s="19" t="s">
        <v>160</v>
      </c>
      <c r="D86" s="49">
        <f>carbon_margin_min*CO2_cons/(nCO2_rate*3600)</f>
        <v>7.3422747452322058E-5</v>
      </c>
      <c r="E86" s="102" t="s">
        <v>774</v>
      </c>
      <c r="F86" s="20"/>
    </row>
    <row r="87" spans="1:6" ht="24" customHeight="1" x14ac:dyDescent="0.2">
      <c r="A87" s="17" t="s">
        <v>775</v>
      </c>
      <c r="B87" s="18" t="s">
        <v>776</v>
      </c>
      <c r="C87" s="19" t="s">
        <v>160</v>
      </c>
      <c r="D87" s="49">
        <f>MAX(0,O2_net_gen-surf_strip)/(target_DO_frac*(O2_ceil_Pa/P_atm))/(nCO2_rate*3600)</f>
        <v>0</v>
      </c>
      <c r="E87" s="102" t="s">
        <v>777</v>
      </c>
      <c r="F87" s="20"/>
    </row>
    <row r="88" spans="1:6" ht="24" customHeight="1" x14ac:dyDescent="0.2">
      <c r="A88" s="17" t="s">
        <v>778</v>
      </c>
      <c r="B88" s="18" t="s">
        <v>779</v>
      </c>
      <c r="C88" s="19" t="s">
        <v>160</v>
      </c>
      <c r="D88" s="49">
        <f>MAX(duty_carbon,duty_O2vent)</f>
        <v>7.3422747452322058E-5</v>
      </c>
      <c r="E88" s="102" t="s">
        <v>780</v>
      </c>
      <c r="F88" s="20"/>
    </row>
    <row r="89" spans="1:6" ht="24" x14ac:dyDescent="0.2">
      <c r="A89" s="17" t="s">
        <v>781</v>
      </c>
      <c r="B89" s="18" t="s">
        <v>782</v>
      </c>
      <c r="C89" s="19" t="s">
        <v>71</v>
      </c>
      <c r="D89" s="49">
        <f>target_DO_frac*O2_ceil_C*(V_charge/1000000)/MAX(0.000000000001,O2_net_gen-surf_strip)*60</f>
        <v>151075572.50116453</v>
      </c>
      <c r="E89" s="102" t="s">
        <v>783</v>
      </c>
      <c r="F89" s="20"/>
    </row>
    <row r="90" spans="1:6" x14ac:dyDescent="0.2">
      <c r="A90" s="17" t="s">
        <v>784</v>
      </c>
      <c r="B90" s="18" t="s">
        <v>785</v>
      </c>
      <c r="C90" s="19" t="s">
        <v>13</v>
      </c>
      <c r="D90" s="128">
        <f>MAX(pulse_floor,flush_factor*headspace_V/(Q_CO2/60))</f>
        <v>0.78451304982496561</v>
      </c>
      <c r="E90" s="82" t="s">
        <v>786</v>
      </c>
      <c r="F90" s="20"/>
    </row>
    <row r="91" spans="1:6" ht="24" customHeight="1" x14ac:dyDescent="0.2">
      <c r="A91" s="17" t="s">
        <v>787</v>
      </c>
      <c r="B91" s="18" t="s">
        <v>788</v>
      </c>
      <c r="C91" s="19" t="s">
        <v>71</v>
      </c>
      <c r="D91" s="128">
        <f>MIN(spg_dur_opt/(60*duty_opt),spg_int_max)</f>
        <v>178.08128884816398</v>
      </c>
      <c r="E91" s="82" t="s">
        <v>789</v>
      </c>
      <c r="F91" s="20"/>
    </row>
    <row r="92" spans="1:6" x14ac:dyDescent="0.2">
      <c r="A92" s="17" t="s">
        <v>790</v>
      </c>
      <c r="B92" s="18" t="s">
        <v>791</v>
      </c>
      <c r="C92" s="19" t="s">
        <v>13</v>
      </c>
      <c r="D92" s="49">
        <f>spg_int_opt*60</f>
        <v>10684.877330889838</v>
      </c>
      <c r="E92" s="82" t="s">
        <v>792</v>
      </c>
      <c r="F92" s="20"/>
    </row>
    <row r="93" spans="1:6" x14ac:dyDescent="0.2">
      <c r="A93" s="17" t="s">
        <v>793</v>
      </c>
      <c r="B93" s="18" t="s">
        <v>794</v>
      </c>
      <c r="C93" s="19" t="s">
        <v>160</v>
      </c>
      <c r="D93" s="49">
        <f>spg_dur_opt/(spg_int_opt*60)</f>
        <v>7.3422747452322058E-5</v>
      </c>
      <c r="E93" s="102" t="s">
        <v>795</v>
      </c>
      <c r="F93" s="20"/>
    </row>
    <row r="94" spans="1:6" x14ac:dyDescent="0.2">
      <c r="A94" s="17" t="s">
        <v>796</v>
      </c>
      <c r="B94" s="18" t="s">
        <v>797</v>
      </c>
      <c r="C94" s="19" t="s">
        <v>160</v>
      </c>
      <c r="D94" s="49" t="str">
        <f>IF(spg_int_opt&lt;spg_dur_opt/(60*duty_opt)-0.0001,"O2-FREQ",IF(duty_O2vent&gt;=duty_carbon,"O2-VENT","CARBON"))</f>
        <v>CARBON</v>
      </c>
      <c r="E94" s="102" t="s">
        <v>798</v>
      </c>
      <c r="F94" s="20"/>
    </row>
    <row r="95" spans="1:6" x14ac:dyDescent="0.2">
      <c r="A95" s="17" t="s">
        <v>799</v>
      </c>
      <c r="B95" s="18" t="s">
        <v>800</v>
      </c>
      <c r="C95" s="19" t="s">
        <v>160</v>
      </c>
      <c r="D95" s="49" t="str">
        <f>IF(spg_int_opt*60-spg_dur_opt&gt;=5,"OK","TIGHT")</f>
        <v>OK</v>
      </c>
      <c r="E95" s="102" t="s">
        <v>801</v>
      </c>
      <c r="F95" s="20"/>
    </row>
    <row r="96" spans="1:6" ht="36" customHeight="1" x14ac:dyDescent="0.2">
      <c r="A96" s="17" t="s">
        <v>802</v>
      </c>
      <c r="B96" s="18" t="s">
        <v>803</v>
      </c>
      <c r="C96" s="19" t="s">
        <v>160</v>
      </c>
      <c r="D96" s="49" t="str">
        <f>"see note →"</f>
        <v>see note →</v>
      </c>
      <c r="E96" s="70" t="s">
        <v>804</v>
      </c>
      <c r="F96" s="20"/>
    </row>
    <row r="97" spans="1:6" ht="24" customHeight="1" x14ac:dyDescent="0.2">
      <c r="A97" s="17" t="s">
        <v>805</v>
      </c>
      <c r="B97" s="18" t="s">
        <v>806</v>
      </c>
      <c r="C97" s="19" t="s">
        <v>537</v>
      </c>
      <c r="D97" s="125">
        <v>0</v>
      </c>
      <c r="E97" s="70" t="s">
        <v>807</v>
      </c>
      <c r="F97" s="20"/>
    </row>
    <row r="98" spans="1:6" ht="24" customHeight="1" x14ac:dyDescent="0.2">
      <c r="A98" s="17" t="s">
        <v>808</v>
      </c>
      <c r="B98" s="18" t="s">
        <v>809</v>
      </c>
      <c r="C98" s="19" t="s">
        <v>672</v>
      </c>
      <c r="D98" s="49">
        <f>IF(kLa_meas&gt;0,kLa_meas/3600,kLa_surf)</f>
        <v>5.4020220542317565E-3</v>
      </c>
      <c r="E98" s="102" t="s">
        <v>810</v>
      </c>
      <c r="F98" s="20"/>
    </row>
    <row r="99" spans="1:6" x14ac:dyDescent="0.2">
      <c r="A99" s="20" t="s">
        <v>811</v>
      </c>
      <c r="B99" s="20" t="s">
        <v>812</v>
      </c>
      <c r="C99" s="20" t="s">
        <v>13</v>
      </c>
      <c r="D99" s="24">
        <f>min_sparge_cal</f>
        <v>0.25</v>
      </c>
      <c r="E99" s="20" t="s">
        <v>813</v>
      </c>
      <c r="F99" s="20"/>
    </row>
    <row r="100" spans="1:6" x14ac:dyDescent="0.2">
      <c r="A100" s="20" t="s">
        <v>814</v>
      </c>
      <c r="B100" s="20" t="s">
        <v>815</v>
      </c>
      <c r="C100" s="20" t="s">
        <v>380</v>
      </c>
      <c r="D100" s="24">
        <f>CO2_pulse*pulses_h</f>
        <v>3.5383616607692921E-5</v>
      </c>
      <c r="E100" s="20" t="s">
        <v>813</v>
      </c>
      <c r="F100" s="20"/>
    </row>
    <row r="101" spans="1:6" x14ac:dyDescent="0.2">
      <c r="A101" s="20" t="s">
        <v>816</v>
      </c>
      <c r="B101" s="20" t="s">
        <v>338</v>
      </c>
      <c r="C101" s="20" t="s">
        <v>339</v>
      </c>
      <c r="D101" s="83">
        <v>8.3144626180000003</v>
      </c>
      <c r="E101" s="20" t="s">
        <v>813</v>
      </c>
      <c r="F101" s="20"/>
    </row>
    <row r="102" spans="1:6" x14ac:dyDescent="0.2">
      <c r="A102" s="20" t="s">
        <v>817</v>
      </c>
      <c r="B102" s="20" t="s">
        <v>818</v>
      </c>
      <c r="C102" s="20" t="s">
        <v>387</v>
      </c>
      <c r="D102" s="24">
        <f>IF(has_cal&gt;0,flowrate_cal*60,NA())</f>
        <v>199.8</v>
      </c>
      <c r="E102" s="20" t="s">
        <v>813</v>
      </c>
      <c r="F102" s="20"/>
    </row>
    <row r="103" spans="1:6" x14ac:dyDescent="0.2">
      <c r="A103" s="20" t="s">
        <v>819</v>
      </c>
      <c r="B103" s="20" t="s">
        <v>820</v>
      </c>
      <c r="C103" s="20" t="s">
        <v>821</v>
      </c>
      <c r="D103" s="83">
        <v>44.009500000000003</v>
      </c>
      <c r="E103" s="20" t="s">
        <v>813</v>
      </c>
      <c r="F103" s="20"/>
    </row>
    <row r="104" spans="1:6" x14ac:dyDescent="0.2">
      <c r="A104" s="20" t="s">
        <v>822</v>
      </c>
      <c r="B104" s="20" t="s">
        <v>823</v>
      </c>
      <c r="C104" s="20" t="s">
        <v>824</v>
      </c>
      <c r="D104" s="24">
        <f>P_atm*(Q_CO2/1000000/60)/(R_gas*T_K)</f>
        <v>1.3386563063999001E-4</v>
      </c>
      <c r="E104" s="20" t="s">
        <v>813</v>
      </c>
      <c r="F104" s="20"/>
    </row>
    <row r="105" spans="1:6" x14ac:dyDescent="0.2">
      <c r="A105" s="20" t="s">
        <v>825</v>
      </c>
      <c r="B105" s="20" t="s">
        <v>826</v>
      </c>
      <c r="C105" s="20" t="s">
        <v>160</v>
      </c>
      <c r="D105" s="24">
        <f>spg_dur/(spg_int*60)</f>
        <v>7.3422747452322058E-5</v>
      </c>
      <c r="E105" s="20" t="s">
        <v>813</v>
      </c>
      <c r="F105" s="20"/>
    </row>
    <row r="106" spans="1:6" x14ac:dyDescent="0.2">
      <c r="A106" s="20" t="s">
        <v>827</v>
      </c>
      <c r="B106" s="20" t="s">
        <v>828</v>
      </c>
      <c r="C106" s="20" t="s">
        <v>160</v>
      </c>
      <c r="D106" s="83">
        <v>1</v>
      </c>
      <c r="E106" s="20" t="s">
        <v>813</v>
      </c>
      <c r="F106" s="20"/>
    </row>
    <row r="107" spans="1:6" x14ac:dyDescent="0.2">
      <c r="A107" s="110" t="s">
        <v>829</v>
      </c>
      <c r="B107" s="20"/>
      <c r="C107" s="20"/>
      <c r="D107" s="20"/>
      <c r="E107" s="20"/>
      <c r="F107" s="20"/>
    </row>
    <row r="108" spans="1:6" x14ac:dyDescent="0.2">
      <c r="A108" s="20" t="s">
        <v>830</v>
      </c>
      <c r="B108" s="20" t="s">
        <v>831</v>
      </c>
      <c r="C108" s="20" t="s">
        <v>107</v>
      </c>
      <c r="D108" s="24">
        <f>O2_excess/(kLa_surf_used*3600*(V_charge/1000000))*32</f>
        <v>1.9407611529861681</v>
      </c>
      <c r="E108" s="20"/>
      <c r="F108" s="20"/>
    </row>
    <row r="109" spans="1:6" x14ac:dyDescent="0.2">
      <c r="A109" s="20" t="s">
        <v>832</v>
      </c>
      <c r="B109" s="20" t="s">
        <v>833</v>
      </c>
      <c r="C109" s="20"/>
      <c r="D109" s="24" t="str">
        <f>IF(ISNUMBER(DO_opt),IF(DO_ss&lt;=DO_opt,"at/under optimum",IF(DO_ss&lt;DO_impair,"above optimum, under impairment","OVER IMPAIRMENT - surface strip insufficient")),"organism optimum unknown")</f>
        <v>organism optimum unknown</v>
      </c>
      <c r="E109" s="20"/>
      <c r="F109" s="20"/>
    </row>
    <row r="110" spans="1:6" x14ac:dyDescent="0.2">
      <c r="A110" s="20" t="s">
        <v>834</v>
      </c>
      <c r="B110" s="20" t="s">
        <v>835</v>
      </c>
      <c r="C110" s="20"/>
      <c r="D110" s="24" t="str">
        <f>IF(ISNUMBER(DO_min),IF(DO_ss&gt;=DO_min,"above minimum","BELOW MINIMUM"),"minimum DO unknown - measure")</f>
        <v>minimum DO unknown - measure</v>
      </c>
      <c r="E110" s="20"/>
      <c r="F110" s="20"/>
    </row>
    <row r="111" spans="1:6" x14ac:dyDescent="0.2">
      <c r="A111" s="20" t="s">
        <v>836</v>
      </c>
      <c r="B111" s="20" t="s">
        <v>837</v>
      </c>
      <c r="C111" s="20"/>
      <c r="D111" s="24" t="str">
        <f>IF(tip_speed&gt;1.5,"TIP SPEED &gt; 1.5 m/s","OK")</f>
        <v>OK</v>
      </c>
      <c r="E111" s="84" t="s">
        <v>838</v>
      </c>
      <c r="F111" s="20"/>
    </row>
    <row r="112" spans="1:6" x14ac:dyDescent="0.2">
      <c r="A112" s="20" t="s">
        <v>839</v>
      </c>
      <c r="B112" s="20" t="s">
        <v>840</v>
      </c>
      <c r="C112" s="20" t="s">
        <v>71</v>
      </c>
      <c r="D112" s="24">
        <f>spg_dur_opt/(60*duty_carbon)</f>
        <v>178.08128884816398</v>
      </c>
      <c r="E112" s="20"/>
      <c r="F112" s="20"/>
    </row>
    <row r="113" spans="1:6" x14ac:dyDescent="0.2">
      <c r="A113" s="20" t="s">
        <v>841</v>
      </c>
      <c r="B113" s="20" t="s">
        <v>842</v>
      </c>
      <c r="C113" s="20"/>
      <c r="D113" s="24" t="str">
        <f>IF(AND(ISNUMBER(DO_ss),ISNUMBER(DO_impair)),IF(DO_ss&lt;DO_impair,"Surface stripping holds DO under impairment - sparge is CARBON-limited (long interval); the O2-limited interval is the conservative fallback until kL_surf is measured","Surface stripping insufficient - sparge must vent O2 - use the O2-limited interval"),"organism DO unknown")</f>
        <v>organism DO unknown</v>
      </c>
      <c r="E113" s="84" t="s">
        <v>843</v>
      </c>
      <c r="F113" s="20"/>
    </row>
    <row r="114" spans="1:6" x14ac:dyDescent="0.2">
      <c r="A114" s="110" t="s">
        <v>844</v>
      </c>
      <c r="B114" s="20"/>
      <c r="C114" s="20"/>
      <c r="D114" s="20"/>
      <c r="E114" s="20"/>
      <c r="F114" s="20"/>
    </row>
    <row r="115" spans="1:6" x14ac:dyDescent="0.2">
      <c r="A115" s="20" t="s">
        <v>845</v>
      </c>
      <c r="B115" s="20" t="s">
        <v>1</v>
      </c>
      <c r="C115" s="20"/>
      <c r="D115" s="39" t="str">
        <f>Summary!$D$2</f>
        <v>ed04</v>
      </c>
      <c r="E115" s="20"/>
      <c r="F115" s="20"/>
    </row>
    <row r="116" spans="1:6" x14ac:dyDescent="0.2">
      <c r="A116" s="20" t="s">
        <v>846</v>
      </c>
      <c r="B116" s="20" t="s">
        <v>847</v>
      </c>
      <c r="C116" s="20"/>
      <c r="D116" s="85">
        <f>SUMPRODUCT(MAX(('CO2 flows'!$A$4:$A$201=Reactor)*('CO2 flows'!$J$4:$J$201&gt;0)*'CO2 flows'!$B$4:$B$201))</f>
        <v>46190</v>
      </c>
      <c r="E116" s="20"/>
      <c r="F116" s="20"/>
    </row>
    <row r="117" spans="1:6" x14ac:dyDescent="0.2">
      <c r="A117" s="20" t="s">
        <v>848</v>
      </c>
      <c r="B117" s="20" t="s">
        <v>849</v>
      </c>
      <c r="C117" s="20" t="s">
        <v>14</v>
      </c>
      <c r="D117" s="85">
        <f>SUMPRODUCT(('CO2 flows'!$A$4:$A$201=Reactor)*('CO2 flows'!$B$4:$B$201=latest_date)*'CO2 flows'!$J$4:$J$201)/MAX(1,SUMPRODUCT(('CO2 flows'!$A$4:$A$201=Reactor)*('CO2 flows'!$B$4:$B$201=latest_date)*('CO2 flows'!$J$4:$J$201&gt;0)*1))</f>
        <v>3.33</v>
      </c>
      <c r="E117" s="20"/>
      <c r="F117" s="20"/>
    </row>
    <row r="118" spans="1:6" x14ac:dyDescent="0.2">
      <c r="A118" s="20" t="s">
        <v>850</v>
      </c>
      <c r="B118" s="20" t="s">
        <v>851</v>
      </c>
      <c r="C118" s="20" t="s">
        <v>13</v>
      </c>
      <c r="D118" s="85">
        <f>SUMPRODUCT(('CO2 flows'!$A$4:$A$201=Reactor)*('CO2 flows'!$B$4:$B$201=latest_date)*'CO2 flows'!$I$4:$I$201)/MAX(1,SUMPRODUCT(('CO2 flows'!$A$4:$A$201=Reactor)*('CO2 flows'!$B$4:$B$201=latest_date)*('CO2 flows'!$J$4:$J$201&gt;0)*1))</f>
        <v>0.25</v>
      </c>
      <c r="E118" s="20"/>
      <c r="F118" s="20"/>
    </row>
    <row r="119" spans="1:6" x14ac:dyDescent="0.2">
      <c r="A119" s="20" t="s">
        <v>852</v>
      </c>
      <c r="B119" s="20" t="s">
        <v>853</v>
      </c>
      <c r="C119" s="20" t="s">
        <v>854</v>
      </c>
      <c r="D119" s="85">
        <f>SUMPRODUCT(('CO2 flows'!$A$4:$A$201=Reactor)*('CO2 flows'!$J$4:$J$201&gt;0)*1)</f>
        <v>1</v>
      </c>
      <c r="E119" s="20"/>
      <c r="F119" s="20"/>
    </row>
    <row r="120" spans="1:6" x14ac:dyDescent="0.2">
      <c r="A120" s="20" t="s">
        <v>855</v>
      </c>
      <c r="B120" s="20" t="s">
        <v>856</v>
      </c>
      <c r="C120" s="20"/>
      <c r="D120" s="24" t="str">
        <f>IF(has_cal&gt;0,"calibrated: "&amp;Reactor,"NO CALIBRATION for "&amp;Reactor&amp;" - add a row in CO2 flows with nominal flowrate + minimum sparge")</f>
        <v>calibrated: ed04</v>
      </c>
      <c r="E120" s="20"/>
      <c r="F120" s="20"/>
    </row>
    <row r="121" spans="1:6" x14ac:dyDescent="0.2">
      <c r="A121" s="20" t="s">
        <v>857</v>
      </c>
      <c r="B121" s="20" t="s">
        <v>858</v>
      </c>
      <c r="C121" s="20" t="s">
        <v>13</v>
      </c>
      <c r="D121" s="24">
        <f>IF(sched_mode="Optimal",spg_dur_opt,IF(sched_mode="Manual",spg_dur_man,NA()))</f>
        <v>0.78451304982496561</v>
      </c>
      <c r="E121" s="20"/>
      <c r="F121" s="20"/>
    </row>
    <row r="122" spans="1:6" x14ac:dyDescent="0.2">
      <c r="A122" s="20" t="s">
        <v>859</v>
      </c>
      <c r="B122" s="20" t="s">
        <v>860</v>
      </c>
      <c r="C122" s="20" t="s">
        <v>71</v>
      </c>
      <c r="D122" s="24">
        <f>IF(sched_mode="Optimal",spg_int_opt,IF(sched_mode="Manual",spg_int_man,NA()))</f>
        <v>178.08128884816398</v>
      </c>
      <c r="E122" s="20"/>
      <c r="F122" s="20"/>
    </row>
    <row r="123" spans="1:6" x14ac:dyDescent="0.2">
      <c r="A123" s="20" t="s">
        <v>861</v>
      </c>
      <c r="B123" s="20" t="s">
        <v>862</v>
      </c>
      <c r="C123" s="20" t="s">
        <v>863</v>
      </c>
      <c r="D123" s="24">
        <f>nCO2_rate*spg_dur</f>
        <v>1.0501933416012093E-4</v>
      </c>
      <c r="E123" s="20"/>
      <c r="F123" s="20"/>
    </row>
    <row r="124" spans="1:6" x14ac:dyDescent="0.2">
      <c r="A124" s="20" t="s">
        <v>864</v>
      </c>
      <c r="B124" s="20" t="s">
        <v>865</v>
      </c>
      <c r="C124" s="20" t="s">
        <v>866</v>
      </c>
      <c r="D124" s="24">
        <f>60/spg_int</f>
        <v>0.33692478523758507</v>
      </c>
      <c r="E124" s="20"/>
      <c r="F124" s="20"/>
    </row>
    <row r="125" spans="1:6" x14ac:dyDescent="0.2">
      <c r="A125" s="20" t="s">
        <v>867</v>
      </c>
      <c r="B125" s="20" t="s">
        <v>868</v>
      </c>
      <c r="C125" s="20" t="s">
        <v>869</v>
      </c>
      <c r="D125" s="24">
        <f>pulses_h*24</f>
        <v>8.0861948457020425</v>
      </c>
      <c r="E125" s="20"/>
      <c r="F125" s="20"/>
    </row>
    <row r="126" spans="1:6" x14ac:dyDescent="0.2">
      <c r="A126" s="20" t="s">
        <v>870</v>
      </c>
      <c r="B126" s="20" t="s">
        <v>871</v>
      </c>
      <c r="C126" s="20" t="s">
        <v>115</v>
      </c>
      <c r="D126" s="24">
        <f>IF(CO2_cons&gt;0,CO2_supply/CO2_cons,NA())</f>
        <v>1.9999999999999996</v>
      </c>
      <c r="E126" s="20"/>
      <c r="F126" s="20"/>
    </row>
    <row r="127" spans="1:6" x14ac:dyDescent="0.2">
      <c r="A127" s="20" t="s">
        <v>872</v>
      </c>
      <c r="B127" s="20" t="s">
        <v>873</v>
      </c>
      <c r="C127" s="20" t="s">
        <v>863</v>
      </c>
      <c r="D127" s="24">
        <f>O2_excess/60*spg_int</f>
        <v>5.2509667080060456E-5</v>
      </c>
      <c r="E127" s="20"/>
      <c r="F127" s="20"/>
    </row>
    <row r="128" spans="1:6" x14ac:dyDescent="0.2">
      <c r="A128" s="20" t="s">
        <v>874</v>
      </c>
      <c r="B128" s="20" t="s">
        <v>875</v>
      </c>
      <c r="C128" s="20" t="s">
        <v>863</v>
      </c>
      <c r="D128" s="24">
        <f>strip_sparge/3600*spg_dur</f>
        <v>6.5183255536272289E-8</v>
      </c>
      <c r="E128" s="20"/>
      <c r="F128" s="20"/>
    </row>
    <row r="129" spans="1:6" x14ac:dyDescent="0.2">
      <c r="A129" s="20" t="s">
        <v>876</v>
      </c>
      <c r="B129" s="20" t="s">
        <v>877</v>
      </c>
      <c r="C129" s="20" t="s">
        <v>115</v>
      </c>
      <c r="D129" s="24">
        <f>IF(O2_accum&gt;0,O2_strip_pulse/O2_accum,NA())</f>
        <v>1.2413572425985613E-3</v>
      </c>
      <c r="E129" s="20"/>
      <c r="F129" s="20"/>
    </row>
    <row r="130" spans="1:6" x14ac:dyDescent="0.2">
      <c r="A130" s="20" t="s">
        <v>878</v>
      </c>
      <c r="B130" s="20" t="s">
        <v>879</v>
      </c>
      <c r="C130" s="20"/>
      <c r="D130" s="24" t="str">
        <f>IF(spg_dur&gt;=pulse_floor,"OK","LOW")</f>
        <v>OK</v>
      </c>
      <c r="E130" s="20"/>
      <c r="F130" s="20"/>
    </row>
    <row r="131" spans="1:6" x14ac:dyDescent="0.2">
      <c r="A131" s="20" t="s">
        <v>880</v>
      </c>
      <c r="B131" s="20" t="s">
        <v>881</v>
      </c>
      <c r="C131" s="20" t="s">
        <v>112</v>
      </c>
      <c r="D131" s="24" t="e">
        <f>IF(ISNUMBER(DO_impair),O2_excess*32/(DO_impair*3600*(V_charge/1000000)*a_surf),NA())</f>
        <v>#N/A</v>
      </c>
      <c r="E131" s="108" t="s">
        <v>882</v>
      </c>
      <c r="F131" s="20"/>
    </row>
    <row r="132" spans="1:6" x14ac:dyDescent="0.2">
      <c r="A132" s="20"/>
      <c r="B132" s="20"/>
      <c r="C132" s="20"/>
      <c r="D132" s="29"/>
      <c r="E132" s="20"/>
      <c r="F132" s="20"/>
    </row>
  </sheetData>
  <conditionalFormatting sqref="D32">
    <cfRule type="colorScale" priority="9">
      <colorScale>
        <cfvo type="num" val="0.1"/>
        <cfvo type="num" val="1"/>
        <cfvo type="num" val="2"/>
        <color rgb="FFF8696B"/>
        <color rgb="FFFFEB84"/>
        <color rgb="FF63BE7B"/>
      </colorScale>
    </cfRule>
  </conditionalFormatting>
  <conditionalFormatting sqref="D35">
    <cfRule type="cellIs" dxfId="6" priority="1" operator="equal">
      <formula>"OK"</formula>
    </cfRule>
    <cfRule type="cellIs" dxfId="5" priority="2" operator="equal">
      <formula>"RISK"</formula>
    </cfRule>
  </conditionalFormatting>
  <conditionalFormatting sqref="D39">
    <cfRule type="colorScale" priority="1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conditionalFormatting sqref="D41">
    <cfRule type="colorScale" priority="10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51">
    <cfRule type="colorScale" priority="8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5">
    <cfRule type="colorScale" priority="7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6">
    <cfRule type="colorScale" priority="11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64">
    <cfRule type="expression" dxfId="4" priority="16">
      <formula>ISNUMBER(SEARCH("OOR",D64))</formula>
    </cfRule>
  </conditionalFormatting>
  <conditionalFormatting sqref="D72">
    <cfRule type="cellIs" dxfId="3" priority="5" operator="equal">
      <formula>"OK"</formula>
    </cfRule>
    <cfRule type="cellIs" dxfId="2" priority="6" operator="equal">
      <formula>"TIGHT"</formula>
    </cfRule>
  </conditionalFormatting>
  <conditionalFormatting sqref="D110:D112">
    <cfRule type="expression" dxfId="1" priority="14">
      <formula>OR(ISNUMBER(SEARCH("RISK",D110)),ISNUMBER(SEARCH("OVER",D110)),ISNUMBER(SEARCH("BELOW",D110)),ISNUMBER(SEARCH("EXCEED",D110)),ISNUMBER(SEARCH("NO CALIB",D110)),ISNUMBER(SEARCH("NEAREST",D110)),ISNUMBER(SEARCH("EXPLOSIVE",D110)),ISNUMBER(SEARCH("LOW",D110)),ISNUMBER(SEARCH("TIGHT",D110)),ISNUMBER(SEARCH("insufficient",D110)))</formula>
    </cfRule>
    <cfRule type="expression" dxfId="0" priority="15">
      <formula>OR(ISNUMBER(SEARCH("OK",D110)),ISNUMBER(SEARCH("calibrated",D110)),ISNUMBER(SEARCH("under optimum",D110)),ISNUMBER(SEARCH("above min",D110)),ISNUMBER(SEARCH("exact",D110)))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/>
  </sheetPr>
  <dimension ref="A1:Q76"/>
  <sheetViews>
    <sheetView workbookViewId="0">
      <selection activeCell="I4" sqref="I4"/>
    </sheetView>
  </sheetViews>
  <sheetFormatPr baseColWidth="10" defaultRowHeight="15" x14ac:dyDescent="0.2"/>
  <cols>
    <col min="1" max="9" width="15" customWidth="1"/>
    <col min="10" max="10" width="14.33203125" bestFit="1" customWidth="1"/>
    <col min="12" max="12" width="62.1640625" bestFit="1" customWidth="1"/>
  </cols>
  <sheetData>
    <row r="1" spans="1:17" ht="16" customHeight="1" x14ac:dyDescent="0.2">
      <c r="A1" s="4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2" spans="1:17" x14ac:dyDescent="0.2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" t="s">
        <v>8</v>
      </c>
      <c r="I2" s="5" t="s">
        <v>9</v>
      </c>
      <c r="J2" s="5" t="s">
        <v>10</v>
      </c>
      <c r="K2" s="3"/>
      <c r="L2" s="7" t="s">
        <v>11</v>
      </c>
      <c r="M2" s="3"/>
      <c r="N2" s="6"/>
      <c r="O2" s="3"/>
      <c r="P2" s="3"/>
      <c r="Q2" s="3"/>
    </row>
    <row r="3" spans="1:17" x14ac:dyDescent="0.2">
      <c r="A3" s="5"/>
      <c r="B3" s="5"/>
      <c r="C3" s="5" t="s">
        <v>12</v>
      </c>
      <c r="D3" s="5" t="s">
        <v>12</v>
      </c>
      <c r="E3" s="5" t="s">
        <v>12</v>
      </c>
      <c r="F3" s="5" t="s">
        <v>13</v>
      </c>
      <c r="G3" s="5" t="s">
        <v>14</v>
      </c>
      <c r="H3" s="5" t="s">
        <v>14</v>
      </c>
      <c r="I3" s="5" t="s">
        <v>13</v>
      </c>
      <c r="J3" s="5" t="s">
        <v>14</v>
      </c>
      <c r="K3" s="3"/>
      <c r="L3" s="8" t="s">
        <v>15</v>
      </c>
      <c r="M3" s="3"/>
      <c r="N3" s="6"/>
      <c r="O3" s="6"/>
      <c r="P3" s="6"/>
      <c r="Q3" s="6"/>
    </row>
    <row r="4" spans="1:17" x14ac:dyDescent="0.2">
      <c r="A4" s="3" t="s">
        <v>16</v>
      </c>
      <c r="B4" s="9">
        <v>46190</v>
      </c>
      <c r="C4" s="3">
        <v>50</v>
      </c>
      <c r="D4" s="3">
        <v>0</v>
      </c>
      <c r="E4" s="3"/>
      <c r="F4" s="3"/>
      <c r="G4" s="3"/>
      <c r="H4" s="3"/>
      <c r="I4" s="3">
        <v>0.25</v>
      </c>
      <c r="J4" s="3">
        <v>3.33</v>
      </c>
      <c r="K4" s="3"/>
      <c r="L4" s="10" t="s">
        <v>17</v>
      </c>
      <c r="M4" s="3"/>
      <c r="N4" s="3"/>
      <c r="O4" s="11"/>
      <c r="P4" s="12"/>
      <c r="Q4" s="3"/>
    </row>
    <row r="5" spans="1:17" x14ac:dyDescent="0.2">
      <c r="A5" s="3" t="s">
        <v>16</v>
      </c>
      <c r="B5" s="9">
        <v>46190</v>
      </c>
      <c r="C5" s="3">
        <v>50</v>
      </c>
      <c r="D5" s="3">
        <v>50</v>
      </c>
      <c r="E5" s="8">
        <f>D5-D4</f>
        <v>50</v>
      </c>
      <c r="F5" s="8">
        <v>15</v>
      </c>
      <c r="G5" s="3">
        <f>E5/F5</f>
        <v>3.3333333333333335</v>
      </c>
      <c r="H5" s="3">
        <f>AVERAGE(G5)</f>
        <v>3.3333333333333335</v>
      </c>
      <c r="I5" s="3"/>
      <c r="J5" s="3"/>
      <c r="K5" s="3"/>
      <c r="L5" s="3"/>
      <c r="M5" s="3"/>
      <c r="N5" s="13"/>
      <c r="O5" s="3"/>
      <c r="P5" s="3"/>
      <c r="Q5" s="3"/>
    </row>
    <row r="6" spans="1:17" x14ac:dyDescent="0.2">
      <c r="A6" s="3" t="s">
        <v>16</v>
      </c>
      <c r="B6" s="9">
        <v>46190</v>
      </c>
      <c r="C6" s="3">
        <v>50</v>
      </c>
      <c r="D6" s="3">
        <v>0</v>
      </c>
      <c r="E6" s="3"/>
      <c r="F6" s="3"/>
      <c r="G6" s="3"/>
      <c r="H6" s="3"/>
      <c r="I6" s="3"/>
      <c r="J6" s="3"/>
      <c r="K6" s="7" t="s">
        <v>18</v>
      </c>
      <c r="L6" s="7" t="s">
        <v>19</v>
      </c>
      <c r="M6" s="3"/>
      <c r="N6" s="3"/>
      <c r="O6" s="3"/>
      <c r="P6" s="3"/>
      <c r="Q6" s="3"/>
    </row>
    <row r="7" spans="1:17" x14ac:dyDescent="0.2">
      <c r="A7" s="3" t="s">
        <v>16</v>
      </c>
      <c r="B7" s="9">
        <v>46190</v>
      </c>
      <c r="C7" s="3">
        <v>50</v>
      </c>
      <c r="D7" s="3">
        <v>12</v>
      </c>
      <c r="E7" s="3">
        <f>D7-D6</f>
        <v>12</v>
      </c>
      <c r="F7" s="3">
        <v>4</v>
      </c>
      <c r="G7" s="3">
        <f>E7/F7</f>
        <v>3</v>
      </c>
      <c r="H7" s="3">
        <f>AVERAGE(G7:G9)</f>
        <v>3.3333333333333335</v>
      </c>
      <c r="I7" s="3"/>
      <c r="J7" s="3"/>
      <c r="K7" s="3" t="s">
        <v>20</v>
      </c>
      <c r="L7" s="3" t="s">
        <v>21</v>
      </c>
      <c r="M7" s="3"/>
      <c r="N7" s="6"/>
      <c r="O7" s="3"/>
      <c r="P7" s="3"/>
      <c r="Q7" s="3"/>
    </row>
    <row r="8" spans="1:17" x14ac:dyDescent="0.2">
      <c r="A8" s="3" t="s">
        <v>16</v>
      </c>
      <c r="B8" s="9">
        <v>46190</v>
      </c>
      <c r="C8" s="3">
        <v>50</v>
      </c>
      <c r="D8" s="3">
        <v>26</v>
      </c>
      <c r="E8" s="3">
        <f>D8-D7</f>
        <v>14</v>
      </c>
      <c r="F8" s="3">
        <v>4</v>
      </c>
      <c r="G8" s="3">
        <f>E8/F8</f>
        <v>3.5</v>
      </c>
      <c r="H8" s="3"/>
      <c r="I8" s="3"/>
      <c r="J8" s="3"/>
      <c r="K8" s="9">
        <v>46190</v>
      </c>
      <c r="L8" s="3" t="s">
        <v>22</v>
      </c>
      <c r="M8" s="3"/>
      <c r="N8" s="3"/>
      <c r="O8" s="3"/>
      <c r="P8" s="3"/>
      <c r="Q8" s="3"/>
    </row>
    <row r="9" spans="1:17" x14ac:dyDescent="0.2">
      <c r="A9" s="3" t="s">
        <v>16</v>
      </c>
      <c r="B9" s="9">
        <v>46190</v>
      </c>
      <c r="C9" s="3">
        <v>50</v>
      </c>
      <c r="D9" s="3">
        <v>40</v>
      </c>
      <c r="E9" s="3">
        <f>D9-D8</f>
        <v>14</v>
      </c>
      <c r="F9" s="3">
        <v>4</v>
      </c>
      <c r="G9" s="3">
        <f>E9/F9</f>
        <v>3.5</v>
      </c>
      <c r="H9" s="3"/>
      <c r="I9" s="3"/>
      <c r="J9" s="3"/>
      <c r="K9" s="9">
        <v>46190</v>
      </c>
      <c r="L9" s="3" t="s">
        <v>23</v>
      </c>
      <c r="M9" s="3"/>
      <c r="N9" s="3"/>
      <c r="O9" s="3"/>
      <c r="P9" s="3"/>
      <c r="Q9" s="3"/>
    </row>
    <row r="10" spans="1:17" x14ac:dyDescent="0.2">
      <c r="A10" s="3" t="s">
        <v>16</v>
      </c>
      <c r="B10" s="9">
        <v>46190</v>
      </c>
      <c r="C10" s="3">
        <v>50</v>
      </c>
      <c r="D10" s="3">
        <v>0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17" x14ac:dyDescent="0.2">
      <c r="A11" s="3" t="s">
        <v>16</v>
      </c>
      <c r="B11" s="9">
        <v>46190</v>
      </c>
      <c r="C11" s="3">
        <v>50</v>
      </c>
      <c r="D11" s="3">
        <v>6</v>
      </c>
      <c r="E11" s="3">
        <f t="shared" ref="E11:E16" si="0">D11-D10</f>
        <v>6</v>
      </c>
      <c r="F11" s="3">
        <v>2</v>
      </c>
      <c r="G11" s="3">
        <f t="shared" ref="G11:G16" si="1">E11/F11</f>
        <v>3</v>
      </c>
      <c r="H11" s="3">
        <f>AVERAGE(G11:G16)</f>
        <v>3.75</v>
      </c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">
      <c r="A12" s="3" t="s">
        <v>16</v>
      </c>
      <c r="B12" s="9">
        <v>46190</v>
      </c>
      <c r="C12" s="3">
        <v>50</v>
      </c>
      <c r="D12" s="3">
        <v>15</v>
      </c>
      <c r="E12" s="3">
        <f t="shared" si="0"/>
        <v>9</v>
      </c>
      <c r="F12" s="3">
        <v>2</v>
      </c>
      <c r="G12" s="3">
        <f t="shared" si="1"/>
        <v>4.5</v>
      </c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">
      <c r="A13" s="3" t="s">
        <v>16</v>
      </c>
      <c r="B13" s="9">
        <v>46190</v>
      </c>
      <c r="C13" s="3">
        <v>50</v>
      </c>
      <c r="D13" s="3">
        <v>21</v>
      </c>
      <c r="E13" s="3">
        <f t="shared" si="0"/>
        <v>6</v>
      </c>
      <c r="F13" s="3">
        <v>2</v>
      </c>
      <c r="G13" s="3">
        <f t="shared" si="1"/>
        <v>3</v>
      </c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17" x14ac:dyDescent="0.2">
      <c r="A14" s="3" t="s">
        <v>16</v>
      </c>
      <c r="B14" s="9">
        <v>46190</v>
      </c>
      <c r="C14" s="3">
        <v>50</v>
      </c>
      <c r="D14" s="3">
        <v>29</v>
      </c>
      <c r="E14" s="3">
        <f t="shared" si="0"/>
        <v>8</v>
      </c>
      <c r="F14" s="3">
        <v>2</v>
      </c>
      <c r="G14" s="3">
        <f t="shared" si="1"/>
        <v>4</v>
      </c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17" x14ac:dyDescent="0.2">
      <c r="A15" s="3" t="s">
        <v>16</v>
      </c>
      <c r="B15" s="9">
        <v>46190</v>
      </c>
      <c r="C15" s="3">
        <v>50</v>
      </c>
      <c r="D15" s="3">
        <v>35</v>
      </c>
      <c r="E15" s="3">
        <f t="shared" si="0"/>
        <v>6</v>
      </c>
      <c r="F15" s="3">
        <v>2</v>
      </c>
      <c r="G15" s="3">
        <f t="shared" si="1"/>
        <v>3</v>
      </c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17" x14ac:dyDescent="0.2">
      <c r="A16" s="3" t="s">
        <v>16</v>
      </c>
      <c r="B16" s="9">
        <v>46190</v>
      </c>
      <c r="C16" s="3">
        <v>50</v>
      </c>
      <c r="D16" s="3">
        <v>45</v>
      </c>
      <c r="E16" s="3">
        <f t="shared" si="0"/>
        <v>10</v>
      </c>
      <c r="F16" s="3">
        <v>2</v>
      </c>
      <c r="G16" s="3">
        <f t="shared" si="1"/>
        <v>5</v>
      </c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">
      <c r="A17" s="3" t="s">
        <v>16</v>
      </c>
      <c r="B17" s="9">
        <v>46190</v>
      </c>
      <c r="C17" s="3">
        <v>50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">
      <c r="A18" s="3" t="s">
        <v>16</v>
      </c>
      <c r="B18" s="9">
        <v>46190</v>
      </c>
      <c r="C18" s="3">
        <v>50</v>
      </c>
      <c r="D18" s="3">
        <v>4</v>
      </c>
      <c r="E18" s="3">
        <f t="shared" ref="E18:E23" si="2">D18-D17</f>
        <v>4</v>
      </c>
      <c r="F18" s="3">
        <v>1</v>
      </c>
      <c r="G18" s="3">
        <f t="shared" ref="G18:G23" si="3">E18/F18</f>
        <v>4</v>
      </c>
      <c r="H18" s="3">
        <f>AVERAGE(G18:G23)</f>
        <v>3.8333333333333335</v>
      </c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">
      <c r="A19" s="3" t="s">
        <v>16</v>
      </c>
      <c r="B19" s="9">
        <v>46190</v>
      </c>
      <c r="C19" s="3">
        <v>50</v>
      </c>
      <c r="D19" s="3">
        <v>8</v>
      </c>
      <c r="E19" s="3">
        <f t="shared" si="2"/>
        <v>4</v>
      </c>
      <c r="F19" s="3">
        <v>1</v>
      </c>
      <c r="G19" s="3">
        <f t="shared" si="3"/>
        <v>4</v>
      </c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">
      <c r="A20" s="3" t="s">
        <v>16</v>
      </c>
      <c r="B20" s="9">
        <v>46190</v>
      </c>
      <c r="C20" s="3">
        <v>50</v>
      </c>
      <c r="D20" s="3">
        <v>11</v>
      </c>
      <c r="E20" s="3">
        <f t="shared" si="2"/>
        <v>3</v>
      </c>
      <c r="F20" s="3">
        <v>1</v>
      </c>
      <c r="G20" s="3">
        <f t="shared" si="3"/>
        <v>3</v>
      </c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">
      <c r="A21" s="3" t="s">
        <v>16</v>
      </c>
      <c r="B21" s="9">
        <v>46190</v>
      </c>
      <c r="C21" s="3">
        <v>50</v>
      </c>
      <c r="D21" s="3">
        <v>15</v>
      </c>
      <c r="E21" s="3">
        <f t="shared" si="2"/>
        <v>4</v>
      </c>
      <c r="F21" s="3">
        <v>1</v>
      </c>
      <c r="G21" s="3">
        <f t="shared" si="3"/>
        <v>4</v>
      </c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">
      <c r="A22" s="3" t="s">
        <v>16</v>
      </c>
      <c r="B22" s="9">
        <v>46190</v>
      </c>
      <c r="C22" s="3">
        <v>50</v>
      </c>
      <c r="D22" s="3">
        <v>19</v>
      </c>
      <c r="E22" s="3">
        <f t="shared" si="2"/>
        <v>4</v>
      </c>
      <c r="F22" s="3">
        <v>1</v>
      </c>
      <c r="G22" s="3">
        <f t="shared" si="3"/>
        <v>4</v>
      </c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">
      <c r="A23" s="3" t="s">
        <v>16</v>
      </c>
      <c r="B23" s="9">
        <v>46190</v>
      </c>
      <c r="C23" s="3">
        <v>50</v>
      </c>
      <c r="D23" s="3">
        <v>23</v>
      </c>
      <c r="E23" s="3">
        <f t="shared" si="2"/>
        <v>4</v>
      </c>
      <c r="F23" s="3">
        <v>1</v>
      </c>
      <c r="G23" s="3">
        <f t="shared" si="3"/>
        <v>4</v>
      </c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">
      <c r="A24" s="3" t="s">
        <v>16</v>
      </c>
      <c r="B24" s="9">
        <v>46190</v>
      </c>
      <c r="C24" s="3">
        <v>50</v>
      </c>
      <c r="D24" s="3">
        <v>31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">
      <c r="A25" s="3" t="s">
        <v>16</v>
      </c>
      <c r="B25" s="9">
        <v>46190</v>
      </c>
      <c r="C25" s="3">
        <v>50</v>
      </c>
      <c r="D25" s="3">
        <v>33</v>
      </c>
      <c r="E25" s="3">
        <f t="shared" ref="E25:E39" si="4">D25-D24</f>
        <v>2</v>
      </c>
      <c r="F25" s="3">
        <v>0.5</v>
      </c>
      <c r="G25" s="3">
        <f t="shared" ref="G25:G34" si="5">E25/F25</f>
        <v>4</v>
      </c>
      <c r="H25" s="3">
        <f>AVERAGE(G25:G29)</f>
        <v>4</v>
      </c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">
      <c r="A26" s="3" t="s">
        <v>16</v>
      </c>
      <c r="B26" s="9">
        <v>46190</v>
      </c>
      <c r="C26" s="3">
        <v>50</v>
      </c>
      <c r="D26" s="3">
        <v>35</v>
      </c>
      <c r="E26" s="3">
        <f t="shared" si="4"/>
        <v>2</v>
      </c>
      <c r="F26" s="3">
        <v>0.5</v>
      </c>
      <c r="G26" s="3">
        <f t="shared" si="5"/>
        <v>4</v>
      </c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17" x14ac:dyDescent="0.2">
      <c r="A27" s="3" t="s">
        <v>16</v>
      </c>
      <c r="B27" s="9">
        <v>46190</v>
      </c>
      <c r="C27" s="3">
        <v>50</v>
      </c>
      <c r="D27" s="3">
        <v>37</v>
      </c>
      <c r="E27" s="3">
        <f t="shared" si="4"/>
        <v>2</v>
      </c>
      <c r="F27" s="3">
        <v>0.5</v>
      </c>
      <c r="G27" s="3">
        <f t="shared" si="5"/>
        <v>4</v>
      </c>
      <c r="H27" s="3"/>
      <c r="I27" s="3"/>
      <c r="J27" s="3"/>
      <c r="K27" s="3"/>
      <c r="L27" s="3"/>
      <c r="M27" s="3"/>
      <c r="N27" s="3"/>
      <c r="O27" s="3"/>
      <c r="P27" s="3"/>
      <c r="Q27" s="3"/>
    </row>
    <row r="28" spans="1:17" x14ac:dyDescent="0.2">
      <c r="A28" s="3" t="s">
        <v>16</v>
      </c>
      <c r="B28" s="9">
        <v>46190</v>
      </c>
      <c r="C28" s="3">
        <v>50</v>
      </c>
      <c r="D28" s="3">
        <v>39</v>
      </c>
      <c r="E28" s="3">
        <f t="shared" si="4"/>
        <v>2</v>
      </c>
      <c r="F28" s="3">
        <v>0.5</v>
      </c>
      <c r="G28" s="3">
        <f t="shared" si="5"/>
        <v>4</v>
      </c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17" x14ac:dyDescent="0.2">
      <c r="A29" s="3" t="s">
        <v>16</v>
      </c>
      <c r="B29" s="9">
        <v>46190</v>
      </c>
      <c r="C29" s="3">
        <v>50</v>
      </c>
      <c r="D29" s="3">
        <v>41</v>
      </c>
      <c r="E29" s="3">
        <f t="shared" si="4"/>
        <v>2</v>
      </c>
      <c r="F29" s="3">
        <v>0.5</v>
      </c>
      <c r="G29" s="3">
        <f t="shared" si="5"/>
        <v>4</v>
      </c>
      <c r="H29" s="3"/>
      <c r="I29" s="3"/>
      <c r="J29" s="3"/>
      <c r="K29" s="3"/>
      <c r="L29" s="3"/>
      <c r="M29" s="3"/>
      <c r="N29" s="3"/>
      <c r="O29" s="3"/>
      <c r="P29" s="3"/>
      <c r="Q29" s="3"/>
    </row>
    <row r="30" spans="1:17" x14ac:dyDescent="0.2">
      <c r="A30" s="3" t="s">
        <v>16</v>
      </c>
      <c r="B30" s="9">
        <v>46190</v>
      </c>
      <c r="C30" s="3">
        <v>50</v>
      </c>
      <c r="D30" s="3">
        <v>42</v>
      </c>
      <c r="E30" s="3">
        <f t="shared" si="4"/>
        <v>1</v>
      </c>
      <c r="F30" s="3">
        <v>0.25</v>
      </c>
      <c r="G30" s="3">
        <f t="shared" si="5"/>
        <v>4</v>
      </c>
      <c r="H30" s="3">
        <f>AVERAGE(G30:G34)</f>
        <v>4</v>
      </c>
      <c r="I30" s="3"/>
      <c r="J30" s="3"/>
      <c r="K30" s="3"/>
      <c r="L30" s="3"/>
      <c r="M30" s="3"/>
      <c r="N30" s="3"/>
      <c r="O30" s="3"/>
      <c r="P30" s="3"/>
      <c r="Q30" s="3"/>
    </row>
    <row r="31" spans="1:17" x14ac:dyDescent="0.2">
      <c r="A31" s="3" t="s">
        <v>16</v>
      </c>
      <c r="B31" s="9">
        <v>46190</v>
      </c>
      <c r="C31" s="3">
        <v>50</v>
      </c>
      <c r="D31" s="3">
        <v>43</v>
      </c>
      <c r="E31" s="3">
        <f t="shared" si="4"/>
        <v>1</v>
      </c>
      <c r="F31" s="3">
        <v>0.25</v>
      </c>
      <c r="G31" s="3">
        <f t="shared" si="5"/>
        <v>4</v>
      </c>
      <c r="H31" s="3"/>
      <c r="I31" s="3"/>
      <c r="J31" s="3"/>
      <c r="K31" s="3"/>
      <c r="L31" s="3"/>
      <c r="M31" s="3"/>
      <c r="N31" s="3"/>
      <c r="O31" s="3"/>
      <c r="P31" s="3"/>
      <c r="Q31" s="3"/>
    </row>
    <row r="32" spans="1:17" x14ac:dyDescent="0.2">
      <c r="A32" s="3" t="s">
        <v>16</v>
      </c>
      <c r="B32" s="9">
        <v>46190</v>
      </c>
      <c r="C32" s="3">
        <v>50</v>
      </c>
      <c r="D32" s="3">
        <v>44</v>
      </c>
      <c r="E32" s="3">
        <f t="shared" si="4"/>
        <v>1</v>
      </c>
      <c r="F32" s="3">
        <v>0.25</v>
      </c>
      <c r="G32" s="3">
        <f t="shared" si="5"/>
        <v>4</v>
      </c>
      <c r="H32" s="3"/>
      <c r="I32" s="3"/>
      <c r="J32" s="3"/>
      <c r="K32" s="3"/>
      <c r="L32" s="3"/>
      <c r="M32" s="3"/>
      <c r="N32" s="3"/>
      <c r="O32" s="3"/>
      <c r="P32" s="3"/>
      <c r="Q32" s="3"/>
    </row>
    <row r="33" spans="1:17" x14ac:dyDescent="0.2">
      <c r="A33" s="3" t="s">
        <v>16</v>
      </c>
      <c r="B33" s="9">
        <v>46190</v>
      </c>
      <c r="C33" s="3">
        <v>50</v>
      </c>
      <c r="D33" s="3">
        <v>45</v>
      </c>
      <c r="E33" s="3">
        <f t="shared" si="4"/>
        <v>1</v>
      </c>
      <c r="F33" s="3">
        <v>0.25</v>
      </c>
      <c r="G33" s="3">
        <f t="shared" si="5"/>
        <v>4</v>
      </c>
      <c r="H33" s="3"/>
      <c r="I33" s="3"/>
      <c r="J33" s="3"/>
      <c r="K33" s="3"/>
      <c r="L33" s="3"/>
      <c r="M33" s="3"/>
      <c r="N33" s="3"/>
      <c r="O33" s="3"/>
      <c r="P33" s="3"/>
      <c r="Q33" s="3"/>
    </row>
    <row r="34" spans="1:17" x14ac:dyDescent="0.2">
      <c r="A34" s="3" t="s">
        <v>16</v>
      </c>
      <c r="B34" s="9">
        <v>46190</v>
      </c>
      <c r="C34" s="3">
        <v>50</v>
      </c>
      <c r="D34" s="3">
        <v>46</v>
      </c>
      <c r="E34" s="3">
        <f t="shared" si="4"/>
        <v>1</v>
      </c>
      <c r="F34" s="3">
        <v>0.25</v>
      </c>
      <c r="G34" s="3">
        <f t="shared" si="5"/>
        <v>4</v>
      </c>
      <c r="H34" s="3"/>
      <c r="I34" s="3"/>
      <c r="J34" s="3"/>
      <c r="K34" s="3"/>
      <c r="L34" s="3"/>
      <c r="M34" s="3"/>
      <c r="N34" s="3"/>
      <c r="O34" s="3"/>
      <c r="P34" s="3"/>
      <c r="Q34" s="3"/>
    </row>
    <row r="35" spans="1:17" x14ac:dyDescent="0.2">
      <c r="A35" s="3" t="s">
        <v>16</v>
      </c>
      <c r="B35" s="9">
        <v>46190</v>
      </c>
      <c r="C35" s="3">
        <v>10</v>
      </c>
      <c r="D35" s="3">
        <v>0</v>
      </c>
      <c r="E35" s="3">
        <f t="shared" si="4"/>
        <v>-46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">
      <c r="A36" s="3" t="s">
        <v>16</v>
      </c>
      <c r="B36" s="9">
        <v>46190</v>
      </c>
      <c r="C36" s="3">
        <v>10</v>
      </c>
      <c r="D36" s="3">
        <v>0.4</v>
      </c>
      <c r="E36" s="3">
        <f t="shared" si="4"/>
        <v>0.4</v>
      </c>
      <c r="F36" s="3">
        <v>0.2</v>
      </c>
      <c r="G36" s="10">
        <f>E36/F36</f>
        <v>2</v>
      </c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">
      <c r="A37" s="3" t="s">
        <v>16</v>
      </c>
      <c r="B37" s="9">
        <v>46190</v>
      </c>
      <c r="C37" s="3">
        <v>10</v>
      </c>
      <c r="D37" s="3">
        <v>1.2</v>
      </c>
      <c r="E37" s="3">
        <f t="shared" si="4"/>
        <v>0.79999999999999993</v>
      </c>
      <c r="F37" s="3">
        <v>0.2</v>
      </c>
      <c r="G37" s="3">
        <f>E37/F37</f>
        <v>3.9999999999999996</v>
      </c>
      <c r="H37" s="3">
        <f>AVERAGE(G37:G39)</f>
        <v>4.333333333333333</v>
      </c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">
      <c r="A38" s="3" t="s">
        <v>16</v>
      </c>
      <c r="B38" s="9">
        <v>46190</v>
      </c>
      <c r="C38" s="3">
        <v>10</v>
      </c>
      <c r="D38" s="3">
        <v>2.2000000000000002</v>
      </c>
      <c r="E38" s="3">
        <f t="shared" si="4"/>
        <v>1.0000000000000002</v>
      </c>
      <c r="F38" s="3">
        <v>0.2</v>
      </c>
      <c r="G38" s="3">
        <f>E38/F38</f>
        <v>5.0000000000000009</v>
      </c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">
      <c r="A39" s="3" t="s">
        <v>16</v>
      </c>
      <c r="B39" s="9">
        <v>46190</v>
      </c>
      <c r="C39" s="3">
        <v>10</v>
      </c>
      <c r="D39" s="3">
        <v>3</v>
      </c>
      <c r="E39" s="3">
        <f t="shared" si="4"/>
        <v>0.79999999999999982</v>
      </c>
      <c r="F39" s="3">
        <v>0.2</v>
      </c>
      <c r="G39" s="3">
        <f>E39/F39</f>
        <v>3.9999999999999991</v>
      </c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">
      <c r="A40" s="3" t="s">
        <v>16</v>
      </c>
      <c r="B40" s="9">
        <v>46190</v>
      </c>
      <c r="C40" s="3">
        <v>10</v>
      </c>
      <c r="D40" s="3">
        <v>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">
      <c r="A41" s="3" t="s">
        <v>16</v>
      </c>
      <c r="B41" s="9">
        <v>46190</v>
      </c>
      <c r="C41" s="3">
        <v>10</v>
      </c>
      <c r="D41" s="3">
        <v>0.4</v>
      </c>
      <c r="E41" s="3">
        <f t="shared" ref="E41:E46" si="6">D41-D40</f>
        <v>0.4</v>
      </c>
      <c r="F41" s="3">
        <v>0.1</v>
      </c>
      <c r="G41" s="3">
        <f t="shared" ref="G41:G46" si="7">E41/F41</f>
        <v>4</v>
      </c>
      <c r="H41" s="3">
        <f>AVERAGE(G41:G45)</f>
        <v>5.2</v>
      </c>
      <c r="I41" s="3"/>
      <c r="J41" s="3"/>
      <c r="K41" s="3"/>
      <c r="L41" s="3"/>
      <c r="M41" s="3"/>
      <c r="N41" s="3"/>
      <c r="O41" s="3"/>
      <c r="P41" s="3"/>
      <c r="Q41" s="3"/>
    </row>
    <row r="42" spans="1:17" x14ac:dyDescent="0.2">
      <c r="A42" s="3" t="s">
        <v>16</v>
      </c>
      <c r="B42" s="9">
        <v>46190</v>
      </c>
      <c r="C42" s="3">
        <v>10</v>
      </c>
      <c r="D42" s="3">
        <v>0.8</v>
      </c>
      <c r="E42" s="3">
        <f t="shared" si="6"/>
        <v>0.4</v>
      </c>
      <c r="F42" s="3">
        <v>0.1</v>
      </c>
      <c r="G42" s="3">
        <f t="shared" si="7"/>
        <v>4</v>
      </c>
      <c r="H42" s="3"/>
      <c r="I42" s="3"/>
      <c r="J42" s="3"/>
      <c r="K42" s="3"/>
      <c r="L42" s="3"/>
      <c r="M42" s="3"/>
      <c r="N42" s="3"/>
      <c r="O42" s="3"/>
      <c r="P42" s="3"/>
      <c r="Q42" s="3"/>
    </row>
    <row r="43" spans="1:17" x14ac:dyDescent="0.2">
      <c r="A43" s="3" t="s">
        <v>16</v>
      </c>
      <c r="B43" s="9">
        <v>46190</v>
      </c>
      <c r="C43" s="3">
        <v>10</v>
      </c>
      <c r="D43" s="3">
        <v>1.4</v>
      </c>
      <c r="E43" s="3">
        <f t="shared" si="6"/>
        <v>0.59999999999999987</v>
      </c>
      <c r="F43" s="3">
        <v>0.1</v>
      </c>
      <c r="G43" s="3">
        <f t="shared" si="7"/>
        <v>5.9999999999999982</v>
      </c>
      <c r="H43" s="3"/>
      <c r="I43" s="3"/>
      <c r="J43" s="3"/>
      <c r="K43" s="3"/>
      <c r="L43" s="3"/>
      <c r="M43" s="3"/>
      <c r="N43" s="3"/>
      <c r="O43" s="3"/>
      <c r="P43" s="3"/>
      <c r="Q43" s="3"/>
    </row>
    <row r="44" spans="1:17" x14ac:dyDescent="0.2">
      <c r="A44" s="3" t="s">
        <v>16</v>
      </c>
      <c r="B44" s="9">
        <v>46190</v>
      </c>
      <c r="C44" s="3">
        <v>10</v>
      </c>
      <c r="D44" s="3">
        <v>2</v>
      </c>
      <c r="E44" s="3">
        <f t="shared" si="6"/>
        <v>0.60000000000000009</v>
      </c>
      <c r="F44" s="3">
        <v>0.1</v>
      </c>
      <c r="G44" s="3">
        <f t="shared" si="7"/>
        <v>6.0000000000000009</v>
      </c>
      <c r="H44" s="3"/>
      <c r="I44" s="3"/>
      <c r="J44" s="3"/>
      <c r="K44" s="3"/>
      <c r="L44" s="3"/>
      <c r="M44" s="3"/>
      <c r="N44" s="3"/>
      <c r="O44" s="3"/>
      <c r="P44" s="3"/>
      <c r="Q44" s="3"/>
    </row>
    <row r="45" spans="1:17" x14ac:dyDescent="0.2">
      <c r="A45" s="3" t="s">
        <v>16</v>
      </c>
      <c r="B45" s="9">
        <v>46190</v>
      </c>
      <c r="C45" s="3">
        <v>10</v>
      </c>
      <c r="D45" s="3">
        <v>2.6</v>
      </c>
      <c r="E45" s="3">
        <f t="shared" si="6"/>
        <v>0.60000000000000009</v>
      </c>
      <c r="F45" s="3">
        <v>0.1</v>
      </c>
      <c r="G45" s="3">
        <f t="shared" si="7"/>
        <v>6.0000000000000009</v>
      </c>
      <c r="H45" s="3"/>
      <c r="I45" s="3"/>
      <c r="J45" s="3"/>
      <c r="K45" s="3"/>
      <c r="L45" s="3"/>
      <c r="M45" s="3"/>
      <c r="N45" s="3"/>
      <c r="O45" s="3"/>
      <c r="P45" s="3"/>
      <c r="Q45" s="3"/>
    </row>
    <row r="46" spans="1:17" x14ac:dyDescent="0.2">
      <c r="A46" s="3" t="s">
        <v>16</v>
      </c>
      <c r="B46" s="9">
        <v>46190</v>
      </c>
      <c r="C46" s="3">
        <v>10</v>
      </c>
      <c r="D46" s="3">
        <v>2.8</v>
      </c>
      <c r="E46" s="3">
        <f t="shared" si="6"/>
        <v>0.19999999999999973</v>
      </c>
      <c r="F46" s="3">
        <v>0.1</v>
      </c>
      <c r="G46" s="10">
        <f t="shared" si="7"/>
        <v>1.9999999999999973</v>
      </c>
      <c r="H46" s="3"/>
      <c r="I46" s="3"/>
      <c r="J46" s="3"/>
      <c r="K46" s="3"/>
      <c r="L46" s="3"/>
      <c r="M46" s="3"/>
      <c r="N46" s="3"/>
      <c r="O46" s="3"/>
      <c r="P46" s="3"/>
      <c r="Q46" s="3"/>
    </row>
    <row r="47" spans="1:17" x14ac:dyDescent="0.2">
      <c r="A47" s="3"/>
      <c r="B47" s="9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</row>
    <row r="48" spans="1:17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</row>
    <row r="49" spans="1:17" x14ac:dyDescent="0.2">
      <c r="A49" s="14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</row>
    <row r="50" spans="1:17" x14ac:dyDescent="0.2">
      <c r="A50" s="6"/>
      <c r="B50" s="6"/>
      <c r="C50" s="6"/>
      <c r="D50" s="6"/>
      <c r="E50" s="6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</row>
    <row r="51" spans="1:17" x14ac:dyDescent="0.2">
      <c r="A51" s="3"/>
      <c r="B51" s="11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</row>
    <row r="52" spans="1:17" x14ac:dyDescent="0.2">
      <c r="A52" s="1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</row>
    <row r="53" spans="1:17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</row>
    <row r="54" spans="1:17" x14ac:dyDescent="0.2">
      <c r="A54" s="14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</row>
    <row r="55" spans="1:17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</row>
    <row r="56" spans="1:17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</row>
    <row r="57" spans="1:17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</row>
    <row r="58" spans="1:17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</row>
    <row r="59" spans="1:17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</row>
    <row r="60" spans="1:17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</row>
    <row r="61" spans="1:17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</row>
    <row r="62" spans="1:17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</row>
    <row r="63" spans="1:17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</row>
    <row r="64" spans="1:17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</row>
    <row r="65" spans="1:17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</row>
    <row r="66" spans="1:17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</row>
    <row r="67" spans="1:17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</row>
    <row r="68" spans="1:17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</row>
    <row r="69" spans="1:17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</row>
    <row r="70" spans="1:17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</row>
    <row r="71" spans="1:17" x14ac:dyDescent="0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</row>
    <row r="72" spans="1:17" x14ac:dyDescent="0.2">
      <c r="A72" s="1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</row>
    <row r="73" spans="1:17" x14ac:dyDescent="0.2">
      <c r="A73" s="1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</row>
    <row r="74" spans="1:17" x14ac:dyDescent="0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</row>
    <row r="75" spans="1:17" x14ac:dyDescent="0.2">
      <c r="A75" s="14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</row>
    <row r="76" spans="1:17" x14ac:dyDescent="0.2">
      <c r="A76" s="1"/>
    </row>
  </sheetData>
  <conditionalFormatting sqref="G5:G47 I5:I48">
    <cfRule type="dataBar" priority="21">
      <dataBar>
        <cfvo type="min"/>
        <cfvo type="max"/>
        <color rgb="FF638EC6"/>
      </dataBar>
    </cfRule>
  </conditionalFormatting>
  <conditionalFormatting sqref="H5:H47">
    <cfRule type="dataBar" priority="25">
      <dataBar>
        <cfvo type="min"/>
        <cfvo type="max"/>
        <color rgb="FF638EC6"/>
      </dataBar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307</vt:i4>
      </vt:variant>
    </vt:vector>
  </HeadingPairs>
  <TitlesOfParts>
    <vt:vector size="314" baseType="lpstr">
      <vt:lpstr>Summary</vt:lpstr>
      <vt:lpstr>Geometry</vt:lpstr>
      <vt:lpstr>Electrochemistry</vt:lpstr>
      <vt:lpstr>Chemistry</vt:lpstr>
      <vt:lpstr>Biology</vt:lpstr>
      <vt:lpstr>Mass Transfer</vt:lpstr>
      <vt:lpstr>CO2 flows</vt:lpstr>
      <vt:lpstr>'Mass Transfer'!a_int</vt:lpstr>
      <vt:lpstr>'Mass Transfer'!a_surf</vt:lpstr>
      <vt:lpstr>Geometry!A_x</vt:lpstr>
      <vt:lpstr>'Mass Transfer'!A_x</vt:lpstr>
      <vt:lpstr>Biology!bio_CO2</vt:lpstr>
      <vt:lpstr>Biology!bio_H2</vt:lpstr>
      <vt:lpstr>Biology!bio_O2</vt:lpstr>
      <vt:lpstr>Chemistry!bleach_flag</vt:lpstr>
      <vt:lpstr>Chemistry!bleach_rate</vt:lpstr>
      <vt:lpstr>Chemistry!bleach_t1ppm</vt:lpstr>
      <vt:lpstr>'Mass Transfer'!bubble_regime</vt:lpstr>
      <vt:lpstr>Biology!C_H2_sat</vt:lpstr>
      <vt:lpstr>'Mass Transfer'!cal_warning</vt:lpstr>
      <vt:lpstr>'Mass Transfer'!carbon_margin_min</vt:lpstr>
      <vt:lpstr>'Mass Transfer'!carry_flag</vt:lpstr>
      <vt:lpstr>Chemistry!Cl_mc02</vt:lpstr>
      <vt:lpstr>Chemistry!Cl_udg</vt:lpstr>
      <vt:lpstr>Biology!CO2_carbon_margin</vt:lpstr>
      <vt:lpstr>Biology!CO2_cons</vt:lpstr>
      <vt:lpstr>'Mass Transfer'!CO2_cons</vt:lpstr>
      <vt:lpstr>Biology!CO2_diss</vt:lpstr>
      <vt:lpstr>'Mass Transfer'!CO2_pulse</vt:lpstr>
      <vt:lpstr>'Mass Transfer'!CO2_sd_ratio</vt:lpstr>
      <vt:lpstr>'Mass Transfer'!CO2_supply</vt:lpstr>
      <vt:lpstr>Chemistry!CO2aqc</vt:lpstr>
      <vt:lpstr>'Mass Transfer'!d_bubble</vt:lpstr>
      <vt:lpstr>'Mass Transfer'!d_bubble_mm</vt:lpstr>
      <vt:lpstr>Geometry!D_int</vt:lpstr>
      <vt:lpstr>Geometry!D_int_1</vt:lpstr>
      <vt:lpstr>Geometry!D_int_2</vt:lpstr>
      <vt:lpstr>'Mass Transfer'!D_O2</vt:lpstr>
      <vt:lpstr>'Mass Transfer'!d_orifice</vt:lpstr>
      <vt:lpstr>Geometry!depth_warn</vt:lpstr>
      <vt:lpstr>Geometry!disp_tot</vt:lpstr>
      <vt:lpstr>Biology!DO_impair</vt:lpstr>
      <vt:lpstr>'Mass Transfer'!DO_impair</vt:lpstr>
      <vt:lpstr>Biology!DO_min</vt:lpstr>
      <vt:lpstr>'Mass Transfer'!DO_min</vt:lpstr>
      <vt:lpstr>Biology!DO_opt</vt:lpstr>
      <vt:lpstr>'Mass Transfer'!DO_opt</vt:lpstr>
      <vt:lpstr>'Mass Transfer'!DO_ss</vt:lpstr>
      <vt:lpstr>'Mass Transfer'!DO_ss_vs_min</vt:lpstr>
      <vt:lpstr>'Mass Transfer'!DO_ss_vs_opt</vt:lpstr>
      <vt:lpstr>Biology!DO_toxic</vt:lpstr>
      <vt:lpstr>'Mass Transfer'!DO_toxic</vt:lpstr>
      <vt:lpstr>'Mass Transfer'!DO_vent_eq</vt:lpstr>
      <vt:lpstr>'Mass Transfer'!dur_ok</vt:lpstr>
      <vt:lpstr>'Mass Transfer'!duty</vt:lpstr>
      <vt:lpstr>'Mass Transfer'!duty_actual</vt:lpstr>
      <vt:lpstr>'Mass Transfer'!duty_carbon</vt:lpstr>
      <vt:lpstr>'Mass Transfer'!duty_O2vent</vt:lpstr>
      <vt:lpstr>'Mass Transfer'!duty_opt</vt:lpstr>
      <vt:lpstr>Geometry!eff_disp</vt:lpstr>
      <vt:lpstr>Geometry!eff_ID</vt:lpstr>
      <vt:lpstr>Geometry!eff_OD</vt:lpstr>
      <vt:lpstr>Geometry!eff_sub_L</vt:lpstr>
      <vt:lpstr>Geometry!elec_clear</vt:lpstr>
      <vt:lpstr>Geometry!elec_disp</vt:lpstr>
      <vt:lpstr>Geometry!elec_ins</vt:lpstr>
      <vt:lpstr>Geometry!elec_sub_L</vt:lpstr>
      <vt:lpstr>Electrochemistry!electrode_sel</vt:lpstr>
      <vt:lpstr>Summary!electrode_sel</vt:lpstr>
      <vt:lpstr>Electrochemistry!etaF</vt:lpstr>
      <vt:lpstr>Electrochemistry!etaF_OER</vt:lpstr>
      <vt:lpstr>Electrochemistry!F_const</vt:lpstr>
      <vt:lpstr>Chemistry!Fcc</vt:lpstr>
      <vt:lpstr>'Mass Transfer'!flowrate_cal</vt:lpstr>
      <vt:lpstr>'Mass Transfer'!flush_factor</vt:lpstr>
      <vt:lpstr>'Mass Transfer'!g_const</vt:lpstr>
      <vt:lpstr>Geometry!geom_check</vt:lpstr>
      <vt:lpstr>Electrochemistry!gerrit_int</vt:lpstr>
      <vt:lpstr>Electrochemistry!gerrit_max</vt:lpstr>
      <vt:lpstr>Electrochemistry!gerrit_min</vt:lpstr>
      <vt:lpstr>Electrochemistry!gerrit_slope</vt:lpstr>
      <vt:lpstr>Geometry!h_actual</vt:lpstr>
      <vt:lpstr>Biology!H_CO2_T</vt:lpstr>
      <vt:lpstr>Biology!H_CO2ref</vt:lpstr>
      <vt:lpstr>Biology!H_CO2T</vt:lpstr>
      <vt:lpstr>Geometry!h_datum</vt:lpstr>
      <vt:lpstr>Biology!H_H2_T</vt:lpstr>
      <vt:lpstr>Biology!H_H2ref</vt:lpstr>
      <vt:lpstr>Biology!H_H2T</vt:lpstr>
      <vt:lpstr>Biology!H_O2_T</vt:lpstr>
      <vt:lpstr>'Mass Transfer'!H_O2_T</vt:lpstr>
      <vt:lpstr>Biology!H_O2ref</vt:lpstr>
      <vt:lpstr>Biology!H_O2T</vt:lpstr>
      <vt:lpstr>Biology!H2_cons</vt:lpstr>
      <vt:lpstr>Biology!H2_safety</vt:lpstr>
      <vt:lpstr>Biology!H2_turnover</vt:lpstr>
      <vt:lpstr>'Mass Transfer'!has_cal</vt:lpstr>
      <vt:lpstr>Geometry!headspace_V</vt:lpstr>
      <vt:lpstr>'Mass Transfer'!headspace_V</vt:lpstr>
      <vt:lpstr>Chemistry!HOCl_max</vt:lpstr>
      <vt:lpstr>'Mass Transfer'!holdup</vt:lpstr>
      <vt:lpstr>'Mass Transfer'!hs_flush_time</vt:lpstr>
      <vt:lpstr>Electrochemistry!I_app</vt:lpstr>
      <vt:lpstr>Electrochemistry!I_valid</vt:lpstr>
      <vt:lpstr>Chemistry!Iappc</vt:lpstr>
      <vt:lpstr>Electrochemistry!intensity</vt:lpstr>
      <vt:lpstr>Geometry!interface_A</vt:lpstr>
      <vt:lpstr>'Mass Transfer'!interface_A</vt:lpstr>
      <vt:lpstr>Chemistry!Ka_HOCl</vt:lpstr>
      <vt:lpstr>Chemistry!Ka_NH4</vt:lpstr>
      <vt:lpstr>Biology!Ka1_carb</vt:lpstr>
      <vt:lpstr>Chemistry!Ka1c</vt:lpstr>
      <vt:lpstr>Chemistry!Ka1p</vt:lpstr>
      <vt:lpstr>Chemistry!Ka2c</vt:lpstr>
      <vt:lpstr>Chemistry!Ka2p</vt:lpstr>
      <vt:lpstr>Chemistry!Ka3p</vt:lpstr>
      <vt:lpstr>'Mass Transfer'!kinetic_caveat</vt:lpstr>
      <vt:lpstr>'Mass Transfer'!kL</vt:lpstr>
      <vt:lpstr>'Mass Transfer'!kL_surf</vt:lpstr>
      <vt:lpstr>'Mass Transfer'!kL_surf_crit</vt:lpstr>
      <vt:lpstr>'Mass Transfer'!kLa_avg</vt:lpstr>
      <vt:lpstr>'Mass Transfer'!kLa_meas</vt:lpstr>
      <vt:lpstr>'Mass Transfer'!kLa_req</vt:lpstr>
      <vt:lpstr>'Mass Transfer'!kLa_sparge</vt:lpstr>
      <vt:lpstr>'Mass Transfer'!kLa_surf</vt:lpstr>
      <vt:lpstr>'Mass Transfer'!kLa_surf_used</vt:lpstr>
      <vt:lpstr>Biology!Km_CO2</vt:lpstr>
      <vt:lpstr>Chemistry!Kw_w</vt:lpstr>
      <vt:lpstr>'Mass Transfer'!latest_date</vt:lpstr>
      <vt:lpstr>Summary!led_intensity</vt:lpstr>
      <vt:lpstr>'Mass Transfer'!M_CO2</vt:lpstr>
      <vt:lpstr>Chemistry!mc_CaSO4_2H2O</vt:lpstr>
      <vt:lpstr>Chemistry!mc_K2SO4</vt:lpstr>
      <vt:lpstr>Chemistry!mc_MgSO4_7H2O</vt:lpstr>
      <vt:lpstr>Chemistry!mc_Na2HPO4</vt:lpstr>
      <vt:lpstr>Chemistry!mc_NaH2PO4_2H2O</vt:lpstr>
      <vt:lpstr>Chemistry!mc_NH42SO4</vt:lpstr>
      <vt:lpstr>Summary!media_sel</vt:lpstr>
      <vt:lpstr>Geometry!media_vol_warn</vt:lpstr>
      <vt:lpstr>Geometry!media_volume</vt:lpstr>
      <vt:lpstr>Summary!media_volume</vt:lpstr>
      <vt:lpstr>'Mass Transfer'!mend_a</vt:lpstr>
      <vt:lpstr>'Mass Transfer'!mend_b</vt:lpstr>
      <vt:lpstr>'Mass Transfer'!min_sparge_cal</vt:lpstr>
      <vt:lpstr>Chemistry!MW_CaCl2</vt:lpstr>
      <vt:lpstr>Chemistry!MW_CaSO4_2H2O</vt:lpstr>
      <vt:lpstr>Chemistry!MW_K2SO4</vt:lpstr>
      <vt:lpstr>Chemistry!MW_KH2PO4</vt:lpstr>
      <vt:lpstr>Chemistry!MW_MgSO4_7H2O</vt:lpstr>
      <vt:lpstr>Chemistry!MW_Na2HPO4</vt:lpstr>
      <vt:lpstr>Chemistry!MW_NaH2PO4_2H2O</vt:lpstr>
      <vt:lpstr>Chemistry!MW_NaHCO3</vt:lpstr>
      <vt:lpstr>Chemistry!MW_NH42SO4</vt:lpstr>
      <vt:lpstr>'Mass Transfer'!n_pores_active</vt:lpstr>
      <vt:lpstr>'Mass Transfer'!nCO2_rate</vt:lpstr>
      <vt:lpstr>Chemistry!NT_mc02</vt:lpstr>
      <vt:lpstr>Chemistry!NT_udg</vt:lpstr>
      <vt:lpstr>'Mass Transfer'!O2_accum</vt:lpstr>
      <vt:lpstr>Electrochemistry!O2_cathode_ORR</vt:lpstr>
      <vt:lpstr>Biology!O2_ceil_atm</vt:lpstr>
      <vt:lpstr>Biology!O2_ceil_C</vt:lpstr>
      <vt:lpstr>'Mass Transfer'!O2_ceil_C</vt:lpstr>
      <vt:lpstr>Biology!O2_ceil_Pa</vt:lpstr>
      <vt:lpstr>'Mass Transfer'!O2_ceil_Pa</vt:lpstr>
      <vt:lpstr>Biology!O2_ceil_uM</vt:lpstr>
      <vt:lpstr>Biology!O2_cons</vt:lpstr>
      <vt:lpstr>Biology!O2_excess</vt:lpstr>
      <vt:lpstr>'Mass Transfer'!O2_excess</vt:lpstr>
      <vt:lpstr>Biology!O2_net_gen</vt:lpstr>
      <vt:lpstr>Electrochemistry!O2_net_gen</vt:lpstr>
      <vt:lpstr>'Mass Transfer'!O2_net_gen</vt:lpstr>
      <vt:lpstr>'Mass Transfer'!O2_removal_ratio</vt:lpstr>
      <vt:lpstr>'Mass Transfer'!O2_strip_pulse</vt:lpstr>
      <vt:lpstr>'Mass Transfer'!od_ok</vt:lpstr>
      <vt:lpstr>'Mass Transfer'!opt_binding</vt:lpstr>
      <vt:lpstr>Biology!organism_sel</vt:lpstr>
      <vt:lpstr>Summary!organism_sel</vt:lpstr>
      <vt:lpstr>Biology!P_atm</vt:lpstr>
      <vt:lpstr>Electrochemistry!P_atm</vt:lpstr>
      <vt:lpstr>'Mass Transfer'!P_atm</vt:lpstr>
      <vt:lpstr>Summary!P_atm_set</vt:lpstr>
      <vt:lpstr>Biology!p_CO2_sparge</vt:lpstr>
      <vt:lpstr>Biology!Pa_per_atm</vt:lpstr>
      <vt:lpstr>Chemistry!pH_band_flag</vt:lpstr>
      <vt:lpstr>Chemistry!pH_Cl</vt:lpstr>
      <vt:lpstr>Biology!pH_CO2_unbuf</vt:lpstr>
      <vt:lpstr>Chemistry!pH_fHOCl</vt:lpstr>
      <vt:lpstr>Chemistry!pH_NT</vt:lpstr>
      <vt:lpstr>Chemistry!pH_op</vt:lpstr>
      <vt:lpstr>Chemistry!pH_PT</vt:lpstr>
      <vt:lpstr>Chemistry!pH_SID</vt:lpstr>
      <vt:lpstr>Chemistry!pKa_HOCl</vt:lpstr>
      <vt:lpstr>'Mass Transfer'!por_grade</vt:lpstr>
      <vt:lpstr>Electrochemistry!por_grade_e</vt:lpstr>
      <vt:lpstr>'Mass Transfer'!por_pore</vt:lpstr>
      <vt:lpstr>'Mass Transfer'!por0_um</vt:lpstr>
      <vt:lpstr>'Mass Transfer'!por1_um</vt:lpstr>
      <vt:lpstr>'Mass Transfer'!por2_um</vt:lpstr>
      <vt:lpstr>'Mass Transfer'!por3_um</vt:lpstr>
      <vt:lpstr>'Mass Transfer'!por4_um</vt:lpstr>
      <vt:lpstr>'Mass Transfer'!por5_um</vt:lpstr>
      <vt:lpstr>Chemistry!PT_mc02</vt:lpstr>
      <vt:lpstr>Chemistry!PT_udg</vt:lpstr>
      <vt:lpstr>'Mass Transfer'!pulse_floor</vt:lpstr>
      <vt:lpstr>'Mass Transfer'!pulses_d</vt:lpstr>
      <vt:lpstr>'Mass Transfer'!pulses_h</vt:lpstr>
      <vt:lpstr>'Mass Transfer'!Q_CO2</vt:lpstr>
      <vt:lpstr>Chemistry!R_gas</vt:lpstr>
      <vt:lpstr>Electrochemistry!R_gas</vt:lpstr>
      <vt:lpstr>'Mass Transfer'!R_gas</vt:lpstr>
      <vt:lpstr>'Mass Transfer'!Reactor</vt:lpstr>
      <vt:lpstr>Geometry!reactor_sel</vt:lpstr>
      <vt:lpstr>Summary!Reactor_sel</vt:lpstr>
      <vt:lpstr>Biology!rH2_gen</vt:lpstr>
      <vt:lpstr>Electrochemistry!rH2_gen</vt:lpstr>
      <vt:lpstr>'Mass Transfer'!rho_CO2</vt:lpstr>
      <vt:lpstr>'Mass Transfer'!rho_L</vt:lpstr>
      <vt:lpstr>Electrochemistry!rO2_gen</vt:lpstr>
      <vt:lpstr>Geometry!rod_d</vt:lpstr>
      <vt:lpstr>Geometry!rod_n</vt:lpstr>
      <vt:lpstr>Geometry!rx_ver</vt:lpstr>
      <vt:lpstr>'Mass Transfer'!s_renew</vt:lpstr>
      <vt:lpstr>'Mass Transfer'!sched_bal</vt:lpstr>
      <vt:lpstr>'Mass Transfer'!sched_mode</vt:lpstr>
      <vt:lpstr>'Mass Transfer'!sched_regime</vt:lpstr>
      <vt:lpstr>Chemistry!SID_mc02</vt:lpstr>
      <vt:lpstr>Chemistry!SID_udg</vt:lpstr>
      <vt:lpstr>'Mass Transfer'!sigma</vt:lpstr>
      <vt:lpstr>Geometry!sparge_depth</vt:lpstr>
      <vt:lpstr>'Mass Transfer'!sparger</vt:lpstr>
      <vt:lpstr>Electrochemistry!sparger_e</vt:lpstr>
      <vt:lpstr>Geometry!spg_disp</vt:lpstr>
      <vt:lpstr>'Mass Transfer'!spg_dur</vt:lpstr>
      <vt:lpstr>'Mass Transfer'!spg_dur_man</vt:lpstr>
      <vt:lpstr>'Mass Transfer'!spg_dur_opt</vt:lpstr>
      <vt:lpstr>Geometry!spg_ID</vt:lpstr>
      <vt:lpstr>'Mass Transfer'!spg_ID</vt:lpstr>
      <vt:lpstr>'Mass Transfer'!spg_int</vt:lpstr>
      <vt:lpstr>'Mass Transfer'!spg_int_carbon</vt:lpstr>
      <vt:lpstr>'Mass Transfer'!spg_int_man</vt:lpstr>
      <vt:lpstr>'Mass Transfer'!spg_int_max</vt:lpstr>
      <vt:lpstr>'Mass Transfer'!spg_int_opt</vt:lpstr>
      <vt:lpstr>'Mass Transfer'!spg_int_opt_s</vt:lpstr>
      <vt:lpstr>Geometry!spg_len</vt:lpstr>
      <vt:lpstr>'Mass Transfer'!spg_name_1</vt:lpstr>
      <vt:lpstr>'Mass Transfer'!spg_name_2</vt:lpstr>
      <vt:lpstr>Geometry!spg_OD</vt:lpstr>
      <vt:lpstr>Geometry!spg_tip_h</vt:lpstr>
      <vt:lpstr>Geometry!stir_bar_L</vt:lpstr>
      <vt:lpstr>'Mass Transfer'!stir_len</vt:lpstr>
      <vt:lpstr>'Mass Transfer'!stir_rpm</vt:lpstr>
      <vt:lpstr>Summary!stir_rpm_set</vt:lpstr>
      <vt:lpstr>'Mass Transfer'!strip_avg</vt:lpstr>
      <vt:lpstr>'Mass Transfer'!strip_ratio</vt:lpstr>
      <vt:lpstr>'Mass Transfer'!strip_sparge</vt:lpstr>
      <vt:lpstr>'Mass Transfer'!surf_ratio</vt:lpstr>
      <vt:lpstr>'Mass Transfer'!surf_strip</vt:lpstr>
      <vt:lpstr>Biology!T_C</vt:lpstr>
      <vt:lpstr>'Mass Transfer'!t_contact</vt:lpstr>
      <vt:lpstr>Biology!t_H2_sat</vt:lpstr>
      <vt:lpstr>Biology!T_K</vt:lpstr>
      <vt:lpstr>Electrochemistry!T_K</vt:lpstr>
      <vt:lpstr>'Mass Transfer'!T_K</vt:lpstr>
      <vt:lpstr>'Mass Transfer'!t_O2_ceiling</vt:lpstr>
      <vt:lpstr>'Mass Transfer'!t_O2_ceiling_lag</vt:lpstr>
      <vt:lpstr>'Mass Transfer'!t_O2_ceiling_rem</vt:lpstr>
      <vt:lpstr>'Mass Transfer'!t_O2_ceiling_strip</vt:lpstr>
      <vt:lpstr>Biology!T_ref</vt:lpstr>
      <vt:lpstr>'Mass Transfer'!target_DO_frac</vt:lpstr>
      <vt:lpstr>Summary!temp_C</vt:lpstr>
      <vt:lpstr>'Mass Transfer'!tip_speed</vt:lpstr>
      <vt:lpstr>'Mass Transfer'!tip_warn</vt:lpstr>
      <vt:lpstr>Chemistry!TKc</vt:lpstr>
      <vt:lpstr>'Mass Transfer'!tube_d_m</vt:lpstr>
      <vt:lpstr>'Mass Transfer'!u_g_max</vt:lpstr>
      <vt:lpstr>'Mass Transfer'!u_rise</vt:lpstr>
      <vt:lpstr>'Mass Transfer'!u_sg</vt:lpstr>
      <vt:lpstr>Chemistry!udg_CaCl2</vt:lpstr>
      <vt:lpstr>Chemistry!udg_KH2PO4</vt:lpstr>
      <vt:lpstr>Chemistry!udg_MgSO4_7H2O</vt:lpstr>
      <vt:lpstr>Chemistry!udg_Na2HPO4</vt:lpstr>
      <vt:lpstr>Chemistry!udg_NaHCO3</vt:lpstr>
      <vt:lpstr>Chemistry!udg_NH42SO4</vt:lpstr>
      <vt:lpstr>Biology!V_charge</vt:lpstr>
      <vt:lpstr>Geometry!V_charge</vt:lpstr>
      <vt:lpstr>'Mass Transfer'!V_charge</vt:lpstr>
      <vt:lpstr>Electrochemistry!V_gas_total</vt:lpstr>
      <vt:lpstr>Electrochemistry!V_H2_gen</vt:lpstr>
      <vt:lpstr>Geometry!V_inserts</vt:lpstr>
      <vt:lpstr>Geometry!V_max</vt:lpstr>
      <vt:lpstr>Electrochemistry!V_O2_gen</vt:lpstr>
      <vt:lpstr>'Mass Transfer'!v_orifice</vt:lpstr>
      <vt:lpstr>Geometry!V_vial_total</vt:lpstr>
      <vt:lpstr>Geometry!ver_name_1</vt:lpstr>
      <vt:lpstr>Geometry!ver_name_2</vt:lpstr>
      <vt:lpstr>Geometry!vial_ID</vt:lpstr>
      <vt:lpstr>'Mass Transfer'!vial_ID</vt:lpstr>
      <vt:lpstr>Geometry!vial_OD</vt:lpstr>
      <vt:lpstr>Geometry!vial_OD_1</vt:lpstr>
      <vt:lpstr>Geometry!vial_OD_2</vt:lpstr>
      <vt:lpstr>Geometry!vial_wall</vt:lpstr>
      <vt:lpstr>Chemistry!VLc</vt:lpstr>
      <vt:lpstr>Geometry!Vmax_1</vt:lpstr>
      <vt:lpstr>Geometry!Vmax_2</vt:lpstr>
      <vt:lpstr>Geometry!Vtot_1</vt:lpstr>
      <vt:lpstr>Geometry!Vtot_2</vt:lpstr>
      <vt:lpstr>'Mass Transfer'!We_orifice</vt:lpstr>
      <vt:lpstr>Geometry!xtube_n</vt:lpstr>
      <vt:lpstr>Geometry!xtube_OD</vt:lpstr>
      <vt:lpstr>Geometry!xtube_pro</vt:lpstr>
      <vt:lpstr>'Mass Transfer'!y_O2_vent</vt:lpstr>
      <vt:lpstr>Electrochemistry!z_e_H2</vt:lpstr>
      <vt:lpstr>Electrochemistry!z_e_O2</vt:lpstr>
      <vt:lpstr>Electrochemistry!z_e_ORR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Martin Currie</cp:lastModifiedBy>
  <cp:revision>0</cp:revision>
  <dcterms:created xsi:type="dcterms:W3CDTF">2026-06-05T08:40:06Z</dcterms:created>
  <dcterms:modified xsi:type="dcterms:W3CDTF">2026-06-25T21:46:12Z</dcterms:modified>
  <dc:language>en-US</dc:language>
</cp:coreProperties>
</file>