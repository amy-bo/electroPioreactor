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Calibrations!$D$176</definedName>
    <definedName name="cal_tau_NH2Cl">Calibrations!$D$189</definedName>
    <definedName name="n_e_fcn" localSheetId="7">Calibrations!$D$192</definedName>
    <definedName name="km_T_tol" localSheetId="7">Calibrations!$D$193</definedName>
    <definedName name="stir_rpm_set" localSheetId="7">Calibrations!$D$194</definedName>
    <definedName name="temp_C" localSheetId="7">Calibrations!$D$195</definedName>
    <definedName name="media_sel" localSheetId="7">Calibrations!$D$196</definedName>
    <definedName name="electrode_sel" localSheetId="7">Calibrations!$D$197</definedName>
    <definedName name="D_O2" localSheetId="7">Calibrations!$D$198</definedName>
    <definedName name="km_exp" localSheetId="7">Calibrations!$D$199</definedName>
    <definedName name="M_Cl2" localSheetId="7">Calibrations!$D$200</definedName>
    <definedName name="km_O2_default" localSheetId="2">Electrochemistry!$D$165</definedName>
    <definedName name="tau_NH2Cl_default" localSheetId="3">Chemistry!$D$314</definedName>
    <definedName name="P_Cl_max" localSheetId="3">Chemistry!$D$315</definedName>
    <definedName name="NaHCO3_add_gL" localSheetId="0">Summary!$D$133</definedName>
    <definedName name="NaHCO3_add_gL" localSheetId="3">Chemistry!$D$317</definedName>
    <definedName name="alk_add_M" localSheetId="3">Chemistry!$D$318</definedName>
    <definedName name="N2_sweep_set" localSheetId="0">Summary!$D$98</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<sst xmlns="http://schemas.openxmlformats.org/spreadsheetml/2006/main" count="3953" uniqueCount="2838">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</sst>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E9" sqref="E9"/>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7" x14ac:dyDescent="0.2">
      <c r="A11" s="21"/>
      <c r="B11" s="21"/>
      <c r="C11" s="21"/>
      <c r="D11" s="76"/>
      <c r="E11" s="21"/>
      <c r="F11" s="22"/>
    </row>
    <row r="12" spans="1:7" ht="16" customHeight="1" thickBot="1" x14ac:dyDescent="0.25">
      <c r="A12" s="17" t="s">
        <v>59</v>
      </c>
      <c r="B12" s="17" t="s">
        <v>21</v>
      </c>
      <c r="C12" s="17" t="s">
        <v>22</v>
      </c>
      <c r="D12" s="17" t="s">
        <v>23</v>
      </c>
      <c r="E12" s="17" t="s">
        <v>24</v>
      </c>
      <c r="F12" s="17" t="s">
        <v>25</v>
      </c>
      <c r="G12" s="17" t="s">
        <v>1034</v>
      </c>
    </row>
    <row r="13" spans="1:7" ht="16" customHeight="1" thickBot="1" x14ac:dyDescent="0.25">
      <c r="A13" s="25" t="s">
        <v>961</v>
      </c>
      <c r="B13" s="19" t="s">
        <v>1709</v>
      </c>
      <c r="C13" s="21" t="s">
        <v>12</v>
      </c>
      <c r="D13" s="65">
        <f>IF('Mass Transfer'!$D$119=0,"calibrate this reactor first (CO₂ flow section of the Calibrations tab, or a CO2 flows row)",'Mass Transfer'!$D$90)</f>
        <v>0.674076519917</v>
      </c>
      <c r="E13" s="24" t="str">
        <f>HYPERLINK("#'Mass Transfer'!D90","→ Mass")</f>
        <v>→ Mass</v>
      </c>
      <c r="F13" s="22" t="s">
        <v>60</v>
      </c>
      <c r="G13" s="136"/>
    </row>
    <row r="14" spans="1:7" s="4" customFormat="1" ht="16" customHeight="1" thickBot="1" x14ac:dyDescent="0.25">
      <c r="A14" s="25" t="s">
        <v>1710</v>
      </c>
      <c r="B14" s="19" t="s">
        <v>1711</v>
      </c>
      <c r="C14" s="21" t="s">
        <v>12</v>
      </c>
      <c r="D14" s="111">
        <f>IF(NOT(ISNUMBER(res_spg_dur)),res_spg_dur,'Mass Transfer'!spg_dur)</f>
        <v>0.65</v>
      </c>
      <c r="E14" s="21"/>
      <c r="F14" s="57" t="inlineStr">
        <is>
          <t xml:space="preserve">Pulse actually evaluated by every operating check below. Summary override wins, then Manual mode, otherwise the optimum rounded to the pulse resolution.</t>
        </is>
      </c>
    </row>
    <row r="15" spans="1:7" ht="16" customHeight="1" thickBot="1" x14ac:dyDescent="0.25">
      <c r="A15" s="64" t="str">
        <f>"CO₂ sparge interval ("&amp;vent_model_sel&amp;", sized on "&amp;O2_phase_sel&amp;")"</f>
        <v>CO₂ sparge interval (Open vent, sized on Growth)</v>
      </c>
      <c r="B15" s="19" t="s">
        <v>1713</v>
      </c>
      <c r="C15" s="21" t="s">
        <v>61</v>
      </c>
      <c r="D15" s="65">
        <f>IF('Mass Transfer'!$D$119=0,"calibrate this reactor first (CO₂ flow section of the Calibrations tab, or a CO2 flows row)",'Mass Transfer'!$D$91)</f>
        <v>7.398866407059</v>
      </c>
      <c r="E15" s="24" t="str">
        <f>HYPERLINK("#'Mass Transfer'!D91","→ Mass")</f>
        <v>→ Mass</v>
      </c>
      <c r="F15" s="22" t="s">
        <v>1714</v>
      </c>
      <c r="G15" s="136"/>
    </row>
    <row r="16" spans="1:7" x14ac:dyDescent="0.2">
      <c r="A16" s="25" t="s">
        <v>1715</v>
      </c>
      <c r="B16" s="19" t="s">
        <v>1716</v>
      </c>
      <c r="C16" s="21" t="s">
        <v>61</v>
      </c>
      <c r="D16" s="111">
        <f>IF(NOT(ISNUMBER(res_spg_int)),res_spg_int,'Mass Transfer'!spg_int)</f>
        <v>7.17</v>
      </c>
      <c r="E16" s="67"/>
      <c r="F16" s="22" t="inlineStr">
        <is>
          <t xml:space="preserve">Interval actually evaluated below, in decimal minutes. Default converts the commanded pulse to the ideal delivery duty and rounds down to 0.01 min; overrides and Manual mode are evaluated directly.</t>
        </is>
      </c>
    </row>
    <row r="17" spans="1:6" s="4" customFormat="1" x14ac:dyDescent="0.2">
      <c r="A17" s="64"/>
      <c r="B17" s="21"/>
      <c r="C17" s="21"/>
      <c r="D17" s="68"/>
      <c r="E17" s="67"/>
      <c r="F17" s="22"/>
    </row>
    <row r="18" spans="1:6" x14ac:dyDescent="0.2">
      <c r="A18" s="17" t="s">
        <v>62</v>
      </c>
      <c r="B18" s="17"/>
      <c r="C18" s="17"/>
      <c r="D18" s="17" t="s">
        <v>23</v>
      </c>
      <c r="E18" s="17" t="s">
        <v>24</v>
      </c>
      <c r="F18" s="17" t="s">
        <v>25</v>
      </c>
    </row>
    <row r="19" spans="1:6" x14ac:dyDescent="0.2">
      <c r="A19" s="64" t="s">
        <v>63</v>
      </c>
      <c r="B19" s="19" t="s">
        <v>1717</v>
      </c>
      <c r="C19" s="21"/>
      <c r="D19" s="69" t="str">
        <f>Geometry!$D$90</f>
        <v>VIAL GEOMETRY INCONSISTENT - measure true fill volume &amp; bore depth</v>
      </c>
      <c r="E19" s="24" t="str">
        <f>HYPERLINK("#Geometry!D90","→ Geometry")</f>
        <v>→ Geometry</v>
      </c>
      <c r="F19" s="22" t="s">
        <v>1718</v>
      </c>
    </row>
    <row r="20" spans="1:6" x14ac:dyDescent="0.2">
      <c r="A20" s="64" t="s">
        <v>64</v>
      </c>
      <c r="B20" s="19" t="s">
        <v>1719</v>
      </c>
      <c r="C20" s="21"/>
      <c r="D20" s="65" t="str">
        <f>'Mass Transfer'!$D$120</f>
        <v>calibrated: ed04 (flow from CO2 flows)</v>
      </c>
      <c r="E20" s="24" t="str">
        <f>HYPERLINK("#'Mass Transfer'!D120","→ Mass")</f>
        <v>→ Mass</v>
      </c>
      <c r="F20" s="22" t="s">
        <v>1720</v>
      </c>
    </row>
    <row r="21" spans="1:6" x14ac:dyDescent="0.2">
      <c r="A21" s="64" t="s">
        <v>1721</v>
      </c>
      <c r="B21" s="19" t="s">
        <v>1722</v>
      </c>
      <c r="C21" s="21"/>
      <c r="D21" s="65" t="str">
        <f>'Mass Transfer'!$D$374</f>
        <v>organism band unknown – peak 2.4 mg/L is under the inhibition ceiling</v>
      </c>
      <c r="E21" s="24" t="str">
        <f>HYPERLINK("#'Mass Transfer'!D374","→ Mass Transfer")</f>
        <v>→ Mass Transfer</v>
      </c>
      <c r="F21" s="22" t="s">
        <v>1723</v>
      </c>
    </row>
    <row r="22" spans="1:6" x14ac:dyDescent="0.2">
      <c r="A22" s="64" t="s">
        <v>65</v>
      </c>
      <c r="B22" s="19" t="s">
        <v>1724</v>
      </c>
      <c r="C22" s="21"/>
      <c r="D22" s="65" t="str">
        <f>'Mass Transfer'!$D$110</f>
        <v>minimum DO unknown - measure</v>
      </c>
      <c r="E22" s="24" t="str">
        <f>HYPERLINK("#'Mass Transfer'!D110","→ Mass")</f>
        <v>→ Mass</v>
      </c>
      <c r="F22" s="22" t="s">
        <v>66</v>
      </c>
    </row>
    <row r="23" spans="1:6" x14ac:dyDescent="0.2">
      <c r="A23" s="64" t="s">
        <v>1725</v>
      </c>
      <c r="B23" s="19" t="s">
        <v>1726</v>
      </c>
      <c r="C23" s="21"/>
      <c r="D23" s="65" t="str">
        <f>'Mass Transfer'!$D$113</f>
        <v>Do NOT relax: at the carbon-limited interval (185 min) the cycle-mean DO would be ≈14 mg/L, above the 10.1 mg/L inhibition ceiling (peaks higher)</v>
      </c>
      <c r="E23" s="24" t="str">
        <f>HYPERLINK("#'Mass Transfer'!D113","→ Mass")</f>
        <v>→ Mass</v>
      </c>
      <c r="F23" s="22" t="s">
        <v>1727</v>
      </c>
    </row>
    <row r="24" spans="1:6" x14ac:dyDescent="0.2">
      <c r="A24" s="64" t="s">
        <v>1728</v>
      </c>
      <c r="B24" s="19" t="s">
        <v>1729</v>
      </c>
      <c r="C24" s="21"/>
      <c r="D24" s="70" t="str">
        <f>Biology!$D$44</f>
        <v>POTENTIAL FLAMMABILITY (lag screen): H₂ 9% mean, 15% before each pulse; O₂ 5% mean, 8% before each pulse – until uptake starts, sparge every ≤2.3 min or sweep ≥1.0 mL/min N₂; vent to a hood; no ignition sources</v>
      </c>
      <c r="E24" s="24" t="str">
        <f>HYPERLINK("#Biology!D44","→ Biology")</f>
        <v>→ Biology</v>
      </c>
      <c r="F24" s="22" t="inlineStr">
        <is>
          <t xml:space="preserve">Nominal lag-phase hazard screen, not safety certification. Predictions depend on unmeasured vent/transfer behaviour; validate mixture-specific limits, sampling and gas clearance before operation.</t>
        </is>
      </c>
    </row>
    <row r="25" spans="1:6" x14ac:dyDescent="0.2">
      <c r="A25" s="64" t="s">
        <v>67</v>
      </c>
      <c r="B25" s="19" t="s">
        <v>1731</v>
      </c>
      <c r="C25" s="21"/>
      <c r="D25" s="65" t="str">
        <f>'Mass Transfer'!$D$64</f>
        <v>Dynamic</v>
      </c>
      <c r="E25" s="24" t="str">
        <f>HYPERLINK("#'Mass Transfer'!D64","→ Mass")</f>
        <v>→ Mass</v>
      </c>
      <c r="F25" s="22" t="s">
        <v>68</v>
      </c>
    </row>
    <row r="26" spans="1:6" x14ac:dyDescent="0.2">
      <c r="A26" s="64" t="s">
        <v>69</v>
      </c>
      <c r="B26" s="19" t="s">
        <v>1732</v>
      </c>
      <c r="C26" s="21"/>
      <c r="D26" s="65" t="str">
        <f>IFERROR("×"&amp;TEXT('Mass Transfer'!$D$126,"0.0")&amp;IF('Mass Transfer'!$D$126&gt;=1," OK"," SHORTFALL (CO2 &lt; demand)")&amp;" delivered; ×"&amp;TEXT('Mass Transfer'!$D$417,"0.0")&amp;" absorbed per pulse (row 135)","calibrate this reactor first")</f>
        <v>×50.0 OK delivered; ×2.5 absorbed per pulse (row 135)</v>
      </c>
      <c r="E26" s="24" t="str">
        <f>HYPERLINK("#'Mass Transfer'!D126","→ Mass")</f>
        <v>→ Mass</v>
      </c>
      <c r="F26" s="22" t="s">
        <v>1733</v>
      </c>
    </row>
    <row r="27" spans="1:6" x14ac:dyDescent="0.2">
      <c r="A27" s="64" t="s">
        <v>70</v>
      </c>
      <c r="B27" s="19" t="s">
        <v>1734</v>
      </c>
      <c r="C27" s="21"/>
      <c r="D27" s="65" t="str">
        <f>IFERROR('Mass Transfer'!$D$130,"calibrate this reactor first (CO₂ flow section of the Calibrations tab, or a CO2 flows row)")</f>
        <v>OK</v>
      </c>
      <c r="E27" s="24" t="str">
        <f>HYPERLINK("#'Mass Transfer'!D130","→ Mass")</f>
        <v>→ Mass</v>
      </c>
      <c r="F27" s="22" t="s">
        <v>1735</v>
      </c>
    </row>
    <row r="28" spans="1:6" x14ac:dyDescent="0.2">
      <c r="A28" s="64" t="s">
        <v>71</v>
      </c>
      <c r="B28" s="19" t="s">
        <v>1736</v>
      </c>
      <c r="C28" s="21"/>
      <c r="D28" s="65" t="str">
        <f>IFERROR('Mass Transfer'!$D$95,"calibrate this reactor first (CO₂ flow section of the Calibrations tab, or a CO2 flows row)")</f>
        <v>OK</v>
      </c>
      <c r="E28" s="24" t="str">
        <f>HYPERLINK("#'Mass Transfer'!D95","→ Mass")</f>
        <v>→ Mass</v>
      </c>
      <c r="F28" s="22" t="s">
        <v>72</v>
      </c>
    </row>
    <row r="29" spans="1:6" x14ac:dyDescent="0.2">
      <c r="A29" s="64" t="s">
        <v>73</v>
      </c>
      <c r="B29" s="19" t="s">
        <v>1737</v>
      </c>
      <c r="C29" s="21"/>
      <c r="D29" s="65" t="str">
        <f>'Mass Transfer'!$D$59</f>
        <v>not measured – record the max flow without carryover for ed04 in CO2 flows column M</v>
      </c>
      <c r="E29" s="24" t="str">
        <f>HYPERLINK("#'Mass Transfer'!D59","→ Mass")</f>
        <v>→ Mass</v>
      </c>
      <c r="F29" s="22" t="s">
        <v>1738</v>
      </c>
    </row>
    <row r="30" spans="1:6" x14ac:dyDescent="0.2">
      <c r="A30" s="64" t="s">
        <v>74</v>
      </c>
      <c r="B30" s="19" t="s">
        <v>1739</v>
      </c>
      <c r="C30" s="21"/>
      <c r="D30" s="65" t="str">
        <f>'Mass Transfer'!$D$111</f>
        <v>OK</v>
      </c>
      <c r="E30" s="24" t="str">
        <f>HYPERLINK("#'Mass Transfer'!D111","→ Mass")</f>
        <v>→ Mass</v>
      </c>
      <c r="F30" s="22" t="s">
        <v>75</v>
      </c>
    </row>
    <row r="31" spans="1:6" x14ac:dyDescent="0.2">
      <c r="A31" s="64" t="s">
        <v>76</v>
      </c>
      <c r="B31" s="19" t="s">
        <v>1740</v>
      </c>
      <c r="C31" s="21"/>
      <c r="D31" s="69" t="str">
        <f>Geometry!$D$54</f>
        <v>OK</v>
      </c>
      <c r="E31" s="24" t="str">
        <f>HYPERLINK("#Geometry!D54","→ Geometry")</f>
        <v>→ Geometry</v>
      </c>
      <c r="F31" s="22" t="s">
        <v>77</v>
      </c>
    </row>
    <row r="32" spans="1:6" x14ac:dyDescent="0.2">
      <c r="A32" s="64" t="s">
        <v>78</v>
      </c>
      <c r="B32" s="19" t="s">
        <v>1741</v>
      </c>
      <c r="C32" s="21"/>
      <c r="D32" s="69" t="str">
        <f>Geometry!$D$55</f>
        <v>OK</v>
      </c>
      <c r="E32" s="24" t="str">
        <f>HYPERLINK("#Geometry!D55","→ Geometry")</f>
        <v>→ Geometry</v>
      </c>
      <c r="F32" s="22" t="s">
        <v>79</v>
      </c>
    </row>
    <row r="33" spans="1:6" ht="16" thickBot="1" x14ac:dyDescent="0.25">
      <c r="A33" s="64" t="s">
        <v>80</v>
      </c>
      <c r="B33" s="19" t="s">
        <v>1742</v>
      </c>
      <c r="C33" s="21"/>
      <c r="D33" s="71" t="str">
        <f>Electrochemistry!$D$20</f>
        <v>OK</v>
      </c>
      <c r="E33" s="24" t="str">
        <f>HYPERLINK("#Electrochemistry!D20","→ Electrochemistry")</f>
        <v>→ Electrochemistry</v>
      </c>
      <c r="F33" s="22" t="s">
        <v>81</v>
      </c>
    </row>
    <row r="34" spans="1:6" ht="16" thickBot="1" x14ac:dyDescent="0.25">
      <c r="A34" s="64" t="s">
        <v>897</v>
      </c>
      <c r="B34" s="19" t="s">
        <v>1743</v>
      </c>
      <c r="C34" s="21"/>
      <c r="D34" s="69" t="str">
        <f>IF(AND(ISNUMBER(Biology!$D$45),ISNUMBER(Biology!$D$46),ISNUMBER(Biology!$D$47),ISNUMBER(Biology!$D$48)),"inputs present","DATA GAP - organism DO thresholds unmeasured; results unreliable")</f>
        <v>DATA GAP - organism DO thresholds unmeasured; results unreliable</v>
      </c>
      <c r="E34" s="24" t="str">
        <f>HYPERLINK("#Biology!D45","→ Biology")</f>
        <v>→ Biology</v>
      </c>
      <c r="F34" s="22" t="s">
        <v>898</v>
      </c>
    </row>
    <row r="35" spans="1:6" ht="16" thickBot="1" x14ac:dyDescent="0.25">
      <c r="A35" s="64" t="s">
        <v>1744</v>
      </c>
      <c r="B35" s="19" t="s">
        <v>1745</v>
      </c>
      <c r="C35" s="21"/>
      <c r="D35" s="92">
        <f>Chemistry!$D$220</f>
        <v>6.487611781829</v>
      </c>
      <c r="E35" s="24" t="str">
        <f>HYPERLINK("#Chemistry!D220","→ Chemistry")</f>
        <v>→ Chemistry</v>
      </c>
      <c r="F35" s="22" t="s">
        <v>1746</v>
      </c>
    </row>
    <row r="36" spans="1:6" ht="16" thickBot="1" x14ac:dyDescent="0.25">
      <c r="A36" s="64" t="s">
        <v>1029</v>
      </c>
      <c r="B36" s="19" t="s">
        <v>1747</v>
      </c>
      <c r="C36" s="21" t="s">
        <v>83</v>
      </c>
      <c r="D36" s="92">
        <f>Chemistry!$D$226</f>
        <v>0.0</v>
      </c>
      <c r="E36" s="24" t="str">
        <f>HYPERLINK("#Chemistry!D226","→ Chemistry")</f>
        <v>→ Chemistry</v>
      </c>
      <c r="F36"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7" spans="1:6" ht="16" thickBot="1" x14ac:dyDescent="0.25">
      <c r="A37" s="77" t="s">
        <v>82</v>
      </c>
      <c r="B37" s="21"/>
      <c r="C37" s="21"/>
      <c r="D37" s="21"/>
      <c r="E37" s="21"/>
      <c r="F37" s="22"/>
    </row>
    <row r="38" spans="1:6" x14ac:dyDescent="0.2">
      <c r="A38" s="64" t="s">
        <v>1749</v>
      </c>
      <c r="B38" s="19" t="s">
        <v>1750</v>
      </c>
      <c r="C38" s="21" t="s">
        <v>83</v>
      </c>
      <c r="D38" s="65">
        <f>'Mass Transfer'!$D$108</f>
        <v>2.270165488391</v>
      </c>
      <c r="E38" s="24" t="str">
        <f>HYPERLINK("#'Mass Transfer'!D108","→ Mass")</f>
        <v>→ Mass</v>
      </c>
      <c r="F38" s="22" t="s">
        <v>1751</v>
      </c>
    </row>
    <row r="39" spans="1:6" x14ac:dyDescent="0.2">
      <c r="A39" s="64" t="s">
        <v>1752</v>
      </c>
      <c r="B39" s="19" t="s">
        <v>1753</v>
      </c>
      <c r="C39" s="21" t="s">
        <v>61</v>
      </c>
      <c r="D39" s="65">
        <f>'Mass Transfer'!$D$112</f>
        <v>184.723136314261</v>
      </c>
      <c r="E39" s="24" t="str">
        <f>HYPERLINK("#'Mass Transfer'!D112","→ Mass")</f>
        <v>→ Mass</v>
      </c>
      <c r="F39" s="22" t="s">
        <v>1754</v>
      </c>
    </row>
    <row r="40" spans="1:6" x14ac:dyDescent="0.2">
      <c r="A40" s="64" t="s">
        <v>84</v>
      </c>
      <c r="B40" s="19" t="s">
        <v>1755</v>
      </c>
      <c r="C40" s="21" t="s">
        <v>85</v>
      </c>
      <c r="D40" s="65">
        <f>'Mass Transfer'!$D$68</f>
        <v>0.628318530718</v>
      </c>
      <c r="E40" s="24" t="str">
        <f>HYPERLINK("#'Mass Transfer'!D68","→ Mass")</f>
        <v>→ Mass</v>
      </c>
      <c r="F40" s="22" t="s">
        <v>86</v>
      </c>
    </row>
    <row r="41" spans="1:6" x14ac:dyDescent="0.2">
      <c r="A41" s="64" t="s">
        <v>1756</v>
      </c>
      <c r="B41" s="19" t="s">
        <v>1757</v>
      </c>
      <c r="C41" s="21" t="s">
        <v>87</v>
      </c>
      <c r="D41" s="70">
        <f>Biology!$D$98</f>
        <v>508.83519620388</v>
      </c>
      <c r="E41" s="24" t="str">
        <f>HYPERLINK("#Biology!D98","→ Biology")</f>
        <v>→ Biology</v>
      </c>
      <c r="F41" s="22" t="s">
        <v>1758</v>
      </c>
    </row>
    <row r="42" spans="1:6" x14ac:dyDescent="0.2">
      <c r="A42" s="77" t="s">
        <v>1144</v>
      </c>
    </row>
    <row r="43" spans="1:6" x14ac:dyDescent="0.2">
      <c r="A43" s="64" t="s">
        <v>1145</v>
      </c>
      <c r="B43" s="19" t="s">
        <v>1759</v>
      </c>
      <c r="C43" s="21" t="s">
        <v>278</v>
      </c>
      <c r="D43" s="65">
        <f>Electrochemistry!$D$19*1000</f>
        <v>5.69</v>
      </c>
      <c r="E43" s="24" t="str">
        <f>HYPERLINK("#Electrochemistry!D19","→ Electrochemistry")</f>
        <v>→ Electrochemistry</v>
      </c>
      <c r="F43" s="22" t="s">
        <v>1146</v>
      </c>
    </row>
    <row r="44" spans="1:6" x14ac:dyDescent="0.2">
      <c r="A44" s="64" t="s">
        <v>1147</v>
      </c>
      <c r="B44" s="19" t="s">
        <v>1760</v>
      </c>
      <c r="C44" s="21" t="s">
        <v>1148</v>
      </c>
      <c r="D44" s="65">
        <f>Electrochemistry!$D$48</f>
        <v>3.287810437489</v>
      </c>
      <c r="E44" s="24" t="str">
        <f>HYPERLINK("#Electrochemistry!D48","→ Electrochemistry")</f>
        <v>→ Electrochemistry</v>
      </c>
      <c r="F44" s="22" t="s">
        <v>1149</v>
      </c>
    </row>
    <row r="45" spans="1:6" x14ac:dyDescent="0.2">
      <c r="A45" s="64" t="s">
        <v>1150</v>
      </c>
      <c r="B45" s="19" t="s">
        <v>1761</v>
      </c>
      <c r="D45" s="65" t="str">
        <f>Electrochemistry!$D$62</f>
        <v>watch - above optimum current density</v>
      </c>
      <c r="E45" s="24" t="str">
        <f>HYPERLINK("#Electrochemistry!D62","→ Electrochemistry")</f>
        <v>→ Electrochemistry</v>
      </c>
      <c r="F45" s="22" t="s">
        <v>1151</v>
      </c>
    </row>
    <row r="46" spans="1:6" x14ac:dyDescent="0.2">
      <c r="A46" s="64" t="s">
        <v>1152</v>
      </c>
      <c r="B46" s="19" t="s">
        <v>1762</v>
      </c>
      <c r="C46" s="21" t="s">
        <v>40</v>
      </c>
      <c r="D46" s="65">
        <f>Electrochemistry!$D$73</f>
        <v>10.0</v>
      </c>
      <c r="E46" s="24" t="str">
        <f>HYPERLINK("#Electrochemistry!D73","→ Electrochemistry")</f>
        <v>→ Electrochemistry</v>
      </c>
      <c r="F46" s="22" t="s">
        <v>1153</v>
      </c>
    </row>
    <row r="47" spans="1:6" x14ac:dyDescent="0.2">
      <c r="A47" s="64" t="s">
        <v>1154</v>
      </c>
      <c r="B47" s="19" t="s">
        <v>1763</v>
      </c>
      <c r="C47" s="21" t="s">
        <v>278</v>
      </c>
      <c r="D47" s="65">
        <f>Electrochemistry!$D$74</f>
        <v>12.9</v>
      </c>
      <c r="E47" s="24" t="str">
        <f>HYPERLINK("#Electrochemistry!D74","→ Electrochemistry")</f>
        <v>→ Electrochemistry</v>
      </c>
      <c r="F47" s="22" t="s">
        <v>1155</v>
      </c>
    </row>
    <row r="48" spans="1:6" x14ac:dyDescent="0.2">
      <c r="A48" s="64" t="s">
        <v>1156</v>
      </c>
      <c r="B48" s="19" t="s">
        <v>1764</v>
      </c>
      <c r="C48" s="21" t="s">
        <v>1148</v>
      </c>
      <c r="D48" s="65">
        <f>Electrochemistry!$D$75</f>
        <v>7.453911185169</v>
      </c>
      <c r="E48" s="24" t="str">
        <f>HYPERLINK("#Electrochemistry!D75","→ Electrochemistry")</f>
        <v>→ Electrochemistry</v>
      </c>
      <c r="F48" s="22" t="s">
        <v>1157</v>
      </c>
    </row>
    <row r="49" spans="1:6" x14ac:dyDescent="0.2">
      <c r="A49" s="64" t="s">
        <v>1158</v>
      </c>
      <c r="B49" s="19" t="s">
        <v>1765</v>
      </c>
      <c r="D49" s="65" t="str">
        <f>Electrochemistry!$D$76</f>
        <v>EXCEED - max current over a limit</v>
      </c>
      <c r="E49" s="24" t="str">
        <f>HYPERLINK("#Electrochemistry!D76","→ Electrochemistry")</f>
        <v>→ Electrochemistry</v>
      </c>
      <c r="F49" s="22" t="s">
        <v>1159</v>
      </c>
    </row>
    <row r="50" spans="1:6" x14ac:dyDescent="0.2">
      <c r="A50" s="21"/>
      <c r="B50" s="21"/>
      <c r="C50" s="21"/>
      <c r="D50" s="21"/>
      <c r="E50" s="21"/>
      <c r="F50" s="21"/>
    </row>
    <row r="51" spans="1:6" x14ac:dyDescent="0.2">
      <c r="A51" s="17" t="s">
        <v>88</v>
      </c>
      <c r="B51" s="17"/>
      <c r="C51" s="17"/>
      <c r="D51" s="17"/>
      <c r="E51" s="17"/>
      <c r="F51" s="17"/>
    </row>
    <row r="52" spans="1:6" x14ac:dyDescent="0.2">
      <c r="A52" s="102" t="s">
        <v>89</v>
      </c>
      <c r="B52" s="21"/>
      <c r="C52" s="21"/>
      <c r="D52" s="25"/>
      <c r="E52" s="21"/>
      <c r="F52" s="21"/>
    </row>
    <row r="53" spans="1:6" x14ac:dyDescent="0.2">
      <c r="A53" s="26" t="s">
        <v>90</v>
      </c>
      <c r="B53" s="21"/>
      <c r="C53" s="21"/>
      <c r="D53" s="25"/>
      <c r="E53" s="21"/>
      <c r="F53" s="21"/>
    </row>
    <row r="54" spans="1:6" x14ac:dyDescent="0.2">
      <c r="A54" s="73" t="s">
        <v>91</v>
      </c>
      <c r="B54" s="21"/>
      <c r="C54" s="21"/>
      <c r="D54" s="25"/>
      <c r="E54" s="21"/>
      <c r="F54" s="21"/>
    </row>
    <row r="55" spans="1:6" x14ac:dyDescent="0.2">
      <c r="A55" s="27" t="s">
        <v>92</v>
      </c>
      <c r="B55" s="21"/>
      <c r="C55" s="21"/>
      <c r="D55" s="25"/>
      <c r="E55" s="21"/>
      <c r="F55" s="21"/>
    </row>
    <row r="56" spans="1:6" x14ac:dyDescent="0.2">
      <c r="A56" s="28" t="s">
        <v>93</v>
      </c>
      <c r="B56" s="21"/>
      <c r="C56" s="21"/>
      <c r="D56" s="25"/>
      <c r="E56" s="67"/>
      <c r="F56" s="21"/>
    </row>
    <row r="57" spans="1:6" x14ac:dyDescent="0.2">
      <c r="A57" s="29" t="s">
        <v>94</v>
      </c>
      <c r="B57" s="21"/>
      <c r="C57" s="21"/>
      <c r="D57" s="25"/>
      <c r="E57" s="67"/>
      <c r="F57" s="21"/>
    </row>
    <row r="58" spans="1:6" x14ac:dyDescent="0.2">
      <c r="A58" s="63" t="s">
        <v>95</v>
      </c>
      <c r="B58" s="21"/>
      <c r="C58" s="21"/>
      <c r="D58" s="25"/>
      <c r="E58" s="67"/>
      <c r="F58" s="21"/>
    </row>
    <row r="59" spans="1:6" x14ac:dyDescent="0.2">
      <c r="A59" s="30" t="s">
        <v>96</v>
      </c>
      <c r="B59" s="21"/>
      <c r="C59" s="21"/>
      <c r="D59" s="21"/>
      <c r="E59" s="21"/>
      <c r="F59" s="21"/>
    </row>
    <row r="60" spans="1:6" x14ac:dyDescent="0.2">
      <c r="A60" s="31" t="s">
        <v>97</v>
      </c>
      <c r="B60" s="21"/>
      <c r="C60" s="21"/>
      <c r="D60" s="21"/>
      <c r="E60" s="21"/>
      <c r="F60" s="21"/>
    </row>
    <row r="61" spans="1:6" s="21" customFormat="1" x14ac:dyDescent="0.2">
      <c r="A61" s="60" t="s">
        <v>98</v>
      </c>
    </row>
    <row r="62" spans="1:6" s="21" customFormat="1" x14ac:dyDescent="0.2">
      <c r="A62" s="61" t="s">
        <v>99</v>
      </c>
    </row>
    <row r="63" spans="1:6" x14ac:dyDescent="0.2">
      <c r="A63" s="103" t="s">
        <v>100</v>
      </c>
      <c r="B63" s="21"/>
      <c r="C63" s="21"/>
      <c r="D63" s="21"/>
      <c r="E63" s="21"/>
      <c r="F63" s="21"/>
    </row>
    <row r="64" spans="1:6" x14ac:dyDescent="0.2">
      <c r="A64" s="21"/>
      <c r="B64" s="21"/>
      <c r="C64" s="21"/>
      <c r="D64" s="25"/>
      <c r="E64" s="67"/>
      <c r="F64" s="21"/>
    </row>
    <row r="65" spans="1:6" x14ac:dyDescent="0.2">
      <c r="A65" s="32" t="s">
        <v>101</v>
      </c>
      <c r="B65" s="32" t="s">
        <v>102</v>
      </c>
      <c r="C65" s="32" t="s">
        <v>103</v>
      </c>
      <c r="D65" s="32" t="s">
        <v>104</v>
      </c>
      <c r="E65" s="32"/>
      <c r="F65" s="32" t="s">
        <v>105</v>
      </c>
    </row>
    <row r="66" spans="1:6" x14ac:dyDescent="0.2">
      <c r="A66" s="21" t="s">
        <v>921</v>
      </c>
      <c r="B66" s="21" t="s">
        <v>922</v>
      </c>
      <c r="C66" s="21" t="s">
        <v>923</v>
      </c>
      <c r="D66" s="33" t="str">
        <f>HYPERLINK("https://github.com/amy-bo/electroPioreactor/blob/AEP02/Media/protocols/surface-kla.md","surface-kla.md →")</f>
        <v>surface-kla.md →</v>
      </c>
      <c r="E66" s="77"/>
      <c r="F66" s="22" t="s">
        <v>1766</v>
      </c>
    </row>
    <row r="67" spans="1:6" x14ac:dyDescent="0.2">
      <c r="A67" s="21" t="s">
        <v>924</v>
      </c>
      <c r="B67" s="21" t="s">
        <v>925</v>
      </c>
      <c r="C67" s="21" t="s">
        <v>926</v>
      </c>
      <c r="D67" s="33" t="str">
        <f>HYPERLINK("https://github.com/amy-bo/electroPioreactor/blob/AEP02/Media/protocols/vial-geometry.md","vial-geometry.md →")</f>
        <v>vial-geometry.md →</v>
      </c>
      <c r="E67" s="77"/>
      <c r="F67" s="22" t="s">
        <v>1767</v>
      </c>
    </row>
    <row r="68" spans="1:6" x14ac:dyDescent="0.2">
      <c r="A68" s="21" t="s">
        <v>927</v>
      </c>
      <c r="B68" s="21" t="s">
        <v>928</v>
      </c>
      <c r="C68" s="21" t="s">
        <v>929</v>
      </c>
      <c r="D68" s="33" t="str">
        <f>HYPERLINK("https://github.com/amy-bo/electroPioreactor/blob/AEP02/Media/protocols/faradaic-efficiency.md","faradaic-efficiency.md →")</f>
        <v>faradaic-efficiency.md →</v>
      </c>
      <c r="E68" s="77"/>
      <c r="F68" s="22" t="s">
        <v>1768</v>
      </c>
    </row>
    <row r="69" spans="1:6" x14ac:dyDescent="0.2">
      <c r="A69" s="21" t="s">
        <v>930</v>
      </c>
      <c r="B69" s="21" t="s">
        <v>931</v>
      </c>
      <c r="C69" s="21" t="s">
        <v>932</v>
      </c>
      <c r="D69" s="33" t="str">
        <f>HYPERLINK("https://github.com/amy-bo/electroPioreactor/blob/AEP02/Media/protocols/knallgas-stoichiometry.md","knallgas-stoichiometry.md →")</f>
        <v>knallgas-stoichiometry.md →</v>
      </c>
      <c r="E69" s="77"/>
      <c r="F6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70" spans="1:6" x14ac:dyDescent="0.2">
      <c r="A70" s="21" t="s">
        <v>933</v>
      </c>
      <c r="B70" s="21" t="s">
        <v>934</v>
      </c>
      <c r="C70" s="21" t="s">
        <v>935</v>
      </c>
      <c r="D70" s="33" t="str">
        <f>HYPERLINK("https://github.com/amy-bo/electroPioreactor/blob/AEP02/Media/protocols/faradaic-efficiency.md","faradaic-efficiency.md →")</f>
        <v>faradaic-efficiency.md →</v>
      </c>
      <c r="E70" s="77"/>
      <c r="F70" s="22" t="s">
        <v>1689</v>
      </c>
    </row>
    <row r="71" spans="1:6" x14ac:dyDescent="0.2">
      <c r="A71" s="21" t="s">
        <v>936</v>
      </c>
      <c r="B71" s="21" t="s">
        <v>937</v>
      </c>
      <c r="C71" s="21" t="s">
        <v>938</v>
      </c>
      <c r="D71" s="33" t="str">
        <f>HYPERLINK("https://github.com/amy-bo/electroPioreactor/blob/AEP02/Media/protocols/vial-geometry.md","vial-geometry.md →")</f>
        <v>vial-geometry.md →</v>
      </c>
      <c r="E71" s="77"/>
      <c r="F71" s="22" t="s">
        <v>939</v>
      </c>
    </row>
    <row r="72" spans="1:6" x14ac:dyDescent="0.2">
      <c r="A72" s="21" t="s">
        <v>940</v>
      </c>
      <c r="B72" s="21" t="s">
        <v>941</v>
      </c>
      <c r="C72" s="21" t="s">
        <v>942</v>
      </c>
      <c r="D72" s="33" t="str">
        <f>HYPERLINK("https://github.com/amy-bo/electroPioreactor/blob/AEP02/Media/protocols/flow-calibration.md","flow-calibration.md →")</f>
        <v>flow-calibration.md →</v>
      </c>
      <c r="E72" s="77"/>
      <c r="F72" s="154"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1" t="s">
        <v>943</v>
      </c>
      <c r="B73" s="21" t="s">
        <v>944</v>
      </c>
      <c r="C73" s="21" t="s">
        <v>945</v>
      </c>
      <c r="D73" s="33" t="str">
        <f>HYPERLINK("https://github.com/amy-bo/electroPioreactor/blob/AEP02/Media/protocols/dissolved-oxygen.md","dissolved-oxygen.md →")</f>
        <v>dissolved-oxygen.md →</v>
      </c>
      <c r="E73" s="77"/>
      <c r="F73" s="22" t="s">
        <v>946</v>
      </c>
    </row>
    <row r="74" spans="1:6" x14ac:dyDescent="0.2">
      <c r="A74" s="21" t="s">
        <v>947</v>
      </c>
      <c r="B74" s="21" t="s">
        <v>948</v>
      </c>
      <c r="C74" s="21" t="s">
        <v>949</v>
      </c>
      <c r="D74" s="33" t="str">
        <f>HYPERLINK("https://github.com/amy-bo/electroPioreactor/blob/AEP02/Media/protocols/flow-calibration.md","flow-calibration.md →")</f>
        <v>flow-calibration.md →</v>
      </c>
      <c r="E74" s="77"/>
      <c r="F74" s="22" t="s">
        <v>950</v>
      </c>
    </row>
    <row r="75" spans="1:6" x14ac:dyDescent="0.2">
      <c r="A75" s="21" t="s">
        <v>951</v>
      </c>
      <c r="B75" s="21" t="s">
        <v>952</v>
      </c>
      <c r="C75" s="21" t="s">
        <v>953</v>
      </c>
      <c r="D75" s="33" t="str">
        <f>HYPERLINK("https://github.com/amy-bo/electroPioreactor/blob/AEP02/Media/protocols/sinter-porosity.md","sinter-porosity.md →")</f>
        <v>sinter-porosity.md →</v>
      </c>
      <c r="E75" s="77"/>
      <c r="F75" s="22" t="s">
        <v>954</v>
      </c>
    </row>
    <row r="76" spans="1:6" x14ac:dyDescent="0.2">
      <c r="A76" s="21" t="s">
        <v>955</v>
      </c>
      <c r="B76" s="21" t="s">
        <v>956</v>
      </c>
      <c r="C76" s="21" t="s">
        <v>957</v>
      </c>
      <c r="D76" s="33" t="str">
        <f>HYPERLINK("https://github.com/amy-bo/electroPioreactor/blob/AEP02/Media/protocols/README.md","README.md →")</f>
        <v>README.md →</v>
      </c>
      <c r="E76" s="77"/>
      <c r="F76" s="22" t="s">
        <v>1769</v>
      </c>
    </row>
    <row r="77" spans="1:6" x14ac:dyDescent="0.2">
      <c r="A77" t="s">
        <v>1690</v>
      </c>
      <c r="B77" t="s">
        <v>928</v>
      </c>
      <c r="C77" t="s">
        <v>957</v>
      </c>
      <c r="D77" s="24" t="str">
        <f>HYPERLINK("https://github.com/amy-bo/electroPioreactor/blob/AEP02/Media/protocols/electrode-mass-transfer.md","electrode-mass-transfer.md →")</f>
        <v>electrode-mass-transfer.md →</v>
      </c>
      <c r="E77" s="21"/>
      <c r="F7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78" spans="1:6" x14ac:dyDescent="0.2">
      <c r="A78" t="s">
        <v>1692</v>
      </c>
      <c r="B78" t="s">
        <v>948</v>
      </c>
      <c r="C78" t="s">
        <v>957</v>
      </c>
      <c r="D78" s="24" t="str">
        <f>HYPERLINK("https://github.com/amy-bo/electroPioreactor/blob/AEP02/Media/protocols/vial-geometry.md","vial-geometry.md →")</f>
        <v>vial-geometry.md →</v>
      </c>
      <c r="E78" s="21"/>
      <c r="F78" t="s">
        <v>1693</v>
      </c>
    </row>
    <row r="79" spans="1:6" x14ac:dyDescent="0.2">
      <c r="A79" t="s">
        <v>1694</v>
      </c>
      <c r="B79" t="s">
        <v>928</v>
      </c>
      <c r="C79" t="s">
        <v>957</v>
      </c>
      <c r="D79" s="24" t="str">
        <f>HYPERLINK("https://github.com/amy-bo/electroPioreactor/blob/AEP02/Media/protocols/gerrit-current.md","gerrit-current.md →")</f>
        <v>gerrit-current.md →</v>
      </c>
      <c r="E79" s="21"/>
      <c r="F79" t="s">
        <v>1770</v>
      </c>
    </row>
    <row r="80" spans="1:6" x14ac:dyDescent="0.2">
      <c r="A80" t="s">
        <v>1695</v>
      </c>
      <c r="B80" t="s">
        <v>928</v>
      </c>
      <c r="C80" t="s">
        <v>935</v>
      </c>
      <c r="D80" s="24" t="str">
        <f>HYPERLINK("https://github.com/amy-bo/electroPioreactor/blob/AEP02/Media/protocols/README.md","README.md →")</f>
        <v>README.md →</v>
      </c>
      <c r="F80" t="s">
        <v>1771</v>
      </c>
    </row>
    <row r="81" spans="1:6" x14ac:dyDescent="0.2">
      <c r="A81" s="6" t="s">
        <v>1772</v>
      </c>
    </row>
    <row r="82" spans="1:6" x14ac:dyDescent="0.2">
      <c r="A82" t="s">
        <v>1490</v>
      </c>
      <c r="B82" s="19" t="s">
        <v>1773</v>
      </c>
      <c r="C82" s="20" t="s">
        <v>1140</v>
      </c>
      <c r="D82" s="23">
        <f>Electrochemistry!$D$88</f>
        <v>0.964044311944</v>
      </c>
      <c r="E82" s="24" t="str">
        <f>HYPERLINK("#Electrochemistry!D88","→ Electrochemistry")</f>
        <v>→ Electrochemistry</v>
      </c>
      <c r="F82" t="s">
        <v>1774</v>
      </c>
    </row>
    <row r="83" spans="1:6" x14ac:dyDescent="0.2">
      <c r="A83" t="s">
        <v>1572</v>
      </c>
      <c r="B83" s="19" t="s">
        <v>1775</v>
      </c>
      <c r="C83" s="20" t="s">
        <v>1445</v>
      </c>
      <c r="D83" s="23">
        <f>Electrochemistry!$D$119</f>
        <v>2.649439580207</v>
      </c>
      <c r="E83" s="24" t="str">
        <f>HYPERLINK("#Electrochemistry!D119","→ Electrochemistry")</f>
        <v>→ Electrochemistry</v>
      </c>
      <c r="F83" t="s">
        <v>1662</v>
      </c>
    </row>
    <row r="84" spans="1:6" x14ac:dyDescent="0.2">
      <c r="A84" t="s">
        <v>1581</v>
      </c>
      <c r="B84" s="19" t="s">
        <v>1776</v>
      </c>
      <c r="C84" s="20" t="s">
        <v>1140</v>
      </c>
      <c r="D84" s="23" t="str">
        <f>Electrochemistry!$D$122</f>
        <v>OK — 2.65 V estimated against a 5 V rail</v>
      </c>
      <c r="E84" s="24" t="str">
        <f>HYPERLINK("#Electrochemistry!D122","→ Electrochemistry")</f>
        <v>→ Electrochemistry</v>
      </c>
      <c r="F84" t="s">
        <v>1663</v>
      </c>
    </row>
    <row r="85" spans="1:6" x14ac:dyDescent="0.2">
      <c r="A85" t="s">
        <v>1517</v>
      </c>
      <c r="B85" s="19" t="s">
        <v>1777</v>
      </c>
      <c r="C85" s="20" t="s">
        <v>1140</v>
      </c>
      <c r="D85" s="23" t="str">
        <f>Electrochemistry!$D$99</f>
        <v>watch — steady growth is clear (0.048 mg/L) but LAG PHASE is not: peroxide passes the threshold in 6 min before biomass can scavenge it</v>
      </c>
      <c r="E85" s="24" t="str">
        <f>HYPERLINK("#Electrochemistry!D99","→ Electrochemistry")</f>
        <v>→ Electrochemistry</v>
      </c>
      <c r="F85" t="s">
        <v>1664</v>
      </c>
    </row>
    <row r="86" spans="1:6" x14ac:dyDescent="0.2">
      <c r="A86" t="s">
        <v>1665</v>
      </c>
      <c r="B86" s="19" t="s">
        <v>1778</v>
      </c>
      <c r="C86" s="20" t="s">
        <v>1140</v>
      </c>
      <c r="D86" s="23" t="str">
        <f>Chemistry!$D$219</f>
        <v>OK — buffer holds the electrode surfaces at the bulk pH</v>
      </c>
      <c r="E86" s="24" t="str">
        <f>HYPERLINK("#Chemistry!D219","→ Chemistry")</f>
        <v>→ Chemistry</v>
      </c>
      <c r="F86" t="s">
        <v>1666</v>
      </c>
    </row>
    <row r="87" spans="1:6" x14ac:dyDescent="0.2">
      <c r="A87" t="s">
        <v>1779</v>
      </c>
      <c r="B87" s="19" t="s">
        <v>1780</v>
      </c>
      <c r="C87" s="20" t="s">
        <v>1445</v>
      </c>
      <c r="D87" s="23" t="e">
        <f>Chemistry!$D$209</f>
        <v>#N/A</v>
      </c>
      <c r="E87" s="24" t="str">
        <f>HYPERLINK("#Chemistry!D209","→ Chemistry")</f>
        <v>→ Chemistry</v>
      </c>
      <c r="F87" t="s">
        <v>1781</v>
      </c>
    </row>
    <row r="88" spans="1:6" x14ac:dyDescent="0.2">
      <c r="A88" t="s">
        <v>1449</v>
      </c>
      <c r="B88" s="19" t="s">
        <v>1782</v>
      </c>
      <c r="C88" s="20" t="s">
        <v>1445</v>
      </c>
      <c r="D88" s="23">
        <f>Chemistry!$D$211</f>
        <v>1.248889512283</v>
      </c>
      <c r="E88" s="24" t="str">
        <f>HYPERLINK("#Chemistry!D211","→ Chemistry")</f>
        <v>→ Chemistry</v>
      </c>
      <c r="F88" t="s">
        <v>1783</v>
      </c>
    </row>
    <row r="89" spans="1:6" x14ac:dyDescent="0.2">
      <c r="A89" t="s">
        <v>1468</v>
      </c>
      <c r="B89" s="19" t="s">
        <v>1784</v>
      </c>
      <c r="C89" s="20" t="s">
        <v>1140</v>
      </c>
      <c r="D89" s="23">
        <f>Chemistry!$D$220</f>
        <v>6.487611781829</v>
      </c>
      <c r="E89" s="24" t="str">
        <f>HYPERLINK("#Chemistry!D220","→ Chemistry")</f>
        <v>→ Chemistry</v>
      </c>
      <c r="F89" t="s">
        <v>1667</v>
      </c>
    </row>
    <row r="90" spans="1:6" x14ac:dyDescent="0.2">
      <c r="A90" t="s">
        <v>1668</v>
      </c>
      <c r="B90" s="19" t="s">
        <v>1785</v>
      </c>
      <c r="C90" s="20" t="s">
        <v>449</v>
      </c>
      <c r="D90" s="23">
        <f>'Mass Transfer'!$D$186*3600</f>
        <v>15.833923097207</v>
      </c>
      <c r="E90" s="24" t="str">
        <f>HYPERLINK("#'Mass Transfer'!D186","→ Mass Transfer")</f>
        <v>→ Mass Transfer</v>
      </c>
      <c r="F90" t="s">
        <v>1786</v>
      </c>
    </row>
    <row r="92" spans="1:6" x14ac:dyDescent="0.2">
      <c r="A92" s="77" t="s">
        <v>1787</v>
      </c>
    </row>
    <row r="93" spans="1:6" x14ac:dyDescent="0.2">
      <c r="A93" s="21"/>
      <c r="B93" s="19"/>
      <c r="C93" s="21"/>
      <c r="D93" s="130"/>
      <c r="E93" s="62"/>
      <c r="F93"/>
    </row>
    <row r="95" spans="1:6" x14ac:dyDescent="0.2">
      <c r="A95" s="64" t="s">
        <v>1788</v>
      </c>
      <c r="C95" s="21" t="s">
        <v>87</v>
      </c>
      <c r="D95" s="70">
        <f>IF(AND(ISNUMBER(D14),ISNUMBER(D16),ISNUMBER('Mass Transfer'!$D$93)),('Mass Transfer'!$D$408+'Mass Transfer'!$D$407*D14)/('Mass Transfer'!$D$102/60)/(60*D16)/'Mass Transfer'!$D$93,"calibrate this reactor first (CO₂ flow section of the Calibrations tab, or a CO2 flows row)")</f>
        <v>1.000358015991</v>
      </c>
      <c r="E95" s="24" t="str">
        <f>HYPERLINK("#'Mass Transfer'!D93","→ Mass")</f>
        <v>→ Mass</v>
      </c>
      <c r="F95" s="22" t="s">
        <v>1789</v>
      </c>
    </row>
    <row r="97">
      <c r="A97" s="77" t="inlineStr">
        <is>
          <t xml:space="preserve">N₂ HEADSPACE SWEEP — owner decision T7 (blank = none); timed N₂ pulses of the same mean flow give the same mean-field balance</t>
        </is>
      </c>
    </row>
    <row r="98">
      <c r="A98" s="21" t="inlineStr">
        <is>
          <t xml:space="preserve">N₂ sweep flow</t>
        </is>
      </c>
      <c r="B98" s="19" t="inlineStr">
        <is>
          <t xml:space="preserve">N2_sweep_set</t>
        </is>
      </c>
      <c r="C98" s="21" t="inlineStr">
        <is>
          <t xml:space="preserve">mL/min</t>
        </is>
      </c>
      <c r="D98" s="130"/>
      <c r="E98" s="21" t="inlineStr">
        <is>
          <t xml:space="preserve">input/blank</t>
        </is>
      </c>
      <c r="F98" s="22" t="inlineStr">
        <is>
          <t xml:space="preserve">Continuous inert N₂ into the headspace. It dilutes O₂ and H₂ without adding CO₂, so CO₂ is left for carbon and pH; it also strips CO₂ between pulses. Enters the shared vent balance as an inflow with no O₂ or CO₂ (Mass Transfer D424–D425).</t>
        </is>
      </c>
    </row>
    <row r="99">
      <c r="A99" s="64" t="inlineStr">
        <is>
          <t xml:space="preserve">N₂ sweep that holds the DO target at the carbon-limited interval</t>
        </is>
      </c>
      <c r="C99" s="21" t="inlineStr">
        <is>
          <t xml:space="preserve">mL/min</t>
        </is>
      </c>
      <c r="D99" s="65">
        <f>'Mass Transfer'!$D$426</f>
        <v>0.3389425610299732</v>
      </c>
      <c r="E99" s="24" t="str">
        <f>HYPERLINK("#'Mass Transfer'!D426","→ Mass Transfer")</f>
        <v>→ Mass Transfer</v>
      </c>
      <c r="F99" s="22" t="inlineStr">
        <is>
          <t xml:space="preserve">Sizing phase (D112): the sweep that removes the DO bound on the CO₂ schedule. With it entered, the pH ceiling (row 101) usually sets the interval, so CO₂ still supplies more than carbon needs. #N/A = the DO target is unreachable at this surface kLa, which no sweep fixes.</t>
        </is>
      </c>
    </row>
    <row r="100">
      <c r="A100" s="64" t="inlineStr">
        <is>
          <t xml:space="preserve">N₂ sweep that keeps lag-phase H₂ below the LFL</t>
        </is>
      </c>
      <c r="C100" s="21" t="inlineStr">
        <is>
          <t xml:space="preserve">mL/min</t>
        </is>
      </c>
      <c r="D100" s="65">
        <f>Biology!$D$88</f>
        <v>0.928010297432</v>
      </c>
      <c r="E100" s="24" t="str">
        <f>HYPERLINK("#Biology!D88","→ Biology")</f>
        <v>→ Biology</v>
      </c>
      <c r="F100" s="22" t="inlineStr">
        <is>
          <t xml:space="preserve">Mean-field, with no CO₂ at all; the pre-pulse sawtooth peaks higher, so treat it as a lower bound and check rows 24–26 with the sweep entered. A screen, not a mixture safety certification.</t>
        </is>
      </c>
    </row>
    <row r="101">
      <c r="A101" s="64" t="inlineStr">
        <is>
          <t xml:space="preserve">pH-ceiling interval (longest keeping pH at or under the band ceiling)</t>
        </is>
      </c>
      <c r="C101" s="21" t="inlineStr">
        <is>
          <t xml:space="preserve">min</t>
        </is>
      </c>
      <c r="D101" s="65">
        <f>'Mass Transfer'!$D$432</f>
        <v>212.46010616654434</v>
      </c>
      <c r="E101" s="24" t="str">
        <f>HYPERLINK("#'Mass Transfer'!D432","→ Mass Transfer")</f>
        <v>→ Mass Transfer</v>
      </c>
      <c r="F101" s="22" t="inlineStr">
        <is>
          <t xml:space="preserve">Caps the interval (D16) with the carbon and DO bounds, for the pulse in use. Far above them, or "no pH bound", without a sweep; with an N₂ sweep it stops pH overshooting the band once CO₂ no longer has to dilute O₂. Mass Transfer D435 warns if the capped interval lets the carbon pool run dry.</t>
        </is>
      </c>
    </row>
    <row r="110" spans="1:6" x14ac:dyDescent="0.2">
      <c r="A110" s="77" t="s">
        <v>1790</v>
      </c>
    </row>
    <row r="111" spans="1:6" x14ac:dyDescent="0.2">
      <c r="A111" s="18" t="s">
        <v>1791</v>
      </c>
      <c r="B111" s="19" t="s">
        <v>1792</v>
      </c>
      <c r="C111" s="20" t="s">
        <v>111</v>
      </c>
      <c r="D111" s="130" t="s">
        <v>1793</v>
      </c>
      <c r="E111" s="21" t="s">
        <v>27</v>
      </c>
      <c r="F111" s="22" t="s">
        <v>1794</v>
      </c>
    </row>
    <row r="112" spans="1:6" x14ac:dyDescent="0.2">
      <c r="A112" s="18" t="s">
        <v>1795</v>
      </c>
      <c r="B112" s="19" t="s">
        <v>1796</v>
      </c>
      <c r="C112" s="20" t="s">
        <v>111</v>
      </c>
      <c r="D112" s="130" t="s">
        <v>1797</v>
      </c>
      <c r="E112" s="21" t="s">
        <v>27</v>
      </c>
      <c r="F112" s="22" t="s">
        <v>1798</v>
      </c>
    </row>
    <row r="113" spans="1:6" x14ac:dyDescent="0.2">
      <c r="A113" s="64" t="s">
        <v>1799</v>
      </c>
      <c r="C113" s="21" t="s">
        <v>314</v>
      </c>
      <c r="D113" s="65">
        <f>'Mass Transfer'!$D$386</f>
        <v>0.015</v>
      </c>
      <c r="E113" s="24" t="str">
        <f>HYPERLINK("#'Mass Transfer'!D386","→ Mass Transfer")</f>
        <v>→ Mass Transfer</v>
      </c>
      <c r="F113" s="22" t="s">
        <v>1800</v>
      </c>
    </row>
    <row r="114" spans="1:6" x14ac:dyDescent="0.2">
      <c r="A114" s="64" t="s">
        <v>1801</v>
      </c>
      <c r="C114" s="21" t="s">
        <v>83</v>
      </c>
      <c r="D114" s="65">
        <f>'Mass Transfer'!$D$343</f>
        <v>2.270165488391</v>
      </c>
      <c r="E114" s="24" t="str">
        <f>HYPERLINK("#'Mass Transfer'!D343","→ Mass Transfer")</f>
        <v>→ Mass Transfer</v>
      </c>
      <c r="F114" s="22" t="s">
        <v>1802</v>
      </c>
    </row>
    <row r="115" spans="1:6" x14ac:dyDescent="0.2">
      <c r="A115" s="64" t="s">
        <v>1803</v>
      </c>
      <c r="C115" s="21" t="s">
        <v>83</v>
      </c>
      <c r="D115" s="65">
        <f>'Mass Transfer'!$D$344</f>
        <v>2.447092253397</v>
      </c>
      <c r="E115" s="24" t="str">
        <f>HYPERLINK("#'Mass Transfer'!D344","→ Mass Transfer")</f>
        <v>→ Mass Transfer</v>
      </c>
      <c r="F115" s="22" t="s">
        <v>1804</v>
      </c>
    </row>
    <row r="116" spans="1:6" x14ac:dyDescent="0.2">
      <c r="A116" s="64" t="s">
        <v>1805</v>
      </c>
      <c r="C116" s="21" t="s">
        <v>83</v>
      </c>
      <c r="D116" s="65">
        <f>'Mass Transfer'!$D$364</f>
        <v>5.594849867262</v>
      </c>
      <c r="E116" s="24" t="str">
        <f>HYPERLINK("#'Mass Transfer'!D364","→ Mass Transfer")</f>
        <v>→ Mass Transfer</v>
      </c>
      <c r="F116" s="22" t="s">
        <v>1806</v>
      </c>
    </row>
    <row r="117" spans="1:6" x14ac:dyDescent="0.2">
      <c r="A117" s="64" t="s">
        <v>1807</v>
      </c>
      <c r="C117" s="21" t="s">
        <v>83</v>
      </c>
      <c r="D117" s="65">
        <f>'Mass Transfer'!$D$365</f>
        <v>5.953949768528</v>
      </c>
      <c r="E117" s="24" t="str">
        <f>HYPERLINK("#'Mass Transfer'!D365","→ Mass Transfer")</f>
        <v>→ Mass Transfer</v>
      </c>
      <c r="F117" s="22" t="s">
        <v>1808</v>
      </c>
    </row>
    <row r="118" spans="1:6" x14ac:dyDescent="0.2">
      <c r="A118" s="64" t="s">
        <v>1809</v>
      </c>
      <c r="D118" s="65" t="str">
        <f>'Mass Transfer'!$D$348</f>
        <v>peak 2.4 mg/L under the 10.1 mg/L ceiling</v>
      </c>
      <c r="E118" s="24" t="str">
        <f>HYPERLINK("#'Mass Transfer'!D348","→ Mass Transfer")</f>
        <v>→ Mass Transfer</v>
      </c>
      <c r="F118" s="22" t="s">
        <v>1810</v>
      </c>
    </row>
    <row r="119" spans="1:6" x14ac:dyDescent="0.2">
      <c r="A119" s="64" t="s">
        <v>1811</v>
      </c>
      <c r="D119" s="65" t="str">
        <f>'Mass Transfer'!$D$369</f>
        <v>peak 6.0 mg/L under the 10.1 mg/L ceiling</v>
      </c>
      <c r="E119" s="24" t="str">
        <f>HYPERLINK("#'Mass Transfer'!D369","→ Mass Transfer")</f>
        <v>→ Mass Transfer</v>
      </c>
      <c r="F119" s="22" t="s">
        <v>1812</v>
      </c>
    </row>
    <row r="120" spans="1:6" x14ac:dyDescent="0.2">
      <c r="A120" s="64" t="s">
        <v>1813</v>
      </c>
      <c r="D120" s="65" t="str">
        <f>'Mass Transfer'!$D$347</f>
        <v>reachable – kLa margin 1.74×</v>
      </c>
      <c r="E120" s="24" t="str">
        <f>HYPERLINK("#'Mass Transfer'!D347","→ Mass Transfer")</f>
        <v>→ Mass Transfer</v>
      </c>
      <c r="F120" s="22" t="s">
        <v>1814</v>
      </c>
    </row>
    <row r="121" spans="1:6" x14ac:dyDescent="0.2">
      <c r="A121" s="64" t="s">
        <v>1815</v>
      </c>
      <c r="D121" s="65" t="str">
        <f>'Mass Transfer'!$D$368</f>
        <v>UNREACHABLE at this surface kLa – margin 0.61× (raise kL_surf, lower the current, or accept a higher DO)</v>
      </c>
      <c r="E121" s="24" t="str">
        <f>HYPERLINK("#'Mass Transfer'!D368","→ Mass Transfer")</f>
        <v>→ Mass Transfer</v>
      </c>
      <c r="F121"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22" spans="1:6" x14ac:dyDescent="0.2">
      <c r="A122" s="64" t="s">
        <v>1816</v>
      </c>
      <c r="C122" s="21" t="s">
        <v>449</v>
      </c>
      <c r="D122" s="65">
        <f>'Mass Transfer'!$D$345*3600</f>
        <v>15.833923097207</v>
      </c>
      <c r="E122" s="24" t="str">
        <f>HYPERLINK("#'Mass Transfer'!D345","→ Mass Transfer")</f>
        <v>→ Mass Transfer</v>
      </c>
      <c r="F122" s="22" t="s">
        <v>1817</v>
      </c>
    </row>
    <row r="123" spans="1:6" x14ac:dyDescent="0.2">
      <c r="A123" s="64" t="s">
        <v>1818</v>
      </c>
      <c r="C123" s="21" t="s">
        <v>449</v>
      </c>
      <c r="D123" s="65">
        <f>'Mass Transfer'!$D$366*3600</f>
        <v>44.975226114474</v>
      </c>
      <c r="E123" s="24" t="str">
        <f>HYPERLINK("#'Mass Transfer'!D366","→ Mass Transfer")</f>
        <v>→ Mass Transfer</v>
      </c>
      <c r="F123" s="22" t="s">
        <v>1817</v>
      </c>
    </row>
    <row r="124" spans="1:6" x14ac:dyDescent="0.2">
      <c r="A124" s="64" t="s">
        <v>1819</v>
      </c>
      <c r="C124" s="21" t="s">
        <v>111</v>
      </c>
      <c r="D124" s="65">
        <f>'Mass Transfer'!$D$329</f>
        <v>0.027569266375</v>
      </c>
      <c r="E124" s="24" t="str">
        <f>HYPERLINK("#'Mass Transfer'!D329","→ Mass Transfer")</f>
        <v>→ Mass Transfer</v>
      </c>
      <c r="F124" s="22" t="s">
        <v>1820</v>
      </c>
    </row>
    <row r="125" spans="1:6" x14ac:dyDescent="0.2">
      <c r="A125" s="64" t="s">
        <v>1821</v>
      </c>
      <c r="C125" s="21" t="s">
        <v>111</v>
      </c>
      <c r="D125" s="65">
        <f>'Mass Transfer'!$D$351</f>
        <v>0.053815126441</v>
      </c>
      <c r="E125" s="24" t="str">
        <f>HYPERLINK("#'Mass Transfer'!D351","→ Mass Transfer")</f>
        <v>→ Mass Transfer</v>
      </c>
      <c r="F125" s="22" t="s">
        <v>1822</v>
      </c>
    </row>
    <row r="126" spans="1:6" x14ac:dyDescent="0.2">
      <c r="A126" s="64" t="s">
        <v>1823</v>
      </c>
      <c r="C126" s="21" t="s">
        <v>111</v>
      </c>
      <c r="D126" s="65">
        <f>'Mass Transfer'!$D$352</f>
        <v>0.093689942909</v>
      </c>
      <c r="E126" s="24" t="str">
        <f>HYPERLINK("#'Mass Transfer'!D352","→ Mass Transfer")</f>
        <v>→ Mass Transfer</v>
      </c>
      <c r="F126" s="22" t="s">
        <v>1824</v>
      </c>
    </row>
    <row r="127" spans="1:6" x14ac:dyDescent="0.2">
      <c r="A127" s="64" t="s">
        <v>1825</v>
      </c>
      <c r="C127" s="21" t="s">
        <v>111</v>
      </c>
      <c r="D127" s="65">
        <f>'Mass Transfer'!$D$381</f>
        <v>0.940238937993</v>
      </c>
      <c r="E127" s="24" t="str">
        <f>HYPERLINK("#'Mass Transfer'!D381","→ Mass Transfer")</f>
        <v>→ Mass Transfer</v>
      </c>
      <c r="F127" s="22" t="s">
        <v>1826</v>
      </c>
    </row>
    <row r="128" spans="1:6" x14ac:dyDescent="0.2">
      <c r="A128" s="64" t="s">
        <v>1827</v>
      </c>
      <c r="D128" s="111" t="str">
        <f>IF(ISNA('Mass Transfer'!F_vent_ex+'Mass Transfer'!O2_src_sched),"#N/A – check the selectors in D111/D112",IF(NOT(ISNUMBER('Mass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128" s="24" t="str">
        <f>HYPERLINK("#Chemistry!D220","→ Chemistry")</f>
        <v>→ Chemistry</v>
      </c>
      <c r="F128" s="22" t="s">
        <v>1828</v>
      </c>
    </row>
    <row r="129" spans="1:6" x14ac:dyDescent="0.2">
      <c r="A129" s="64" t="s">
        <v>1829</v>
      </c>
      <c r="C129" s="21" t="s">
        <v>111</v>
      </c>
      <c r="D129" s="65">
        <f>'Mass Transfer'!$D$389</f>
        <v>0.050856361228</v>
      </c>
      <c r="E129" s="24" t="str">
        <f>HYPERLINK("#'Mass Transfer'!D389","→ Mass Transfer")</f>
        <v>→ Mass Transfer</v>
      </c>
      <c r="F129" s="22" t="s">
        <v>1830</v>
      </c>
    </row>
    <row r="130" spans="1:6" x14ac:dyDescent="0.2">
      <c r="A130" s="64" t="s">
        <v>1831</v>
      </c>
      <c r="D130" s="65" t="str">
        <f>'Mass Transfer'!$D$391</f>
        <v>UNVERIFIED pressure closure: air ingress is assumed; measure vent make-up flow</v>
      </c>
      <c r="E130" s="24" t="str">
        <f>HYPERLINK("#'Mass Transfer'!D391","→ Mass Transfer")</f>
        <v>→ Mass Transfer</v>
      </c>
      <c r="F130" s="22" t="s">
        <v>1832</v>
      </c>
    </row>
    <row r="131" spans="1:6" x14ac:dyDescent="0.2">
      <c r="A131" s="64" t="inlineStr">
        <is>
          <t xml:space="preserve">NaHCO₃ still needed to lift pH to the target (first-order)</t>
        </is>
      </c>
      <c r="C131" s="21" t="s">
        <v>2692</v>
      </c>
      <c r="D131" s="65">
        <f>Chemistry!$D$308</f>
        <v>0.124226377682</v>
      </c>
      <c r="E131" s="24" t="str">
        <f>HYPERLINK("#Chemistry!D306","→ Chemistry")</f>
        <v>→ Chemistry</v>
      </c>
      <c r="F131" s="22" t="inlineStr">
        <is>
          <t xml:space="preserve">Alkalinity still needed, on top of the recipe and any NaHCO₃ in D133, for a probe pH of Chemistry D303 (the 6.5 band floor by default) at today’s dissolved CO₂. Enter it in D133 to see the coupled result; re-read, as CO₂ storage moves with it.</t>
        </is>
      </c>
    </row>
    <row r="132" spans="1:6" x14ac:dyDescent="0.2">
      <c r="A132" s="64" t="s">
        <v>2694</v>
      </c>
      <c r="C132" s="21" t="s">
        <v>2695</v>
      </c>
      <c r="D132" s="65">
        <f>Chemistry!$D$306*1000</f>
        <v>1.47876221841</v>
      </c>
      <c r="E132" s="24" t="str">
        <f>HYPERLINK("#Chemistry!D306","→ Chemistry")</f>
        <v>→ Chemistry</v>
      </c>
      <c r="F132" s="22" t="s">
        <v>2696</v>
      </c>
    </row>
    <row r="133">
      <c r="A133" s="21" t="inlineStr">
        <is>
          <t xml:space="preserve">Added NaHCO₃ (on top of the recipe)</t>
        </is>
      </c>
      <c r="B133" s="19" t="inlineStr">
        <is>
          <t xml:space="preserve">NaHCO3_add_gL</t>
        </is>
      </c>
      <c r="C133" s="21" t="inlineStr">
        <is>
          <t xml:space="preserve">g/L</t>
        </is>
      </c>
      <c r="D133" s="135"/>
      <c r="E133" s="21" t="inlineStr">
        <is>
          <t xml:space="preserve">input/blank</t>
        </is>
      </c>
      <c r="F133" s="22" t="inlineStr">
        <is>
          <t xml:space="preserve">NaHCO₃ added to the medium; blank = none. It feeds the charge balance, ionic strength, conductivity and CO₂ storage (Chemistry D44, D185, D180, D296), so pH, DO and the schedule respond. Row 131 then shows what is still needed. After a large addition (pH up by more than 0.1) re-enter the DIC reference pH, Chemistry D291 (D310 says when).</t>
        </is>
      </c>
    </row>
    <row r="135" spans="1:6" x14ac:dyDescent="0.2">
      <c r="A135" s="64" t="s">
        <v>1833</v>
      </c>
      <c r="B135" s="19" t="s">
        <v>1834</v>
      </c>
      <c r="C135" s="21" t="s">
        <v>87</v>
      </c>
      <c r="D135" s="65">
        <f>'Mass Transfer'!$D$417</f>
        <v>2.501832900863</v>
      </c>
      <c r="E135" s="24" t="str">
        <f>HYPERLINK("#'Mass Transfer'!D417","→ Mass Transfer")</f>
        <v>→ Mass Transfer</v>
      </c>
      <c r="F135" s="22" t="s">
        <v>1835</v>
      </c>
    </row>
    <row r="136" spans="1:6" x14ac:dyDescent="0.2">
      <c r="A136" s="64" t="s">
        <v>1836</v>
      </c>
      <c r="B136" s="19" t="s">
        <v>1837</v>
      </c>
      <c r="D136" s="65" t="str">
        <f>'Mass Transfer'!$D$414</f>
        <v>OK – 6.6 mm/s against the 50 mm/s rule of thumb</v>
      </c>
      <c r="E136" s="24" t="str">
        <f>HYPERLINK("#'Mass Transfer'!D414","→ Mass Transfer")</f>
        <v>→ Mass Transfer</v>
      </c>
      <c r="F136" s="22" t="s">
        <v>1838</v>
      </c>
    </row>
    <row r="137" spans="1:6" x14ac:dyDescent="0.2">
      <c r="A137" s="77" t="s">
        <v>1839</v>
      </c>
    </row>
    <row r="138" spans="1:6" x14ac:dyDescent="0.2">
      <c r="A138" s="64" t="s">
        <v>1840</v>
      </c>
      <c r="B138" s="19" t="s">
        <v>1841</v>
      </c>
      <c r="C138" s="21" t="s">
        <v>1842</v>
      </c>
      <c r="D138" s="65">
        <f>Chemistry!$D$299</f>
        <v>6.0</v>
      </c>
      <c r="E138" s="24" t="str">
        <f>HYPERLINK("#Chemistry!D299","→ Chemistry")</f>
        <v>→ Chemistry</v>
      </c>
      <c r="F138" s="22" t="s">
        <v>1843</v>
      </c>
    </row>
    <row r="139" spans="1:6" x14ac:dyDescent="0.2">
      <c r="A139" s="64" t="s">
        <v>1844</v>
      </c>
      <c r="B139" s="19" t="s">
        <v>1845</v>
      </c>
      <c r="C139" s="21" t="s">
        <v>1842</v>
      </c>
      <c r="D139" s="65">
        <f>Chemistry!$D$236</f>
        <v>6.5</v>
      </c>
      <c r="E139" s="24" t="str">
        <f>HYPERLINK("#Chemistry!D236","→ Chemistry")</f>
        <v>→ Chemistry</v>
      </c>
      <c r="F139" s="22" t="s">
        <v>1843</v>
      </c>
    </row>
    <row r="140" spans="1:6" x14ac:dyDescent="0.2">
      <c r="A140" s="64" t="s">
        <v>1846</v>
      </c>
      <c r="B140" s="19" t="s">
        <v>1847</v>
      </c>
      <c r="C140" s="21" t="s">
        <v>1842</v>
      </c>
      <c r="D140" s="65">
        <f>Chemistry!$D$237</f>
        <v>7.5</v>
      </c>
      <c r="E140" s="24" t="str">
        <f>HYPERLINK("#Chemistry!D237","→ Chemistry")</f>
        <v>→ Chemistry</v>
      </c>
      <c r="F140" s="22" t="s">
        <v>1843</v>
      </c>
    </row>
    <row r="141" spans="1:6" x14ac:dyDescent="0.2">
      <c r="A141" s="64" t="s">
        <v>1848</v>
      </c>
      <c r="B141" s="19" t="s">
        <v>1849</v>
      </c>
      <c r="C141" s="21" t="s">
        <v>1842</v>
      </c>
      <c r="D141" s="65">
        <f>Chemistry!$D$300</f>
        <v>8.0</v>
      </c>
      <c r="E141" s="24" t="str">
        <f>HYPERLINK("#Chemistry!D300","→ Chemistry")</f>
        <v>→ Chemistry</v>
      </c>
      <c r="F141" s="22" t="s">
        <v>1843</v>
      </c>
    </row>
    <row r="142" spans="1:6" x14ac:dyDescent="0.2">
      <c r="A142" s="64" t="s">
        <v>1850</v>
      </c>
      <c r="B142" s="19" t="s">
        <v>1851</v>
      </c>
      <c r="C142" s="21" t="s">
        <v>83</v>
      </c>
      <c r="D142" s="65">
        <f>Chemistry!$D$146</f>
        <v>0.1</v>
      </c>
      <c r="E142" s="24" t="str">
        <f>HYPERLINK("#Chemistry!D146","→ Chemistry")</f>
        <v>→ Chemistry</v>
      </c>
      <c r="F142" s="22" t="s">
        <v>1843</v>
      </c>
    </row>
    <row r="143" spans="1:6" x14ac:dyDescent="0.2">
      <c r="A143" s="64" t="s">
        <v>1852</v>
      </c>
      <c r="B143" s="19" t="s">
        <v>1853</v>
      </c>
      <c r="C143" s="21" t="s">
        <v>83</v>
      </c>
      <c r="D143" s="65">
        <f>Chemistry!$D$147</f>
        <v>2.0</v>
      </c>
      <c r="E143" s="24" t="str">
        <f>HYPERLINK("#Chemistry!D147","→ Chemistry")</f>
        <v>→ Chemistry</v>
      </c>
      <c r="F143" s="22" t="s">
        <v>1843</v>
      </c>
    </row>
    <row r="145" spans="1:6" x14ac:dyDescent="0.2">
      <c r="A145" s="77" t="s">
        <v>2697</v>
      </c>
    </row>
    <row r="146" spans="1:6" x14ac:dyDescent="0.2">
      <c r="A146" s="32" t="s">
        <v>2698</v>
      </c>
      <c r="B146" s="32" t="s">
        <v>102</v>
      </c>
      <c r="C146" s="32" t="s">
        <v>103</v>
      </c>
      <c r="D146" s="32" t="s">
        <v>104</v>
      </c>
      <c r="F146" s="32" t="s">
        <v>105</v>
      </c>
    </row>
    <row r="147" spans="1:6" x14ac:dyDescent="0.2">
      <c r="A147" s="21" t="s">
        <v>2699</v>
      </c>
      <c r="B147" s="21" t="s">
        <v>922</v>
      </c>
      <c r="C147" s="21" t="s">
        <v>923</v>
      </c>
      <c r="D147" s="33" t="str">
        <f>HYPERLINK("https://github.com/amy-bo/electroPioreactor/blob/AEP02/Media/protocols/headspace-vent.md","headspace-vent.md →")</f>
        <v>headspace-vent.md →</v>
      </c>
      <c r="F147" s="22" t="s">
        <v>2700</v>
      </c>
    </row>
    <row r="148" spans="1:6" x14ac:dyDescent="0.2">
      <c r="A148" s="21" t="s">
        <v>2701</v>
      </c>
      <c r="B148" s="21" t="s">
        <v>922</v>
      </c>
      <c r="C148" s="21" t="s">
        <v>923</v>
      </c>
      <c r="D148" s="33" t="str">
        <f>HYPERLINK("https://github.com/amy-bo/electroPioreactor/blob/AEP02/Media/protocols/abiotic-do-trace.md","abiotic-do-trace.md →")</f>
        <v>abiotic-do-trace.md →</v>
      </c>
      <c r="F148" s="22" t="s">
        <v>2702</v>
      </c>
    </row>
    <row r="149" spans="1:6" x14ac:dyDescent="0.2">
      <c r="A149" s="21" t="s">
        <v>2703</v>
      </c>
      <c r="B149" s="21" t="s">
        <v>922</v>
      </c>
      <c r="C149" s="21" t="s">
        <v>923</v>
      </c>
      <c r="D149" s="33" t="str">
        <f>HYPERLINK("https://github.com/amy-bo/electroPioreactor/blob/AEP02/Media/protocols/headspace-gas-safety.md","headspace-gas-safety.md →")</f>
        <v>headspace-gas-safety.md →</v>
      </c>
      <c r="F149" s="22" t="inlineStr">
        <is>
          <t xml:space="preserve">Safety. The model puts the lag-phase headspace at about 9 % H₂ (D24), above the 4 % lower flammable limit, until the cells take up H₂.</t>
        </is>
      </c>
    </row>
    <row r="150" spans="1:6" x14ac:dyDescent="0.2">
      <c r="A150" s="21" t="s">
        <v>2705</v>
      </c>
      <c r="B150" s="21" t="s">
        <v>922</v>
      </c>
      <c r="C150" s="21" t="s">
        <v>932</v>
      </c>
      <c r="D150" s="33" t="str">
        <f>HYPERLINK("https://github.com/amy-bo/electroPioreactor/blob/AEP02/Media/protocols/knallgas-stoichiometry.md","knallgas-stoichiometry.md →")</f>
        <v>knallgas-stoichiometry.md →</v>
      </c>
      <c r="F150" s="22" t="s">
        <v>2706</v>
      </c>
    </row>
    <row r="151" spans="1:6" x14ac:dyDescent="0.2">
      <c r="A151" s="21" t="s">
        <v>2707</v>
      </c>
      <c r="B151" s="21" t="s">
        <v>931</v>
      </c>
      <c r="C151" s="21" t="s">
        <v>926</v>
      </c>
      <c r="D151" s="33" t="str">
        <f>HYPERLINK("https://github.com/amy-bo/electroPioreactor/blob/AEP02/Media/protocols/chlorine-species.md","chlorine-species.md →")</f>
        <v>chlorine-species.md →</v>
      </c>
      <c r="F151" s="22" t="inlineStr">
        <is>
          <t xml:space="preserve">Settles the monochloramine lifetime (Chemistry D142, entered in the Calibrations monochloramine section), which moves the UdG interval by about ±32 %. Also confirm the CaCl₂ hydrate state (−24 % on every chlorine figure).</t>
        </is>
      </c>
    </row>
    <row r="152" spans="1:6" x14ac:dyDescent="0.2">
      <c r="A152" s="21" t="s">
        <v>2709</v>
      </c>
      <c r="B152" s="21" t="s">
        <v>941</v>
      </c>
      <c r="C152" s="21" t="s">
        <v>926</v>
      </c>
      <c r="D152" s="33" t="str">
        <f>HYPERLINK("https://github.com/amy-bo/electroPioreactor/blob/AEP02/Media/protocols/flow-calibration.md","flow-calibration.md →")</f>
        <v>flow-calibration.md →</v>
      </c>
      <c r="F152" s="22" t="s">
        <v>2710</v>
      </c>
    </row>
    <row r="153" spans="1:6" x14ac:dyDescent="0.2">
      <c r="A153" s="21" t="inlineStr">
        <is>
          <t xml:space="preserve">Decide: N₂ sweep hardware and flow (T7)</t>
        </is>
      </c>
      <c r="B153" s="21" t="s">
        <v>922</v>
      </c>
      <c r="C153" s="21" t="s">
        <v>932</v>
      </c>
      <c r="F153" s="22" t="inlineStr">
        <is>
          <t xml:space="preserve">The model now takes an N₂ sweep (D98) as an inert inflow in the shared headspace balance; rows 99–100 give the flow for the DO target at the carbon-limited interval and for lag H₂ below the LFL. Needs the owner’s choice of hardware (own line or shared), flow control and objective.</t>
        </is>
      </c>
    </row>
    <row r="154" spans="1:6" x14ac:dyDescent="0.2">
      <c r="A154" s="21" t="inlineStr">
        <is>
          <t xml:space="preserve">Model: nitrate or urea instead of NH₄⁺</t>
        </is>
      </c>
      <c r="B154" s="21" t="inlineStr">
        <is>
          <t xml:space="preserve">MED</t>
        </is>
      </c>
      <c r="C154" s="21" t="inlineStr">
        <is>
          <t xml:space="preserve">med</t>
        </is>
      </c>
      <c r="F154" s="22" t="inlineStr">
        <is>
          <t xml:space="preserve">Ammonium uptake releases acid as the culture grows; the model holds NH₄⁺ at its recipe value. Needs the owner’s choice of nitrogen source and an uptake rate before it can enter the charge balance.</t>
        </is>
      </c>
    </row>
    <row r="155" spans="1:6" x14ac:dyDescent="0.2">
      <c r="A155" s="21" t="s">
        <v>2715</v>
      </c>
      <c r="B155" s="21" t="s">
        <v>931</v>
      </c>
      <c r="C155" s="21" t="s">
        <v>926</v>
      </c>
      <c r="F155" s="22" t="inlineStr">
        <is>
          <t xml:space="preserve">Pulse length (D13) is a rule of thumb: about one headspace volume per pulse. A twin trial (UdG, 25 °C) at the 0.25 s default floor gave 0.25 s every 4.4 min: same pH and growth DO on about 7 % less CO₂, but higher lag-phase DO. Wait for the measured floor (flow-calibration step 9).</t>
        </is>
      </c>
    </row>
    <row r="156" spans="1:6" x14ac:dyDescent="0.2">
      <c r="A156" s="21" t="inlineStr">
        <is>
          <t xml:space="preserve">Model: start-up current ramp</t>
        </is>
      </c>
      <c r="B156" s="21" t="s">
        <v>931</v>
      </c>
      <c r="C156" s="21" t="s">
        <v>923</v>
      </c>
      <c r="F156" s="22" t="inlineStr">
        <is>
          <t xml:space="preserve">Lag flammability now has a modelled remedy (N₂ sweep, row 100). Lag DO stays unreachable at the estimated surface kLa at any interval or sweep, so the remaining lever is less current until uptake starts; that needs the low-power current curve below 3 % first.</t>
        </is>
      </c>
    </row>
    <row r="157" spans="1:6" x14ac:dyDescent="0.2">
      <c r="A157" s="21" t="inlineStr">
        <is>
          <t xml:space="preserve">Measure: no-carryover maximum flow</t>
        </is>
      </c>
      <c r="B157" s="21" t="inlineStr">
        <is>
          <t xml:space="preserve">LOW</t>
        </is>
      </c>
      <c r="C157" s="21" t="inlineStr">
        <is>
          <t xml:space="preserve">low</t>
        </is>
      </c>
      <c r="D157" s="33" t="str">
        <f>HYPERLINK("https://github.com/amy-bo/electroPioreactor/blob/AEP02/Media/protocols/flow-calibration.md","flow-calibration.md →")</f>
        <v>flow-calibration.md →</v>
      </c>
      <c r="F157" s="22" t="inlineStr">
        <is>
          <t xml:space="preserve">Record the highest flow without liquid carryover for each reactor in CO2 flows column M; D29 reads "not measured" until then.</t>
        </is>
      </c>
    </row>
    <row r="158" spans="1:6" x14ac:dyDescent="0.2">
      <c r="A158" s="21" t="inlineStr">
        <is>
          <t xml:space="preserve">Measure: CO₂ flow of the reactor in use</t>
        </is>
      </c>
      <c r="B158" s="21" t="inlineStr">
        <is>
          <t xml:space="preserve">HIGH</t>
        </is>
      </c>
      <c r="C158" s="21" t="s">
        <v>926</v>
      </c>
      <c r="D158" s="33" t="str">
        <f>HYPERLINK("https://github.com/amy-bo/electroPioreactor/blob/AEP02/Media/protocols/flow-calibration.md","flow-calibration.md →")</f>
        <v>flow-calibration.md →</v>
      </c>
      <c r="F158" s="22" t="inlineStr">
        <is>
          <t xml:space="preserve">D2 is ed04, the only reactor with a flow calibration, and its MEP0.3 geometry (20 mL vial, 16 mL max). For an AEP0.2 build (ed06–ed08), calibrate that reactor and select it in D2.</t>
        </is>
      </c>
    </row>
    <row r="159" spans="1:6" x14ac:dyDescent="0.2">
      <c r="A159" s="21" t="s">
        <v>2723</v>
      </c>
      <c r="B159" s="21" t="s">
        <v>941</v>
      </c>
      <c r="C159" s="21" t="s">
        <v>926</v>
      </c>
      <c r="F159" s="22" t="s">
        <v>2724</v>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3">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 type="decimal" allowBlank="1" showErrorMessage="1" errorTitle="Invalid value" error="Added NaHCO₃ in g/L (0–10), or leave blank for none." sqref="D13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98">
      <formula1>0</formula1>
      <formula2>20</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s">
        <v>2096</v>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inlineStr">
        <is>
          <t xml:space="preserve">Extra alkalinity still needed for the target pH</t>
        </is>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inlineStr">
        <is>
          <t xml:space="preserve">First-order, on top of any NaHCO₃ already entered (Summary D133,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9.828782391025813e-07</v>
      </c>
      <c r="E315" s="57" t="inlineStr">
        <is>
          <t xml:space="preserve">The production ceiling P in the chloramine steady state (the second term of D311): the CER-efficiency-limited current as mol/L/s. Read with D271 and D47 to turn a DPD plateau into a lifetime (Calibrations rows 181–188).</t>
        </is>
      </c>
    </row>
    <row r="316">
      <c r="A316" s="6" t="inlineStr">
        <is>
          <t xml:space="preserve">ADDED ALKALINITY (Summary D133)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Summary!$D$133</f>
        <v>0.0</v>
      </c>
      <c r="E317" s="51" t="inlineStr">
        <is>
          <t xml:space="preserve">Import from Summary!D133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7.372334422702037</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4.242927171446188e-08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0.019548509304140926</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0.0009665547632061539</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s">
        <v>2105</v>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0.093689942909</v>
      </c>
      <c r="E84" s="53" t="s">
        <v>2154</v>
      </c>
    </row>
    <row r="85" spans="1:5" ht="24" x14ac:dyDescent="0.2">
      <c r="A85" s="18" t="s">
        <v>2155</v>
      </c>
      <c r="B85" s="19" t="s">
        <v>2156</v>
      </c>
      <c r="C85" s="20" t="s">
        <v>111</v>
      </c>
      <c r="D85" s="41">
        <f>(O2_src_l_b+y_O2_air_b*F_vent_ex_b)/(n_flamm_src+CO2_supply_b+F_dil_b)</f>
        <v>0.053815126441</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Transfer'!$D$425</f>
        <v>3.617990017297e-05</v>
      </c>
      <c r="E125" s="140" t="inlineStr">
        <is>
          <t xml:space="preserve">Import from Mass Transfer!D425 (F_dil): air ingress plus any N₂ sweep (Summary D98).</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J539"/>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f>
        <v>7.398866407059</v>
      </c>
      <c r="E91" s="129" t="inlineStr">
        <is>
          <t xml:space="preserve">ANSWER. The shortest of the upper bounds on the interval: carbon supply (D112), headspace-oxygen dilution (spg_int_DO) and the pH ceiling (D433, which binds only when an N₂ sweep dilutes the headspace). #N/A for an invalid vent or phase selector (Summary D111/D112) or when no interval keeps pH under the band ceiling (D434). If the DO target is unreachable at this surface kLa the sheet falls back to the legacy O₂ flush guard (D89) and D134 says so.</t>
        </is>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D111/D112)",IF(ph_unreach,"pH CEILING UNREACHABLE – reduce the N₂ sweep or the added alkalinity",IF(AND(ISNUMBER(spg_int_pH_opt),spg_int_pH_opt&lt;MIN(spg_int_carbon,IF(ISNUMBER(spg_int_DO),spg_int_DO,spg_int_max))),"pH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s">
        <v>2248</v>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s">
        <v>2261</v>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s">
        <v>2275</v>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0.423131676776</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s">
        <v>2318</v>
      </c>
    </row>
    <row r="300" spans="1:5" x14ac:dyDescent="0.2">
      <c r="A300" s="6" t="s">
        <v>2319</v>
      </c>
    </row>
    <row r="301" spans="1:5" x14ac:dyDescent="0.2">
      <c r="A301" s="21" t="s">
        <v>2320</v>
      </c>
      <c r="B301" s="21" t="s">
        <v>2321</v>
      </c>
      <c r="C301" s="21" t="s">
        <v>111</v>
      </c>
      <c r="D301" s="104" t="str">
        <f>Summary!$D$111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IF(F_dil+F_hs_net_g&gt;0,S_O2_g/(F_dil+F_hs_net_g),NA())</f>
        <v>0.027569266375</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IF(F_dil+F_hs_net_l&gt;0,S_O2_l/(F_dil+F_hs_net_l),NA())</f>
        <v>0.053815126441</v>
      </c>
      <c r="E351" s="51" t="s">
        <v>2406</v>
      </c>
    </row>
    <row r="352" spans="1:5" x14ac:dyDescent="0.2">
      <c r="A352" s="18" t="s">
        <v>2468</v>
      </c>
      <c r="B352" s="19" t="s">
        <v>2469</v>
      </c>
      <c r="C352" s="20" t="s">
        <v>111</v>
      </c>
      <c r="D352" s="41">
        <f>IF(F_dil+F_hs_net_l&gt;0,H2_src_l/(F_dil+F_hs_net_l),NA())</f>
        <v>0.093689942909</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s">
        <v>2511</v>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s">
        <v>2548</v>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Summary!$G$13</f>
        <v>0.0</v>
      </c>
      <c r="E392" s="140" t="s">
        <v>2564</v>
      </c>
    </row>
    <row r="393" spans="1:5" x14ac:dyDescent="0.2">
      <c r="A393" s="21" t="s">
        <v>2565</v>
      </c>
      <c r="B393" s="21" t="s">
        <v>2566</v>
      </c>
      <c r="C393" s="21" t="s">
        <v>61</v>
      </c>
      <c r="D393" s="112">
        <f>Summary!$G$15</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row r="422">
      <c r="A422" s="6" t="inlineStr">
        <is>
          <t xml:space="preserve">N₂ HEADSPACE SWEEP (Summary D98) — an inert inflow in the shared balance (§300)</t>
        </is>
      </c>
    </row>
    <row r="423">
      <c r="A423" s="18" t="inlineStr">
        <is>
          <t xml:space="preserve">(import) N₂ sweep flow</t>
        </is>
      </c>
      <c r="B423" s="19" t="inlineStr">
        <is>
          <t xml:space="preserve">N2_sweep_set</t>
        </is>
      </c>
      <c r="C423" s="20" t="inlineStr">
        <is>
          <t xml:space="preserve">mL/min</t>
        </is>
      </c>
      <c r="D423" s="41">
        <f>Summary!$D$98</f>
        <v>0.0</v>
      </c>
      <c r="E423" s="140" t="inlineStr">
        <is>
          <t xml:space="preserve">Import from Summary!D98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0.3389425610299732</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Chemistry!$D$324*1000</f>
        <v>0.9665547632061539</v>
      </c>
      <c r="E429" s="140" t="inlineStr">
        <is>
          <t xml:space="preserve">Import from Chemistry!D324 (CO2_pH_hi, mol/L → mol/m³).</t>
        </is>
      </c>
    </row>
    <row r="430">
      <c r="A430" s="18" t="inlineStr">
        <is>
          <t xml:space="preserve">Shortest trial interval in the grid</t>
        </is>
      </c>
      <c r="B430" s="19" t="inlineStr">
        <is>
          <t xml:space="preserve">grid_t_min</t>
        </is>
      </c>
      <c r="C430" s="20" t="inlineStr">
        <is>
          <t xml:space="preserve">min</t>
        </is>
      </c>
      <c r="D430" s="106">
        <v>0.25</v>
      </c>
      <c r="E430" s="102" t="inlineStr">
        <is>
          <t xml:space="preserve">Defined: first row of the interval grid (rows 440–539).</t>
        </is>
      </c>
    </row>
    <row r="431">
      <c r="A431" s="18" t="inlineStr">
        <is>
          <t xml:space="preserve">Grid step ratio</t>
        </is>
      </c>
      <c r="B431" s="19" t="inlineStr">
        <is>
          <t xml:space="preserve">grid_ratio</t>
        </is>
      </c>
      <c r="C431" s="20" t="inlineStr">
        <is>
          <t xml:space="preserve">-</t>
        </is>
      </c>
      <c r="D431" s="106">
        <v>1.09</v>
      </c>
      <c r="E431" s="102" t="inlineStr">
        <is>
          <t xml:space="preserve">Defined: each grid row is 9 % longer than the last, 0.25 to ~1260 min in 100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212.46010616654434</v>
      </c>
      <c r="E432" s="51" t="inlineStr">
        <is>
          <t xml:space="preserve">Longest interval, for the pulse in use, keeping the cycle-mean dissolved CO₂ (the limit cycle of D198–D200 with the bounds of D162) at or above D429, so pH stays at or under the band ceiling. "no pH bound" = the ceiling is not reached on the grid (0.25–1268 min).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219.16336897384215</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row>
    <row r="440">
      <c r="A440" s="41">
        <f>grid_t_min</f>
        <v>0.25</v>
      </c>
      <c r="B440" s="41">
        <f>MAX(0,A440*60-spg_dur)</f>
        <v>14.35</v>
      </c>
      <c r="C440" s="41">
        <f>k_eff_CO2*B440</f>
        <v>0.00020837486306468875</v>
      </c>
      <c r="D440" s="41">
        <f>EXP(-C440)</f>
        <v>0.9997916468454692</v>
      </c>
      <c r="E440" s="41">
        <f>IF(C440&gt;0,(1-D440)/C440,1)</f>
        <v>0.9998958198050262</v>
      </c>
      <c r="F440" s="41">
        <f>IF(C440&gt;0,(C440-1+D440)/C440^2,1/2)</f>
        <v>0.4999652713887201</v>
      </c>
      <c r="G440" s="41">
        <f>(C_air_CO2/C_sat_CO2*F_vent_ex-CO2_fix_sched)*(B440/3600)/(V_L_CO2+Vg_CO2)</f>
        <v>-0.0027535230552878757</v>
      </c>
      <c r="H440" s="41">
        <f>(G440*E440+pool_b*D440)/(1-pool_ret*D440)</f>
        <v>27.9629697112026</v>
      </c>
      <c r="I440" s="41">
        <f>MIN(C_sat_CO2,MAX(C_air_CO2,(pool_ret*H440+pool_b)*E440+G440*F440))</f>
        <v>27.96726016073522</v>
      </c>
      <c r="J440" s="41">
        <f>IF(AND(I440&gt;=CO2_pH_hi_mt,I441&lt;CO2_pH_hi_mt),EXP(LN(A440)+(LN(A441)-LN(A440))*(I440-CO2_pH_hi_mt)/(I440-I441)),0)</f>
        <v>0.0</v>
      </c>
    </row>
    <row r="441">
      <c r="A441" s="41">
        <f>A440*grid_ratio</f>
        <v>0.2725</v>
      </c>
      <c r="B441" s="41">
        <f>MAX(0,A441*60-spg_dur)</f>
        <v>15.700000000000001</v>
      </c>
      <c r="C441" s="41">
        <f>k_eff_CO2*B441</f>
        <v>0.0002279780731787884</v>
      </c>
      <c r="D441" s="41">
        <f>EXP(-C441)</f>
        <v>0.9997720479118474</v>
      </c>
      <c r="E441" s="41">
        <f>IF(C441&gt;0,(1-D441)/C441,1)</f>
        <v>0.9998860196254907</v>
      </c>
      <c r="F441" s="41">
        <f>IF(C441&gt;0,(C441-1+D441)/C441^2,1/2)</f>
        <v>0.4999620041893962</v>
      </c>
      <c r="G441" s="41">
        <f>(C_air_CO2/C_sat_CO2*F_vent_ex-CO2_fix_sched)*(B441/3600)/(V_L_CO2+Vg_CO2)</f>
        <v>-0.0030125652939386517</v>
      </c>
      <c r="H441" s="41">
        <f>(G441*E441+pool_b*D441)/(1-pool_ret*D441)</f>
        <v>27.954265528553602</v>
      </c>
      <c r="I441" s="41">
        <f>MIN(C_sat_CO2,MAX(C_air_CO2,(pool_ret*H441+pool_b)*E441+G441*F441))</f>
        <v>27.958958647644337</v>
      </c>
      <c r="J441" s="41">
        <f>IF(AND(I441&gt;=CO2_pH_hi_mt,I442&lt;CO2_pH_hi_mt),EXP(LN(A441)+(LN(A442)-LN(A441))*(I441-CO2_pH_hi_mt)/(I441-I442)),0)</f>
        <v>0.0</v>
      </c>
    </row>
    <row r="442">
      <c r="A442" s="41">
        <f>A441*grid_ratio</f>
        <v>0.29702500000000004</v>
      </c>
      <c r="B442" s="41">
        <f>MAX(0,A442*60-spg_dur)</f>
        <v>17.171500000000005</v>
      </c>
      <c r="C442" s="41">
        <f>k_eff_CO2*B442</f>
        <v>0.0002493455722031571</v>
      </c>
      <c r="D442" s="41">
        <f>EXP(-C442)</f>
        <v>0.9997506855118204</v>
      </c>
      <c r="E442" s="41">
        <f>IF(C442&gt;0,(1-D442)/C442,1)</f>
        <v>0.9998753375753593</v>
      </c>
      <c r="F442" s="41">
        <f>IF(C442&gt;0,(C442-1+D442)/C442^2,1/2)</f>
        <v>0.4999584449450705</v>
      </c>
      <c r="G442" s="41">
        <f>(C_air_CO2/C_sat_CO2*F_vent_ex-CO2_fix_sched)*(B442/3600)/(V_L_CO2+Vg_CO2)</f>
        <v>-0.0032949213340679982</v>
      </c>
      <c r="H442" s="41">
        <f>(G442*E442+pool_b*D442)/(1-pool_ret*D442)</f>
        <v>27.94478196579263</v>
      </c>
      <c r="I442" s="41">
        <f>MIN(C_sat_CO2,MAX(C_air_CO2,(pool_ret*H442+pool_b)*E442+G442*F442))</f>
        <v>27.94991380680691</v>
      </c>
      <c r="J442" s="41">
        <f>IF(AND(I442&gt;=CO2_pH_hi_mt,I443&lt;CO2_pH_hi_mt),EXP(LN(A442)+(LN(A443)-LN(A442))*(I442-CO2_pH_hi_mt)/(I442-I443)),0)</f>
        <v>0.0</v>
      </c>
    </row>
    <row r="443">
      <c r="A443" s="41">
        <f>A442*grid_ratio</f>
        <v>0.32375725000000005</v>
      </c>
      <c r="B443" s="41">
        <f>MAX(0,A443*60-spg_dur)</f>
        <v>18.775435000000005</v>
      </c>
      <c r="C443" s="41">
        <f>k_eff_CO2*B443</f>
        <v>0.00027263614613971885</v>
      </c>
      <c r="D443" s="41">
        <f>EXP(-C443)</f>
        <v>0.9997274010157171</v>
      </c>
      <c r="E443" s="41">
        <f>IF(C443&gt;0,(1-D443)/C443,1)</f>
        <v>0.9998636943143643</v>
      </c>
      <c r="F443" s="41">
        <f>IF(C443&gt;0,(C443-1+D443)/C443^2,1/2)</f>
        <v>0.4999545640297274</v>
      </c>
      <c r="G443" s="41">
        <f>(C_air_CO2/C_sat_CO2*F_vent_ex-CO2_fix_sched)*(B443/3600)/(V_L_CO2+Vg_CO2)</f>
        <v>-0.0036026894178089845</v>
      </c>
      <c r="H443" s="41">
        <f>(G443*E443+pool_b*D443)/(1-pool_ret*D443)</f>
        <v>27.934449627284874</v>
      </c>
      <c r="I443" s="41">
        <f>MIN(C_sat_CO2,MAX(C_air_CO2,(pool_ret*H443+pool_b)*E443+G443*F443))</f>
        <v>27.940059452136566</v>
      </c>
      <c r="J443" s="41">
        <f>IF(AND(I443&gt;=CO2_pH_hi_mt,I444&lt;CO2_pH_hi_mt),EXP(LN(A443)+(LN(A444)-LN(A443))*(I443-CO2_pH_hi_mt)/(I443-I444)),0)</f>
        <v>0.0</v>
      </c>
    </row>
    <row r="444">
      <c r="A444" s="41">
        <f>A443*grid_ratio</f>
        <v>0.3528954025000001</v>
      </c>
      <c r="B444" s="41">
        <f>MAX(0,A444*60-spg_dur)</f>
        <v>20.52372415000001</v>
      </c>
      <c r="C444" s="41">
        <f>k_eff_CO2*B444</f>
        <v>0.00029802287173057125</v>
      </c>
      <c r="D444" s="41">
        <f>EXP(-C444)</f>
        <v>0.9997020215326742</v>
      </c>
      <c r="E444" s="41">
        <f>IF(C444&gt;0,(1-D444)/C444,1)</f>
        <v>0.999851003365976</v>
      </c>
      <c r="F444" s="41">
        <f>IF(C444&gt;0,(C444-1+D444)/C444^2,1/2)</f>
        <v>0.49995033273911005</v>
      </c>
      <c r="G444" s="41">
        <f>(C_air_CO2/C_sat_CO2*F_vent_ex-CO2_fix_sched)*(B444/3600)/(V_L_CO2+Vg_CO2)</f>
        <v>-0.003938156629086661</v>
      </c>
      <c r="H444" s="41">
        <f>(G444*E444+pool_b*D444)/(1-pool_ret*D444)</f>
        <v>27.923193011674726</v>
      </c>
      <c r="I444" s="41">
        <f>MIN(C_sat_CO2,MAX(C_air_CO2,(pool_ret*H444+pool_b)*E444+G444*F444))</f>
        <v>27.929323574076747</v>
      </c>
      <c r="J444" s="41">
        <f>IF(AND(I444&gt;=CO2_pH_hi_mt,I445&lt;CO2_pH_hi_mt),EXP(LN(A444)+(LN(A445)-LN(A444))*(I444-CO2_pH_hi_mt)/(I444-I445)),0)</f>
        <v>0.0</v>
      </c>
    </row>
    <row r="445">
      <c r="A445" s="41">
        <f>A444*grid_ratio</f>
        <v>0.3846559887250001</v>
      </c>
      <c r="B445" s="41">
        <f>MAX(0,A445*60-spg_dur)</f>
        <v>22.42935932350001</v>
      </c>
      <c r="C445" s="41">
        <f>k_eff_CO2*B445</f>
        <v>0.0003256944026246003</v>
      </c>
      <c r="D445" s="41">
        <f>EXP(-C445)</f>
        <v>0.9996743586300397</v>
      </c>
      <c r="E445" s="41">
        <f>IF(C445&gt;0,(1-D445)/C445,1)</f>
        <v>0.999837170476678</v>
      </c>
      <c r="F445" s="41">
        <f>IF(C445&gt;0,(C445-1+D445)/C445^2,1/2)</f>
        <v>0.499945722560935</v>
      </c>
      <c r="G445" s="41">
        <f>(C_air_CO2/C_sat_CO2*F_vent_ex-CO2_fix_sched)*(B445/3600)/(V_L_CO2+Vg_CO2)</f>
        <v>-0.004303815889379327</v>
      </c>
      <c r="H445" s="41">
        <f>(G445*E445+pool_b*D445)/(1-pool_ret*D445)</f>
        <v>27.910929988413315</v>
      </c>
      <c r="I445" s="41">
        <f>MIN(C_sat_CO2,MAX(C_air_CO2,(pool_ret*H445+pool_b)*E445+G445*F445))</f>
        <v>27.917627840320293</v>
      </c>
      <c r="J445" s="41">
        <f>IF(AND(I445&gt;=CO2_pH_hi_mt,I446&lt;CO2_pH_hi_mt),EXP(LN(A445)+(LN(A446)-LN(A445))*(I445-CO2_pH_hi_mt)/(I445-I446)),0)</f>
        <v>0.0</v>
      </c>
    </row>
    <row r="446">
      <c r="A446" s="41">
        <f>A445*grid_ratio</f>
        <v>0.41927502771025016</v>
      </c>
      <c r="B446" s="41">
        <f>MAX(0,A446*60-spg_dur)</f>
        <v>24.506501662615012</v>
      </c>
      <c r="C446" s="41">
        <f>k_eff_CO2*B446</f>
        <v>0.000355856371299092</v>
      </c>
      <c r="D446" s="41">
        <f>EXP(-C446)</f>
        <v>0.9996442069380695</v>
      </c>
      <c r="E446" s="41">
        <f>IF(C446&gt;0,(1-D446)/C446,1)</f>
        <v>0.9998220929179743</v>
      </c>
      <c r="F446" s="41">
        <f>IF(C446&gt;0,(C446-1+D446)/C446^2,1/2)</f>
        <v>0.49994069621839937</v>
      </c>
      <c r="G446" s="41">
        <f>(C_air_CO2/C_sat_CO2*F_vent_ex-CO2_fix_sched)*(B446/3600)/(V_L_CO2+Vg_CO2)</f>
        <v>-0.004702384483098334</v>
      </c>
      <c r="H446" s="41">
        <f>(G446*E446+pool_b*D446)/(1-pool_ret*D446)</f>
        <v>27.89757123199304</v>
      </c>
      <c r="I446" s="41">
        <f>MIN(C_sat_CO2,MAX(C_air_CO2,(pool_ret*H446+pool_b)*E446+G446*F446))</f>
        <v>27.90488705623134</v>
      </c>
      <c r="J446" s="41">
        <f>IF(AND(I446&gt;=CO2_pH_hi_mt,I447&lt;CO2_pH_hi_mt),EXP(LN(A446)+(LN(A447)-LN(A446))*(I446-CO2_pH_hi_mt)/(I446-I447)),0)</f>
        <v>0.0</v>
      </c>
    </row>
    <row r="447">
      <c r="A447" s="41">
        <f>A446*grid_ratio</f>
        <v>0.4570097802041727</v>
      </c>
      <c r="B447" s="41">
        <f>MAX(0,A447*60-spg_dur)</f>
        <v>26.770586812250365</v>
      </c>
      <c r="C447" s="41">
        <f>k_eff_CO2*B447</f>
        <v>0.00038873291715428793</v>
      </c>
      <c r="D447" s="41">
        <f>EXP(-C447)</f>
        <v>0.9996113426296966</v>
      </c>
      <c r="E447" s="41">
        <f>IF(C447&gt;0,(1-D447)/C447,1)</f>
        <v>0.9998056587245481</v>
      </c>
      <c r="F447" s="41">
        <f>IF(C447&gt;0,(C447-1+D447)/C447^2,1/2)</f>
        <v>0.4999352171205103</v>
      </c>
      <c r="G447" s="41">
        <f>(C_air_CO2/C_sat_CO2*F_vent_ex-CO2_fix_sched)*(B447/3600)/(V_L_CO2+Vg_CO2)</f>
        <v>-0.005136824250252052</v>
      </c>
      <c r="H447" s="41">
        <f>(G447*E447+pool_b*D447)/(1-pool_ret*D447)</f>
        <v>27.883019610966254</v>
      </c>
      <c r="I447" s="41">
        <f>MIN(C_sat_CO2,MAX(C_air_CO2,(pool_ret*H447+pool_b)*E447+G447*F447))</f>
        <v>27.891008582028626</v>
      </c>
      <c r="J447" s="41">
        <f>IF(AND(I447&gt;=CO2_pH_hi_mt,I448&lt;CO2_pH_hi_mt),EXP(LN(A447)+(LN(A448)-LN(A447))*(I447-CO2_pH_hi_mt)/(I447-I448)),0)</f>
        <v>0.0</v>
      </c>
    </row>
    <row r="448">
      <c r="A448" s="41">
        <f>A447*grid_ratio</f>
        <v>0.49814066042254834</v>
      </c>
      <c r="B448" s="41">
        <f>MAX(0,A448*60-spg_dur)</f>
        <v>29.238439625352903</v>
      </c>
      <c r="C448" s="41">
        <f>k_eff_CO2*B448</f>
        <v>0.0004245683521364516</v>
      </c>
      <c r="D448" s="41">
        <f>EXP(-C448)</f>
        <v>0.9995755217642524</v>
      </c>
      <c r="E448" s="41">
        <f>IF(C448&gt;0,(1-D448)/C448,1)</f>
        <v>0.9997877458638906</v>
      </c>
      <c r="F448" s="41">
        <f>IF(C448&gt;0,(C448-1+D448)/C448^2,1/2)</f>
        <v>0.4999292458471452</v>
      </c>
      <c r="G448" s="41">
        <f>(C_air_CO2/C_sat_CO2*F_vent_ex-CO2_fix_sched)*(B448/3600)/(V_L_CO2+Vg_CO2)</f>
        <v>-0.005610363596449605</v>
      </c>
      <c r="H448" s="41">
        <f>(G448*E448+pool_b*D448)/(1-pool_ret*D448)</f>
        <v>27.867169528721917</v>
      </c>
      <c r="I448" s="41">
        <f>MIN(C_sat_CO2,MAX(C_air_CO2,(pool_ret*H448+pool_b)*E448+G448*F448))</f>
        <v>27.875891703990053</v>
      </c>
      <c r="J448" s="41">
        <f>IF(AND(I448&gt;=CO2_pH_hi_mt,I449&lt;CO2_pH_hi_mt),EXP(LN(A448)+(LN(A449)-LN(A448))*(I448-CO2_pH_hi_mt)/(I448-I449)),0)</f>
        <v>0.0</v>
      </c>
    </row>
    <row r="449">
      <c r="A449" s="41">
        <f>A448*grid_ratio</f>
        <v>0.5429733198605777</v>
      </c>
      <c r="B449" s="41">
        <f>MAX(0,A449*60-spg_dur)</f>
        <v>31.928399191634668</v>
      </c>
      <c r="C449" s="41">
        <f>k_eff_CO2*B449</f>
        <v>0.00046362897626700994</v>
      </c>
      <c r="D449" s="41">
        <f>EXP(-C449)</f>
        <v>0.9995364784830391</v>
      </c>
      <c r="E449" s="41">
        <f>IF(C449&gt;0,(1-D449)/C449,1)</f>
        <v>0.9997682213330703</v>
      </c>
      <c r="F449" s="41">
        <f>IF(C449&gt;0,(C449-1+D449)/C449^2,1/2)</f>
        <v>0.49992273758602135</v>
      </c>
      <c r="G449" s="41">
        <f>(C_air_CO2/C_sat_CO2*F_vent_ex-CO2_fix_sched)*(B449/3600)/(V_L_CO2+Vg_CO2)</f>
        <v>-0.0061265214838049364</v>
      </c>
      <c r="H449" s="41">
        <f>(G449*E449+pool_b*D449)/(1-pool_ret*D449)</f>
        <v>27.849906212907875</v>
      </c>
      <c r="I449" s="41">
        <f>MIN(C_sat_CO2,MAX(C_air_CO2,(pool_ret*H449+pool_b)*E449+G449*F449))</f>
        <v>27.859426956711125</v>
      </c>
      <c r="J449" s="41">
        <f>IF(AND(I449&gt;=CO2_pH_hi_mt,I450&lt;CO2_pH_hi_mt),EXP(LN(A449)+(LN(A450)-LN(A449))*(I449-CO2_pH_hi_mt)/(I449-I450)),0)</f>
        <v>0.0</v>
      </c>
    </row>
    <row r="450">
      <c r="A450" s="41">
        <f>A449*grid_ratio</f>
        <v>0.5918409186480298</v>
      </c>
      <c r="B450" s="41">
        <f>MAX(0,A450*60-spg_dur)</f>
        <v>34.86045511888179</v>
      </c>
      <c r="C450" s="41">
        <f>k_eff_CO2*B450</f>
        <v>0.0005062050565693185</v>
      </c>
      <c r="D450" s="41">
        <f>EXP(-C450)</f>
        <v>0.9994939230435944</v>
      </c>
      <c r="E450" s="41">
        <f>IF(C450&gt;0,(1-D450)/C450,1)</f>
        <v>0.999746940173615</v>
      </c>
      <c r="F450" s="41">
        <f>IF(C450&gt;0,(C450-1+D450)/C450^2,1/2)</f>
        <v>0.49991564295533436</v>
      </c>
      <c r="G450" s="41">
        <f>(C_air_CO2/C_sat_CO2*F_vent_ex-CO2_fix_sched)*(B450/3600)/(V_L_CO2+Vg_CO2)</f>
        <v>-0.0066891335810222476</v>
      </c>
      <c r="H450" s="41">
        <f>(G450*E450+pool_b*D450)/(1-pool_ret*D450)</f>
        <v>27.831104950329255</v>
      </c>
      <c r="I450" s="41">
        <f>MIN(C_sat_CO2,MAX(C_air_CO2,(pool_ret*H450+pool_b)*E450+G450*F450))</f>
        <v>27.841495393307913</v>
      </c>
      <c r="J450" s="41">
        <f>IF(AND(I450&gt;=CO2_pH_hi_mt,I451&lt;CO2_pH_hi_mt),EXP(LN(A450)+(LN(A451)-LN(A450))*(I450-CO2_pH_hi_mt)/(I450-I451)),0)</f>
        <v>0.0</v>
      </c>
    </row>
    <row r="451">
      <c r="A451" s="41">
        <f>A450*grid_ratio</f>
        <v>0.6451066013263524</v>
      </c>
      <c r="B451" s="41">
        <f>MAX(0,A451*60-spg_dur)</f>
        <v>38.05639607958115</v>
      </c>
      <c r="C451" s="41">
        <f>k_eff_CO2*B451</f>
        <v>0.0005526129840988348</v>
      </c>
      <c r="D451" s="41">
        <f>EXP(-C451)</f>
        <v>0.9994475396783339</v>
      </c>
      <c r="E451" s="41">
        <f>IF(C451&gt;0,(1-D451)/C451,1)</f>
        <v>0.9997237443977746</v>
      </c>
      <c r="F451" s="41">
        <f>IF(C451&gt;0,(C451-1+D451)/C451^2,1/2)</f>
        <v>0.49990791047292515</v>
      </c>
      <c r="G451" s="41">
        <f>(C_air_CO2/C_sat_CO2*F_vent_ex-CO2_fix_sched)*(B451/3600)/(V_L_CO2+Vg_CO2)</f>
        <v>-0.007302380766989116</v>
      </c>
      <c r="H451" s="41">
        <f>(G451*E451+pool_b*D451)/(1-pool_ret*D451)</f>
        <v>27.810630264123937</v>
      </c>
      <c r="I451" s="41">
        <f>MIN(C_sat_CO2,MAX(C_air_CO2,(pool_ret*H451+pool_b)*E451+G451*F451))</f>
        <v>27.821967800525204</v>
      </c>
      <c r="J451" s="41">
        <f>IF(AND(I451&gt;=CO2_pH_hi_mt,I452&lt;CO2_pH_hi_mt),EXP(LN(A451)+(LN(A452)-LN(A451))*(I451-CO2_pH_hi_mt)/(I451-I452)),0)</f>
        <v>0.0</v>
      </c>
    </row>
    <row r="452">
      <c r="A452" s="41">
        <f>A451*grid_ratio</f>
        <v>0.7031661954457242</v>
      </c>
      <c r="B452" s="41">
        <f>MAX(0,A452*60-spg_dur)</f>
        <v>41.53997172674345</v>
      </c>
      <c r="C452" s="41">
        <f>k_eff_CO2*B452</f>
        <v>0.0006031976251060076</v>
      </c>
      <c r="D452" s="41">
        <f>EXP(-C452)</f>
        <v>0.9993969842620083</v>
      </c>
      <c r="E452" s="41">
        <f>IF(C452&gt;0,(1-D452)/C452,1)</f>
        <v>0.9996984618195938</v>
      </c>
      <c r="F452" s="41">
        <f>IF(C452&gt;0,(C452-1+D452)/C452^2,1/2)</f>
        <v>0.49989948200713774</v>
      </c>
      <c r="G452" s="41">
        <f>(C_air_CO2/C_sat_CO2*F_vent_ex-CO2_fix_sched)*(B452/3600)/(V_L_CO2+Vg_CO2)</f>
        <v>-0.007970820199693003</v>
      </c>
      <c r="H452" s="41">
        <f>(G452*E452+pool_b*D452)/(1-pool_ret*D452)</f>
        <v>27.7883350300331</v>
      </c>
      <c r="I452" s="41">
        <f>MIN(C_sat_CO2,MAX(C_air_CO2,(pool_ret*H452+pool_b)*E452+G452*F452))</f>
        <v>27.800703855808</v>
      </c>
      <c r="J452" s="41">
        <f>IF(AND(I452&gt;=CO2_pH_hi_mt,I453&lt;CO2_pH_hi_mt),EXP(LN(A452)+(LN(A453)-LN(A452))*(I452-CO2_pH_hi_mt)/(I452-I453)),0)</f>
        <v>0.0</v>
      </c>
    </row>
    <row r="453">
      <c r="A453" s="41">
        <f>A452*grid_ratio</f>
        <v>0.7664511530358394</v>
      </c>
      <c r="B453" s="41">
        <f>MAX(0,A453*60-spg_dur)</f>
        <v>45.337069182150366</v>
      </c>
      <c r="C453" s="41">
        <f>k_eff_CO2*B453</f>
        <v>0.000658334883803826</v>
      </c>
      <c r="D453" s="41">
        <f>EXP(-C453)</f>
        <v>0.9993418817710593</v>
      </c>
      <c r="E453" s="41">
        <f>IF(C453&gt;0,(1-D453)/C453,1)</f>
        <v>0.9996709047804224</v>
      </c>
      <c r="F453" s="41">
        <f>IF(C453&gt;0,(C453-1+D453)/C453^2,1/2)</f>
        <v>0.4998902955081181</v>
      </c>
      <c r="G453" s="41">
        <f>(C_air_CO2/C_sat_CO2*F_vent_ex-CO2_fix_sched)*(B453/3600)/(V_L_CO2+Vg_CO2)</f>
        <v>-0.008699419181340241</v>
      </c>
      <c r="H453" s="41">
        <f>(G453*E453+pool_b*D453)/(1-pool_ret*D453)</f>
        <v>27.76405952865314</v>
      </c>
      <c r="I453" s="41">
        <f>MIN(C_sat_CO2,MAX(C_air_CO2,(pool_ret*H453+pool_b)*E453+G453*F453))</f>
        <v>27.777551223220293</v>
      </c>
      <c r="J453" s="41">
        <f>IF(AND(I453&gt;=CO2_pH_hi_mt,I454&lt;CO2_pH_hi_mt),EXP(LN(A453)+(LN(A454)-LN(A453))*(I453-CO2_pH_hi_mt)/(I453-I454)),0)</f>
        <v>0.0</v>
      </c>
    </row>
    <row r="454">
      <c r="A454" s="41">
        <f>A453*grid_ratio</f>
        <v>0.8354317568090651</v>
      </c>
      <c r="B454" s="41">
        <f>MAX(0,A454*60-spg_dur)</f>
        <v>49.47590540854391</v>
      </c>
      <c r="C454" s="41">
        <f>k_eff_CO2*B454</f>
        <v>0.0007184344957844481</v>
      </c>
      <c r="D454" s="41">
        <f>EXP(-C454)</f>
        <v>0.9992818235164859</v>
      </c>
      <c r="E454" s="41">
        <f>IF(C454&gt;0,(1-D454)/C454,1)</f>
        <v>0.9996408687614117</v>
      </c>
      <c r="F454" s="41">
        <f>IF(C454&gt;0,(C454-1+D454)/C454^2,1/2)</f>
        <v>0.49988028235124377</v>
      </c>
      <c r="G454" s="41">
        <f>(C_air_CO2/C_sat_CO2*F_vent_ex-CO2_fix_sched)*(B454/3600)/(V_L_CO2+Vg_CO2)</f>
        <v>-0.009493592071335733</v>
      </c>
      <c r="H454" s="41">
        <f>(G454*E454+pool_b*D454)/(1-pool_ret*D454)</f>
        <v>27.737630430688444</v>
      </c>
      <c r="I454" s="41">
        <f>MIN(C_sat_CO2,MAX(C_air_CO2,(pool_ret*H454+pool_b)*E454+G454*F454))</f>
        <v>27.75234458550076</v>
      </c>
      <c r="J454" s="41">
        <f>IF(AND(I454&gt;=CO2_pH_hi_mt,I455&lt;CO2_pH_hi_mt),EXP(LN(A454)+(LN(A455)-LN(A454))*(I454-CO2_pH_hi_mt)/(I454-I455)),0)</f>
        <v>0.0</v>
      </c>
    </row>
    <row r="455">
      <c r="A455" s="41">
        <f>A454*grid_ratio</f>
        <v>0.9106206149218811</v>
      </c>
      <c r="B455" s="41">
        <f>MAX(0,A455*60-spg_dur)</f>
        <v>53.98723689531287</v>
      </c>
      <c r="C455" s="41">
        <f>k_eff_CO2*B455</f>
        <v>0.0007839430728433263</v>
      </c>
      <c r="D455" s="41">
        <f>EXP(-C455)</f>
        <v>0.9992163641302456</v>
      </c>
      <c r="E455" s="41">
        <f>IF(C455&gt;0,(1-D455)/C455,1)</f>
        <v>0.9996081308712536</v>
      </c>
      <c r="F455" s="41">
        <f>IF(C455&gt;0,(C455-1+D455)/C455^2,1/2)</f>
        <v>0.49986936852119324</v>
      </c>
      <c r="G455" s="41">
        <f>(C_air_CO2/C_sat_CO2*F_vent_ex-CO2_fix_sched)*(B455/3600)/(V_L_CO2+Vg_CO2)</f>
        <v>-0.010359240521430816</v>
      </c>
      <c r="H455" s="41">
        <f>(G455*E455+pool_b*D455)/(1-pool_ret*D455)</f>
        <v>27.708859712442802</v>
      </c>
      <c r="I455" s="41">
        <f>MIN(C_sat_CO2,MAX(C_air_CO2,(pool_ret*H455+pool_b)*E455+G455*F455))</f>
        <v>27.72490460950332</v>
      </c>
      <c r="J455" s="41">
        <f>IF(AND(I455&gt;=CO2_pH_hi_mt,I456&lt;CO2_pH_hi_mt),EXP(LN(A455)+(LN(A456)-LN(A455))*(I455-CO2_pH_hi_mt)/(I455-I456)),0)</f>
        <v>0.0</v>
      </c>
    </row>
    <row r="456">
      <c r="A456" s="41">
        <f>A455*grid_ratio</f>
        <v>0.9925764702648504</v>
      </c>
      <c r="B456" s="41">
        <f>MAX(0,A456*60-spg_dur)</f>
        <v>58.904588215891025</v>
      </c>
      <c r="C456" s="41">
        <f>k_eff_CO2*B456</f>
        <v>0.0008553474218375032</v>
      </c>
      <c r="D456" s="41">
        <f>EXP(-C456)</f>
        <v>0.9991450182834927</v>
      </c>
      <c r="E456" s="41">
        <f>IF(C456&gt;0,(1-D456)/C456,1)</f>
        <v>0.9995724481996014</v>
      </c>
      <c r="F456" s="41">
        <f>IF(C456&gt;0,(C456-1+D456)/C456^2,1/2)</f>
        <v>0.49985747245218703</v>
      </c>
      <c r="G456" s="41">
        <f>(C_air_CO2/C_sat_CO2*F_vent_ex-CO2_fix_sched)*(B456/3600)/(V_L_CO2+Vg_CO2)</f>
        <v>-0.011302797332034455</v>
      </c>
      <c r="H456" s="41">
        <f>(G456*E456+pool_b*D456)/(1-pool_ret*D456)</f>
        <v>27.677543499100235</v>
      </c>
      <c r="I456" s="41">
        <f>MIN(C_sat_CO2,MAX(C_air_CO2,(pool_ret*H456+pool_b)*E456+G456*F456))</f>
        <v>27.695036842779814</v>
      </c>
      <c r="J456" s="41">
        <f>IF(AND(I456&gt;=CO2_pH_hi_mt,I457&lt;CO2_pH_hi_mt),EXP(LN(A456)+(LN(A457)-LN(A456))*(I456-CO2_pH_hi_mt)/(I456-I457)),0)</f>
        <v>0.0</v>
      </c>
    </row>
    <row r="457">
      <c r="A457" s="41">
        <f>A456*grid_ratio</f>
        <v>1.081908352588687</v>
      </c>
      <c r="B457" s="41">
        <f>MAX(0,A457*60-spg_dur)</f>
        <v>64.26450115532121</v>
      </c>
      <c r="C457" s="41">
        <f>k_eff_CO2*B457</f>
        <v>0.0009331781622411561</v>
      </c>
      <c r="D457" s="41">
        <f>EXP(-C457)</f>
        <v>0.9990672571130931</v>
      </c>
      <c r="E457" s="41">
        <f>IF(C457&gt;0,(1-D457)/C457,1)</f>
        <v>0.9995335560219417</v>
      </c>
      <c r="F457" s="41">
        <f>IF(C457&gt;0,(C457-1+D457)/C457^2,1/2)</f>
        <v>0.4998445065677697</v>
      </c>
      <c r="G457" s="41">
        <f>(C_air_CO2/C_sat_CO2*F_vent_ex-CO2_fix_sched)*(B457/3600)/(V_L_CO2+Vg_CO2)</f>
        <v>-0.012331274255592424</v>
      </c>
      <c r="H457" s="41">
        <f>(G457*E457+pool_b*D457)/(1-pool_ret*D457)</f>
        <v>27.643460833784374</v>
      </c>
      <c r="I457" s="41">
        <f>MIN(C_sat_CO2,MAX(C_air_CO2,(pool_ret*H457+pool_b)*E457+G457*F457))</f>
        <v>27.66253053925143</v>
      </c>
      <c r="J457" s="41">
        <f>IF(AND(I457&gt;=CO2_pH_hi_mt,I458&lt;CO2_pH_hi_mt),EXP(LN(A457)+(LN(A458)-LN(A457))*(I457-CO2_pH_hi_mt)/(I457-I458)),0)</f>
        <v>0.0</v>
      </c>
    </row>
    <row r="458">
      <c r="A458" s="41">
        <f>A457*grid_ratio</f>
        <v>1.179280104321669</v>
      </c>
      <c r="B458" s="41">
        <f>MAX(0,A458*60-spg_dur)</f>
        <v>70.10680625930013</v>
      </c>
      <c r="C458" s="41">
        <f>k_eff_CO2*B458</f>
        <v>0.0010180136692811378</v>
      </c>
      <c r="D458" s="41">
        <f>EXP(-C458)</f>
        <v>0.9989825043308423</v>
      </c>
      <c r="E458" s="41">
        <f>IF(C458&gt;0,(1-D458)/C458,1)</f>
        <v>0.9994911658466723</v>
      </c>
      <c r="F458" s="41">
        <f>IF(C458&gt;0,(C458-1+D458)/C458^2,1/2)</f>
        <v>0.499830374246769</v>
      </c>
      <c r="G458" s="41">
        <f>(C_air_CO2/C_sat_CO2*F_vent_ex-CO2_fix_sched)*(B458/3600)/(V_L_CO2+Vg_CO2)</f>
        <v>-0.013452314102270612</v>
      </c>
      <c r="H458" s="41">
        <f>(G458*E458+pool_b*D458)/(1-pool_ret*D458)</f>
        <v>27.606372370963225</v>
      </c>
      <c r="I458" s="41">
        <f>MIN(C_sat_CO2,MAX(C_air_CO2,(pool_ret*H458+pool_b)*E458+G458*F458))</f>
        <v>27.62715741278323</v>
      </c>
      <c r="J458" s="41">
        <f>IF(AND(I458&gt;=CO2_pH_hi_mt,I459&lt;CO2_pH_hi_mt),EXP(LN(A458)+(LN(A459)-LN(A458))*(I458-CO2_pH_hi_mt)/(I458-I459)),0)</f>
        <v>0.0</v>
      </c>
    </row>
    <row r="459">
      <c r="A459" s="41">
        <f>A458*grid_ratio</f>
        <v>1.2854153137106192</v>
      </c>
      <c r="B459" s="41">
        <f>MAX(0,A459*60-spg_dur)</f>
        <v>76.47491882263715</v>
      </c>
      <c r="C459" s="41">
        <f>k_eff_CO2*B459</f>
        <v>0.001110484371954718</v>
      </c>
      <c r="D459" s="41">
        <f>EXP(-C459)</f>
        <v>0.9988901319876418</v>
      </c>
      <c r="E459" s="41">
        <f>IF(C459&gt;0,(1-D459)/C459,1)</f>
        <v>0.9994449632862517</v>
      </c>
      <c r="F459" s="41">
        <f>IF(C459&gt;0,(C459-1+D459)/C459^2,1/2)</f>
        <v>0.4998149706203079</v>
      </c>
      <c r="G459" s="41">
        <f>(C_air_CO2/C_sat_CO2*F_vent_ex-CO2_fix_sched)*(B459/3600)/(V_L_CO2+Vg_CO2)</f>
        <v>-0.014674247535149832</v>
      </c>
      <c r="H459" s="41">
        <f>(G459*E459+pool_b*D459)/(1-pool_ret*D459)</f>
        <v>27.56601899352119</v>
      </c>
      <c r="I459" s="41">
        <f>MIN(C_sat_CO2,MAX(C_air_CO2,(pool_ret*H459+pool_b)*E459+G459*F459))</f>
        <v>27.588670317805498</v>
      </c>
      <c r="J459" s="41">
        <f>IF(AND(I459&gt;=CO2_pH_hi_mt,I460&lt;CO2_pH_hi_mt),EXP(LN(A459)+(LN(A460)-LN(A459))*(I459-CO2_pH_hi_mt)/(I459-I460)),0)</f>
        <v>0.0</v>
      </c>
    </row>
    <row r="460">
      <c r="A460" s="41">
        <f>A459*grid_ratio</f>
        <v>1.401102691944575</v>
      </c>
      <c r="B460" s="41">
        <f>MAX(0,A460*60-spg_dur)</f>
        <v>83.41616151667449</v>
      </c>
      <c r="C460" s="41">
        <f>k_eff_CO2*B460</f>
        <v>0.0012112774378689203</v>
      </c>
      <c r="D460" s="41">
        <f>EXP(-C460)</f>
        <v>0.9987894558625402</v>
      </c>
      <c r="E460" s="41">
        <f>IF(C460&gt;0,(1-D460)/C460,1)</f>
        <v>0.9993946057392028</v>
      </c>
      <c r="F460" s="41">
        <f>IF(C460&gt;0,(C460-1+D460)/C460^2,1/2)</f>
        <v>0.4997981815846509</v>
      </c>
      <c r="G460" s="41">
        <f>(C_air_CO2/C_sat_CO2*F_vent_ex-CO2_fix_sched)*(B460/3600)/(V_L_CO2+Vg_CO2)</f>
        <v>-0.016006154976988186</v>
      </c>
      <c r="H460" s="41">
        <f>(G460*E460+pool_b*D460)/(1-pool_ret*D460)</f>
        <v>27.522120353775826</v>
      </c>
      <c r="I460" s="41">
        <f>MIN(C_sat_CO2,MAX(C_air_CO2,(pool_ret*H460+pool_b)*E460+G460*F460))</f>
        <v>27.54680185735383</v>
      </c>
      <c r="J460" s="41">
        <f>IF(AND(I460&gt;=CO2_pH_hi_mt,I461&lt;CO2_pH_hi_mt),EXP(LN(A460)+(LN(A461)-LN(A460))*(I460-CO2_pH_hi_mt)/(I460-I461)),0)</f>
        <v>0.0</v>
      </c>
    </row>
    <row r="461">
      <c r="A461" s="41">
        <f>A460*grid_ratio</f>
        <v>1.5272019342195868</v>
      </c>
      <c r="B461" s="41">
        <f>MAX(0,A461*60-spg_dur)</f>
        <v>90.9821160531752</v>
      </c>
      <c r="C461" s="41">
        <f>k_eff_CO2*B461</f>
        <v>0.0013211418797154009</v>
      </c>
      <c r="D461" s="41">
        <f>EXP(-C461)</f>
        <v>0.998679730444021</v>
      </c>
      <c r="E461" s="41">
        <f>IF(C461&gt;0,(1-D461)/C461,1)</f>
        <v>0.9993397198667121</v>
      </c>
      <c r="F461" s="41">
        <f>IF(C461&gt;0,(C461-1+D461)/C461^2,1/2)</f>
        <v>0.4997798824284758</v>
      </c>
      <c r="G461" s="41">
        <f>(C_air_CO2/C_sat_CO2*F_vent_ex-CO2_fix_sched)*(B461/3600)/(V_L_CO2+Vg_CO2)</f>
        <v>-0.01745793408859199</v>
      </c>
      <c r="H461" s="41">
        <f>(G461*E461+pool_b*D461)/(1-pool_ret*D461)</f>
        <v>27.474373339913324</v>
      </c>
      <c r="I461" s="41">
        <f>MIN(C_sat_CO2,MAX(C_air_CO2,(pool_ret*H461+pool_b)*E461+G461*F461))</f>
        <v>27.501262919921896</v>
      </c>
      <c r="J461" s="41">
        <f>IF(AND(I461&gt;=CO2_pH_hi_mt,I462&lt;CO2_pH_hi_mt),EXP(LN(A461)+(LN(A462)-LN(A461))*(I461-CO2_pH_hi_mt)/(I461-I462)),0)</f>
        <v>0.0</v>
      </c>
    </row>
    <row r="462">
      <c r="A462" s="41">
        <f>A461*grid_ratio</f>
        <v>1.66465010829935</v>
      </c>
      <c r="B462" s="41">
        <f>MAX(0,A462*60-spg_dur)</f>
        <v>99.229006497961</v>
      </c>
      <c r="C462" s="41">
        <f>k_eff_CO2*B462</f>
        <v>0.001440894121328065</v>
      </c>
      <c r="D462" s="41">
        <f>EXP(-C462)</f>
        <v>0.9985601434681943</v>
      </c>
      <c r="E462" s="41">
        <f>IF(C462&gt;0,(1-D462)/C462,1)</f>
        <v>0.999279898844034</v>
      </c>
      <c r="F462" s="41">
        <f>IF(C462&gt;0,(C462-1+D462)/C462^2,1/2)</f>
        <v>0.4997599374725605</v>
      </c>
      <c r="G462" s="41">
        <f>(C_air_CO2/C_sat_CO2*F_vent_ex-CO2_fix_sched)*(B462/3600)/(V_L_CO2+Vg_CO2)</f>
        <v>-0.019040373320240143</v>
      </c>
      <c r="H462" s="41">
        <f>(G462*E462+pool_b*D462)/(1-pool_ret*D462)</f>
        <v>27.4224504707964</v>
      </c>
      <c r="I462" s="41">
        <f>MIN(C_sat_CO2,MAX(C_air_CO2,(pool_ret*H462+pool_b)*E462+G462*F462))</f>
        <v>27.451741147859565</v>
      </c>
      <c r="J462" s="41">
        <f>IF(AND(I462&gt;=CO2_pH_hi_mt,I463&lt;CO2_pH_hi_mt),EXP(LN(A462)+(LN(A463)-LN(A462))*(I462-CO2_pH_hi_mt)/(I462-I463)),0)</f>
        <v>0.0</v>
      </c>
    </row>
    <row r="463">
      <c r="A463" s="41">
        <f>A462*grid_ratio</f>
        <v>1.8144686180462914</v>
      </c>
      <c r="B463" s="41">
        <f>MAX(0,A463*60-spg_dur)</f>
        <v>108.21811708277748</v>
      </c>
      <c r="C463" s="41">
        <f>k_eff_CO2*B463</f>
        <v>0.0015714240646858685</v>
      </c>
      <c r="D463" s="41">
        <f>EXP(-C463)</f>
        <v>0.9984298099756248</v>
      </c>
      <c r="E463" s="41">
        <f>IF(C463&gt;0,(1-D463)/C463,1)</f>
        <v>0.9992146993682958</v>
      </c>
      <c r="F463" s="41">
        <f>IF(C463&gt;0,(C463-1+D463)/C463^2,1/2)</f>
        <v>0.49973819886005444</v>
      </c>
      <c r="G463" s="41">
        <f>(C_air_CO2/C_sat_CO2*F_vent_ex-CO2_fix_sched)*(B463/3600)/(V_L_CO2+Vg_CO2)</f>
        <v>-0.02076523208273662</v>
      </c>
      <c r="H463" s="41">
        <f>(G463*E463+pool_b*D463)/(1-pool_ret*D463)</f>
        <v>27.36599822389911</v>
      </c>
      <c r="I463" s="41">
        <f>MIN(C_sat_CO2,MAX(C_air_CO2,(pool_ret*H463+pool_b)*E463+G463*F463))</f>
        <v>27.39789934189507</v>
      </c>
      <c r="J463" s="41">
        <f>IF(AND(I463&gt;=CO2_pH_hi_mt,I464&lt;CO2_pH_hi_mt),EXP(LN(A463)+(LN(A464)-LN(A463))*(I463-CO2_pH_hi_mt)/(I463-I464)),0)</f>
        <v>0.0</v>
      </c>
    </row>
    <row r="464">
      <c r="A464" s="41">
        <f>A463*grid_ratio</f>
        <v>1.9777707936704578</v>
      </c>
      <c r="B464" s="41">
        <f>MAX(0,A464*60-spg_dur)</f>
        <v>118.01624762022746</v>
      </c>
      <c r="C464" s="41">
        <f>k_eff_CO2*B464</f>
        <v>0.0017137017029458742</v>
      </c>
      <c r="D464" s="41">
        <f>EXP(-C464)</f>
        <v>0.9982877658453844</v>
      </c>
      <c r="E464" s="41">
        <f>IF(C464&gt;0,(1-D464)/C464,1)</f>
        <v>0.9991436384011764</v>
      </c>
      <c r="F464" s="41">
        <f>IF(C464&gt;0,(C464-1+D464)/C464^2,1/2)</f>
        <v>0.49971450534391765</v>
      </c>
      <c r="G464" s="41">
        <f>(C_air_CO2/C_sat_CO2*F_vent_ex-CO2_fix_sched)*(B464/3600)/(V_L_CO2+Vg_CO2)</f>
        <v>-0.02264532813385779</v>
      </c>
      <c r="H464" s="41">
        <f>(G464*E464+pool_b*D464)/(1-pool_ret*D464)</f>
        <v>27.30463530330444</v>
      </c>
      <c r="I464" s="41">
        <f>MIN(C_sat_CO2,MAX(C_air_CO2,(pool_ret*H464+pool_b)*E464+G464*F464))</f>
        <v>27.339373808358975</v>
      </c>
      <c r="J464" s="41">
        <f>IF(AND(I464&gt;=CO2_pH_hi_mt,I465&lt;CO2_pH_hi_mt),EXP(LN(A464)+(LN(A465)-LN(A464))*(I464-CO2_pH_hi_mt)/(I464-I465)),0)</f>
        <v>0.0</v>
      </c>
    </row>
    <row r="465">
      <c r="A465" s="41">
        <f>A464*grid_ratio</f>
        <v>2.155770165100799</v>
      </c>
      <c r="B465" s="41">
        <f>MAX(0,A465*60-spg_dur)</f>
        <v>128.69620990604795</v>
      </c>
      <c r="C465" s="41">
        <f>k_eff_CO2*B465</f>
        <v>0.001868784328649281</v>
      </c>
      <c r="D465" s="41">
        <f>EXP(-C465)</f>
        <v>0.9981329607615492</v>
      </c>
      <c r="E465" s="41">
        <f>IF(C465&gt;0,(1-D465)/C465,1)</f>
        <v>0.9990661896229789</v>
      </c>
      <c r="F465" s="41">
        <f>IF(C465&gt;0,(C465-1+D465)/C465^2,1/2)</f>
        <v>0.49968868139501266</v>
      </c>
      <c r="G465" s="41">
        <f>(C_air_CO2/C_sat_CO2*F_vent_ex-CO2_fix_sched)*(B465/3600)/(V_L_CO2+Vg_CO2)</f>
        <v>-0.024694632829579857</v>
      </c>
      <c r="H465" s="41">
        <f>(G465*E465+pool_b*D465)/(1-pool_ret*D465)</f>
        <v>27.237950857306664</v>
      </c>
      <c r="I465" s="41">
        <f>MIN(C_sat_CO2,MAX(C_air_CO2,(pool_ret*H465+pool_b)*E465+G465*F465))</f>
        <v>27.27577265816822</v>
      </c>
      <c r="J465" s="41">
        <f>IF(AND(I465&gt;=CO2_pH_hi_mt,I466&lt;CO2_pH_hi_mt),EXP(LN(A465)+(LN(A466)-LN(A465))*(I465-CO2_pH_hi_mt)/(I465-I466)),0)</f>
        <v>0.0</v>
      </c>
    </row>
    <row r="466">
      <c r="A466" s="41">
        <f>A465*grid_ratio</f>
        <v>2.3497894799598713</v>
      </c>
      <c r="B466" s="41">
        <f>MAX(0,A466*60-spg_dur)</f>
        <v>140.33736879759226</v>
      </c>
      <c r="C466" s="41">
        <f>k_eff_CO2*B466</f>
        <v>0.0020378243906659936</v>
      </c>
      <c r="D466" s="41">
        <f>EXP(-C466)</f>
        <v>0.997964250563754</v>
      </c>
      <c r="E466" s="41">
        <f>IF(C466&gt;0,(1-D466)/C466,1)</f>
        <v>0.9989817795735794</v>
      </c>
      <c r="F466" s="41">
        <f>IF(C466&gt;0,(C466-1+D466)/C466^2,1/2)</f>
        <v>0.4996605355681513</v>
      </c>
      <c r="G466" s="41">
        <f>(C_air_CO2/C_sat_CO2*F_vent_ex-CO2_fix_sched)*(B466/3600)/(V_L_CO2+Vg_CO2)</f>
        <v>-0.026928374947916906</v>
      </c>
      <c r="H466" s="41">
        <f>(G466*E466+pool_b*D466)/(1-pool_ret*D466)</f>
        <v>27.165502658257026</v>
      </c>
      <c r="I466" s="41">
        <f>MIN(C_sat_CO2,MAX(C_air_CO2,(pool_ret*H466+pool_b)*E466+G466*F466))</f>
        <v>27.206674069633827</v>
      </c>
      <c r="J466" s="41">
        <f>IF(AND(I466&gt;=CO2_pH_hi_mt,I467&lt;CO2_pH_hi_mt),EXP(LN(A466)+(LN(A467)-LN(A466))*(I466-CO2_pH_hi_mt)/(I466-I467)),0)</f>
        <v>0.0</v>
      </c>
    </row>
    <row r="467">
      <c r="A467" s="41">
        <f>A466*grid_ratio</f>
        <v>2.56127053315626</v>
      </c>
      <c r="B467" s="41">
        <f>MAX(0,A467*60-spg_dur)</f>
        <v>153.0262319893756</v>
      </c>
      <c r="C467" s="41">
        <f>k_eff_CO2*B467</f>
        <v>0.0022220780582642113</v>
      </c>
      <c r="D467" s="41">
        <f>EXP(-C467)</f>
        <v>0.9977803889295661</v>
      </c>
      <c r="E467" s="41">
        <f>IF(C467&gt;0,(1-D467)/C467,1)</f>
        <v>0.9988897834524106</v>
      </c>
      <c r="F467" s="41">
        <f>IF(C467&gt;0,(C467-1+D467)/C467^2,1/2)</f>
        <v>0.49962985929974874</v>
      </c>
      <c r="G467" s="41">
        <f>(C_air_CO2/C_sat_CO2*F_vent_ex-CO2_fix_sched)*(B467/3600)/(V_L_CO2+Vg_CO2)</f>
        <v>-0.0293631538569043</v>
      </c>
      <c r="H467" s="41">
        <f>(G467*E467+pool_b*D467)/(1-pool_ret*D467)</f>
        <v>27.086815260934205</v>
      </c>
      <c r="I467" s="41">
        <f>MIN(C_sat_CO2,MAX(C_air_CO2,(pool_ret*H467+pool_b)*E467+G467*F467))</f>
        <v>27.131624530544354</v>
      </c>
      <c r="J467" s="41">
        <f>IF(AND(I467&gt;=CO2_pH_hi_mt,I468&lt;CO2_pH_hi_mt),EXP(LN(A467)+(LN(A468)-LN(A467))*(I467-CO2_pH_hi_mt)/(I467-I468)),0)</f>
        <v>0.0</v>
      </c>
    </row>
    <row r="468">
      <c r="A468" s="41">
        <f>A467*grid_ratio</f>
        <v>2.7917848811403236</v>
      </c>
      <c r="B468" s="41">
        <f>MAX(0,A468*60-spg_dur)</f>
        <v>166.85709286841941</v>
      </c>
      <c r="C468" s="41">
        <f>k_eff_CO2*B468</f>
        <v>0.002422914555946268</v>
      </c>
      <c r="D468" s="41">
        <f>EXP(-C468)</f>
        <v>0.9975800183323357</v>
      </c>
      <c r="E468" s="41">
        <f>IF(C468&gt;0,(1-D468)/C468,1)</f>
        <v>0.9987895205488191</v>
      </c>
      <c r="F468" s="41">
        <f>IF(C468&gt;0,(C468-1+D468)/C468^2,1/2)</f>
        <v>0.4995964253857359</v>
      </c>
      <c r="G468" s="41">
        <f>(C_air_CO2/C_sat_CO2*F_vent_ex-CO2_fix_sched)*(B468/3600)/(V_L_CO2+Vg_CO2)</f>
        <v>-0.03201706286770056</v>
      </c>
      <c r="H468" s="41">
        <f>(G468*E468+pool_b*D468)/(1-pool_ret*D468)</f>
        <v>27.00137815997113</v>
      </c>
      <c r="I468" s="41">
        <f>MIN(C_sat_CO2,MAX(C_air_CO2,(pool_ret*H468+pool_b)*E468+G468*F468))</f>
        <v>27.050137079105117</v>
      </c>
      <c r="J468" s="41">
        <f>IF(AND(I468&gt;=CO2_pH_hi_mt,I469&lt;CO2_pH_hi_mt),EXP(LN(A468)+(LN(A469)-LN(A468))*(I468-CO2_pH_hi_mt)/(I468-I469)),0)</f>
        <v>0.0</v>
      </c>
    </row>
    <row r="469">
      <c r="A469" s="41">
        <f>A468*grid_ratio</f>
        <v>3.043045520442953</v>
      </c>
      <c r="B469" s="41">
        <f>MAX(0,A469*60-spg_dur)</f>
        <v>181.93273122657718</v>
      </c>
      <c r="C469" s="41">
        <f>k_eff_CO2*B469</f>
        <v>0.00264182633841971</v>
      </c>
      <c r="D469" s="41">
        <f>EXP(-C469)</f>
        <v>0.9973616602138171</v>
      </c>
      <c r="E469" s="41">
        <f>IF(C469&gt;0,(1-D469)/C469,1)</f>
        <v>0.998680249270696</v>
      </c>
      <c r="F469" s="41">
        <f>IF(C469&gt;0,(C469-1+D469)/C469^2,1/2)</f>
        <v>0.49955998625092557</v>
      </c>
      <c r="G469" s="41">
        <f>(C_air_CO2/C_sat_CO2*F_vent_ex-CO2_fix_sched)*(B469/3600)/(V_L_CO2+Vg_CO2)</f>
        <v>-0.034909823689468475</v>
      </c>
      <c r="H469" s="41">
        <f>(G469*E469+pool_b*D469)/(1-pool_ret*D469)</f>
        <v>26.908643971793175</v>
      </c>
      <c r="I469" s="41">
        <f>MIN(C_sat_CO2,MAX(C_air_CO2,(pool_ret*H469+pool_b)*E469+G469*F469))</f>
        <v>26.961689567958537</v>
      </c>
      <c r="J469" s="41">
        <f>IF(AND(I469&gt;=CO2_pH_hi_mt,I470&lt;CO2_pH_hi_mt),EXP(LN(A469)+(LN(A470)-LN(A469))*(I469-CO2_pH_hi_mt)/(I469-I470)),0)</f>
        <v>0.0</v>
      </c>
    </row>
    <row r="470">
      <c r="A470" s="41">
        <f>A469*grid_ratio</f>
        <v>3.316919617282819</v>
      </c>
      <c r="B470" s="41">
        <f>MAX(0,A470*60-spg_dur)</f>
        <v>198.36517703696913</v>
      </c>
      <c r="C470" s="41">
        <f>k_eff_CO2*B470</f>
        <v>0.002880440181315762</v>
      </c>
      <c r="D470" s="41">
        <f>EXP(-C470)</f>
        <v>0.9971237043062322</v>
      </c>
      <c r="E470" s="41">
        <f>IF(C470&gt;0,(1-D470)/C470,1)</f>
        <v>0.9985611617367195</v>
      </c>
      <c r="F470" s="41">
        <f>IF(C470&gt;0,(C470-1+D470)/C470^2,1/2)</f>
        <v>0.49952027214472794</v>
      </c>
      <c r="G470" s="41">
        <f>(C_air_CO2/C_sat_CO2*F_vent_ex-CO2_fix_sched)*(B470/3600)/(V_L_CO2+Vg_CO2)</f>
        <v>-0.03806293298519551</v>
      </c>
      <c r="H470" s="41">
        <f>(G470*E470+pool_b*D470)/(1-pool_ret*D470)</f>
        <v>26.80802667217039</v>
      </c>
      <c r="I470" s="41">
        <f>MIN(C_sat_CO2,MAX(C_air_CO2,(pool_ret*H470+pool_b)*E470+G470*F470))</f>
        <v>26.865722980888727</v>
      </c>
      <c r="J470" s="41">
        <f>IF(AND(I470&gt;=CO2_pH_hi_mt,I471&lt;CO2_pH_hi_mt),EXP(LN(A470)+(LN(A471)-LN(A470))*(I470-CO2_pH_hi_mt)/(I470-I471)),0)</f>
        <v>0.0</v>
      </c>
    </row>
    <row r="471">
      <c r="A471" s="41">
        <f>A470*grid_ratio</f>
        <v>3.615442382838273</v>
      </c>
      <c r="B471" s="41">
        <f>MAX(0,A471*60-spg_dur)</f>
        <v>216.27654297029636</v>
      </c>
      <c r="C471" s="41">
        <f>k_eff_CO2*B471</f>
        <v>0.0031405292700724583</v>
      </c>
      <c r="D471" s="41">
        <f>EXP(-C471)</f>
        <v>0.9968643970335593</v>
      </c>
      <c r="E471" s="41">
        <f>IF(C471&gt;0,(1-D471)/C471,1)</f>
        <v>0.9984313778958411</v>
      </c>
      <c r="F471" s="41">
        <f>IF(C471&gt;0,(C471-1+D471)/C471^2,1/2)</f>
        <v>0.4994769891527052</v>
      </c>
      <c r="G471" s="41">
        <f>(C_air_CO2/C_sat_CO2*F_vent_ex-CO2_fix_sched)*(B471/3600)/(V_L_CO2+Vg_CO2)</f>
        <v>-0.04149982211753798</v>
      </c>
      <c r="H471" s="41">
        <f>(G471*E471+pool_b*D471)/(1-pool_ret*D471)</f>
        <v>26.698899926909363</v>
      </c>
      <c r="I471" s="41">
        <f>MIN(C_sat_CO2,MAX(C_air_CO2,(pool_ret*H471+pool_b)*E471+G471*F471))</f>
        <v>26.76163983796764</v>
      </c>
      <c r="J471" s="41">
        <f>IF(AND(I471&gt;=CO2_pH_hi_mt,I472&lt;CO2_pH_hi_mt),EXP(LN(A471)+(LN(A472)-LN(A471))*(I471-CO2_pH_hi_mt)/(I471-I472)),0)</f>
        <v>0.0</v>
      </c>
    </row>
    <row r="472">
      <c r="A472" s="41">
        <f>A471*grid_ratio</f>
        <v>3.9408321972937177</v>
      </c>
      <c r="B472" s="41">
        <f>MAX(0,A472*60-spg_dur)</f>
        <v>235.79993183762306</v>
      </c>
      <c r="C472" s="41">
        <f>k_eff_CO2*B472</f>
        <v>0.0034240263768172577</v>
      </c>
      <c r="D472" s="41">
        <f>EXP(-C472)</f>
        <v>0.9965818289166978</v>
      </c>
      <c r="E472" s="41">
        <f>IF(C472&gt;0,(1-D472)/C472,1)</f>
        <v>0.9982899391328648</v>
      </c>
      <c r="F472" s="41">
        <f>IF(C472&gt;0,(C472-1+D472)/C472^2,1/2)</f>
        <v>0.4994298171055251</v>
      </c>
      <c r="G472" s="41">
        <f>(C_air_CO2/C_sat_CO2*F_vent_ex-CO2_fix_sched)*(B472/3600)/(V_L_CO2+Vg_CO2)</f>
        <v>-0.04524603127179127</v>
      </c>
      <c r="H472" s="41">
        <f>(G472*E472+pool_b*D472)/(1-pool_ret*D472)</f>
        <v>26.5805955604465</v>
      </c>
      <c r="I472" s="41">
        <f>MIN(C_sat_CO2,MAX(C_air_CO2,(pool_ret*H472+pool_b)*E472+G472*F472))</f>
        <v>26.64880273173718</v>
      </c>
      <c r="J472" s="41">
        <f>IF(AND(I472&gt;=CO2_pH_hi_mt,I473&lt;CO2_pH_hi_mt),EXP(LN(A472)+(LN(A473)-LN(A472))*(I472-CO2_pH_hi_mt)/(I472-I473)),0)</f>
        <v>0.0</v>
      </c>
    </row>
    <row r="473">
      <c r="A473" s="41">
        <f>A472*grid_ratio</f>
        <v>4.295507095050152</v>
      </c>
      <c r="B473" s="41">
        <f>MAX(0,A473*60-spg_dur)</f>
        <v>257.08042570300915</v>
      </c>
      <c r="C473" s="41">
        <f>k_eff_CO2*B473</f>
        <v>0.003733038223169089</v>
      </c>
      <c r="D473" s="41">
        <f>EXP(-C473)</f>
        <v>0.9962739209017657</v>
      </c>
      <c r="E473" s="41">
        <f>IF(C473&gt;0,(1-D473)/C473,1)</f>
        <v>0.9981358013181879</v>
      </c>
      <c r="F473" s="41">
        <f>IF(C473&gt;0,(C473-1+D473)/C473^2,1/2)</f>
        <v>0.49937840717365445</v>
      </c>
      <c r="G473" s="41">
        <f>(C_air_CO2/C_sat_CO2*F_vent_ex-CO2_fix_sched)*(B473/3600)/(V_L_CO2+Vg_CO2)</f>
        <v>-0.04932939924992736</v>
      </c>
      <c r="H473" s="41">
        <f>(G473*E473+pool_b*D473)/(1-pool_ret*D473)</f>
        <v>26.45240221516257</v>
      </c>
      <c r="I473" s="41">
        <f>MIN(C_sat_CO2,MAX(C_air_CO2,(pool_ret*H473+pool_b)*E473+G473*F473))</f>
        <v>26.52653304477366</v>
      </c>
      <c r="J473" s="41">
        <f>IF(AND(I473&gt;=CO2_pH_hi_mt,I474&lt;CO2_pH_hi_mt),EXP(LN(A473)+(LN(A474)-LN(A473))*(I473-CO2_pH_hi_mt)/(I473-I474)),0)</f>
        <v>0.0</v>
      </c>
    </row>
    <row r="474">
      <c r="A474" s="41">
        <f>A473*grid_ratio</f>
        <v>4.682102733604666</v>
      </c>
      <c r="B474" s="41">
        <f>MAX(0,A474*60-spg_dur)</f>
        <v>280.27616401628</v>
      </c>
      <c r="C474" s="41">
        <f>k_eff_CO2*B474</f>
        <v>0.004069861135692585</v>
      </c>
      <c r="D474" s="41">
        <f>EXP(-C474)</f>
        <v>0.9959384095251879</v>
      </c>
      <c r="E474" s="41">
        <f>IF(C474&gt;0,(1-D474)/C474,1)</f>
        <v>0.9979678272538801</v>
      </c>
      <c r="F474" s="41">
        <f>IF(C474&gt;0,(C474-1+D474)/C474^2,1/2)</f>
        <v>0.49932237940732177</v>
      </c>
      <c r="G474" s="41">
        <f>(C_air_CO2/C_sat_CO2*F_vent_ex-CO2_fix_sched)*(B474/3600)/(V_L_CO2+Vg_CO2)</f>
        <v>-0.05378027034609569</v>
      </c>
      <c r="H474" s="41">
        <f>(G474*E474+pool_b*D474)/(1-pool_ret*D474)</f>
        <v>26.313564263114948</v>
      </c>
      <c r="I474" s="41">
        <f>MIN(C_sat_CO2,MAX(C_air_CO2,(pool_ret*H474+pool_b)*E474+G474*F474))</f>
        <v>26.39410990734904</v>
      </c>
      <c r="J474" s="41">
        <f>IF(AND(I474&gt;=CO2_pH_hi_mt,I475&lt;CO2_pH_hi_mt),EXP(LN(A474)+(LN(A475)-LN(A474))*(I474-CO2_pH_hi_mt)/(I474-I475)),0)</f>
        <v>0.0</v>
      </c>
    </row>
    <row r="475">
      <c r="A475" s="41">
        <f>A474*grid_ratio</f>
        <v>5.103491979629087</v>
      </c>
      <c r="B475" s="41">
        <f>MAX(0,A475*60-spg_dur)</f>
        <v>305.55951877774527</v>
      </c>
      <c r="C475" s="41">
        <f>k_eff_CO2*B475</f>
        <v>0.004436998110343196</v>
      </c>
      <c r="D475" s="41">
        <f>EXP(-C475)</f>
        <v>0.9955728308234121</v>
      </c>
      <c r="E475" s="41">
        <f>IF(C475&gt;0,(1-D475)/C475,1)</f>
        <v>0.9977847784671434</v>
      </c>
      <c r="F475" s="41">
        <f>IF(C475&gt;0,(C475-1+D475)/C475^2,1/2)</f>
        <v>0.4992613198734643</v>
      </c>
      <c r="G475" s="41">
        <f>(C_air_CO2/C_sat_CO2*F_vent_ex-CO2_fix_sched)*(B475/3600)/(V_L_CO2+Vg_CO2)</f>
        <v>-0.05863171984091919</v>
      </c>
      <c r="H475" s="41">
        <f>(G475*E475+pool_b*D475)/(1-pool_ret*D475)</f>
        <v>26.16328104151489</v>
      </c>
      <c r="I475" s="41">
        <f>MIN(C_sat_CO2,MAX(C_air_CO2,(pool_ret*H475+pool_b)*E475+G475*F475))</f>
        <v>26.25076946316899</v>
      </c>
      <c r="J475" s="41">
        <f>IF(AND(I475&gt;=CO2_pH_hi_mt,I476&lt;CO2_pH_hi_mt),EXP(LN(A475)+(LN(A476)-LN(A475))*(I475-CO2_pH_hi_mt)/(I475-I476)),0)</f>
        <v>0.0</v>
      </c>
    </row>
    <row r="476">
      <c r="A476" s="41">
        <f>A475*grid_ratio</f>
        <v>5.562806257795705</v>
      </c>
      <c r="B476" s="41">
        <f>MAX(0,A476*60-spg_dur)</f>
        <v>333.11837546774234</v>
      </c>
      <c r="C476" s="41">
        <f>k_eff_CO2*B476</f>
        <v>0.0048371774127123615</v>
      </c>
      <c r="D476" s="41">
        <f>EXP(-C476)</f>
        <v>0.9951745028891287</v>
      </c>
      <c r="E476" s="41">
        <f>IF(C476&gt;0,(1-D476)/C476,1)</f>
        <v>0.9975853062965313</v>
      </c>
      <c r="F476" s="41">
        <f>IF(C476&gt;0,(C476-1+D476)/C476^2,1/2)</f>
        <v>0.49919477774965354</v>
      </c>
      <c r="G476" s="41">
        <f>(C_air_CO2/C_sat_CO2*F_vent_ex-CO2_fix_sched)*(B476/3600)/(V_L_CO2+Vg_CO2)</f>
        <v>-0.06391979979027676</v>
      </c>
      <c r="H476" s="41">
        <f>(G476*E476+pool_b*D476)/(1-pool_ret*D476)</f>
        <v>26.00070649357209</v>
      </c>
      <c r="I476" s="41">
        <f>MIN(C_sat_CO2,MAX(C_air_CO2,(pool_ret*H476+pool_b)*E476+G476*F476))</f>
        <v>26.095704520890113</v>
      </c>
      <c r="J476" s="41">
        <f>IF(AND(I476&gt;=CO2_pH_hi_mt,I477&lt;CO2_pH_hi_mt),EXP(LN(A476)+(LN(A477)-LN(A476))*(I476-CO2_pH_hi_mt)/(I476-I477)),0)</f>
        <v>0.0</v>
      </c>
    </row>
    <row r="477">
      <c r="A477" s="41">
        <f>A476*grid_ratio</f>
        <v>6.063458820997319</v>
      </c>
      <c r="B477" s="41">
        <f>MAX(0,A477*60-spg_dur)</f>
        <v>363.1575292598392</v>
      </c>
      <c r="C477" s="41">
        <f>k_eff_CO2*B477</f>
        <v>0.005273372852294751</v>
      </c>
      <c r="D477" s="41">
        <f>EXP(-C477)</f>
        <v>0.9947405069697814</v>
      </c>
      <c r="E477" s="41">
        <f>IF(C477&gt;0,(1-D477)/C477,1)</f>
        <v>0.9973679422136522</v>
      </c>
      <c r="F477" s="41">
        <f>IF(C477&gt;0,(C477-1+D477)/C477^2,1/2)</f>
        <v>0.49912226199016396</v>
      </c>
      <c r="G477" s="41">
        <f>(C_air_CO2/C_sat_CO2*F_vent_ex-CO2_fix_sched)*(B477/3600)/(V_L_CO2+Vg_CO2)</f>
        <v>-0.06968380693507656</v>
      </c>
      <c r="H477" s="41">
        <f>(G477*E477+pool_b*D477)/(1-pool_ret*D477)</f>
        <v>25.824949307106877</v>
      </c>
      <c r="I477" s="41">
        <f>MIN(C_sat_CO2,MAX(C_air_CO2,(pool_ret*H477+pool_b)*E477+G477*F477))</f>
        <v>25.928064679456654</v>
      </c>
      <c r="J477" s="41">
        <f>IF(AND(I477&gt;=CO2_pH_hi_mt,I478&lt;CO2_pH_hi_mt),EXP(LN(A477)+(LN(A478)-LN(A477))*(I477-CO2_pH_hi_mt)/(I477-I478)),0)</f>
        <v>0.0</v>
      </c>
    </row>
    <row r="478">
      <c r="A478" s="41">
        <f>A477*grid_ratio</f>
        <v>6.609170114887078</v>
      </c>
      <c r="B478" s="41">
        <f>MAX(0,A478*60-spg_dur)</f>
        <v>395.9002068932247</v>
      </c>
      <c r="C478" s="41">
        <f>k_eff_CO2*B478</f>
        <v>0.005748825881439558</v>
      </c>
      <c r="D478" s="41">
        <f>EXP(-C478)</f>
        <v>0.9942676669980354</v>
      </c>
      <c r="E478" s="41">
        <f>IF(C478&gt;0,(1-D478)/C478,1)</f>
        <v>0.997131087318512</v>
      </c>
      <c r="F478" s="41">
        <f>IF(C478&gt;0,(C478-1+D478)/C478^2,1/2)</f>
        <v>0.49904323781111204</v>
      </c>
      <c r="G478" s="41">
        <f>(C_air_CO2/C_sat_CO2*F_vent_ex-CO2_fix_sched)*(B478/3600)/(V_L_CO2+Vg_CO2)</f>
        <v>-0.0759665747229083</v>
      </c>
      <c r="H478" s="41">
        <f>(G478*E478+pool_b*D478)/(1-pool_ret*D478)</f>
        <v>25.635073654350986</v>
      </c>
      <c r="I478" s="41">
        <f>MIN(C_sat_CO2,MAX(C_air_CO2,(pool_ret*H478+pool_b)*E478+G478*F478))</f>
        <v>25.746957025750188</v>
      </c>
      <c r="J478" s="41">
        <f>IF(AND(I478&gt;=CO2_pH_hi_mt,I479&lt;CO2_pH_hi_mt),EXP(LN(A478)+(LN(A479)-LN(A478))*(I478-CO2_pH_hi_mt)/(I478-I479)),0)</f>
        <v>0.0</v>
      </c>
    </row>
    <row r="479">
      <c r="A479" s="41">
        <f>A478*grid_ratio</f>
        <v>7.203995425226916</v>
      </c>
      <c r="B479" s="41">
        <f>MAX(0,A479*60-spg_dur)</f>
        <v>431.58972551361495</v>
      </c>
      <c r="C479" s="41">
        <f>k_eff_CO2*B479</f>
        <v>0.006267069683207395</v>
      </c>
      <c r="D479" s="41">
        <f>EXP(-C479)</f>
        <v>0.9937525274377871</v>
      </c>
      <c r="E479" s="41">
        <f>IF(C479&gt;0,(1-D479)/C479,1)</f>
        <v>0.9968730009422128</v>
      </c>
      <c r="F479" s="41">
        <f>IF(C479&gt;0,(C479-1+D479)/C479^2,1/2)</f>
        <v>0.498957122843962</v>
      </c>
      <c r="G479" s="41">
        <f>(C_air_CO2/C_sat_CO2*F_vent_ex-CO2_fix_sched)*(B479/3600)/(V_L_CO2+Vg_CO2)</f>
        <v>-0.08281479161164493</v>
      </c>
      <c r="H479" s="41">
        <f>(G479*E479+pool_b*D479)/(1-pool_ret*D479)</f>
        <v>25.43010064726742</v>
      </c>
      <c r="I479" s="41">
        <f>MIN(C_sat_CO2,MAX(C_air_CO2,(pool_ret*H479+pool_b)*E479+G479*F479))</f>
        <v>25.551447513453944</v>
      </c>
      <c r="J479" s="41">
        <f>IF(AND(I479&gt;=CO2_pH_hi_mt,I480&lt;CO2_pH_hi_mt),EXP(LN(A479)+(LN(A480)-LN(A479))*(I479-CO2_pH_hi_mt)/(I479-I480)),0)</f>
        <v>0.0</v>
      </c>
    </row>
    <row r="480">
      <c r="A480" s="41">
        <f>A479*grid_ratio</f>
        <v>7.8523550134973386</v>
      </c>
      <c r="B480" s="41">
        <f>MAX(0,A480*60-spg_dur)</f>
        <v>470.4913008098403</v>
      </c>
      <c r="C480" s="41">
        <f>k_eff_CO2*B480</f>
        <v>0.006831955427134338</v>
      </c>
      <c r="D480" s="41">
        <f>EXP(-C480)</f>
        <v>0.9931913293233763</v>
      </c>
      <c r="E480" s="41">
        <f>IF(C480&gt;0,(1-D480)/C480,1)</f>
        <v>0.9965917882868293</v>
      </c>
      <c r="F480" s="41">
        <f>IF(C480&gt;0,(C480-1+D480)/C480^2,1/2)</f>
        <v>0.4988632829238114</v>
      </c>
      <c r="G480" s="41">
        <f>(C_air_CO2/C_sat_CO2*F_vent_ex-CO2_fix_sched)*(B480/3600)/(V_L_CO2+Vg_CO2)</f>
        <v>-0.09027934802036784</v>
      </c>
      <c r="H480" s="41">
        <f>(G480*E480+pool_b*D480)/(1-pool_ret*D480)</f>
        <v>25.20901063305166</v>
      </c>
      <c r="I480" s="41">
        <f>MIN(C_sat_CO2,MAX(C_air_CO2,(pool_ret*H480+pool_b)*E480+G480*F480))</f>
        <v>25.34056314188324</v>
      </c>
      <c r="J480" s="41">
        <f>IF(AND(I480&gt;=CO2_pH_hi_mt,I481&lt;CO2_pH_hi_mt),EXP(LN(A480)+(LN(A481)-LN(A480))*(I480-CO2_pH_hi_mt)/(I480-I481)),0)</f>
        <v>0.0</v>
      </c>
    </row>
    <row r="481">
      <c r="A481" s="41">
        <f>A480*grid_ratio</f>
        <v>8.5590669647121</v>
      </c>
      <c r="B481" s="41">
        <f>MAX(0,A481*60-spg_dur)</f>
        <v>512.8940178827261</v>
      </c>
      <c r="C481" s="41">
        <f>k_eff_CO2*B481</f>
        <v>0.007447680888014709</v>
      </c>
      <c r="D481" s="41">
        <f>EXP(-C481)</f>
        <v>0.992579984364029</v>
      </c>
      <c r="E481" s="41">
        <f>IF(C481&gt;0,(1-D481)/C481,1)</f>
        <v>0.9962853870272175</v>
      </c>
      <c r="F481" s="41">
        <f>IF(C481&gt;0,(C481-1+D481)/C481^2,1/2)</f>
        <v>0.49876102757881635</v>
      </c>
      <c r="G481" s="41">
        <f>(C_air_CO2/C_sat_CO2*F_vent_ex-CO2_fix_sched)*(B481/3600)/(V_L_CO2+Vg_CO2)</f>
        <v>-0.09841571450587584</v>
      </c>
      <c r="H481" s="41">
        <f>(G481*E481+pool_b*D481)/(1-pool_ret*D481)</f>
        <v>24.970746463634658</v>
      </c>
      <c r="I481" s="41">
        <f>MIN(C_sat_CO2,MAX(C_air_CO2,(pool_ret*H481+pool_b)*E481+G481*F481))</f>
        <v>25.11329506223249</v>
      </c>
      <c r="J481" s="41">
        <f>IF(AND(I481&gt;=CO2_pH_hi_mt,I482&lt;CO2_pH_hi_mt),EXP(LN(A481)+(LN(A482)-LN(A481))*(I481-CO2_pH_hi_mt)/(I481-I482)),0)</f>
        <v>0.0</v>
      </c>
    </row>
    <row r="482">
      <c r="A482" s="41">
        <f>A481*grid_ratio</f>
        <v>9.329382991536189</v>
      </c>
      <c r="B482" s="41">
        <f>MAX(0,A482*60-spg_dur)</f>
        <v>559.1129794921713</v>
      </c>
      <c r="C482" s="41">
        <f>k_eff_CO2*B482</f>
        <v>0.00811882164037431</v>
      </c>
      <c r="D482" s="41">
        <f>EXP(-C482)</f>
        <v>0.9919140469804008</v>
      </c>
      <c r="E482" s="41">
        <f>IF(C482&gt;0,(1-D482)/C482,1)</f>
        <v>0.9959515527953453</v>
      </c>
      <c r="F482" s="41">
        <f>IF(C482&gt;0,(C482-1+D482)/C482^2,1/2)</f>
        <v>0.4986496050767622</v>
      </c>
      <c r="G482" s="41">
        <f>(C_air_CO2/C_sat_CO2*F_vent_ex-CO2_fix_sched)*(B482/3600)/(V_L_CO2+Vg_CO2)</f>
        <v>-0.10728435397507952</v>
      </c>
      <c r="H482" s="41">
        <f>(G482*E482+pool_b*D482)/(1-pool_ret*D482)</f>
        <v>24.714217880236223</v>
      </c>
      <c r="I482" s="41">
        <f>MIN(C_sat_CO2,MAX(C_air_CO2,(pool_ret*H482+pool_b)*E482+G482*F482))</f>
        <v>24.868602745599283</v>
      </c>
      <c r="J482" s="41">
        <f>IF(AND(I482&gt;=CO2_pH_hi_mt,I483&lt;CO2_pH_hi_mt),EXP(LN(A482)+(LN(A483)-LN(A482))*(I482-CO2_pH_hi_mt)/(I482-I483)),0)</f>
        <v>0.0</v>
      </c>
    </row>
    <row r="483">
      <c r="A483" s="41">
        <f>A482*grid_ratio</f>
        <v>10.169027460774448</v>
      </c>
      <c r="B483" s="41">
        <f>MAX(0,A483*60-spg_dur)</f>
        <v>609.4916476464668</v>
      </c>
      <c r="C483" s="41">
        <f>k_eff_CO2*B483</f>
        <v>0.008850365060446275</v>
      </c>
      <c r="D483" s="41">
        <f>EXP(-C483)</f>
        <v>0.9911886841356119</v>
      </c>
      <c r="E483" s="41">
        <f>IF(C483&gt;0,(1-D483)/C483,1)</f>
        <v>0.9955878434627866</v>
      </c>
      <c r="F483" s="41">
        <f>IF(C483&gt;0,(C483-1+D483)/C483^2,1/2)</f>
        <v>0.49852819709402535</v>
      </c>
      <c r="G483" s="41">
        <f>(C_air_CO2/C_sat_CO2*F_vent_ex-CO2_fix_sched)*(B483/3600)/(V_L_CO2+Vg_CO2)</f>
        <v>-0.11695117099651156</v>
      </c>
      <c r="H483" s="41">
        <f>(G483*E483+pool_b*D483)/(1-pool_ret*D483)</f>
        <v>24.438307158409216</v>
      </c>
      <c r="I483" s="41">
        <f>MIN(C_sat_CO2,MAX(C_air_CO2,(pool_ret*H483+pool_b)*E483+G483*F483))</f>
        <v>24.60541935129978</v>
      </c>
      <c r="J483" s="41">
        <f>IF(AND(I483&gt;=CO2_pH_hi_mt,I484&lt;CO2_pH_hi_mt),EXP(LN(A483)+(LN(A484)-LN(A483))*(I483-CO2_pH_hi_mt)/(I483-I484)),0)</f>
        <v>0.0</v>
      </c>
    </row>
    <row r="484">
      <c r="A484" s="41">
        <f>A483*grid_ratio</f>
        <v>11.084239932244149</v>
      </c>
      <c r="B484" s="41">
        <f>MAX(0,A484*60-spg_dur)</f>
        <v>664.404395934649</v>
      </c>
      <c r="C484" s="41">
        <f>k_eff_CO2*B484</f>
        <v>0.00964774738832472</v>
      </c>
      <c r="D484" s="41">
        <f>EXP(-C484)</f>
        <v>0.9903986428196412</v>
      </c>
      <c r="E484" s="41">
        <f>IF(C484&gt;0,(1-D484)/C484,1)</f>
        <v>0.9951916021327379</v>
      </c>
      <c r="F484" s="41">
        <f>IF(C484&gt;0,(C484-1+D484)/C484^2,1/2)</f>
        <v>0.498395912924052</v>
      </c>
      <c r="G484" s="41">
        <f>(C_air_CO2/C_sat_CO2*F_vent_ex-CO2_fix_sched)*(B484/3600)/(V_L_CO2+Vg_CO2)</f>
        <v>-0.1274880015498725</v>
      </c>
      <c r="H484" s="41">
        <f>(G484*E484+pool_b*D484)/(1-pool_ret*D484)</f>
        <v>24.14187615949378</v>
      </c>
      <c r="I484" s="41">
        <f>MIN(C_sat_CO2,MAX(C_air_CO2,(pool_ret*H484+pool_b)*E484+G484*F484))</f>
        <v>24.322658434457665</v>
      </c>
      <c r="J484" s="41">
        <f>IF(AND(I484&gt;=CO2_pH_hi_mt,I485&lt;CO2_pH_hi_mt),EXP(LN(A484)+(LN(A485)-LN(A484))*(I484-CO2_pH_hi_mt)/(I484-I485)),0)</f>
        <v>0.0</v>
      </c>
    </row>
    <row r="485">
      <c r="A485" s="41">
        <f>A484*grid_ratio</f>
        <v>12.081821526146124</v>
      </c>
      <c r="B485" s="41">
        <f>MAX(0,A485*60-spg_dur)</f>
        <v>724.2592915687675</v>
      </c>
      <c r="C485" s="41">
        <f>k_eff_CO2*B485</f>
        <v>0.010516894125712224</v>
      </c>
      <c r="D485" s="41">
        <f>EXP(-C485)</f>
        <v>0.9895382150436837</v>
      </c>
      <c r="E485" s="41">
        <f>IF(C485&gt;0,(1-D485)/C485,1)</f>
        <v>0.9947599387483461</v>
      </c>
      <c r="F485" s="41">
        <f>IF(C485&gt;0,(C485-1+D485)/C485^2,1/2)</f>
        <v>0.4982517831801733</v>
      </c>
      <c r="G485" s="41">
        <f>(C_air_CO2/C_sat_CO2*F_vent_ex-CO2_fix_sched)*(B485/3600)/(V_L_CO2+Vg_CO2)</f>
        <v>-0.13897314685303588</v>
      </c>
      <c r="H485" s="41">
        <f>(G485*E485+pool_b*D485)/(1-pool_ret*D485)</f>
        <v>23.823774929736796</v>
      </c>
      <c r="I485" s="41">
        <f>MIN(C_sat_CO2,MAX(C_air_CO2,(pool_ret*H485+pool_b)*E485+G485*F485))</f>
        <v>24.019222127391632</v>
      </c>
      <c r="J485" s="41">
        <f>IF(AND(I485&gt;=CO2_pH_hi_mt,I486&lt;CO2_pH_hi_mt),EXP(LN(A485)+(LN(A486)-LN(A485))*(I485-CO2_pH_hi_mt)/(I485-I486)),0)</f>
        <v>0.0</v>
      </c>
    </row>
    <row r="486">
      <c r="A486" s="41">
        <f>A485*grid_ratio</f>
        <v>13.169185463499275</v>
      </c>
      <c r="B486" s="41">
        <f>MAX(0,A486*60-spg_dur)</f>
        <v>789.5011278099565</v>
      </c>
      <c r="C486" s="41">
        <f>k_eff_CO2*B486</f>
        <v>0.0114642640694646</v>
      </c>
      <c r="D486" s="41">
        <f>EXP(-C486)</f>
        <v>0.9886012002004883</v>
      </c>
      <c r="E486" s="41">
        <f>IF(C486&gt;0,(1-D486)/C486,1)</f>
        <v>0.9942897102198459</v>
      </c>
      <c r="F486" s="41">
        <f>IF(C486&gt;0,(C486-1+D486)/C486^2,1/2)</f>
        <v>0.4980947530124414</v>
      </c>
      <c r="G486" s="41">
        <f>(C_air_CO2/C_sat_CO2*F_vent_ex-CO2_fix_sched)*(B486/3600)/(V_L_CO2+Vg_CO2)</f>
        <v>-0.151491955233484</v>
      </c>
      <c r="H486" s="41">
        <f>(G486*E486+pool_b*D486)/(1-pool_ret*D486)</f>
        <v>23.4828519771669</v>
      </c>
      <c r="I486" s="41">
        <f>MIN(C_sat_CO2,MAX(C_air_CO2,(pool_ret*H486+pool_b)*E486+G486*F486))</f>
        <v>23.69401091866648</v>
      </c>
      <c r="J486" s="41">
        <f>IF(AND(I486&gt;=CO2_pH_hi_mt,I487&lt;CO2_pH_hi_mt),EXP(LN(A486)+(LN(A487)-LN(A486))*(I486-CO2_pH_hi_mt)/(I486-I487)),0)</f>
        <v>0.0</v>
      </c>
    </row>
    <row r="487">
      <c r="A487" s="41">
        <f>A486*grid_ratio</f>
        <v>14.354412155214211</v>
      </c>
      <c r="B487" s="41">
        <f>MAX(0,A487*60-spg_dur)</f>
        <v>860.6147293128527</v>
      </c>
      <c r="C487" s="41">
        <f>k_eff_CO2*B487</f>
        <v>0.012496897308154693</v>
      </c>
      <c r="D487" s="41">
        <f>EXP(-C487)</f>
        <v>0.9875808646482231</v>
      </c>
      <c r="E487" s="41">
        <f>IF(C487&gt;0,(1-D487)/C487,1)</f>
        <v>0.9937774989695166</v>
      </c>
      <c r="F487" s="41">
        <f>IF(C487&gt;0,(C487-1+D487)/C487^2,1/2)</f>
        <v>0.49792367473692745</v>
      </c>
      <c r="G487" s="41">
        <f>(C_air_CO2/C_sat_CO2*F_vent_ex-CO2_fix_sched)*(B487/3600)/(V_L_CO2+Vg_CO2)</f>
        <v>-0.16513745636817243</v>
      </c>
      <c r="H487" s="41">
        <f>(G487*E487+pool_b*D487)/(1-pool_ret*D487)</f>
        <v>23.117966337201608</v>
      </c>
      <c r="I487" s="41">
        <f>MIN(C_sat_CO2,MAX(C_air_CO2,(pool_ret*H487+pool_b)*E487+G487*F487))</f>
        <v>23.34593513547111</v>
      </c>
      <c r="J487" s="41">
        <f>IF(AND(I487&gt;=CO2_pH_hi_mt,I488&lt;CO2_pH_hi_mt),EXP(LN(A487)+(LN(A488)-LN(A487))*(I487-CO2_pH_hi_mt)/(I487-I488)),0)</f>
        <v>0.0</v>
      </c>
    </row>
    <row r="488">
      <c r="A488" s="41">
        <f>A487*grid_ratio</f>
        <v>15.64630924918349</v>
      </c>
      <c r="B488" s="41">
        <f>MAX(0,A488*60-spg_dur)</f>
        <v>938.1285549510094</v>
      </c>
      <c r="C488" s="41">
        <f>k_eff_CO2*B488</f>
        <v>0.013622467538326893</v>
      </c>
      <c r="D488" s="41">
        <f>EXP(-C488)</f>
        <v>0.9864698983796578</v>
      </c>
      <c r="E488" s="41">
        <f>IF(C488&gt;0,(1-D488)/C488,1)</f>
        <v>0.9932195897898206</v>
      </c>
      <c r="F488" s="41">
        <f>IF(C488&gt;0,(C488-1+D488)/C488^2,1/2)</f>
        <v>0.4977372998760988</v>
      </c>
      <c r="G488" s="41">
        <f>(C_air_CO2/C_sat_CO2*F_vent_ex-CO2_fix_sched)*(B488/3600)/(V_L_CO2+Vg_CO2)</f>
        <v>-0.1800110526049828</v>
      </c>
      <c r="H488" s="41">
        <f>(G488*E488+pool_b*D488)/(1-pool_ret*D488)</f>
        <v>22.728001509447175</v>
      </c>
      <c r="I488" s="41">
        <f>MIN(C_sat_CO2,MAX(C_air_CO2,(pool_ret*H488+pool_b)*E488+G488*F488))</f>
        <v>22.973928207779746</v>
      </c>
      <c r="J488" s="41">
        <f>IF(AND(I488&gt;=CO2_pH_hi_mt,I489&lt;CO2_pH_hi_mt),EXP(LN(A488)+(LN(A489)-LN(A488))*(I488-CO2_pH_hi_mt)/(I488-I489)),0)</f>
        <v>0.0</v>
      </c>
    </row>
    <row r="489">
      <c r="A489" s="41">
        <f>A488*grid_ratio</f>
        <v>17.054477081610006</v>
      </c>
      <c r="B489" s="41">
        <f>MAX(0,A489*60-spg_dur)</f>
        <v>1022.6186248966004</v>
      </c>
      <c r="C489" s="41">
        <f>k_eff_CO2*B489</f>
        <v>0.014849339089214594</v>
      </c>
      <c r="D489" s="41">
        <f>EXP(-C489)</f>
        <v>0.9852603686460555</v>
      </c>
      <c r="E489" s="41">
        <f>IF(C489&gt;0,(1-D489)/C489,1)</f>
        <v>0.9926119449080558</v>
      </c>
      <c r="F489" s="41">
        <f>IF(C489&gt;0,(C489-1+D489)/C489^2,1/2)</f>
        <v>0.49753427055285904</v>
      </c>
      <c r="G489" s="41">
        <f>(C_air_CO2/C_sat_CO2*F_vent_ex-CO2_fix_sched)*(B489/3600)/(V_L_CO2+Vg_CO2)</f>
        <v>-0.19622327250310617</v>
      </c>
      <c r="H489" s="41">
        <f>(G489*E489+pool_b*D489)/(1-pool_ret*D489)</f>
        <v>22.31188130885804</v>
      </c>
      <c r="I489" s="41">
        <f>MIN(C_sat_CO2,MAX(C_air_CO2,(pool_ret*H489+pool_b)*E489+G489*F489))</f>
        <v>22.57696175531391</v>
      </c>
      <c r="J489" s="41">
        <f>IF(AND(I489&gt;=CO2_pH_hi_mt,I490&lt;CO2_pH_hi_mt),EXP(LN(A489)+(LN(A490)-LN(A489))*(I489-CO2_pH_hi_mt)/(I489-I490)),0)</f>
        <v>0.0</v>
      </c>
    </row>
    <row r="490">
      <c r="A490" s="41">
        <f>A489*grid_ratio</f>
        <v>18.58938001895491</v>
      </c>
      <c r="B490" s="41">
        <f>MAX(0,A490*60-spg_dur)</f>
        <v>1114.7128011372945</v>
      </c>
      <c r="C490" s="41">
        <f>k_eff_CO2*B490</f>
        <v>0.016186629079682185</v>
      </c>
      <c r="D490" s="41">
        <f>EXP(-C490)</f>
        <v>0.9839436704169676</v>
      </c>
      <c r="E490" s="41">
        <f>IF(C490&gt;0,(1-D490)/C490,1)</f>
        <v>0.9919501771487826</v>
      </c>
      <c r="F490" s="41">
        <f>IF(C490&gt;0,(C490-1+D490)/C490^2,1/2)</f>
        <v>0.4973131101966102</v>
      </c>
      <c r="G490" s="41">
        <f>(C_air_CO2/C_sat_CO2*F_vent_ex-CO2_fix_sched)*(B490/3600)/(V_L_CO2+Vg_CO2)</f>
        <v>-0.21389459219206058</v>
      </c>
      <c r="H490" s="41">
        <f>(G490*E490+pool_b*D490)/(1-pool_ret*D490)</f>
        <v>21.86858762321278</v>
      </c>
      <c r="I490" s="41">
        <f>MIN(C_sat_CO2,MAX(C_air_CO2,(pool_ret*H490+pool_b)*E490+G490*F490))</f>
        <v>22.154062489492794</v>
      </c>
      <c r="J490" s="41">
        <f>IF(AND(I490&gt;=CO2_pH_hi_mt,I491&lt;CO2_pH_hi_mt),EXP(LN(A490)+(LN(A491)-LN(A490))*(I490-CO2_pH_hi_mt)/(I490-I491)),0)</f>
        <v>0.0</v>
      </c>
    </row>
    <row r="491">
      <c r="A491" s="41">
        <f>A490*grid_ratio</f>
        <v>20.26242422066085</v>
      </c>
      <c r="B491" s="41">
        <f>MAX(0,A491*60-spg_dur)</f>
        <v>1215.0954532396509</v>
      </c>
      <c r="C491" s="41">
        <f>k_eff_CO2*B491</f>
        <v>0.01764427516929186</v>
      </c>
      <c r="D491" s="41">
        <f>EXP(-C491)</f>
        <v>0.9825104735740383</v>
      </c>
      <c r="E491" s="41">
        <f>IF(C491&gt;0,(1-D491)/C491,1)</f>
        <v>0.9912295210857119</v>
      </c>
      <c r="F491" s="41">
        <f>IF(C491&gt;0,(C491-1+D491)/C491^2,1/2)</f>
        <v>0.4970722135162926</v>
      </c>
      <c r="G491" s="41">
        <f>(C_air_CO2/C_sat_CO2*F_vent_ex-CO2_fix_sched)*(B491/3600)/(V_L_CO2+Vg_CO2)</f>
        <v>-0.23315633065302088</v>
      </c>
      <c r="H491" s="41">
        <f>(G491*E491+pool_b*D491)/(1-pool_ret*D491)</f>
        <v>21.397180004974093</v>
      </c>
      <c r="I491" s="41">
        <f>MIN(C_sat_CO2,MAX(C_air_CO2,(pool_ret*H491+pool_b)*E491+G491*F491))</f>
        <v>21.70433086167661</v>
      </c>
      <c r="J491" s="41">
        <f>IF(AND(I491&gt;=CO2_pH_hi_mt,I492&lt;CO2_pH_hi_mt),EXP(LN(A491)+(LN(A492)-LN(A491))*(I491-CO2_pH_hi_mt)/(I491-I492)),0)</f>
        <v>0.0</v>
      </c>
    </row>
    <row r="492">
      <c r="A492" s="41">
        <f>A491*grid_ratio</f>
        <v>22.08604240052033</v>
      </c>
      <c r="B492" s="41">
        <f>MAX(0,A492*60-spg_dur)</f>
        <v>1324.5125440312197</v>
      </c>
      <c r="C492" s="41">
        <f>k_eff_CO2*B492</f>
        <v>0.019233109406966407</v>
      </c>
      <c r="D492" s="41">
        <f>EXP(-C492)</f>
        <v>0.9809506667601157</v>
      </c>
      <c r="E492" s="41">
        <f>IF(C492&gt;0,(1-D492)/C492,1)</f>
        <v>0.9904448020757629</v>
      </c>
      <c r="F492" s="41">
        <f>IF(C492&gt;0,(C492-1+D492)/C492^2,1/2)</f>
        <v>0.49680983568769094</v>
      </c>
      <c r="G492" s="41">
        <f>(C_air_CO2/C_sat_CO2*F_vent_ex-CO2_fix_sched)*(B492/3600)/(V_L_CO2+Vg_CO2)</f>
        <v>-0.25415162557546767</v>
      </c>
      <c r="H492" s="41">
        <f>(G492*E492+pool_b*D492)/(1-pool_ret*D492)</f>
        <v>20.896816948876385</v>
      </c>
      <c r="I492" s="41">
        <f>MIN(C_sat_CO2,MAX(C_air_CO2,(pool_ret*H492+pool_b)*E492+G492*F492))</f>
        <v>21.226961315867836</v>
      </c>
      <c r="J492" s="41">
        <f>IF(AND(I492&gt;=CO2_pH_hi_mt,I493&lt;CO2_pH_hi_mt),EXP(LN(A492)+(LN(A493)-LN(A492))*(I492-CO2_pH_hi_mt)/(I492-I493)),0)</f>
        <v>0.0</v>
      </c>
    </row>
    <row r="493">
      <c r="A493" s="41">
        <f>A492*grid_ratio</f>
        <v>24.07378621656716</v>
      </c>
      <c r="B493" s="41">
        <f>MAX(0,A493*60-spg_dur)</f>
        <v>1443.7771729940296</v>
      </c>
      <c r="C493" s="41">
        <f>k_eff_CO2*B493</f>
        <v>0.02096493872603166</v>
      </c>
      <c r="D493" s="41">
        <f>EXP(-C493)</f>
        <v>0.9792532978357319</v>
      </c>
      <c r="E493" s="41">
        <f>IF(C493&gt;0,(1-D493)/C493,1)</f>
        <v>0.9895904030717448</v>
      </c>
      <c r="F493" s="41">
        <f>IF(C493&gt;0,(C493-1+D493)/C493^2,1/2)</f>
        <v>0.49652408071816123</v>
      </c>
      <c r="G493" s="41">
        <f>(C_air_CO2/C_sat_CO2*F_vent_ex-CO2_fix_sched)*(B493/3600)/(V_L_CO2+Vg_CO2)</f>
        <v>-0.27703649704093464</v>
      </c>
      <c r="H493" s="41">
        <f>(G493*E493+pool_b*D493)/(1-pool_ret*D493)</f>
        <v>20.36677861766155</v>
      </c>
      <c r="I493" s="41">
        <f>MIN(C_sat_CO2,MAX(C_air_CO2,(pool_ret*H493+pool_b)*E493+G493*F493))</f>
        <v>20.72126391927885</v>
      </c>
      <c r="J493" s="41">
        <f>IF(AND(I493&gt;=CO2_pH_hi_mt,I494&lt;CO2_pH_hi_mt),EXP(LN(A493)+(LN(A494)-LN(A493))*(I493-CO2_pH_hi_mt)/(I493-I494)),0)</f>
        <v>0.0</v>
      </c>
    </row>
    <row r="494">
      <c r="A494" s="41">
        <f>A493*grid_ratio</f>
        <v>26.240426976058206</v>
      </c>
      <c r="B494" s="41">
        <f>MAX(0,A494*60-spg_dur)</f>
        <v>1573.7756185634923</v>
      </c>
      <c r="C494" s="41">
        <f>k_eff_CO2*B494</f>
        <v>0.022852632683812792</v>
      </c>
      <c r="D494" s="41">
        <f>EXP(-C494)</f>
        <v>0.9774065109349087</v>
      </c>
      <c r="E494" s="41">
        <f>IF(C494&gt;0,(1-D494)/C494,1)</f>
        <v>0.9886602291164001</v>
      </c>
      <c r="F494" s="41">
        <f>IF(C494&gt;0,(C494-1+D494)/C494^2,1/2)</f>
        <v>0.49621288892597354</v>
      </c>
      <c r="G494" s="41">
        <f>(C_air_CO2/C_sat_CO2*F_vent_ex-CO2_fix_sched)*(B494/3600)/(V_L_CO2+Vg_CO2)</f>
        <v>-0.30198100693829366</v>
      </c>
      <c r="H494" s="41">
        <f>(G494*E494+pool_b*D494)/(1-pool_ret*D494)</f>
        <v>19.806490678935862</v>
      </c>
      <c r="I494" s="41">
        <f>MIN(C_sat_CO2,MAX(C_air_CO2,(pool_ret*H494+pool_b)*E494+G494*F494))</f>
        <v>20.186687049394266</v>
      </c>
      <c r="J494" s="41">
        <f>IF(AND(I494&gt;=CO2_pH_hi_mt,I495&lt;CO2_pH_hi_mt),EXP(LN(A494)+(LN(A495)-LN(A494))*(I494-CO2_pH_hi_mt)/(I494-I495)),0)</f>
        <v>0.0</v>
      </c>
    </row>
    <row r="495">
      <c r="A495" s="41">
        <f>A494*grid_ratio</f>
        <v>28.60206540390345</v>
      </c>
      <c r="B495" s="41">
        <f>MAX(0,A495*60-spg_dur)</f>
        <v>1715.4739242342068</v>
      </c>
      <c r="C495" s="41">
        <f>k_eff_CO2*B495</f>
        <v>0.02491021909779422</v>
      </c>
      <c r="D495" s="41">
        <f>EXP(-C495)</f>
        <v>0.975397480163079</v>
      </c>
      <c r="E495" s="41">
        <f>IF(C495&gt;0,(1-D495)/C495,1)</f>
        <v>0.9876476694297521</v>
      </c>
      <c r="F495" s="41">
        <f>IF(C495&gt;0,(C495-1+D495)/C495^2,1/2)</f>
        <v>0.49587402349832826</v>
      </c>
      <c r="G495" s="41">
        <f>(C_air_CO2/C_sat_CO2*F_vent_ex-CO2_fix_sched)*(B495/3600)/(V_L_CO2+Vg_CO2)</f>
        <v>-0.32917052272641495</v>
      </c>
      <c r="H495" s="41">
        <f>(G495*E495+pool_b*D495)/(1-pool_ret*D495)</f>
        <v>19.21554880905163</v>
      </c>
      <c r="I495" s="41">
        <f>MIN(C_sat_CO2,MAX(C_air_CO2,(pool_ret*H495+pool_b)*E495+G495*F495))</f>
        <v>19.62284071409303</v>
      </c>
      <c r="J495" s="41">
        <f>IF(AND(I495&gt;=CO2_pH_hi_mt,I496&lt;CO2_pH_hi_mt),EXP(LN(A495)+(LN(A496)-LN(A495))*(I495-CO2_pH_hi_mt)/(I495-I496)),0)</f>
        <v>0.0</v>
      </c>
    </row>
    <row r="496">
      <c r="A496" s="41">
        <f>A495*grid_ratio</f>
        <v>31.17625129025476</v>
      </c>
      <c r="B496" s="41">
        <f>MAX(0,A496*60-spg_dur)</f>
        <v>1869.9250774152856</v>
      </c>
      <c r="C496" s="41">
        <f>k_eff_CO2*B496</f>
        <v>0.027152988289033984</v>
      </c>
      <c r="D496" s="41">
        <f>EXP(-C496)</f>
        <v>0.9732123400437658</v>
      </c>
      <c r="E496" s="41">
        <f>IF(C496&gt;0,(1-D496)/C496,1)</f>
        <v>0.9865455570152732</v>
      </c>
      <c r="F496" s="41">
        <f>IF(C496&gt;0,(C496-1+D496)/C496^2,1/2)</f>
        <v>0.4955050560737503</v>
      </c>
      <c r="G496" s="41">
        <f>(C_air_CO2/C_sat_CO2*F_vent_ex-CO2_fix_sched)*(B496/3600)/(V_L_CO2+Vg_CO2)</f>
        <v>-0.3588070949354672</v>
      </c>
      <c r="H496" s="41">
        <f>(G496*E496+pool_b*D496)/(1-pool_ret*D496)</f>
        <v>18.593743309502308</v>
      </c>
      <c r="I496" s="41">
        <f>MIN(C_sat_CO2,MAX(C_air_CO2,(pool_ret*H496+pool_b)*E496+G496*F496))</f>
        <v>19.02951997616225</v>
      </c>
      <c r="J496" s="41">
        <f>IF(AND(I496&gt;=CO2_pH_hi_mt,I497&lt;CO2_pH_hi_mt),EXP(LN(A496)+(LN(A497)-LN(A496))*(I496-CO2_pH_hi_mt)/(I496-I497)),0)</f>
        <v>0.0</v>
      </c>
    </row>
    <row r="497">
      <c r="A497" s="41">
        <f>A496*grid_ratio</f>
        <v>33.98211390637769</v>
      </c>
      <c r="B497" s="41">
        <f>MAX(0,A497*60-spg_dur)</f>
        <v>2038.2768343826615</v>
      </c>
      <c r="C497" s="41">
        <f>k_eff_CO2*B497</f>
        <v>0.029597606707485322</v>
      </c>
      <c r="D497" s="41">
        <f>EXP(-C497)</f>
        <v>0.9708361128999443</v>
      </c>
      <c r="E497" s="41">
        <f>IF(C497&gt;0,(1-D497)/C497,1)</f>
        <v>0.9853461257284716</v>
      </c>
      <c r="F497" s="41">
        <f>IF(C497&gt;0,(C497-1+D497)/C497^2,1/2)</f>
        <v>0.49510335130655203</v>
      </c>
      <c r="G497" s="41">
        <f>(C_air_CO2/C_sat_CO2*F_vent_ex-CO2_fix_sched)*(B497/3600)/(V_L_CO2+Vg_CO2)</f>
        <v>-0.39111095864333423</v>
      </c>
      <c r="H497" s="41">
        <f>(G497*E497+pool_b*D497)/(1-pool_ret*D497)</f>
        <v>17.941083173279143</v>
      </c>
      <c r="I497" s="41">
        <f>MIN(C_sat_CO2,MAX(C_air_CO2,(pool_ret*H497+pool_b)*E497+G497*F497))</f>
        <v>18.40672785054989</v>
      </c>
      <c r="J497" s="41">
        <f>IF(AND(I497&gt;=CO2_pH_hi_mt,I498&lt;CO2_pH_hi_mt),EXP(LN(A497)+(LN(A498)-LN(A497))*(I497-CO2_pH_hi_mt)/(I497-I498)),0)</f>
        <v>0.0</v>
      </c>
    </row>
    <row r="498">
      <c r="A498" s="41">
        <f>A497*grid_ratio</f>
        <v>37.04050415795169</v>
      </c>
      <c r="B498" s="41">
        <f>MAX(0,A498*60-spg_dur)</f>
        <v>2221.7802494771013</v>
      </c>
      <c r="C498" s="41">
        <f>k_eff_CO2*B498</f>
        <v>0.03226224078359728</v>
      </c>
      <c r="D498" s="41">
        <f>EXP(-C498)</f>
        <v>0.9682526334534927</v>
      </c>
      <c r="E498" s="41">
        <f>IF(C498&gt;0,(1-D498)/C498,1)</f>
        <v>0.9840409647754004</v>
      </c>
      <c r="F498" s="41">
        <f>IF(C498&gt;0,(C498-1+D498)/C498^2,1/2)</f>
        <v>0.4946660503728531</v>
      </c>
      <c r="G498" s="41">
        <f>(C_air_CO2/C_sat_CO2*F_vent_ex-CO2_fix_sched)*(B498/3600)/(V_L_CO2+Vg_CO2)</f>
        <v>-0.42632217008490914</v>
      </c>
      <c r="H498" s="41">
        <f>(G498*E498+pool_b*D498)/(1-pool_ret*D498)</f>
        <v>17.25781884005553</v>
      </c>
      <c r="I498" s="41">
        <f>MIN(C_sat_CO2,MAX(C_air_CO2,(pool_ret*H498+pool_b)*E498+G498*F498))</f>
        <v>17.754696948734153</v>
      </c>
      <c r="J498" s="41">
        <f>IF(AND(I498&gt;=CO2_pH_hi_mt,I499&lt;CO2_pH_hi_mt),EXP(LN(A498)+(LN(A499)-LN(A498))*(I498-CO2_pH_hi_mt)/(I498-I499)),0)</f>
        <v>0.0</v>
      </c>
    </row>
    <row r="499">
      <c r="A499" s="41">
        <f>A498*grid_ratio</f>
        <v>40.374149532167344</v>
      </c>
      <c r="B499" s="41">
        <f>MAX(0,A499*60-spg_dur)</f>
        <v>2421.7989719300404</v>
      </c>
      <c r="C499" s="41">
        <f>k_eff_CO2*B499</f>
        <v>0.035166691926559315</v>
      </c>
      <c r="D499" s="41">
        <f>EXP(-C499)</f>
        <v>0.9654444710449408</v>
      </c>
      <c r="E499" s="41">
        <f>IF(C499&gt;0,(1-D499)/C499,1)</f>
        <v>0.9826209706395915</v>
      </c>
      <c r="F499" s="41">
        <f>IF(C499&gt;0,(C499-1+D499)/C499^2,1/2)</f>
        <v>0.4941900533806751</v>
      </c>
      <c r="G499" s="41">
        <f>(C_air_CO2/C_sat_CO2*F_vent_ex-CO2_fix_sched)*(B499/3600)/(V_L_CO2+Vg_CO2)</f>
        <v>-0.4647023905562259</v>
      </c>
      <c r="H499" s="41">
        <f>(G499*E499+pool_b*D499)/(1-pool_ret*D499)</f>
        <v>16.54446279814715</v>
      </c>
      <c r="I499" s="41">
        <f>MIN(C_sat_CO2,MAX(C_air_CO2,(pool_ret*H499+pool_b)*E499+G499*F499))</f>
        <v>17.073909067454217</v>
      </c>
      <c r="J499" s="41">
        <f>IF(AND(I499&gt;=CO2_pH_hi_mt,I500&lt;CO2_pH_hi_mt),EXP(LN(A499)+(LN(A500)-LN(A499))*(I499-CO2_pH_hi_mt)/(I499-I500)),0)</f>
        <v>0.0</v>
      </c>
    </row>
    <row r="500">
      <c r="A500" s="41">
        <f>A499*grid_ratio</f>
        <v>44.00782299006241</v>
      </c>
      <c r="B500" s="41">
        <f>MAX(0,A500*60-spg_dur)</f>
        <v>2639.8193794037443</v>
      </c>
      <c r="C500" s="41">
        <f>k_eff_CO2*B500</f>
        <v>0.038332543672387934</v>
      </c>
      <c r="D500" s="41">
        <f>EXP(-C500)</f>
        <v>0.962392850019427</v>
      </c>
      <c r="E500" s="41">
        <f>IF(C500&gt;0,(1-D500)/C500,1)</f>
        <v>0.9810762964750123</v>
      </c>
      <c r="F500" s="41">
        <f>IF(C500&gt;0,(C500-1+D500)/C500^2,1/2)</f>
        <v>0.4936720006561611</v>
      </c>
      <c r="G500" s="41">
        <f>(C_air_CO2/C_sat_CO2*F_vent_ex-CO2_fix_sched)*(B500/3600)/(V_L_CO2+Vg_CO2)</f>
        <v>-0.5065368308699612</v>
      </c>
      <c r="H500" s="41">
        <f>(G500*E500+pool_b*D500)/(1-pool_ret*D500)</f>
        <v>15.80180713684607</v>
      </c>
      <c r="I500" s="41">
        <f>MIN(C_sat_CO2,MAX(C_air_CO2,(pool_ret*H500+pool_b)*E500+G500*F500))</f>
        <v>16.365111867225448</v>
      </c>
      <c r="J500" s="41">
        <f>IF(AND(I500&gt;=CO2_pH_hi_mt,I501&lt;CO2_pH_hi_mt),EXP(LN(A500)+(LN(A501)-LN(A500))*(I500-CO2_pH_hi_mt)/(I500-I501)),0)</f>
        <v>0.0</v>
      </c>
    </row>
    <row r="501">
      <c r="A501" s="41">
        <f>A500*grid_ratio</f>
        <v>47.968527059168025</v>
      </c>
      <c r="B501" s="41">
        <f>MAX(0,A501*60-spg_dur)</f>
        <v>2877.461623550081</v>
      </c>
      <c r="C501" s="41">
        <f>k_eff_CO2*B501</f>
        <v>0.04178332207534113</v>
      </c>
      <c r="D501" s="41">
        <f>EXP(-C501)</f>
        <v>0.9590775689973264</v>
      </c>
      <c r="E501" s="41">
        <f>IF(C501&gt;0,(1-D501)/C501,1)</f>
        <v>0.9793962990516825</v>
      </c>
      <c r="F501" s="41">
        <f>IF(C501&gt;0,(C501-1+D501)/C501^2,1/2)</f>
        <v>0.4931082528853263</v>
      </c>
      <c r="G501" s="41">
        <f>(C_air_CO2/C_sat_CO2*F_vent_ex-CO2_fix_sched)*(B501/3600)/(V_L_CO2+Vg_CO2)</f>
        <v>-0.5521363708119325</v>
      </c>
      <c r="H501" s="41">
        <f>(G501*E501+pool_b*D501)/(1-pool_ret*D501)</f>
        <v>15.03093713389027</v>
      </c>
      <c r="I501" s="41">
        <f>MIN(C_sat_CO2,MAX(C_air_CO2,(pool_ret*H501+pool_b)*E501+G501*F501))</f>
        <v>15.629331768087608</v>
      </c>
      <c r="J501" s="41">
        <f>IF(AND(I501&gt;=CO2_pH_hi_mt,I502&lt;CO2_pH_hi_mt),EXP(LN(A501)+(LN(A502)-LN(A501))*(I501-CO2_pH_hi_mt)/(I501-I502)),0)</f>
        <v>0.0</v>
      </c>
    </row>
    <row r="502">
      <c r="A502" s="41">
        <f>A501*grid_ratio</f>
        <v>52.28569449449315</v>
      </c>
      <c r="B502" s="41">
        <f>MAX(0,A502*60-spg_dur)</f>
        <v>3136.491669669589</v>
      </c>
      <c r="C502" s="41">
        <f>k_eff_CO2*B502</f>
        <v>0.045544670534560114</v>
      </c>
      <c r="D502" s="41">
        <f>EXP(-C502)</f>
        <v>0.9554769199538596</v>
      </c>
      <c r="E502" s="41">
        <f>IF(C502&gt;0,(1-D502)/C502,1)</f>
        <v>0.977569483401037</v>
      </c>
      <c r="F502" s="41">
        <f>IF(C502&gt;0,(C502-1+D502)/C502^2,1/2)</f>
        <v>0.49249487010653925</v>
      </c>
      <c r="G502" s="41">
        <f>(C_air_CO2/C_sat_CO2*F_vent_ex-CO2_fix_sched)*(B502/3600)/(V_L_CO2+Vg_CO2)</f>
        <v>-0.6018398693486814</v>
      </c>
      <c r="H502" s="41">
        <f>(G502*E502+pool_b*D502)/(1-pool_ret*D502)</f>
        <v>14.233239987677994</v>
      </c>
      <c r="I502" s="41">
        <f>MIN(C_sat_CO2,MAX(C_air_CO2,(pool_ret*H502+pool_b)*E502+G502*F502))</f>
        <v>14.867882213683291</v>
      </c>
      <c r="J502" s="41">
        <f>IF(AND(I502&gt;=CO2_pH_hi_mt,I503&lt;CO2_pH_hi_mt),EXP(LN(A502)+(LN(A503)-LN(A502))*(I502-CO2_pH_hi_mt)/(I502-I503)),0)</f>
        <v>0.0</v>
      </c>
    </row>
    <row r="503">
      <c r="A503" s="41">
        <f>A502*grid_ratio</f>
        <v>56.99140699899754</v>
      </c>
      <c r="B503" s="41">
        <f>MAX(0,A503*60-spg_dur)</f>
        <v>3418.8344199398525</v>
      </c>
      <c r="C503" s="41">
        <f>k_eff_CO2*B503</f>
        <v>0.049644540355108804</v>
      </c>
      <c r="D503" s="41">
        <f>EXP(-C503)</f>
        <v>0.9515676082759386</v>
      </c>
      <c r="E503" s="41">
        <f>IF(C503&gt;0,(1-D503)/C503,1)</f>
        <v>0.9755834453823757</v>
      </c>
      <c r="F503" s="41">
        <f>IF(C503&gt;0,(C503-1+D503)/C503^2,1/2)</f>
        <v>0.4918275895591262</v>
      </c>
      <c r="G503" s="41">
        <f>(C_air_CO2/C_sat_CO2*F_vent_ex-CO2_fix_sched)*(B503/3600)/(V_L_CO2+Vg_CO2)</f>
        <v>-0.6560166827537377</v>
      </c>
      <c r="H503" s="41">
        <f>(G503*E503+pool_b*D503)/(1-pool_ret*D503)</f>
        <v>13.410407878796054</v>
      </c>
      <c r="I503" s="41">
        <f>MIN(C_sat_CO2,MAX(C_air_CO2,(pool_ret*H503+pool_b)*E503+G503*F503))</f>
        <v>14.082366526176253</v>
      </c>
      <c r="J503" s="41">
        <f>IF(AND(I503&gt;=CO2_pH_hi_mt,I504&lt;CO2_pH_hi_mt),EXP(LN(A503)+(LN(A504)-LN(A503))*(I503-CO2_pH_hi_mt)/(I503-I504)),0)</f>
        <v>0.0</v>
      </c>
    </row>
    <row r="504">
      <c r="A504" s="41">
        <f>A503*grid_ratio</f>
        <v>62.12063362890732</v>
      </c>
      <c r="B504" s="41">
        <f>MAX(0,A504*60-spg_dur)</f>
        <v>3726.5880177344393</v>
      </c>
      <c r="C504" s="41">
        <f>k_eff_CO2*B504</f>
        <v>0.05411339845950688</v>
      </c>
      <c r="D504" s="41">
        <f>EXP(-C504)</f>
        <v>0.9473246752518178</v>
      </c>
      <c r="E504" s="41">
        <f>IF(C504&gt;0,(1-D504)/C504,1)</f>
        <v>0.9734248124814996</v>
      </c>
      <c r="F504" s="41">
        <f>IF(C504&gt;0,(C504-1+D504)/C504^2,1/2)</f>
        <v>0.49110180241936374</v>
      </c>
      <c r="G504" s="41">
        <f>(C_air_CO2/C_sat_CO2*F_vent_ex-CO2_fix_sched)*(B504/3600)/(V_L_CO2+Vg_CO2)</f>
        <v>-0.715069409365249</v>
      </c>
      <c r="H504" s="41">
        <f>(G504*E504+pool_b*D504)/(1-pool_ret*D504)</f>
        <v>12.56443467418827</v>
      </c>
      <c r="I504" s="41">
        <f>MIN(C_sat_CO2,MAX(C_air_CO2,(pool_ret*H504+pool_b)*E504+G504*F504))</f>
        <v>13.274674697186969</v>
      </c>
      <c r="J504" s="41">
        <f>IF(AND(I504&gt;=CO2_pH_hi_mt,I505&lt;CO2_pH_hi_mt),EXP(LN(A504)+(LN(A505)-LN(A504))*(I504-CO2_pH_hi_mt)/(I504-I505)),0)</f>
        <v>0.0</v>
      </c>
    </row>
    <row r="505">
      <c r="A505" s="41">
        <f>A504*grid_ratio</f>
        <v>67.71149065550898</v>
      </c>
      <c r="B505" s="41">
        <f>MAX(0,A505*60-spg_dur)</f>
        <v>4062.0394393305387</v>
      </c>
      <c r="C505" s="41">
        <f>k_eff_CO2*B505</f>
        <v>0.05898445379330077</v>
      </c>
      <c r="D505" s="41">
        <f>EXP(-C505)</f>
        <v>0.9427214247853093</v>
      </c>
      <c r="E505" s="41">
        <f>IF(C505&gt;0,(1-D505)/C505,1)</f>
        <v>0.9710791832609322</v>
      </c>
      <c r="F505" s="41">
        <f>IF(C505&gt;0,(C505-1+D505)/C505^2,1/2)</f>
        <v>0.4903125294745401</v>
      </c>
      <c r="G505" s="41">
        <f>(C_air_CO2/C_sat_CO2*F_vent_ex-CO2_fix_sched)*(B505/3600)/(V_L_CO2+Vg_CO2)</f>
        <v>-0.7794368813717961</v>
      </c>
      <c r="H505" s="41">
        <f>(G505*E505+pool_b*D505)/(1-pool_ret*D505)</f>
        <v>11.697605769853773</v>
      </c>
      <c r="I505" s="41">
        <f>MIN(C_sat_CO2,MAX(C_air_CO2,(pool_ret*H505+pool_b)*E505+G505*F505))</f>
        <v>12.446973633876029</v>
      </c>
      <c r="J505" s="41">
        <f>IF(AND(I505&gt;=CO2_pH_hi_mt,I506&lt;CO2_pH_hi_mt),EXP(LN(A505)+(LN(A506)-LN(A505))*(I505-CO2_pH_hi_mt)/(I505-I506)),0)</f>
        <v>0.0</v>
      </c>
    </row>
    <row r="506">
      <c r="A506" s="41">
        <f>A505*grid_ratio</f>
        <v>73.8055248145048</v>
      </c>
      <c r="B506" s="41">
        <f>MAX(0,A506*60-spg_dur)</f>
        <v>4427.681488870288</v>
      </c>
      <c r="C506" s="41">
        <f>k_eff_CO2*B506</f>
        <v>0.06429390410713613</v>
      </c>
      <c r="D506" s="41">
        <f>EXP(-C506)</f>
        <v>0.9377293565171443</v>
      </c>
      <c r="E506" s="41">
        <f>IF(C506&gt;0,(1-D506)/C506,1)</f>
        <v>0.9685310660104112</v>
      </c>
      <c r="F506" s="41">
        <f>IF(C506&gt;0,(C506-1+D506)/C506^2,1/2)</f>
        <v>0.4894543958187682</v>
      </c>
      <c r="G506" s="41">
        <f>(C_air_CO2/C_sat_CO2*F_vent_ex-CO2_fix_sched)*(B506/3600)/(V_L_CO2+Vg_CO2)</f>
        <v>-0.8495974258589328</v>
      </c>
      <c r="H506" s="41">
        <f>(G506*E506+pool_b*D506)/(1-pool_ret*D506)</f>
        <v>10.81248079996858</v>
      </c>
      <c r="I506" s="41">
        <f>MIN(C_sat_CO2,MAX(C_air_CO2,(pool_ret*H506+pool_b)*E506+G506*F506))</f>
        <v>11.601690600368505</v>
      </c>
      <c r="J506" s="41">
        <f>IF(AND(I506&gt;=CO2_pH_hi_mt,I507&lt;CO2_pH_hi_mt),EXP(LN(A506)+(LN(A507)-LN(A506))*(I506-CO2_pH_hi_mt)/(I506-I507)),0)</f>
        <v>0.0</v>
      </c>
    </row>
    <row r="507">
      <c r="A507" s="41">
        <f>A506*grid_ratio</f>
        <v>80.44802204781024</v>
      </c>
      <c r="B507" s="41">
        <f>MAX(0,A507*60-spg_dur)</f>
        <v>4826.231322868614</v>
      </c>
      <c r="C507" s="41">
        <f>k_eff_CO2*B507</f>
        <v>0.07008120494921667</v>
      </c>
      <c r="D507" s="41">
        <f>EXP(-C507)</f>
        <v>0.9323181079872856</v>
      </c>
      <c r="E507" s="41">
        <f>IF(C507&gt;0,(1-D507)/C507,1)</f>
        <v>0.9657638172996462</v>
      </c>
      <c r="F507" s="41">
        <f>IF(C507&gt;0,(C507-1+D507)/C507^2,1/2)</f>
        <v>0.4885216046893365</v>
      </c>
      <c r="G507" s="41">
        <f>(C_air_CO2/C_sat_CO2*F_vent_ex-CO2_fix_sched)*(B507/3600)/(V_L_CO2+Vg_CO2)</f>
        <v>-0.9260724193499118</v>
      </c>
      <c r="H507" s="41">
        <f>(G507*E507+pool_b*D507)/(1-pool_ret*D507)</f>
        <v>9.911869212691476</v>
      </c>
      <c r="I507" s="41">
        <f>MIN(C_sat_CO2,MAX(C_air_CO2,(pool_ret*H507+pool_b)*E507+G507*F507))</f>
        <v>10.741489854242179</v>
      </c>
      <c r="J507" s="41">
        <f>IF(AND(I507&gt;=CO2_pH_hi_mt,I508&lt;CO2_pH_hi_mt),EXP(LN(A507)+(LN(A508)-LN(A507))*(I507-CO2_pH_hi_mt)/(I507-I508)),0)</f>
        <v>0.0</v>
      </c>
    </row>
    <row r="508">
      <c r="A508" s="41">
        <f>A507*grid_ratio</f>
        <v>87.68834403211316</v>
      </c>
      <c r="B508" s="41">
        <f>MAX(0,A508*60-spg_dur)</f>
        <v>5260.65064192679</v>
      </c>
      <c r="C508" s="41">
        <f>k_eff_CO2*B508</f>
        <v>0.07638936286708445</v>
      </c>
      <c r="D508" s="41">
        <f>EXP(-C508)</f>
        <v>0.9264554089890823</v>
      </c>
      <c r="E508" s="41">
        <f>IF(C508&gt;0,(1-D508)/C508,1)</f>
        <v>0.962759581316098</v>
      </c>
      <c r="F508" s="41">
        <f>IF(C508&gt;0,(C508-1+D508)/C508^2,1/2)</f>
        <v>0.48750791060659926</v>
      </c>
      <c r="G508" s="41">
        <f>(C_air_CO2/C_sat_CO2*F_vent_ex-CO2_fix_sched)*(B508/3600)/(V_L_CO2+Vg_CO2)</f>
        <v>-1.0094301622550788</v>
      </c>
      <c r="H508" s="41">
        <f>(G508*E508+pool_b*D508)/(1-pool_ret*D508)</f>
        <v>8.998799012005922</v>
      </c>
      <c r="I508" s="41">
        <f>MIN(C_sat_CO2,MAX(C_air_CO2,(pool_ret*H508+pool_b)*E508+G508*F508))</f>
        <v>9.869242762800441</v>
      </c>
      <c r="J508" s="41">
        <f>IF(AND(I508&gt;=CO2_pH_hi_mt,I509&lt;CO2_pH_hi_mt),EXP(LN(A508)+(LN(A509)-LN(A508))*(I508-CO2_pH_hi_mt)/(I508-I509)),0)</f>
        <v>0.0</v>
      </c>
    </row>
    <row r="509">
      <c r="A509" s="41">
        <f>A508*grid_ratio</f>
        <v>95.58029499500336</v>
      </c>
      <c r="B509" s="41">
        <f>MAX(0,A509*60-spg_dur)</f>
        <v>5734.167699700201</v>
      </c>
      <c r="C509" s="41">
        <f>k_eff_CO2*B509</f>
        <v>0.08326525499756034</v>
      </c>
      <c r="D509" s="41">
        <f>EXP(-C509)</f>
        <v>0.9201070518540033</v>
      </c>
      <c r="E509" s="41">
        <f>IF(C509&gt;0,(1-D509)/C509,1)</f>
        <v>0.9594992310818904</v>
      </c>
      <c r="F509" s="41">
        <f>IF(C509&gt;0,(C509-1+D509)/C509^2,1/2)</f>
        <v>0.4864065920328481</v>
      </c>
      <c r="G509" s="41">
        <f>(C_air_CO2/C_sat_CO2*F_vent_ex-CO2_fix_sched)*(B509/3600)/(V_L_CO2+Vg_CO2)</f>
        <v>-1.1002901020217108</v>
      </c>
      <c r="H509" s="41">
        <f>(G509*E509+pool_b*D509)/(1-pool_ret*D509)</f>
        <v>8.076479273282729</v>
      </c>
      <c r="I509" s="41">
        <f>MIN(C_sat_CO2,MAX(C_air_CO2,(pool_ret*H509+pool_b)*E509+G509*F509))</f>
        <v>8.987991977656108</v>
      </c>
      <c r="J509" s="41">
        <f>IF(AND(I509&gt;=CO2_pH_hi_mt,I510&lt;CO2_pH_hi_mt),EXP(LN(A509)+(LN(A510)-LN(A509))*(I509-CO2_pH_hi_mt)/(I509-I510)),0)</f>
        <v>0.0</v>
      </c>
    </row>
    <row r="510">
      <c r="A510" s="41">
        <f>A509*grid_ratio</f>
        <v>104.18252154455367</v>
      </c>
      <c r="B510" s="41">
        <f>MAX(0,A510*60-spg_dur)</f>
        <v>6250.30129267322</v>
      </c>
      <c r="C510" s="41">
        <f>k_eff_CO2*B510</f>
        <v>0.09075997741977904</v>
      </c>
      <c r="D510" s="41">
        <f>EXP(-C510)</f>
        <v>0.9132368820679858</v>
      </c>
      <c r="E510" s="41">
        <f>IF(C510&gt;0,(1-D510)/C510,1)</f>
        <v>0.9559623128895377</v>
      </c>
      <c r="F510" s="41">
        <f>IF(C510&gt;0,(C510-1+D510)/C510^2,1/2)</f>
        <v>0.48521042382790686</v>
      </c>
      <c r="G510" s="41">
        <f>(C_air_CO2/C_sat_CO2*F_vent_ex-CO2_fix_sched)*(B510/3600)/(V_L_CO2+Vg_CO2)</f>
        <v>-1.1993274363673396</v>
      </c>
      <c r="H510" s="41">
        <f>(G510*E510+pool_b*D510)/(1-pool_ret*D510)</f>
        <v>7.148257337755102</v>
      </c>
      <c r="I510" s="41">
        <f>MIN(C_sat_CO2,MAX(C_air_CO2,(pool_ret*H510+pool_b)*E510+G510*F510))</f>
        <v>8.1009105296435</v>
      </c>
      <c r="J510" s="41">
        <f>IF(AND(I510&gt;=CO2_pH_hi_mt,I511&lt;CO2_pH_hi_mt),EXP(LN(A510)+(LN(A511)-LN(A510))*(I510-CO2_pH_hi_mt)/(I510-I511)),0)</f>
        <v>0.0</v>
      </c>
    </row>
    <row r="511">
      <c r="A511" s="41">
        <f>A510*grid_ratio</f>
        <v>113.55894848356351</v>
      </c>
      <c r="B511" s="41">
        <f>MAX(0,A511*60-spg_dur)</f>
        <v>6812.886909013811</v>
      </c>
      <c r="C511" s="41">
        <f>k_eff_CO2*B511</f>
        <v>0.09892922485999746</v>
      </c>
      <c r="D511" s="41">
        <f>EXP(-C511)</f>
        <v>0.9058068143590559</v>
      </c>
      <c r="E511" s="41">
        <f>IF(C511&gt;0,(1-D511)/C511,1)</f>
        <v>0.9521269955793583</v>
      </c>
      <c r="F511" s="41">
        <f>IF(C511&gt;0,(C511-1+D511)/C511^2,1/2)</f>
        <v>0.4839116498526134</v>
      </c>
      <c r="G511" s="41">
        <f>(C_air_CO2/C_sat_CO2*F_vent_ex-CO2_fix_sched)*(B511/3600)/(V_L_CO2+Vg_CO2)</f>
        <v>-1.3072781308040753</v>
      </c>
      <c r="H511" s="41">
        <f>(G511*E511+pool_b*D511)/(1-pool_ret*D511)</f>
        <v>6.2175718568540965</v>
      </c>
      <c r="I511" s="41">
        <f>MIN(C_sat_CO2,MAX(C_air_CO2,(pool_ret*H511+pool_b)*E511+G511*F511))</f>
        <v>7.2112569593139115</v>
      </c>
      <c r="J511" s="41">
        <f>IF(AND(I511&gt;=CO2_pH_hi_mt,I512&lt;CO2_pH_hi_mt),EXP(LN(A511)+(LN(A512)-LN(A511))*(I511-CO2_pH_hi_mt)/(I511-I512)),0)</f>
        <v>0.0</v>
      </c>
    </row>
    <row r="512">
      <c r="A512" s="41">
        <f>A511*grid_ratio</f>
        <v>123.77925384708423</v>
      </c>
      <c r="B512" s="41">
        <f>MAX(0,A512*60-spg_dur)</f>
        <v>7426.105230825055</v>
      </c>
      <c r="C512" s="41">
        <f>k_eff_CO2*B512</f>
        <v>0.10783370456983551</v>
      </c>
      <c r="D512" s="41">
        <f>EXP(-C512)</f>
        <v>0.8977768802099719</v>
      </c>
      <c r="E512" s="41">
        <f>IF(C512&gt;0,(1-D512)/C512,1)</f>
        <v>0.947970026605421</v>
      </c>
      <c r="F512" s="41">
        <f>IF(C512&gt;0,(C512-1+D512)/C512^2,1/2)</f>
        <v>0.482501956156793</v>
      </c>
      <c r="G512" s="41">
        <f>(C_air_CO2/C_sat_CO2*F_vent_ex-CO2_fix_sched)*(B512/3600)/(V_L_CO2+Vg_CO2)</f>
        <v>-1.424944387740117</v>
      </c>
      <c r="H512" s="41">
        <f>(G512*E512+pool_b*D512)/(1-pool_ret*D512)</f>
        <v>5.287903071576869</v>
      </c>
      <c r="I512" s="41">
        <f>MIN(C_sat_CO2,MAX(C_air_CO2,(pool_ret*H512+pool_b)*E512+G512*F512))</f>
        <v>6.32232780240464</v>
      </c>
      <c r="J512" s="41">
        <f>IF(AND(I512&gt;=CO2_pH_hi_mt,I513&lt;CO2_pH_hi_mt),EXP(LN(A512)+(LN(A513)-LN(A512))*(I512-CO2_pH_hi_mt)/(I512-I513)),0)</f>
        <v>0.0</v>
      </c>
    </row>
    <row r="513">
      <c r="A513" s="41">
        <f>A512*grid_ratio</f>
        <v>134.91938669332183</v>
      </c>
      <c r="B513" s="41">
        <f>MAX(0,A513*60-spg_dur)</f>
        <v>8094.5132015993095</v>
      </c>
      <c r="C513" s="41">
        <f>k_eff_CO2*B513</f>
        <v>0.11753958745355898</v>
      </c>
      <c r="D513" s="41">
        <f>EXP(-C513)</f>
        <v>0.8891053136344383</v>
      </c>
      <c r="E513" s="41">
        <f>IF(C513&gt;0,(1-D513)/C513,1)</f>
        <v>0.9434666972042692</v>
      </c>
      <c r="F513" s="41">
        <f>IF(C513&gt;0,(C513-1+D513)/C513^2,1/2)</f>
        <v>0.4809724452884225</v>
      </c>
      <c r="G513" s="41">
        <f>(C_air_CO2/C_sat_CO2*F_vent_ex-CO2_fix_sched)*(B513/3600)/(V_L_CO2+Vg_CO2)</f>
        <v>-1.5532006078004024</v>
      </c>
      <c r="H513" s="41">
        <f>(G513*E513+pool_b*D513)/(1-pool_ret*D513)</f>
        <v>4.362721858149232</v>
      </c>
      <c r="I513" s="41">
        <f>MIN(C_sat_CO2,MAX(C_air_CO2,(pool_ret*H513+pool_b)*E513+G513*F513))</f>
        <v>5.437408888882788</v>
      </c>
      <c r="J513" s="41">
        <f>IF(AND(I513&gt;=CO2_pH_hi_mt,I514&lt;CO2_pH_hi_mt),EXP(LN(A513)+(LN(A514)-LN(A513))*(I513-CO2_pH_hi_mt)/(I513-I514)),0)</f>
        <v>0.0</v>
      </c>
    </row>
    <row r="514">
      <c r="A514" s="41">
        <f>A513*grid_ratio</f>
        <v>147.0621314957208</v>
      </c>
      <c r="B514" s="41">
        <f>MAX(0,A514*60-spg_dur)</f>
        <v>8823.077889743248</v>
      </c>
      <c r="C514" s="41">
        <f>k_eff_CO2*B514</f>
        <v>0.1281189997968176</v>
      </c>
      <c r="D514" s="41">
        <f>EXP(-C514)</f>
        <v>0.8797486830008298</v>
      </c>
      <c r="E514" s="41">
        <f>IF(C514&gt;0,(1-D514)/C514,1)</f>
        <v>0.9385908193934965</v>
      </c>
      <c r="F514" s="41">
        <f>IF(C514&gt;0,(C514-1+D514)/C514^2,1/2)</f>
        <v>0.47931361237514947</v>
      </c>
      <c r="G514" s="41">
        <f>(C_air_CO2/C_sat_CO2*F_vent_ex-CO2_fix_sched)*(B514/3600)/(V_L_CO2+Vg_CO2)</f>
        <v>-1.6929998876661139</v>
      </c>
      <c r="H514" s="41">
        <f>(G514*E514+pool_b*D514)/(1-pool_ret*D514)</f>
        <v>3.4454391375650975</v>
      </c>
      <c r="I514" s="41">
        <f>MIN(C_sat_CO2,MAX(C_air_CO2,(pool_ret*H514+pool_b)*E514+G514*F514))</f>
        <v>4.5597269773730735</v>
      </c>
      <c r="J514" s="41">
        <f>IF(AND(I514&gt;=CO2_pH_hi_mt,I515&lt;CO2_pH_hi_mt),EXP(LN(A514)+(LN(A515)-LN(A514))*(I514-CO2_pH_hi_mt)/(I514-I515)),0)</f>
        <v>0.0</v>
      </c>
    </row>
    <row r="515">
      <c r="A515" s="41">
        <f>A514*grid_ratio</f>
        <v>160.29772333033569</v>
      </c>
      <c r="B515" s="41">
        <f>MAX(0,A515*60-spg_dur)</f>
        <v>9617.21339982014</v>
      </c>
      <c r="C515" s="41">
        <f>k_eff_CO2*B515</f>
        <v>0.13965055925096945</v>
      </c>
      <c r="D515" s="41">
        <f>EXP(-C515)</f>
        <v>0.8696620776761042</v>
      </c>
      <c r="E515" s="41">
        <f>IF(C515&gt;0,(1-D515)/C515,1)</f>
        <v>0.9333147179859292</v>
      </c>
      <c r="F515" s="41">
        <f>IF(C515&gt;0,(C515-1+D515)/C515^2,1/2)</f>
        <v>0.4775153237605673</v>
      </c>
      <c r="G515" s="41">
        <f>(C_air_CO2/C_sat_CO2*F_vent_ex-CO2_fix_sched)*(B515/3600)/(V_L_CO2+Vg_CO2)</f>
        <v>-1.8453811027197387</v>
      </c>
      <c r="H515" s="41">
        <f>(G515*E515+pool_b*D515)/(1-pool_ret*D515)</f>
        <v>2.5393572277784644</v>
      </c>
      <c r="I515" s="41">
        <f>MIN(C_sat_CO2,MAX(C_air_CO2,(pool_ret*H515+pool_b)*E515+G515*F515))</f>
        <v>3.6924032288782063</v>
      </c>
      <c r="J515" s="41">
        <f>IF(AND(I515&gt;=CO2_pH_hi_mt,I516&lt;CO2_pH_hi_mt),EXP(LN(A515)+(LN(A516)-LN(A515))*(I515-CO2_pH_hi_mt)/(I515-I516)),0)</f>
        <v>0.0</v>
      </c>
    </row>
    <row r="516">
      <c r="A516" s="41">
        <f>A515*grid_ratio</f>
        <v>174.7245184300659</v>
      </c>
      <c r="B516" s="41">
        <f>MAX(0,A516*60-spg_dur)</f>
        <v>10482.821105803954</v>
      </c>
      <c r="C516" s="41">
        <f>k_eff_CO2*B516</f>
        <v>0.15221995905599497</v>
      </c>
      <c r="D516" s="41">
        <f>EXP(-C516)</f>
        <v>0.8587993592680371</v>
      </c>
      <c r="E516" s="41">
        <f>IF(C516&gt;0,(1-D516)/C516,1)</f>
        <v>0.9276092413086346</v>
      </c>
      <c r="F516" s="41">
        <f>IF(C516&gt;0,(C516-1+D516)/C516^2,1/2)</f>
        <v>0.4755667991260979</v>
      </c>
      <c r="G516" s="41">
        <f>(C_air_CO2/C_sat_CO2*F_vent_ex-CO2_fix_sched)*(B516/3600)/(V_L_CO2+Vg_CO2)</f>
        <v>-2.0114766271281908</v>
      </c>
      <c r="H516" s="41">
        <f>(G516*E516+pool_b*D516)/(1-pool_ret*D516)</f>
        <v>1.647624614901869</v>
      </c>
      <c r="I516" s="41">
        <f>MIN(C_sat_CO2,MAX(C_air_CO2,(pool_ret*H516+pool_b)*E516+G516*F516))</f>
        <v>2.838409926141868</v>
      </c>
      <c r="J516" s="41">
        <f>IF(AND(I516&gt;=CO2_pH_hi_mt,I517&lt;CO2_pH_hi_mt),EXP(LN(A516)+(LN(A517)-LN(A516))*(I516-CO2_pH_hi_mt)/(I516-I517)),0)</f>
        <v>0.0</v>
      </c>
    </row>
    <row r="517">
      <c r="A517" s="41">
        <f>A516*grid_ratio</f>
        <v>190.44972508877186</v>
      </c>
      <c r="B517" s="41">
        <f>MAX(0,A517*60-spg_dur)</f>
        <v>11426.333505326313</v>
      </c>
      <c r="C517" s="41">
        <f>k_eff_CO2*B517</f>
        <v>0.16592060484347285</v>
      </c>
      <c r="D517" s="41">
        <f>EXP(-C517)</f>
        <v>0.847113488227536</v>
      </c>
      <c r="E517" s="41">
        <f>IF(C517&gt;0,(1-D517)/C517,1)</f>
        <v>0.9214437948601683</v>
      </c>
      <c r="F517" s="41">
        <f>IF(C517&gt;0,(C517-1+D517)/C517^2,1/2)</f>
        <v>0.47345659819610925</v>
      </c>
      <c r="G517" s="41">
        <f>(C_air_CO2/C_sat_CO2*F_vent_ex-CO2_fix_sched)*(B517/3600)/(V_L_CO2+Vg_CO2)</f>
        <v>-2.192520748733403</v>
      </c>
      <c r="H517" s="41">
        <f>(G517*E517+pool_b*D517)/(1-pool_ret*D517)</f>
        <v>0.7731954419499237</v>
      </c>
      <c r="I517" s="41">
        <f>MIN(C_sat_CO2,MAX(C_air_CO2,(pool_ret*H517+pool_b)*E517+G517*F517))</f>
        <v>2.000531675629027</v>
      </c>
      <c r="J517" s="41">
        <f>IF(AND(I517&gt;=CO2_pH_hi_mt,I518&lt;CO2_pH_hi_mt),EXP(LN(A517)+(LN(A518)-LN(A517))*(I517-CO2_pH_hi_mt)/(I517-I518)),0)</f>
        <v>0.0</v>
      </c>
    </row>
    <row r="518">
      <c r="A518" s="41">
        <f>A517*grid_ratio</f>
        <v>207.59020034676132</v>
      </c>
      <c r="B518" s="41">
        <f>MAX(0,A518*60-spg_dur)</f>
        <v>12454.76202080568</v>
      </c>
      <c r="C518" s="41">
        <f>k_eff_CO2*B518</f>
        <v>0.18085430875182368</v>
      </c>
      <c r="D518" s="41">
        <f>EXP(-C518)</f>
        <v>0.8345569374809878</v>
      </c>
      <c r="E518" s="41">
        <f>IF(C518&gt;0,(1-D518)/C518,1)</f>
        <v>0.9147864027173415</v>
      </c>
      <c r="F518" s="41">
        <f>IF(C518&gt;0,(C518-1+D518)/C518^2,1/2)</f>
        <v>0.4711726133082772</v>
      </c>
      <c r="G518" s="41">
        <f>(C_air_CO2/C_sat_CO2*F_vent_ex-CO2_fix_sched)*(B518/3600)/(V_L_CO2+Vg_CO2)</f>
        <v>-2.389858841283084</v>
      </c>
      <c r="H518" s="41">
        <f>(G518*E518+pool_b*D518)/(1-pool_ret*D518)</f>
        <v>-0.08120522555268145</v>
      </c>
      <c r="I518" s="41">
        <f>MIN(C_sat_CO2,MAX(C_air_CO2,(pool_ret*H518+pool_b)*E518+G518*F518))</f>
        <v>1.181332101252369</v>
      </c>
      <c r="J518" s="41">
        <f>IF(AND(I518&gt;=CO2_pH_hi_mt,I519&lt;CO2_pH_hi_mt),EXP(LN(A518)+(LN(A519)-LN(A518))*(I518-CO2_pH_hi_mt)/(I518-I519)),0)</f>
        <v>212.46010616654434</v>
      </c>
    </row>
    <row r="519">
      <c r="A519" s="41">
        <f>A518*grid_ratio</f>
        <v>226.27331837796987</v>
      </c>
      <c r="B519" s="41">
        <f>MAX(0,A519*60-spg_dur)</f>
        <v>13575.749102678192</v>
      </c>
      <c r="C519" s="41">
        <f>k_eff_CO2*B519</f>
        <v>0.19713204601192608</v>
      </c>
      <c r="D519" s="41">
        <f>EXP(-C519)</f>
        <v>0.8210822055233841</v>
      </c>
      <c r="E519" s="41">
        <f>IF(C519&gt;0,(1-D519)/C519,1)</f>
        <v>0.9076038021022304</v>
      </c>
      <c r="F519" s="41">
        <f>IF(C519&gt;0,(C519-1+D519)/C519^2,1/2)</f>
        <v>0.4687020693336694</v>
      </c>
      <c r="G519" s="41">
        <f>(C_air_CO2/C_sat_CO2*F_vent_ex-CO2_fix_sched)*(B519/3600)/(V_L_CO2+Vg_CO2)</f>
        <v>-2.6049573621622364</v>
      </c>
      <c r="H519" s="41">
        <f>(G519*E519+pool_b*D519)/(1-pool_ret*D519)</f>
        <v>-0.9131095801769972</v>
      </c>
      <c r="I519" s="41">
        <f>MIN(C_sat_CO2,MAX(C_air_CO2,(pool_ret*H519+pool_b)*E519+G519*F519))</f>
        <v>0.38312677003649</v>
      </c>
      <c r="J519" s="41">
        <f>IF(AND(I519&gt;=CO2_pH_hi_mt,I520&lt;CO2_pH_hi_mt),EXP(LN(A519)+(LN(A520)-LN(A519))*(I519-CO2_pH_hi_mt)/(I519-I520)),0)</f>
        <v>0.0</v>
      </c>
    </row>
    <row r="520">
      <c r="A520" s="41">
        <f>A519*grid_ratio</f>
        <v>246.63791703198717</v>
      </c>
      <c r="B520" s="41">
        <f>MAX(0,A520*60-spg_dur)</f>
        <v>14797.625021919232</v>
      </c>
      <c r="C520" s="41">
        <f>k_eff_CO2*B520</f>
        <v>0.21487477962543775</v>
      </c>
      <c r="D520" s="41">
        <f>EXP(-C520)</f>
        <v>0.806642441922172</v>
      </c>
      <c r="E520" s="41">
        <f>IF(C520&gt;0,(1-D520)/C520,1)</f>
        <v>0.8998615771235793</v>
      </c>
      <c r="F520" s="41">
        <f>IF(C520&gt;0,(C520-1+D520)/C520^2,1/2)</f>
        <v>0.466031532648823</v>
      </c>
      <c r="G520" s="41">
        <f>(C_air_CO2/C_sat_CO2*F_vent_ex-CO2_fix_sched)*(B520/3600)/(V_L_CO2+Vg_CO2)</f>
        <v>-2.839414749920513</v>
      </c>
      <c r="H520" s="41">
        <f>(G520*E520+pool_b*D520)/(1-pool_ret*D520)</f>
        <v>-1.7203282275491723</v>
      </c>
      <c r="I520" s="41">
        <f>MIN(C_sat_CO2,MAX(C_air_CO2,(pool_ret*H520+pool_b)*E520+G520*F520))</f>
        <v>0.01155883664100928</v>
      </c>
      <c r="J520" s="41">
        <f>IF(AND(I520&gt;=CO2_pH_hi_mt,I521&lt;CO2_pH_hi_mt),EXP(LN(A520)+(LN(A521)-LN(A520))*(I520-CO2_pH_hi_mt)/(I520-I521)),0)</f>
        <v>0.0</v>
      </c>
    </row>
    <row r="521">
      <c r="A521" s="41">
        <f>A520*grid_ratio</f>
        <v>268.835329564866</v>
      </c>
      <c r="B521" s="41">
        <f>MAX(0,A521*60-spg_dur)</f>
        <v>16129.469773891962</v>
      </c>
      <c r="C521" s="41">
        <f>k_eff_CO2*B521</f>
        <v>0.23421435926416542</v>
      </c>
      <c r="D521" s="41">
        <f>EXP(-C521)</f>
        <v>0.7911921983392366</v>
      </c>
      <c r="E521" s="41">
        <f>IF(C521&gt;0,(1-D521)/C521,1)</f>
        <v>0.8915243382889838</v>
      </c>
      <c r="F521" s="41">
        <f>IF(C521&gt;0,(C521-1+D521)/C521^2,1/2)</f>
        <v>0.4631469310925933</v>
      </c>
      <c r="G521" s="41">
        <f>(C_air_CO2/C_sat_CO2*F_vent_ex-CO2_fix_sched)*(B521/3600)/(V_L_CO2+Vg_CO2)</f>
        <v>-3.094973302577034</v>
      </c>
      <c r="H521" s="41">
        <f>(G521*E521+pool_b*D521)/(1-pool_ret*D521)</f>
        <v>-2.500964150769591</v>
      </c>
      <c r="I521" s="41">
        <f>MIN(C_sat_CO2,MAX(C_air_CO2,(pool_ret*H521+pool_b)*E521+G521*F521))</f>
        <v>0.01155883664100928</v>
      </c>
      <c r="J521" s="41">
        <f>IF(AND(I521&gt;=CO2_pH_hi_mt,I522&lt;CO2_pH_hi_mt),EXP(LN(A521)+(LN(A522)-LN(A521))*(I521-CO2_pH_hi_mt)/(I521-I522)),0)</f>
        <v>0.0</v>
      </c>
    </row>
    <row r="522">
      <c r="A522" s="41">
        <f>A521*grid_ratio</f>
        <v>293.030509225704</v>
      </c>
      <c r="B522" s="41">
        <f>MAX(0,A522*60-spg_dur)</f>
        <v>17581.18055354224</v>
      </c>
      <c r="C522" s="41">
        <f>k_eff_CO2*B522</f>
        <v>0.2552945010703786</v>
      </c>
      <c r="D522" s="41">
        <f>EXP(-C522)</f>
        <v>0.7746883178242738</v>
      </c>
      <c r="E522" s="41">
        <f>IF(C522&gt;0,(1-D522)/C522,1)</f>
        <v>0.8825559549111209</v>
      </c>
      <c r="F522" s="41">
        <f>IF(C522&gt;0,(C522-1+D522)/C522^2,1/2)</f>
        <v>0.46003358707872355</v>
      </c>
      <c r="G522" s="41">
        <f>(C_air_CO2/C_sat_CO2*F_vent_ex-CO2_fix_sched)*(B522/3600)/(V_L_CO2+Vg_CO2)</f>
        <v>-3.3735321249726424</v>
      </c>
      <c r="H522" s="41">
        <f>(G522*E522+pool_b*D522)/(1-pool_ret*D522)</f>
        <v>-3.2534196091813303</v>
      </c>
      <c r="I522" s="41">
        <f>MIN(C_sat_CO2,MAX(C_air_CO2,(pool_ret*H522+pool_b)*E522+G522*F522))</f>
        <v>0.01155883664100928</v>
      </c>
      <c r="J522" s="41">
        <f>IF(AND(I522&gt;=CO2_pH_hi_mt,I523&lt;CO2_pH_hi_mt),EXP(LN(A522)+(LN(A523)-LN(A522))*(I522-CO2_pH_hi_mt)/(I522-I523)),0)</f>
        <v>0.0</v>
      </c>
    </row>
    <row r="523">
      <c r="A523" s="41">
        <f>A522*grid_ratio</f>
        <v>319.4032550560174</v>
      </c>
      <c r="B523" s="41">
        <f>MAX(0,A523*60-spg_dur)</f>
        <v>19163.54530336104</v>
      </c>
      <c r="C523" s="41">
        <f>k_eff_CO2*B523</f>
        <v>0.2782718556391509</v>
      </c>
      <c r="D523" s="41">
        <f>EXP(-C523)</f>
        <v>0.7570909740845558</v>
      </c>
      <c r="E523" s="41">
        <f>IF(C523&gt;0,(1-D523)/C523,1)</f>
        <v>0.8729198479577341</v>
      </c>
      <c r="F523" s="41">
        <f>IF(C523&gt;0,(C523-1+D523)/C523^2,1/2)</f>
        <v>0.4566762662734281</v>
      </c>
      <c r="G523" s="41">
        <f>(C_air_CO2/C_sat_CO2*F_vent_ex-CO2_fix_sched)*(B523/3600)/(V_L_CO2+Vg_CO2)</f>
        <v>-3.677161241383854</v>
      </c>
      <c r="H523" s="41">
        <f>(G523*E523+pool_b*D523)/(1-pool_ret*D523)</f>
        <v>-3.976396353096525</v>
      </c>
      <c r="I523" s="41">
        <f>MIN(C_sat_CO2,MAX(C_air_CO2,(pool_ret*H523+pool_b)*E523+G523*F523))</f>
        <v>0.01155883664100928</v>
      </c>
      <c r="J523" s="41">
        <f>IF(AND(I523&gt;=CO2_pH_hi_mt,I524&lt;CO2_pH_hi_mt),EXP(LN(A523)+(LN(A524)-LN(A523))*(I523-CO2_pH_hi_mt)/(I523-I524)),0)</f>
        <v>0.0</v>
      </c>
    </row>
    <row r="524">
      <c r="A524" s="41">
        <f>A523*grid_ratio</f>
        <v>348.149548011059</v>
      </c>
      <c r="B524" s="41">
        <f>MAX(0,A524*60-spg_dur)</f>
        <v>20888.322880663538</v>
      </c>
      <c r="C524" s="41">
        <f>k_eff_CO2*B524</f>
        <v>0.30331717211911285</v>
      </c>
      <c r="D524" s="41">
        <f>EXP(-C524)</f>
        <v>0.738364870476837</v>
      </c>
      <c r="E524" s="41">
        <f>IF(C524&gt;0,(1-D524)/C524,1)</f>
        <v>0.8625793511632066</v>
      </c>
      <c r="F524" s="41">
        <f>IF(C524&gt;0,(C524-1+D524)/C524^2,1/2)</f>
        <v>0.4530592444757068</v>
      </c>
      <c r="G524" s="41">
        <f>(C_air_CO2/C_sat_CO2*F_vent_ex-CO2_fix_sched)*(B524/3600)/(V_L_CO2+Vg_CO2)</f>
        <v>-4.008116978272077</v>
      </c>
      <c r="H524" s="41">
        <f>(G524*E524+pool_b*D524)/(1-pool_ret*D524)</f>
        <v>-4.668889748104208</v>
      </c>
      <c r="I524" s="41">
        <f>MIN(C_sat_CO2,MAX(C_air_CO2,(pool_ret*H524+pool_b)*E524+G524*F524))</f>
        <v>0.01155883664100928</v>
      </c>
      <c r="J524" s="41">
        <f>IF(AND(I524&gt;=CO2_pH_hi_mt,I525&lt;CO2_pH_hi_mt),EXP(LN(A524)+(LN(A525)-LN(A524))*(I524-CO2_pH_hi_mt)/(I524-I525)),0)</f>
        <v>0.0</v>
      </c>
    </row>
    <row r="525">
      <c r="A525" s="41">
        <f>A524*grid_ratio</f>
        <v>379.48300733205434</v>
      </c>
      <c r="B525" s="41">
        <f>MAX(0,A525*60-spg_dur)</f>
        <v>22768.33043992326</v>
      </c>
      <c r="C525" s="41">
        <f>k_eff_CO2*B525</f>
        <v>0.33061656708227133</v>
      </c>
      <c r="D525" s="41">
        <f>EXP(-C525)</f>
        <v>0.7184806053463619</v>
      </c>
      <c r="E525" s="41">
        <f>IF(C525&gt;0,(1-D525)/C525,1)</f>
        <v>0.8514981482569933</v>
      </c>
      <c r="F525" s="41">
        <f>IF(C525&gt;0,(C525-1+D525)/C525^2,1/2)</f>
        <v>0.4491663955425842</v>
      </c>
      <c r="G525" s="41">
        <f>(C_air_CO2/C_sat_CO2*F_vent_ex-CO2_fix_sched)*(B525/3600)/(V_L_CO2+Vg_CO2)</f>
        <v>-4.368858731480239</v>
      </c>
      <c r="H525" s="41">
        <f>(G525*E525+pool_b*D525)/(1-pool_ret*D525)</f>
        <v>-5.330177562957667</v>
      </c>
      <c r="I525" s="41">
        <f>MIN(C_sat_CO2,MAX(C_air_CO2,(pool_ret*H525+pool_b)*E525+G525*F525))</f>
        <v>0.01155883664100928</v>
      </c>
      <c r="J525" s="41">
        <f>IF(AND(I525&gt;=CO2_pH_hi_mt,I526&lt;CO2_pH_hi_mt),EXP(LN(A525)+(LN(A526)-LN(A525))*(I525-CO2_pH_hi_mt)/(I525-I526)),0)</f>
        <v>0.0</v>
      </c>
    </row>
    <row r="526">
      <c r="A526" s="41">
        <f>A525*grid_ratio</f>
        <v>413.6364779919392</v>
      </c>
      <c r="B526" s="41">
        <f>MAX(0,A526*60-spg_dur)</f>
        <v>24817.53867951635</v>
      </c>
      <c r="C526" s="41">
        <f>k_eff_CO2*B526</f>
        <v>0.360372907592114</v>
      </c>
      <c r="D526" s="41">
        <f>EXP(-C526)</f>
        <v>0.6974162057756318</v>
      </c>
      <c r="E526" s="41">
        <f>IF(C526&gt;0,(1-D526)/C526,1)</f>
        <v>0.8396407938824467</v>
      </c>
      <c r="F526" s="41">
        <f>IF(C526&gt;0,(C526-1+D526)/C526^2,1/2)</f>
        <v>0.44498130336438907</v>
      </c>
      <c r="G526" s="41">
        <f>(C_air_CO2/C_sat_CO2*F_vent_ex-CO2_fix_sched)*(B526/3600)/(V_L_CO2+Vg_CO2)</f>
        <v>-4.762067242477135</v>
      </c>
      <c r="H526" s="41">
        <f>(G526*E526+pool_b*D526)/(1-pool_ret*D526)</f>
        <v>-5.959804281471193</v>
      </c>
      <c r="I526" s="41">
        <f>MIN(C_sat_CO2,MAX(C_air_CO2,(pool_ret*H526+pool_b)*E526+G526*F526))</f>
        <v>0.01155883664100928</v>
      </c>
      <c r="J526" s="41">
        <f>IF(AND(I526&gt;=CO2_pH_hi_mt,I527&lt;CO2_pH_hi_mt),EXP(LN(A526)+(LN(A527)-LN(A526))*(I526-CO2_pH_hi_mt)/(I526-I527)),0)</f>
        <v>0.0</v>
      </c>
    </row>
    <row r="527">
      <c r="A527" s="41">
        <f>A526*grid_ratio</f>
        <v>450.8637610112138</v>
      </c>
      <c r="B527" s="41">
        <f>MAX(0,A527*60-spg_dur)</f>
        <v>27051.175660672827</v>
      </c>
      <c r="C527" s="41">
        <f>k_eff_CO2*B527</f>
        <v>0.3928073187478426</v>
      </c>
      <c r="D527" s="41">
        <f>EXP(-C527)</f>
        <v>0.6751588255018458</v>
      </c>
      <c r="E527" s="41">
        <f>IF(C527&gt;0,(1-D527)/C527,1)</f>
        <v>0.8269733250736137</v>
      </c>
      <c r="F527" s="41">
        <f>IF(C527&gt;0,(C527-1+D527)/C527^2,1/2)</f>
        <v>0.44048740099330613</v>
      </c>
      <c r="G527" s="41">
        <f>(C_air_CO2/C_sat_CO2*F_vent_ex-CO2_fix_sched)*(B527/3600)/(V_L_CO2+Vg_CO2)</f>
        <v>-5.190664519463754</v>
      </c>
      <c r="H527" s="41">
        <f>(G527*E527+pool_b*D527)/(1-pool_ret*D527)</f>
        <v>-6.557561853164483</v>
      </c>
      <c r="I527" s="41">
        <f>MIN(C_sat_CO2,MAX(C_air_CO2,(pool_ret*H527+pool_b)*E527+G527*F527))</f>
        <v>0.01155883664100928</v>
      </c>
      <c r="J527" s="41">
        <f>IF(AND(I527&gt;=CO2_pH_hi_mt,I528&lt;CO2_pH_hi_mt),EXP(LN(A527)+(LN(A528)-LN(A527))*(I527-CO2_pH_hi_mt)/(I527-I528)),0)</f>
        <v>0.0</v>
      </c>
    </row>
    <row r="528">
      <c r="A528" s="41">
        <f>A527*grid_ratio</f>
        <v>491.4414995022231</v>
      </c>
      <c r="B528" s="41">
        <f>MAX(0,A528*60-spg_dur)</f>
        <v>29485.839970133384</v>
      </c>
      <c r="C528" s="41">
        <f>k_eff_CO2*B528</f>
        <v>0.4281608269075868</v>
      </c>
      <c r="D528" s="41">
        <f>EXP(-C528)</f>
        <v>0.6517065944137552</v>
      </c>
      <c r="E528" s="41">
        <f>IF(C528&gt;0,(1-D528)/C528,1)</f>
        <v>0.8134639689058233</v>
      </c>
      <c r="F528" s="41">
        <f>IF(C528&gt;0,(C528-1+D528)/C528^2,1/2)</f>
        <v>0.4356681400338337</v>
      </c>
      <c r="G528" s="41">
        <f>(C_air_CO2/C_sat_CO2*F_vent_ex-CO2_fix_sched)*(B528/3600)/(V_L_CO2+Vg_CO2)</f>
        <v>-5.657835551379167</v>
      </c>
      <c r="H528" s="41">
        <f>(G528*E528+pool_b*D528)/(1-pool_ret*D528)</f>
        <v>-7.123467804701378</v>
      </c>
      <c r="I528" s="41">
        <f>MIN(C_sat_CO2,MAX(C_air_CO2,(pool_ret*H528+pool_b)*E528+G528*F528))</f>
        <v>0.01155883664100928</v>
      </c>
      <c r="J528" s="41">
        <f>IF(AND(I528&gt;=CO2_pH_hi_mt,I529&lt;CO2_pH_hi_mt),EXP(LN(A528)+(LN(A529)-LN(A528))*(I528-CO2_pH_hi_mt)/(I528-I529)),0)</f>
        <v>0.0</v>
      </c>
    </row>
    <row r="529">
      <c r="A529" s="41">
        <f>A528*grid_ratio</f>
        <v>535.6712344574232</v>
      </c>
      <c r="B529" s="41">
        <f>MAX(0,A529*60-spg_dur)</f>
        <v>32139.62406744539</v>
      </c>
      <c r="C529" s="41">
        <f>k_eff_CO2*B529</f>
        <v>0.4666961508017079</v>
      </c>
      <c r="D529" s="41">
        <f>EXP(-C529)</f>
        <v>0.6270705963663491</v>
      </c>
      <c r="E529" s="41">
        <f>IF(C529&gt;0,(1-D529)/C529,1)</f>
        <v>0.799083950002628</v>
      </c>
      <c r="F529" s="41">
        <f>IF(C529&gt;0,(C529-1+D529)/C529^2,1/2)</f>
        <v>0.4305071932824622</v>
      </c>
      <c r="G529" s="41">
        <f>(C_air_CO2/C_sat_CO2*F_vent_ex-CO2_fix_sched)*(B529/3600)/(V_L_CO2+Vg_CO2)</f>
        <v>-6.167051976166967</v>
      </c>
      <c r="H529" s="41">
        <f>(G529*E529+pool_b*D529)/(1-pool_ret*D529)</f>
        <v>-7.657741601928435</v>
      </c>
      <c r="I529" s="41">
        <f>MIN(C_sat_CO2,MAX(C_air_CO2,(pool_ret*H529+pool_b)*E529+G529*F529))</f>
        <v>0.01155883664100928</v>
      </c>
      <c r="J529" s="41">
        <f>IF(AND(I529&gt;=CO2_pH_hi_mt,I530&lt;CO2_pH_hi_mt),EXP(LN(A529)+(LN(A530)-LN(A529))*(I529-CO2_pH_hi_mt)/(I529-I530)),0)</f>
        <v>0.0</v>
      </c>
    </row>
    <row r="530">
      <c r="A530" s="41">
        <f>A529*grid_ratio</f>
        <v>583.8816455585913</v>
      </c>
      <c r="B530" s="41">
        <f>MAX(0,A530*60-spg_dur)</f>
        <v>35032.24873351548</v>
      </c>
      <c r="C530" s="41">
        <f>k_eff_CO2*B530</f>
        <v>0.5086996538462999</v>
      </c>
      <c r="D530" s="41">
        <f>EXP(-C530)</f>
        <v>0.6012769388376401</v>
      </c>
      <c r="E530" s="41">
        <f>IF(C530&gt;0,(1-D530)/C530,1)</f>
        <v>0.7838083988215792</v>
      </c>
      <c r="F530" s="41">
        <f>IF(C530&gt;0,(C530-1+D530)/C530^2,1/2)</f>
        <v>0.42498869331596134</v>
      </c>
      <c r="G530" s="41">
        <f>(C_air_CO2/C_sat_CO2*F_vent_ex-CO2_fix_sched)*(B530/3600)/(V_L_CO2+Vg_CO2)</f>
        <v>-6.72209787918567</v>
      </c>
      <c r="H530" s="41">
        <f>(G530*E530+pool_b*D530)/(1-pool_ret*D530)</f>
        <v>-8.160780089307275</v>
      </c>
      <c r="I530" s="41">
        <f>MIN(C_sat_CO2,MAX(C_air_CO2,(pool_ret*H530+pool_b)*E530+G530*F530))</f>
        <v>0.01155883664100928</v>
      </c>
      <c r="J530" s="41">
        <f>IF(AND(I530&gt;=CO2_pH_hi_mt,I531&lt;CO2_pH_hi_mt),EXP(LN(A530)+(LN(A531)-LN(A530))*(I530-CO2_pH_hi_mt)/(I530-I531)),0)</f>
        <v>0.0</v>
      </c>
    </row>
    <row r="531">
      <c r="A531" s="41">
        <f>A530*grid_ratio</f>
        <v>636.4309936588646</v>
      </c>
      <c r="B531" s="41">
        <f>MAX(0,A531*60-spg_dur)</f>
        <v>38185.20961953187</v>
      </c>
      <c r="C531" s="41">
        <f>k_eff_CO2*B531</f>
        <v>0.5544834721649052</v>
      </c>
      <c r="D531" s="41">
        <f>EXP(-C531)</f>
        <v>0.574368862093415</v>
      </c>
      <c r="E531" s="41">
        <f>IF(C531&gt;0,(1-D531)/C531,1)</f>
        <v>0.7676173579074705</v>
      </c>
      <c r="F531" s="41">
        <f>IF(C531&gt;0,(C531-1+D531)/C531^2,1/2)</f>
        <v>0.4190975092282248</v>
      </c>
      <c r="G531" s="41">
        <f>(C_air_CO2/C_sat_CO2*F_vent_ex-CO2_fix_sched)*(B531/3600)/(V_L_CO2+Vg_CO2)</f>
        <v>-7.327097913476055</v>
      </c>
      <c r="H531" s="41">
        <f>(G531*E531+pool_b*D531)/(1-pool_ret*D531)</f>
        <v>-8.633132748945192</v>
      </c>
      <c r="I531" s="41">
        <f>MIN(C_sat_CO2,MAX(C_air_CO2,(pool_ret*H531+pool_b)*E531+G531*F531))</f>
        <v>0.01155883664100928</v>
      </c>
      <c r="J531" s="41">
        <f>IF(AND(I531&gt;=CO2_pH_hi_mt,I532&lt;CO2_pH_hi_mt),EXP(LN(A531)+(LN(A532)-LN(A531))*(I531-CO2_pH_hi_mt)/(I531-I532)),0)</f>
        <v>0.0</v>
      </c>
    </row>
    <row r="532">
      <c r="A532" s="41">
        <f>A531*grid_ratio</f>
        <v>693.7097830881625</v>
      </c>
      <c r="B532" s="41">
        <f>MAX(0,A532*60-spg_dur)</f>
        <v>41621.93698528974</v>
      </c>
      <c r="C532" s="41">
        <f>k_eff_CO2*B532</f>
        <v>0.604387834132185</v>
      </c>
      <c r="D532" s="41">
        <f>EXP(-C532)</f>
        <v>0.5464088171057572</v>
      </c>
      <c r="E532" s="41">
        <f>IF(C532&gt;0,(1-D532)/C532,1)</f>
        <v>0.750496878458077</v>
      </c>
      <c r="F532" s="41">
        <f>IF(C532&gt;0,(C532-1+D532)/C532^2,1/2)</f>
        <v>0.4128195629552571</v>
      </c>
      <c r="G532" s="41">
        <f>(C_air_CO2/C_sat_CO2*F_vent_ex-CO2_fix_sched)*(B532/3600)/(V_L_CO2+Vg_CO2)</f>
        <v>-7.986547950852575</v>
      </c>
      <c r="H532" s="41">
        <f>(G532*E532+pool_b*D532)/(1-pool_ret*D532)</f>
        <v>-9.075477424111533</v>
      </c>
      <c r="I532" s="41">
        <f>MIN(C_sat_CO2,MAX(C_air_CO2,(pool_ret*H532+pool_b)*E532+G532*F532))</f>
        <v>0.01155883664100928</v>
      </c>
      <c r="J532" s="41">
        <f>IF(AND(I532&gt;=CO2_pH_hi_mt,I533&lt;CO2_pH_hi_mt),EXP(LN(A532)+(LN(A533)-LN(A532))*(I532-CO2_pH_hi_mt)/(I532-I533)),0)</f>
        <v>0.0</v>
      </c>
    </row>
    <row r="533">
      <c r="A533" s="41">
        <f>A532*grid_ratio</f>
        <v>756.1436635660972</v>
      </c>
      <c r="B533" s="41">
        <f>MAX(0,A533*60-spg_dur)</f>
        <v>45367.96981396583</v>
      </c>
      <c r="C533" s="41">
        <f>k_eff_CO2*B533</f>
        <v>0.65878358867652</v>
      </c>
      <c r="D533" s="41">
        <f>EXP(-C533)</f>
        <v>0.5174804208438425</v>
      </c>
      <c r="E533" s="41">
        <f>IF(C533&gt;0,(1-D533)/C533,1)</f>
        <v>0.7324401934867981</v>
      </c>
      <c r="F533" s="41">
        <f>IF(C533&gt;0,(C533-1+D533)/C533^2,1/2)</f>
        <v>0.40614218555553727</v>
      </c>
      <c r="G533" s="41">
        <f>(C_air_CO2/C_sat_CO2*F_vent_ex-CO2_fix_sched)*(B533/3600)/(V_L_CO2+Vg_CO2)</f>
        <v>-8.705348491592982</v>
      </c>
      <c r="H533" s="41">
        <f>(G533*E533+pool_b*D533)/(1-pool_ret*D533)</f>
        <v>-9.48859705002255</v>
      </c>
      <c r="I533" s="41">
        <f>MIN(C_sat_CO2,MAX(C_air_CO2,(pool_ret*H533+pool_b)*E533+G533*F533))</f>
        <v>0.01155883664100928</v>
      </c>
      <c r="J533" s="41">
        <f>IF(AND(I533&gt;=CO2_pH_hi_mt,I534&lt;CO2_pH_hi_mt),EXP(LN(A533)+(LN(A534)-LN(A533))*(I533-CO2_pH_hi_mt)/(I533-I534)),0)</f>
        <v>0.0</v>
      </c>
    </row>
    <row r="534">
      <c r="A534" s="41">
        <f>A533*grid_ratio</f>
        <v>824.196593287046</v>
      </c>
      <c r="B534" s="41">
        <f>MAX(0,A534*60-spg_dur)</f>
        <v>49451.145597222756</v>
      </c>
      <c r="C534" s="41">
        <f>k_eff_CO2*B534</f>
        <v>0.7180749611298451</v>
      </c>
      <c r="D534" s="41">
        <f>EXP(-C534)</f>
        <v>0.4876901754489236</v>
      </c>
      <c r="E534" s="41">
        <f>IF(C534&gt;0,(1-D534)/C534,1)</f>
        <v>0.7134489465347595</v>
      </c>
      <c r="F534" s="41">
        <f>IF(C534&gt;0,(C534-1+D534)/C534^2,1/2)</f>
        <v>0.39905451237900114</v>
      </c>
      <c r="G534" s="41">
        <f>(C_air_CO2/C_sat_CO2*F_vent_ex-CO2_fix_sched)*(B534/3600)/(V_L_CO2+Vg_CO2)</f>
        <v>-9.488841081000027</v>
      </c>
      <c r="H534" s="41">
        <f>(G534*E534+pool_b*D534)/(1-pool_ret*D534)</f>
        <v>-9.873357834443105</v>
      </c>
      <c r="I534" s="41">
        <f>MIN(C_sat_CO2,MAX(C_air_CO2,(pool_ret*H534+pool_b)*E534+G534*F534))</f>
        <v>0.01155883664100928</v>
      </c>
      <c r="J534" s="41">
        <f>IF(AND(I534&gt;=CO2_pH_hi_mt,I535&lt;CO2_pH_hi_mt),EXP(LN(A534)+(LN(A535)-LN(A534))*(I534-CO2_pH_hi_mt)/(I534-I535)),0)</f>
        <v>0.0</v>
      </c>
    </row>
    <row r="535">
      <c r="A535" s="41">
        <f>A534*grid_ratio</f>
        <v>898.3742866828801</v>
      </c>
      <c r="B535" s="41">
        <f>MAX(0,A535*60-spg_dur)</f>
        <v>53901.807200972806</v>
      </c>
      <c r="C535" s="41">
        <f>k_eff_CO2*B535</f>
        <v>0.7827025571039695</v>
      </c>
      <c r="D535" s="41">
        <f>EXP(-C535)</f>
        <v>0.4571688154321369</v>
      </c>
      <c r="E535" s="41">
        <f>IF(C535&gt;0,(1-D535)/C535,1)</f>
        <v>0.6935344463117126</v>
      </c>
      <c r="F535" s="41">
        <f>IF(C535&gt;0,(C535-1+D535)/C535^2,1/2)</f>
        <v>0.3915479142194476</v>
      </c>
      <c r="G535" s="41">
        <f>(C_air_CO2/C_sat_CO2*F_vent_ex-CO2_fix_sched)*(B535/3600)/(V_L_CO2+Vg_CO2)</f>
        <v>-10.342848003453703</v>
      </c>
      <c r="H535" s="41">
        <f>(G535*E535+pool_b*D535)/(1-pool_ret*D535)</f>
        <v>-10.230689237457902</v>
      </c>
      <c r="I535" s="41">
        <f>MIN(C_sat_CO2,MAX(C_air_CO2,(pool_ret*H535+pool_b)*E535+G535*F535))</f>
        <v>0.01155883664100928</v>
      </c>
      <c r="J535" s="41">
        <f>IF(AND(I535&gt;=CO2_pH_hi_mt,I536&lt;CO2_pH_hi_mt),EXP(LN(A535)+(LN(A536)-LN(A535))*(I535-CO2_pH_hi_mt)/(I535-I536)),0)</f>
        <v>0.0</v>
      </c>
    </row>
    <row r="536">
      <c r="A536" s="41">
        <f>A535*grid_ratio</f>
        <v>979.2279724843394</v>
      </c>
      <c r="B536" s="41">
        <f>MAX(0,A536*60-spg_dur)</f>
        <v>58753.02834906036</v>
      </c>
      <c r="C536" s="41">
        <f>k_eff_CO2*B536</f>
        <v>0.8531466367157651</v>
      </c>
      <c r="D536" s="41">
        <f>EXP(-C536)</f>
        <v>0.4260721261998889</v>
      </c>
      <c r="E536" s="41">
        <f>IF(C536&gt;0,(1-D536)/C536,1)</f>
        <v>0.672718907982194</v>
      </c>
      <c r="F536" s="41">
        <f>IF(C536&gt;0,(C536-1+D536)/C536^2,1/2)</f>
        <v>0.3836164592732763</v>
      </c>
      <c r="G536" s="41">
        <f>(C_air_CO2/C_sat_CO2*F_vent_ex-CO2_fix_sched)*(B536/3600)/(V_L_CO2+Vg_CO2)</f>
        <v>-11.273715548928212</v>
      </c>
      <c r="H536" s="41">
        <f>(G536*E536+pool_b*D536)/(1-pool_ret*D536)</f>
        <v>-10.561566017211053</v>
      </c>
      <c r="I536" s="41">
        <f>MIN(C_sat_CO2,MAX(C_air_CO2,(pool_ret*H536+pool_b)*E536+G536*F536))</f>
        <v>0.01155883664100928</v>
      </c>
      <c r="J536" s="41">
        <f>IF(AND(I536&gt;=CO2_pH_hi_mt,I537&lt;CO2_pH_hi_mt),EXP(LN(A536)+(LN(A537)-LN(A536))*(I536-CO2_pH_hi_mt)/(I536-I537)),0)</f>
        <v>0.0</v>
      </c>
    </row>
    <row r="537">
      <c r="A537" s="41">
        <f>A536*grid_ratio</f>
        <v>1067.35849000793</v>
      </c>
      <c r="B537" s="41">
        <f>MAX(0,A537*60-spg_dur)</f>
        <v>64040.8594004758</v>
      </c>
      <c r="C537" s="41">
        <f>k_eff_CO2*B537</f>
        <v>0.9299306834926223</v>
      </c>
      <c r="D537" s="41">
        <f>EXP(-C537)</f>
        <v>0.39458106040467045</v>
      </c>
      <c r="E537" s="41">
        <f>IF(C537&gt;0,(1-D537)/C537,1)</f>
        <v>0.6510366313771953</v>
      </c>
      <c r="F537" s="41">
        <f>IF(C537&gt;0,(C537-1+D537)/C537^2,1/2)</f>
        <v>0.3752573980161321</v>
      </c>
      <c r="G537" s="41">
        <f>(C_air_CO2/C_sat_CO2*F_vent_ex-CO2_fix_sched)*(B537/3600)/(V_L_CO2+Vg_CO2)</f>
        <v>-12.28836117349543</v>
      </c>
      <c r="H537" s="41">
        <f>(G537*E537+pool_b*D537)/(1-pool_ret*D537)</f>
        <v>-10.86699253853565</v>
      </c>
      <c r="I537" s="41">
        <f>MIN(C_sat_CO2,MAX(C_air_CO2,(pool_ret*H537+pool_b)*E537+G537*F537))</f>
        <v>0.01155883664100928</v>
      </c>
      <c r="J537" s="41">
        <f>IF(AND(I537&gt;=CO2_pH_hi_mt,I538&lt;CO2_pH_hi_mt),EXP(LN(A537)+(LN(A538)-LN(A537))*(I537-CO2_pH_hi_mt)/(I537-I538)),0)</f>
        <v>0.0</v>
      </c>
    </row>
    <row r="538">
      <c r="A538" s="41">
        <f>A537*grid_ratio</f>
        <v>1163.420754108644</v>
      </c>
      <c r="B538" s="41">
        <f>MAX(0,A538*60-spg_dur)</f>
        <v>69804.59524651864</v>
      </c>
      <c r="C538" s="41">
        <f>k_eff_CO2*B538</f>
        <v>1.0136252944793969</v>
      </c>
      <c r="D538" s="41">
        <f>EXP(-C538)</f>
        <v>0.36290096904725416</v>
      </c>
      <c r="E538" s="41">
        <f>IF(C538&gt;0,(1-D538)/C538,1)</f>
        <v>0.62853505572783</v>
      </c>
      <c r="F538" s="41">
        <f>IF(C538&gt;0,(C538-1+D538)/C538^2,1/2)</f>
        <v>0.3664716599865005</v>
      </c>
      <c r="G538" s="41">
        <f>(C_air_CO2/C_sat_CO2*F_vent_ex-CO2_fix_sched)*(B538/3600)/(V_L_CO2+Vg_CO2)</f>
        <v>-13.394324904273695</v>
      </c>
      <c r="H538" s="41">
        <f>(G538*E538+pool_b*D538)/(1-pool_ret*D538)</f>
        <v>-11.1479894846928</v>
      </c>
      <c r="I538" s="41">
        <f>MIN(C_sat_CO2,MAX(C_air_CO2,(pool_ret*H538+pool_b)*E538+G538*F538))</f>
        <v>0.01155883664100928</v>
      </c>
      <c r="J538" s="41">
        <f>IF(AND(I538&gt;=CO2_pH_hi_mt,I539&lt;CO2_pH_hi_mt),EXP(LN(A538)+(LN(A539)-LN(A538))*(I538-CO2_pH_hi_mt)/(I538-I539)),0)</f>
        <v>0.0</v>
      </c>
    </row>
    <row r="539">
      <c r="A539" s="41">
        <f>A538*grid_ratio</f>
        <v>1268.128621978422</v>
      </c>
      <c r="B539" s="41">
        <f>MAX(0,A539*60-spg_dur)</f>
        <v>76087.06731870532</v>
      </c>
      <c r="C539" s="41">
        <f>k_eff_CO2*B539</f>
        <v>1.1048524204549808</v>
      </c>
      <c r="D539" s="41">
        <f>EXP(-C539)</f>
        <v>0.3312597658003056</v>
      </c>
      <c r="E539" s="41">
        <f>IF(C539&gt;0,(1-D539)/C539,1)</f>
        <v>0.6052756203623155</v>
      </c>
      <c r="F539" s="41">
        <f>IF(C539&gt;0,(C539-1+D539)/C539^2,1/2)</f>
        <v>0.35726434800689133</v>
      </c>
      <c r="G539" s="41">
        <f>(C_air_CO2/C_sat_CO2*F_vent_ex-CO2_fix_sched)*(B539/3600)/(V_L_CO2+Vg_CO2)</f>
        <v>-14.599825370822003</v>
      </c>
      <c r="H539" s="41">
        <f>(G539*E539+pool_b*D539)/(1-pool_ret*D539)</f>
        <v>-11.405583067879368</v>
      </c>
      <c r="I539" s="41">
        <f>MIN(C_sat_CO2,MAX(C_air_CO2,(pool_ret*H539+pool_b)*E539+G539*F539))</f>
        <v>0.01155883664100928</v>
      </c>
      <c r="J539" s="41">
        <f>0</f>
        <v>0.0</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0"/>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row r="165">
      <c r="A165" s="98" t="str">
        <f>HYPERLINK("https://github.com/amy-bo/electroPioreactor/blob/AEP02/Media/protocols/electrode-mass-transfer.md","ELECTRODE MASS TRANSFER  (ferricyanide limiting current)")</f>
        <v>ELECTRODE MASS TRANSFER  (ferricyanide limiting current)</v>
      </c>
    </row>
    <row r="166">
      <c r="A166" s="72" t="inlineStr">
        <is>
          <t xml:space="preserve">Value in use: average O₂-scaled k_m of the included runs for the active reactor and electrode, at the Summary stirrer rate and within the temperature tolerance (D193) of the Summary temperature; other runs are kept but not used. One k_m serves both electrodes in the model. Feeds Electrochemistry km_O2 (D83).</t>
        </is>
      </c>
    </row>
    <row r="167">
      <c r="A167" s="99" t="inlineStr">
        <is>
          <t xml:space="preserve">Researcher</t>
        </is>
      </c>
      <c r="B167" s="99" t="inlineStr">
        <is>
          <t xml:space="preserve">Date</t>
        </is>
      </c>
      <c r="C167" s="99" t="inlineStr">
        <is>
          <t xml:space="preserve">Reactor</t>
        </is>
      </c>
      <c r="D167" s="99" t="inlineStr">
        <is>
          <t xml:space="preserve">Electrode (Summary D3 list)</t>
        </is>
      </c>
      <c r="E167" s="99" t="inlineStr">
        <is>
          <t xml:space="preserve">Stir rate (rpm)</t>
        </is>
      </c>
      <c r="F167" s="99" t="inlineStr">
        <is>
          <t xml:space="preserve">Temp (°C)</t>
        </is>
      </c>
      <c r="G167" s="99" t="inlineStr">
        <is>
          <t xml:space="preserve">Limiting current (mA)</t>
        </is>
      </c>
      <c r="H167" s="99" t="inlineStr">
        <is>
          <t xml:space="preserve">Electrode area (cm²)</t>
        </is>
      </c>
      <c r="I167" s="99" t="inlineStr">
        <is>
          <t xml:space="preserve">Ferricyanide (mM)</t>
        </is>
      </c>
      <c r="J167" s="99" t="inlineStr">
        <is>
          <t xml:space="preserve">D ferricyanide (m²/s)</t>
        </is>
      </c>
      <c r="K167" s="99" t="inlineStr">
        <is>
          <t xml:space="preserve">k_m ferricyanide (computed, cm/s)</t>
        </is>
      </c>
      <c r="L167" s="99" t="inlineStr">
        <is>
          <t xml:space="preserve">k_m O₂ (computed, cm/s)</t>
        </is>
      </c>
      <c r="M167" s="99" t="inlineStr">
        <is>
          <t xml:space="preserve">Type (auto)</t>
        </is>
      </c>
      <c r="N167" s="99" t="inlineStr">
        <is>
          <t xml:space="preserve">Include?</t>
        </is>
      </c>
      <c r="O167" s="99" t="inlineStr">
        <is>
          <t xml:space="preserve">Notes</t>
        </is>
      </c>
    </row>
    <row r="168">
      <c r="A168" s="93"/>
      <c r="B168" s="94"/>
      <c r="C168" s="93"/>
      <c r="D168" s="93"/>
      <c r="E168" s="94"/>
      <c r="F168" s="94"/>
      <c r="G168" s="94"/>
      <c r="H168" s="94"/>
      <c r="I168" s="94"/>
      <c r="J168" s="94"/>
      <c r="K168" s="100" t="str">
        <f>IF(OR(G168="",H168="",I168=""),"",IFERROR((G168/1000)/(n_e_fcn*F_const*(H168/10000)*I168)*100,""))</f>
        <v/>
      </c>
      <c r="L168" s="100" t="str">
        <f>IF(OR(K168="",J168=""),"",IFERROR(K168*(D_O2/J168)^km_exp,""))</f>
        <v/>
      </c>
      <c r="M168" s="100" t="str">
        <f>IFERROR(INDEX(ReactorTypeList,MATCH(C168,ReactorList,0)),"")</f>
        <v/>
      </c>
      <c r="N168" s="93"/>
      <c r="O168" s="93"/>
    </row>
    <row r="169">
      <c r="A169" s="93"/>
      <c r="B169" s="94"/>
      <c r="C169" s="93"/>
      <c r="D169" s="93"/>
      <c r="E169" s="94"/>
      <c r="F169" s="94"/>
      <c r="G169" s="94"/>
      <c r="H169" s="94"/>
      <c r="I169" s="94"/>
      <c r="J169" s="94"/>
      <c r="K169" s="100" t="str">
        <f>IF(OR(G169="",H169="",I169=""),"",IFERROR((G169/1000)/(n_e_fcn*F_const*(H169/10000)*I169)*100,""))</f>
        <v/>
      </c>
      <c r="L169" s="100" t="str">
        <f>IF(OR(K169="",J169=""),"",IFERROR(K169*(D_O2/J169)^km_exp,""))</f>
        <v/>
      </c>
      <c r="M169" s="100" t="str">
        <f>IFERROR(INDEX(ReactorTypeList,MATCH(C169,ReactorList,0)),"")</f>
        <v/>
      </c>
      <c r="N169" s="93"/>
      <c r="O169" s="93"/>
    </row>
    <row r="170">
      <c r="A170" s="93"/>
      <c r="B170" s="94"/>
      <c r="C170" s="93"/>
      <c r="D170" s="93"/>
      <c r="E170" s="94"/>
      <c r="F170" s="94"/>
      <c r="G170" s="94"/>
      <c r="H170" s="94"/>
      <c r="I170" s="94"/>
      <c r="J170" s="94"/>
      <c r="K170" s="100" t="str">
        <f>IF(OR(G170="",H170="",I170=""),"",IFERROR((G170/1000)/(n_e_fcn*F_const*(H170/10000)*I170)*100,""))</f>
        <v/>
      </c>
      <c r="L170" s="100" t="str">
        <f>IF(OR(K170="",J170=""),"",IFERROR(K170*(D_O2/J170)^km_exp,""))</f>
        <v/>
      </c>
      <c r="M170" s="100" t="str">
        <f>IFERROR(INDEX(ReactorTypeList,MATCH(C170,ReactorList,0)),"")</f>
        <v/>
      </c>
      <c r="N170" s="93"/>
      <c r="O170" s="93"/>
    </row>
    <row r="171">
      <c r="A171" s="93"/>
      <c r="B171" s="94"/>
      <c r="C171" s="93"/>
      <c r="D171" s="93"/>
      <c r="E171" s="94"/>
      <c r="F171" s="94"/>
      <c r="G171" s="94"/>
      <c r="H171" s="94"/>
      <c r="I171" s="94"/>
      <c r="J171" s="94"/>
      <c r="K171" s="100" t="str">
        <f>IF(OR(G171="",H171="",I171=""),"",IFERROR((G171/1000)/(n_e_fcn*F_const*(H171/10000)*I171)*100,""))</f>
        <v/>
      </c>
      <c r="L171" s="100" t="str">
        <f>IF(OR(K171="",J171=""),"",IFERROR(K171*(D_O2/J171)^km_exp,""))</f>
        <v/>
      </c>
      <c r="M171" s="100" t="str">
        <f>IFERROR(INDEX(ReactorTypeList,MATCH(C171,ReactorList,0)),"")</f>
        <v/>
      </c>
      <c r="N171" s="93"/>
      <c r="O171" s="93"/>
    </row>
    <row r="172">
      <c r="A172" s="93"/>
      <c r="B172" s="94"/>
      <c r="C172" s="93"/>
      <c r="D172" s="93"/>
      <c r="E172" s="94"/>
      <c r="F172" s="94"/>
      <c r="G172" s="94"/>
      <c r="H172" s="94"/>
      <c r="I172" s="94"/>
      <c r="J172" s="94"/>
      <c r="K172" s="100" t="str">
        <f>IF(OR(G172="",H172="",I172=""),"",IFERROR((G172/1000)/(n_e_fcn*F_const*(H172/10000)*I172)*100,""))</f>
        <v/>
      </c>
      <c r="L172" s="100" t="str">
        <f>IF(OR(K172="",J172=""),"",IFERROR(K172*(D_O2/J172)^km_exp,""))</f>
        <v/>
      </c>
      <c r="M172" s="100" t="str">
        <f>IFERROR(INDEX(ReactorTypeList,MATCH(C172,ReactorList,0)),"")</f>
        <v/>
      </c>
      <c r="N172" s="93"/>
      <c r="O172" s="93"/>
    </row>
    <row r="173">
      <c r="A173" s="93"/>
      <c r="B173" s="94"/>
      <c r="C173" s="93"/>
      <c r="D173" s="93"/>
      <c r="E173" s="94"/>
      <c r="F173" s="94"/>
      <c r="G173" s="94"/>
      <c r="H173" s="94"/>
      <c r="I173" s="94"/>
      <c r="J173" s="94"/>
      <c r="K173" s="100" t="str">
        <f>IF(OR(G173="",H173="",I173=""),"",IFERROR((G173/1000)/(n_e_fcn*F_const*(H173/10000)*I173)*100,""))</f>
        <v/>
      </c>
      <c r="L173" s="100" t="str">
        <f>IF(OR(K173="",J173=""),"",IFERROR(K173*(D_O2/J173)^km_exp,""))</f>
        <v/>
      </c>
      <c r="M173" s="100" t="str">
        <f>IFERROR(INDEX(ReactorTypeList,MATCH(C173,ReactorList,0)),"")</f>
        <v/>
      </c>
      <c r="N173" s="93"/>
      <c r="O173" s="93"/>
    </row>
    <row r="174">
      <c r="A174" s="93"/>
      <c r="B174" s="94"/>
      <c r="C174" s="93"/>
      <c r="D174" s="93"/>
      <c r="E174" s="94"/>
      <c r="F174" s="94"/>
      <c r="G174" s="94"/>
      <c r="H174" s="94"/>
      <c r="I174" s="94"/>
      <c r="J174" s="94"/>
      <c r="K174" s="100" t="str">
        <f>IF(OR(G174="",H174="",I174=""),"",IFERROR((G174/1000)/(n_e_fcn*F_const*(H174/10000)*I174)*100,""))</f>
        <v/>
      </c>
      <c r="L174" s="100" t="str">
        <f>IF(OR(K174="",J174=""),"",IFERROR(K174*(D_O2/J174)^km_exp,""))</f>
        <v/>
      </c>
      <c r="M174" s="100" t="str">
        <f>IFERROR(INDEX(ReactorTypeList,MATCH(C174,ReactorList,0)),"")</f>
        <v/>
      </c>
      <c r="N174" s="93"/>
      <c r="O174" s="93"/>
    </row>
    <row r="175">
      <c r="A175" s="93"/>
      <c r="B175" s="94"/>
      <c r="C175" s="93"/>
      <c r="D175" s="93"/>
      <c r="E175" s="94"/>
      <c r="F175" s="94"/>
      <c r="G175" s="94"/>
      <c r="H175" s="94"/>
      <c r="I175" s="94"/>
      <c r="J175" s="94"/>
      <c r="K175" s="100" t="str">
        <f>IF(OR(G175="",H175="",I175=""),"",IFERROR((G175/1000)/(n_e_fcn*F_const*(H175/10000)*I175)*100,""))</f>
        <v/>
      </c>
      <c r="L175" s="100" t="str">
        <f>IF(OR(K175="",J175=""),"",IFERROR(K175*(D_O2/J175)^km_exp,""))</f>
        <v/>
      </c>
      <c r="M175" s="100" t="str">
        <f>IFERROR(INDEX(ReactorTypeList,MATCH(C175,ReactorList,0)),"")</f>
        <v/>
      </c>
      <c r="N175" s="93"/>
      <c r="O175" s="93"/>
    </row>
    <row r="176">
      <c r="A176" s="96" t="inlineStr">
        <is>
          <t xml:space="preserve">Value in use - k_m O₂</t>
        </is>
      </c>
      <c r="C176" s="97" t="inlineStr">
        <is>
          <t xml:space="preserve">cm/s</t>
        </is>
      </c>
      <c r="D176" s="95" t="str">
        <f>IFERROR(AVERAGEIFS(L168:L175,C168:C175,Reactor_sel,D168:D175,electrode_sel,N168:N175,"y",E168:E175,stir_rpm_set,F168:F175,"&gt;="&amp;(temp_C-km_T_tol),F168:F175,"&lt;="&amp;(temp_C+km_T_tol)),"no included runs — model uses its default")</f>
        <v>no included runs — model uses its default</v>
      </c>
    </row>
    <row r="178">
      <c r="A178" s="98" t="str">
        <f>HYPERLINK("https://github.com/amy-bo/electroPioreactor/blob/AEP02/Media/protocols/chlorine-species.md","MONOCHLORAMINE LIFETIME  (DPD combined chlorine at plateau)")</f>
        <v>MONOCHLORAMINE LIFETIME  (DPD combined chlorine at plateau)</v>
      </c>
    </row>
    <row r="179">
      <c r="A179"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80">
      <c r="A180" s="99" t="inlineStr">
        <is>
          <t xml:space="preserve">Researcher</t>
        </is>
      </c>
      <c r="B180" s="99" t="inlineStr">
        <is>
          <t xml:space="preserve">Date</t>
        </is>
      </c>
      <c r="C180" s="99" t="inlineStr">
        <is>
          <t xml:space="preserve">Reactor</t>
        </is>
      </c>
      <c r="D180" s="99" t="inlineStr">
        <is>
          <t xml:space="preserve">Medium</t>
        </is>
      </c>
      <c r="E180" s="99" t="inlineStr">
        <is>
          <t xml:space="preserve">Combined chlorine plateau (mg/L as Cl₂)</t>
        </is>
      </c>
      <c r="F180" s="99" t="inlineStr">
        <is>
          <t xml:space="preserve">Chloride turnover k (1/s, Chemistry D271)</t>
        </is>
      </c>
      <c r="G180" s="99" t="inlineStr">
        <is>
          <t xml:space="preserve">Chloride pool C (mol/L, Chemistry D47)</t>
        </is>
      </c>
      <c r="H180" s="99" t="inlineStr">
        <is>
          <t xml:space="preserve">Max production P (mol/L/s, Chemistry D315)</t>
        </is>
      </c>
      <c r="I180" s="99" t="inlineStr">
        <is>
          <t xml:space="preserve">Lifetime (computed, h)</t>
        </is>
      </c>
      <c r="J180" s="99" t="inlineStr">
        <is>
          <t xml:space="preserve">Type (auto)</t>
        </is>
      </c>
      <c r="K180" s="99" t="inlineStr">
        <is>
          <t xml:space="preserve">Include?</t>
        </is>
      </c>
      <c r="L180" s="99" t="inlineStr">
        <is>
          <t xml:space="preserve">Notes</t>
        </is>
      </c>
    </row>
    <row r="181">
      <c r="A181" s="93"/>
      <c r="B181" s="94"/>
      <c r="C181" s="93"/>
      <c r="D181" s="93"/>
      <c r="E181" s="94"/>
      <c r="F181" s="94"/>
      <c r="G181" s="94"/>
      <c r="H181" s="94"/>
      <c r="I181" s="100" t="str">
        <f>IF(OR(E181="",F181="",G181="",H181=""),"",IF(E181/M_Cl2&gt;=G181,"not invertible: plateau at or above the chloride pool",IFERROR(MAX(E181/M_Cl2/(F181*(G181-E181/M_Cl2)),E181/M_Cl2/H181)/3600,"")))</f>
        <v/>
      </c>
      <c r="J181" s="100" t="str">
        <f>IFERROR(INDEX(ReactorTypeList,MATCH(C181,ReactorList,0)),"")</f>
        <v/>
      </c>
      <c r="K181" s="93"/>
      <c r="L181" s="93"/>
    </row>
    <row r="182">
      <c r="A182" s="93"/>
      <c r="B182" s="94"/>
      <c r="C182" s="93"/>
      <c r="D182" s="93"/>
      <c r="E182" s="94"/>
      <c r="F182" s="94"/>
      <c r="G182" s="94"/>
      <c r="H182" s="94"/>
      <c r="I182" s="100" t="str">
        <f>IF(OR(E182="",F182="",G182="",H182=""),"",IF(E182/M_Cl2&gt;=G182,"not invertible: plateau at or above the chloride pool",IFERROR(MAX(E182/M_Cl2/(F182*(G182-E182/M_Cl2)),E182/M_Cl2/H182)/3600,"")))</f>
        <v/>
      </c>
      <c r="J182" s="100" t="str">
        <f>IFERROR(INDEX(ReactorTypeList,MATCH(C182,ReactorList,0)),"")</f>
        <v/>
      </c>
      <c r="K182" s="93"/>
      <c r="L182" s="93"/>
    </row>
    <row r="183">
      <c r="A183" s="93"/>
      <c r="B183" s="94"/>
      <c r="C183" s="93"/>
      <c r="D183" s="93"/>
      <c r="E183" s="94"/>
      <c r="F183" s="94"/>
      <c r="G183" s="94"/>
      <c r="H183" s="94"/>
      <c r="I183" s="100" t="str">
        <f>IF(OR(E183="",F183="",G183="",H183=""),"",IF(E183/M_Cl2&gt;=G183,"not invertible: plateau at or above the chloride pool",IFERROR(MAX(E183/M_Cl2/(F183*(G183-E183/M_Cl2)),E183/M_Cl2/H183)/3600,"")))</f>
        <v/>
      </c>
      <c r="J183" s="100" t="str">
        <f>IFERROR(INDEX(ReactorTypeList,MATCH(C183,ReactorList,0)),"")</f>
        <v/>
      </c>
      <c r="K183" s="93"/>
      <c r="L183" s="93"/>
    </row>
    <row r="184">
      <c r="A184" s="93"/>
      <c r="B184" s="94"/>
      <c r="C184" s="93"/>
      <c r="D184" s="93"/>
      <c r="E184" s="94"/>
      <c r="F184" s="94"/>
      <c r="G184" s="94"/>
      <c r="H184" s="94"/>
      <c r="I184" s="100" t="str">
        <f>IF(OR(E184="",F184="",G184="",H184=""),"",IF(E184/M_Cl2&gt;=G184,"not invertible: plateau at or above the chloride pool",IFERROR(MAX(E184/M_Cl2/(F184*(G184-E184/M_Cl2)),E184/M_Cl2/H184)/3600,"")))</f>
        <v/>
      </c>
      <c r="J184" s="100" t="str">
        <f>IFERROR(INDEX(ReactorTypeList,MATCH(C184,ReactorList,0)),"")</f>
        <v/>
      </c>
      <c r="K184" s="93"/>
      <c r="L184" s="93"/>
    </row>
    <row r="185">
      <c r="A185" s="93"/>
      <c r="B185" s="94"/>
      <c r="C185" s="93"/>
      <c r="D185" s="93"/>
      <c r="E185" s="94"/>
      <c r="F185" s="94"/>
      <c r="G185" s="94"/>
      <c r="H185" s="94"/>
      <c r="I185" s="100" t="str">
        <f>IF(OR(E185="",F185="",G185="",H185=""),"",IF(E185/M_Cl2&gt;=G185,"not invertible: plateau at or above the chloride pool",IFERROR(MAX(E185/M_Cl2/(F185*(G185-E185/M_Cl2)),E185/M_Cl2/H185)/3600,"")))</f>
        <v/>
      </c>
      <c r="J185" s="100" t="str">
        <f>IFERROR(INDEX(ReactorTypeList,MATCH(C185,ReactorList,0)),"")</f>
        <v/>
      </c>
      <c r="K185" s="93"/>
      <c r="L185" s="93"/>
    </row>
    <row r="186">
      <c r="A186" s="93"/>
      <c r="B186" s="94"/>
      <c r="C186" s="93"/>
      <c r="D186" s="93"/>
      <c r="E186" s="94"/>
      <c r="F186" s="94"/>
      <c r="G186" s="94"/>
      <c r="H186" s="94"/>
      <c r="I186" s="100" t="str">
        <f>IF(OR(E186="",F186="",G186="",H186=""),"",IF(E186/M_Cl2&gt;=G186,"not invertible: plateau at or above the chloride pool",IFERROR(MAX(E186/M_Cl2/(F186*(G186-E186/M_Cl2)),E186/M_Cl2/H186)/3600,"")))</f>
        <v/>
      </c>
      <c r="J186" s="100" t="str">
        <f>IFERROR(INDEX(ReactorTypeList,MATCH(C186,ReactorList,0)),"")</f>
        <v/>
      </c>
      <c r="K186" s="93"/>
      <c r="L186" s="93"/>
    </row>
    <row r="187">
      <c r="A187" s="93"/>
      <c r="B187" s="94"/>
      <c r="C187" s="93"/>
      <c r="D187" s="93"/>
      <c r="E187" s="94"/>
      <c r="F187" s="94"/>
      <c r="G187" s="94"/>
      <c r="H187" s="94"/>
      <c r="I187" s="100" t="str">
        <f>IF(OR(E187="",F187="",G187="",H187=""),"",IF(E187/M_Cl2&gt;=G187,"not invertible: plateau at or above the chloride pool",IFERROR(MAX(E187/M_Cl2/(F187*(G187-E187/M_Cl2)),E187/M_Cl2/H187)/3600,"")))</f>
        <v/>
      </c>
      <c r="J187" s="100" t="str">
        <f>IFERROR(INDEX(ReactorTypeList,MATCH(C187,ReactorList,0)),"")</f>
        <v/>
      </c>
      <c r="K187" s="93"/>
      <c r="L187" s="93"/>
    </row>
    <row r="188">
      <c r="A188" s="93"/>
      <c r="B188" s="94"/>
      <c r="C188" s="93"/>
      <c r="D188" s="93"/>
      <c r="E188" s="94"/>
      <c r="F188" s="94"/>
      <c r="G188" s="94"/>
      <c r="H188" s="94"/>
      <c r="I188" s="100" t="str">
        <f>IF(OR(E188="",F188="",G188="",H188=""),"",IF(E188/M_Cl2&gt;=G188,"not invertible: plateau at or above the chloride pool",IFERROR(MAX(E188/M_Cl2/(F188*(G188-E188/M_Cl2)),E188/M_Cl2/H188)/3600,"")))</f>
        <v/>
      </c>
      <c r="J188" s="100" t="str">
        <f>IFERROR(INDEX(ReactorTypeList,MATCH(C188,ReactorList,0)),"")</f>
        <v/>
      </c>
      <c r="K188" s="93"/>
      <c r="L188" s="93"/>
    </row>
    <row r="189">
      <c r="A189" s="96" t="inlineStr">
        <is>
          <t xml:space="preserve">Value in use - monochloramine lifetime</t>
        </is>
      </c>
      <c r="C189" s="97" t="inlineStr">
        <is>
          <t xml:space="preserve">h</t>
        </is>
      </c>
      <c r="D189" s="95" t="str">
        <f>IFERROR(AVERAGEIFS(I181:I188,C181:C188,Reactor_sel,D181:D188,media_sel,K181:K188,"y"),"no included runs — model uses its default")</f>
        <v>no included runs — model uses its default</v>
      </c>
    </row>
    <row r="191">
      <c r="A191" s="5" t="inlineStr">
        <is>
          <t xml:space="preserve">NAMED CONSTANTS AND IMPORTS (electrode mass transfer, monochloramine lifetime)</t>
        </is>
      </c>
    </row>
    <row r="192">
      <c r="A192" s="18" t="inlineStr">
        <is>
          <t xml:space="preserve">Electrons per ferricyanide reduced</t>
        </is>
      </c>
      <c r="B192" s="72" t="inlineStr">
        <is>
          <t xml:space="preserve">n_e_fcn</t>
        </is>
      </c>
      <c r="C192" s="20" t="inlineStr">
        <is>
          <t xml:space="preserve">-</t>
        </is>
      </c>
      <c r="D192" s="132">
        <v>1</v>
      </c>
      <c r="E192" s="134" t="inlineStr">
        <is>
          <t xml:space="preserve">Fe(CN)₆³⁻ + e⁻ → Fe(CN)₆⁴⁻: a one-electron couple (protocols/electrode-mass-transfer.md).</t>
        </is>
      </c>
    </row>
    <row r="193">
      <c r="A193" s="18" t="inlineStr">
        <is>
          <t xml:space="preserve">Temperature tolerance for a k_m run</t>
        </is>
      </c>
      <c r="B193" s="72" t="inlineStr">
        <is>
          <t xml:space="preserve">km_T_tol</t>
        </is>
      </c>
      <c r="C193" s="20" t="inlineStr">
        <is>
          <t xml:space="preserve">°C</t>
        </is>
      </c>
      <c r="D193" s="132">
        <v>1</v>
      </c>
      <c r="E193" s="34" t="inlineStr">
        <is>
          <t xml:space="preserve">Design assumption: diffusivity and viscosity move ~2 %/K, so a run within ±1 °C of the Summary temperature is used as measured; others need a separate temperature correction.</t>
        </is>
      </c>
    </row>
    <row r="194">
      <c r="A194" s="18" t="inlineStr">
        <is>
          <t xml:space="preserve">(import) Stirrer rate on Summary</t>
        </is>
      </c>
      <c r="B194" s="72" t="inlineStr">
        <is>
          <t xml:space="preserve">stir_rpm_set</t>
        </is>
      </c>
      <c r="C194" s="20" t="inlineStr">
        <is>
          <t xml:space="preserve">rpm</t>
        </is>
      </c>
      <c r="D194" s="133">
        <f>Summary!$D$7</f>
        <v>1000.0</v>
      </c>
      <c r="E194" s="134" t="inlineStr">
        <is>
          <t xml:space="preserve">Import from Summary!D7 (stir_rpm_set)</t>
        </is>
      </c>
    </row>
    <row r="195">
      <c r="A195" s="18" t="inlineStr">
        <is>
          <t xml:space="preserve">(import) Temperature setpoint on Summary</t>
        </is>
      </c>
      <c r="B195" s="72" t="inlineStr">
        <is>
          <t xml:space="preserve">temp_C</t>
        </is>
      </c>
      <c r="C195" s="20" t="inlineStr">
        <is>
          <t xml:space="preserve">°C</t>
        </is>
      </c>
      <c r="D195" s="133">
        <f>Summary!$D$8</f>
        <v>30.0</v>
      </c>
      <c r="E195" s="134" t="inlineStr">
        <is>
          <t xml:space="preserve">Import from Summary!D8 (temp_C)</t>
        </is>
      </c>
    </row>
    <row r="196">
      <c r="A196" s="18" t="inlineStr">
        <is>
          <t xml:space="preserve">(import) Medium selected on Summary</t>
        </is>
      </c>
      <c r="B196" s="72" t="inlineStr">
        <is>
          <t xml:space="preserve">media_sel</t>
        </is>
      </c>
      <c r="C196" s="20" t="inlineStr">
        <is>
          <t xml:space="preserve">-</t>
        </is>
      </c>
      <c r="D196" s="133" t="str">
        <f>Summary!$D$5</f>
        <v>AMYBO03</v>
      </c>
      <c r="E196" s="134" t="inlineStr">
        <is>
          <t xml:space="preserve">Import from Summary!D5 (media_sel)</t>
        </is>
      </c>
    </row>
    <row r="197">
      <c r="A197" s="18" t="inlineStr">
        <is>
          <t xml:space="preserve">(import) Electrode selected on Summary</t>
        </is>
      </c>
      <c r="B197" s="72" t="inlineStr">
        <is>
          <t xml:space="preserve">electrode_sel</t>
        </is>
      </c>
      <c r="C197" s="20" t="inlineStr">
        <is>
          <t xml:space="preserve">-</t>
        </is>
      </c>
      <c r="D197" s="133" t="str">
        <f>Summary!$D$3</f>
        <v>MMO tube</v>
      </c>
      <c r="E197" s="134" t="inlineStr">
        <is>
          <t xml:space="preserve">Import from Summary!D3 (electrode_sel)</t>
        </is>
      </c>
    </row>
    <row r="198">
      <c r="A198" s="18" t="inlineStr">
        <is>
          <t xml:space="preserve">(import) O₂ diffusivity at reactor T</t>
        </is>
      </c>
      <c r="B198" s="72" t="inlineStr">
        <is>
          <t xml:space="preserve">D_O2</t>
        </is>
      </c>
      <c r="C198" s="20" t="inlineStr">
        <is>
          <t xml:space="preserve">m²/s</t>
        </is>
      </c>
      <c r="D198" s="133">
        <f>'Mass Transfer'!$D$32</f>
        <v>2.249544435762e-09</v>
      </c>
      <c r="E198" s="134" t="inlineStr">
        <is>
          <t xml:space="preserve">Import from Mass Transfer!D32 (D_O2)</t>
        </is>
      </c>
    </row>
    <row r="199">
      <c r="A199" s="18" t="inlineStr">
        <is>
          <t xml:space="preserve">(import) Diffusivity exponent for k_m scaling</t>
        </is>
      </c>
      <c r="B199" s="72" t="inlineStr">
        <is>
          <t xml:space="preserve">km_exp</t>
        </is>
      </c>
      <c r="C199" s="20" t="inlineStr">
        <is>
          <t xml:space="preserve">-</t>
        </is>
      </c>
      <c r="D199" s="133">
        <f>Electrochemistry!$D$84</f>
        <v>0.644</v>
      </c>
      <c r="E199" s="134" t="inlineStr">
        <is>
          <t xml:space="preserve">Import from Electrochemistry!D84 (km_exp): the same Eisenberg scaling the model uses for every species.</t>
        </is>
      </c>
    </row>
    <row r="200">
      <c r="A200" s="18" t="inlineStr">
        <is>
          <t xml:space="preserve">(import) Cl₂ molar mass</t>
        </is>
      </c>
      <c r="B200" s="72" t="inlineStr">
        <is>
          <t xml:space="preserve">M_Cl2</t>
        </is>
      </c>
      <c r="C200" s="20" t="inlineStr">
        <is>
          <t xml:space="preserve">mg/mol</t>
        </is>
      </c>
      <c r="D200" s="133">
        <f>Chemistry!$D$223</f>
        <v>70906.0</v>
      </c>
      <c r="E200" s="134" t="inlineStr">
        <is>
          <t xml:space="preserve">Import from Chemistry!D223 (M_Cl2): DPD results are mg/L as Cl₂.</t>
        </is>
      </c>
    </row>
  </sheetData>
  <dataValidations count="8">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 type="list" allowBlank="1" showErrorMessage="1" errorTitle="Invalid value" error="Choose a reactor from the list." sqref="C168:C175 C181:C188">
      <formula1>ReactorList</formula1>
    </dataValidation>
    <dataValidation type="list" allowBlank="1" showErrorMessage="1" errorTitle="Invalid value" error="y or n." sqref="N168:N175 K181:K188">
      <formula1>"y,n"</formula1>
    </dataValidation>
    <dataValidation type="list" allowBlank="1" showErrorMessage="1" errorTitle="Invalid value" error="Choose an electrode from the list." sqref="D168:D175">
      <formula1>ElectrodeList</formula1>
    </dataValidation>
    <dataValidation type="list" allowBlank="1" showErrorMessage="1" errorTitle="Invalid value" error="Choose a medium from the list." sqref="D181:D188">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