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xr:revisionPtr revIDLastSave="0" documentId="13_ncr:1_{1C951F86-62A1-364E-B70A-6B17C59EB5AD}" xr6:coauthVersionLast="47" xr6:coauthVersionMax="47" xr10:uidLastSave="{00000000-0000-0000-0000-000000000000}"/>
  <bookViews>
    <workbookView xWindow="0" yWindow="580" windowWidth="28800" windowHeight="18060" tabRatio="500" xr2:uid="{00000000-000D-0000-FFFF-FFFF00000000}"/>
  </bookViews>
  <sheets>
    <sheet name="Summary" sheetId="1" r:id="rId1"/>
    <sheet name="Geometry" sheetId="2" r:id="rId2"/>
    <sheet name="Electrochemistry" sheetId="3" r:id="rId3"/>
    <sheet name="Chemistry" sheetId="7" r:id="rId4"/>
    <sheet name="Biology" sheetId="4" r:id="rId5"/>
    <sheet name="Mass Transfer" sheetId="5" r:id="rId6"/>
    <sheet name="CO2 flows" sheetId="6" r:id="rId7"/>
    <sheet name="Calibrations" sheetId="8" r:id="rId8"/>
    <sheet name="AMYBO03" sheetId="9" r:id="rId9"/>
  </sheets>
  <definedNames>
    <definedName name="A_anode" localSheetId="3">Chemistry!$D$130</definedName>
    <definedName name="A_anode_wet" localSheetId="2">Electrochemistry!$D$46</definedName>
    <definedName name="A_cath_wet" localSheetId="2">Electrochemistry!$D$47</definedName>
    <definedName name="A_DH" localSheetId="3">Chemistry!$D$186</definedName>
    <definedName name="a_int" localSheetId="5">'Mass Transfer'!$D$49</definedName>
    <definedName name="a_surf" localSheetId="5">'Mass Transfer'!$D$71</definedName>
    <definedName name="A_x" localSheetId="7">Calibrations!$D$186</definedName>
    <definedName name="A_x" localSheetId="1">Geometry!$D$21</definedName>
    <definedName name="A_x" localSheetId="5">'Mass Transfer'!$D$17</definedName>
    <definedName name="alk_NaHCO3_gL" localSheetId="3">Chemistry!$D$308</definedName>
    <definedName name="alk_needed" localSheetId="3">Chemistry!$D$306</definedName>
    <definedName name="alk_pH_target" localSheetId="3">Chemistry!$D$303</definedName>
    <definedName name="alk_pH_target_c" localSheetId="3">Chemistry!$D$304</definedName>
    <definedName name="alk_resid_t" localSheetId="3">Chemistry!$D$305</definedName>
    <definedName name="anode_dia" localSheetId="2">Electrochemistry!$D$42</definedName>
    <definedName name="anode_j_cont" localSheetId="2">Electrochemistry!$D$50</definedName>
    <definedName name="anode_j_max" localSheetId="2">Electrochemistry!$D$51</definedName>
    <definedName name="anode_material" localSheetId="2">Electrochemistry!$D$63</definedName>
    <definedName name="anode_shape" localSheetId="2">Electrochemistry!$D$41</definedName>
    <definedName name="b_anode" localSheetId="2">Electrochemistry!$D$107</definedName>
    <definedName name="b_cath" localSheetId="2">Electrochemistry!$D$109</definedName>
    <definedName name="beta_nonC" localSheetId="3">Chemistry!$D$295</definedName>
    <definedName name="bio_CO2" localSheetId="4">Biology!$D$12</definedName>
    <definedName name="bio_H2" localSheetId="4">Biology!$D$10</definedName>
    <definedName name="bio_O2" localSheetId="4">Biology!$D$11</definedName>
    <definedName name="bleach_flag" localSheetId="3">Chemistry!$D$109</definedName>
    <definedName name="bleach_rate" localSheetId="3">Chemistry!$D$107</definedName>
    <definedName name="bleach_t1ppm" localSheetId="3">Chemistry!$D$108</definedName>
    <definedName name="bp_const" localSheetId="7">Calibrations!$D$166</definedName>
    <definedName name="bubble_regime" localSheetId="5">'Mass Transfer'!$D$64</definedName>
    <definedName name="buffer_caution_frac" localSheetId="3">Chemistry!$D$238</definedName>
    <definedName name="buffer_flag" localSheetId="3">Chemistry!$D$219</definedName>
    <definedName name="C_air_CO2" localSheetId="5">'Mass Transfer'!$D$146</definedName>
    <definedName name="C_CO2_mf" localSheetId="5">'Mass Transfer'!$D$382</definedName>
    <definedName name="C_cycle_peak" localSheetId="5">'Mass Transfer'!$D$199</definedName>
    <definedName name="C_cycle_start" localSheetId="5">'Mass Transfer'!$D$198</definedName>
    <definedName name="C_cycle_start_b" localSheetId="4">Biology!$D$97</definedName>
    <definedName name="C_eff" localSheetId="3">Chemistry!$D$145</definedName>
    <definedName name="C_eff_Cl2" localSheetId="3">Chemistry!$D$226</definedName>
    <definedName name="C_eff_hi" localSheetId="3">Chemistry!$D$157</definedName>
    <definedName name="C_eff_hi_Cl2" localSheetId="3">Chemistry!$D$260</definedName>
    <definedName name="C_eff_lo" localSheetId="3">Chemistry!$D$156</definedName>
    <definedName name="C_eff_lo_Cl2" localSheetId="3">Chemistry!$D$259</definedName>
    <definedName name="C_H2_sat" localSheetId="4">Biology!$D$41</definedName>
    <definedName name="C_sat_CO2" localSheetId="5">'Mass Transfer'!$D$145</definedName>
    <definedName name="ca_rho_0" localSheetId="7">Calibrations!$D$181</definedName>
    <definedName name="ca_rho_k" localSheetId="7">Calibrations!$D$182</definedName>
    <definedName name="cal_Dint">Calibrations!$D$75</definedName>
    <definedName name="cal_DO_impair">Calibrations!$D$105</definedName>
    <definedName name="cal_DO_min">Calibrations!$D$103</definedName>
    <definedName name="cal_DO_opt">Calibrations!$D$104</definedName>
    <definedName name="cal_DO_toxic">Calibrations!$D$106</definedName>
    <definedName name="cal_etaF">Calibrations!$D$31</definedName>
    <definedName name="cal_etaF_OER">Calibrations!$D$32</definedName>
    <definedName name="cal_flow">Calibrations!$D$60</definedName>
    <definedName name="cal_gerrit_int">Calibrations!$D$17</definedName>
    <definedName name="cal_gerrit_slope">Calibrations!$D$16</definedName>
    <definedName name="cal_hs">Calibrations!$D$76</definedName>
    <definedName name="cal_hs_fill">Calibrations!$D$77</definedName>
    <definedName name="cal_j_ceiling">Calibrations!$D$137</definedName>
    <definedName name="cal_j_opt">Calibrations!$D$136</definedName>
    <definedName name="cal_kLa">Calibrations!$D$46</definedName>
    <definedName name="cal_knall_CO2">Calibrations!$D$122</definedName>
    <definedName name="cal_knall_H2">Calibrations!$D$120</definedName>
    <definedName name="cal_knall_O2">Calibrations!$D$121</definedName>
    <definedName name="cal_pulse_floor">Calibrations!$D$61</definedName>
    <definedName name="cal_sinter">Calibrations!$D$89</definedName>
    <definedName name="cal_Vtot">Calibrations!$D$74</definedName>
    <definedName name="cal_warning" localSheetId="5">'Mass Transfer'!$D$120</definedName>
    <definedName name="carbon_margin_min" localSheetId="5">'Mass Transfer'!$D$85</definedName>
    <definedName name="carry_flag" localSheetId="5">'Mass Transfer'!$D$59</definedName>
    <definedName name="carry_flag_usg" localSheetId="5">'Mass Transfer'!$D$414</definedName>
    <definedName name="carry_n" localSheetId="5">'Mass Transfer'!$D$412</definedName>
    <definedName name="cath_j_cont" localSheetId="2">Electrochemistry!$D$52</definedName>
    <definedName name="cath_j_max" localSheetId="2">Electrochemistry!$D$53</definedName>
    <definedName name="cathode_dia" localSheetId="2">Electrochemistry!$D$44</definedName>
    <definedName name="cathode_shape" localSheetId="2">Electrochemistry!$D$43</definedName>
    <definedName name="cf_Cl_kill" localSheetId="0">Summary!$D$164</definedName>
    <definedName name="cf_Cl_onset" localSheetId="0">Summary!$D$163</definedName>
    <definedName name="cf_pH_hi" localSheetId="0">Summary!$D$161</definedName>
    <definedName name="cf_pH_lo" localSheetId="0">Summary!$D$160</definedName>
    <definedName name="cf_pH_red_hi" localSheetId="0">Summary!$D$162</definedName>
    <definedName name="cf_pH_red_lo" localSheetId="0">Summary!$D$159</definedName>
    <definedName name="chk_bubble" localSheetId="0">Summary!$D$41</definedName>
    <definedName name="chk_cal" localSheetId="0">Summary!$D$36</definedName>
    <definedName name="chk_carry_usg" localSheetId="0">Summary!$D$51</definedName>
    <definedName name="chk_carryover" localSheetId="0">Summary!$D$45</definedName>
    <definedName name="chk_CO2_supply" localSheetId="0">Summary!$D$42</definedName>
    <definedName name="chk_DO_data" localSheetId="0">Summary!$D$50</definedName>
    <definedName name="chk_DO_min" localSheetId="0">Summary!$D$38</definedName>
    <definedName name="chk_DO_opt" localSheetId="0">Summary!$D$37</definedName>
    <definedName name="chk_geom" localSheetId="0">Summary!$D$35</definedName>
    <definedName name="chk_H2" localSheetId="0">Summary!$D$40</definedName>
    <definedName name="chk_led_law" localSheetId="0">Summary!$D$49</definedName>
    <definedName name="chk_level" localSheetId="0">Summary!$D$48</definedName>
    <definedName name="chk_media_vol" localSheetId="0">Summary!$D$47</definedName>
    <definedName name="chk_od_window" localSheetId="0">Summary!$D$44</definedName>
    <definedName name="chk_pulse_floor" localSheetId="0">Summary!$D$43</definedName>
    <definedName name="chk_relax" localSheetId="0">Summary!$D$39</definedName>
    <definedName name="chk_tip" localSheetId="0">Summary!$D$46</definedName>
    <definedName name="Cl_floor_molL" localSheetId="3">Chemistry!$D$234</definedName>
    <definedName name="Cl_free_frac" localSheetId="3">Chemistry!$D$278</definedName>
    <definedName name="Cl_kill" localSheetId="3">Chemistry!$D$147</definedName>
    <definedName name="Cl_mc02" localSheetId="3">Chemistry!$D$38</definedName>
    <definedName name="Cl_onset" localSheetId="3">Chemistry!$D$146</definedName>
    <definedName name="cl_per_N" localSheetId="3">Chemistry!$D$224</definedName>
    <definedName name="Cl_pool_mgL" localSheetId="3">Chemistry!$D$149</definedName>
    <definedName name="Cl_udg" localSheetId="3">Chemistry!$D$42</definedName>
    <definedName name="cleared_min" localSheetId="5">'Mass Transfer'!$D$213</definedName>
    <definedName name="CO2_carbon_margin" localSheetId="4">Biology!$D$35</definedName>
    <definedName name="CO2_cons" localSheetId="4">Biology!$D$15</definedName>
    <definedName name="CO2_cons" localSheetId="5">'Mass Transfer'!$D$10</definedName>
    <definedName name="CO2_cyc_avg_new" localSheetId="5">'Mass Transfer'!$D$200</definedName>
    <definedName name="CO2_diss" localSheetId="4">Biology!$D$33</definedName>
    <definedName name="CO2_fix_g" localSheetId="5">'Mass Transfer'!$D$315</definedName>
    <definedName name="CO2_fix_l" localSheetId="5">'Mass Transfer'!$D$316</definedName>
    <definedName name="CO2_fix_sched" localSheetId="5">'Mass Transfer'!$D$319</definedName>
    <definedName name="CO2_margin_trough" localSheetId="4">Biology!$D$98</definedName>
    <definedName name="CO2_pulse" localSheetId="5">'Mass Transfer'!$D$123</definedName>
    <definedName name="CO2_rate_full" localSheetId="5">'Mass Transfer'!$D$178</definedName>
    <definedName name="CO2_rate_full_b" localSheetId="4">Biology!$D$77</definedName>
    <definedName name="CO2_sd_ratio" localSheetId="5">'Mass Transfer'!$D$126</definedName>
    <definedName name="CO2_supply" localSheetId="5">'Mass Transfer'!$D$100</definedName>
    <definedName name="CO2_supply_b" localSheetId="4">Biology!$D$76</definedName>
    <definedName name="CO2_uptake_ratio" localSheetId="5">'Mass Transfer'!$D$417</definedName>
    <definedName name="CO2aqc" localSheetId="3">Chemistry!$D$5</definedName>
    <definedName name="CO2aqc_ss" localSheetId="5">'Mass Transfer'!$D$162</definedName>
    <definedName name="corr_I_frac" localSheetId="3">Chemistry!$D$158</definedName>
    <definedName name="d_bubble" localSheetId="5">'Mass Transfer'!$D$42</definedName>
    <definedName name="d_bubble_min_m" localSheetId="5">'Mass Transfer'!$D$211</definedName>
    <definedName name="d_bubble_mm" localSheetId="5">'Mass Transfer'!$D$43</definedName>
    <definedName name="D_Cl" localSheetId="3">Chemistry!$D$277</definedName>
    <definedName name="D_CO2" localSheetId="5">'Mass Transfer'!$D$138</definedName>
    <definedName name="D_CO2_ref" localSheetId="5">'Mass Transfer'!$D$174</definedName>
    <definedName name="D_HCO3" localSheetId="3">Chemistry!$D$251</definedName>
    <definedName name="D_HPO4" localSheetId="3">Chemistry!$D$214</definedName>
    <definedName name="D_int" localSheetId="1">Geometry!$D$22</definedName>
    <definedName name="D_O2" localSheetId="5">'Mass Transfer'!$D$32</definedName>
    <definedName name="D_O2_c" localSheetId="3">Chemistry!$D$274</definedName>
    <definedName name="d_orifice" localSheetId="5">'Mass Transfer'!$D$41</definedName>
    <definedName name="davies_c" localSheetId="3">Chemistry!$D$233</definedName>
    <definedName name="delta_diff" localSheetId="3">Chemistry!$D$215</definedName>
    <definedName name="depth_warn" localSheetId="1">Geometry!$D$55</definedName>
    <definedName name="DH_const" localSheetId="3">Chemistry!$D$230</definedName>
    <definedName name="DIC_cap" localSheetId="3">Chemistry!$D$296</definedName>
    <definedName name="DIC_cap_mt" localSheetId="5">'Mass Transfer'!$D$415</definedName>
    <definedName name="disp_tot" localSheetId="1">Geometry!$D$40</definedName>
    <definedName name="DO_at_carbon" localSheetId="5">'Mass Transfer'!$D$232</definedName>
    <definedName name="DO_avg_g" localSheetId="5">'Mass Transfer'!$D$341</definedName>
    <definedName name="DO_avg_g_mgL" localSheetId="5">'Mass Transfer'!$D$343</definedName>
    <definedName name="DO_avg_l" localSheetId="5">'Mass Transfer'!$D$362</definedName>
    <definedName name="DO_avg_l_mgL" localSheetId="5">'Mass Transfer'!$D$364</definedName>
    <definedName name="DO_avg_sched" localSheetId="5">'Mass Transfer'!$D$372</definedName>
    <definedName name="DO_feas_g" localSheetId="5">'Mass Transfer'!$D$347</definedName>
    <definedName name="DO_feas_l" localSheetId="5">'Mass Transfer'!$D$368</definedName>
    <definedName name="DO_frac_fallback" localSheetId="4">Biology!$D$61</definedName>
    <definedName name="DO_frac_target" localSheetId="4">Biology!$D$60</definedName>
    <definedName name="DO_hs_floor" localSheetId="5">'Mass Transfer'!$D$188</definedName>
    <definedName name="DO_impair" localSheetId="4">Biology!$D$47</definedName>
    <definedName name="DO_impair" localSheetId="5">'Mass Transfer'!$D$23</definedName>
    <definedName name="DO_lag_ref" localSheetId="2">Electrochemistry!$D$129</definedName>
    <definedName name="DO_lag_ref_chk" localSheetId="2">Electrochemistry!$D$134</definedName>
    <definedName name="DO_lag_tol" localSheetId="2">Electrochemistry!$D$130</definedName>
    <definedName name="DO_mf_g" localSheetId="5">'Mass Transfer'!$D$340</definedName>
    <definedName name="DO_mf_l" localSheetId="5">'Mass Transfer'!$D$361</definedName>
    <definedName name="DO_min" localSheetId="4">Biology!$D$45</definedName>
    <definedName name="DO_min" localSheetId="5">'Mass Transfer'!$D$25</definedName>
    <definedName name="DO_opt" localSheetId="4">Biology!$D$46</definedName>
    <definedName name="DO_opt" localSheetId="5">'Mass Transfer'!$D$22</definedName>
    <definedName name="DO_peak_band" localSheetId="5">'Mass Transfer'!$D$374</definedName>
    <definedName name="DO_peak_chk_g" localSheetId="5">'Mass Transfer'!$D$348</definedName>
    <definedName name="DO_peak_chk_l" localSheetId="5">'Mass Transfer'!$D$369</definedName>
    <definedName name="DO_peak_g" localSheetId="5">'Mass Transfer'!$D$342</definedName>
    <definedName name="DO_peak_g_mgL" localSheetId="5">'Mass Transfer'!$D$344</definedName>
    <definedName name="DO_peak_l" localSheetId="5">'Mass Transfer'!$D$363</definedName>
    <definedName name="DO_peak_l_mgL" localSheetId="5">'Mass Transfer'!$D$365</definedName>
    <definedName name="DO_peak_sched" localSheetId="5">'Mass Transfer'!$D$373</definedName>
    <definedName name="DO_ss" localSheetId="5">'Mass Transfer'!$D$108</definedName>
    <definedName name="DO_ss_sawtooth" localSheetId="5">'Mass Transfer'!$D$133</definedName>
    <definedName name="DO_ss_sawtooth_lag" localSheetId="5">'Mass Transfer'!$D$135</definedName>
    <definedName name="DO_ss_vs_min" localSheetId="5">'Mass Transfer'!$D$110</definedName>
    <definedName name="DO_surf_excess" localSheetId="5">'Mass Transfer'!$D$180</definedName>
    <definedName name="DO_surf_excess_g" localSheetId="5">'Mass Transfer'!$D$339</definedName>
    <definedName name="DO_surf_excess_lag" localSheetId="5">'Mass Transfer'!$D$181</definedName>
    <definedName name="DO_target" localSheetId="5">'Mass Transfer'!$D$179</definedName>
    <definedName name="DO_toxic" localSheetId="4">Biology!$D$48</definedName>
    <definedName name="DO_toxic" localSheetId="5">'Mass Transfer'!$D$24</definedName>
    <definedName name="dur_ok" localSheetId="5">'Mass Transfer'!$D$130</definedName>
    <definedName name="duty" localSheetId="5">'Mass Transfer'!$D$105</definedName>
    <definedName name="duty_actual" localSheetId="5">'Mass Transfer'!$D$93</definedName>
    <definedName name="duty_carbon" localSheetId="5">'Mass Transfer'!$D$86</definedName>
    <definedName name="duty_DO" localSheetId="5">'Mass Transfer'!$D$184</definedName>
    <definedName name="duty_H2safe" localSheetId="4">Biology!$D$86</definedName>
    <definedName name="duty_O2vent" localSheetId="5">'Mass Transfer'!$D$87</definedName>
    <definedName name="duty_opt" localSheetId="5">'Mass Transfer'!$D$88</definedName>
    <definedName name="dy_O2_g" localSheetId="5">'Mass Transfer'!$D$335</definedName>
    <definedName name="dy_O2_l" localSheetId="5">'Mass Transfer'!$D$357</definedName>
    <definedName name="E_anode_op" localSheetId="3">Chemistry!$D$256</definedName>
    <definedName name="E_Cl_margin" localSheetId="3">Chemistry!$D$209</definedName>
    <definedName name="E_Cl2" localSheetId="3">Chemistry!$D$208</definedName>
    <definedName name="E_Cu_margin" localSheetId="3">Chemistry!$D$211</definedName>
    <definedName name="E_HER" localSheetId="3">Chemistry!$D$207</definedName>
    <definedName name="E_HOCl_Cl" localSheetId="3">Chemistry!$D$258</definedName>
    <definedName name="E_OER" localSheetId="3">Chemistry!$D$206</definedName>
    <definedName name="E_ORR2" localSheetId="3">Chemistry!$D$210</definedName>
    <definedName name="E0_Cl2" localSheetId="3">Chemistry!$D$203</definedName>
    <definedName name="E0_Cu" localSheetId="3">Chemistry!$D$205</definedName>
    <definedName name="E0_HER" localSheetId="3">Chemistry!$D$202</definedName>
    <definedName name="E0_HOCl" localSheetId="3">Chemistry!$D$257</definedName>
    <definedName name="E0_OER" localSheetId="3">Chemistry!$D$201</definedName>
    <definedName name="E0_ORR2" localSheetId="3">Chemistry!$D$204</definedName>
    <definedName name="Ea_D_CO2" localSheetId="5">'Mass Transfer'!$D$175</definedName>
    <definedName name="ec_C_H2_sat" localSheetId="2">Electrochemistry!$D$146</definedName>
    <definedName name="ec_corr_I" localSheetId="2">Electrochemistry!$D$102</definedName>
    <definedName name="ec_D_O2" localSheetId="2">Electrochemistry!$D$81</definedName>
    <definedName name="ec_DO_design" localSheetId="2">Electrochemistry!$D$85</definedName>
    <definedName name="ec_DO_lag" localSheetId="2">Electrochemistry!$D$150</definedName>
    <definedName name="ec_E_rev" localSheetId="2">Electrochemistry!$D$106</definedName>
    <definedName name="ec_gap" localSheetId="2">Electrochemistry!$D$115</definedName>
    <definedName name="ec_I_Cl" localSheetId="2">Electrochemistry!$D$101</definedName>
    <definedName name="ec_jbuf_ratio" localSheetId="2">Electrochemistry!$D$161</definedName>
    <definedName name="ec_kappa" localSheetId="2">Electrochemistry!$D$114</definedName>
    <definedName name="ec_O2_ceil" localSheetId="2">Electrochemistry!$D$80</definedName>
    <definedName name="ec_V_L" localSheetId="2">Electrochemistry!$D$82</definedName>
    <definedName name="eff_disp" localSheetId="1">Geometry!$D$39</definedName>
    <definedName name="eff_ID" localSheetId="1">Geometry!$D$34</definedName>
    <definedName name="eff_OD" localSheetId="1">Geometry!$D$33</definedName>
    <definedName name="eff_sub_L" localSheetId="1">Geometry!$D$38</definedName>
    <definedName name="elec_clear" localSheetId="1">Geometry!$D$28</definedName>
    <definedName name="elec_disp" localSheetId="1">Geometry!$D$36</definedName>
    <definedName name="elec_gap" localSheetId="1">Geometry!$D$92</definedName>
    <definedName name="elec_ins" localSheetId="1">Geometry!$D$29</definedName>
    <definedName name="elec_sub_L" localSheetId="1">Geometry!$D$35</definedName>
    <definedName name="elec_sub_L_act" localSheetId="1">Geometry!$D$93</definedName>
    <definedName name="electrode_sel" localSheetId="2">Electrochemistry!$D$8</definedName>
    <definedName name="electrode_sel" localSheetId="0">Summary!$D$3</definedName>
    <definedName name="ElectrodeList">Electrochemistry!$A$35:$A$38</definedName>
    <definedName name="eps_T_exp" localSheetId="3">Chemistry!$D$232</definedName>
    <definedName name="eps_water_298" localSheetId="3">Chemistry!$D$231</definedName>
    <definedName name="eta_anode" localSheetId="2">Electrochemistry!$D$111</definedName>
    <definedName name="eta_anode_c" localSheetId="3">Chemistry!$D$254</definedName>
    <definedName name="eta_cath" localSheetId="2">Electrochemistry!$D$112</definedName>
    <definedName name="etaF" localSheetId="2">Electrochemistry!$D$18</definedName>
    <definedName name="etaF_calc" localSheetId="2">Electrochemistry!$D$88</definedName>
    <definedName name="etaF_calc_min" localSheetId="2">Electrochemistry!$D$89</definedName>
    <definedName name="etaF_OER" localSheetId="2">Electrochemistry!$D$26</definedName>
    <definedName name="etaF_OER_calc" localSheetId="2">Electrochemistry!$D$104</definedName>
    <definedName name="f_Cl_anode" localSheetId="2">Electrochemistry!$D$103</definedName>
    <definedName name="F_const" localSheetId="7">Calibrations!$D$188</definedName>
    <definedName name="F_const" localSheetId="2">Electrochemistry!$D$15</definedName>
    <definedName name="F_gap_g" localSheetId="5">'Mass Transfer'!$D$331</definedName>
    <definedName name="F_gap_l" localSheetId="5">'Mass Transfer'!$D$353</definedName>
    <definedName name="F_gap_l_b" localSheetId="4">Biology!$D$116</definedName>
    <definedName name="F_gap_sched" localSheetId="5">'Mass Transfer'!$D$371</definedName>
    <definedName name="f_HOOH" localSheetId="2">Electrochemistry!$D$91</definedName>
    <definedName name="f_HOR_anode" localSheetId="2">Electrochemistry!$D$145</definedName>
    <definedName name="f_HOR_lim" localSheetId="2">Electrochemistry!$D$148</definedName>
    <definedName name="F_hs_net_g" localSheetId="5">'Mass Transfer'!$D$328</definedName>
    <definedName name="F_hs_net_l" localSheetId="5">'Mass Transfer'!$D$350</definedName>
    <definedName name="f_local" localSheetId="3">Chemistry!$D$141</definedName>
    <definedName name="f_salt_O2" localSheetId="4">Biology!$D$123</definedName>
    <definedName name="F_vent_ex" localSheetId="5">'Mass Transfer'!$D$308</definedName>
    <definedName name="F_vent_ex_b" localSheetId="4">Biology!$D$111</definedName>
    <definedName name="Fcc" localSheetId="3">Chemistry!$D$7</definedName>
    <definedName name="FE_CER" localSheetId="3">Chemistry!$D$128</definedName>
    <definedName name="fit_n" localSheetId="5">'Mass Transfer'!$D$401</definedName>
    <definedName name="fit_n_min" localSheetId="5">'Mass Transfer'!$D$406</definedName>
    <definedName name="fit_St" localSheetId="5">'Mass Transfer'!$D$402</definedName>
    <definedName name="fit_Stt" localSheetId="5">'Mass Transfer'!$D$404</definedName>
    <definedName name="fit_StV" localSheetId="5">'Mass Transfer'!$D$405</definedName>
    <definedName name="fit_SV" localSheetId="5">'Mass Transfer'!$D$403</definedName>
    <definedName name="flowrate_cal" localSheetId="5">'Mass Transfer'!$D$117</definedName>
    <definedName name="flush_factor" localSheetId="5">'Mass Transfer'!$D$106</definedName>
    <definedName name="flush_ret" localSheetId="5">'Mass Transfer'!$D$324</definedName>
    <definedName name="flush_ret_opt" localSheetId="5">'Mass Transfer'!$D$321</definedName>
    <definedName name="flush_ret_opt_b" localSheetId="4">Biology!$D$118</definedName>
    <definedName name="flush_vol" localSheetId="5">'Mass Transfer'!$D$323</definedName>
    <definedName name="flush_vol_opt" localSheetId="5">'Mass Transfer'!$D$320</definedName>
    <definedName name="g_const" localSheetId="5">'Mass Transfer'!$D$31</definedName>
    <definedName name="gamma_1" localSheetId="3">Chemistry!$D$187</definedName>
    <definedName name="gamma_2" localSheetId="3">Chemistry!$D$188</definedName>
    <definedName name="gamma_3" localSheetId="3">Chemistry!$D$189</definedName>
    <definedName name="geom_check" localSheetId="1">Geometry!$D$90</definedName>
    <definedName name="geom_tol_mL" localSheetId="1">Geometry!$D$96</definedName>
    <definedName name="gerrit_int" localSheetId="2">Electrochemistry!$D$12</definedName>
    <definedName name="gerrit_int_default" localSheetId="2">Electrochemistry!$D$126</definedName>
    <definedName name="gerrit_max" localSheetId="2">Electrochemistry!$D$14</definedName>
    <definedName name="gerrit_min" localSheetId="2">Electrochemistry!$D$13</definedName>
    <definedName name="gerrit_slope" localSheetId="2">Electrochemistry!$D$11</definedName>
    <definedName name="gerrit_slope_default" localSheetId="2">Electrochemistry!$D$125</definedName>
    <definedName name="h_actual" localSheetId="1">Geometry!$D$42</definedName>
    <definedName name="H_CO2_T" localSheetId="4">Biology!$D$31</definedName>
    <definedName name="H_CO2ref" localSheetId="4">Biology!$D$29</definedName>
    <definedName name="H_CO2T" localSheetId="4">Biology!$D$30</definedName>
    <definedName name="h_datum" localSheetId="1">Geometry!$D$25</definedName>
    <definedName name="H_H2_T" localSheetId="4">Biology!$D$40</definedName>
    <definedName name="H_H2ref" localSheetId="4">Biology!$D$38</definedName>
    <definedName name="H_H2T" localSheetId="4">Biology!$D$39</definedName>
    <definedName name="H_O2_T" localSheetId="4">Biology!$D$24</definedName>
    <definedName name="H_O2_T" localSheetId="5">'Mass Transfer'!$D$12</definedName>
    <definedName name="H_O2ref" localSheetId="4">Biology!$D$21</definedName>
    <definedName name="H_O2T" localSheetId="4">Biology!$D$22</definedName>
    <definedName name="h_ref_DIC" localSheetId="3">Chemistry!$D$292</definedName>
    <definedName name="H2_cons" localSheetId="4">Biology!$D$13</definedName>
    <definedName name="H2_cons" localSheetId="5">'Mass Transfer'!$D$312</definedName>
    <definedName name="H2_HOR_b" localSheetId="4">Biology!$D$96</definedName>
    <definedName name="H2_HOR_mt" localSheetId="5">'Mass Transfer'!$D$387</definedName>
    <definedName name="H2_LFL" localSheetId="4">Biology!$D$80</definedName>
    <definedName name="H2_safety" localSheetId="4">Biology!$D$44</definedName>
    <definedName name="H2_src_g" localSheetId="5">'Mass Transfer'!$D$313</definedName>
    <definedName name="H2_src_l" localSheetId="5">'Mass Transfer'!$D$314</definedName>
    <definedName name="H2_src_l_b" localSheetId="4">Biology!$D$113</definedName>
    <definedName name="H2_src_sched" localSheetId="5">'Mass Transfer'!$D$318</definedName>
    <definedName name="H2_turnover" localSheetId="4">Biology!$D$43</definedName>
    <definedName name="H2O2_flag" localSheetId="2">Electrochemistry!$D$99</definedName>
    <definedName name="H2O2_lag_1h" localSheetId="2">Electrochemistry!$D$96</definedName>
    <definedName name="H2O2_ss" localSheetId="2">Electrochemistry!$D$95</definedName>
    <definedName name="H2O2_thresh" localSheetId="2">Electrochemistry!$D$97</definedName>
    <definedName name="has_cal" localSheetId="5">'Mass Transfer'!$D$119</definedName>
    <definedName name="HB_a" localSheetId="5">'Mass Transfer'!$D$171</definedName>
    <definedName name="HB_b" localSheetId="5">'Mass Transfer'!$D$172</definedName>
    <definedName name="HB_c" localSheetId="5">'Mass Transfer'!$D$173</definedName>
    <definedName name="HCO3_op" localSheetId="3">Chemistry!$D$252</definedName>
    <definedName name="HCO3_ref" localSheetId="3">Chemistry!$D$294</definedName>
    <definedName name="headspace_V" localSheetId="1">Geometry!$D$49</definedName>
    <definedName name="headspace_V" localSheetId="5">'Mass Transfer'!$D$19</definedName>
    <definedName name="headspace_V_m3" localSheetId="5">'Mass Transfer'!$D$140</definedName>
    <definedName name="HOCl_max" localSheetId="3">Chemistry!$D$125</definedName>
    <definedName name="HOCl_ss" localSheetId="3">Chemistry!$D$139</definedName>
    <definedName name="HOCl_ss_mgL" localSheetId="3">Chemistry!$D$140</definedName>
    <definedName name="holdup" localSheetId="5">'Mass Transfer'!$D$48</definedName>
    <definedName name="HPO4_op" localSheetId="3">Chemistry!$D$253</definedName>
    <definedName name="hs_flush_time" localSheetId="5">'Mass Transfer'!$D$77</definedName>
    <definedName name="hs_H_CO2" localSheetId="5">'Mass Transfer'!$D$191</definedName>
    <definedName name="hs_O2_allow" localSheetId="5">'Mass Transfer'!$D$182</definedName>
    <definedName name="hs_sag" localSheetId="5">'Mass Transfer'!$D$389</definedName>
    <definedName name="hs_sag_chk" localSheetId="5">'Mass Transfer'!$D$391</definedName>
    <definedName name="hs_sag_max" localSheetId="5">'Mass Transfer'!$D$390</definedName>
    <definedName name="I_app" localSheetId="2">Electrochemistry!$D$19</definedName>
    <definedName name="I_at_gerrit_max" localSheetId="2">Electrochemistry!$D$142</definedName>
    <definedName name="I_Cl" localSheetId="3">Chemistry!$D$133</definedName>
    <definedName name="I_Cl_FE" localSheetId="3">Chemistry!$D$131</definedName>
    <definedName name="I_Cl_mt" localSheetId="3">Chemistry!$D$132</definedName>
    <definedName name="i_HOR_lim" localSheetId="2">Electrochemistry!$D$147</definedName>
    <definedName name="I_ionic" localSheetId="3">Chemistry!$D$185</definedName>
    <definedName name="I_ionic_b" localSheetId="4">Biology!$D$121</definedName>
    <definedName name="I_max" localSheetId="2">Electrochemistry!$D$74</definedName>
    <definedName name="I_mc02" localSheetId="3">Chemistry!$D$183</definedName>
    <definedName name="i_ORR_ceiling" localSheetId="2">Electrochemistry!$D$87</definedName>
    <definedName name="i_ORR_design" localSheetId="2">Electrochemistry!$D$86</definedName>
    <definedName name="I_udg" localSheetId="3">Chemistry!$D$184</definedName>
    <definedName name="I_valid" localSheetId="2">Electrochemistry!$D$20</definedName>
    <definedName name="Iappc" localSheetId="3">Chemistry!$D$6</definedName>
    <definedName name="intensity" localSheetId="2">Electrochemistry!$D$10</definedName>
    <definedName name="interface_A" localSheetId="1">Geometry!$D$44</definedName>
    <definedName name="interface_A" localSheetId="5">'Mass Transfer'!$D$14</definedName>
    <definedName name="j_anode" localSheetId="2">Electrochemistry!$D$48</definedName>
    <definedName name="j_anode_c" localSheetId="3">Chemistry!$D$217</definedName>
    <definedName name="j_anode_max" localSheetId="2">Electrochemistry!$D$75</definedName>
    <definedName name="j_bio_flag" localSheetId="2">Electrochemistry!$D$59</definedName>
    <definedName name="j_buffer_lim" localSheetId="3">Chemistry!$D$216</definedName>
    <definedName name="j_buffer_ratio" localSheetId="3">Chemistry!$D$218</definedName>
    <definedName name="j_cath_flag" localSheetId="2">Electrochemistry!$D$61</definedName>
    <definedName name="j_cathode" localSheetId="2">Electrochemistry!$D$49</definedName>
    <definedName name="j_ceiling_default" localSheetId="2">Electrochemistry!$D$55</definedName>
    <definedName name="j_ceiling_strain" localSheetId="2">Electrochemistry!$D$57</definedName>
    <definedName name="j_flag" localSheetId="2">Electrochemistry!$D$62</definedName>
    <definedName name="j_flag_max" localSheetId="2">Electrochemistry!$D$76</definedName>
    <definedName name="j_mat_flag" localSheetId="2">Electrochemistry!$D$60</definedName>
    <definedName name="j_opt_default" localSheetId="2">Electrochemistry!$D$54</definedName>
    <definedName name="j_opt_strain" localSheetId="2">Electrochemistry!$D$56</definedName>
    <definedName name="j_strain_conf" localSheetId="2">Electrochemistry!$D$58</definedName>
    <definedName name="j0_anode" localSheetId="2">Electrochemistry!$D$108</definedName>
    <definedName name="j0_cath" localSheetId="2">Electrochemistry!$D$110</definedName>
    <definedName name="k_cat_cells" localSheetId="2">Electrochemistry!$D$94</definedName>
    <definedName name="k_Cl_turn" localSheetId="3">Chemistry!$D$271</definedName>
    <definedName name="k_eff_CO2" localSheetId="5">'Mass Transfer'!$D$195</definedName>
    <definedName name="k_geom" localSheetId="2">Electrochemistry!$D$116</definedName>
    <definedName name="k_H2O2_anode" localSheetId="2">Electrochemistry!$D$151</definedName>
    <definedName name="k_vent" localSheetId="5">'Mass Transfer'!$D$143</definedName>
    <definedName name="k1_NH2Cl" localSheetId="3">Chemistry!$D$136</definedName>
    <definedName name="Ka_HOCl" localSheetId="3">Chemistry!$D$20</definedName>
    <definedName name="Ka_NH4" localSheetId="3">Chemistry!$D$18</definedName>
    <definedName name="Ka1_carb" localSheetId="4">Biology!$D$36</definedName>
    <definedName name="Ka1c" localSheetId="3">Chemistry!$D$13</definedName>
    <definedName name="Ka1c_c" localSheetId="3">Chemistry!$D$190</definedName>
    <definedName name="Ka1p" localSheetId="3">Chemistry!$D$15</definedName>
    <definedName name="Ka1p_c" localSheetId="3">Chemistry!$D$192</definedName>
    <definedName name="Ka2c" localSheetId="3">Chemistry!$D$14</definedName>
    <definedName name="Ka2c_c" localSheetId="3">Chemistry!$D$191</definedName>
    <definedName name="Ka2p" localSheetId="3">Chemistry!$D$16</definedName>
    <definedName name="Ka2p_c" localSheetId="3">Chemistry!$D$193</definedName>
    <definedName name="Ka3p" localSheetId="3">Chemistry!$D$17</definedName>
    <definedName name="Ka3p_c" localSheetId="3">Chemistry!$D$194</definedName>
    <definedName name="KaHOCl_c" localSheetId="3">Chemistry!$D$196</definedName>
    <definedName name="KaN_c" localSheetId="3">Chemistry!$D$197</definedName>
    <definedName name="kappa_fI" localSheetId="3">Chemistry!$D$178</definedName>
    <definedName name="kappa_med" localSheetId="3">Chemistry!$D$180</definedName>
    <definedName name="kappa_TC" localSheetId="3">Chemistry!$D$179</definedName>
    <definedName name="kappa0_mc02" localSheetId="3">Chemistry!$D$176</definedName>
    <definedName name="kappa0_udg" localSheetId="3">Chemistry!$D$177</definedName>
    <definedName name="kinetic_caveat" localSheetId="5">'Mass Transfer'!$D$96</definedName>
    <definedName name="kL" localSheetId="5">'Mass Transfer'!$D$51</definedName>
    <definedName name="kL_surf" localSheetId="5">'Mass Transfer'!$D$70</definedName>
    <definedName name="kL_surf_crit" localSheetId="5">'Mass Transfer'!$D$131</definedName>
    <definedName name="kLa_avg" localSheetId="5">'Mass Transfer'!$D$53</definedName>
    <definedName name="kLa_CO2_off" localSheetId="5">'Mass Transfer'!$D$148</definedName>
    <definedName name="kLa_margin_g" localSheetId="5">'Mass Transfer'!$D$346</definedName>
    <definedName name="kLa_margin_l" localSheetId="5">'Mass Transfer'!$D$367</definedName>
    <definedName name="kLa_meas" localSheetId="5">'Mass Transfer'!$D$97</definedName>
    <definedName name="kLa_req" localSheetId="5">'Mass Transfer'!$D$57</definedName>
    <definedName name="kLa_sparge" localSheetId="5">'Mass Transfer'!$D$52</definedName>
    <definedName name="kLa_surf" localSheetId="5">'Mass Transfer'!$D$72</definedName>
    <definedName name="kLa_surf_req" localSheetId="5">'Mass Transfer'!$D$186</definedName>
    <definedName name="kLa_surf_req_g" localSheetId="5">'Mass Transfer'!$D$345</definedName>
    <definedName name="kLa_surf_req_l" localSheetId="5">'Mass Transfer'!$D$366</definedName>
    <definedName name="kLa_surf_used" localSheetId="5">'Mass Transfer'!$D$98</definedName>
    <definedName name="km_Cl" localSheetId="3">Chemistry!$D$129</definedName>
    <definedName name="Km_CO2" localSheetId="4">Biology!$D$34</definedName>
    <definedName name="km_exp" localSheetId="2">Electrochemistry!$D$84</definedName>
    <definedName name="km_exp_c" localSheetId="3">Chemistry!$D$273</definedName>
    <definedName name="km_HCO3" localSheetId="3">Chemistry!$D$276</definedName>
    <definedName name="km_HPO4" localSheetId="3">Chemistry!$D$275</definedName>
    <definedName name="km_O2" localSheetId="2">Electrochemistry!$D$83</definedName>
    <definedName name="km_O2_c" localSheetId="3">Chemistry!$D$272</definedName>
    <definedName name="knall_CO2_default" localSheetId="4">Biology!$D$65</definedName>
    <definedName name="knall_H2_default" localSheetId="4">Biology!$D$63</definedName>
    <definedName name="knall_O2_default" localSheetId="4">Biology!$D$64</definedName>
    <definedName name="ks_O2" localSheetId="4">Biology!$D$122</definedName>
    <definedName name="Kw_c" localSheetId="3">Chemistry!$D$195</definedName>
    <definedName name="Kw_w" localSheetId="3">Chemistry!$D$19</definedName>
    <definedName name="L_sub" localSheetId="2">Electrochemistry!$D$45</definedName>
    <definedName name="lam_Ca" localSheetId="3">Chemistry!$D$170</definedName>
    <definedName name="lam_Cl" localSheetId="3">Chemistry!$D$175</definedName>
    <definedName name="lam_H2PO4" localSheetId="3">Chemistry!$D$171</definedName>
    <definedName name="lam_HCO3" localSheetId="3">Chemistry!$D$174</definedName>
    <definedName name="lam_HPO4" localSheetId="3">Chemistry!$D$172</definedName>
    <definedName name="lam_K" localSheetId="3">Chemistry!$D$167</definedName>
    <definedName name="lam_Mg" localSheetId="3">Chemistry!$D$169</definedName>
    <definedName name="lam_Na" localSheetId="3">Chemistry!$D$166</definedName>
    <definedName name="lam_NH4" localSheetId="3">Chemistry!$D$168</definedName>
    <definedName name="lam_SO4" localSheetId="3">Chemistry!$D$173</definedName>
    <definedName name="latest_date" localSheetId="5">'Mass Transfer'!$D$116</definedName>
    <definedName name="led_intensity" localSheetId="0">Summary!$D$6</definedName>
    <definedName name="LOC_margin" localSheetId="4">Biology!$D$82</definedName>
    <definedName name="M_Cl2" localSheetId="3">Chemistry!$D$223</definedName>
    <definedName name="M_CO2" localSheetId="5">'Mass Transfer'!$D$103</definedName>
    <definedName name="M_H2O2" localSheetId="2">Electrochemistry!$D$92</definedName>
    <definedName name="M_HOCl" localSheetId="3">Chemistry!$D$222</definedName>
    <definedName name="M_NaHCO3" localSheetId="3">Chemistry!$D$307</definedName>
    <definedName name="M_O2" localSheetId="5">'Mass Transfer'!$D$231</definedName>
    <definedName name="mc_CaSO4_2H2O" localSheetId="3">Chemistry!$C$30</definedName>
    <definedName name="mc_K2SO4" localSheetId="3">Chemistry!$C$29</definedName>
    <definedName name="mc_MgSO4_7H2O" localSheetId="3">Chemistry!$C$31</definedName>
    <definedName name="mc_Na2HPO4" localSheetId="3">Chemistry!$C$26</definedName>
    <definedName name="mc_NaH2PO4_2H2O" localSheetId="3">Chemistry!$C$27</definedName>
    <definedName name="mc_NH42SO4" localSheetId="3">Chemistry!$C$32</definedName>
    <definedName name="media_sel" localSheetId="3">Chemistry!$D$280</definedName>
    <definedName name="media_sel" localSheetId="0">Summary!$D$5</definedName>
    <definedName name="media_vol_warn" localSheetId="1">Geometry!$D$54</definedName>
    <definedName name="media_volume" localSheetId="1">Geometry!$D$6</definedName>
    <definedName name="media_volume" localSheetId="0">Summary!$D$9</definedName>
    <definedName name="MediaList">Chemistry!$A$114:$A$116</definedName>
    <definedName name="mend_a" localSheetId="5">'Mass Transfer'!$D$44</definedName>
    <definedName name="mend_b" localSheetId="5">'Mass Transfer'!$D$45</definedName>
    <definedName name="metal_flag" localSheetId="3">Chemistry!$D$163</definedName>
    <definedName name="metal_leach_rate" localSheetId="3">Chemistry!$D$161</definedName>
    <definedName name="metal_MW" localSheetId="3">Chemistry!$D$159</definedName>
    <definedName name="metal_tox_thresh" localSheetId="3">Chemistry!$D$162</definedName>
    <definedName name="metal_z" localSheetId="3">Chemistry!$D$160</definedName>
    <definedName name="min_sparge_cal" localSheetId="5">'Mass Transfer'!$D$118</definedName>
    <definedName name="MW_CaCl2" localSheetId="3">Chemistry!$B$33</definedName>
    <definedName name="MW_CaSO4_2H2O" localSheetId="3">Chemistry!$B$30</definedName>
    <definedName name="MW_K2SO4" localSheetId="3">Chemistry!$B$29</definedName>
    <definedName name="MW_KH2PO4" localSheetId="3">Chemistry!$B$25</definedName>
    <definedName name="MW_MgSO4_7H2O" localSheetId="3">Chemistry!$B$31</definedName>
    <definedName name="MW_N" localSheetId="3">Chemistry!$D$225</definedName>
    <definedName name="MW_Na2HPO4" localSheetId="3">Chemistry!$B$26</definedName>
    <definedName name="MW_NaH2PO4_2H2O" localSheetId="3">Chemistry!$B$27</definedName>
    <definedName name="MW_NaHCO3" localSheetId="3">Chemistry!$B$28</definedName>
    <definedName name="MW_NH42SO4" localSheetId="3">Chemistry!$B$32</definedName>
    <definedName name="n_cross" localSheetId="3">Chemistry!$D$105</definedName>
    <definedName name="n_e_Cl" localSheetId="3">Chemistry!$D$148</definedName>
    <definedName name="n_flamm_src" localSheetId="4">Biology!$D$83</definedName>
    <definedName name="n_hs_gas" localSheetId="5">'Mass Transfer'!$D$150</definedName>
    <definedName name="n_hs_gas_b" localSheetId="4">Biology!$D$117</definedName>
    <definedName name="n_ORR_eff" localSheetId="2">Electrochemistry!$D$141</definedName>
    <definedName name="n_pores_active" localSheetId="5">'Mass Transfer'!$D$61</definedName>
    <definedName name="N2_sweep_H2safe" localSheetId="4">Biology!$D$88</definedName>
    <definedName name="nCO2_rate" localSheetId="5">'Mass Transfer'!$D$104</definedName>
    <definedName name="nernst_slope" localSheetId="3">Chemistry!$D$200</definedName>
    <definedName name="NH2Cl_hi" localSheetId="3">Chemistry!$D$155</definedName>
    <definedName name="NH2Cl_lo" localSheetId="3">Chemistry!$D$154</definedName>
    <definedName name="NH2Cl_mgL" localSheetId="3">Chemistry!$D$143</definedName>
    <definedName name="NH3_free" localSheetId="3">Chemistry!$D$138</definedName>
    <definedName name="NH3_N" localSheetId="3">Chemistry!$D$135</definedName>
    <definedName name="NT_mc02" localSheetId="3">Chemistry!$D$37</definedName>
    <definedName name="NT_udg" localSheetId="3">Chemistry!$D$41</definedName>
    <definedName name="O2_accum" localSheetId="5">'Mass Transfer'!$D$127</definedName>
    <definedName name="O2_cathode_ORR" localSheetId="2">Electrochemistry!$D$28</definedName>
    <definedName name="O2_ceil_atm" localSheetId="4">Biology!$D$25</definedName>
    <definedName name="O2_ceil_C" localSheetId="4">Biology!$D$27</definedName>
    <definedName name="O2_ceil_C" localSheetId="5">'Mass Transfer'!$D$6</definedName>
    <definedName name="O2_ceil_Pa" localSheetId="4">Biology!$D$26</definedName>
    <definedName name="O2_ceil_Pa" localSheetId="5">'Mass Transfer'!$D$7</definedName>
    <definedName name="O2_ceil_uM" localSheetId="4">Biology!$D$28</definedName>
    <definedName name="O2_cons" localSheetId="4">Biology!$D$14</definedName>
    <definedName name="O2_excess" localSheetId="4">Biology!$D$16</definedName>
    <definedName name="O2_excess" localSheetId="5">'Mass Transfer'!$D$11</definedName>
    <definedName name="O2_LOC_H2" localSheetId="4">Biology!$D$81</definedName>
    <definedName name="O2_net_gen" localSheetId="4">Biology!$D$5</definedName>
    <definedName name="O2_net_gen" localSheetId="2">Electrochemistry!$D$29</definedName>
    <definedName name="O2_net_gen" localSheetId="5">'Mass Transfer'!$D$13</definedName>
    <definedName name="O2_net_lag" localSheetId="2">Electrochemistry!$D$132</definedName>
    <definedName name="O2_net_lag_mt" localSheetId="5">'Mass Transfer'!$D$394</definedName>
    <definedName name="O2_ORR_lag" localSheetId="2">Electrochemistry!$D$131</definedName>
    <definedName name="O2_phase_sel" localSheetId="0">Summary!$D$12</definedName>
    <definedName name="O2_removal_ratio" localSheetId="5">'Mass Transfer'!$D$78</definedName>
    <definedName name="O2_sizing_phase" localSheetId="5">'Mass Transfer'!$D$304</definedName>
    <definedName name="O2_src_g" localSheetId="5">'Mass Transfer'!$D$309</definedName>
    <definedName name="O2_src_guard" localSheetId="5">'Mass Transfer'!$D$132</definedName>
    <definedName name="O2_src_l" localSheetId="5">'Mass Transfer'!$D$310</definedName>
    <definedName name="O2_src_l_b" localSheetId="4">Biology!$D$115</definedName>
    <definedName name="O2_src_sched" localSheetId="5">'Mass Transfer'!$D$317</definedName>
    <definedName name="O2_strip_pulse" localSheetId="5">'Mass Transfer'!$D$128</definedName>
    <definedName name="od_gap_min_s" localSheetId="5">'Mass Transfer'!$D$214</definedName>
    <definedName name="od_ok" localSheetId="5">'Mass Transfer'!$D$95</definedName>
    <definedName name="opt_binding" localSheetId="5">'Mass Transfer'!$D$94</definedName>
    <definedName name="organism_sel" localSheetId="4">Biology!$D$7</definedName>
    <definedName name="organism_sel" localSheetId="7">Calibrations!$D$184</definedName>
    <definedName name="organism_sel" localSheetId="2">Electrochemistry!$D$154</definedName>
    <definedName name="organism_sel" localSheetId="0">Summary!$D$4</definedName>
    <definedName name="OrganismList">Biology!$A$52:$A$57</definedName>
    <definedName name="override_spg_dur_s" localSheetId="5">'Mass Transfer'!$D$392</definedName>
    <definedName name="override_spg_dur_s" localSheetId="0">Summary!$G$18</definedName>
    <definedName name="override_spg_int_min" localSheetId="5">'Mass Transfer'!$D$393</definedName>
    <definedName name="override_spg_int_min" localSheetId="0">Summary!$G$20</definedName>
    <definedName name="P_atm" localSheetId="4">Biology!$D$19</definedName>
    <definedName name="P_atm" localSheetId="2">Electrochemistry!$D$6</definedName>
    <definedName name="P_atm" localSheetId="5">'Mass Transfer'!$D$9</definedName>
    <definedName name="P_atm_set" localSheetId="4">Biology!$D$67</definedName>
    <definedName name="P_atm_set" localSheetId="0">Summary!$D$10</definedName>
    <definedName name="p_CO2_sparge" localSheetId="4">Biology!$D$32</definedName>
    <definedName name="P_dry" localSheetId="5">'Mass Transfer'!$D$418</definedName>
    <definedName name="P_HOCl" localSheetId="3">Chemistry!$D$134</definedName>
    <definedName name="p_sat_w" localSheetId="5">'Mass Transfer'!$D$206</definedName>
    <definedName name="Pa_per_atm" localSheetId="4">Biology!$D$20</definedName>
    <definedName name="pcet_credit" localSheetId="2">Electrochemistry!$D$113</definedName>
    <definedName name="pcet_credit_c" localSheetId="3">Chemistry!$D$255</definedName>
    <definedName name="pcet_credit_gmax" localSheetId="2">Electrochemistry!$D$163</definedName>
    <definedName name="pcet_credit_op" localSheetId="2">Electrochemistry!$D$162</definedName>
    <definedName name="pCO2_air" localSheetId="5">'Mass Transfer'!$D$139</definedName>
    <definedName name="pH_band_flag" localSheetId="3">Chemistry!$D$110</definedName>
    <definedName name="pH_band_hi" localSheetId="3">Chemistry!$D$237</definedName>
    <definedName name="pH_band_lo" localSheetId="3">Chemistry!$D$236</definedName>
    <definedName name="pH_Cl" localSheetId="3">Chemistry!$D$47</definedName>
    <definedName name="pH_CO2_unbuf" localSheetId="4">Biology!$D$37</definedName>
    <definedName name="pH_fHOCl" localSheetId="3">Chemistry!$D$104</definedName>
    <definedName name="pH_meas" localSheetId="3">Chemistry!$D$220</definedName>
    <definedName name="pH_NT" localSheetId="3">Chemistry!$D$46</definedName>
    <definedName name="pH_op" localSheetId="3">Chemistry!$D$103</definedName>
    <definedName name="pH_PT" localSheetId="3">Chemistry!$D$45</definedName>
    <definedName name="pH_red_hi" localSheetId="3">Chemistry!$D$300</definedName>
    <definedName name="pH_red_lo" localSheetId="3">Chemistry!$D$299</definedName>
    <definedName name="pH_ref_DIC" localSheetId="3">Chemistry!$D$291</definedName>
    <definedName name="pH_SID" localSheetId="3">Chemistry!$D$44</definedName>
    <definedName name="pH_step" localSheetId="3">Chemistry!$D$235</definedName>
    <definedName name="phase_name_1" localSheetId="5">'Mass Transfer'!$D$305</definedName>
    <definedName name="phase_name_2" localSheetId="5">'Mass Transfer'!$D$306</definedName>
    <definedName name="phi_hs_g" localSheetId="5">'Mass Transfer'!$D$333</definedName>
    <definedName name="phi_hs_l" localSheetId="5">'Mass Transfer'!$D$355</definedName>
    <definedName name="pKa_HOCl" localSheetId="3">Chemistry!$D$21</definedName>
    <definedName name="pKa_NH4" localSheetId="3">Chemistry!$D$137</definedName>
    <definedName name="pool_a" localSheetId="5">'Mass Transfer'!$D$193</definedName>
    <definedName name="pool_b" localSheetId="5">'Mass Transfer'!$D$194</definedName>
    <definedName name="pool_beta_ratio" localSheetId="5">'Mass Transfer'!$D$196</definedName>
    <definedName name="pool_D_gap" localSheetId="5">'Mass Transfer'!$D$379</definedName>
    <definedName name="pool_D_raw" localSheetId="5">'Mass Transfer'!$D$375</definedName>
    <definedName name="pool_e" localSheetId="5">'Mass Transfer'!$D$197</definedName>
    <definedName name="pool_phi" localSheetId="5">'Mass Transfer'!$D$377</definedName>
    <definedName name="pool_psi" localSheetId="5">'Mass Transfer'!$D$378</definedName>
    <definedName name="pool_ret" localSheetId="5">'Mass Transfer'!$D$380</definedName>
    <definedName name="pool_x" localSheetId="5">'Mass Transfer'!$D$376</definedName>
    <definedName name="por_break_1" localSheetId="7">Calibrations!$D$167</definedName>
    <definedName name="por_break_2" localSheetId="7">Calibrations!$D$168</definedName>
    <definedName name="por_break_3" localSheetId="7">Calibrations!$D$169</definedName>
    <definedName name="por_break_4" localSheetId="7">Calibrations!$D$170</definedName>
    <definedName name="por_break_5" localSheetId="7">Calibrations!$D$171</definedName>
    <definedName name="por_grade" localSheetId="5">'Mass Transfer'!$D$20</definedName>
    <definedName name="por_grade_e" localSheetId="2">Electrochemistry!$D$32</definedName>
    <definedName name="por_pore" localSheetId="5">'Mass Transfer'!$D$39</definedName>
    <definedName name="por0_um" localSheetId="5">'Mass Transfer'!$D$33</definedName>
    <definedName name="por1_um" localSheetId="5">'Mass Transfer'!$D$34</definedName>
    <definedName name="por2_um" localSheetId="5">'Mass Transfer'!$D$35</definedName>
    <definedName name="por3_um" localSheetId="5">'Mass Transfer'!$D$36</definedName>
    <definedName name="por4_um" localSheetId="5">'Mass Transfer'!$D$37</definedName>
    <definedName name="por5_um" localSheetId="5">'Mass Transfer'!$D$38</definedName>
    <definedName name="power_max" localSheetId="2">Electrochemistry!$D$73</definedName>
    <definedName name="psi_hs_g" localSheetId="5">'Mass Transfer'!$D$334</definedName>
    <definedName name="psi_hs_l" localSheetId="5">'Mass Transfer'!$D$356</definedName>
    <definedName name="PT_mc02" localSheetId="3">Chemistry!$D$35</definedName>
    <definedName name="PT_udg" localSheetId="3">Chemistry!$D$39</definedName>
    <definedName name="pulse_floor" localSheetId="5">'Mass Transfer'!$D$99</definedName>
    <definedName name="pulse_floor_default" localSheetId="5">'Mass Transfer'!$D$396</definedName>
    <definedName name="pulse_res" localSheetId="5">'Mass Transfer'!$D$241</definedName>
    <definedName name="pulse_V0" localSheetId="5">'Mass Transfer'!$D$408</definedName>
    <definedName name="pulses_d" localSheetId="5">'Mass Transfer'!$D$125</definedName>
    <definedName name="pulses_h" localSheetId="5">'Mass Transfer'!$D$124</definedName>
    <definedName name="pw_A" localSheetId="7">Calibrations!$D$175</definedName>
    <definedName name="pw_A" localSheetId="5">'Mass Transfer'!$D$203</definedName>
    <definedName name="pw_B" localSheetId="7">Calibrations!$D$176</definedName>
    <definedName name="pw_B" localSheetId="5">'Mass Transfer'!$D$204</definedName>
    <definedName name="pw_C" localSheetId="7">Calibrations!$D$177</definedName>
    <definedName name="pw_C" localSheetId="5">'Mass Transfer'!$D$205</definedName>
    <definedName name="Q_backdraw" localSheetId="5">'Mass Transfer'!$D$385</definedName>
    <definedName name="Q_carry_max" localSheetId="5">'Mass Transfer'!$D$413</definedName>
    <definedName name="Q_CO2" localSheetId="5">'Mass Transfer'!$D$102</definedName>
    <definedName name="Q_CO2_fit" localSheetId="5">'Mass Transfer'!$D$407</definedName>
    <definedName name="Q_vent" localSheetId="5">'Mass Transfer'!$D$142</definedName>
    <definedName name="Q_vent_used" localSheetId="5">'Mass Transfer'!$D$386</definedName>
    <definedName name="R_cell" localSheetId="2">Electrochemistry!$D$117</definedName>
    <definedName name="R_chloramine" localSheetId="3">Chemistry!$D$144</definedName>
    <definedName name="R_chloramine_hi" localSheetId="3">Chemistry!$D$153</definedName>
    <definedName name="R_chloramine_lo" localSheetId="3">Chemistry!$D$152</definedName>
    <definedName name="R_gas" localSheetId="7">Calibrations!$D$187</definedName>
    <definedName name="R_gas" localSheetId="3">Chemistry!$D$9</definedName>
    <definedName name="R_gas" localSheetId="2">Electrochemistry!$D$7</definedName>
    <definedName name="R_gas" localSheetId="5">'Mass Transfer'!$D$101</definedName>
    <definedName name="R_gas_b" localSheetId="4">Biology!$D$79</definedName>
    <definedName name="r_H2_HOR" localSheetId="2">Electrochemistry!$D$149</definedName>
    <definedName name="r_H2O2" localSheetId="2">Electrochemistry!$D$93</definedName>
    <definedName name="r_H2O2_lag" localSheetId="2">Electrochemistry!$D$152</definedName>
    <definedName name="r_HCO3_ref" localSheetId="3">Chemistry!$D$293</definedName>
    <definedName name="Reactor" localSheetId="5">'Mass Transfer'!$D$115</definedName>
    <definedName name="Reactor_sel" localSheetId="7">Calibrations!$D$183</definedName>
    <definedName name="reactor_sel" localSheetId="1">Geometry!$D$5</definedName>
    <definedName name="Reactor_sel" localSheetId="0">Summary!$D$2</definedName>
    <definedName name="ReactorList">Geometry!$A$59:$A$80</definedName>
    <definedName name="ReactorTypeList">Geometry!$B$59:$B$80</definedName>
    <definedName name="res_buffer_flag" localSheetId="0">Summary!$D$99</definedName>
    <definedName name="res_carbon_margin" localSheetId="0">Summary!$D$76</definedName>
    <definedName name="res_Cl2" localSheetId="0">Summary!$D$25</definedName>
    <definedName name="res_CO2_uptake" localSheetId="0">Summary!$D$77</definedName>
    <definedName name="res_DO_ss" localSheetId="0">Summary!$D$24</definedName>
    <definedName name="res_E_Cl_margin" localSheetId="0">Summary!$D$100</definedName>
    <definedName name="res_E_Cu_margin" localSheetId="0">Summary!$D$101</definedName>
    <definedName name="res_etaF" localSheetId="0">Summary!$D$95</definedName>
    <definedName name="res_H2O2_flag" localSheetId="0">Summary!$D$98</definedName>
    <definedName name="res_I_mA" localSheetId="0">Summary!$D$86</definedName>
    <definedName name="res_I_max" localSheetId="0">Summary!$D$90</definedName>
    <definedName name="res_j_anode" localSheetId="0">Summary!$D$87</definedName>
    <definedName name="res_j_anode_max" localSheetId="0">Summary!$D$91</definedName>
    <definedName name="res_j_status" localSheetId="0">Summary!$D$88</definedName>
    <definedName name="res_j_status_max" localSheetId="0">Summary!$D$92</definedName>
    <definedName name="res_kLa_req" localSheetId="0">Summary!$D$103</definedName>
    <definedName name="res_pH" localSheetId="0">Summary!$D$23</definedName>
    <definedName name="res_pH_probe" localSheetId="0">Summary!$D$102</definedName>
    <definedName name="res_power_max" localSheetId="0">Summary!$D$89</definedName>
    <definedName name="res_spg_dur" localSheetId="0">Summary!$D$18</definedName>
    <definedName name="res_spg_dur_run" localSheetId="0">Summary!$D$19</definedName>
    <definedName name="res_spg_int" localSheetId="0">Summary!$D$20</definedName>
    <definedName name="res_spg_int_carbon" localSheetId="0">Summary!$D$28</definedName>
    <definedName name="res_spg_int_run" localSheetId="0">Summary!$D$21</definedName>
    <definedName name="res_tip_speed" localSheetId="0">Summary!$D$75</definedName>
    <definedName name="res_V_cell" localSheetId="0">Summary!$D$96</definedName>
    <definedName name="res_V_flag" localSheetId="0">Summary!$D$97</definedName>
    <definedName name="rH2_gen" localSheetId="4">Biology!$D$4</definedName>
    <definedName name="rH2_gen" localSheetId="2">Electrochemistry!$D$21</definedName>
    <definedName name="rH2_gen" localSheetId="5">'Mass Transfer'!$D$311</definedName>
    <definedName name="rH2_lag" localSheetId="2">Electrochemistry!$D$133</definedName>
    <definedName name="rH2_lag_mt" localSheetId="5">'Mass Transfer'!$D$395</definedName>
    <definedName name="rho_0" localSheetId="5">'Mass Transfer'!$D$169</definedName>
    <definedName name="rho_CO2" localSheetId="5">'Mass Transfer'!$D$60</definedName>
    <definedName name="rho_k" localSheetId="5">'Mass Transfer'!$D$170</definedName>
    <definedName name="rho_L" localSheetId="5">'Mass Transfer'!$D$30</definedName>
    <definedName name="rO2_gen" localSheetId="2">Electrochemistry!$D$22</definedName>
    <definedName name="rod_d" localSheetId="1">Geometry!$D$26</definedName>
    <definedName name="rod_n" localSheetId="1">Geometry!$D$27</definedName>
    <definedName name="rx_ver" localSheetId="7">Calibrations!$D$185</definedName>
    <definedName name="rx_ver" localSheetId="1">Geometry!$D$51</definedName>
    <definedName name="S_O2_g" localSheetId="5">'Mass Transfer'!$D$327</definedName>
    <definedName name="S_O2_l" localSheetId="5">'Mass Transfer'!$D$349</definedName>
    <definedName name="s_renew" localSheetId="5">'Mass Transfer'!$D$69</definedName>
    <definedName name="saw_factor" localSheetId="5">'Mass Transfer'!$D$322</definedName>
    <definedName name="sched_bal" localSheetId="5">'Mass Transfer'!$D$129</definedName>
    <definedName name="sched_mode" localSheetId="5">'Mass Transfer'!$D$81</definedName>
    <definedName name="sched_regime" localSheetId="5">'Mass Transfer'!$D$113</definedName>
    <definedName name="sched_valid" localSheetId="5">'Mass Transfer'!$D$164</definedName>
    <definedName name="SID_mc02" localSheetId="3">Chemistry!$D$36</definedName>
    <definedName name="SID_udg" localSheetId="3">Chemistry!$D$40</definedName>
    <definedName name="sigma" localSheetId="5">'Mass Transfer'!$D$29</definedName>
    <definedName name="sigma_0" localSheetId="5">'Mass Transfer'!$D$167</definedName>
    <definedName name="sigma_k" localSheetId="5">'Mass Transfer'!$D$168</definedName>
    <definedName name="sparge_depth" localSheetId="1">Geometry!$D$43</definedName>
    <definedName name="sparger" localSheetId="5">'Mass Transfer'!$D$21</definedName>
    <definedName name="sparger_e" localSheetId="2">Electrochemistry!$D$31</definedName>
    <definedName name="spg_disp" localSheetId="1">Geometry!$D$37</definedName>
    <definedName name="spg_dur" localSheetId="5">'Mass Transfer'!$D$121</definedName>
    <definedName name="spg_dur_b" localSheetId="4">Biology!$D$78</definedName>
    <definedName name="spg_dur_eq" localSheetId="5">'Mass Transfer'!$D$410</definedName>
    <definedName name="spg_dur_eq_opt" localSheetId="5">'Mass Transfer'!$D$409</definedName>
    <definedName name="spg_dur_man" localSheetId="5">'Mass Transfer'!$D$82</definedName>
    <definedName name="spg_dur_opt" localSheetId="5">'Mass Transfer'!$D$90</definedName>
    <definedName name="spg_dur_opt_b" localSheetId="4">Biology!$D$89</definedName>
    <definedName name="spg_dur_run" localSheetId="5">'Mass Transfer'!$D$242</definedName>
    <definedName name="spg_ID" localSheetId="1">Geometry!$D$31</definedName>
    <definedName name="spg_ID" localSheetId="5">'Mass Transfer'!$D$18</definedName>
    <definedName name="spg_int" localSheetId="5">'Mass Transfer'!$D$122</definedName>
    <definedName name="spg_int_carbon" localSheetId="5">'Mass Transfer'!$D$112</definedName>
    <definedName name="spg_int_DO" localSheetId="5">'Mass Transfer'!$D$185</definedName>
    <definedName name="spg_int_H2safe" localSheetId="4">Biology!$D$87</definedName>
    <definedName name="spg_int_H2safe_saw" localSheetId="4">Biology!$D$92</definedName>
    <definedName name="spg_int_man" localSheetId="5">'Mass Transfer'!$D$83</definedName>
    <definedName name="spg_int_max" localSheetId="5">'Mass Transfer'!$D$89</definedName>
    <definedName name="spg_int_opt" localSheetId="5">'Mass Transfer'!$D$91</definedName>
    <definedName name="spg_int_opt_s" localSheetId="5">'Mass Transfer'!$D$92</definedName>
    <definedName name="spg_int_regime" localSheetId="5">'Mass Transfer'!$D$134</definedName>
    <definedName name="spg_len" localSheetId="1">Geometry!$D$50</definedName>
    <definedName name="spg_name_1" localSheetId="5">'Mass Transfer'!$D$27</definedName>
    <definedName name="spg_name_2" localSheetId="5">'Mass Transfer'!$D$28</definedName>
    <definedName name="spg_OD" localSheetId="1">Geometry!$D$30</definedName>
    <definedName name="spg_tip_h" localSheetId="1">Geometry!$D$32</definedName>
    <definedName name="sqrtD_CO2" localSheetId="5">'Mass Transfer'!$D$147</definedName>
    <definedName name="stir_bar_L" localSheetId="1">Geometry!$D$52</definedName>
    <definedName name="stir_len" localSheetId="5">'Mass Transfer'!$D$5</definedName>
    <definedName name="stir_rpm" localSheetId="5">'Mass Transfer'!$D$67</definedName>
    <definedName name="stir_rpm_set" localSheetId="0">Summary!$D$7</definedName>
    <definedName name="strip_avg" localSheetId="5">'Mass Transfer'!$D$55</definedName>
    <definedName name="strip_ratio" localSheetId="5">'Mass Transfer'!$D$56</definedName>
    <definedName name="strip_sparge" localSheetId="5">'Mass Transfer'!$D$54</definedName>
    <definedName name="surf_ratio" localSheetId="5">'Mass Transfer'!$D$74</definedName>
    <definedName name="surf_strip" localSheetId="5">'Mass Transfer'!$D$73</definedName>
    <definedName name="T_C" localSheetId="4">Biology!$D$17</definedName>
    <definedName name="t_contact" localSheetId="5">'Mass Transfer'!$D$50</definedName>
    <definedName name="t_gap_h" localSheetId="5">'Mass Transfer'!$D$325</definedName>
    <definedName name="t_gap_H2_LFL" localSheetId="4">Biology!$D$90</definedName>
    <definedName name="t_gap_O2_LOC" localSheetId="4">Biology!$D$91</definedName>
    <definedName name="t_H2_sat" localSheetId="4">Biology!$D$42</definedName>
    <definedName name="t_H2O2_thresh" localSheetId="2">Electrochemistry!$D$98</definedName>
    <definedName name="T_K" localSheetId="4">Biology!$D$18</definedName>
    <definedName name="T_K" localSheetId="2">Electrochemistry!$D$5</definedName>
    <definedName name="T_K" localSheetId="5">'Mass Transfer'!$D$8</definedName>
    <definedName name="t_O2_ceiling" localSheetId="5">'Mass Transfer'!$D$65</definedName>
    <definedName name="t_O2_ceiling_lag" localSheetId="5">'Mass Transfer'!$D$79</definedName>
    <definedName name="t_O2_ceiling_rem" localSheetId="5">'Mass Transfer'!$D$80</definedName>
    <definedName name="t_O2_ceiling_strip" localSheetId="5">'Mass Transfer'!$D$66</definedName>
    <definedName name="t_off_CO2" localSheetId="5">'Mass Transfer'!$D$152</definedName>
    <definedName name="t_on_CO2" localSheetId="5">'Mass Transfer'!$D$151</definedName>
    <definedName name="T_ref" localSheetId="4">Biology!$D$23</definedName>
    <definedName name="T_ref" localSheetId="3">Chemistry!$D$229</definedName>
    <definedName name="T_ref" localSheetId="5">'Mass Transfer'!$D$209</definedName>
    <definedName name="T_zero_C" localSheetId="4">Biology!$D$66</definedName>
    <definedName name="T_zero_C" localSheetId="7">Calibrations!$D$174</definedName>
    <definedName name="T_zero_C" localSheetId="5">'Mass Transfer'!$D$210</definedName>
    <definedName name="target_DO_frac" localSheetId="5">'Mass Transfer'!$D$84</definedName>
    <definedName name="tau_hs" localSheetId="5">'Mass Transfer'!$D$144</definedName>
    <definedName name="tau_L_h" localSheetId="5">'Mass Transfer'!$D$326</definedName>
    <definedName name="tau_NH2Cl" localSheetId="3">Chemistry!$D$142</definedName>
    <definedName name="tau_NH2Cl_hi" localSheetId="3">Chemistry!$D$151</definedName>
    <definedName name="tau_NH2Cl_lo" localSheetId="3">Chemistry!$D$150</definedName>
    <definedName name="tau_surf_floor" localSheetId="5">'Mass Transfer'!$D$149</definedName>
    <definedName name="temp_C" localSheetId="0">Summary!$D$8</definedName>
    <definedName name="tip_speed" localSheetId="5">'Mass Transfer'!$D$68</definedName>
    <definedName name="tip_speed_max" localSheetId="5">'Mass Transfer'!$D$216</definedName>
    <definedName name="tip_warn" localSheetId="5">'Mass Transfer'!$D$111</definedName>
    <definedName name="TKc" localSheetId="3">Chemistry!$D$4</definedName>
    <definedName name="tube_d_m" localSheetId="5">'Mass Transfer'!$D$40</definedName>
    <definedName name="u_g_max" localSheetId="5">'Mass Transfer'!$D$58</definedName>
    <definedName name="u_rise" localSheetId="5">'Mass Transfer'!$D$46</definedName>
    <definedName name="u_sg" localSheetId="5">'Mass Transfer'!$D$47</definedName>
    <definedName name="udg_CaCl2" localSheetId="3">Chemistry!$D$33</definedName>
    <definedName name="udg_KH2PO4" localSheetId="3">Chemistry!$D$25</definedName>
    <definedName name="udg_MgSO4_7H2O" localSheetId="3">Chemistry!$D$31</definedName>
    <definedName name="udg_Na2HPO4" localSheetId="3">Chemistry!$D$26</definedName>
    <definedName name="udg_NaHCO3" localSheetId="3">Chemistry!$D$28</definedName>
    <definedName name="udg_NH42SO4" localSheetId="3">Chemistry!$D$32</definedName>
    <definedName name="V_at_gerrit_max" localSheetId="2">Electrochemistry!$D$143</definedName>
    <definedName name="V_cell_est" localSheetId="2">Electrochemistry!$D$119</definedName>
    <definedName name="V_charge" localSheetId="4">Biology!$D$6</definedName>
    <definedName name="V_charge" localSheetId="3">Chemistry!$D$279</definedName>
    <definedName name="V_charge" localSheetId="2">Electrochemistry!$D$153</definedName>
    <definedName name="V_charge" localSheetId="1">Geometry!$D$41</definedName>
    <definedName name="V_charge" localSheetId="5">'Mass Transfer'!$D$16</definedName>
    <definedName name="V_flag" localSheetId="2">Electrochemistry!$D$122</definedName>
    <definedName name="V_gas_total" localSheetId="2">Electrochemistry!$D$25</definedName>
    <definedName name="V_gerrit_flag" localSheetId="2">Electrochemistry!$D$144</definedName>
    <definedName name="V_H2_gen" localSheetId="2">Electrochemistry!$D$23</definedName>
    <definedName name="V_headroom" localSheetId="2">Electrochemistry!$D$121</definedName>
    <definedName name="V_headroom_min" localSheetId="2">Electrochemistry!$D$127</definedName>
    <definedName name="V_inserts" localSheetId="1">Geometry!$D$48</definedName>
    <definedName name="V_IR" localSheetId="2">Electrochemistry!$D$118</definedName>
    <definedName name="V_L_CO2" localSheetId="5">'Mass Transfer'!$D$416</definedName>
    <definedName name="V_L_m3" localSheetId="5">'Mass Transfer'!$D$141</definedName>
    <definedName name="V_max" localSheetId="1">Geometry!$D$23</definedName>
    <definedName name="V_O2_gen" localSheetId="2">Electrochemistry!$D$24</definedName>
    <definedName name="v_orifice" localSheetId="5">'Mass Transfer'!$D$62</definedName>
    <definedName name="V_pulse" localSheetId="5">'Mass Transfer'!$D$411</definedName>
    <definedName name="V_rail" localSheetId="2">Electrochemistry!$D$120</definedName>
    <definedName name="V_vial_total" localSheetId="1">Geometry!$D$24</definedName>
    <definedName name="vent_floor_chk" localSheetId="5">'Mass Transfer'!$D$163</definedName>
    <definedName name="vent_model" localSheetId="5">'Mass Transfer'!$D$301</definedName>
    <definedName name="vent_model_sel" localSheetId="0">Summary!$D$11</definedName>
    <definedName name="vent_name_1" localSheetId="5">'Mass Transfer'!$D$302</definedName>
    <definedName name="vent_name_2" localSheetId="5">'Mass Transfer'!$D$303</definedName>
    <definedName name="vent_name_3" localSheetId="5">'Mass Transfer'!$D$384</definedName>
    <definedName name="Vg_CO2" localSheetId="5">'Mass Transfer'!$D$192</definedName>
    <definedName name="vial_ID" localSheetId="1">Geometry!$D$20</definedName>
    <definedName name="vial_ID" localSheetId="5">'Mass Transfer'!$D$15</definedName>
    <definedName name="vial_OD" localSheetId="1">Geometry!$D$18</definedName>
    <definedName name="vial_wall" localSheetId="1">Geometry!$D$19</definedName>
    <definedName name="VLc" localSheetId="3">Chemistry!$D$8</definedName>
    <definedName name="We_orifice" localSheetId="5">'Mass Transfer'!$D$63</definedName>
    <definedName name="We_static_max" localSheetId="5">'Mass Transfer'!$D$212</definedName>
    <definedName name="x_hs_g" localSheetId="5">'Mass Transfer'!$D$332</definedName>
    <definedName name="x_hs_l" localSheetId="5">'Mass Transfer'!$D$354</definedName>
    <definedName name="xtube_n" localSheetId="1">Geometry!$D$46</definedName>
    <definedName name="xtube_OD" localSheetId="1">Geometry!$D$45</definedName>
    <definedName name="xtube_pro" localSheetId="1">Geometry!$D$47</definedName>
    <definedName name="y_CO2_mf" localSheetId="5">'Mass Transfer'!$D$381</definedName>
    <definedName name="y_H2_end_b" localSheetId="4">Biology!$D$114</definedName>
    <definedName name="y_H2_end_l" localSheetId="5">'Mass Transfer'!$D$388</definedName>
    <definedName name="y_H2_hs_lag" localSheetId="4">Biology!$D$84</definedName>
    <definedName name="y_H2_mf_g" localSheetId="5">'Mass Transfer'!$D$330</definedName>
    <definedName name="y_H2_mf_l" localSheetId="5">'Mass Transfer'!$D$352</definedName>
    <definedName name="y_O2_actual" localSheetId="5">'Mass Transfer'!$D$187</definedName>
    <definedName name="y_O2_air" localSheetId="5">'Mass Transfer'!$D$307</definedName>
    <definedName name="y_O2_air_b" localSheetId="4">Biology!$D$112</definedName>
    <definedName name="y_O2_avg_g" localSheetId="5">'Mass Transfer'!$D$338</definedName>
    <definedName name="y_O2_avg_l" localSheetId="5">'Mass Transfer'!$D$360</definedName>
    <definedName name="y_O2_end_b" localSheetId="4">Biology!$D$119</definedName>
    <definedName name="y_O2_end_g" localSheetId="5">'Mass Transfer'!$D$336</definedName>
    <definedName name="y_O2_end_l" localSheetId="5">'Mass Transfer'!$D$358</definedName>
    <definedName name="y_O2_hs_lag" localSheetId="4">Biology!$D$85</definedName>
    <definedName name="y_O2_mf_g" localSheetId="5">'Mass Transfer'!$D$329</definedName>
    <definedName name="y_O2_mf_l" localSheetId="5">'Mass Transfer'!$D$351</definedName>
    <definedName name="y_O2_post_g" localSheetId="5">'Mass Transfer'!$D$337</definedName>
    <definedName name="y_O2_post_l" localSheetId="5">'Mass Transfer'!$D$359</definedName>
    <definedName name="y_O2_star" localSheetId="5">'Mass Transfer'!$D$183</definedName>
    <definedName name="z_e_H2" localSheetId="7">Calibrations!$D$172</definedName>
    <definedName name="z_e_H2" localSheetId="2">Electrochemistry!$D$16</definedName>
    <definedName name="z_e_O2" localSheetId="7">Calibrations!$D$173</definedName>
    <definedName name="z_e_O2" localSheetId="2">Electrochemistry!$D$17</definedName>
    <definedName name="z_e_ORR" localSheetId="2">Electrochemistry!$D$27</definedName>
    <definedName name="interval_res" localSheetId="5">'Mass Transfer'!$D$419</definedName>
    <definedName name="spg_int_run" localSheetId="5">'Mass Transfer'!$D$420</definedName>
    <definedName name="DIC_ref_tol" localSheetId="3">Chemistry!$D$309</definedName>
    <definedName name="DIC_ref_check" localSheetId="3">Chemistry!$D$310</definedName>
    <definedName name="Cl_bound" localSheetId="3">Chemistry!$D$311</definedName>
    <definedName name="Cl_model_check" localSheetId="3">Chemistry!$D$312</definedName>
    <definedName name="remedy_res" localSheetId="4">Biology!$D$120</definedName>
    <definedName name="amy_Na2HPO4_gL" localSheetId="8">AMYBO03!$D$71</definedName>
    <definedName name="amy_Na2HPO4_MW" localSheetId="8">AMYBO03!$D$72</definedName>
    <definedName name="amy_Na2HPO4_thesis_mM" localSheetId="8">AMYBO03!$D$73</definedName>
    <definedName name="amy_NaH2PO4_gL" localSheetId="8">AMYBO03!$D$74</definedName>
    <definedName name="amy_NaH2PO4_MW" localSheetId="8">AMYBO03!$D$75</definedName>
    <definedName name="amy_NaH2PO4_thesis_mM" localSheetId="8">AMYBO03!$D$76</definedName>
    <definedName name="amy_K2SO4_gL" localSheetId="8">AMYBO03!$D$77</definedName>
    <definedName name="amy_K2SO4_MW" localSheetId="8">AMYBO03!$D$78</definedName>
    <definedName name="amy_K2SO4_thesis_mM" localSheetId="8">AMYBO03!$D$79</definedName>
    <definedName name="amy_CaSO4_gL" localSheetId="8">AMYBO03!$D$80</definedName>
    <definedName name="amy_CaSO4_MW" localSheetId="8">AMYBO03!$D$81</definedName>
    <definedName name="amy_CaSO4_thesis_mM" localSheetId="8">AMYBO03!$D$82</definedName>
    <definedName name="amy_MgSO4_gL" localSheetId="8">AMYBO03!$D$83</definedName>
    <definedName name="amy_MgSO4_MW" localSheetId="8">AMYBO03!$D$84</definedName>
    <definedName name="amy_MgSO4_thesis_mM" localSheetId="8">AMYBO03!$D$85</definedName>
    <definedName name="amy_NH4SO4_gL" localSheetId="8">AMYBO03!$D$86</definedName>
    <definedName name="amy_NH4SO4_MW" localSheetId="8">AMYBO03!$D$87</definedName>
    <definedName name="amy_NH4SO4_thesis_mM" localSheetId="8">AMYBO03!$D$88</definedName>
    <definedName name="amy_NaHCO3_gL" localSheetId="8">AMYBO03!$D$89</definedName>
    <definedName name="amy_NaHCO3_MW" localSheetId="8">AMYBO03!$D$90</definedName>
    <definedName name="amy_NaHCO3_thesis_mM" localSheetId="8">AMYBO03!$D$91</definedName>
    <definedName name="amy_Fe_dose" localSheetId="8">AMYBO03!$D$92</definedName>
    <definedName name="amy_TM_dose" localSheetId="8">AMYBO03!$D$93</definedName>
    <definedName name="amy_gluconate_stock_dose" localSheetId="8">AMYBO03!$D$94</definedName>
    <definedName name="amy_organic_C_used" localSheetId="8">AMYBO03!$D$95</definedName>
    <definedName name="amy_FeSO4_gL" localSheetId="8">AMYBO03!$D$96</definedName>
    <definedName name="amy_FeSO4_MW" localSheetId="8">AMYBO03!$D$97</definedName>
    <definedName name="amy_FeSO4_thesis_final" localSheetId="8">AMYBO03!$D$98</definedName>
    <definedName name="amy_FeSO4_thesis_stock" localSheetId="8">AMYBO03!$D$99</definedName>
    <definedName name="amy_Fe_acid_MW" localSheetId="8">AMYBO03!$D$100</definedName>
    <definedName name="amy_Fe_acid_mM" localSheetId="8">AMYBO03!$D$101</definedName>
    <definedName name="amy_Fe_acid_thesis_final" localSheetId="8">AMYBO03!$D$102</definedName>
    <definedName name="amy_Fe_acid_thesis_stock" localSheetId="8">AMYBO03!$D$103</definedName>
    <definedName name="amy_Na2MoO4_gL" localSheetId="8">AMYBO03!$D$104</definedName>
    <definedName name="amy_Na2MoO4_MW" localSheetId="8">AMYBO03!$D$105</definedName>
    <definedName name="amy_Na2MoO4_thesis_final" localSheetId="8">AMYBO03!$D$106</definedName>
    <definedName name="amy_Na2MoO4_thesis_stock" localSheetId="8">AMYBO03!$D$107</definedName>
    <definedName name="amy_ZnSO4_gL" localSheetId="8">AMYBO03!$D$108</definedName>
    <definedName name="amy_ZnSO4_MW" localSheetId="8">AMYBO03!$D$109</definedName>
    <definedName name="amy_ZnSO4_thesis_final" localSheetId="8">AMYBO03!$D$110</definedName>
    <definedName name="amy_ZnSO4_thesis_stock" localSheetId="8">AMYBO03!$D$111</definedName>
    <definedName name="amy_MnSO4_gL" localSheetId="8">AMYBO03!$D$112</definedName>
    <definedName name="amy_MnSO4_MW" localSheetId="8">AMYBO03!$D$113</definedName>
    <definedName name="amy_MnSO4_thesis_final" localSheetId="8">AMYBO03!$D$114</definedName>
    <definedName name="amy_MnSO4_thesis_stock" localSheetId="8">AMYBO03!$D$115</definedName>
    <definedName name="amy_CuSO4_gL" localSheetId="8">AMYBO03!$D$116</definedName>
    <definedName name="amy_CuSO4_MW" localSheetId="8">AMYBO03!$D$117</definedName>
    <definedName name="amy_CuSO4_thesis_final" localSheetId="8">AMYBO03!$D$118</definedName>
    <definedName name="amy_CuSO4_thesis_stock" localSheetId="8">AMYBO03!$D$119</definedName>
    <definedName name="amy_NiSO4_gL" localSheetId="8">AMYBO03!$D$120</definedName>
    <definedName name="amy_NiSO4_MW" localSheetId="8">AMYBO03!$D$121</definedName>
    <definedName name="amy_NiSO4_thesis_final" localSheetId="8">AMYBO03!$D$122</definedName>
    <definedName name="amy_NiSO4_thesis_stock" localSheetId="8">AMYBO03!$D$123</definedName>
    <definedName name="amy_CoSO4_gL" localSheetId="8">AMYBO03!$D$124</definedName>
    <definedName name="amy_CoSO4_MW" localSheetId="8">AMYBO03!$D$125</definedName>
    <definedName name="amy_CoSO4_thesis_final" localSheetId="8">AMYBO03!$D$126</definedName>
    <definedName name="amy_CoSO4_thesis_stock" localSheetId="8">AMYBO03!$D$127</definedName>
    <definedName name="amy_TM_acid_MW" localSheetId="8">AMYBO03!$D$128</definedName>
    <definedName name="amy_TM_acid_mM" localSheetId="8">AMYBO03!$D$129</definedName>
    <definedName name="amy_TM_acid_thesis_final" localSheetId="8">AMYBO03!$D$130</definedName>
    <definedName name="amy_TM_acid_thesis_stock" localSheetId="8">AMYBO03!$D$131</definedName>
    <definedName name="amy_gluconate_gL" localSheetId="8">AMYBO03!$D$132</definedName>
    <definedName name="amy_gluconate_MW" localSheetId="8">AMYBO03!$D$133</definedName>
    <definedName name="amy_gluconate_thesis_final" localSheetId="8">AMYBO03!$D$134</definedName>
    <definedName name="amy_gluconate_thesis_stock" localSheetId="8">AMYBO03!$D$135</definedName>
    <definedName name="amy_Na2HPO4_mM" localSheetId="8">AMYBO03!$E$6</definedName>
    <definedName name="amy_NaH2PO4_mM" localSheetId="8">AMYBO03!$E$7</definedName>
    <definedName name="amy_K2SO4_mM" localSheetId="8">AMYBO03!$E$8</definedName>
    <definedName name="amy_CaSO4_mM" localSheetId="8">AMYBO03!$E$9</definedName>
    <definedName name="amy_MgSO4_mM" localSheetId="8">AMYBO03!$E$10</definedName>
    <definedName name="amy_NH4SO4_mM" localSheetId="8">AMYBO03!$E$11</definedName>
    <definedName name="amy_NaHCO3_mM" localSheetId="8">AMYBO03!$E$12</definedName>
    <definedName name="amy_FeSO4_mM" localSheetId="8">AMYBO03!$E$21</definedName>
    <definedName name="amy_FeSO4_dose" localSheetId="8">AMYBO03!$F$21</definedName>
    <definedName name="amy_FeSO4_final_uM" localSheetId="8">AMYBO03!$G$21</definedName>
    <definedName name="amy_Fe_acid_dose" localSheetId="8">AMYBO03!$F$22</definedName>
    <definedName name="amy_Fe_acid_final_uM" localSheetId="8">AMYBO03!$G$22</definedName>
    <definedName name="amy_Na2MoO4_mM" localSheetId="8">AMYBO03!$E$25</definedName>
    <definedName name="amy_Na2MoO4_dose" localSheetId="8">AMYBO03!$F$25</definedName>
    <definedName name="amy_Na2MoO4_final_uM" localSheetId="8">AMYBO03!$G$25</definedName>
    <definedName name="amy_ZnSO4_mM" localSheetId="8">AMYBO03!$E$26</definedName>
    <definedName name="amy_ZnSO4_dose" localSheetId="8">AMYBO03!$F$26</definedName>
    <definedName name="amy_ZnSO4_final_uM" localSheetId="8">AMYBO03!$G$26</definedName>
    <definedName name="amy_MnSO4_mM" localSheetId="8">AMYBO03!$E$27</definedName>
    <definedName name="amy_MnSO4_dose" localSheetId="8">AMYBO03!$F$27</definedName>
    <definedName name="amy_MnSO4_final_uM" localSheetId="8">AMYBO03!$G$27</definedName>
    <definedName name="amy_CuSO4_mM" localSheetId="8">AMYBO03!$E$28</definedName>
    <definedName name="amy_CuSO4_dose" localSheetId="8">AMYBO03!$F$28</definedName>
    <definedName name="amy_CuSO4_final_uM" localSheetId="8">AMYBO03!$G$28</definedName>
    <definedName name="amy_NiSO4_mM" localSheetId="8">AMYBO03!$E$29</definedName>
    <definedName name="amy_NiSO4_dose" localSheetId="8">AMYBO03!$F$29</definedName>
    <definedName name="amy_NiSO4_final_uM" localSheetId="8">AMYBO03!$G$29</definedName>
    <definedName name="amy_CoSO4_mM" localSheetId="8">AMYBO03!$E$30</definedName>
    <definedName name="amy_CoSO4_dose" localSheetId="8">AMYBO03!$F$30</definedName>
    <definedName name="amy_CoSO4_final_uM" localSheetId="8">AMYBO03!$G$30</definedName>
    <definedName name="amy_TM_acid_dose" localSheetId="8">AMYBO03!$F$31</definedName>
    <definedName name="amy_TM_acid_final_uM" localSheetId="8">AMYBO03!$G$31</definedName>
    <definedName name="amy_gluconate_mM" localSheetId="8">AMYBO03!$E$34</definedName>
    <definedName name="amy_gluconate_dose" localSheetId="8">AMYBO03!$F$34</definedName>
    <definedName name="amy_gluconate_final_mM" localSheetId="8">AMYBO03!$G$34</definedName>
    <definedName name="PT_AMYBO03" localSheetId="8">AMYBO03!$D$54</definedName>
    <definedName name="SID_AMYBO03" localSheetId="8">AMYBO03!$D$55</definedName>
    <definedName name="NT_AMYBO03" localSheetId="8">AMYBO03!$D$56</definedName>
    <definedName name="Cl_AMYBO03" localSheetId="8">AMYBO03!$D$57</definedName>
    <definedName name="kappa0_AMYBO03" localSheetId="8">AMYBO03!$D$58</definedName>
    <definedName name="I_AMYBO03" localSheetId="8">AMYBO03!$D$59</definedName>
    <definedName name="cal_km_O2">Calibrations!$D$150</definedName>
    <definedName name="cal_tau_NH2Cl">Calibrations!$D$163</definedName>
    <definedName name="n_e_fcn" localSheetId="7">Calibrations!$D$190</definedName>
    <definedName name="km_T_tol" localSheetId="7">Calibrations!$D$191</definedName>
    <definedName name="stir_rpm_set" localSheetId="7">Calibrations!$D$192</definedName>
    <definedName name="temp_C" localSheetId="7">Calibrations!$D$193</definedName>
    <definedName name="media_sel" localSheetId="7">Calibrations!$D$194</definedName>
    <definedName name="electrode_sel" localSheetId="7">Calibrations!$D$195</definedName>
    <definedName name="D_O2" localSheetId="7">Calibrations!$D$196</definedName>
    <definedName name="km_exp" localSheetId="7">Calibrations!$D$197</definedName>
    <definedName name="M_Cl2" localSheetId="7">Calibrations!$D$198</definedName>
    <definedName name="km_O2_default" localSheetId="2">Electrochemistry!$D$165</definedName>
    <definedName name="tau_NH2Cl_default" localSheetId="3">Chemistry!$D$314</definedName>
    <definedName name="P_Cl_max" localSheetId="3">Chemistry!$D$315</definedName>
    <definedName name="NaHCO3_add_gL" localSheetId="0">Summary!$D$13</definedName>
    <definedName name="NaHCO3_add_gL" localSheetId="3">Chemistry!$D$317</definedName>
    <definedName name="alk_add_M" localSheetId="3">Chemistry!$D$318</definedName>
    <definedName name="N2_sweep_set" localSheetId="0">Summary!$D$14</definedName>
    <definedName name="N2_sweep_set" localSheetId="5">'Mass Transfer'!$D$423</definedName>
    <definedName name="F_N2" localSheetId="5">'Mass Transfer'!$D$424</definedName>
    <definedName name="F_dil" localSheetId="5">'Mass Transfer'!$D$425</definedName>
    <definedName name="N2_for_DO" localSheetId="5">'Mass Transfer'!$D$426</definedName>
    <definedName name="F_dil_b" localSheetId="4">Biology!$D$125</definedName>
    <definedName name="pH_hi_c" localSheetId="3">Chemistry!$D$321</definedName>
    <definedName name="h_hi" localSheetId="3">Chemistry!$D$322</definedName>
    <definedName name="resid_noC_hi" localSheetId="3">Chemistry!$D$323</definedName>
    <definedName name="CO2_pH_hi" localSheetId="3">Chemistry!$D$324</definedName>
    <definedName name="CO2_pH_hi_mt" localSheetId="5">'Mass Transfer'!$D$429</definedName>
    <definedName name="grid_t_min" localSheetId="5">'Mass Transfer'!$D$430</definedName>
    <definedName name="grid_ratio" localSheetId="5">'Mass Transfer'!$D$431</definedName>
    <definedName name="spg_int_pH" localSheetId="5">'Mass Transfer'!$D$432</definedName>
    <definedName name="spg_int_pH_opt" localSheetId="5">'Mass Transfer'!$D$433</definedName>
    <definedName name="ph_unreach" localSheetId="5">'Mass Transfer'!$D$434</definedName>
    <definedName name="pool_start_chk" localSheetId="5">'Mass Transfer'!$D$435</definedName>
    <definedName name="pHg_t" localSheetId="5">'Mass Transfer'!$A$440:$A$539</definedName>
    <definedName name="pHg_start" localSheetId="5">'Mass Transfer'!$H$440:$H$539</definedName>
    <definedName name="pHg_C" localSheetId="5">'Mass Transfer'!$I$440:$I$539</definedName>
    <definedName name="pHg_x" localSheetId="5">'Mass Transfer'!$J$440:$J$539</definedName>
    <definedName name="pulse_res_set" localSheetId="0">Summary!$D$15</definedName>
    <definedName name="res_binding" localSheetId="0">Summary!$D$22</definedName>
    <definedName name="res_spg_int_DO" localSheetId="0">Summary!$D$29</definedName>
    <definedName name="res_spg_int_su" localSheetId="0">Summary!$D$31</definedName>
    <definedName name="res_su_state" localSheetId="0">Summary!$D$33</definedName>
    <definedName name="chk_pool" localSheetId="0">Summary!$D$55</definedName>
    <definedName name="y_O2_star_l" localSheetId="5">'Mass Transfer'!$D$542</definedName>
    <definedName name="duty_DO_l" localSheetId="5">'Mass Transfer'!$D$543</definedName>
    <definedName name="spg_int_DO_l" localSheetId="5">'Mass Transfer'!$D$544</definedName>
    <definedName name="spg_int_H2safe_mt" localSheetId="5">'Mass Transfer'!$D$545</definedName>
    <definedName name="spg_int_su_opt" localSheetId="5">'Mass Transfer'!$D$546</definedName>
    <definedName name="spg_int_su_run" localSheetId="5">'Mass Transfer'!$D$547</definedName>
    <definedName name="su_binding" localSheetId="5">'Mass Transfer'!$D$548</definedName>
    <definedName name="t_gap_su_h" localSheetId="5">'Mass Transfer'!$D$549</definedName>
    <definedName name="x_su" localSheetId="5">'Mass Transfer'!$D$550</definedName>
    <definedName name="phi_su" localSheetId="5">'Mass Transfer'!$D$551</definedName>
    <definedName name="psi_su" localSheetId="5">'Mass Transfer'!$D$552</definedName>
    <definedName name="dy_O2_su" localSheetId="5">'Mass Transfer'!$D$553</definedName>
    <definedName name="y_O2_end_su" localSheetId="5">'Mass Transfer'!$D$554</definedName>
    <definedName name="y_O2_avg_su" localSheetId="5">'Mass Transfer'!$D$555</definedName>
    <definedName name="DO_avg_su_mgL" localSheetId="5">'Mass Transfer'!$D$556</definedName>
    <definedName name="DO_peak_su_mgL" localSheetId="5">'Mass Transfer'!$D$557</definedName>
    <definedName name="y_H2_end_su" localSheetId="5">'Mass Transfer'!$D$558</definedName>
    <definedName name="pHg_C_l" localSheetId="5">'Mass Transfer'!$R$440:$R$539</definedName>
    <definedName name="pHg_x_l" localSheetId="5">'Mass Transfer'!$S$440:$S$539</definedName>
    <definedName name="k_eff_CO2_l" localSheetId="5">'Mass Transfer'!$D$560</definedName>
    <definedName name="spg_int_pH_l" localSheetId="5">'Mass Transfer'!$D$561</definedName>
    <definedName name="ph_unreach_l" localSheetId="5">'Mass Transfer'!$D$562</definedName>
    <definedName name="spg_int_H2safe_opt" localSheetId="5">'Mass Transfer'!$D$563</definedName>
    <definedName name="tbl_reactor" localSheetId="1">Geometry!$A$59:$B$80</definedName>
    <definedName name="tbl_reactor_hdr" localSheetId="1">Geometry!$A$58:$B$58</definedName>
    <definedName name="tbl_rxtype" localSheetId="1">Geometry!$A$84:$I$87</definedName>
    <definedName name="tbl_rxtype_hdr" localSheetId="1">Geometry!$A$83:$I$83</definedName>
    <definedName name="tbl_electrode" localSheetId="2">Electrochemistry!$A$35:$N$38</definedName>
    <definedName name="tbl_electrode_hdr" localSheetId="2">Electrochemistry!$A$34:$N$34</definedName>
    <definedName name="tbl_strain" localSheetId="2">Electrochemistry!$A$66:$E$71</definedName>
    <definedName name="tbl_strain_hdr" localSheetId="2">Electrochemistry!$A$65:$E$65</definedName>
    <definedName name="tbl_organism" localSheetId="4">Biology!$A$52:$F$57</definedName>
    <definedName name="tbl_organism_hdr" localSheetId="4">Biology!$A$51:$F$51</definedName>
    <definedName name="co2f_reactor">'CO2 flows'!$A$4:$A$201</definedName>
    <definedName name="co2f_date">'CO2 flows'!$B$4:$B$201</definedName>
    <definedName name="co2f_volume">'CO2 flows'!$E$4:$E$201</definedName>
    <definedName name="co2f_time">'CO2 flows'!$F$4:$F$201</definedName>
    <definedName name="co2f_minpulse">'CO2 flows'!$I$4:$I$201</definedName>
    <definedName name="co2f_nominal">'CO2 flows'!$J$4:$J$201</definedName>
    <definedName name="co2f_maxflow">'CO2 flows'!$M$4:$M$201</definedName>
    <definedName name="co2f_excluded">'CO2 flows'!$N$4:$N$201</definedName>
    <definedName name="grid_t_max" localSheetId="5">'Mass Transfer'!$D$436</definedName>
    <definedName name="y_H2_avg_l" localSheetId="5">'Mass Transfer'!$D$564</definedName>
    <definedName name="knall_H2_basis" localSheetId="7">Calibrations!$D$199</definedName>
    <definedName name="por_p0_hi" localSheetId="7">Calibrations!$D$200</definedName>
    <definedName name="por_p5_hi" localSheetId="7">Calibrations!$D$201</definedName>
    <definedName name="por_p5_lo" localSheetId="7">Calibrations!$D$202</definedName>
    <definedName name="gerrit_check_pct" localSheetId="2">Electrochemistry!$D$166</definedName>
    <definedName name="O2_ceil_org" localSheetId="5">'Mass Transfer'!$D$565</definedName>
    <definedName name="cal_bp" localSheetId="7">Calibrations!$D$90</definedName>
    <definedName name="r_H2O2_an_g" localSheetId="2">Electrochemistry!$D$168</definedName>
    <definedName name="r_H2O2_an_l" localSheetId="2">Electrochemistry!$D$169</definedName>
    <definedName name="f_H2O2_anode" localSheetId="2">Electrochemistry!$D$170</definedName>
    <definedName name="O2_H2O2_ret_g" localSheetId="2">Electrochemistry!$D$171</definedName>
    <definedName name="O2_H2O2_lag_adj" localSheetId="2">Electrochemistry!$D$172</definedName>
  </definedNames>
  <calcPr calcId="191029" forceFullCalc="1"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<sst xmlns="http://schemas.openxmlformats.org/spreadsheetml/2006/main" count="3953" uniqueCount="2838">
  <si>
    <t>CO₂ DOSING FLOWRATES</t>
  </si>
  <si>
    <t>Reactor</t>
  </si>
  <si>
    <t>date</t>
  </si>
  <si>
    <t>cylinder size</t>
  </si>
  <si>
    <t>observed volume*</t>
  </si>
  <si>
    <t>volume</t>
  </si>
  <si>
    <t>time</t>
  </si>
  <si>
    <t>flowrate</t>
  </si>
  <si>
    <t>average flowrate</t>
  </si>
  <si>
    <t>minimum sparge</t>
  </si>
  <si>
    <t>nominal flowrate</t>
  </si>
  <si>
    <t>KEY</t>
  </si>
  <si>
    <t>s</t>
  </si>
  <si>
    <t>Flowrate set by inspection, as maximum to not give bubbles rising into vial neck</t>
  </si>
  <si>
    <t>ed04</t>
  </si>
  <si>
    <t>First or last data point removed as suspect outlier</t>
  </si>
  <si>
    <t>Point</t>
  </si>
  <si>
    <t>Note</t>
  </si>
  <si>
    <t>*</t>
  </si>
  <si>
    <t>Collected using inlet CO2 tube rather than outlet as MEP vialcap leaking</t>
  </si>
  <si>
    <t>Parameter</t>
  </si>
  <si>
    <t>Name</t>
  </si>
  <si>
    <t>Unit</t>
  </si>
  <si>
    <t>Value</t>
  </si>
  <si>
    <t>Source</t>
  </si>
  <si>
    <t>Comment</t>
  </si>
  <si>
    <t>Reactor_sel</t>
  </si>
  <si>
    <t>select</t>
  </si>
  <si>
    <t>Active build. Choose from the values below. Dropdown.</t>
  </si>
  <si>
    <t>Electrode</t>
  </si>
  <si>
    <t>electrode_sel</t>
  </si>
  <si>
    <t>MMO tube</t>
  </si>
  <si>
    <t>HOB organism</t>
  </si>
  <si>
    <t>organism_sel</t>
  </si>
  <si>
    <t>Cupriavidus necator</t>
  </si>
  <si>
    <t>The HOB strain; sets the DO band the schedule targets.</t>
  </si>
  <si>
    <t>Media</t>
  </si>
  <si>
    <t>media_sel</t>
  </si>
  <si>
    <t>Growth medium.</t>
  </si>
  <si>
    <t>led_intensity</t>
  </si>
  <si>
    <t>%</t>
  </si>
  <si>
    <t>input</t>
  </si>
  <si>
    <t>Stirrer rate</t>
  </si>
  <si>
    <t>stir_rpm_set</t>
  </si>
  <si>
    <t>rpm</t>
  </si>
  <si>
    <t>Stir rate; sets tip speed and surface O2 transfer.</t>
  </si>
  <si>
    <t>Temperature setpoint</t>
  </si>
  <si>
    <t>temp_C</t>
  </si>
  <si>
    <t>°C</t>
  </si>
  <si>
    <t>Temperature setpoint; sets Henry solubilities and rates.</t>
  </si>
  <si>
    <t>Media volume</t>
  </si>
  <si>
    <t>media_volume</t>
  </si>
  <si>
    <t>mL</t>
  </si>
  <si>
    <t>input/blank</t>
  </si>
  <si>
    <t>Liquid charged; leave blank to use the reactor's recommended max working volume.</t>
  </si>
  <si>
    <t>Ambient pressure</t>
  </si>
  <si>
    <t>P_atm_set</t>
  </si>
  <si>
    <t>Pa</t>
  </si>
  <si>
    <t>blank = default 101325 Pa</t>
  </si>
  <si>
    <t>Results</t>
  </si>
  <si>
    <t>How long to open the CO2 solenoid each dose.</t>
  </si>
  <si>
    <t>min</t>
  </si>
  <si>
    <t>Checks</t>
  </si>
  <si>
    <t>Vial geometry consistent?</t>
  </si>
  <si>
    <t>Reactor calibrated?</t>
  </si>
  <si>
    <t>O₂ above organism minimum?</t>
  </si>
  <si>
    <t>Minimum DO is a data gap for most organisms (dissolved-oxygen.md).</t>
  </si>
  <si>
    <t>Bubble model valid?</t>
  </si>
  <si>
    <t>'Sinter OOR' = sinter pore size out of the validated bubble range; sparge mass-transfer is approximate (expected for the porosity-0 disc).</t>
  </si>
  <si>
    <t>CO₂ supply meets demand?</t>
  </si>
  <si>
    <t>Pulse ≥ solenoid floor?</t>
  </si>
  <si>
    <t>Dosing window OK?</t>
  </si>
  <si>
    <t>Enough gap between doses to read OD without sparging.</t>
  </si>
  <si>
    <t>Carryover risk?</t>
  </si>
  <si>
    <t>Tip-speed shear OK?</t>
  </si>
  <si>
    <t>Stirrer tip speed under the conservative 1.5 m/s shear limit.</t>
  </si>
  <si>
    <t>Media volume fits vial?</t>
  </si>
  <si>
    <t>Media volume not exceeding the max working volume.</t>
  </si>
  <si>
    <t>Liquid level OK?</t>
  </si>
  <si>
    <t>Liquid not above the usable vial depth.</t>
  </si>
  <si>
    <t>LED current-law in range?</t>
  </si>
  <si>
    <t>LED intensity within Gerrit's-Law validated band 3-25% (gerrit-current.md).</t>
  </si>
  <si>
    <t>SUPPORTING FIGURES</t>
  </si>
  <si>
    <t>mg/L</t>
  </si>
  <si>
    <t>Stir-bar tip speed</t>
  </si>
  <si>
    <t>m/s</t>
  </si>
  <si>
    <t>Checked against 1.5 m/s above.</t>
  </si>
  <si>
    <t>×</t>
  </si>
  <si>
    <t>Key</t>
  </si>
  <si>
    <t>Verified / handbook / defined / standard</t>
  </si>
  <si>
    <t>Literature-supported (~90%)</t>
  </si>
  <si>
    <t>Design assumption (~70%)</t>
  </si>
  <si>
    <t>Weak / coarse estimate (~50%)</t>
  </si>
  <si>
    <t>Guess - replace when known</t>
  </si>
  <si>
    <t>DATA GAP - measure, do not invent</t>
  </si>
  <si>
    <t>Value font: blue = input you set/measure</t>
  </si>
  <si>
    <t>black = formula / derived</t>
  </si>
  <si>
    <t>purple = fixed data / constant</t>
  </si>
  <si>
    <t>OK</t>
  </si>
  <si>
    <t>Caution</t>
  </si>
  <si>
    <t>Problem</t>
  </si>
  <si>
    <t>Improvements</t>
  </si>
  <si>
    <t>Impact</t>
  </si>
  <si>
    <t>Effort</t>
  </si>
  <si>
    <t>Protocol</t>
  </si>
  <si>
    <t>Why it matters</t>
  </si>
  <si>
    <t>GEOMETRY</t>
  </si>
  <si>
    <t>Source / assumption</t>
  </si>
  <si>
    <t>IMPORTS (from other tabs)</t>
  </si>
  <si>
    <t>(import) Reactor selection</t>
  </si>
  <si>
    <t>reactor_sel</t>
  </si>
  <si>
    <t>-</t>
  </si>
  <si>
    <t>(import) Media volume (set)</t>
  </si>
  <si>
    <t>AEP0.1.1</t>
  </si>
  <si>
    <t>AEP0.2</t>
  </si>
  <si>
    <t>mm</t>
  </si>
  <si>
    <t>Vial outer diameter</t>
  </si>
  <si>
    <t>vial_OD</t>
  </si>
  <si>
    <t>Selected by rx_ver; invalid version returns an error.</t>
  </si>
  <si>
    <t>Vial wall thickness</t>
  </si>
  <si>
    <t>vial_wall</t>
  </si>
  <si>
    <t>Borosilicate vial; Pioreactor publish neither wall nor internal diameter, so wall estimated ~1.1 mm (typical for this glass-vial class).</t>
  </si>
  <si>
    <t>Vial internal diameter</t>
  </si>
  <si>
    <t>vial_ID</t>
  </si>
  <si>
    <t>OD minus two wall thicknesses.</t>
  </si>
  <si>
    <t>Internal cross-sectional area</t>
  </si>
  <si>
    <t>A_x</t>
  </si>
  <si>
    <t>mm²</t>
  </si>
  <si>
    <t>Uniform-cylinder body approximation (neck excluded - see headspace).</t>
  </si>
  <si>
    <t>Internal usable depth</t>
  </si>
  <si>
    <t>D_int</t>
  </si>
  <si>
    <t>Selected by rx_ver.</t>
  </si>
  <si>
    <t>Recommended max working volume (datum)</t>
  </si>
  <si>
    <t>V_max</t>
  </si>
  <si>
    <t>Total internal vial volume</t>
  </si>
  <si>
    <t>V_vial_total</t>
  </si>
  <si>
    <t>Bare liquid level (datum height)</t>
  </si>
  <si>
    <t>h_datum</t>
  </si>
  <si>
    <t>Height the bare max volume reaches with no inserts.</t>
  </si>
  <si>
    <t>Electrode rod diameter</t>
  </si>
  <si>
    <t>rod_d</t>
  </si>
  <si>
    <t>6 mm rod electrodes.</t>
  </si>
  <si>
    <t>Number of electrodes</t>
  </si>
  <si>
    <t>rod_n</t>
  </si>
  <si>
    <t>Anode + cathode.</t>
  </si>
  <si>
    <t>Electrode tip clearance above base</t>
  </si>
  <si>
    <t>elec_clear</t>
  </si>
  <si>
    <t>Held constant across builds (OD clear zone). 22 mm ↔ 33 mm insertion in AEP0.1.1. Input.</t>
  </si>
  <si>
    <t>Electrode insertion depth (derived)</t>
  </si>
  <si>
    <t>elec_ins</t>
  </si>
  <si>
    <t>Cap underside -&gt; tip. Increases for the taller AEP0.2 to keep clearance constant.</t>
  </si>
  <si>
    <t>Sparge tube OD</t>
  </si>
  <si>
    <t>spg_OD</t>
  </si>
  <si>
    <t>1/8" OD Flexelene 135C.</t>
  </si>
  <si>
    <t>Sparge tube ID</t>
  </si>
  <si>
    <t>spg_ID</t>
  </si>
  <si>
    <t>1/16" ID.</t>
  </si>
  <si>
    <t>Sparge release height (= anode tip)</t>
  </si>
  <si>
    <t>spg_tip_h</t>
  </si>
  <si>
    <t>CO₂ released near anode tip.</t>
  </si>
  <si>
    <t>Efflux tube OD</t>
  </si>
  <si>
    <t>eff_OD</t>
  </si>
  <si>
    <t>Efflux tube ID</t>
  </si>
  <si>
    <t>eff_ID</t>
  </si>
  <si>
    <t>Electrode submerged length (@datum)</t>
  </si>
  <si>
    <t>elec_sub_L</t>
  </si>
  <si>
    <t>For displacement bookkeeping.</t>
  </si>
  <si>
    <t>Electrode displaced volume</t>
  </si>
  <si>
    <t>elec_disp</t>
  </si>
  <si>
    <t>Submerged rod volume.</t>
  </si>
  <si>
    <t>Sparge tube displaced volume</t>
  </si>
  <si>
    <t>spg_disp</t>
  </si>
  <si>
    <t>Submerged sparge-tube volume.</t>
  </si>
  <si>
    <t>Efflux tube submerged length</t>
  </si>
  <si>
    <t>eff_sub_L</t>
  </si>
  <si>
    <t>45 deg cut; level held at top of the ID opening, so wall is wetted from tip up to (OD+ID)/2.</t>
  </si>
  <si>
    <t>Efflux tube displaced volume</t>
  </si>
  <si>
    <t>eff_disp</t>
  </si>
  <si>
    <t>Annular wall only (bore is open to withdrawal). 45 deg approximation.</t>
  </si>
  <si>
    <t>Total displaced volume</t>
  </si>
  <si>
    <t>disp_tot</t>
  </si>
  <si>
    <t>Sum of submerged inserts.</t>
  </si>
  <si>
    <t>LIQUID VOLUME TO CHARGE</t>
  </si>
  <si>
    <t>V_charge</t>
  </si>
  <si>
    <t>Integer mL to charge so the level matches the bare datum despite inserts.</t>
  </si>
  <si>
    <t>Resulting liquid level</t>
  </si>
  <si>
    <t>h_actual</t>
  </si>
  <si>
    <t>Level achieved by the integer charge (displacement taken at datum; sub-mm error).</t>
  </si>
  <si>
    <t>Sparge depth / bubble path length</t>
  </si>
  <si>
    <t>sparge_depth</t>
  </si>
  <si>
    <t>Release point to surface.</t>
  </si>
  <si>
    <t>Gas-liquid interfacial area</t>
  </si>
  <si>
    <t>interface_A</t>
  </si>
  <si>
    <t>Free surface = cross-section minus inserts piercing it.</t>
  </si>
  <si>
    <t>Extra headspace tube OD</t>
  </si>
  <si>
    <t>xtube_OD</t>
  </si>
  <si>
    <t>3 further 1/8" tubes (gas-out, etc.) through the cap.</t>
  </si>
  <si>
    <t>Number of extra headspace tubes</t>
  </si>
  <si>
    <t>xtube_n</t>
  </si>
  <si>
    <t>Protrude through the cap into headspace. 1x media in, 2x gas out</t>
  </si>
  <si>
    <t>Extra tube protrusion</t>
  </si>
  <si>
    <t>xtube_pro</t>
  </si>
  <si>
    <t>Each protrudes ~5 mm below cap (45 deg cut). Input.</t>
  </si>
  <si>
    <t>Total in-vial insert volume</t>
  </si>
  <si>
    <t>V_inserts</t>
  </si>
  <si>
    <t>In-vial inserts: electrodes &amp; sparge solid; efflux annular (open bore); extra tubes solid.</t>
  </si>
  <si>
    <t>Headspace gas volume</t>
  </si>
  <si>
    <t>headspace_V</t>
  </si>
  <si>
    <t>Sparge tube in-vial length</t>
  </si>
  <si>
    <t>spg_len</t>
  </si>
  <si>
    <t>Cap underside to release point; tracks spg_tip_h.</t>
  </si>
  <si>
    <t>Reactor type (resolved from reactor)</t>
  </si>
  <si>
    <t>rx_ver</t>
  </si>
  <si>
    <t>Stir-bar length (from reactor type)</t>
  </si>
  <si>
    <t>stir_bar_L</t>
  </si>
  <si>
    <t>40 mL OD = 20 mL diameter (Pioreactor source); depths/volumes confirm by measurement.</t>
  </si>
  <si>
    <t>Media vs max working volume</t>
  </si>
  <si>
    <t>media_vol_warn</t>
  </si>
  <si>
    <t>Liquid level vs usable depth</t>
  </si>
  <si>
    <t>depth_warn</t>
  </si>
  <si>
    <t>REACTOR LOOKUP  (reactor ID → type)</t>
  </si>
  <si>
    <t>Type</t>
  </si>
  <si>
    <t>imp01</t>
  </si>
  <si>
    <t>imp02</t>
  </si>
  <si>
    <t>imp03</t>
  </si>
  <si>
    <t>imp04</t>
  </si>
  <si>
    <t>imp05</t>
  </si>
  <si>
    <t>imp06</t>
  </si>
  <si>
    <t>ed01</t>
  </si>
  <si>
    <t>ed02</t>
  </si>
  <si>
    <t>ed03</t>
  </si>
  <si>
    <t>MEP0.3</t>
  </si>
  <si>
    <t>ed05</t>
  </si>
  <si>
    <t>ed06</t>
  </si>
  <si>
    <t>ed07</t>
  </si>
  <si>
    <t>ed08</t>
  </si>
  <si>
    <t>imp07</t>
  </si>
  <si>
    <t>imp08</t>
  </si>
  <si>
    <t>imp09</t>
  </si>
  <si>
    <t>imp10</t>
  </si>
  <si>
    <t>imp11</t>
  </si>
  <si>
    <t>imp12</t>
  </si>
  <si>
    <t>nm01</t>
  </si>
  <si>
    <t>AEP0.2a</t>
  </si>
  <si>
    <t>nm02</t>
  </si>
  <si>
    <t>REACTOR-TYPE LOOKUP  (geometry &amp; stir bar; pulled by type)</t>
  </si>
  <si>
    <t>Pioreactor</t>
  </si>
  <si>
    <t>vial (mL)</t>
  </si>
  <si>
    <t>usable depth (mm)</t>
  </si>
  <si>
    <t>max working (mL)</t>
  </si>
  <si>
    <t>total vial (mL)</t>
  </si>
  <si>
    <t>vial OD (mm)</t>
  </si>
  <si>
    <t>stir bar L (mm)</t>
  </si>
  <si>
    <t>stir bar dia (mm)</t>
  </si>
  <si>
    <t>1.1</t>
  </si>
  <si>
    <t>1.5</t>
  </si>
  <si>
    <t>VIAL GEOMETRY CONSISTENCY CHECK</t>
  </si>
  <si>
    <t>Vial geometry consistency check</t>
  </si>
  <si>
    <t>geom_check</t>
  </si>
  <si>
    <t>ELECTROCHEMISTRY</t>
  </si>
  <si>
    <t>(import) Temperature (absolute)</t>
  </si>
  <si>
    <t>T_K</t>
  </si>
  <si>
    <t>K</t>
  </si>
  <si>
    <t>(import) Surface pressure</t>
  </si>
  <si>
    <t>P_atm</t>
  </si>
  <si>
    <t>(import) Ideal gas constant</t>
  </si>
  <si>
    <t>R_gas</t>
  </si>
  <si>
    <t>J/mol/K</t>
  </si>
  <si>
    <t>(import) Electrode selection</t>
  </si>
  <si>
    <t>LED intensity setpoint (Pioreactor LED_D)</t>
  </si>
  <si>
    <t>intensity</t>
  </si>
  <si>
    <t>Electrode drive via LED_D channel. Input.</t>
  </si>
  <si>
    <t>Gerrit's Law - slope</t>
  </si>
  <si>
    <t>gerrit_slope</t>
  </si>
  <si>
    <t>mA/%</t>
  </si>
  <si>
    <t>Gerrit's Law fit (slope) - from LED-current calibration; see protocol gerrit-current.md</t>
  </si>
  <si>
    <t>Gerrit's Law - intercept</t>
  </si>
  <si>
    <t>gerrit_int</t>
  </si>
  <si>
    <t>mA</t>
  </si>
  <si>
    <t>Gerrit's Law fit (intercept); calibration-derived constant</t>
  </si>
  <si>
    <t>Gerrit's Law - min valid intensity</t>
  </si>
  <si>
    <t>gerrit_min</t>
  </si>
  <si>
    <t>Fit validated from 3%.</t>
  </si>
  <si>
    <t>Gerrit's Law - max valid intensity</t>
  </si>
  <si>
    <t>gerrit_max</t>
  </si>
  <si>
    <t>Fit validated to 25%; above this constant-current may fail as cell V nears the 5 V rail.</t>
  </si>
  <si>
    <t>Faraday constant</t>
  </si>
  <si>
    <t>F_const</t>
  </si>
  <si>
    <t>C/mol</t>
  </si>
  <si>
    <t>NIST CODATA (exact, SI 2019).</t>
  </si>
  <si>
    <t>Electrons per H₂</t>
  </si>
  <si>
    <t>z_e_H2</t>
  </si>
  <si>
    <t>2H⁺ + 2e⁻ -&gt; H₂.</t>
  </si>
  <si>
    <t>Electrons per O₂</t>
  </si>
  <si>
    <t>z_e_O2</t>
  </si>
  <si>
    <t>2H₂O -&gt; O₂ + 4H⁺ + 4e⁻.</t>
  </si>
  <si>
    <t>Faradaic efficiency – H₂ at cathode (HER share)</t>
  </si>
  <si>
    <t>etaF</t>
  </si>
  <si>
    <t>Electrolysis current (Gerrit's Law)</t>
  </si>
  <si>
    <t>I_app</t>
  </si>
  <si>
    <t>A</t>
  </si>
  <si>
    <t>I(mA) = slope x intensity + intercept; /1000 -&gt; A.</t>
  </si>
  <si>
    <t>Gerrit's Law validity flag</t>
  </si>
  <si>
    <t>I_valid</t>
  </si>
  <si>
    <t>Linear fit only validated over the stated range.</t>
  </si>
  <si>
    <t>H₂ generation rate</t>
  </si>
  <si>
    <t>rH2_gen</t>
  </si>
  <si>
    <t>mol/h</t>
  </si>
  <si>
    <t>Faraday: I x etaF /(z F).</t>
  </si>
  <si>
    <t>O₂ generation rate (anodic, gross)</t>
  </si>
  <si>
    <t>rO2_gen</t>
  </si>
  <si>
    <t>Anodic OER, gross. Uses etaF_OER (anodic), not the cathodic etaF. H₂:O₂(anodic) = 2:1.</t>
  </si>
  <si>
    <t>H₂ generation rate (volumetric)</t>
  </si>
  <si>
    <t>V_H2_gen</t>
  </si>
  <si>
    <t>mL/min</t>
  </si>
  <si>
    <t>Ideal gas at surface T,P. Collect gas over water to check against this.</t>
  </si>
  <si>
    <t>O₂ generation rate (volumetric)</t>
  </si>
  <si>
    <t>V_O2_gen</t>
  </si>
  <si>
    <t>Anodic gross O₂.</t>
  </si>
  <si>
    <t>Total gas generation rate</t>
  </si>
  <si>
    <t>V_gas_total</t>
  </si>
  <si>
    <t>Total electrolytic gas (H₂+O₂) — abiotic check: collect over water, no cells, to verify Gerrit/etaF. Less if etaF&lt;1.</t>
  </si>
  <si>
    <t>Anodic O₂ faradaic efficiency</t>
  </si>
  <si>
    <t>etaF_OER</t>
  </si>
  <si>
    <t>z_e_ORR</t>
  </si>
  <si>
    <t>O₂ consumed at cathode (ORR)</t>
  </si>
  <si>
    <t>O2_cathode_ORR</t>
  </si>
  <si>
    <t>Net O₂ to dissolved pool</t>
  </si>
  <si>
    <t>O2_net_gen</t>
  </si>
  <si>
    <t>Sparger (from electrode)</t>
  </si>
  <si>
    <t>sparger_e</t>
  </si>
  <si>
    <t>Sinter porosity grade (from electrode)</t>
  </si>
  <si>
    <t>por_grade_e</t>
  </si>
  <si>
    <t>Porosity 0 = Gerrit's sourced sintered disc (SD8/0/P 8mm, fallback SD10/0/P 10mm; Scientific Glass Labs, 2026-05)</t>
  </si>
  <si>
    <t>ELECTRODE LOOKUP  (selecting the electrode sets sparger, porosity, cathode)</t>
  </si>
  <si>
    <t>anode material</t>
  </si>
  <si>
    <t>anode dia (mm)</t>
  </si>
  <si>
    <t>sparger</t>
  </si>
  <si>
    <t>sinter porosity</t>
  </si>
  <si>
    <t>cathode</t>
  </si>
  <si>
    <t>cathode dia (mm)</t>
  </si>
  <si>
    <t>Pt/Ti rod</t>
  </si>
  <si>
    <t>Pt/Ti</t>
  </si>
  <si>
    <t>Tube</t>
  </si>
  <si>
    <t>n/a</t>
  </si>
  <si>
    <t>SS rod</t>
  </si>
  <si>
    <t>?</t>
  </si>
  <si>
    <t>MMO rod</t>
  </si>
  <si>
    <t>MMO</t>
  </si>
  <si>
    <t>Sintered</t>
  </si>
  <si>
    <t>BIOLOGY</t>
  </si>
  <si>
    <t>(import) H₂ generation rate</t>
  </si>
  <si>
    <t>(import) Net O₂ to dissolved pool</t>
  </si>
  <si>
    <t>(import) LIQUID VOLUME TO CHARGE</t>
  </si>
  <si>
    <t>(import) HOB organism</t>
  </si>
  <si>
    <t>Gas requirement ratio - H₂</t>
  </si>
  <si>
    <t>bio_H2</t>
  </si>
  <si>
    <t>H₂:O₂:CO₂ UPTAKE ratio (not feed; phase-dependent, Lu &amp; Yu 2019). Knallgas caps O₂:H₂≤0.5; growth gives O₂:H₂≈0.29–0.35, CO₂:H₂≈0.15–0.19. 6:2:1 = mid-range central. Feed optimum 7:2:1 (Ishizaki 2001). Can't measure pre-growth.</t>
  </si>
  <si>
    <t>Gas requirement ratio - O₂</t>
  </si>
  <si>
    <t>bio_O2</t>
  </si>
  <si>
    <t>O₂:H₂ uptake, range 0.29–0.35 (×6 → 1.75–2.1). 2 = central; 1.8 (lean) is growth-protective.</t>
  </si>
  <si>
    <t>Gas requirement ratio - CO₂</t>
  </si>
  <si>
    <t>bio_CO2</t>
  </si>
  <si>
    <t>CO₂:H₂ uptake, range 0.15–0.19 (×6 → 0.9–1.15). 1 = central. Supply ≫ demand → non-limiting.</t>
  </si>
  <si>
    <t>H₂ consumed</t>
  </si>
  <si>
    <t>H2_cons</t>
  </si>
  <si>
    <t>O₂ consumed</t>
  </si>
  <si>
    <t>O2_cons</t>
  </si>
  <si>
    <t>Assumes 100% H₂ uptake (upper bound); true limit is gas-liquid H₂ transfer — see H2_turnover</t>
  </si>
  <si>
    <t>CO₂ consumed (carbon fixation)</t>
  </si>
  <si>
    <t>CO2_cons</t>
  </si>
  <si>
    <t>H₂ consumed x (CO₂/H₂ ratio).</t>
  </si>
  <si>
    <t>EXCESS O₂ to remove</t>
  </si>
  <si>
    <t>O2_excess</t>
  </si>
  <si>
    <t>Temperature</t>
  </si>
  <si>
    <t>T_C</t>
  </si>
  <si>
    <t>C. necator optimum ~30 °C. Input.</t>
  </si>
  <si>
    <t>Temperature (absolute)</t>
  </si>
  <si>
    <t>°C + 273.15.</t>
  </si>
  <si>
    <t>Surface pressure</t>
  </si>
  <si>
    <t>Atmospheric at the liquid surface (assumed).</t>
  </si>
  <si>
    <t>Standard atmosphere (atm-&gt;Pa)</t>
  </si>
  <si>
    <t>Pa_per_atm</t>
  </si>
  <si>
    <t>Pa/atm</t>
  </si>
  <si>
    <t>Defined: 1 atm = 101 325 Pa exactly.</t>
  </si>
  <si>
    <t>Henry solubility O₂ (ref, 298.15 K)</t>
  </si>
  <si>
    <t>H_O2ref</t>
  </si>
  <si>
    <t>mol/m³/Pa</t>
  </si>
  <si>
    <t>Sander (2023) recommended H^cp O2; reproduces ~7.5 mg/L air-saturation at 30 degC</t>
  </si>
  <si>
    <t>Henry T-dependence O₂</t>
  </si>
  <si>
    <t>H_O2T</t>
  </si>
  <si>
    <t>Sander (2023): d ln(Hcp)/d(1/T).</t>
  </si>
  <si>
    <t>Reference temperature</t>
  </si>
  <si>
    <t>T_ref</t>
  </si>
  <si>
    <t>Standard reference for Henry constants.</t>
  </si>
  <si>
    <t>Henry solubility O₂ at T</t>
  </si>
  <si>
    <t>H_O2_T</t>
  </si>
  <si>
    <t>O₂ growth-inhibition ceiling (gas)</t>
  </si>
  <si>
    <t>O2_ceil_atm</t>
  </si>
  <si>
    <t>atm</t>
  </si>
  <si>
    <t>Whole-cell growth inhibited above ~0.30 atm O₂ (Amer &amp; Kim 2023); the [NiFe] hydrogenase itself is O₂-tolerant.</t>
  </si>
  <si>
    <t>O₂ ceiling (partial pressure)</t>
  </si>
  <si>
    <t>O2_ceil_Pa</t>
  </si>
  <si>
    <t>Ceiling in Pa.</t>
  </si>
  <si>
    <t>Dissolved-O₂ ceiling</t>
  </si>
  <si>
    <t>O2_ceil_C</t>
  </si>
  <si>
    <t>mol/m³</t>
  </si>
  <si>
    <t>Henry's law at the gas ceiling.</t>
  </si>
  <si>
    <t>O2_ceil_uM</t>
  </si>
  <si>
    <t>µM</t>
  </si>
  <si>
    <t>mol/m³ = mM; ×1000 = µM. Aim: minimise dissolved O₂; floor set by O₂-removal capacity (§11).</t>
  </si>
  <si>
    <t>Henry solubility CO₂ (ref, 298.15 K)</t>
  </si>
  <si>
    <t>H_CO2ref</t>
  </si>
  <si>
    <t>Henry T-dependence CO₂</t>
  </si>
  <si>
    <t>H_CO2T</t>
  </si>
  <si>
    <t>Sander (2023): d ln(Hcp)/d(1/T) for CO₂.</t>
  </si>
  <si>
    <t>Henry solubility CO₂ at T</t>
  </si>
  <si>
    <t>H_CO2_T</t>
  </si>
  <si>
    <t>van 't Hoff to reactor T.</t>
  </si>
  <si>
    <t>p_CO2_sparge</t>
  </si>
  <si>
    <t>Dissolved CO₂ (during sparge)</t>
  </si>
  <si>
    <t>CO2_diss</t>
  </si>
  <si>
    <t>RuBisCO Km for CO₂</t>
  </si>
  <si>
    <t>Km_CO2</t>
  </si>
  <si>
    <t>RuBisCO Km(CO₂) ~ order 50 µM. Coarse — confirm.</t>
  </si>
  <si>
    <t>Carbon margin (dissolved CO₂ : Km)</t>
  </si>
  <si>
    <t>CO2_carbon_margin</t>
  </si>
  <si>
    <t>Carbonic-acid Ka1 (apparent)</t>
  </si>
  <si>
    <t>Ka1_carb</t>
  </si>
  <si>
    <t>mol/L</t>
  </si>
  <si>
    <t>CO₂(aq)+H₂O ⇌ H⁺+HCO₃⁻, pKa1 6.35 (25 °C).</t>
  </si>
  <si>
    <t>pH — UNBUFFERED worst case</t>
  </si>
  <si>
    <t>pH_CO2_unbuf</t>
  </si>
  <si>
    <t>Unbuffered worst case (pure water + CO₂) — lower bound only; the Sydow phosphate medium holds pH near setpoint.</t>
  </si>
  <si>
    <t>Henry solubility H₂ (ref, 298.15 K)</t>
  </si>
  <si>
    <t>H_H2ref</t>
  </si>
  <si>
    <t>Henry T-dependence H₂</t>
  </si>
  <si>
    <t>H_H2T</t>
  </si>
  <si>
    <t>Sander (2023): d ln(Hcp)/d(1/T) for H₂ (weak T-dependence).</t>
  </si>
  <si>
    <t>Henry solubility H₂ at T</t>
  </si>
  <si>
    <t>H_H2_T</t>
  </si>
  <si>
    <t>Dissolved-H₂ saturation (1 atm)</t>
  </si>
  <si>
    <t>C_H2_sat</t>
  </si>
  <si>
    <t>Max dissolved H₂ at 1 atm — the cells' H₂ ceiling.</t>
  </si>
  <si>
    <t>Time to saturate dissolved H₂ (LAG)</t>
  </si>
  <si>
    <t>t_H2_sat</t>
  </si>
  <si>
    <t>Lag: dissolved H₂ saturates this fast unconsumed, then bubbles off (lost + explosive headspace). Mirrors the O₂ lag timescale.</t>
  </si>
  <si>
    <t>H₂ pool turnovers per hour</t>
  </si>
  <si>
    <t>H2_turnover</t>
  </si>
  <si>
    <t>1/h</t>
  </si>
  <si>
    <t>H₂ evolved ÷ saturable pool. ≫1 → cells must consume in near-real-time or it escapes.</t>
  </si>
  <si>
    <t>H2_safety</t>
  </si>
  <si>
    <t>Minimum DO (organism)</t>
  </si>
  <si>
    <t>DO_min</t>
  </si>
  <si>
    <t>Optimum DO (organism)</t>
  </si>
  <si>
    <t>DO_opt</t>
  </si>
  <si>
    <t>Impairment DO (organism)</t>
  </si>
  <si>
    <t>DO_impair</t>
  </si>
  <si>
    <t>Toxic/inhibition DO (organism)</t>
  </si>
  <si>
    <t>DO_toxic</t>
  </si>
  <si>
    <t>HOB LOOKUP  (dissolved O₂ thresholds, mg/L)</t>
  </si>
  <si>
    <t>Organism</t>
  </si>
  <si>
    <t>minimum DO</t>
  </si>
  <si>
    <t>optimum DO</t>
  </si>
  <si>
    <t>impairment DO</t>
  </si>
  <si>
    <t>toxic DO</t>
  </si>
  <si>
    <t>source</t>
  </si>
  <si>
    <t>11.5 = Wilde &amp; Schlegel 1982 literature datum; model's operative O2 ceiling is computed via Henry (~10.7 mg/L at 30C) - the two differ slightly</t>
  </si>
  <si>
    <t>Xanthobacter autotrophicus</t>
  </si>
  <si>
    <t>Wilde &amp; Schlegel 1982 (~0.30 atm)</t>
  </si>
  <si>
    <t>Xanthobacter flavus</t>
  </si>
  <si>
    <t>no species data — assume genus ~11.5</t>
  </si>
  <si>
    <t>Xanthobacter tagetidis</t>
  </si>
  <si>
    <t>Cupriavidus metallidurans</t>
  </si>
  <si>
    <t>UdG (mixed)</t>
  </si>
  <si>
    <t>Rovira-Alsina 2025; Pous 2022/23</t>
  </si>
  <si>
    <t>MASS TRANSFER</t>
  </si>
  <si>
    <t>(import) Stir-bar length (from reactor type)</t>
  </si>
  <si>
    <t>stir_len</t>
  </si>
  <si>
    <t>(import) Dissolved-O₂ ceiling</t>
  </si>
  <si>
    <t>(import) O₂ ceiling (partial pressure)</t>
  </si>
  <si>
    <t>(import) CO₂ consumed (carbon fixation)</t>
  </si>
  <si>
    <t>(import) EXCESS O₂ to remove</t>
  </si>
  <si>
    <t>(import) Henry solubility O₂ at T</t>
  </si>
  <si>
    <t>(import) Gas-liquid interfacial area</t>
  </si>
  <si>
    <t>(import) Vial internal diameter</t>
  </si>
  <si>
    <t>(import) Internal cross-sectional area</t>
  </si>
  <si>
    <t>(import) Sparge tube ID</t>
  </si>
  <si>
    <t>(import) Headspace gas volume</t>
  </si>
  <si>
    <t>(import) Sinter porosity grade (from electrode)</t>
  </si>
  <si>
    <t>por_grade</t>
  </si>
  <si>
    <t>0-5</t>
  </si>
  <si>
    <t>(import) Sparger type (from electrode)</t>
  </si>
  <si>
    <t>(import) Optimum DO (organism)</t>
  </si>
  <si>
    <t>(import) Impairment DO (organism)</t>
  </si>
  <si>
    <t>(import) Toxic/inhibition DO (organism)</t>
  </si>
  <si>
    <t>(import) Minimum DO (organism)</t>
  </si>
  <si>
    <t xml:space="preserve">  valid sparger 1</t>
  </si>
  <si>
    <t>spg_name_1</t>
  </si>
  <si>
    <t>Bare 1/8" OD x 1/16" ID Flexelene 135C tube orifice.</t>
  </si>
  <si>
    <t xml:space="preserve">  valid sparger 2</t>
  </si>
  <si>
    <t>spg_name_2</t>
  </si>
  <si>
    <t>10 mm sintered-glass disc annulus on a tubular anode.</t>
  </si>
  <si>
    <t>Surface tension (water, T)</t>
  </si>
  <si>
    <t>sigma</t>
  </si>
  <si>
    <t>N/m</t>
  </si>
  <si>
    <t>Liquid density (water, T)</t>
  </si>
  <si>
    <t>rho_L</t>
  </si>
  <si>
    <t>kg/m³</t>
  </si>
  <si>
    <t>Gravitational acceleration</t>
  </si>
  <si>
    <t>g_const</t>
  </si>
  <si>
    <t>m/s²</t>
  </si>
  <si>
    <t>Standard gravity (defined).</t>
  </si>
  <si>
    <t>O₂ diffusivity in water (T)</t>
  </si>
  <si>
    <t>D_O2</t>
  </si>
  <si>
    <t>m²/s</t>
  </si>
  <si>
    <t>Pore size - grade 0</t>
  </si>
  <si>
    <t>por0_um</t>
  </si>
  <si>
    <t>µm</t>
  </si>
  <si>
    <t>DURAN P0 160-250 µm, midpoint. ISO 4793 (paywalled) underlies; DURAN table is free.</t>
  </si>
  <si>
    <t>Pore size - grade 1</t>
  </si>
  <si>
    <t>por1_um</t>
  </si>
  <si>
    <t>DURAN P1 100-160 µm, midpoint.</t>
  </si>
  <si>
    <t>Pore size - grade 2</t>
  </si>
  <si>
    <t>por2_um</t>
  </si>
  <si>
    <t>DURAN P2 40-100 µm, midpoint.</t>
  </si>
  <si>
    <t>Pore size - grade 3</t>
  </si>
  <si>
    <t>por3_um</t>
  </si>
  <si>
    <t>DURAN P3 16-40 µm, midpoint.</t>
  </si>
  <si>
    <t>Pore size - grade 4</t>
  </si>
  <si>
    <t>por4_um</t>
  </si>
  <si>
    <t>DURAN P4 10-16 µm, midpoint.</t>
  </si>
  <si>
    <t>Pore size - grade 5</t>
  </si>
  <si>
    <t>por5_um</t>
  </si>
  <si>
    <t>DURAN P5 1.0-1.6 µm, midpoint.</t>
  </si>
  <si>
    <t>Selected sinter pore diameter</t>
  </si>
  <si>
    <t>por_pore</t>
  </si>
  <si>
    <t>m</t>
  </si>
  <si>
    <t>Picked by por_grade.</t>
  </si>
  <si>
    <t>Tube orifice diameter</t>
  </si>
  <si>
    <t>tube_d_m</t>
  </si>
  <si>
    <t>Tube ID in metres.</t>
  </si>
  <si>
    <t>Effective orifice/pore diameter</t>
  </si>
  <si>
    <t>d_orifice</t>
  </si>
  <si>
    <t>Tube ID or sinter pore; invalid sparger returns an error.</t>
  </si>
  <si>
    <t>Bubble detachment diameter</t>
  </si>
  <si>
    <t>d_bubble</t>
  </si>
  <si>
    <t>Static low-flow force balance (buoyancy vs surface tension); valid in the quasi-static regime — see bubble_regime (§10).</t>
  </si>
  <si>
    <t>Bubble diameter (display)</t>
  </si>
  <si>
    <t>d_bubble_mm</t>
  </si>
  <si>
    <t>Mendelson coefficient a</t>
  </si>
  <si>
    <t>mend_a</t>
  </si>
  <si>
    <t>Mendelson (1967) wave-theory bubble rise correlation (AIChE J, paywalled).</t>
  </si>
  <si>
    <t>Mendelson coefficient b</t>
  </si>
  <si>
    <t>mend_b</t>
  </si>
  <si>
    <t>Mendelson (1967), as above.</t>
  </si>
  <si>
    <t>Bubble rise velocity</t>
  </si>
  <si>
    <t>u_rise</t>
  </si>
  <si>
    <t>Mendelson rise velocity, valid ~1–10 mm. Sub-mm bubbles (fine sinters) are out of range → bubble strip excluded and flagged (bubble_regime); §11 surface path and §14 optimiser unaffected. Tube = 4.1 mm.</t>
  </si>
  <si>
    <t>Superficial gas velocity (sparge on)</t>
  </si>
  <si>
    <t>u_sg</t>
  </si>
  <si>
    <t>Gas flow / liquid cross-section.</t>
  </si>
  <si>
    <t>Gas holdup (sparge on)</t>
  </si>
  <si>
    <t>holdup</t>
  </si>
  <si>
    <t>ε ≈ superficial gas velocity / rise velocity.</t>
  </si>
  <si>
    <t>Interfacial area for transfer</t>
  </si>
  <si>
    <t>a_int</t>
  </si>
  <si>
    <t>1/m</t>
  </si>
  <si>
    <t>a = 6ε/d_b (spheres).</t>
  </si>
  <si>
    <t>Bubble-liquid contact time</t>
  </si>
  <si>
    <t>t_contact</t>
  </si>
  <si>
    <t>d_b / rise velocity.</t>
  </si>
  <si>
    <t>Liquid-film coefficient kL</t>
  </si>
  <si>
    <t>kL</t>
  </si>
  <si>
    <t>Higbie penetration theory.</t>
  </si>
  <si>
    <t>kLa during sparge</t>
  </si>
  <si>
    <t>kLa_sparge</t>
  </si>
  <si>
    <t>1/s</t>
  </si>
  <si>
    <t>kL x a.</t>
  </si>
  <si>
    <t>kLa time-averaged</t>
  </si>
  <si>
    <t>kLa_avg</t>
  </si>
  <si>
    <t>Sparge-on regime only; not meaningful in the surface-strip-dominated default</t>
  </si>
  <si>
    <t>O₂ strip rate at ceiling (sparge on)</t>
  </si>
  <si>
    <t>strip_sparge</t>
  </si>
  <si>
    <t>Bubble O₂ strip at the ceiling driving force (best case). 0 for sub-mm bubbles (fine sinter, bubble model out of range — see bubble_regime).</t>
  </si>
  <si>
    <t>O₂ strip rate time-averaged</t>
  </si>
  <si>
    <t>strip_avg</t>
  </si>
  <si>
    <t>x duty cycle.</t>
  </si>
  <si>
    <t>Strip capacity : excess-O₂</t>
  </si>
  <si>
    <t>strip_ratio</t>
  </si>
  <si>
    <t>Bubble strip : surplus. ≪1 — the §11 surface path is the real route.</t>
  </si>
  <si>
    <t>Required time-avg kLa</t>
  </si>
  <si>
    <t>kLa_req</t>
  </si>
  <si>
    <t>kLa that would exactly strip the excess at the ceiling.</t>
  </si>
  <si>
    <t>Entrainment velocity ceiling (rule of thumb)</t>
  </si>
  <si>
    <t>u_g_max</t>
  </si>
  <si>
    <t>Provisional superficial-velocity ceiling above which droplet carryover to the hydrophilic vent filters becomes likely. Replace with measured value.</t>
  </si>
  <si>
    <t>Carryover flag</t>
  </si>
  <si>
    <t>carry_flag</t>
  </si>
  <si>
    <t>CO₂ gas density (T,P)</t>
  </si>
  <si>
    <t>rho_CO2</t>
  </si>
  <si>
    <t>Ideal gas at surface conditions; for the orifice Weber number.</t>
  </si>
  <si>
    <t>Active sparge orifices</t>
  </si>
  <si>
    <t>n_pores_active</t>
  </si>
  <si>
    <t>Tube = 1. Sinter pore count unknown; 1 = worst case. DATA GAP.</t>
  </si>
  <si>
    <t>Gas velocity at orifice</t>
  </si>
  <si>
    <t>v_orifice</t>
  </si>
  <si>
    <t>Orifice Weber number</t>
  </si>
  <si>
    <t>We_orifice</t>
  </si>
  <si>
    <t>Bubble-formation regime</t>
  </si>
  <si>
    <t>bubble_regime</t>
  </si>
  <si>
    <t>Tate's law assumes quasi-static detachment (We&lt;~2). 'Sinter OOR' = sub-mm bubble; the fine-sinter model isn't built yet.</t>
  </si>
  <si>
    <t>O₂ time-to-ceiling (no removal)</t>
  </si>
  <si>
    <t>t_O2_ceiling</t>
  </si>
  <si>
    <t>O₂ time-to-ceiling (with time-avg strip)</t>
  </si>
  <si>
    <t>t_O2_ceiling_strip</t>
  </si>
  <si>
    <t>stir_rpm</t>
  </si>
  <si>
    <t>1/min</t>
  </si>
  <si>
    <t>tip_speed</t>
  </si>
  <si>
    <t>π·d·rpm/60.</t>
  </si>
  <si>
    <t>Surface renewal frequency</t>
  </si>
  <si>
    <t>s_renew</t>
  </si>
  <si>
    <t>Surface renewal ≈ tip speed / vial ID. Coarse proxy.</t>
  </si>
  <si>
    <t>Surface liquid-film coeff kL</t>
  </si>
  <si>
    <t>kL_surf</t>
  </si>
  <si>
    <t>Surface area per volume</t>
  </si>
  <si>
    <t>a_surf</t>
  </si>
  <si>
    <t>Free-surface area / liquid volume (mm²/mL = 1/m); uses interface_A (§1B).</t>
  </si>
  <si>
    <t>Surface O₂ transfer kLa</t>
  </si>
  <si>
    <t>kLa_surf</t>
  </si>
  <si>
    <t>kL_surf × a_surf.</t>
  </si>
  <si>
    <t>O₂ strip via surface (ceiling)</t>
  </si>
  <si>
    <t>surf_strip</t>
  </si>
  <si>
    <t>Surface strip : excess-O₂</t>
  </si>
  <si>
    <t>surf_ratio</t>
  </si>
  <si>
    <t>Surface strip : surplus. Coarse (kL_surf). ≫ bubble path — the dominant O₂ route.</t>
  </si>
  <si>
    <t>Headspace flush time</t>
  </si>
  <si>
    <t>hs_flush_time</t>
  </si>
  <si>
    <t>Combined O₂ removal : excess</t>
  </si>
  <si>
    <t>O2_removal_ratio</t>
  </si>
  <si>
    <t>Upper bound: surface + sparge O2 sinks are in series (liquid-&gt;headspace-&gt;vent), not strictly additive</t>
  </si>
  <si>
    <t>O₂ time-to-ceiling (LAG, no uptake)</t>
  </si>
  <si>
    <t>t_O2_ceiling_lag</t>
  </si>
  <si>
    <t>Lag/establishment: no biological O₂ uptake yet, so the full net O₂ accumulates. Worst case.</t>
  </si>
  <si>
    <t>O₂ time-to-ceiling (with all removal)</t>
  </si>
  <si>
    <t>t_O2_ceiling_rem</t>
  </si>
  <si>
    <t>Schedule mode</t>
  </si>
  <si>
    <t>sched_mode</t>
  </si>
  <si>
    <t>Optimal</t>
  </si>
  <si>
    <t>Manual pulse duration</t>
  </si>
  <si>
    <t>spg_dur_man</t>
  </si>
  <si>
    <t>Manual sparge interval</t>
  </si>
  <si>
    <t>spg_int_man</t>
  </si>
  <si>
    <t>Target DO fraction (organism optimum / inhibition)</t>
  </si>
  <si>
    <t>target_DO_frac</t>
  </si>
  <si>
    <t>Min carbon supply margin</t>
  </si>
  <si>
    <t>carbon_margin_min</t>
  </si>
  <si>
    <t>Required CO₂ supply : fixation demand. Input.</t>
  </si>
  <si>
    <t>Duty floor — carbon</t>
  </si>
  <si>
    <t>duty_carbon</t>
  </si>
  <si>
    <t>Duty needed so CO₂ supply ≥ margin × fixation demand.</t>
  </si>
  <si>
    <t>Duty floor — O₂ venting (lag)</t>
  </si>
  <si>
    <t>duty_O2vent</t>
  </si>
  <si>
    <t>Optimal duty cycle</t>
  </si>
  <si>
    <t>duty_opt</t>
  </si>
  <si>
    <t>spg_int_max</t>
  </si>
  <si>
    <t>OPTIMAL pulse duration</t>
  </si>
  <si>
    <t>spg_dur_opt</t>
  </si>
  <si>
    <t>OPTIMAL sparge interval</t>
  </si>
  <si>
    <t>spg_int_opt</t>
  </si>
  <si>
    <t xml:space="preserve">  optimal interval (seconds)</t>
  </si>
  <si>
    <t>spg_int_opt_s</t>
  </si>
  <si>
    <t>Convenience: interval in seconds.</t>
  </si>
  <si>
    <t>duty_actual</t>
  </si>
  <si>
    <t xml:space="preserve">  binding constraint</t>
  </si>
  <si>
    <t>opt_binding</t>
  </si>
  <si>
    <t xml:space="preserve">  OD-window check</t>
  </si>
  <si>
    <t>od_ok</t>
  </si>
  <si>
    <t>ACCURACY LIMIT — no validated kinetics</t>
  </si>
  <si>
    <t>kinetic_caveat</t>
  </si>
  <si>
    <t>Constraint-proxy optimiser, not a fitted growth model — no validated μ(O₂,pH,CO₂) or lag kinetics exist for this system. Gives the lag-minimising direction, not an exact optimum; bounded by etaF, surface kL and the unbuffered-pH simplification. Validate empirically.</t>
  </si>
  <si>
    <t>Measured surface kLa</t>
  </si>
  <si>
    <t>kLa_meas</t>
  </si>
  <si>
    <t>Measured surface kLa (gassing-out). 0 = use the §11 estimate. kLa = slope of −LN(1−DO/DO_sat) vs time.</t>
  </si>
  <si>
    <t>Surface kLa used downstream</t>
  </si>
  <si>
    <t>kLa_surf_used</t>
  </si>
  <si>
    <t>Min reliable pulse (solenoid floor)</t>
  </si>
  <si>
    <t>pulse_floor</t>
  </si>
  <si>
    <t>From Dosing.</t>
  </si>
  <si>
    <t>Average CO₂ supply rate</t>
  </si>
  <si>
    <t>CO2_supply</t>
  </si>
  <si>
    <t>Ideal gas constant</t>
  </si>
  <si>
    <t>CO₂ volumetric flow rate</t>
  </si>
  <si>
    <t>Q_CO2</t>
  </si>
  <si>
    <t>Molar mass CO₂</t>
  </si>
  <si>
    <t>M_CO2</t>
  </si>
  <si>
    <t>g/mol</t>
  </si>
  <si>
    <t>CO₂ molar flow during sparge</t>
  </si>
  <si>
    <t>nCO2_rate</t>
  </si>
  <si>
    <t>mol/s</t>
  </si>
  <si>
    <t>Sparge duty cycle</t>
  </si>
  <si>
    <t>duty</t>
  </si>
  <si>
    <t>CO2 per pulse (headspace volumes)</t>
  </si>
  <si>
    <t>flush_factor</t>
  </si>
  <si>
    <t>STEADY-STATE DO CHECK (surface stripping vs organism band)</t>
  </si>
  <si>
    <t>DO_ss</t>
  </si>
  <si>
    <t xml:space="preserve">  DO_ss vs minimum (organism)</t>
  </si>
  <si>
    <t>DO_ss_vs_min</t>
  </si>
  <si>
    <t>tip_warn</t>
  </si>
  <si>
    <t>Conservative shear limit: &lt;1.5 m/s impeller-tip velocity recommended to avoid adverse cell-growth effects (BioProcess International, cell-culture norm); precautionary for robust HOB.</t>
  </si>
  <si>
    <t>Interval if surface stripping handles O2 (carbon-limited)</t>
  </si>
  <si>
    <t>spg_int_carbon</t>
  </si>
  <si>
    <t>Schedule regime (which interval applies)</t>
  </si>
  <si>
    <t>sched_regime</t>
  </si>
  <si>
    <t>Reactor (calibration key)</t>
  </si>
  <si>
    <t>latest calibration date</t>
  </si>
  <si>
    <t>latest_date</t>
  </si>
  <si>
    <t>flowrate (calibrated)</t>
  </si>
  <si>
    <t>flowrate_cal</t>
  </si>
  <si>
    <t>min sparge (calibrated)</t>
  </si>
  <si>
    <t>min_sparge_cal</t>
  </si>
  <si>
    <t>reactor has a calibration row?</t>
  </si>
  <si>
    <t>has_cal</t>
  </si>
  <si>
    <t>count</t>
  </si>
  <si>
    <t>calibration source</t>
  </si>
  <si>
    <t>cal_warning</t>
  </si>
  <si>
    <t>Sparge duration per pulse</t>
  </si>
  <si>
    <t>spg_dur</t>
  </si>
  <si>
    <t>Sparge interval</t>
  </si>
  <si>
    <t>spg_int</t>
  </si>
  <si>
    <t>CO₂ per pulse</t>
  </si>
  <si>
    <t>CO2_pulse</t>
  </si>
  <si>
    <t>mol</t>
  </si>
  <si>
    <t>Pulses per hour</t>
  </si>
  <si>
    <t>pulses_h</t>
  </si>
  <si>
    <t>/h</t>
  </si>
  <si>
    <t>Pulses per day</t>
  </si>
  <si>
    <t>pulses_d</t>
  </si>
  <si>
    <t>/d</t>
  </si>
  <si>
    <t>CO₂ supply : carbon demand</t>
  </si>
  <si>
    <t>CO2_sd_ratio</t>
  </si>
  <si>
    <t>O₂ accumulated per interval</t>
  </si>
  <si>
    <t>O2_accum</t>
  </si>
  <si>
    <t>O₂ removable per pulse</t>
  </si>
  <si>
    <t>O2_strip_pulse</t>
  </si>
  <si>
    <t>Per-pulse balance</t>
  </si>
  <si>
    <t>sched_bal</t>
  </si>
  <si>
    <t>Duration floor check</t>
  </si>
  <si>
    <t>dur_ok</t>
  </si>
  <si>
    <t>kL_surf_crit</t>
  </si>
  <si>
    <t>CHEMISTRY — buffered pH &amp; anodic bleaching (open-system carbonate+phosphate charge balance, van't Hoff to reactor T)</t>
  </si>
  <si>
    <t>Parameter</t>
  </si>
  <si>
    <t>Name</t>
  </si>
  <si>
    <t>Unit</t>
  </si>
  <si>
    <t>Value</t>
  </si>
  <si>
    <t>Source / assumption</t>
  </si>
  <si>
    <t>IMPORTS (from other tabs)</t>
  </si>
  <si>
    <t>(import) Reactor temperature</t>
  </si>
  <si>
    <t>TKc</t>
  </si>
  <si>
    <t>K</t>
  </si>
  <si>
    <t>→ Biology</t>
  </si>
  <si>
    <t>CO2aqc</t>
  </si>
  <si>
    <t>mol/L</t>
  </si>
  <si>
    <t>(import) Electrolysis current (Gerrit's Law)</t>
  </si>
  <si>
    <t>Iappc</t>
  </si>
  <si>
    <t>A</t>
  </si>
  <si>
    <t>→ Electrochemistry (I_app)</t>
  </si>
  <si>
    <t>(import) Faraday constant</t>
  </si>
  <si>
    <t>Fcc</t>
  </si>
  <si>
    <t>C/mol</t>
  </si>
  <si>
    <t>→ Electrochemistry (F_const)</t>
  </si>
  <si>
    <t>VLc</t>
  </si>
  <si>
    <t>L</t>
  </si>
  <si>
    <t>Molar gas constant</t>
  </si>
  <si>
    <t>R_gas</t>
  </si>
  <si>
    <t>J/mol/K</t>
  </si>
  <si>
    <t>EQUILIBRIUM CONSTANTS (van't Hoff to reactor T)</t>
  </si>
  <si>
    <t>K(T)=K₂₅·exp(−ΔH/R·(1/T−1/298.15)). ΔH = standard enthalpy of dissociation; well documented. Same van't Hoff treatment your sheet already uses for the Henry constants.</t>
  </si>
  <si>
    <t>constant</t>
  </si>
  <si>
    <t>K₂₅</t>
  </si>
  <si>
    <t>ΔH kJ/mol</t>
  </si>
  <si>
    <t>K at reactor T</t>
  </si>
  <si>
    <t>source</t>
  </si>
  <si>
    <t>Handbook: K₂₅ (CRC/IUPAC); ΔH dissociation (CRC)</t>
  </si>
  <si>
    <t>Carbonate Ka1 (pKa 6.35)</t>
  </si>
  <si>
    <t>Carbonate Ka2 (pKa 10.33)</t>
  </si>
  <si>
    <t>Phosphate Ka1 (pKa 2.15)</t>
  </si>
  <si>
    <t>Phosphate Ka2 (pKa 7.20)</t>
  </si>
  <si>
    <t>Ammonium Ka (pKa 9.25)</t>
  </si>
  <si>
    <t>Water Kw</t>
  </si>
  <si>
    <t>Hypochlorous Ka (pKa 7.54)</t>
  </si>
  <si>
    <t>HOCl pKa at reactor T</t>
  </si>
  <si>
    <t>pKa_HOCl</t>
  </si>
  <si>
    <t>-</t>
  </si>
  <si>
    <t>= −log₁₀(Ka_HOCl at T)</t>
  </si>
  <si>
    <t>MEDIA IONIC COMPOSITION (per litre, as published; Excel derives the charge balance)</t>
  </si>
  <si>
    <t>Trace-metal salts omitted from SID (&lt;0.2 mM charge, negligible vs ~50–60 mM); their chloride is carried in the chloride row.</t>
  </si>
  <si>
    <t>Pous 2022 (BiTE 101010) / Pous 2023 (JECE 111550), UdG recipe</t>
  </si>
  <si>
    <t>Media/README.md (MC02); per Sydow 2017 SI Table S1</t>
  </si>
  <si>
    <t>salt</t>
  </si>
  <si>
    <t>MW g/mol</t>
  </si>
  <si>
    <t>MC02 g/L</t>
  </si>
  <si>
    <t>UdG g/L</t>
  </si>
  <si>
    <t>source</t>
  </si>
  <si>
    <t>KH₂PO₄</t>
  </si>
  <si>
    <t>Na₂HPO₄</t>
  </si>
  <si>
    <t>NaH₂PO₄·2H₂O</t>
  </si>
  <si>
    <t>NaHCO₃</t>
  </si>
  <si>
    <t>K₂SO₄</t>
  </si>
  <si>
    <t>CaSO₄·2H₂O</t>
  </si>
  <si>
    <t>MgSO₄·7H₂O</t>
  </si>
  <si>
    <t>(NH₄)₂SO₄</t>
  </si>
  <si>
    <t>CaCl₂</t>
  </si>
  <si>
    <t>MC02 — total phosphate</t>
  </si>
  <si>
    <t>PT_mc02</t>
  </si>
  <si>
    <t>mol/L</t>
  </si>
  <si>
    <t>Σ phosphate salts</t>
  </si>
  <si>
    <t>MC02 — strong-ion difference</t>
  </si>
  <si>
    <t>SID_mc02</t>
  </si>
  <si>
    <t>mol/L</t>
  </si>
  <si>
    <t>Σ strong cations − strong anions</t>
  </si>
  <si>
    <t>MC02 — total ammonium</t>
  </si>
  <si>
    <t>NT_mc02</t>
  </si>
  <si>
    <t>mol/L</t>
  </si>
  <si>
    <t/>
  </si>
  <si>
    <t>MC02 — chloride</t>
  </si>
  <si>
    <t>Cl_mc02</t>
  </si>
  <si>
    <t>mol/L</t>
  </si>
  <si>
    <t>no chloride salts</t>
  </si>
  <si>
    <t>UdG — total phosphate</t>
  </si>
  <si>
    <t>PT_udg</t>
  </si>
  <si>
    <t>mol/L</t>
  </si>
  <si>
    <t>Σ phosphate salts</t>
  </si>
  <si>
    <t>UdG — strong-ion difference</t>
  </si>
  <si>
    <t>SID_udg</t>
  </si>
  <si>
    <t>mol/L</t>
  </si>
  <si>
    <t>Σ strong cations − strong anions</t>
  </si>
  <si>
    <t>UdG — total ammonium</t>
  </si>
  <si>
    <t>NT_udg</t>
  </si>
  <si>
    <t>mol/L</t>
  </si>
  <si>
    <t/>
  </si>
  <si>
    <t>UdG — chloride</t>
  </si>
  <si>
    <t>Cl_udg</t>
  </si>
  <si>
    <t>mol/L</t>
  </si>
  <si>
    <t>trace-metal Cl excluded (negligible)</t>
  </si>
  <si>
    <t>(sel) strong-ion difference</t>
  </si>
  <si>
    <t>pH_SID</t>
  </si>
  <si>
    <t>mol/L</t>
  </si>
  <si>
    <t>by media_sel</t>
  </si>
  <si>
    <t>(sel) total phosphate</t>
  </si>
  <si>
    <t>pH_PT</t>
  </si>
  <si>
    <t>mol/L</t>
  </si>
  <si>
    <t>by media_sel</t>
  </si>
  <si>
    <t>(sel) total ammonium</t>
  </si>
  <si>
    <t>pH_NT</t>
  </si>
  <si>
    <t>mol/L</t>
  </si>
  <si>
    <t>by media_sel</t>
  </si>
  <si>
    <t>(sel) chloride</t>
  </si>
  <si>
    <t>pH_Cl</t>
  </si>
  <si>
    <t>mol/L</t>
  </si>
  <si>
    <t>by media_sel</t>
  </si>
  <si>
    <t>residual mol/L</t>
  </si>
  <si>
    <t>interp pH at root</t>
  </si>
  <si>
    <t>pH_op</t>
  </si>
  <si>
    <t>-</t>
  </si>
  <si>
    <t>HOCl fraction at operating pH</t>
  </si>
  <si>
    <t>pH_fHOCl</t>
  </si>
  <si>
    <t>-</t>
  </si>
  <si>
    <t>ANODIC BLEACHING (free-chlorine evolution; conservative FE=1)</t>
  </si>
  <si>
    <t>bleach_rate</t>
  </si>
  <si>
    <t>mg/L/h</t>
  </si>
  <si>
    <t>Time to ~1 ppm HOCl (FE=1)</t>
  </si>
  <si>
    <t>bleach_t1ppm</t>
  </si>
  <si>
    <t>min</t>
  </si>
  <si>
    <t>~1 mg/L HOCl ≈ bactericidal threshold</t>
  </si>
  <si>
    <t>Bleaching / hypochlorite flag</t>
  </si>
  <si>
    <t>bleach_flag</t>
  </si>
  <si>
    <t>-</t>
  </si>
  <si>
    <t>pH band flag (HOB optimum 6.5–7.5)</t>
  </si>
  <si>
    <t>pH_band_flag</t>
  </si>
  <si>
    <t>-</t>
  </si>
  <si>
    <t>MEDIA LOOKUP (selector source)</t>
  </si>
  <si>
    <t>Media</t>
  </si>
  <si>
    <t>buffer</t>
  </si>
  <si>
    <t>buffer conc mM</t>
  </si>
  <si>
    <t>notes</t>
  </si>
  <si>
    <t>source</t>
  </si>
  <si>
    <t>MC02</t>
  </si>
  <si>
    <t>phosphate</t>
  </si>
  <si>
    <t>low-chloride, organic-free</t>
  </si>
  <si>
    <t>Media/README.md (MC02); per Sydow 2017 SI</t>
  </si>
  <si>
    <t>UdG phosphate</t>
  </si>
  <si>
    <t>phosphate</t>
  </si>
  <si>
    <t>low-chloride (trace Cl⁻); N varies urea/(NH₄)₂SO₄/NH₄Cl</t>
  </si>
  <si>
    <t>Pous 2022 &amp; 2023; Rovira-Alsina 2025</t>
  </si>
  <si>
    <t>HOCl_max</t>
  </si>
  <si>
    <t>mg/L</t>
  </si>
  <si>
    <t>Organism DO data present?</t>
  </si>
  <si>
    <t>Red = the selected organism has no measured DO thresholds, so every DO/sparge verdict above is running on missing data.</t>
  </si>
  <si>
    <t>O₂ guard source (surface-uncredited)</t>
  </si>
  <si>
    <t>O2_src_guard</t>
  </si>
  <si>
    <t>mol/h</t>
  </si>
  <si>
    <t>Worst-case O₂ source the safety guards size on: net O₂ generation with the surface-strip credit withheld (kL_surf is a ~375%-uncertain best-case proxy and must not gate a safety guard). = O2_net_gen.</t>
  </si>
  <si>
    <t>DO_ss_sawtooth</t>
  </si>
  <si>
    <t>mol/m³</t>
  </si>
  <si>
    <t>Sparge regime (surface-held vs sparge-needed)</t>
  </si>
  <si>
    <t>spg_int_regime</t>
  </si>
  <si>
    <t>-</t>
  </si>
  <si>
    <t>DO_ss_sawtooth_lag</t>
  </si>
  <si>
    <t>mol/m³</t>
  </si>
  <si>
    <t>O₂ removable across the stirred surface at ceiling driving force — a FEASIBILITY CEILING for surf_ratio / O2_removal_ratio only. NEVER subtracted inside a safety guard (kL_surf is a ~375%-uncertain best-case proxy); the guards size on O2_src_guard (D132) with this credit withheld.</t>
  </si>
  <si>
    <t>pH-grid crossings (must be exactly 1)</t>
  </si>
  <si>
    <t>n_cross</t>
  </si>
  <si>
    <t>-</t>
  </si>
  <si>
    <t>Count of +→− sign crossings of the charge residual on the pH grid. Exactly 1 = a single bracketed root inside [4,9]. 0 (root outside the grid) or &gt;1 (non-monotone) must NOT be read as pH 0.</t>
  </si>
  <si>
    <t>Phosphate Ka3 (pKa 12.38)</t>
  </si>
  <si>
    <t>HOCl-tolerance evidence (Comments)</t>
  </si>
  <si>
    <t>Threshold seed 0.2 mg/L free chlorine = conservative FIRST-IMPAIRMENT floor for suspended gram-negative environmental bacteria; deliberately below water-industry disinfection doses. Tiers: 0.02-0.1 no inhibition; 0.2 first-impairment (pick); 0.3-0.6 measurable die-off; 0.75-1.75 complete regrowth inhibition.</t>
  </si>
  <si>
    <t>C. necator: no direct HOCl MIC; genus-mate C. metallidurans is documented chlorine/chloramine-TOLERANT (Gomez-Alvarez/Wang 2018, STOTEN). 0.2 mg/L is a safety UNDERestimate, not its breaking point — do not assume necator is chlorine-fragile.</t>
  </si>
  <si>
    <t>Hydrogenophaga: dominant chlorine/chloramine-RESISTANT genus in chloraminated distribution systems; survives &gt;0.5 mg/L. Treat as resistant; 0.2 mg/L is a floor, not an observed inhibition point.</t>
  </si>
  <si>
    <t>Xanthobacter: no species value found in literature (genuine gap — not invented); use the 0.2 mg/L gram-negative fallback. CONSERVATIVE-FLOOR CAVEAT: the 0.2 seed is a safety floor; real impairment for these resistant genera is likely higher (mid-tenths to &gt;1 mg/L). necator/Xanthobacter rows are inferred, not measured.</t>
  </si>
  <si>
    <t>Measure surface kLa (kL_surf)</t>
  </si>
  <si>
    <t>HIGH</t>
  </si>
  <si>
    <t>med</t>
  </si>
  <si>
    <t>Measure / confirm vial total volume</t>
  </si>
  <si>
    <t>HIGH</t>
  </si>
  <si>
    <t>low</t>
  </si>
  <si>
    <t>Measure cathodic Faradaic efficiency (etaF)</t>
  </si>
  <si>
    <t>HIGH</t>
  </si>
  <si>
    <t>med</t>
  </si>
  <si>
    <t>Confirm knallgas uptake ratio (H2:O2:CO2)</t>
  </si>
  <si>
    <t>MED</t>
  </si>
  <si>
    <t>high</t>
  </si>
  <si>
    <t>Measure anodic Faradaic efficiency (etaF_OER)</t>
  </si>
  <si>
    <t>MED</t>
  </si>
  <si>
    <t>med</t>
  </si>
  <si>
    <t>Measure vial wall thickness</t>
  </si>
  <si>
    <t>MED</t>
  </si>
  <si>
    <t>low</t>
  </si>
  <si>
    <t>high-leverage caliper measurement — drives the headspace/displacement budget</t>
  </si>
  <si>
    <t>Bench-characterise the solenoid pulse floor</t>
  </si>
  <si>
    <t>LOW</t>
  </si>
  <si>
    <t>low</t>
  </si>
  <si>
    <t>Determine organism minimum DO</t>
  </si>
  <si>
    <t>MED</t>
  </si>
  <si>
    <t>low</t>
  </si>
  <si>
    <t>lower DO guardrail; a gap for every organism</t>
  </si>
  <si>
    <t>Calibrate flow for each reactor</t>
  </si>
  <si>
    <t>MED</t>
  </si>
  <si>
    <t>low</t>
  </si>
  <si>
    <t>each experiment; only ed04 done</t>
  </si>
  <si>
    <t>Measure / confirm sinter porosity</t>
  </si>
  <si>
    <t>LOW</t>
  </si>
  <si>
    <t>low</t>
  </si>
  <si>
    <t>bubble size; currently grade 0 from Gerrit's disc</t>
  </si>
  <si>
    <t>Record lab ambient pressure</t>
  </si>
  <si>
    <t>LOW</t>
  </si>
  <si>
    <t>low</t>
  </si>
  <si>
    <t>Sander (2023) compilation; CO₂ ~28× more soluble than O₂ (vs the 1.2e-5 O₂ Hcp).</t>
  </si>
  <si>
    <t>Sander (2023). H₂ ~1.5× less soluble than O₂ (vs the 1.2e-5 O₂ Hcp).</t>
  </si>
  <si>
    <t>Penetration-theory / surface-renewal proxy (Higbie form, t=1/s_renew) — coarse; measure by gassing-out (§15).</t>
  </si>
  <si>
    <t>CO₂ sparge duration</t>
  </si>
  <si>
    <t>Naïve FE=1 production ceiling (NOT operative)</t>
  </si>
  <si>
    <t>Naïve FE=1 ceiling: all chloride → free chlorine (NOT operative)</t>
  </si>
  <si>
    <t>Pous 2022 (BiTE 101010) / Pous 2023 (JECE 111550), UdG recipe = 0.01 g/L.</t>
  </si>
  <si>
    <t>Conservative O₂-vent duty: net O₂ with the surface-strip credit withheld (O2_src_guard). Sizes the O₂-limited fallback; the recommended schedule credits the surface estimate when DO is held.</t>
  </si>
  <si>
    <t>FREE-CHLORINE PENALTY MODEL (graded, kinetic — operative; supersedes the naïve FE=1 ceiling above)</t>
  </si>
  <si>
    <t>Max active-Cl evolution efficiency (high-Cl plateau)</t>
  </si>
  <si>
    <t>FE_CER</t>
  </si>
  <si>
    <t>-</t>
  </si>
  <si>
    <t>Cl⁻ mass-transfer coefficient</t>
  </si>
  <si>
    <t>km_Cl</t>
  </si>
  <si>
    <t>cm/s</t>
  </si>
  <si>
    <t>Anode wetted area</t>
  </si>
  <si>
    <t>A_anode</t>
  </si>
  <si>
    <t>cm²</t>
  </si>
  <si>
    <t>Cl₂ current — efficiency-limited</t>
  </si>
  <si>
    <t>I_Cl_FE</t>
  </si>
  <si>
    <t>A</t>
  </si>
  <si>
    <t>Applied anode current × plateau efficiency.</t>
  </si>
  <si>
    <t>Cl₂ current — chloride mass-transport limit</t>
  </si>
  <si>
    <t>I_Cl_mt</t>
  </si>
  <si>
    <t>Realistic chlorine current (binding limit)</t>
  </si>
  <si>
    <t>I_Cl</t>
  </si>
  <si>
    <t>Smaller of efficiency- and mass-transport-limited.</t>
  </si>
  <si>
    <t>Volumetric free-chlorine production</t>
  </si>
  <si>
    <t>P_HOCl</t>
  </si>
  <si>
    <t>mol/L/s</t>
  </si>
  <si>
    <t>Medium ammonium (as N)</t>
  </si>
  <si>
    <t>NH3_N</t>
  </si>
  <si>
    <t>mg/L</t>
  </si>
  <si>
    <t>Active-medium total ammonium × 14.007 g/mol N.</t>
  </si>
  <si>
    <t>Monochloramine formation rate constant</t>
  </si>
  <si>
    <t>k1_NH2Cl</t>
  </si>
  <si>
    <t>M⁻¹s⁻¹</t>
  </si>
  <si>
    <t>HOCl + NH₃ → NH₂Cl, k₁ = 4.2e6 M⁻¹s⁻¹ (Morris &amp; Isaac 1983; Jafvert &amp; Valentine 1992, ES&amp;T 26:577, DOI 10.1021/es00027a022). Fast but NOT instantaneous.</t>
  </si>
  <si>
    <t>Ammonium pKa (NH₄⁺/NH₃)</t>
  </si>
  <si>
    <t>pKa_NH4</t>
  </si>
  <si>
    <t>Free ammonia</t>
  </si>
  <si>
    <t>NH3_free</t>
  </si>
  <si>
    <t>mol/L</t>
  </si>
  <si>
    <t>NH₃ = NH₄_tot/(1+10^(pKa_NH4−pH)). The reactive fraction that scavenges HOCl.</t>
  </si>
  <si>
    <t>Steady bulk free HOCl</t>
  </si>
  <si>
    <t>HOCl_ss</t>
  </si>
  <si>
    <t>[HOCl]_ss = production/(k₁·NH₃_free). Non-zero by construction; rises with current, falls with ammonium/pH.</t>
  </si>
  <si>
    <t>Steady bulk free HOCl (mass)</t>
  </si>
  <si>
    <t>HOCl_ss_mgL</t>
  </si>
  <si>
    <t>Bulk free chlorine, mg/L. Small for UdG — below the impairment onset, so no bulk sterilisation (UdG runs for days).</t>
  </si>
  <si>
    <t>Anode boundary-layer enrichment</t>
  </si>
  <si>
    <t>f_local</t>
  </si>
  <si>
    <t>Local HOCl at the anode is higher than bulk before it diffuses out and meets ammonia (boundary-layer time ~0.1–10 s ≫ ms bulk scavenging). f_local ≥ 1; sub-mM value unmeasured — SENSITIVITY parameter.</t>
  </si>
  <si>
    <t>Monochloramine effective residence</t>
  </si>
  <si>
    <t>tau_NH2Cl</t>
  </si>
  <si>
    <t>h</t>
  </si>
  <si>
    <t>Time combined chlorine persists before consumption (growth N-uptake, cathodic reduction, dilution). Lit: minutes–hours; system-specific value unknown — SENSITIVITY parameter.</t>
  </si>
  <si>
    <t>Steady combined chlorine (monochloramine)</t>
  </si>
  <si>
    <t>NH2Cl_mgL</t>
  </si>
  <si>
    <t>Monochloramine potency divisor</t>
  </si>
  <si>
    <t>R_chloramine</t>
  </si>
  <si>
    <t>Monochloramine is ~18–70× less biocidal than free chlorine (EPA SWTR ~18×, Giardia; IWA 2008 ~70×, E. coli). 25 = conservative (kinder-to-chloramine).</t>
  </si>
  <si>
    <t>EFFECTIVE biocidal chlorine load</t>
  </si>
  <si>
    <t>C_eff</t>
  </si>
  <si>
    <t>Free-chlorine impairment onset (sub-lethal)</t>
  </si>
  <si>
    <t>Cl_onset</t>
  </si>
  <si>
    <t>Growth measurably slowed above ~0.1 mg/L free-Cl-equiv (graded, gram-negative proxy; Murray 2017 Ecotox 26:1115; HOCl oxidative-stress onset). Distinct from kill.</t>
  </si>
  <si>
    <t>Free-chlorine kill threshold</t>
  </si>
  <si>
    <t>Cl_kill</t>
  </si>
  <si>
    <t>~1–5 mg/L for tolerant gram-negatives; 2 used. Above C_eff this → biofilm/electrode damage (Baek 2021, CEJ 405:126742).</t>
  </si>
  <si>
    <t>Operative flag: effective biocidal chlorine (C_eff, D145) vs the sub-lethal onset (D146) and kill (D147). Graded — MILD for trace-chloride UdG, SEVERE only at high chloride/current.</t>
  </si>
  <si>
    <t>Effective biocidal chlorine</t>
  </si>
  <si>
    <t>Set by the Summary 'Your setting' override (G13/G15) when filled; otherwise this Manual/Optimal selector + the manual cells below apply. Optimal = recommended schedule.</t>
  </si>
  <si>
    <t>Your pulse length when sched_mode=Manual. Easiest: type into the Summary 'Your setting' column (G13) instead — it overrides everything.</t>
  </si>
  <si>
    <t>Your interval when sched_mode=Manual. Easiest: type into the Summary 'Your setting' column (G15) instead — it overrides everything.</t>
  </si>
  <si>
    <t>≥5 s gap between pulses for an OD read (uses the schedule IN USE, so it responds to your override). Can't measure OD while sparging.</t>
  </si>
  <si>
    <t>Override</t>
  </si>
  <si>
    <t>Schedule → dissolved-CO₂ sawtooth model</t>
  </si>
  <si>
    <t>Limit-cycle dissolved CO₂ from the sparge pulse/gap schedule; feeds Chemistry CO2aqc (D5).</t>
  </si>
  <si>
    <t>CO₂ molecular diffusivity</t>
  </si>
  <si>
    <t>D_CO2</t>
  </si>
  <si>
    <t>pCO2_air</t>
  </si>
  <si>
    <t>CO₂ saturation (pure sparge)</t>
  </si>
  <si>
    <t>C_sat_CO2</t>
  </si>
  <si>
    <t>CO₂ air-equilibrium</t>
  </si>
  <si>
    <t>C_air_CO2</t>
  </si>
  <si>
    <t>sqrtD_CO2</t>
  </si>
  <si>
    <t>kLa_CO2_off</t>
  </si>
  <si>
    <t>Pulse duration</t>
  </si>
  <si>
    <t>t_on_CO2</t>
  </si>
  <si>
    <t>Gap duration</t>
  </si>
  <si>
    <t>t_off_CO2</t>
  </si>
  <si>
    <t>Steady dissolved CO₂</t>
  </si>
  <si>
    <t>CO2aqc_ss</t>
  </si>
  <si>
    <t>Schedule validity</t>
  </si>
  <si>
    <t>sched_valid</t>
  </si>
  <si>
    <t>Atmospheric CO₂ partial pressure</t>
  </si>
  <si>
    <t>Atmospheric pCO₂ (~400 ppm).</t>
  </si>
  <si>
    <t>Headspace volume (SI)</t>
  </si>
  <si>
    <t>headspace_V_m3</t>
  </si>
  <si>
    <t>m³</t>
  </si>
  <si>
    <t>Geometry headspace volume converted mL→m³.</t>
  </si>
  <si>
    <t>Liquid volume (SI)</t>
  </si>
  <si>
    <t>V_L_m3</t>
  </si>
  <si>
    <t>Charged liquid volume converted mL→m³.</t>
  </si>
  <si>
    <t>Q_vent</t>
  </si>
  <si>
    <t>k_vent</t>
  </si>
  <si>
    <t>Headspace residence time</t>
  </si>
  <si>
    <t>tau_hs</t>
  </si>
  <si>
    <t>Henry-law dissolved CO₂ in equilibrium with room air.</t>
  </si>
  <si>
    <t>Diffusivity scaling (CO₂/O₂)</t>
  </si>
  <si>
    <t>Penetration-theory √(D_CO₂/D_O₂) scaling of the O₂ transfer coefficient.</t>
  </si>
  <si>
    <t>CO₂ surface transfer coefficient</t>
  </si>
  <si>
    <t>Surface-relaxation time</t>
  </si>
  <si>
    <t>tau_surf_floor</t>
  </si>
  <si>
    <t>Time constant for the liquid to relax to the headspace via the surface.</t>
  </si>
  <si>
    <t>Headspace gas inventory</t>
  </si>
  <si>
    <t>n_hs_gas</t>
  </si>
  <si>
    <t>Moles of gas in the headspace at P_atm, T_K (ideal-gas).</t>
  </si>
  <si>
    <t>Sparge pulse on-time from the schedule.</t>
  </si>
  <si>
    <t>Time between pulses, guard-floored at 0.</t>
  </si>
  <si>
    <t>Vent-path sanity check</t>
  </si>
  <si>
    <t>vent_floor_chk</t>
  </si>
  <si>
    <t>Surfaces an interval&lt;pulse misconfiguration.</t>
  </si>
  <si>
    <t>electrons per produced HOCl</t>
  </si>
  <si>
    <t>n_e_Cl</t>
  </si>
  <si>
    <t>e-/HOCl</t>
  </si>
  <si>
    <t>chloride-pool ceiling on chlorine</t>
  </si>
  <si>
    <t>Cl_pool_mgL</t>
  </si>
  <si>
    <t>mg/L</t>
  </si>
  <si>
    <t>monochloramine residence (low)</t>
  </si>
  <si>
    <t>tau_NH2Cl_lo</t>
  </si>
  <si>
    <t>h</t>
  </si>
  <si>
    <t>Low bound of monochloramine residence (~1 min); weak estimate, swept for the C_eff band</t>
  </si>
  <si>
    <t>monochloramine residence (high)</t>
  </si>
  <si>
    <t>tau_NH2Cl_hi</t>
  </si>
  <si>
    <t>h</t>
  </si>
  <si>
    <t>High bound of monochloramine residence (5 h); weak estimate, swept for the C_eff band</t>
  </si>
  <si>
    <t>chloramine potency divisor (low)</t>
  </si>
  <si>
    <t>R_chloramine_lo</t>
  </si>
  <si>
    <t>x</t>
  </si>
  <si>
    <t>Most-potent end of the monochloramine potency-divisor band (defensible)</t>
  </si>
  <si>
    <t>chloramine potency divisor (high)</t>
  </si>
  <si>
    <t>R_chloramine_hi</t>
  </si>
  <si>
    <t>x</t>
  </si>
  <si>
    <t>Least-potent end of the monochloramine potency-divisor band</t>
  </si>
  <si>
    <t>combined chlorine (low-tau)</t>
  </si>
  <si>
    <t>NH2Cl_lo</t>
  </si>
  <si>
    <t>mg/L</t>
  </si>
  <si>
    <t>combined chlorine (high-tau)</t>
  </si>
  <si>
    <t>NH2Cl_hi</t>
  </si>
  <si>
    <t>mg/L</t>
  </si>
  <si>
    <t>effective biocidal chlorine (low)</t>
  </si>
  <si>
    <t>C_eff_lo</t>
  </si>
  <si>
    <t>mg/L</t>
  </si>
  <si>
    <t>Low bound of effective biocidal chlorine (least chlorine, least potent)</t>
  </si>
  <si>
    <t>effective biocidal chlorine (high)</t>
  </si>
  <si>
    <t>C_eff_hi</t>
  </si>
  <si>
    <t>mg/L</t>
  </si>
  <si>
    <t>High bound (most chlorine, most potent); the chloride-pool cap keeps it below the kill threshold in UdG</t>
  </si>
  <si>
    <t>anodic charge to metal dissolution</t>
  </si>
  <si>
    <t>corr_I_frac</t>
  </si>
  <si>
    <t>-</t>
  </si>
  <si>
    <t>DATA GAP - fraction of anodic charge going to electrode metal dissolution; measure (the green anode points to Cu/Ni ammine)</t>
  </si>
  <si>
    <t>leached-metal molar mass</t>
  </si>
  <si>
    <t>metal_MW</t>
  </si>
  <si>
    <t>g/mol</t>
  </si>
  <si>
    <t>Cu molar mass, representative leached transition metal</t>
  </si>
  <si>
    <t>electrons per metal ion</t>
  </si>
  <si>
    <t>metal_z</t>
  </si>
  <si>
    <t>e-/ion</t>
  </si>
  <si>
    <t>Electrons per dissolved divalent metal ion</t>
  </si>
  <si>
    <t>dissolved-metal leach rate</t>
  </si>
  <si>
    <t>metal_leach_rate</t>
  </si>
  <si>
    <t>mg/L/h</t>
  </si>
  <si>
    <t>Dissolved-metal accumulation rate; #N/A until corr_I_frac is measured</t>
  </si>
  <si>
    <t>metal toxicity threshold</t>
  </si>
  <si>
    <t>metal_tox_thresh</t>
  </si>
  <si>
    <t>mg/L</t>
  </si>
  <si>
    <t>Order-of-magnitude bactericidal Cu/Ni concentration for gram-negatives (literature)</t>
  </si>
  <si>
    <t>electrode-corrosion verdict</t>
  </si>
  <si>
    <t>metal_flag</t>
  </si>
  <si>
    <t>-</t>
  </si>
  <si>
    <t>Verdict pointer: the unmodelled prime suspect for the Exp-2 death</t>
  </si>
  <si>
    <t>Electrolysis power</t>
  </si>
  <si>
    <t>LED channel D %, the AEP-Plugin 'electrolysis_power' setting (runtime-clamped 0–10 %); drives the electrolysis current via Gerrit's Law.</t>
  </si>
  <si>
    <t>ELECTROLYSIS &amp; CURRENT DENSITY</t>
  </si>
  <si>
    <t>Electrolysis current</t>
  </si>
  <si>
    <t>Cell current at the set Electrolysis power (Gerrit's Law).</t>
  </si>
  <si>
    <t>Anode current density</t>
  </si>
  <si>
    <t>mA/cm²</t>
  </si>
  <si>
    <t>Current per unit submerged anode area (shape-aware).</t>
  </si>
  <si>
    <t>Current density status (now)</t>
  </si>
  <si>
    <t>Green = at/below the strain optimum; amber = above optimum; red = over the strain ceiling or the electrode's rating.</t>
  </si>
  <si>
    <t>Max Electrolysis power</t>
  </si>
  <si>
    <t>AEP-Plugin runtime clamp: electrolysis_power ≤ 10 %.</t>
  </si>
  <si>
    <t>Max electrolysis current</t>
  </si>
  <si>
    <t>Highest cell current you can set (at max power).</t>
  </si>
  <si>
    <t>Max anode current density</t>
  </si>
  <si>
    <t>Anode current density at max power.</t>
  </si>
  <si>
    <t>Current density status (at max power)</t>
  </si>
  <si>
    <t>Whether the highest current you can set stays within the strain and electrode limits.</t>
  </si>
  <si>
    <t>anode shape</t>
  </si>
  <si>
    <t>anode j cont (mA/cm²)</t>
  </si>
  <si>
    <t>anode j max (mA/cm²)</t>
  </si>
  <si>
    <t>cathode shape</t>
  </si>
  <si>
    <t>material note</t>
  </si>
  <si>
    <t>rod</t>
  </si>
  <si>
    <t>Pt/Ti O₂-evolution; cells bind before the coating.</t>
  </si>
  <si>
    <t>IrO₂-Ta₂O₅ O₂-selective; derates vs chloride.</t>
  </si>
  <si>
    <t>tube</t>
  </si>
  <si>
    <t>Tubular MMO CP rating ~100 A/m²; binds near the cell limit.</t>
  </si>
  <si>
    <t>Graphite rod</t>
  </si>
  <si>
    <t>Graphite</t>
  </si>
  <si>
    <t>Consumable; ~35 mA/cm² erosion, unsuitable for sustained neutral O₂; testing only.</t>
  </si>
  <si>
    <t>CURRENT DENSITY, WETTED AREA &amp; LIMITS</t>
  </si>
  <si>
    <t>Anode shape (from electrode)</t>
  </si>
  <si>
    <t>anode_shape</t>
  </si>
  <si>
    <t>Rod counts its end face; a tube does not.</t>
  </si>
  <si>
    <t>Anode diameter (from electrode)</t>
  </si>
  <si>
    <t>anode_dia</t>
  </si>
  <si>
    <t>Electrode table.</t>
  </si>
  <si>
    <t>Cathode shape (from electrode)</t>
  </si>
  <si>
    <t>cathode_shape</t>
  </si>
  <si>
    <t>Rod/tube; sets the end-face term.</t>
  </si>
  <si>
    <t>Cathode diameter (from electrode)</t>
  </si>
  <si>
    <t>cathode_dia</t>
  </si>
  <si>
    <t>(import) Submerged electrode length</t>
  </si>
  <si>
    <t>L_sub</t>
  </si>
  <si>
    <t>A_anode_wet</t>
  </si>
  <si>
    <t>Lateral π·d·L (+ end face for a rod). mm²→cm².</t>
  </si>
  <si>
    <t>Cathode wetted area</t>
  </si>
  <si>
    <t>A_cath_wet</t>
  </si>
  <si>
    <t>Same, cathode.</t>
  </si>
  <si>
    <t>j_anode</t>
  </si>
  <si>
    <t>I / anode wetted area.</t>
  </si>
  <si>
    <t>Cathode current density</t>
  </si>
  <si>
    <t>j_cathode</t>
  </si>
  <si>
    <t>I / cathode wetted area.</t>
  </si>
  <si>
    <t>Anode plating limit — continuous</t>
  </si>
  <si>
    <t>anode_j_cont</t>
  </si>
  <si>
    <t>Coating continuous rating (electrode table).</t>
  </si>
  <si>
    <t>Anode plating limit — maximum</t>
  </si>
  <si>
    <t>anode_j_max</t>
  </si>
  <si>
    <t>Coating maximum (electrode table).</t>
  </si>
  <si>
    <t>Cathode (SS) HER limit — continuous</t>
  </si>
  <si>
    <t>cath_j_cont</t>
  </si>
  <si>
    <t>Stainless-steel HER ~25–80 mA/cm² continuous.</t>
  </si>
  <si>
    <t>Cathode (SS) HER limit — maximum</t>
  </si>
  <si>
    <t>cath_j_max</t>
  </si>
  <si>
    <t>Stainless-steel HER ~250 mA/cm² lab max.</t>
  </si>
  <si>
    <t>Fallback optimum j (unlisted strain)</t>
  </si>
  <si>
    <t>j_opt_default</t>
  </si>
  <si>
    <t>Conservative fallback for an unlisted organism.</t>
  </si>
  <si>
    <t>Fallback ceiling j (unlisted strain)</t>
  </si>
  <si>
    <t>j_ceiling_default</t>
  </si>
  <si>
    <t>Conservative fallback ceiling.</t>
  </si>
  <si>
    <t>Strain optimum current density</t>
  </si>
  <si>
    <t>j_opt_strain</t>
  </si>
  <si>
    <t>Strain table below; fallback if unlisted.</t>
  </si>
  <si>
    <t>Strain tolerated ceiling</t>
  </si>
  <si>
    <t>j_ceiling_strain</t>
  </si>
  <si>
    <t>Inhibition above this.</t>
  </si>
  <si>
    <t>Strain data confidence</t>
  </si>
  <si>
    <t>j_strain_conf</t>
  </si>
  <si>
    <t>low/unknown → provisional; run the screen.</t>
  </si>
  <si>
    <t>Current density vs strain</t>
  </si>
  <si>
    <t>j_bio_flag</t>
  </si>
  <si>
    <t>Green ≤ optimum, amber ≤ ceiling, red above.</t>
  </si>
  <si>
    <t>Current density vs anode plating</t>
  </si>
  <si>
    <t>j_mat_flag</t>
  </si>
  <si>
    <t>Anode coating limit; graphite always ≥ amber.</t>
  </si>
  <si>
    <t>Cathode current density vs SS norm</t>
  </si>
  <si>
    <t>j_cath_flag</t>
  </si>
  <si>
    <t>SS cathode HER check.</t>
  </si>
  <si>
    <t>CURRENT DENSITY STATUS (worst of above)</t>
  </si>
  <si>
    <t>j_flag</t>
  </si>
  <si>
    <t>Worst of strain, plating and cathode.</t>
  </si>
  <si>
    <t>Anode material (from electrode)</t>
  </si>
  <si>
    <t>anode_material</t>
  </si>
  <si>
    <t>Electrode table; drives the graphite warning.</t>
  </si>
  <si>
    <t>STRAIN CURRENT-DENSITY TOLERANCE (mA/cm²) — keyed on organism; see current-density-screen.md</t>
  </si>
  <si>
    <t>Strain / organism</t>
  </si>
  <si>
    <t>j_opt</t>
  </si>
  <si>
    <t>j_ceiling</t>
  </si>
  <si>
    <t>confidence</t>
  </si>
  <si>
    <t>Inferred analogue (Zhang 2020; Bause 2018 biofilm 0.5). Run screen.</t>
  </si>
  <si>
    <t>No strain-specific j; mixed-HOB analogue. Run screen.</t>
  </si>
  <si>
    <t>No strain-specific j; genus-mate of necator. Run screen.</t>
  </si>
  <si>
    <t>Zhang 2020 (JCP 263:121596) + Pous 2022 (BiTE 18:101010); undivided cell.</t>
  </si>
  <si>
    <t>MAXIMUM-POWER CURRENT (AEP-Plugin clamp)</t>
  </si>
  <si>
    <t>Max electrolysis power</t>
  </si>
  <si>
    <t>power_max</t>
  </si>
  <si>
    <t>AEP-Plugin runtime clamp: electrolysis_power ≤ 10 % (MAX_ELECTROLYSIS_POWER).</t>
  </si>
  <si>
    <t>I_max</t>
  </si>
  <si>
    <t>Gerrit's Law at the power clamp.</t>
  </si>
  <si>
    <t>j_anode_max</t>
  </si>
  <si>
    <t>Status at max power</t>
  </si>
  <si>
    <t>j_flag_max</t>
  </si>
  <si>
    <t>Worst of strain ceiling and plating at max power.</t>
  </si>
  <si>
    <t>Computed from the shape-aware wetted area (Electrochemistry A_anode_wet); tracks reactor &amp; electrode.</t>
  </si>
  <si>
    <t>CALIBRATIONS</t>
  </si>
  <si>
    <t>Fill the white cells only: Researcher, Date, the key (Reactor or Organism) and the raw measurements. Grey cells are computed automatically. Set Include to y for rows the model should use.</t>
  </si>
  <si>
    <t>The value in use for each calibration follows the rule stated under its heading. If no rows are included yet, the model falls back to its built-in default.</t>
  </si>
  <si>
    <t>Value in use: least-squares fit of current vs intensity, averaged across all included runs for the active reactor.</t>
  </si>
  <si>
    <t>Researcher</t>
  </si>
  <si>
    <t>Date</t>
  </si>
  <si>
    <t>Intensity</t>
  </si>
  <si>
    <t>Current</t>
  </si>
  <si>
    <t>Type (auto)</t>
  </si>
  <si>
    <t>Include?</t>
  </si>
  <si>
    <t>Notes</t>
  </si>
  <si>
    <t>Value in use - slope</t>
  </si>
  <si>
    <t>Value in use - intercept</t>
  </si>
  <si>
    <t>Charge Q</t>
  </si>
  <si>
    <t>Gas volume</t>
  </si>
  <si>
    <t>Temp</t>
  </si>
  <si>
    <t>Pressure</t>
  </si>
  <si>
    <t>etaF (computed)</t>
  </si>
  <si>
    <t>Value in use - cathode (H2)</t>
  </si>
  <si>
    <t>Value in use - anode (O2)</t>
  </si>
  <si>
    <t>Value in use: average of the included kLa runs for the active reactor.</t>
  </si>
  <si>
    <t>kLa</t>
  </si>
  <si>
    <t>Value in use - kLa</t>
  </si>
  <si>
    <t>CO2 volume</t>
  </si>
  <si>
    <t>Time</t>
  </si>
  <si>
    <t>Flow (computed)</t>
  </si>
  <si>
    <t>Value in use - flow rate</t>
  </si>
  <si>
    <t>mL/s</t>
  </si>
  <si>
    <t>Value in use: average across included vials of the active reactor type (all vials of a type are nominally identical, so averaging improves the estimate).</t>
  </si>
  <si>
    <t>Headspace mass</t>
  </si>
  <si>
    <t>Body mass</t>
  </si>
  <si>
    <t>V total (computed)</t>
  </si>
  <si>
    <t>Bore depth (computed)</t>
  </si>
  <si>
    <t>Value in use - total vial volume</t>
  </si>
  <si>
    <t>Value in use - usable depth</t>
  </si>
  <si>
    <t>Value in use: the most recent included measurement for the active reactor (the fitted frit is hardware, so the latest reading replaces older ones).</t>
  </si>
  <si>
    <t>Bubble-point</t>
  </si>
  <si>
    <t>Grade (computed)</t>
  </si>
  <si>
    <t>Value in use - porosity grade</t>
  </si>
  <si>
    <t>Value in use: average of the included values for the active organism.</t>
  </si>
  <si>
    <t>Min DO</t>
  </si>
  <si>
    <t>Optimum DO</t>
  </si>
  <si>
    <t>Impairment DO</t>
  </si>
  <si>
    <t>Toxic DO</t>
  </si>
  <si>
    <t>Value in use - minimum DO</t>
  </si>
  <si>
    <t>Value in use - optimum DO</t>
  </si>
  <si>
    <t>Value in use - impairment DO</t>
  </si>
  <si>
    <t>Value in use - toxic DO</t>
  </si>
  <si>
    <t>Value in use: average of the included ratios for the active organism.</t>
  </si>
  <si>
    <t>H2</t>
  </si>
  <si>
    <t>O2</t>
  </si>
  <si>
    <t>CO2</t>
  </si>
  <si>
    <t>Value in use - H2</t>
  </si>
  <si>
    <t>parts</t>
  </si>
  <si>
    <t>Value in use - O2</t>
  </si>
  <si>
    <t>Value in use - CO2</t>
  </si>
  <si>
    <t>Value in use: average of the included screen results for the active organism.</t>
  </si>
  <si>
    <t>j optimum</t>
  </si>
  <si>
    <t>j ceiling</t>
  </si>
  <si>
    <t>Value in use - optimum j</t>
  </si>
  <si>
    <t>Value in use - ceiling j</t>
  </si>
  <si>
    <t>Naïve FE=1 ceiling: the whole chloride inventory converted to free chlorine, times the HOCl fraction at the operating pH. Superseded by the steady free chlorine HOCl_ss (D139); it ignores both the chloride mass-transport cap and the ammonium demand.</t>
  </si>
  <si>
    <t>Active-chlorine current efficiency on the high-chloride plateau (approaches ~1 above ~50 mM Cl⁻; Vos &amp; Koper, JACS 140:10270 / JEAC 819:260). 0.5 is a mid-plateau value and is NOT the operative limit here — at trace Cl⁻ the chloride mass-transport limit (D132) binds.</t>
  </si>
  <si>
    <t>Electrode centre-to-centre gap</t>
  </si>
  <si>
    <t>elec_gap</t>
  </si>
  <si>
    <t>DATA GAP — measure across the cap ports with calipers. 14 mm is the mid-range for two 6 mm rods in a 25.3 mm bore. The solution resistance goes as acosh(gap/rod_d), so this sets the ohmic term in the cell-voltage budget (Electrochemistry).</t>
  </si>
  <si>
    <t>Electrode submerged length (at the achieved level)</t>
  </si>
  <si>
    <t>elec_sub_L_act</t>
  </si>
  <si>
    <t>Submerged length at the ACHIEVED liquid level (D42), not the bare datum (D35, which exists for displacement bookkeeping). This is what sets the wetted area and hence current density.</t>
  </si>
  <si>
    <t>Target DO fraction (optimum ÷ inhibition ceiling)</t>
  </si>
  <si>
    <t>DO_frac_target</t>
  </si>
  <si>
    <t>Hold dissolved O₂ at or below this fraction of the inhibition ceiling. Taken from the selected organism's own measured band when there is one; otherwise the fallback below.</t>
  </si>
  <si>
    <t xml:space="preserve">  fallback when the organism band is unmeasured</t>
  </si>
  <si>
    <t>DO_frac_fallback</t>
  </si>
  <si>
    <t>From the van ʼt Hoff-corrected Ka_NH4 (D18) so the sheet cannot hold two different ammonium pKa values at once. Only free NH₃ reacts with HOCl; at pH 7 about 0.6% of the ammonium pool is free NH₃, so the sink is finite and a steady residual coexists.</t>
  </si>
  <si>
    <t>SOLUTION CONDUCTIVITY (Kohlrausch sum from the recipe — feeds the ohmic drop)</t>
  </si>
  <si>
    <t>Limiting molar conductivity — Na⁺</t>
  </si>
  <si>
    <t>lam_Na</t>
  </si>
  <si>
    <t>S·cm²/mol</t>
  </si>
  <si>
    <t>CRC Handbook, Vanýsek "Ionic conductivity and diffusion at infinite dilution" (25 °C). Consistent with the tabulated diffusion coefficient through λ° = z²F²D/RT.</t>
  </si>
  <si>
    <t>Limiting molar conductivity — K⁺</t>
  </si>
  <si>
    <t>lam_K</t>
  </si>
  <si>
    <t>Limiting molar conductivity — NH₄⁺</t>
  </si>
  <si>
    <t>lam_NH4</t>
  </si>
  <si>
    <t>Limiting molar conductivity — Mg²⁺ (per mol)</t>
  </si>
  <si>
    <t>lam_Mg</t>
  </si>
  <si>
    <t>Limiting molar conductivity — Ca²⁺ (per mol)</t>
  </si>
  <si>
    <t>lam_Ca</t>
  </si>
  <si>
    <t>Limiting molar conductivity — H₂PO₄⁻</t>
  </si>
  <si>
    <t>lam_H2PO4</t>
  </si>
  <si>
    <t>Limiting molar conductivity — HPO₄²⁻ (per mol)</t>
  </si>
  <si>
    <t>lam_HPO4</t>
  </si>
  <si>
    <t>Limiting molar conductivity — SO₄²⁻ (per mol)</t>
  </si>
  <si>
    <t>lam_SO4</t>
  </si>
  <si>
    <t>Limiting molar conductivity — HCO₃⁻</t>
  </si>
  <si>
    <t>lam_HCO3</t>
  </si>
  <si>
    <t>Limiting molar conductivity — Cl⁻</t>
  </si>
  <si>
    <t>lam_Cl</t>
  </si>
  <si>
    <t>Kohlrausch sum — MC02</t>
  </si>
  <si>
    <t>kappa0_mc02</t>
  </si>
  <si>
    <t>S/m</t>
  </si>
  <si>
    <t>Σ cᵢλᵢ over the as-weighed salts (mol/L × S·cm²/mol ÷ 10 → S/m). Phosphate is taken at its as-weighed protonation state, which is what the recipe fixes.</t>
  </si>
  <si>
    <t>Kohlrausch sum — UdG</t>
  </si>
  <si>
    <t>kappa0_udg</t>
  </si>
  <si>
    <t>As for MC02, over the UdG recipe.</t>
  </si>
  <si>
    <t>Finite-ionic-strength factor</t>
  </si>
  <si>
    <t>kappa_fI</t>
  </si>
  <si>
    <t>Λ/Λ° at I ≈ 0.1 M. Anchored on the 0.1 M KCl standard (12.88 mS/cm measured vs 14.98 predicted → 0.86 for a 1:1 salt); 2:1 and 1:2 salts run 0.70–0.75, and this medium is dominated by HPO₄²⁻/SO₄²⁻ with Na⁺, giving 0.76–0.80. ±15%. The Debye–Hückel–Onsager √c law is not valid at this strength; PHREEQC would make it citable rather than empirical.</t>
  </si>
  <si>
    <t>Conductivity temperature coefficient</t>
  </si>
  <si>
    <t>kappa_TC</t>
  </si>
  <si>
    <t>1/K</t>
  </si>
  <si>
    <t>+2.0 %/K near 25 °C (bracket 1.9–2.2), the standard value behind ISO 7888 conductivity-meter compensation. Over 25→30 °C this is +10% in κ — larger than any thermodynamic temperature effect in this sheet.</t>
  </si>
  <si>
    <t>Solution conductivity at reactor T</t>
  </si>
  <si>
    <t>kappa_med</t>
  </si>
  <si>
    <t>Kohlrausch sum × finite-strength factor × temperature correction. Feeds the ohmic term of the cell-voltage budget (Electrochemistry).</t>
  </si>
  <si>
    <t>IONIC STRENGTH &amp; ACTIVITY COEFFICIENTS (Davies) — the pH solve runs on these</t>
  </si>
  <si>
    <t>Ionic strength — MC02</t>
  </si>
  <si>
    <t>I_mc02</t>
  </si>
  <si>
    <t>I = ½Σcᵢzᵢ² over the as-weighed salts, phosphate at its recipe protonation state. Varies less than 10% across the pH solve range, so it is evaluated once rather than per grid row.</t>
  </si>
  <si>
    <t>Ionic strength — UdG</t>
  </si>
  <si>
    <t>I_udg</t>
  </si>
  <si>
    <t>(sel) ionic strength</t>
  </si>
  <si>
    <t>I_ionic</t>
  </si>
  <si>
    <t>Debye–Hückel A at reactor T</t>
  </si>
  <si>
    <t>A_DH</t>
  </si>
  <si>
    <t>A = 1.82×10⁶(εT)^-1.5 with the dielectric constant of water scaled as ε(T) = 78.54·(298.15/T)^1.368. Gives 0.509 at 25 °C, the standard value.</t>
  </si>
  <si>
    <t>Activity coefficient γ1 (Davies)</t>
  </si>
  <si>
    <t>gamma_1</t>
  </si>
  <si>
    <t>Davies extension of Debye–Hückel: log γ = −A z²(√I/(1+√I) − 0.3 I). Usable to about I = 0.5 M; at I ≈ 0.11 it is the standard choice for a buffer calculation.</t>
  </si>
  <si>
    <t>Activity coefficient γ2 (Davies)</t>
  </si>
  <si>
    <t>gamma_2</t>
  </si>
  <si>
    <t>Activity coefficient γ3 (Davies)</t>
  </si>
  <si>
    <t>gamma_3</t>
  </si>
  <si>
    <t>Carbonate Ka1 — concentration scale</t>
  </si>
  <si>
    <t>Ka1c_c</t>
  </si>
  <si>
    <t>Thermodynamic constant converted to the concentration scale the charge balance actually solves on. CO₂(aq) → H⁺ + HCO₃⁻: neutral acid, so K_c = K/γ₁².</t>
  </si>
  <si>
    <t>Carbonate Ka2 — concentration scale</t>
  </si>
  <si>
    <t>Ka2c_c</t>
  </si>
  <si>
    <t>Thermodynamic constant converted to the concentration scale the charge balance actually solves on. HCO₃⁻ → H⁺ + CO₃²⁻: K_c = K/γ₂.</t>
  </si>
  <si>
    <t>Phosphate Ka1 — concentration scale</t>
  </si>
  <si>
    <t>Ka1p_c</t>
  </si>
  <si>
    <t>Thermodynamic constant converted to the concentration scale the charge balance actually solves on. H₃PO₄ → H⁺ + H₂PO₄⁻: K_c = K/γ₁².</t>
  </si>
  <si>
    <t>Phosphate Ka2 — concentration scale</t>
  </si>
  <si>
    <t>Ka2p_c</t>
  </si>
  <si>
    <t>Thermodynamic constant converted to the concentration scale the charge balance actually solves on. H₂PO₄⁻ → H⁺ + HPO₄²⁻: K_c = K/γ₂. This is the one that matters — it moves pKa2 from 7.20 to about 6.76, the familiar "phosphate buffer is 6.8 at physiological ionic strength".</t>
  </si>
  <si>
    <t>Phosphate Ka3 — concentration scale</t>
  </si>
  <si>
    <t>Ka3p_c</t>
  </si>
  <si>
    <t>Thermodynamic constant converted to the concentration scale the charge balance actually solves on. HPO₄²⁻ → H⁺ + PO₄³⁻: K_c = K·γ₂/(γ₁γ₃).</t>
  </si>
  <si>
    <t>Water Kw — concentration scale</t>
  </si>
  <si>
    <t>Kw_c</t>
  </si>
  <si>
    <t>Thermodynamic constant converted to the concentration scale the charge balance actually solves on. K_c = Kw/γ₁².</t>
  </si>
  <si>
    <t>Hypochlorous Ka — concentration scale</t>
  </si>
  <si>
    <t>KaHOCl_c</t>
  </si>
  <si>
    <t>Thermodynamic constant converted to the concentration scale the charge balance actually solves on. HOCl → H⁺ + OCl⁻: neutral acid, K_c = K/γ₁².</t>
  </si>
  <si>
    <t>Ammonium Ka — concentration scale</t>
  </si>
  <si>
    <t>KaN_c</t>
  </si>
  <si>
    <t>NH₄⁺ → NH₃ + H⁺ carries the same charge on both sides of the ratio, so the activity coefficients cancel exactly and no correction applies.</t>
  </si>
  <si>
    <t>ELECTRODE POTENTIALS AT THE OPERATING pH (which reactions are accessible)</t>
  </si>
  <si>
    <t>Nernst slope at reactor T</t>
  </si>
  <si>
    <t>nernst_slope</t>
  </si>
  <si>
    <t>V/pH</t>
  </si>
  <si>
    <t>(RT/F)·ln10 — 0.0592 V per pH unit at 25 °C.</t>
  </si>
  <si>
    <t>Standard potential — O₂ + 4H⁺ + 4e⁻ → 2H₂O</t>
  </si>
  <si>
    <t>E0_OER</t>
  </si>
  <si>
    <t>V vs SHE</t>
  </si>
  <si>
    <t>CRC Handbook §5 electrochemical series (Vanýsek), after Bard, Parsons &amp; Jordan 1985. ±0.001 V. dE°/dT = −0.85 mV/K, so ≤4 mV over 25→30 °C — negligible beside the overpotentials.</t>
  </si>
  <si>
    <t>Standard potential — 2H⁺ + 2e⁻ → H₂</t>
  </si>
  <si>
    <t>E0_HER</t>
  </si>
  <si>
    <t>Defined as zero at every temperature (the SHE convention), not a measurement.</t>
  </si>
  <si>
    <t>Standard potential — Cl₂ + 2e⁻ → 2Cl⁻</t>
  </si>
  <si>
    <t>E0_Cl2</t>
  </si>
  <si>
    <t>CRC Handbook §5. ±0.001 V.</t>
  </si>
  <si>
    <t>Standard potential — O₂ + 2H⁺ + 2e⁻ → H₂O₂</t>
  </si>
  <si>
    <t>E0_ORR2</t>
  </si>
  <si>
    <t>CRC Handbook §5. ±0.003 V. The parasitic cathode branch.</t>
  </si>
  <si>
    <t>Standard potential — Cu²⁺ + 2e⁻ → Cu</t>
  </si>
  <si>
    <t>E0_Cu</t>
  </si>
  <si>
    <t>O₂/H₂O potential at operating pH</t>
  </si>
  <si>
    <t>E_OER</t>
  </si>
  <si>
    <t>The potential the anode must at least reach to evolve O₂. Falls 59 mV per pH unit.</t>
  </si>
  <si>
    <t>H⁺/H₂ potential at operating pH</t>
  </si>
  <si>
    <t>E_HER</t>
  </si>
  <si>
    <t>The potential the cathode must at least reach to evolve H₂.</t>
  </si>
  <si>
    <t>E_Cl2</t>
  </si>
  <si>
    <t>Nernst on the chloride activity: E = E° + (RT/F)·ln10·pCl. pH-independent, so at trace chloride it sits far above the O₂ line.</t>
  </si>
  <si>
    <t>E_Cl_margin</t>
  </si>
  <si>
    <t>V</t>
  </si>
  <si>
    <t>O₂/H₂O₂ potential at operating pH</t>
  </si>
  <si>
    <t>E_ORR2</t>
  </si>
  <si>
    <t>The 2-electron oxygen-reduction branch available at the cathode. It sits well above the HER potential, which is why the cathode reduces dissolved O₂ in preference to making H₂ — the faradaic loss quantified on the Electrochemistry sheet.</t>
  </si>
  <si>
    <t>Copper dissolution headroom at the anode</t>
  </si>
  <si>
    <t>E_Cu_margin</t>
  </si>
  <si>
    <t>An anode polarised to evolve oxygen sits this far above the Cu²⁺/Cu equilibrium, so copper dissolution is thermodynamically allowed wherever copper is exposed. Supports the electrode-corrosion suspicion in D163; it does not by itself set a rate.</t>
  </si>
  <si>
    <t>BUFFER CAPACITY AT THE ELECTRODE SURFACE (does the local pH hold?)</t>
  </si>
  <si>
    <t>Diffusion coefficient — HPO₄²⁻</t>
  </si>
  <si>
    <t>D_HPO4</t>
  </si>
  <si>
    <t>CRC tabulated ionic diffusion coefficient at 25 °C (0.759×10⁻⁵ cm²/s).</t>
  </si>
  <si>
    <t>delta_diff</t>
  </si>
  <si>
    <t>Buffer-limited current density</t>
  </si>
  <si>
    <t>j_buffer_lim</t>
  </si>
  <si>
    <t>(import) anode current density</t>
  </si>
  <si>
    <t>j_anode_c</t>
  </si>
  <si>
    <t>→ Electrochemistry (j_anode)</t>
  </si>
  <si>
    <t>Operating : buffer-limited current</t>
  </si>
  <si>
    <t>j_buffer_ratio</t>
  </si>
  <si>
    <t>Below 1 the phosphate buffer holds the electrode surface at the bulk pH; at 1 the surface excursion runs away. Shinagawa &amp; Takanabe (2019) note that genuinely suppressing the gradient wants roughly 0.5 M phosphate — this medium has 37 mM.</t>
  </si>
  <si>
    <t>Local-pH verdict</t>
  </si>
  <si>
    <t>buffer_flag</t>
  </si>
  <si>
    <t>Anode acidifies, cathode alkalinises, symmetrically. The excursion also pushes the anode off the phosphate-saturated regime that makes neutral-pH OER kinetically cheap (Surendranath, Kanan &amp; Nocera 2010), so the two effects compound.</t>
  </si>
  <si>
    <t>Measured (activity-scale) pH</t>
  </si>
  <si>
    <t>pH_meas</t>
  </si>
  <si>
    <t>What a glass electrode reads. The charge balance solves on concentrations, so its root is a concentration-scale pH; a probe measures hydrogen-ion ACTIVITY. The two differ by −log γ₁ (about +0.11 at this ionic strength). Every pH comparison in the sheet uses this cell.</t>
  </si>
  <si>
    <t>(import) dissolved-O₂ ceiling</t>
  </si>
  <si>
    <t>ec_O2_ceil</t>
  </si>
  <si>
    <t>→ Biology (O2_ceil_C)</t>
  </si>
  <si>
    <t>(import) O₂ diffusivity at reactor T</t>
  </si>
  <si>
    <t>ec_D_O2</t>
  </si>
  <si>
    <t>→ Mass Transfer (D_O2)</t>
  </si>
  <si>
    <t>ec_V_L</t>
  </si>
  <si>
    <t>Electrode mass-transfer coefficient — O₂</t>
  </si>
  <si>
    <t>km_O2</t>
  </si>
  <si>
    <t>Eisenberg, Tobias &amp; Wilke 1954 (JES 101:306): Sh = 0.0791·Re^0.7·Sc^0.356 for a cylinder in axial swirl. At an assumed 20 cm/s swirl past a 6 mm rod this gives 3.7e-3 cm/s; bracket 2–6e-3 for 10–40 cm/s. The swirl velocity past a STATIONARY rod is the weak link — Sh goes as u^0.7, so a 4× velocity error is a 2.6× error here. One ferricyanide limiting-current run in the same vial at the same rpm would replace this estimate outright.</t>
  </si>
  <si>
    <t>Diffusivity exponent for k_m scaling</t>
  </si>
  <si>
    <t>km_exp</t>
  </si>
  <si>
    <t>k_m ∝ D^(1−0.356) from the Eisenberg correlation. (A rotating disc would give D^(2/3); a stagnant film D^1.)</t>
  </si>
  <si>
    <t>ec_DO_design</t>
  </si>
  <si>
    <t>Cathodic O₂ current at the design DO</t>
  </si>
  <si>
    <t>i_ORR_design</t>
  </si>
  <si>
    <t>Cathodic O₂ current at the ceiling DO</t>
  </si>
  <si>
    <t>i_ORR_ceiling</t>
  </si>
  <si>
    <t>The same flux if dissolved O₂ ever reached the inhibition ceiling — the worst case for the faradaic split.</t>
  </si>
  <si>
    <t>Cathodic faradaic efficiency (calculated)</t>
  </si>
  <si>
    <t>etaF_calc</t>
  </si>
  <si>
    <t xml:space="preserve">  same, at the ceiling DO (worst case)</t>
  </si>
  <si>
    <t>etaF_calc_min</t>
  </si>
  <si>
    <t>Lower bound on the cathodic efficiency if DO ran up to the inhibition ceiling.</t>
  </si>
  <si>
    <t>HYDROGEN PEROXIDE — the 2-electron branch of that O₂ reduction</t>
  </si>
  <si>
    <t>Peroxide selectivity of the O₂ reduction</t>
  </si>
  <si>
    <t>f_HOOH</t>
  </si>
  <si>
    <t>10–20% of the O₂ reduced on stainless in neutral solution leaves as H₂O₂ rather than water (Le Bozec et al. 2001, RRDE on 316L/904L; prereduced surfaces favour the 4e⁻ route, polished ones run mixed). 0.15 is the midpoint. Nobody has published a defensible j₀/Tafel pair for ORR on steel — the surface is a potential-history-dependent Cr/Fe oxide — so this is bounded by transport above and by selectivity here.</t>
  </si>
  <si>
    <t>Peroxide molar mass</t>
  </si>
  <si>
    <t>M_H2O2</t>
  </si>
  <si>
    <t>H₂O₂, IUPAC atomic weights.</t>
  </si>
  <si>
    <t>Peroxide production rate</t>
  </si>
  <si>
    <t>r_H2O2</t>
  </si>
  <si>
    <t>Catalase clearance rate (growing culture)</t>
  </si>
  <si>
    <t>k_cat_cells</t>
  </si>
  <si>
    <t>First-order whole-culture peroxide clearance at ~1e8 cells/mL, from the measured half-lives (21 s at OD 1.0, 3.5 min at OD 0.1; Uhl &amp; Dukan 2016, PLoS ONE 11:e0159706) — t½ ≈ 3 min here. Catalase is far below saturation at µM peroxide (Km is tens of mM), so first order is the right form. Scales with cell density: at inoculation it is effectively zero.</t>
  </si>
  <si>
    <t>Steady peroxide, growing culture</t>
  </si>
  <si>
    <t>H2O2_ss</t>
  </si>
  <si>
    <t>Production ÷ catalase clearance. The bulk Fenton route is not modelled: the medium's 0.18 mM Fe(II) would consume peroxide within a second, but it is a one-shot 6 mg/L capacity that is itself oxidised away in 5–20 min, and bulk hydroxyl radicals are scavenged by bicarbonate within ~0.2 µm, far short of a cell. The damage route that matters is intracellular.</t>
  </si>
  <si>
    <t>Peroxide after 1 h with no biomass (lag)</t>
  </si>
  <si>
    <t>H2O2_lag_1h</t>
  </si>
  <si>
    <t>Peroxide growth-inhibition threshold</t>
  </si>
  <si>
    <t>H2O2_thresh</t>
  </si>
  <si>
    <t>5 µM sustained extracellular H₂O₂ measurably slows growth (doubling time 63 → 94 min); E. coli K-12 in glucose minimal medium, chemostatted rather than bolus exposure — the same shape as an electrode source. Li &amp; Imlay 2018, Free Radic Biol Med 120:217. Killing is a different regime entirely, 1–2 mM. No H₂O₂ dose-response exists for C. necator, Hydrogenophaga or Xanthobacter; this is the E. coli number, used as the closest available.</t>
  </si>
  <si>
    <t>Time to that threshold during lag</t>
  </si>
  <si>
    <t>t_H2O2_thresh</t>
  </si>
  <si>
    <t>Peroxide verdict</t>
  </si>
  <si>
    <t>H2O2_flag</t>
  </si>
  <si>
    <t>Two regimes: a growing culture clears peroxide in minutes, an inoculating one does not. Precedent for the failure mode: Torella 2015 (PNAS 112:2337) and Liu 2016 (Science 352:1210) ran this exact architecture and had to change cathode material because reactive oxygen and metal leaching poisoned the culture.</t>
  </si>
  <si>
    <t>ANODIC CHARGE BUDGET</t>
  </si>
  <si>
    <t>(import) chlorine current</t>
  </si>
  <si>
    <t>ec_I_Cl</t>
  </si>
  <si>
    <t>→ Chemistry (I_Cl, chloride-mass-transport limited)</t>
  </si>
  <si>
    <t>(import) metal-dissolution charge fraction</t>
  </si>
  <si>
    <t>ec_corr_I</t>
  </si>
  <si>
    <t>→ Chemistry (corr_I_frac; a DATA GAP until measured)</t>
  </si>
  <si>
    <t>Chlorine share of the anodic current</t>
  </si>
  <si>
    <t>f_Cl_anode</t>
  </si>
  <si>
    <t>Anodic faradaic efficiency (calculated)</t>
  </si>
  <si>
    <t>etaF_OER_calc</t>
  </si>
  <si>
    <t>CELL VOLTAGE BUDGET — is the drive capable, and what is the anode doing?</t>
  </si>
  <si>
    <t>(import) reversible water-splitting voltage</t>
  </si>
  <si>
    <t>ec_E_rev</t>
  </si>
  <si>
    <t>E_OER − E_HER = E°(O₂/H₂O), pH-independent because both half-reactions shift by the same 59 mV per pH unit. → Chemistry (E0_OER)</t>
  </si>
  <si>
    <t>Tafel slope — anode (OER on Pt/Ti)</t>
  </si>
  <si>
    <t>b_anode</t>
  </si>
  <si>
    <t>V/decade</t>
  </si>
  <si>
    <t>110–120 mV/dec for OER on platinum (Damjanovic, Dey &amp; Bockris 1966). In a phosphate buffer the slope collapses toward 60 mV/dec because phosphate acts as the proton acceptor (Surendranath, Kanan &amp; Nocera 2010, JACS 132:16501) — that effect is carried separately as the buffer credit below, because the clean Pt-in-phosphate electrokinetics have never been published.</t>
  </si>
  <si>
    <t>Exchange current density — anode</t>
  </si>
  <si>
    <t>j0_anode</t>
  </si>
  <si>
    <t>A/cm²</t>
  </si>
  <si>
    <t>OER on Pt: published j₀ spans 1e-9 to 1e-11 A/cm², because Pt at OER potentials is a hydrous oxide and j₀ is an extrapolation across five decades through a potential-dependent film. That spread alone is ±0.12 V on the voltage below — one of the two dominant uncertainties in this block. Fit it from your own polarisation curve rather than trusting this.</t>
  </si>
  <si>
    <t>Tafel slope — cathode (HER on stainless)</t>
  </si>
  <si>
    <t>b_cath</t>
  </si>
  <si>
    <t>130–150 mV/dec for HER on 304/316 stainless at pH 7.5 (van Ede &amp; Angst 2024, Corros Eng Sci Technol). At neutral pH the proton flux is negligible, so HER runs by direct water reduction with H₂PO₄⁻ as the supplementary donor.</t>
  </si>
  <si>
    <t>Exchange current density — cathode</t>
  </si>
  <si>
    <t>j0_cath</t>
  </si>
  <si>
    <t>1–2e-6 A/cm² for HER on stainless in buffered pH 7.5 (van Ede &amp; Angst 2024). Acidic-media values run a decade higher, so the neutral figure is the conservative one.</t>
  </si>
  <si>
    <t>Anodic overpotential</t>
  </si>
  <si>
    <t>eta_anode</t>
  </si>
  <si>
    <t>Tafel: η = b·log₁₀(j/j₀), with j in A/cm².</t>
  </si>
  <si>
    <t>Cathodic overpotential</t>
  </si>
  <si>
    <t>eta_cath</t>
  </si>
  <si>
    <t>As above, at the cathode.</t>
  </si>
  <si>
    <t>Phosphate-buffer credit at the anode</t>
  </si>
  <si>
    <t>pcet_credit</t>
  </si>
  <si>
    <t>(import) solution conductivity</t>
  </si>
  <si>
    <t>ec_kappa</t>
  </si>
  <si>
    <t>→ Chemistry (kappa_med)</t>
  </si>
  <si>
    <t>(import) electrode gap</t>
  </si>
  <si>
    <t>ec_gap</t>
  </si>
  <si>
    <t>→ Geometry (elec_gap; a DATA GAP until measured)</t>
  </si>
  <si>
    <t>Cell-constant multiplier</t>
  </si>
  <si>
    <t>k_geom</t>
  </si>
  <si>
    <t>Solution resistance</t>
  </si>
  <si>
    <t>R_cell</t>
  </si>
  <si>
    <t>Ω</t>
  </si>
  <si>
    <t>Two parallel cylinders: R = acosh(d/2r)/(π·κ·L), with d the centre-to-centre gap, r the rod radius and L the submerged length.</t>
  </si>
  <si>
    <t>Ohmic drop</t>
  </si>
  <si>
    <t>V_IR</t>
  </si>
  <si>
    <t>I·R across the electrolyte. Comparable in size to both overpotentials combined, so it cannot be left out of the budget.</t>
  </si>
  <si>
    <t>Estimated cell voltage</t>
  </si>
  <si>
    <t>V_cell_est</t>
  </si>
  <si>
    <t>Thermodynamic minimum + both overpotentials + buffer credit + ohmic drop. TESTABLE: measure the voltage across the electrodes at a known setpoint and compare. A large disagreement localises to whichever term is weakest — most likely j₀ at the anode or the cell constant.</t>
  </si>
  <si>
    <t>Drive rail</t>
  </si>
  <si>
    <t>V_rail</t>
  </si>
  <si>
    <t>The Pioreactor LED channel supply. Above it the constant-current drive cannot hold the setpoint, which is the documented reason Gerrit's Law is only validated to 25%.</t>
  </si>
  <si>
    <t>Voltage headroom</t>
  </si>
  <si>
    <t>V_headroom</t>
  </si>
  <si>
    <t>What is left before the drive saturates.</t>
  </si>
  <si>
    <t>Cell-voltage verdict</t>
  </si>
  <si>
    <t>V_flag</t>
  </si>
  <si>
    <t>Surface tension — intercept</t>
  </si>
  <si>
    <t>sigma_0</t>
  </si>
  <si>
    <t>σ(T) = σ₀ + σ_k·T(°C), a linear fit to IAPWS R1-76(2014) over 15–40 °C (within 0.2% of the full formulation across that span).</t>
  </si>
  <si>
    <t>Surface tension — slope</t>
  </si>
  <si>
    <t>sigma_k</t>
  </si>
  <si>
    <t>N/m/K</t>
  </si>
  <si>
    <t>As above.</t>
  </si>
  <si>
    <t>Liquid density — intercept</t>
  </si>
  <si>
    <t>rho_0</t>
  </si>
  <si>
    <t>ρ(T) = ρ₀ + ρ_k·T(°C), linear fit to IAPWS-95 over 15–40 °C (within 0.15 kg/m³).</t>
  </si>
  <si>
    <t>Liquid density — slope</t>
  </si>
  <si>
    <t>rho_k</t>
  </si>
  <si>
    <t>kg/m³/K</t>
  </si>
  <si>
    <t>O₂ diffusivity fit — a</t>
  </si>
  <si>
    <t>HB_a</t>
  </si>
  <si>
    <t>O₂ diffusivity fit — b</t>
  </si>
  <si>
    <t>HB_b</t>
  </si>
  <si>
    <t>O₂ diffusivity fit — c</t>
  </si>
  <si>
    <t>HB_c</t>
  </si>
  <si>
    <t>CO₂ diffusivity at 25 °C</t>
  </si>
  <si>
    <t>D_CO2_ref</t>
  </si>
  <si>
    <t>Tamimi, Rinker &amp; Sandall 1994 / Cussler, CO₂ in water at 25 °C.</t>
  </si>
  <si>
    <t>CO₂ diffusion activation energy</t>
  </si>
  <si>
    <t>Ea_D_CO2</t>
  </si>
  <si>
    <t>J/mol</t>
  </si>
  <si>
    <t>Arrhenius temperature dependence of CO₂ diffusion in water, ~19 kJ/mol — equivalent to the Stokes–Einstein T/µ scaling over this narrow range.</t>
  </si>
  <si>
    <t>IAPWS-95, evaluated at the reactor temperature.</t>
  </si>
  <si>
    <t>CO₂ diffusivity at the reactor temperature, Arrhenius-scaled from the 25 °C datum.</t>
  </si>
  <si>
    <t>CO₂ delivery rate at full flow</t>
  </si>
  <si>
    <t>CO2_rate_full</t>
  </si>
  <si>
    <t>The sparge line at 100% duty. Multiplied by the duty cycle it gives the CO₂ actually delivered, which is what dilutes oxygen out of the headspace.</t>
  </si>
  <si>
    <t>Target dissolved O₂</t>
  </si>
  <si>
    <t>DO_target</t>
  </si>
  <si>
    <t>DO excess needed to drive the surface flux</t>
  </si>
  <si>
    <t>DO_surf_excess</t>
  </si>
  <si>
    <t xml:space="preserve">  same, on the lag-phase source</t>
  </si>
  <si>
    <t>DO_surf_excess_lag</t>
  </si>
  <si>
    <t>Headspace O₂ allowance</t>
  </si>
  <si>
    <t>hs_O2_allow</t>
  </si>
  <si>
    <t>What is left of the DO budget for the headspace to be in equilibrium with. If this goes negative the surface path alone cannot carry the oxygen flux at the target DO, and NO sparge interval fixes it — the remedies are more surface transfer, less current, or a higher target.</t>
  </si>
  <si>
    <t>Headspace O₂ mole fraction allowed</t>
  </si>
  <si>
    <t>y_O2_star</t>
  </si>
  <si>
    <t>Henry's law inverted: the headspace O₂ fraction whose equilibrium dissolved O₂ equals the allowance above.</t>
  </si>
  <si>
    <t>Duty needed to hold that fraction</t>
  </si>
  <si>
    <t>duty_DO</t>
  </si>
  <si>
    <t>DO-limited sparge interval</t>
  </si>
  <si>
    <t>spg_int_DO</t>
  </si>
  <si>
    <t>The longest interval that still dilutes headspace oxygen enough to hold the target DO. ANSWER-grade: this is normally the binding constraint on the schedule.</t>
  </si>
  <si>
    <t>Surface kLa required at the target DO</t>
  </si>
  <si>
    <t>kLa_surf_req</t>
  </si>
  <si>
    <t>Headspace O₂ fraction at the schedule in use</t>
  </si>
  <si>
    <t>y_O2_actual</t>
  </si>
  <si>
    <t>Dissolved O₂ floor set by the headspace</t>
  </si>
  <si>
    <t>DO_hs_floor</t>
  </si>
  <si>
    <t>The surface kL below which the DO target cannot be met at any sparge interval. Measured kL_surf must exceed this. See protocols/surface-kla.md — this is the measurement the whole DO strategy rests on.</t>
  </si>
  <si>
    <t>Which constraint binds: headspace-oxygen dilution or carbon supply. The pH consequence of the winner is carried through the CO₂ limit cycle to the Chemistry sheet — a short oxygen-driven interval delivers far more CO₂ than the carbon demand and pushes pH down.</t>
  </si>
  <si>
    <t>(import) Henry solubility CO₂ at T</t>
  </si>
  <si>
    <t>hs_H_CO2</t>
  </si>
  <si>
    <t>→ Biology (H_CO2_T)</t>
  </si>
  <si>
    <t>Headspace CO₂ capacity as liquid-equivalent volume</t>
  </si>
  <si>
    <t>Vg_CO2</t>
  </si>
  <si>
    <t>The liquid volume that would hold the same CO₂ as the headspace at Henry equilibrium: V_hs/(H·R·T). Puts both compartments on one scale so the inventory can be conserved.</t>
  </si>
  <si>
    <t>Liquid share of the CO₂ pool</t>
  </si>
  <si>
    <t>pool_a</t>
  </si>
  <si>
    <t>pool_b</t>
  </si>
  <si>
    <t>Pool decay rate through the vent</t>
  </si>
  <si>
    <t>k_eff_CO2</t>
  </si>
  <si>
    <t>Quasi-equilibrium validity ratio</t>
  </si>
  <si>
    <t>pool_beta_ratio</t>
  </si>
  <si>
    <t>Decay factor over the gap</t>
  </si>
  <si>
    <t>pool_e</t>
  </si>
  <si>
    <t>exp(−k_eff·t_gap).</t>
  </si>
  <si>
    <t>Dissolved CO₂ at the start of a pulse</t>
  </si>
  <si>
    <t>C_cycle_start</t>
  </si>
  <si>
    <t>Dissolved CO₂ just after a pulse</t>
  </si>
  <si>
    <t>C_cycle_peak</t>
  </si>
  <si>
    <t>Cycle-average dissolved CO₂</t>
  </si>
  <si>
    <t>CO2_cyc_avg_new</t>
  </si>
  <si>
    <t>Bounded steady dissolved CO₂ from the mass-conserving limit cycle above; Chemistry D5 reads this. Bounds are air equilibrium below and pure-CO₂ saturation above.</t>
  </si>
  <si>
    <t>Reversible voltage + both overpotentials + ohmic drop. Measure across the electrodes to test it.</t>
  </si>
  <si>
    <t>Whether the 5 V drive rail can deliver the set current.</t>
  </si>
  <si>
    <t>H₂O₂ from the 2-electron branch of cathodic O₂ reduction, against the growth-inhibition threshold, in both the growing and the lag phase.</t>
  </si>
  <si>
    <t>Electrode-surface pH verdict</t>
  </si>
  <si>
    <t>Whether the phosphate buffer holds the electrode surfaces at the bulk pH at this current density.</t>
  </si>
  <si>
    <t>What a probe reads: the charge balance solves on concentrations, a glass electrode reads activity.</t>
  </si>
  <si>
    <t>Surface kLa required for the DO target</t>
  </si>
  <si>
    <t>pH SOLVE GRID  (charge residual vs trial pH; root = operating pH). Constants are on the CONCENTRATION scale (activity-corrected, rows 186-194) because the balance is written in concentrations.</t>
  </si>
  <si>
    <t>Root of the charge-balance grid, on the concentration scale. A pH probe reads hydrogen-ion ACTIVITY, so the comparable number is pH_meas (D220) — about 0.11 higher at this ionic strength. Every downstream pH comparison uses pH_meas.</t>
  </si>
  <si>
    <t>HOB optimum 6.5–7.5 (Pous / Rovira-Alsina), compared against the activity-scale pH a probe would read. A short oxygen-driven sparge interval delivers far more CO₂ than the carbon demand, so this flag is the counterweight to the DO-limited interval on Mass Transfer.</t>
  </si>
  <si>
    <t>HOCl molar mass</t>
  </si>
  <si>
    <t>M_HOCl</t>
  </si>
  <si>
    <t>mg/mol</t>
  </si>
  <si>
    <t>52.46 g/mol. Free chlorine is reported here as HOCl mass. Water-industry practice reports it as Cl₂ (70.906 g/mol), so a literature threshold quoted "as Cl₂" is 1.35× a number on this basis — see the conversion below.</t>
  </si>
  <si>
    <t>Cl₂ molar mass</t>
  </si>
  <si>
    <t>M_Cl2</t>
  </si>
  <si>
    <t>70.906 g/mol.</t>
  </si>
  <si>
    <t>Breakpoint chlorine demand per N</t>
  </si>
  <si>
    <t>cl_per_N</t>
  </si>
  <si>
    <t>mg Cl₂/mg N</t>
  </si>
  <si>
    <t>Stoichiometric breakpoint demand, 70.906/14.007 = 5.06 mg Cl₂ per mg ammonium-N. Note this ratio is definitionally on a Cl₂ basis while the production terms it is compared against are on an HOCl basis.</t>
  </si>
  <si>
    <t>Nitrogen molar mass</t>
  </si>
  <si>
    <t>MW_N</t>
  </si>
  <si>
    <t>14.007 g/mol.</t>
  </si>
  <si>
    <t>Effective biocidal chlorine, as Cl₂</t>
  </si>
  <si>
    <t>C_eff_Cl2</t>
  </si>
  <si>
    <t>C_eff converted to the mass basis free-chlorine thresholds are conventionally quoted on. The onset and kill thresholds (D146/D147) come from that literature, so this is the like-for-like comparison — it is 1.35× the HOCl-basis number.</t>
  </si>
  <si>
    <t>Assumed to be 1 minus the chlorine share; any anodic metal dissolution comes straight off it, and the corrosion suspicion on Chemistry D163 needs exactly this number.</t>
  </si>
  <si>
    <t>Measure the electrode mass-transfer coefficient</t>
  </si>
  <si>
    <t>One ferricyanide limiting-current run in the same vial at the same rpm replaces the assumed swirl velocity behind k_m — which sets the cathodic O₂ loss, the peroxide source, the chlorine cap and the electrode-surface pH verdict.</t>
  </si>
  <si>
    <t>Measure the electrode centre-to-centre gap</t>
  </si>
  <si>
    <t>Calipers across the cap ports. Sets the ohmic term in the cell-voltage budget, which is the largest single term after the overpotentials.</t>
  </si>
  <si>
    <t>Measure the cell voltage at a known setpoint</t>
  </si>
  <si>
    <t>Assay dissolved metals in spent medium</t>
  </si>
  <si>
    <t>WATER VAPOUR (gas collected over water is saturated)</t>
  </si>
  <si>
    <t>Magnus coefficient A</t>
  </si>
  <si>
    <t>pw_A</t>
  </si>
  <si>
    <t>p_sat = A·exp(B·T/(T+C)) with T in °C — the Magnus–Tetens form (Alduchov &amp; Eskridge 1996), accurate to 0.4% over 0–50 °C.</t>
  </si>
  <si>
    <t>Magnus coefficient B</t>
  </si>
  <si>
    <t>pw_B</t>
  </si>
  <si>
    <t>Magnus coefficient C</t>
  </si>
  <si>
    <t>pw_C</t>
  </si>
  <si>
    <t>Saturated water vapour pressure at reactor T</t>
  </si>
  <si>
    <t>p_sat_w</t>
  </si>
  <si>
    <t>Value in use: average of the included runs for the active reactor, taken separately for the H2 (cathode) and O2 (anode) electrodes. The gas volume is corrected for saturated water vapour at the temperature you record, per protocols/faradaic-efficiency.md.</t>
  </si>
  <si>
    <t>What §11 actually uses: the measured surface kLa if one has been entered on the Calibrations tab (in 1/h), otherwise the penetration-theory estimate. The ISNUMBER test matters — an empty calibration returns a message, and in Excel text sorts above every number, so a bare "&gt;0" test would have accepted it.</t>
  </si>
  <si>
    <t>Anode material and sparger. Choose from the list (Electrochemistry A35:A38). Dropdown.</t>
  </si>
  <si>
    <t>res_spg_dur</t>
  </si>
  <si>
    <t>CO₂ sparge duration (as run)</t>
  </si>
  <si>
    <t>res_spg_dur_run</t>
  </si>
  <si>
    <t>Pulse to type in: the optimum rounded to the solenoid command resolution (Mass Transfer D241–D242). An override in G13 wins.</t>
  </si>
  <si>
    <t>res_spg_int</t>
  </si>
  <si>
    <t>Time between doses: the shorter of the carbon-limited interval and the headspace-O₂-dilution interval (binding constraint on Mass Transfer D94), sized on the phase in D112 under the vent model in D111. Credits surface O₂ stripping via the kL_surf estimate; measuring kL_surf refines it.</t>
  </si>
  <si>
    <t>CO₂ sparge interval (as run)</t>
  </si>
  <si>
    <t>res_spg_int_run</t>
  </si>
  <si>
    <t>chk_geom</t>
  </si>
  <si>
    <t>Red until the vial headspace is measured (vial-geometry.md); while red, the pulse above is provisional (~4x uncertain). After the headspace runs it reads HEADSPACE MEASURED until the body volume is measured too.</t>
  </si>
  <si>
    <t>chk_cal</t>
  </si>
  <si>
    <t>Red = no CO₂-flow calibration for this reactor (neither an included run in the Calibrations tab CO₂ flow section nor a CO2 flows row); results read 'calibrate first' (flow-calibration.md). Green names the source in use.</t>
  </si>
  <si>
    <t>O₂ within the organism band (mean vs optimum, peak vs impairment)?</t>
  </si>
  <si>
    <t>chk_DO_opt</t>
  </si>
  <si>
    <t>Rule (owner decision, option a): the cycle-MEAN dissolved O₂ is tested against the organism optimum — the schedule is sized on the mean, and the optimum is a time-averaged quantity — and the sawtooth PEAK (just before a pulse, sizing phase) against the impairment threshold. With the band unmeasured, the peak is tested against the inhibition ceiling. Not a tautology: the peak is not what the schedule is sized on.</t>
  </si>
  <si>
    <t>chk_DO_min</t>
  </si>
  <si>
    <t>Can the interval relax to the carbon-limited one?</t>
  </si>
  <si>
    <t>chk_relax</t>
  </si>
  <si>
    <t>Green only if CO₂ dosed for carbon alone would still hold dissolved O₂ at the target; otherwise it states the DO the longer interval would give.</t>
  </si>
  <si>
    <t>H₂ headspace flammable?</t>
  </si>
  <si>
    <t>chk_H2</t>
  </si>
  <si>
    <t>Lag-phase headspace (electrolysis on, no H₂ uptake) at its worst point, just before each pulse, against the H₂ flammability limit and the O₂ limiting concentration; the text names the remedy (Biology D92).</t>
  </si>
  <si>
    <t>chk_bubble</t>
  </si>
  <si>
    <t>chk_CO2_supply</t>
  </si>
  <si>
    <t>Ratio of CO₂ delivered to carbon demand (should be ≥ 1), with the absorbed ratio beside it (row 135): delivered counts gas the pulse expels unabsorbed, absorbed does not.</t>
  </si>
  <si>
    <t>chk_pulse_floor</t>
  </si>
  <si>
    <t>The optimal pulse must exceed the shortest reliable sparge (Calibrations tab CO₂-flow Min pulse, else CO2 flows column I, else the default on Mass Transfer D396).</t>
  </si>
  <si>
    <t>chk_od_window</t>
  </si>
  <si>
    <t>chk_carryover</t>
  </si>
  <si>
    <t>Pulse flow against the measured no-carryover maximum for this reactor (CO2 flows column M). Reads "not measured" (amber) until one is recorded; the superficial-velocity rule of thumb is row 136.</t>
  </si>
  <si>
    <t>chk_tip</t>
  </si>
  <si>
    <t>chk_media_vol</t>
  </si>
  <si>
    <t>chk_level</t>
  </si>
  <si>
    <t>chk_led_law</t>
  </si>
  <si>
    <t>chk_DO_data</t>
  </si>
  <si>
    <t>Cycle-average pH (activity scale, as a probe reads)</t>
  </si>
  <si>
    <t>res_pH</t>
  </si>
  <si>
    <t>pH at the cycle-average dissolved CO₂ of the schedule in use, on the activity scale a probe reads; the trough just after a pulse is lower. Colour: green inside the HOB band (Chemistry pH_band_lo–pH_band_hi), red outside pH_red_lo–pH_red_hi (Chemistry D299–D300), amber between; thresholds in rows 138–141.</t>
  </si>
  <si>
    <t>res_Cl2</t>
  </si>
  <si>
    <t>Effective biocidal chlorine from the medium’s chloride, as Cl₂ (the basis of the thresholds). Colour: green below the onset (Chemistry Cl_onset, 0.1 mg/L), amber up to the kill threshold (Cl_kill, 2 mg/L), red above it; thresholds in rows 142–143. Zero for chloride-free media.</t>
  </si>
  <si>
    <t>Cycle-mean DO (sawtooth, sizing phase)</t>
  </si>
  <si>
    <t>res_DO_ss</t>
  </si>
  <si>
    <t>Time-mean dissolved O₂ of the sawtooth model at the schedule in use, on the sizing phase; near the target by construction when O₂ dilution binds. Both phases, mean and peak: rows 114–117.</t>
  </si>
  <si>
    <t>Carbon-limited sparge interval</t>
  </si>
  <si>
    <t>res_spg_int_carbon</t>
  </si>
  <si>
    <t>Interval set by CO₂ supply alone. The schedule uses it only when it is shorter than the O₂-dilution interval.</t>
  </si>
  <si>
    <t>res_tip_speed</t>
  </si>
  <si>
    <t>Carbon margin at the cycle trough</t>
  </si>
  <si>
    <t>res_carbon_margin</t>
  </si>
  <si>
    <t>Dissolved CO₂ at the lowest point of the dosing cycle vs RuBisCO Km (was the in-sparge saturation peak, which a sub-second pulse never reaches); large = ample carbon. Complements the supply:demand ratio (D26).</t>
  </si>
  <si>
    <t>res_I_mA</t>
  </si>
  <si>
    <t>res_j_anode</t>
  </si>
  <si>
    <t>res_j_status</t>
  </si>
  <si>
    <t>res_power_max</t>
  </si>
  <si>
    <t>res_I_max</t>
  </si>
  <si>
    <t>res_j_anode_max</t>
  </si>
  <si>
    <t>res_j_status_max</t>
  </si>
  <si>
    <t>Sets how far dissolved O₂ must sit above the headspace to shed the surplus, and the feasibility margin behind the whole DO strategy (kLa in use ÷ kLa required). It moves the answer continuously.</t>
  </si>
  <si>
    <t>Sets the headspace volume: the pulse moves slightly more than 1:1 with it (one headspace volume per pulse, less the fixed V₀; Mass Transfer D90) and the interval through the flush; also the liquid charge. Water-fill.</t>
  </si>
  <si>
    <t>Calculated from the cathodic O₂ flux, but the calculation rests on an estimated electrode mass-transfer coefficient. Measuring it settles the H₂/O₂ split and the peroxide source at once.</t>
  </si>
  <si>
    <t>Enters every Henry solubility and gas-volume conversion through P_atm (blank = 101 325 Pa), including the O₂ ceiling the DO target is a fraction of; small near sea level, larger at altitude.</t>
  </si>
  <si>
    <t>The voltage budget is a testable prediction (about 2.8 V of a 5 V rail at 3 %, 3.5 V at 10 %). A multimeter reading across the electrodes discriminates the cell-constant choice (k_geom 1 vs 2: 2.85 vs 3.26 V at 3 %) and, with the 25 % point, bounds the j₀ errors.</t>
  </si>
  <si>
    <t>Cu/Ni/Fe by ICP or a colorimetric kit. The operating anode sits well above the Cu²⁺/Cu equilibrium (row 88), so dissolution is thermodynamically allowed; this is the unmodelled prime suspect for the Exp-2 death and it also closes the anodic charge budget.</t>
  </si>
  <si>
    <t>ELECTROCHEMISTRY – CALCULATED (hand these to an electrochemist)</t>
  </si>
  <si>
    <t>res_etaF</t>
  </si>
  <si>
    <t>Fraction of cathode current making H₂ rather than reducing dissolved O₂.</t>
  </si>
  <si>
    <t>res_V_cell</t>
  </si>
  <si>
    <t>res_V_flag</t>
  </si>
  <si>
    <t>res_H2O2_flag</t>
  </si>
  <si>
    <t>res_buffer_flag</t>
  </si>
  <si>
    <t>HOCl/Cl⁻ couple minus anode potential</t>
  </si>
  <si>
    <t>res_E_Cl_margin</t>
  </si>
  <si>
    <t>Negative = the anode is above the chloride-oxidation couple: chlorine forms, limited by chloride transport (Chemistry D132).</t>
  </si>
  <si>
    <t>res_E_Cu_margin</t>
  </si>
  <si>
    <t>How far the operating anode sits above the Cu²⁺/Cu standard potential; positive = copper dissolution thermodynamically allowed.</t>
  </si>
  <si>
    <t>res_pH_probe</t>
  </si>
  <si>
    <t>res_kLa_req</t>
  </si>
  <si>
    <t>Below this, no sparge interval holds the target dissolved O₂ on the sizing phase. Per hour, the unit you measure in and the Calibrations tab takes (D46). Both phases and their margins: rows 120–123.</t>
  </si>
  <si>
    <t>AS-RUN SCHEDULE CHECK</t>
  </si>
  <si>
    <t>As-run duty ÷ optimised duty</t>
  </si>
  <si>
    <t>Duty of the schedule as typed in (rows 14 and 16) against the optimised duty; 1 = rounding has not moved the CO₂ dose, pH or DO. Should sit within a few per cent.</t>
  </si>
  <si>
    <t>HEADSPACE MODEL — owner decisions (dropdowns) and both-phase dissolved O₂</t>
  </si>
  <si>
    <t>Vent model</t>
  </si>
  <si>
    <t>vent_model_sel</t>
  </si>
  <si>
    <t>Open vent</t>
  </si>
  <si>
    <t>"Outflow only" = check valve or sealed cap that holds a vacuum (no air ever enters). "Open vent" = a plain needle or tube with no forced flow (air is drawn back after each pulse; Q_backdraw, Mass Transfer D385, an estimate). "Air exchange" = measured bidirectional exchange at Q_vent (Mass Transfer D142). Unsure → Open vent. Anything else → #N/A throughout. The choice moves the interval and the lag DO materially; the pH much less.</t>
  </si>
  <si>
    <t>O₂ sizing phase</t>
  </si>
  <si>
    <t>O2_phase_sel</t>
  </si>
  <si>
    <t>Growth</t>
  </si>
  <si>
    <t>"Growth" sizes the sparge interval on the O₂ surplus after knallgas uptake; "Lag" on the whole net electrolytic O₂ plus H₂ (no uptake yet). Anything else → #N/A. Both phases are reported below whichever is chosen. If the chosen phase's DO target is unreachable (rows 120–121), the schedule falls back to the legacy O₂ flush guard (Mass Transfer D89), which is not derived from the headspace balance and does not respond to the vent model.</t>
  </si>
  <si>
    <t>Vent air ingress in use</t>
  </si>
  <si>
    <t>0 for "Outflow only"; Q_backdraw (Mass Transfer D385, an estimate) for "Open vent"; the measured Q_vent (D142) for "Air exchange". The single number that reconciles the O₂, CO₂ and flammability blocks — measure it.</t>
  </si>
  <si>
    <t>Cycle-mean DO — growth phase</t>
  </si>
  <si>
    <t>Time-mean dissolved O₂ at the schedule in use with the growth-phase O₂ surplus (sawtooth model).</t>
  </si>
  <si>
    <t>Peak DO — growth phase</t>
  </si>
  <si>
    <t>Dissolved O₂ just before a pulse, growth phase. Compare with the organism band and the ceiling.</t>
  </si>
  <si>
    <t>Cycle-mean DO — lag phase</t>
  </si>
  <si>
    <t>Same schedule, no uptake yet: the whole net electrolytic O₂ crosses the surface. Expect this from inoculation until growth is established, and in every abiotic run.</t>
  </si>
  <si>
    <t>Peak DO — lag phase</t>
  </si>
  <si>
    <t>Lag-phase sawtooth peak; the discriminating prediction for an abiotic DO trace (R2 experiment 2).</t>
  </si>
  <si>
    <t>Peak DO under the inhibition ceiling? — growth</t>
  </si>
  <si>
    <t>Red = the growth-phase sawtooth peaks above the 0.30 atm growth-inhibition ceiling.</t>
  </si>
  <si>
    <t>Peak DO under the inhibition ceiling? — lag</t>
  </si>
  <si>
    <t>Red = the lag-phase peak breaches the ceiling at this schedule; the culture would then be inhibited before it starts.</t>
  </si>
  <si>
    <t>DO target reachable? — growth</t>
  </si>
  <si>
    <t>Surface kLa in use ÷ kLa required on the growth source. Below 1× no interval holds the target.</t>
  </si>
  <si>
    <t>DO target reachable? — lag</t>
  </si>
  <si>
    <t>Surface kLa required — growth</t>
  </si>
  <si>
    <t>Per hour: compare with your measured kLa (Calibrations D46, 1/h); the estimate in use is Mass Transfer D98 (1/s × 3600).</t>
  </si>
  <si>
    <t>Surface kLa required — lag</t>
  </si>
  <si>
    <t>Headspace O₂ fraction (flux-mean; the headspace swings around it) — growth</t>
  </si>
  <si>
    <t>Flux-mean O₂ in the vent gas at the schedule in use, growth phase.</t>
  </si>
  <si>
    <t>Headspace O₂ fraction (mean-field) — lag</t>
  </si>
  <si>
    <t>Lag phase; with the H₂ fraction below it, the flammability basis of row 24.</t>
  </si>
  <si>
    <t>Headspace H₂ fraction (mean-field) — lag</t>
  </si>
  <si>
    <t>Lag-phase H₂ in the headspace (LFL 4 %). Growth is zero only by the 100 % uptake assumption.</t>
  </si>
  <si>
    <t>Headspace CO₂ fraction (mean-field, sizing phase)</t>
  </si>
  <si>
    <t>What the vent model implies for the CO₂ the pH rests on: ~97 % for "Outflow only", lower when air enters ("Open vent", "Air exchange"). The pool model (Mass Transfer D200) should agree within the sawtooth.</t>
  </si>
  <si>
    <t>DO target and pH band met together at the schedule in use?</t>
  </si>
  <si>
    <t>The vent model couples the two: when O₂ dilution binds, CO₂ is doing the O₂ dilution, so the DO-limited interval sets the pH (the text says which constraint binds). Tests both band edges (rows 139–140). Red means the two targets conflict under the vent model in use — decouple them (inert sweep) or measure the vent before trusting either. Amber "watch" = an override in G13/G15 is in use: the DO and pH shown are those of the typed schedule, and no claim is made that it holds the DO target. #N/A = a selector in D111/D112 is not a listed value.</t>
  </si>
  <si>
    <t>Headspace sag per cycle if the vent held a vacuum</t>
  </si>
  <si>
    <t>Upper bound on the per-cycle pressure deficit (fraction of 1 atm) that the "Outflow only" model implies at the schedule in use; 0.05 = 5 %.</t>
  </si>
  <si>
    <t>Outflow-only headspace physically plausible?</t>
  </si>
  <si>
    <t>"HEADSPACE SAGS" = the check-valve model needs more vacuum than a real cap holds: switch D111 to Open vent or Air exchange. n/a when the vent model already admits air.</t>
  </si>
  <si>
    <t>CO₂ absorbed per pulse : carbon demand (dissolved, not delivered)</t>
  </si>
  <si>
    <t>res_CO2_uptake</t>
  </si>
  <si>
    <t>Shown beside D26: CO₂ the liquid takes up after each pulse (incl. bicarbonate), per hour, over fixation. Informative, not pass/fail: below 1 the culture also draws on headspace CO₂ between pulses. Carbon sufficiency is row 41.</t>
  </si>
  <si>
    <t>Carryover — superficial-velocity rule of thumb (secondary)</t>
  </si>
  <si>
    <t>chk_carry_usg</t>
  </si>
  <si>
    <t>Secondary to row 29: gas velocity against the provisional 50 mm/s entrainment rule of thumb. It cannot fail at bench flows; row 29 tests the measured limit.</t>
  </si>
  <si>
    <t>COLOUR THRESHOLDS (the conditional formatting on D35 and D36 reads these cells)</t>
  </si>
  <si>
    <t>pH red below</t>
  </si>
  <si>
    <t>cf_pH_red_lo</t>
  </si>
  <si>
    <t>pH</t>
  </si>
  <si>
    <t>Same-sheet copy so the conditional-format rule can reference it by a Summary-local name.</t>
  </si>
  <si>
    <t>pH amber below (band floor)</t>
  </si>
  <si>
    <t>cf_pH_lo</t>
  </si>
  <si>
    <t>pH amber above (band ceiling)</t>
  </si>
  <si>
    <t>cf_pH_hi</t>
  </si>
  <si>
    <t>pH red above</t>
  </si>
  <si>
    <t>cf_pH_red_hi</t>
  </si>
  <si>
    <t>Chlorine amber above (onset)</t>
  </si>
  <si>
    <t>cf_Cl_onset</t>
  </si>
  <si>
    <t>Chlorine red above (kill)</t>
  </si>
  <si>
    <t>cf_Cl_kill</t>
  </si>
  <si>
    <t>Measured when the Calibrations vial-geometry runs exist for this reactor type (headspace at the measured working fill, shifted by any difference between that fill and V_charge); otherwise total vial volume − liquid charged − inserts.</t>
  </si>
  <si>
    <t>Fires INCONSISTENT for the 20 mL vial because the bare cylinder (A_x x usable depth ~28 mL) overestimates the true 20 mL vial (it tapers/necks, not a full cylinder to 55 mm). Expected tolerance artefact, not a data error - resolved by measuring true bore depth (protocols/vial-geometry.md).</t>
  </si>
  <si>
    <t>ELECTRODE GEOMETRY FOR THE OHMIC DROP</t>
  </si>
  <si>
    <t>CONSISTENCY-CHECK TOLERANCE</t>
  </si>
  <si>
    <t>Vial volume consistency tolerance</t>
  </si>
  <si>
    <t>geom_tol_mL</t>
  </si>
  <si>
    <t>Design assumption: allowed gap between the bare-cylinder volume (A_x × D_int) and the total vial volume.</t>
  </si>
  <si>
    <t>Cathodic H₂ faradaic efficiency: a measured value from the Calibrations tab if there is one, otherwise CALCULATED (D88, etaF_calc) from the cathodic O₂ reduction competing for the current. Neutral-pH HER on stainless peaks near 97% before that competition is counted, so the calculated value remains an upper bound.</t>
  </si>
  <si>
    <t>Anodic O₂ faradaic efficiency: measured if available, otherwise CALCULATED (etaF_OER_calc) as 1 − the chlorine share − the metal-dissolution share − the anodic H₂-oxidation share. UdG contains chloride, so the chlorine current is modelled explicitly (D101). The faradaic-efficiency screen measures the sum of cathodic ORR and anodic HOR losses.</t>
  </si>
  <si>
    <t>Electrons per O₂ on the peroxide branch (cathode)</t>
  </si>
  <si>
    <t>Electrode lookup: 2 e⁻ per O₂ on the peroxide branch (SS cathode, neutral pH) for every current electrode. The current drawn per O₂ is the weighted n_ORR_eff (D141), not this value.</t>
  </si>
  <si>
    <t>Moles of O₂ reduced: the non-H₂ cathodic current (1−etaF) divided by n_ORR_eff·F. Equals the transport-limited O₂ flux when etaF is calculated; stays consistent if a measured etaF is in use. 0 at etaF = 1.</t>
  </si>
  <si>
    <t>Anodic O₂ minus cathodic consumption at the design DO (D85) — the O₂ the dissolved pool receives in growth. The lag phase uses O2_net_lag (D132), the loss at the lag DO.</t>
  </si>
  <si>
    <t>z_e_ORR = 2 is the peroxide branch only; the current per O₂ is n_ORR_eff (D141, 2 and 4 e⁻ weighted by f_HOOH). etaF unmeasured — both live here per electrode.</t>
  </si>
  <si>
    <t>Submerged length at the achieved liquid level (Geometry D93), not the bare datum (Geometry D35), which would overstate the wetted area by about 6.5% and understate every current density by the same factor.</t>
  </si>
  <si>
    <t>CALCULATED FARADAIC SPLIT – the cathode competes with dissolved O₂</t>
  </si>
  <si>
    <t>Reactor liquid volume (V_charge in litres)</t>
  </si>
  <si>
    <t>V_charge (D153, mL) / 1000 → L</t>
  </si>
  <si>
    <t>(import) Design DO for the cathodic O₂ flux (= the DO target)</t>
  </si>
  <si>
    <t>→ Mass Transfer (DO_target, D179): the dissolved O₂ the schedule is designed to hold — the organism optimum once one is entered, otherwise the target fraction of the inhibition ceiling. The growth-phase cathodic O₂ reduction is evaluated here rather than at the modelled steady DO, which would make the sheet circular (DO depends on the net O₂, which depends on this loss). The lag phase uses DO_lag_ref (D129).</t>
  </si>
  <si>
    <t>i = n_ORR_eff·F·k_m·C·A, the O₂ mass-transport limit at the cathode charged at the effective electron count (D141). Current that does NOT make hydrogen, and it consumes dissolved O₂. Le Bozec 2001 (Corros Sci 43:765) show ORR on 316L in neutral solution running mixed 2e⁻/4e⁻ and limited by the passive film as much as by transport, so this is an upper bound on the loss.</t>
  </si>
  <si>
    <t>1 − (cathodic O₂ current)/(applied current). Neutral-pH HER on stainless also has its own kinetic losses; this accounts only for the O₂ that competes for the current.</t>
  </si>
  <si>
    <t>Peroxide-branch share of the moles of O₂ reduced (f_HOOH × D28 flux), so it follows a measured etaF too. One H₂O₂ per O₂ on that branch. This source runs whenever there is current and dissolved O₂.</t>
  </si>
  <si>
    <t>No catalase pool at inoculation: peroxide accumulates at the lag-phase rate (D152) against the anodic sink (D151), approaching the plateau r/k. This is the exposed window.</t>
  </si>
  <si>
    <t>Time for an un-inoculated or just-inoculated vessel to pass the growth-inhibition threshold, with the anodic sink. #N/A = the plateau r/k never reaches the threshold.</t>
  </si>
  <si>
    <t>Chlorine evolution as a fraction of the applied current, at the chloride mass-transport limit (2 e⁻ per net chloride, Chemistry D132). The anode sits above the HOCl/Cl⁻ couple (Chemistry D209), so chlorine is accessible and transport-limited; the share is small only because UdG chloride is trace.</t>
  </si>
  <si>
    <t>1 − chlorine share − metal-dissolution share − anodic H₂-oxidation share (f_HOR_anode, D145). It remains an UPPER BOUND while those charges are unmeasured: a corroding anode, or one oxidising crossed-over H₂ (ceiling ~22 %, D148), takes current that this cell still credits to oxygen.</t>
  </si>
  <si>
    <t>Neutral-pH OER in ≥30 mM phosphate proceeds by proton-coupled electron transfer to the buffer base rather than to water, cutting the overpotential by 100–200 mV and the Tafel slope to ~60 mV/dec (Surendranath, Kanan &amp; Nocera 2010; Dau group, Inorganics 2019, 7:20). Established for oxide anodes rather than bare Pt, so this is a stated transfer, not a measurement. The budget applies it through pcet_credit_op (D162): in full while the buffer holds the anode surface, withdrawn past the buffer-limited current (Chemistry j_buffer_ratio &gt; 1).</t>
  </si>
  <si>
    <t>NAMED DEFAULTS AND THRESHOLDS</t>
  </si>
  <si>
    <t>Gerrit's Law slope (default)</t>
  </si>
  <si>
    <t>gerrit_slope_default</t>
  </si>
  <si>
    <t>Gerrit's Law fit, LED_D current calibration (protocols/gerrit-current.md); used when no Calibrations run is included.</t>
  </si>
  <si>
    <t>Gerrit's Law intercept (default)</t>
  </si>
  <si>
    <t>gerrit_int_default</t>
  </si>
  <si>
    <t>Voltage headroom caution margin</t>
  </si>
  <si>
    <t>V_headroom_min</t>
  </si>
  <si>
    <t>Design assumption: the current law starts to bend within this margin of the drive rail.</t>
  </si>
  <si>
    <t>LAG-PHASE CATHODIC O₂ LOSS AT THE LAG DO (review R5-m2)</t>
  </si>
  <si>
    <t>Reference lag-phase DO for the cathodic loss</t>
  </si>
  <si>
    <t>DO_lag_ref</t>
  </si>
  <si>
    <t>Input, not a link: set to the last lag-phase cycle-mean DO (D150 = Mass Transfer D135) and re-enter it when D134 says so. Linking it would close a loop (lag DO → lag O₂ source → lag DO, and through the schedule when it is sized on Lag). Same pattern as Chemistry pH_ref_DIC. 0.194 is the self-consistent value at the defaults.</t>
  </si>
  <si>
    <t>Tolerance before DO_lag_ref must be re-entered</t>
  </si>
  <si>
    <t>DO_lag_tol</t>
  </si>
  <si>
    <t>Design assumption: re-enter DO_lag_ref when the lag DO has moved by more than 5 %. Only the cathodic share of the lag O₂ budget (~1/8 here) carries the error, so 5 % on DO is &lt;1 % on the source.</t>
  </si>
  <si>
    <t>O₂ reduced at the cathode during lag</t>
  </si>
  <si>
    <t>O2_ORR_lag</t>
  </si>
  <si>
    <t>The design-DO loss (D28) scaled to DO_lag_ref: the cathodic O₂ reduction is first order in DO, as for the lag peroxide (D152). Capped at the whole current. Follows a measured etaF too, because D28 does.</t>
  </si>
  <si>
    <t>Net O₂ to the liquid during lag</t>
  </si>
  <si>
    <t>O2_net_lag</t>
  </si>
  <si>
    <t>Anodic O₂ less the cathodic loss at the lag DO: the lag-phase O₂ source (Mass Transfer O2_src_l, D310; Biology flammability). Below O2_net_gen (D29) because the lag DO runs above the design DO.</t>
  </si>
  <si>
    <t>H₂ evolved during lag</t>
  </si>
  <si>
    <t>rH2_lag</t>
  </si>
  <si>
    <t>The cathodic current not spent reducing O₂ at the lag DO, as H₂ (Mass Transfer H2_src_l, D314). Below rH2_gen (D21) for the same reason.</t>
  </si>
  <si>
    <t>DO_lag_ref still matches the lag DO?</t>
  </si>
  <si>
    <t>DO_lag_ref_chk</t>
  </si>
  <si>
    <t>Display only (nothing reads it), so it closes no loop: compares the typed reference with the lag DO it produces.</t>
  </si>
  <si>
    <t>PHYSICS CORRECTIONS — ORR electron count, voltage cross-check, anodic H₂ oxidation, lag-phase peroxide</t>
  </si>
  <si>
    <t>Effective electrons per O₂ reduced (cathode)</t>
  </si>
  <si>
    <t>n_ORR_eff</t>
  </si>
  <si>
    <t>e⁻/O₂</t>
  </si>
  <si>
    <t>Effective electrons per O₂ reduced at the SS cathode: 2 on the peroxide branch (z_e_ORR), 4 to water (z_e_O2, direct or 2+2 in series), weighted by the RRDE escape fraction f_HOOH (Le Bozec 2001). This is the mixed 2e⁻/4e⁻ regime E86 cites.</t>
  </si>
  <si>
    <t>Current at the top of the validated Gerrit band</t>
  </si>
  <si>
    <t>I_at_gerrit_max</t>
  </si>
  <si>
    <t>Gerrit's Law at gerrit_max (25 %), where the fit is still validated linear.</t>
  </si>
  <si>
    <t>Cell voltage budget at the top of the validated band</t>
  </si>
  <si>
    <t>V_at_gerrit_max</t>
  </si>
  <si>
    <t>Same budget as D119, evaluated at I_at_gerrit_max (j in A/cm²). A current source on the rail cannot deliver that current into a load needing more than V_rail, so this must not exceed V_rail.</t>
  </si>
  <si>
    <t>Voltage budget vs validated Gerrit band</t>
  </si>
  <si>
    <t>V_gerrit_flag</t>
  </si>
  <si>
    <t>Live form of the E122 cross-check: the voltage budget and the empirical current law must agree across the band the law is validated on.</t>
  </si>
  <si>
    <t>Anodic current oxidising crossed-over H₂</t>
  </si>
  <si>
    <t>f_HOR_anode</t>
  </si>
  <si>
    <t>DATA GAP — fraction of the anodic current oxidising dissolved H₂ on the Pt anode (or recombining H₂ + O₂). Measure: anode-gas O₂ collection per faradaic-efficiency.md, or initial-slope vs plateau rates with a divided cell. Left empty = not modelled (0); transport ceiling D148.</t>
  </si>
  <si>
    <t>(import) dissolved-H₂ saturation</t>
  </si>
  <si>
    <t>ec_C_H2_sat</t>
  </si>
  <si>
    <t>→ Biology (C_H2_sat, 1 atm)</t>
  </si>
  <si>
    <t>Anodic H₂ oxidation — transport-limited ceiling</t>
  </si>
  <si>
    <t>i_HOR_lim</t>
  </si>
  <si>
    <t>Informational ceiling: every H₂ molecule reaching the anode at k_m(O₂) and saturated H₂ is oxidised. The actual value depends on HOR activity of hydrous-oxide Pt at ~1.6 V (strongly suppressed; PEM anodes pass crossover H₂ largely unoxidised) — unmeasured.</t>
  </si>
  <si>
    <t>Same, as a fraction of the applied current</t>
  </si>
  <si>
    <t>f_HOR_lim</t>
  </si>
  <si>
    <t>Upper bound for f_HOR_anode (D145).</t>
  </si>
  <si>
    <t>H₂ oxidised at the anode</t>
  </si>
  <si>
    <t>r_H2_HOR</t>
  </si>
  <si>
    <t>Crossed-over H₂ consumed by the anode; 0 while f_HOR_anode is a data gap. Subtracted from the H₂ the culture receives (Biology H2_cons).</t>
  </si>
  <si>
    <t>(import) lag-phase dissolved O₂</t>
  </si>
  <si>
    <t>ec_DO_lag</t>
  </si>
  <si>
    <t>→ Mass Transfer (DO_ss_sawtooth_lag: steady DO with the lag source, no uptake)</t>
  </si>
  <si>
    <t>Anodic peroxide sink (transport-limited)</t>
  </si>
  <si>
    <t>k_H2O2_anode</t>
  </si>
  <si>
    <t>H₂O₂ is oxidised at the anode (E° 0.695 V, ~0.9 V below the anode potential) at the transport limit: k = k_m·A/V. Reuses the ferricyanide-measurable km_O2, so no new unknown; heterogeneous decomposition on Pt would add to it.</t>
  </si>
  <si>
    <t>Peroxide production during lag</t>
  </si>
  <si>
    <t>r_H2O2_lag</t>
  </si>
  <si>
    <t>r_H2O2 scaled to the lag-phase DO (D150): the cathodic O₂ flux is first order in DO, and before uptake starts DO runs above the design value. The lag O₂ and H₂ sources use the same scaling (rows 129–133).</t>
  </si>
  <si>
    <t>(import) reactor liquid charge</t>
  </si>
  <si>
    <t>→ Biology (V_charge)</t>
  </si>
  <si>
    <t>(import) organism selected on Summary</t>
  </si>
  <si>
    <t>→ Summary (organism_sel)</t>
  </si>
  <si>
    <t>PROTON-COUPLED CREDIT vs THE BUFFER LIMIT (review R1-14)</t>
  </si>
  <si>
    <t>(import) operating : buffer-limited current</t>
  </si>
  <si>
    <t>ec_jbuf_ratio</t>
  </si>
  <si>
    <t>Import from Chemistry!D218 (j_buffer_ratio).</t>
  </si>
  <si>
    <t>Proton-coupled credit at the operating current</t>
  </si>
  <si>
    <t>pcet_credit_op</t>
  </si>
  <si>
    <t>Full credit while the buffer holds the anode surface (ratio ≤ 1); none past the buffer-limited current, where no buffer base reaches the surface to accept the proton. No partial scaling in between: how the credit fades with surface depletion on Pt is unmeasured.</t>
  </si>
  <si>
    <t>Same, at the top of the validated Gerrit band</t>
  </si>
  <si>
    <t>pcet_credit_gmax</t>
  </si>
  <si>
    <t>Buffer ratio scaled to I_at_gerrit_max (j ∝ I at the bulk pH): at 25 % the anode runs ~1.6× past the buffer limit, so the credit is withdrawn for the D143 cross-check.</t>
  </si>
  <si>
    <t>(import) Dissolved CO₂ (cycle average)</t>
  </si>
  <si>
    <t>Schedule-dependent cycle-average dissolved CO₂ (mass-conserving limit cycle, bounded by air equilibrium and pure-CO₂ saturation).</t>
  </si>
  <si>
    <t>V_charge (D279, mL) / 1000 → L</t>
  </si>
  <si>
    <t>→ Mass Transfer (R_gas).</t>
  </si>
  <si>
    <t>OPERATING pH (buffered, cycle average)</t>
  </si>
  <si>
    <t>pH at the cycle-average dissolved CO₂ of the schedule in use. The trough just after a CO₂ pulse is lower; a probe with response lag reads near this value, not the trough.</t>
  </si>
  <si>
    <t>Concentration-scale constant (KaHOCl_c) with the concentration-scale root pH_op, the consistent pair (R1-10); pH_meas (D220) is only for comparison with a probe.</t>
  </si>
  <si>
    <t>Scaled from the electrode O₂ mass-transfer coefficient by (D_Cl/D_O2)^0.644, the same correlation as km_HPO4/km_HCO3 (rows 275–276), so it follows a measured km_O2.</t>
  </si>
  <si>
    <t>i_lim = n_e_Cl·F·k_m·[Cl⁻]·A with n_e_Cl = 2 per NET chloride consumed: Cl₂ hydrolysis (k ≈ 11–22 s⁻¹) is faster than diffusion across the layer (δ²/D ≈ 0.8 s), so the chloride it regenerates is re-oxidised at the surface (the direct route Cl⁻ + H₂O → HOCl + H⁺ + 2e⁻ gives the same). [Cl⁻] in mol/cm³ = pH_Cl/1000. At the anode potential (D256, above the HOCl/Cl⁻ couple) this transport limit is the central estimate, not a cap; the factor 2 rests on where hydrolysis happens.</t>
  </si>
  <si>
    <t>P_HOCl = I_Cl/(n_e_Cl·F·V), n_e_Cl = 2 on every route (D148); at the transport limit this is k_m·[Cl⁻]·A/V, one HOCl per arriving chloride.</t>
  </si>
  <si>
    <t>Steady combined chlorine, HOCl basis. Chloride is recycled: the pool bounds free + combined chlorine at any instant, and the steady share held as monochloramine is kτ/(1+kτ) with k = k_Cl_turn (D271) and τ its residence. Reduces to production×τ when kτ ≪ 1 and to the pool when kτ ≫ 1. Second argument: breakpoint ammonium capacity (5.06 mg Cl₂/mg N) converted to the HOCl basis; it does not bind in UdG.</t>
  </si>
  <si>
    <t>OPERATIVE bleaching value (HOCl basis): local-weighted free HOCl + combined chlorine ÷ potency. Combined chlorine is the recycling steady state (D143), so it rises with current and residence until it approaches the chloride pool (D149); Summary reports it as Cl₂ (D226).</t>
  </si>
  <si>
    <t>Electrons per HOCl formed and per net chloride consumed — 2 on every route. 2Cl⁻ → Cl₂ + 2e⁻ then Cl₂ + H₂O → HOCl + H⁺ + Cl⁻ is 2 e⁻ per HOCl and 1 net chloride, because the regenerated chloride is re-oxidised inside the diffusion layer; the direct route Cl⁻ + H₂O → HOCl + H⁺ + 2e⁻ is also 2. Used both in the transport-limited current (D132) and in the production rate (D134).</t>
  </si>
  <si>
    <t>Total chloride pool as HOCl-equivalent; free + combined chlorine cannot exceed it at any instant, and the steady combined share is kτ/(1+kτ) of it (D143). UdG chloride is CaCl₂-derived (a closed batch also depletes it).</t>
  </si>
  <si>
    <t>Combined chlorine at the low-τ bound, recycling steady state (as D143)</t>
  </si>
  <si>
    <t>Combined chlorine at the high-τ bound, recycling steady state (as D143)</t>
  </si>
  <si>
    <t>Cl₂/Cl⁻ potential at the medium chloride (Cl₂ gas at 1 atm, reference only)</t>
  </si>
  <si>
    <t>HOCl/Cl⁻ couple minus operating anode potential</t>
  </si>
  <si>
    <t>Negative = the anode sits above the HOCl/Cl⁻ couple, so chloride oxidation is thermodynamically accessible and, on Pt, transport-limited (Chemistry D132). Cl₂ gas at 1 atm (D208) is a reference only: at trace chloride the product is HOCl.</t>
  </si>
  <si>
    <t>Operating anode potential above Cu²⁺/Cu</t>
  </si>
  <si>
    <t>Diffusion layer thickness for O₂ (derived, display only)</t>
  </si>
  <si>
    <t>δ = D_O₂/k_m(O₂), display only — the buffer limit uses species-specific k_m (D275–D276); δ_i ∝ D_i^0.356 under the same correlation, so a single fixed δ is not used.</t>
  </si>
  <si>
    <t>j_lim = F·Σ k_m,i·C_i over the proton acceptors reaching the anode: hydrogen phosphate and bicarbonate (D252–D253), each with its own k_m scaled from km_O2 (D275–D276), so the verdict hangs on the one ferricyanide-measurable coefficient. At the CO₂-dosed operating point bicarbonate is the larger term; at air equilibrium it falls to ~0.4 mM and the phosphate term alone applies, so re-read this verdict whenever the schedule changes.</t>
  </si>
  <si>
    <t>UNIT CONSTANTS</t>
  </si>
  <si>
    <t>NAMED CONSTANTS, THRESHOLDS AND IMPORTS</t>
  </si>
  <si>
    <t>(import) Reference temperature (25 °C)</t>
  </si>
  <si>
    <t>Import from Biology!D23</t>
  </si>
  <si>
    <t>Debye–Hückel A coefficient constant</t>
  </si>
  <si>
    <t>DH_const</t>
  </si>
  <si>
    <t>K^1.5</t>
  </si>
  <si>
    <t>A = 1.82×10⁶·(εT)^-1.5 (standard Debye–Hückel form; gives 0.509 at 25 °C).</t>
  </si>
  <si>
    <t>Relative permittivity of water at 298.15 K</t>
  </si>
  <si>
    <t>eps_water_298</t>
  </si>
  <si>
    <t>CRC Handbook, water dielectric constant at 25 °C.</t>
  </si>
  <si>
    <t>Permittivity temperature exponent</t>
  </si>
  <si>
    <t>eps_T_exp</t>
  </si>
  <si>
    <t>ε(T) = ε₂₉₈·(298.15/T)^n, power-law fit to the water permittivity (as in E186).</t>
  </si>
  <si>
    <t>Davies equation linear coefficient</t>
  </si>
  <si>
    <t>davies_c</t>
  </si>
  <si>
    <t>Davies (1962): log γ = −A z²(√I/(1+√I) − 0.3 I).</t>
  </si>
  <si>
    <t>Chloride numerical floor</t>
  </si>
  <si>
    <t>Cl_floor_molL</t>
  </si>
  <si>
    <t>Defined: numerical floor so LOG10 never sees zero chloride; far below any real chloride level.</t>
  </si>
  <si>
    <t>pH solve grid step</t>
  </si>
  <si>
    <t>pH_step</t>
  </si>
  <si>
    <t>Defined: spacing of the typed pH grid A50:A100 (4.0 to 9.0).</t>
  </si>
  <si>
    <t>HOB pH band, lower edge</t>
  </si>
  <si>
    <t>pH_band_lo</t>
  </si>
  <si>
    <t>HOB optimum 6.5–7.5 (Pous 2022/23; Rovira-Alsina 2025).</t>
  </si>
  <si>
    <t>HOB pH band, upper edge</t>
  </si>
  <si>
    <t>pH_band_hi</t>
  </si>
  <si>
    <t>Buffer caution fraction</t>
  </si>
  <si>
    <t>buffer_caution_frac</t>
  </si>
  <si>
    <t>Coarse estimate: flag "watch" above this fraction of the buffer-limited current density.</t>
  </si>
  <si>
    <t>ELECTRODE-SURFACE CHEMISTRY AT THE OPERATING POINT</t>
  </si>
  <si>
    <t>Diffusion coefficient — HCO₃⁻</t>
  </si>
  <si>
    <t>D_HCO3</t>
  </si>
  <si>
    <t>CRC Handbook (Vanýsek), ionic diffusion coefficient at 25 °C, 1.185×10⁻⁵ cm²/s.</t>
  </si>
  <si>
    <t>Bicarbonate at the operating point</t>
  </si>
  <si>
    <t>HCO3_op</t>
  </si>
  <si>
    <t>Concentration scale, same speciation the charge balance solves (Ka1c_c with pH_op).</t>
  </si>
  <si>
    <t>Hydrogen phosphate at the operating point</t>
  </si>
  <si>
    <t>HPO4_op</t>
  </si>
  <si>
    <t>Concentration scale: HPO₄²⁻ share of total phosphate at pH_op with the concentration-scale pKa2.</t>
  </si>
  <si>
    <t>(import) anode overpotential</t>
  </si>
  <si>
    <t>eta_anode_c</t>
  </si>
  <si>
    <t>Import from Electrochemistry!D111 (Tafel, at the operating current density).</t>
  </si>
  <si>
    <t>(import) proton-coupled credit at the operating current</t>
  </si>
  <si>
    <t>pcet_credit_c</t>
  </si>
  <si>
    <t>Import from Electrochemistry!D162 (pcet_credit_op: withdrawn past the buffer limit).</t>
  </si>
  <si>
    <t>Operating anode potential</t>
  </si>
  <si>
    <t>E_anode_op</t>
  </si>
  <si>
    <t>Reversible O₂/H₂O potential at the bulk pH plus the anode overpotential and the proton-coupled credit from the cell-voltage budget.</t>
  </si>
  <si>
    <t>Standard potential — HOCl + H⁺ + 2e⁻ → Cl⁻ + H₂O</t>
  </si>
  <si>
    <t>E0_HOCl</t>
  </si>
  <si>
    <t>CRC Handbook §5, ±0.002 V.</t>
  </si>
  <si>
    <t>HOCl/Cl⁻ potential at the operating point</t>
  </si>
  <si>
    <t>E_HOCl_Cl</t>
  </si>
  <si>
    <t>Nernst for the couple actually formed at trace chloride (HOCl at nanomolar level, not Cl₂ gas at 1 atm), at the electrode-enriched HOCl.</t>
  </si>
  <si>
    <t>Free chlorine low end, as Cl₂</t>
  </si>
  <si>
    <t>C_eff_lo_Cl2</t>
  </si>
  <si>
    <t>C_eff_lo on the as-Cl₂ basis the thresholds use.</t>
  </si>
  <si>
    <t>Free chlorine high end, as Cl₂</t>
  </si>
  <si>
    <t>C_eff_hi_Cl2</t>
  </si>
  <si>
    <t>C_eff_hi on the as-Cl₂ basis the thresholds use.</t>
  </si>
  <si>
    <t>CHLORIDE RECYCLING AND SPECIES-SPECIFIC ELECTRODE MASS TRANSFER</t>
  </si>
  <si>
    <t>First-order anodic chloride turnover</t>
  </si>
  <si>
    <t>k_Cl_turn</t>
  </si>
  <si>
    <t>First-order anodic chloride turnover at the transport limit, km_Cl·A/V (cm³ → L by /1000). Independent of the chloride level, so the recycling split (D278, D143) is not circular.</t>
  </si>
  <si>
    <t>(import) electrode mass-transfer coefficient — O₂</t>
  </si>
  <si>
    <t>km_O2_c</t>
  </si>
  <si>
    <t>→ Electrochemistry (km_O2; Eisenberg–Tobias–Wilke, unmeasured swirl)</t>
  </si>
  <si>
    <t>(import) diffusivity exponent for k_m scaling</t>
  </si>
  <si>
    <t>km_exp_c</t>
  </si>
  <si>
    <t>→ Electrochemistry (km_exp)</t>
  </si>
  <si>
    <t>D_O2_c</t>
  </si>
  <si>
    <t>→ Electrochemistry (ec_D_O2)</t>
  </si>
  <si>
    <t>Electrode mass-transfer coefficient — HPO₄²⁻</t>
  </si>
  <si>
    <t>km_HPO4</t>
  </si>
  <si>
    <t>k_m,i = k_m(O₂)·(D_i/D_O₂)^km_exp, the same Eisenberg scaling as km_Cl (D129).</t>
  </si>
  <si>
    <t>Electrode mass-transfer coefficient — HCO₃⁻</t>
  </si>
  <si>
    <t>km_HCO3</t>
  </si>
  <si>
    <t>As D275, for bicarbonate.</t>
  </si>
  <si>
    <t>Diffusion coefficient — Cl⁻</t>
  </si>
  <si>
    <t>D_Cl</t>
  </si>
  <si>
    <t>CRC Handbook (Vanýsek), ionic diffusion coefficient at 25 °C, 2.032×10⁻⁵ cm²/s.</t>
  </si>
  <si>
    <t>Free share of the chloride pool</t>
  </si>
  <si>
    <t>Cl_free_frac</t>
  </si>
  <si>
    <t>At steady state the chloride pool splits free : combined = 1 : kτ (row 271 and D143), so only this share is available to the anode.</t>
  </si>
  <si>
    <t>(import) medium selected on Summary</t>
  </si>
  <si>
    <t>→ Summary (media_sel)</t>
  </si>
  <si>
    <t>DIC STORAGE IN THE CO₂ POOL (review R2-m3) — at a reference pH, so no loop through the pH solve</t>
  </si>
  <si>
    <t>Reference pH for the DIC capacity (concentration scale)</t>
  </si>
  <si>
    <t>pH_ref_DIC</t>
  </si>
  <si>
    <t>Input, not a link: set to the last solved pH_op (D103) and re-enter if it moves by &gt;0.1. Linking D103 would close a loop D103 → CO2aqc → CO₂ pool → D103.</t>
  </si>
  <si>
    <t>[H⁺] at the reference pH</t>
  </si>
  <si>
    <t>h_ref_DIC</t>
  </si>
  <si>
    <t>Concentration scale, as the charge balance.</t>
  </si>
  <si>
    <t>Bicarbonate : CO₂(aq) at the reference pH</t>
  </si>
  <si>
    <t>r_HCO3_ref</t>
  </si>
  <si>
    <t>Ka1/[H⁺] on the concentration scale; independent of the CO₂ level.</t>
  </si>
  <si>
    <t>Bicarbonate at the reference pH (from the charge balance)</t>
  </si>
  <si>
    <t>HCO3_ref</t>
  </si>
  <si>
    <t>The same charge balance as the pH grid (B50), solved for carbonate alkalinity at the reference pH instead of for pH: no CO2aqc term, so no loop.</t>
  </si>
  <si>
    <t>Non-carbonate buffer capacity at the reference pH</t>
  </si>
  <si>
    <t>beta_nonC</t>
  </si>
  <si>
    <t>mol/L/pH</t>
  </si>
  <si>
    <t>β = ln10·Σ C·Ka·[H⁺]/(Ka+[H⁺])² over phosphate (pKa1, pKa2), ammonium and water — what takes up the proton when absorbed CO₂ becomes bicarbonate.</t>
  </si>
  <si>
    <t>DIC capacity factor of the liquid (dDIC/dCO₂(aq))</t>
  </si>
  <si>
    <t>DIC_cap</t>
  </si>
  <si>
    <t>At constant alkalinity each mol of CO₂ absorbed forms Ka1/[H⁺]·β/(β+ln10·[HCO₃⁻]) mol of bicarbonate as the pH falls. Bounds: 1 (no buffer) and 1+Ka1/[H⁺] (infinite buffer, R2-m3's form, ≈1.9 here). Linearised about the reference pH.</t>
  </si>
  <si>
    <t>DISPLAY THRESHOLDS (read by the Summary colour rules)</t>
  </si>
  <si>
    <t>pH red band, lower edge</t>
  </si>
  <si>
    <t>pH_red_lo</t>
  </si>
  <si>
    <t>Design assumption: below pH 6 HOB growth is taken as severely impaired; the red edge of the Summary D35 colour (was embedded in the rule).</t>
  </si>
  <si>
    <t>pH red band, upper edge</t>
  </si>
  <si>
    <t>pH_red_hi</t>
  </si>
  <si>
    <t>Design assumption, as above, for the alkaline side.</t>
  </si>
  <si>
    <t>Evolved H₂ minus any crossed-over H₂ the Pt anode oxidises (D96; 0 until measured), assumed fully consumed — steady growth only; ~0 during lag (see §13).</t>
  </si>
  <si>
    <t>van 't Hoff correction to reactor T, then salted out for the medium's ionic strength (f_salt_O2, D123). Moves the dissolved-O₂ ceiling (D27) and every Henry O₂ term.</t>
  </si>
  <si>
    <t>(import) CO₂ partial pressure at sparge (dry-gas basis)</t>
  </si>
  <si>
    <t>Import from Mass Transfer!D418 (P_dry): a pure-CO₂ pulse in a water-saturated headspace carries p_CO₂ = P_atm − p_sat_w, the basis of Mass Transfer D145.</t>
  </si>
  <si>
    <t>Equilibrium dissolved CO₂ under a pure-CO₂ headspace on the dry-gas basis (= Mass Transfer C_sat_CO2, D145; mol/m³ = mM). Legacy upper bound: a sub-second pulse never reaches it.</t>
  </si>
  <si>
    <t>Dissolved CO₂ at full dry-basis saturation : RuBisCO Km. Legacy upper bound, superseded by the cycle-trough margin D98 (Summary D41).</t>
  </si>
  <si>
    <t>H₂ headspace flammability verdict</t>
  </si>
  <si>
    <t>Tests the lag-phase headspace at its worst point, just before each pulse (sawtooth tops y_H2_end_b / y_O2_end_b, rows 114 and 119), against the H₂ lower flammability limit and the limiting O₂ concentration with a design margin; quotes mean and pre-pulse for both gases. The remedy interval (D92) is solved on the same pre-pulse basis, so at that interval the verdict clears.</t>
  </si>
  <si>
    <t>Hazard verdict (lag-phase headspace flammability), not a data gap.</t>
  </si>
  <si>
    <t>TARGET DISSOLVED-OXYGEN FRACTION (one definition, used by every guard)</t>
  </si>
  <si>
    <t>C. necator DO_opt 2.6 ÷ DO_toxic 11.5 mg/L (row 52), the only organism in the table with a measured band, used as the stand-in for the rest. Same optimum ÷ ceiling ratio the row above computes, so the fallback is consistent with the definition.</t>
  </si>
  <si>
    <t>NAMED DEFAULTS, CONSTANTS AND IMPORTS</t>
  </si>
  <si>
    <t>Default H₂ uptake ratio (no calibration)</t>
  </si>
  <si>
    <t>knall_H2_default</t>
  </si>
  <si>
    <t>Used when no Calibrations knallgas run is included. 6:2:1 = mid-range central uptake ratio (Lu &amp; Yu 2019; feed optimum 7:2:1, Ishizaki 2001).</t>
  </si>
  <si>
    <t>Default O₂ uptake ratio (no calibration)</t>
  </si>
  <si>
    <t>knall_O2_default</t>
  </si>
  <si>
    <t>As above: O₂:H₂ uptake 0.29–0.35 (×6 → 1.75–2.1), 2 = central.</t>
  </si>
  <si>
    <t>Default CO₂ uptake ratio (no calibration)</t>
  </si>
  <si>
    <t>knall_CO2_default</t>
  </si>
  <si>
    <t>As above: CO₂:H₂ uptake 0.15–0.19 (×6 → 0.9–1.15), 1 = central.</t>
  </si>
  <si>
    <t>Celsius-to-kelvin offset</t>
  </si>
  <si>
    <t>T_zero_C</t>
  </si>
  <si>
    <t>Defined (SI): 0 °C = 273.15 K exactly.</t>
  </si>
  <si>
    <t>(import) Ambient pressure setpoint</t>
  </si>
  <si>
    <t>Import from Summary!D10 (blank reads as 0, so P_atm falls back to Pa_per_atm).</t>
  </si>
  <si>
    <t>HEADSPACE FLAMMABILITY (lag phase: electrolysis running, no H₂ uptake yet)</t>
  </si>
  <si>
    <t>(import) average CO₂ supply rate</t>
  </si>
  <si>
    <t>CO2_supply_b</t>
  </si>
  <si>
    <t>Import from Mass Transfer!D100 (schedule in use).</t>
  </si>
  <si>
    <t>(import) CO₂ rate while the valve is open</t>
  </si>
  <si>
    <t>CO2_rate_full_b</t>
  </si>
  <si>
    <t>Import from Mass Transfer!D178.</t>
  </si>
  <si>
    <t>(import) optimal pulse, full-flow equivalent</t>
  </si>
  <si>
    <t>spg_dur_b</t>
  </si>
  <si>
    <t>Import from Mass Transfer!D409 (spg_dur_eq_opt): converts the H₂-safe duty to an interval on the same basis as the schedule.</t>
  </si>
  <si>
    <t>(import) ideal gas constant</t>
  </si>
  <si>
    <t>R_gas_b</t>
  </si>
  <si>
    <t>J/(mol·K)</t>
  </si>
  <si>
    <t>Import from Mass Transfer!D101.</t>
  </si>
  <si>
    <t>H₂ lower flammability limit</t>
  </si>
  <si>
    <t>H2_LFL</t>
  </si>
  <si>
    <t>4.0 vol% in air or O₂ (Coward &amp; Jones 1952; Zabetakis 1965, USBM Bulletin 627).</t>
  </si>
  <si>
    <t>Limiting O₂ concentration for H₂, CO₂ diluent</t>
  </si>
  <si>
    <t>O2_LOC_H2</t>
  </si>
  <si>
    <t>About 5.2 vol% O₂ with CO₂ as diluent (5.0 % with N₂): Zabetakis 1965; NFPA 69 annex table.</t>
  </si>
  <si>
    <t>Design margin on the LOC</t>
  </si>
  <si>
    <t>LOC_margin</t>
  </si>
  <si>
    <t>NFPA 69: hold O₂ at or below 60 % of the LOC when it is not monitored continuously (check the edition in force).</t>
  </si>
  <si>
    <t>Gas evolved into the headspace (lag)</t>
  </si>
  <si>
    <t>n_flamm_src</t>
  </si>
  <si>
    <t>Lag phase: no uptake, so all electrolytic H₂ not oxidised at the anode (H2_src_l_b) and the net O₂ (O2_src_l_b, cathodic loss at the lag DO) reach the headspace.</t>
  </si>
  <si>
    <t>Headspace H₂ fraction (lag, mean-field)</t>
  </si>
  <si>
    <t>y_H2_hs_lag</t>
  </si>
  <si>
    <t>Mean-field balance shared with Mass Transfer §300 (= y_H2_mf_l there): H₂ (net of anodic oxidation) over all gas leaving the headspace — evolved gas, CO₂ pulses and, in the "Open vent" and "Air exchange" vent models, the air drawn in. The pulse-to-pulse sawtooth peaks higher (y_H2_end_b, quoted in D44).</t>
  </si>
  <si>
    <t>Headspace O₂ fraction (lag, mean-field)</t>
  </si>
  <si>
    <t>y_O2_hs_lag</t>
  </si>
  <si>
    <t>As above for O₂ (= y_O2_mf_l on Mass Transfer), including the O₂ carried in by exchanged air. Air ingress lowers H₂ but raises O₂ toward 21 %, so it does not make the mixture safe.</t>
  </si>
  <si>
    <t>CO₂ duty that makes the lag headspace non-flammable</t>
  </si>
  <si>
    <t>duty_H2safe</t>
  </si>
  <si>
    <t>Least valve-open fraction that brings H₂ below the LFL or O₂ below the LOC margin, whichever needs less CO₂, from the same balance; exchanged air counts as diluent for H₂ and as an O₂ source for the LOC route.</t>
  </si>
  <si>
    <t>Interval that makes the lag headspace non-flammable</t>
  </si>
  <si>
    <t>spg_int_H2safe</t>
  </si>
  <si>
    <t>Mean-field (flux-mean) interval, kept for comparison only: the verdict and remedy (D44) use the pre-pulse sawtooth tops (D92), which need a shorter interval.</t>
  </si>
  <si>
    <t>N₂ sweep that keeps lag H₂ below the LFL</t>
  </si>
  <si>
    <t>N2_sweep_H2safe</t>
  </si>
  <si>
    <t>Continuous inert headspace sweep that dilutes H₂ below the LFL with no CO₂ at all, net of any air exchange already diluting it.</t>
  </si>
  <si>
    <t>(import) optimal pulse duration</t>
  </si>
  <si>
    <t>spg_dur_opt_b</t>
  </si>
  <si>
    <t>Import from Mass Transfer!D90 (spg_dur_opt): the valve-open time added to the gap to give an interval.</t>
  </si>
  <si>
    <t>Longest gap keeping the lag pre-pulse H₂ below the LFL</t>
  </si>
  <si>
    <t>t_gap_H2_LFL</t>
  </si>
  <si>
    <t>Exact on the Mass Transfer sawtooth (D388 form): the pre-pulse top y_end = (S/F)(1−e^−x)/(1−r·e^−x), x = F·t/n, r = flush_ret_opt, solved for y_end = LFL: x = ln((1−k·r)/(1−k)), k = LFL·F/S. Not circular: S, F, n and r do not depend on the interval. "none needed" = H₂ never reaches the LFL even with no pulses.</t>
  </si>
  <si>
    <t>Longest gap keeping the lag pre-pulse O₂ under the LOC margin</t>
  </si>
  <si>
    <t>t_gap_O2_LOC</t>
  </si>
  <si>
    <t>As above for O₂ (source incl. the O₂ in admitted air, Mass Transfer S_O2_l), against LOC × margin.</t>
  </si>
  <si>
    <t>Interval that keeps the lag headspace non-flammable at every point of the cycle</t>
  </si>
  <si>
    <t>spg_int_H2safe_saw</t>
  </si>
  <si>
    <t>Either route suffices (H₂ below the LFL or O₂ under the LOC margin, as D86 encodes), so the longer of the two gaps, plus the pulse. Quoted as the remedy in D44 (replaces the "mean-field ÷ 2" heuristic).</t>
  </si>
  <si>
    <t>ANODIC H₂ LOSS AND CARBON AT THE CYCLE TROUGH</t>
  </si>
  <si>
    <t>(import) H₂ oxidised at the anode</t>
  </si>
  <si>
    <t>H2_HOR_b</t>
  </si>
  <si>
    <t>→ Electrochemistry (r_H2_HOR; 0 while f_HOR_anode is a data gap)</t>
  </si>
  <si>
    <t>(import) dissolved CO₂ at the start of a pulse (cycle trough)</t>
  </si>
  <si>
    <t>C_cycle_start_b</t>
  </si>
  <si>
    <t>→ Mass Transfer (C_cycle_start, mass-conserving limit cycle)</t>
  </si>
  <si>
    <t>Carbon margin at the cycle trough (dissolved CO₂ : Km)</t>
  </si>
  <si>
    <t>CO2_margin_trough</t>
  </si>
  <si>
    <t>Lowest dissolved CO₂ of the dosing cycle (mol/m³ = mM, ×1000 → µM) against RuBisCO Km. A sub-second pulse never approaches the full-sparge saturation D33 uses, so this, not D35, is the carbon-availability test; schedule-dependent.</t>
  </si>
  <si>
    <t>IMPORTS FOR THE SHARED HEADSPACE BALANCE (Mass Transfer §300)</t>
  </si>
  <si>
    <t>(import) vent air-exchange flow</t>
  </si>
  <si>
    <t>F_vent_ex_b</t>
  </si>
  <si>
    <t>Import from Mass Transfer!D308: zero for "Outflow only", Q_vent as mol/h for "Air exchange".</t>
  </si>
  <si>
    <t>(import) dry-air O₂ mole fraction</t>
  </si>
  <si>
    <t>y_O2_air_b</t>
  </si>
  <si>
    <t>Import from Mass Transfer!D307.</t>
  </si>
  <si>
    <t>(import) H₂ to headspace — lag (net of anodic oxidation)</t>
  </si>
  <si>
    <t>H2_src_l_b</t>
  </si>
  <si>
    <t>Import from Mass Transfer!D314: evolved H₂ less the anodic H₂ oxidation (r_H2_HOR).</t>
  </si>
  <si>
    <t>(import) headspace H₂ just before a pulse (lag)</t>
  </si>
  <si>
    <t>y_H2_end_b</t>
  </si>
  <si>
    <t>Import from Mass Transfer!D388 (sawtooth top).</t>
  </si>
  <si>
    <t>(import) O₂ to the headspace — lag (cathodic loss at the lag DO)</t>
  </si>
  <si>
    <t>O2_src_l_b</t>
  </si>
  <si>
    <t>Import from Mass Transfer!D310 (O2_src_l = Electrochemistry O2_net_lag).</t>
  </si>
  <si>
    <t>(import) gas leaving the headspace between pulses — lag</t>
  </si>
  <si>
    <t>F_gap_l_b</t>
  </si>
  <si>
    <t>Import from Mass Transfer!D353 (F_gap_l).</t>
  </si>
  <si>
    <t>(import) headspace gas inventory</t>
  </si>
  <si>
    <t>n_hs_gas_b</t>
  </si>
  <si>
    <t>Import from Mass Transfer!D150 (n_hs_gas).</t>
  </si>
  <si>
    <t>(import) headspace retained through the optimal pulse</t>
  </si>
  <si>
    <t>flush_ret_opt_b</t>
  </si>
  <si>
    <t>Import from Mass Transfer!D321 (flush_ret_opt).</t>
  </si>
  <si>
    <t>(import) headspace O₂ just before a pulse (lag)</t>
  </si>
  <si>
    <t>y_O2_end_b</t>
  </si>
  <si>
    <t>Import from Mass Transfer!D358 (y_O2_end_l, sawtooth top).</t>
  </si>
  <si>
    <t>O₂ SALTING-OUT (review R2-m8)</t>
  </si>
  <si>
    <t>(import) ionic strength of the medium</t>
  </si>
  <si>
    <t>I_ionic_b</t>
  </si>
  <si>
    <t>Import from Chemistry!D185 (I_ionic, by media_sel).</t>
  </si>
  <si>
    <t>Setschenow coefficient for O₂ (per unit ionic strength)</t>
  </si>
  <si>
    <t>ks_O2</t>
  </si>
  <si>
    <t>L/mol</t>
  </si>
  <si>
    <t>Weisenberger &amp; Schumpe (1996) AIChE J 42:298, ion-specific h_i summed over the UdG recipe at 25 °C (Na⁺ 0.1143, K⁺ 0.0922, NH₄⁺ 0.0556, Mg²⁺ 0.1694, SO₄²⁻ 0.1117, H₂PO₄⁻ 0.0906, HPO₄²⁻ 0.1499, HCO₃⁻ 0.0967 L/mol; h_G(O₂) = 0) gives Σh·c = 0.0154 = 0.14 × I. Lumped per unit I, so approximate for other media.</t>
  </si>
  <si>
    <t>O₂ salting-out factor</t>
  </si>
  <si>
    <t>f_salt_O2</t>
  </si>
  <si>
    <t>Setschenow: log₁₀(H₀/H) = k_s·I. 0.965 for UdG (−3.5 %).</t>
  </si>
  <si>
    <t>Magnetic stir bar. Pioreactor max 20 mm; confirm the supplied bar's length.</t>
  </si>
  <si>
    <t>IAPWS R1-76(2014), evaluated at the reactor temperature (T_C). Feeds the bubble-detachment diameter.</t>
  </si>
  <si>
    <t>Han &amp; Bartels (1996) evaluated at the reactor temperature. At 25 °C this is 2.00e-9 m²/s.</t>
  </si>
  <si>
    <t>Pulse flow (Q_CO2) against the measured per-reactor no-carryover maximum (D413, CO2 flows column M). "not measured" until a value is entered, never a default OK. The superficial-velocity rule is the secondary line D414.</t>
  </si>
  <si>
    <t>Minutes to reach the O₂ ceiling from ~0 with no removal (steady growth: the O₂ excess after biological uptake), the O₂ timescale.</t>
  </si>
  <si>
    <t>As above, crediting time-averaged bubble strip (≈unchanged → bubbles aren't the mechanism). "never" = cleared.</t>
  </si>
  <si>
    <t>(import) Stir-bar speed</t>
  </si>
  <si>
    <t>→ Summary (stir_rpm_set). Pioreactor stir setpoint. RPM floor ~125 (stalls below).</t>
  </si>
  <si>
    <t>Mean time to deliver one headspace volume of CO₂: the interval × headspace ÷ pulse volume (D411).</t>
  </si>
  <si>
    <t>Companion to t_O2_ceiling_lag crediting BOTH removal paths at their best-case ceiling driving force. Best-case diagnostic only: surf_strip is the ~375%-uncertain surface proxy, so this cell must never gate a schedule or a guard. "never" = removal exceeds the source at that best case.</t>
  </si>
  <si>
    <t>Imported from Biology D60: one definition of the target DO fraction, from the selected organism's measured band where there is one and from C. necator's 2.6/11.5 otherwise. Sizes the O₂ guards below.</t>
  </si>
  <si>
    <t>Least feasible CO₂ duty (the larger of the two floors). Informative only: D91 takes the interval from the carbon (D112) and DO-dilution (D185) intervals, not from this duty.</t>
  </si>
  <si>
    <t>Max interval — legacy O₂ flush guard (fallback)</t>
  </si>
  <si>
    <t>LEGACY O₂ flush guard, kept only as the fallback: fills target_DO_frac of the ceiling in the liquid from the zero-surface worst-case source (O2_src_guard, D132) with no venting. It predates the shared headspace balance (§300), so the vent model does not move it and the DO it gives is neither the target nor a ceiling margin. D91 uses it only when the DO target is unreachable (spg_int_DO, D185, is #N/A). A balance-derived replacement (size on the ceiling with a margin) is an owner decision.</t>
  </si>
  <si>
    <t>ANSWER. Shortest reliable pulse: the time at which V₀ + Q_fit·t delivers flush_factor headspace volumes (R2-M3), never below the solenoid floor (pulse_floor).</t>
  </si>
  <si>
    <t>ANSWER. The shorter of the two upper bounds on the interval: carbon supply (D112) and headspace-oxygen dilution (spg_int_DO). An invalid vent or phase selector (Summary D111/D112) returns #N/A here instead of falling through to the fallback. If the DO target is unreachable at this surface kLa the sheet falls back to the legacy O₂ flush guard (D89) and D134 says so. kL_surf moves the answer continuously; no branch depends on it.</t>
  </si>
  <si>
    <t xml:space="preserve">  resulting duty (full-flow equivalent)</t>
  </si>
  <si>
    <t>CO₂ actually delivered at the optimum as a fraction of continuous full flow: the full-flow-equivalent pulse (D409) over the interval. With a pulse intercept this exceeds the valve-open fraction (D105).</t>
  </si>
  <si>
    <t>Solenoid floor in use = min_sparge_cal (D118): Calibrations tab Min pulse, else CO2 flows column I, else pulse_floor_default (D396).</t>
  </si>
  <si>
    <t>Cycle-mean DO at the schedule in use (sawtooth model, sizing phase)</t>
  </si>
  <si>
    <t>Time-mean dissolved O₂ of the sawtooth model (§300) on the sizing phase: the surface excess plus equilibrium with the time-mean headspace O₂. Sits near DO_target when the DO constraint binds, because the sizing applies the same sawtooth factor; the peak (D374 / Summary D21) is the non-tautological check.</t>
  </si>
  <si>
    <t>Tests the carbon-limited interval against the same DO balance the schedule uses (D232, cycle mean), and states it against the inhibition ceiling when it exceeds it. DO_ss cannot test it: it sits at the target by construction.</t>
  </si>
  <si>
    <t>CO₂ DOSING &amp; SCHEDULE</t>
  </si>
  <si>
    <t>Prefers the CO₂-flow calibration recorded on the Calibrations tab (cal_flow); falls back to the per-reactor table on the CO2 flows sheet when no calibration run is included. Either route switches the reactor on (has_cal, D119).</t>
  </si>
  <si>
    <t>Solenoid floor for the selected reactor, same precedence as the flow (D117): the latest included Min pulse on the Calibrations tab (cal_pulse_floor, CO₂-flow column J); otherwise the CO2 flows column I average on the latest date; otherwise pulse_floor_default (D396).</t>
  </si>
  <si>
    <t>Calibration count for the selected reactor: CO2 flows rows with a nominal flowrate (column J), plus 1 when the CO₂-flow section of the Calibrations tab has an included run (cal_flow). 0 = uncalibrated: Q_CO2 and every schedule result read "calibrate this reactor first".</t>
  </si>
  <si>
    <t>Ideal-gas moles in the pulse volume V₀ + Q_fit·t (D411), so the fixed solenoid volume is counted (R2-M3).</t>
  </si>
  <si>
    <t>Critical surface kL_surf (DO held at the target DO)</t>
  </si>
  <si>
    <t>Cycle-mean dissolved O₂ of the sawtooth model on the sizing phase in mol/m³ (= DO_avg_sched, D372; D108 is the same in mg/L). One DO definition per statistic: mean = DO_avg_*, peak = DO_peak_*; the flux-mean (mean-field) form appears only as the labelled cross-check rows 340/361.</t>
  </si>
  <si>
    <t>Whether the dissolved-O₂ target is reachable at all, and whether the surface coefficient behind that verdict has been measured or is still the ~375%-uncertain estimate.</t>
  </si>
  <si>
    <t>Cycle-mean DO (LAG source, sawtooth)</t>
  </si>
  <si>
    <t>Lag-phase time-mean dissolved O₂ (DO_avg_l, D362) at the schedule in use, on the LAG headspace balance with the H₂ as a diluent and the vent model in use. Feeds the lag-phase peroxide (Electrochemistry D150), which is first order in DO, so it takes the time mean — not the flux-mean D361, which is ~3 % lower.</t>
  </si>
  <si>
    <t>Headspace air exchange ("Air exchange" model)</t>
  </si>
  <si>
    <t>Bidirectional air-exchange flow through the vent, used ONLY when vent_model (Summary D111) = "Air exchange" (an "Open vent" uses Q_backdraw, D385), by the O₂ balance, the CO₂ pool and the flammability block alike. KEY UNCERTAIN PARAMETER — measure (pressure-decay or headspace-O₂ tracer, R2 experiment 1); include any per-pulse back-draw in it. Not free membrane diffusion, which would clear in seconds.</t>
  </si>
  <si>
    <t>Headspace turnover between pulses</t>
  </si>
  <si>
    <t>First-order headspace clearance between pulses from the ONE vent balance (§300): exchange flow plus net evolved gas, over the headspace inventory. Zero when nothing leaves between pulses (outflow-only vent, growth phase).</t>
  </si>
  <si>
    <t>Time constant for the headspace to clear between pulses; "none between pulses" when nothing leaves between pulses (outflow-only vent, growth phase), so only the pulses clear it.</t>
  </si>
  <si>
    <t>Henry-law dissolved CO₂ under a pure-CO₂ headspace, on the dry-gas basis (P_dry, D418).</t>
  </si>
  <si>
    <t>Surface kLa for CO₂ between pulses (surface path), scaled from the O₂ value in use (kLa_surf_used) so a measured surface kLa also reaches the CO₂ side.</t>
  </si>
  <si>
    <t>Confirms the headspace turnover between pulses is slower than the liquid's surface relaxation, as the CO₂ pool's quasi-equilibrium assumes; trivially true when nothing leaves between pulses.</t>
  </si>
  <si>
    <t>TEMPERATURE-DEPENDENT WATER PROPERTIES</t>
  </si>
  <si>
    <t>Han &amp; Bartels (1996): log₁₀(D[cm²/s]) = a + b/T − (c/T)², evaluated at the reactor temperature.</t>
  </si>
  <si>
    <t>HEADSPACE O₂ BALANCE AND THE DO-LIMITED INTERVAL</t>
  </si>
  <si>
    <t>The dissolved O₂ the schedule aims to hold: the organism optimum DO_opt (mg/L ÷ M_O2 g/mol = mol/m³) when it is known, otherwise the target fraction of the inhibition ceiling. Avoids a Henry-derived ceiling (11.67 mg/L) that differs from the table’s 11.5 pushing the target above the optimum.</t>
  </si>
  <si>
    <t>Steady state across the free surface is flux = kLa·V·(C − C*), so the liquid must sit THIS far above the headspace-equilibrium concentration to push the source O₂ out. Evaluated on the sizing-phase source (O2_src_sched, §300); the growth and lag values are DO_surf_excess_g and D181. The smaller the surface kLa, the larger this excess — it decides whether any sparge schedule can hold the target at all.</t>
  </si>
  <si>
    <t>Before the culture consumes oxygen, the whole net electrolytic O₂ (lag source O2_src_l, D310) has to cross the surface.</t>
  </si>
  <si>
    <t>Inverts the shared headspace balance (§300): y = (O₂ + air O₂)/(exchange + CO₂ supply + O₂ + H₂ − fixation). Solving for the CO₂ supply that puts the TIME-mean headspace O₂ at y* (flux mean = y*/saw_factor) gives this duty. Reduces to the old O₂(1−y*)/(y*·CO₂ rate) form with no exchange, no H₂, no fixation and no sawtooth. Zero when O₂ imposes no constraint (D185 then uses the carbon interval).</t>
  </si>
  <si>
    <t>The surface kLa below which the DO target is unreachable at any sparge interval, on the sizing-phase source. Both phases: kLa_surf_req_g / kLa_surf_req_l and their margins in §300 (Summary rows 120–123). The ratio to kLa_surf_used is the whole safety margin of the DO strategy, and it rests on a coefficient nobody has measured yet.</t>
  </si>
  <si>
    <t>Flux-mean headspace O₂ fraction at the schedule in use, from the ONE vent balance (§300) on the sizing phase: includes air O₂ ingress in "Air exchange", the H₂ diluent in "Lag", and the fixation sink. The CO₂ pool (§190) and the flammability block (Biology 83–88) now use the same balance.</t>
  </si>
  <si>
    <t>Surface stripping can only move oxygen into the headspace, so the liquid can never fall below equilibrium with it. Set by the vent balance (CO₂ flush, exchange, evolved gas), not by the surface kLa — which is why the sparge schedule and the vent, not the stirring, govern dissolved oxygen here.</t>
  </si>
  <si>
    <t>CO₂ LIMIT CYCLE – mass-conserving form (supersedes the uncoupled block above)</t>
  </si>
  <si>
    <t>Fraction of a pooled CO₂ inventory that ends up in the liquid, counting the bicarbonate the absorbed CO₂ forms (V_L_CO2 = DIC_cap × V_L, D416).</t>
  </si>
  <si>
    <t>CO₂ retained in the headspace by a pulse, as pool concentration</t>
  </si>
  <si>
    <t>A well-mixed flush leaves the headspace at 1 atm with (1 − flush_ret) of fresh CO₂; the rest of the delivered pulse blows straight through the vent. As pool concentration: C_sat·(headspace share)·(1 − flush_ret). Equals the old CO2_pulse/(V_L+Vg) for a plug-flow one-headspace pulse. Pure-CO₂ saturation is the no-loss limit by construction.</t>
  </si>
  <si>
    <t>Only the headspace share of the pool is exposed to what leaves between pulses (k_vent, now from the shared vent balance), so the whole inventory decays at that rate scaled by the share. Zero for an outflow-only vent in growth: then only fixation drains the pool (pool_D_raw).</t>
  </si>
  <si>
    <t>Liquid-uptake rate constant ÷ headspace turnover between pulses. Well above 1 means the two compartments stay in quasi-equilibrium, which the pool model assumes; text when nothing leaves between pulses (outflow-only growth case).</t>
  </si>
  <si>
    <t>Fixed point of the limit cycle: decay over the gap toward the vent/fixation asymptote (pool_D_gap), then a pulse that keeps pool_ret of the pool and adds pool_b, repeated. With an air-exchange vent and no fixation it is the previous (C_air(1−e)+b·e)/(1−a·e).</t>
  </si>
  <si>
    <t>After the pulse and the fast headspace-to-liquid equilibration (tens of seconds): the retained pool plus the fresh CO₂.</t>
  </si>
  <si>
    <t>Time-average of the decay over the gap, written with Φ/Ψ so the no-turnover case (outflow-only vent, growth) is the linear-drain limit rather than 0/0. This is what the pH solve consumes (Chemistry D5 via D162).</t>
  </si>
  <si>
    <t>3.16 kPa at 25 °C, 4.24 kPa at 30 °C, 3–4% of atmospheric, which is exactly the bias it removes from a faradaic-efficiency measurement made by collecting gas over water.</t>
  </si>
  <si>
    <t>(import) Celsius-to-kelvin offset</t>
  </si>
  <si>
    <t>Import from Biology!D66</t>
  </si>
  <si>
    <t>Minimum bubble diameter for the bubble model</t>
  </si>
  <si>
    <t>d_bubble_min_m</t>
  </si>
  <si>
    <t>Mendelson rise correlation valid ~1–10 mm (E46); sub-mm bubbles are out of range.</t>
  </si>
  <si>
    <t>Quasi-static detachment Weber limit</t>
  </si>
  <si>
    <t>We_static_max</t>
  </si>
  <si>
    <t>Tate's-law quasi-static detachment holds for We &lt; ~2 (E64).</t>
  </si>
  <si>
    <t>Cleared-ceiling display value</t>
  </si>
  <si>
    <t>cleared_min</t>
  </si>
  <si>
    <t>Defined display sentinel: removal exceeds the source, so the ceiling is never reached.</t>
  </si>
  <si>
    <t>Minimum sparge-free gap for an OD read</t>
  </si>
  <si>
    <t>od_gap_min_s</t>
  </si>
  <si>
    <t>Design assumption: time for one Pioreactor OD read between pulses.</t>
  </si>
  <si>
    <t>Stir-bar tip-speed shear limit</t>
  </si>
  <si>
    <t>tip_speed_max</t>
  </si>
  <si>
    <t>Conservative impeller-tip limit for cell culture (BioProcess International); precautionary for HOB.</t>
  </si>
  <si>
    <t>CARBON-LIMITED INTERVAL: IS IT SAFE?</t>
  </si>
  <si>
    <t>O₂ molar mass</t>
  </si>
  <si>
    <t>M_O2</t>
  </si>
  <si>
    <t>IUPAC standard atomic weights: 2 × 15.999.</t>
  </si>
  <si>
    <t>Cycle-mean DO if the interval relaxed to the carbon-limited one</t>
  </si>
  <si>
    <t>DO_at_carbon</t>
  </si>
  <si>
    <t>Same shared headspace balance as D187/D180 (sizing phase, vent model in use) evaluated at the carbon-limited duty instead of the DO-limited one, raised from the flux mean to the cycle (time) mean by saw_factor (D322; the slow-vent limit, so slightly high when air enters) and capped at a pure-O₂ headspace. Guarded: if nothing would leave the headspace, the O₂ fraction tends to 1, which is returned. At that duty the CO₂ leaving is only carbon_margin_min × the fixation, so O₂ is a large fraction of the vent gas and the number is sensitive to carbon_margin_min; the direction (far above the ceiling) is robust, the value is not.</t>
  </si>
  <si>
    <t>AS-RUN PULSE (solenoid command resolution)</t>
  </si>
  <si>
    <t>Solenoid pulse command resolution</t>
  </si>
  <si>
    <t>pulse_res</t>
  </si>
  <si>
    <t>Design assumption: the dosing command is issued in 0.05 s steps — confirm in the AEP-Plugin dosing code.</t>
  </si>
  <si>
    <t>Optimal pulse rounded to the command resolution</t>
  </si>
  <si>
    <t>spg_dur_run</t>
  </si>
  <si>
    <t>Pulse as it can actually be commanded; never below the solenoid floor. Summary D14 shows it.</t>
  </si>
  <si>
    <t>HEADSPACE BALANCE — one vent model shared by the O₂ block (§177), the CO₂ pool (§190) and the lag-phase flammability block (Biology rows 83–88)</t>
  </si>
  <si>
    <t>(import) Vent model</t>
  </si>
  <si>
    <t>vent_model</t>
  </si>
  <si>
    <t>Import from Summary!D11. Owner decision: "Outflow only", "Open vent" or "Air exchange"; anything else returns #N/A by design. Default "Open vent" until the vent hardware is characterised (R2 experiment 1).</t>
  </si>
  <si>
    <t xml:space="preserve">  valid vent model 1</t>
  </si>
  <si>
    <t>vent_name_1</t>
  </si>
  <si>
    <t>Outflow only</t>
  </si>
  <si>
    <t>Check valve or sealed cap that HOLDS the vacuum left after each pulse: no air ever enters. The headspace is then diluted only by the CO₂ pulses and by what electrolysis evolves, and it sags below 1 atm between pulses (hs_sag, D389) — which a real cap may not hold.</t>
  </si>
  <si>
    <t xml:space="preserve">  valid vent model 2</t>
  </si>
  <si>
    <t>vent_name_2</t>
  </si>
  <si>
    <t>Air exchange</t>
  </si>
  <si>
    <t>Measured bidirectional exchange with room air at Q_vent (D142) — forced or diffusive flow through an open port. Q_vent must then be the TOTAL air ingress, including any per-pulse back-draw.</t>
  </si>
  <si>
    <t>(import) O₂ sizing phase</t>
  </si>
  <si>
    <t>O2_sizing_phase</t>
  </si>
  <si>
    <t>Import from Summary!D12. Owner decision: "Growth" sizes the schedule on the surplus after knallgas uptake; "Lag" on the whole net electrolytic O₂ with the H₂ as a diluent. Anything else returns #N/A by design. Both phases are always reported (rows 327–369).</t>
  </si>
  <si>
    <t xml:space="preserve">  valid sizing phase 1</t>
  </si>
  <si>
    <t>phase_name_1</t>
  </si>
  <si>
    <t>Steady growth: 100 % H₂ uptake (Biology D13), so the O₂ source is O2_excess and no H₂ reaches the headspace.</t>
  </si>
  <si>
    <t xml:space="preserve">  valid sizing phase 2</t>
  </si>
  <si>
    <t>phase_name_2</t>
  </si>
  <si>
    <t>Lag</t>
  </si>
  <si>
    <t>Lag / establishment: no uptake, so all net electrolytic O₂ and all H₂ reach the headspace and no CO₂ is fixed.</t>
  </si>
  <si>
    <t>Dry-air O₂ mole fraction</t>
  </si>
  <si>
    <t>y_O2_air</t>
  </si>
  <si>
    <t>Standard dry air, 20.95 vol % O₂ (CRC Handbook; ISO 2533). Enters the balance only in the "Air exchange" vent model.</t>
  </si>
  <si>
    <t>Vent air ingress (molar)</t>
  </si>
  <si>
    <t>F_vent_ex</t>
  </si>
  <si>
    <t>Molar air ingress through the vent (ideal gas at P_atm, T_K): Q_vent_used (D386) converted mL/min → mol/h. Zero only for a true check valve ("Outflow only"). Inherits the uncertainty of Q_backdraw / Q_vent — measure it.</t>
  </si>
  <si>
    <t>O₂ source — growth phase</t>
  </si>
  <si>
    <t>O2_src_g</t>
  </si>
  <si>
    <t>Surplus O₂ after full-H₂-uptake respiration (Biology D16). A LOWER bound on the surplus: any H₂ that bubbles off uncaught raises it.</t>
  </si>
  <si>
    <t>O₂ source — lag phase</t>
  </si>
  <si>
    <t>O2_src_l</t>
  </si>
  <si>
    <t>Net electrolytic O₂ with no biological uptake, with the cathodic loss at the lag DO (Electrochemistry D132, via DO_lag_ref) rather than at the design DO (D29): at the higher lag DO the cathode reduces ~2.4× more O₂, so this is ~7 % below O2_net_gen.</t>
  </si>
  <si>
    <t>Import from Electrochemistry!D21.</t>
  </si>
  <si>
    <t>(import) H₂ consumed</t>
  </si>
  <si>
    <t>Import from Biology!D13 (100 % uptake in steady growth).</t>
  </si>
  <si>
    <t>H₂ to headspace — growth phase</t>
  </si>
  <si>
    <t>H2_src_g</t>
  </si>
  <si>
    <t>Residual H₂ reaching the headspace in growth: evolved H₂ less what the anode oxidises (H2_HOR_mt) less uptake; zero under the 100 % uptake assumption. A real residual (cathode bubbles bypassing the liquid) is a DATA GAP — see the off-gas H₂ experiment.</t>
  </si>
  <si>
    <t>H₂ to headspace — lag phase</t>
  </si>
  <si>
    <t>H2_src_l</t>
  </si>
  <si>
    <t>All H₂ evolved during lag (Electrochemistry D133, at the lag DO) that the anode does not oxidise (H2_HOR_mt) reaches the headspace before uptake starts.</t>
  </si>
  <si>
    <t>CO₂ fixation sink — growth phase</t>
  </si>
  <si>
    <t>CO2_fix_g</t>
  </si>
  <si>
    <t>Carbon fixed by the culture (Biology D15) is drawn from the dissolved pool and hence from the headspace.</t>
  </si>
  <si>
    <t>CO₂ fixation sink — lag phase</t>
  </si>
  <si>
    <t>CO2_fix_l</t>
  </si>
  <si>
    <t>By definition of the lag phase: no carbon fixation yet.</t>
  </si>
  <si>
    <t>O₂ source — sizing phase</t>
  </si>
  <si>
    <t>O2_src_sched</t>
  </si>
  <si>
    <t>The O₂ source the schedule is sized on, picked by O2_sizing_phase (D304).</t>
  </si>
  <si>
    <t>H₂ to headspace — sizing phase</t>
  </si>
  <si>
    <t>H2_src_sched</t>
  </si>
  <si>
    <t>As above, for H₂ (a diluent in the balance).</t>
  </si>
  <si>
    <t>CO₂ fixation sink — sizing phase</t>
  </si>
  <si>
    <t>CO2_fix_sched</t>
  </si>
  <si>
    <t>As above, for the fixation sink.</t>
  </si>
  <si>
    <t>Headspace volumes per pulse (optimal pulse)</t>
  </si>
  <si>
    <t>flush_vol_opt</t>
  </si>
  <si>
    <t>CO₂ delivered by the optimal pulse (D90) in headspace volumes; = flush_factor unless the solenoid floor binds. Used for sizing, so it must not depend on the schedule in use.</t>
  </si>
  <si>
    <t>Headspace retained through the optimal pulse</t>
  </si>
  <si>
    <t>flush_ret_opt</t>
  </si>
  <si>
    <t>Design assumption: the pulse flushes a WELL-MIXED headspace, so exp(−volumes) of the old gas survives it (plug flow would leave none). The 5 mm-high headspace disk sits between the two; well-mixed is the conservative choice for every dilution verdict here.</t>
  </si>
  <si>
    <t>Sawtooth factor (time-mean ÷ flux-mean headspace O₂)</t>
  </si>
  <si>
    <t>saw_factor</t>
  </si>
  <si>
    <t>The headspace O₂ ramps up between pulses and is knocked down by each flush. The gas LEAVING carries the flux-weighted mean; the liquid sees the TIME mean, which is higher by this factor in the slow-vent limit (little gas leaves between pulses): f·(1+e^−f)/(2(1−e^−f)), 1.08 for one well-mixed headspace volume. Applied to the sizing so that the cycle-mean DO, not the flux mean, sits at the target. Conservative (overstates the sawtooth) when the vent turns the headspace over within a gap.</t>
  </si>
  <si>
    <t>Headspace volumes per pulse (schedule in use)</t>
  </si>
  <si>
    <t>flush_vol</t>
  </si>
  <si>
    <t>CO₂ actually delivered per pulse (D123, follows any override) in headspace volumes.</t>
  </si>
  <si>
    <t>Headspace retained through a pulse (schedule in use)</t>
  </si>
  <si>
    <t>flush_ret</t>
  </si>
  <si>
    <t>exp(−volumes), well-mixed flush as above.</t>
  </si>
  <si>
    <t>Gap between pulses</t>
  </si>
  <si>
    <t>t_gap_h</t>
  </si>
  <si>
    <t>D152 in hours, to match the mol/h flows.</t>
  </si>
  <si>
    <t>Liquid O₂ response time</t>
  </si>
  <si>
    <t>tau_L_h</t>
  </si>
  <si>
    <t>1/kLa: how fast the dissolved O₂ follows the headspace (D98).</t>
  </si>
  <si>
    <t>Headspace O₂ inflow — growth</t>
  </si>
  <si>
    <t>S_O2_g</t>
  </si>
  <si>
    <t>O₂ entering the headspace: from the liquid (the whole source must leave this way at steady state) plus the O₂ in any exchanged air.</t>
  </si>
  <si>
    <t>Net vent outflow, cycle mean — growth</t>
  </si>
  <si>
    <t>F_hs_net_g</t>
  </si>
  <si>
    <t>Everything entering the headspace over a cycle minus the fixation sink: the gas that must leave through the vent on average.</t>
  </si>
  <si>
    <t>Mean-field headspace O₂ — growth</t>
  </si>
  <si>
    <t>y_O2_mf_g</t>
  </si>
  <si>
    <t>ONE headspace balance, flux-weighted: O₂ in ÷ all gas out (vent outflow plus exchange). Reduces to O₂/(O₂+CO₂) with no exchange, no H₂ and no fixation — the old D187. Biology D85 is the same balance on the lag source.</t>
  </si>
  <si>
    <t>Mean-field headspace H₂ — growth</t>
  </si>
  <si>
    <t>y_H2_mf_g</t>
  </si>
  <si>
    <t>Same balance for H₂ (Biology D84 on the lag source).</t>
  </si>
  <si>
    <t>Gas leaving between pulses — growth</t>
  </si>
  <si>
    <t>F_gap_g</t>
  </si>
  <si>
    <t>What leaves the headspace during the gap: the exchange flow plus the net evolved gas that must be vented to hold 1 atm. Floored at zero — when fixation outpaces evolution the headspace merely sags, nothing leaves.</t>
  </si>
  <si>
    <t>Headspace turnovers per gap — growth</t>
  </si>
  <si>
    <t>x_hs_g</t>
  </si>
  <si>
    <t>Dimensionless gap length for the headspace ramp.</t>
  </si>
  <si>
    <t>Φ(x) = (1−e^−x)/x — growth</t>
  </si>
  <si>
    <t>phi_hs_g</t>
  </si>
  <si>
    <t>Exponential-ramp helper; the limit at x → 0 is 1, which keeps the slow-vent case singularity-free.</t>
  </si>
  <si>
    <t>Ψ(x) = (x−1+e^−x)/x² — growth</t>
  </si>
  <si>
    <t>psi_hs_g</t>
  </si>
  <si>
    <t>Time-mean helper for the same ramp; the limit at x → 0 is ½ (mean of a linear ramp).</t>
  </si>
  <si>
    <t>O₂ rise per gap, undiluted — growth</t>
  </si>
  <si>
    <t>dy_O2_g</t>
  </si>
  <si>
    <t>Headspace O₂ fraction gained over one gap if nothing left.</t>
  </si>
  <si>
    <t>Headspace O₂ just before a pulse — growth</t>
  </si>
  <si>
    <t>y_O2_end_g</t>
  </si>
  <si>
    <t>Periodic solution of n·dy/dt = S − y·L over the gap with each pulse retaining flush_ret of the headspace: the sawtooth top.</t>
  </si>
  <si>
    <t>Headspace O₂ just after a pulse — growth</t>
  </si>
  <si>
    <t>y_O2_post_g</t>
  </si>
  <si>
    <t>Sawtooth bottom.</t>
  </si>
  <si>
    <t>Time-mean headspace O₂ — growth</t>
  </si>
  <si>
    <t>y_O2_avg_g</t>
  </si>
  <si>
    <t>Exact time average of that ramp — what the liquid equilibrates with.</t>
  </si>
  <si>
    <t>DO excess needed to drive the surface flux — growth</t>
  </si>
  <si>
    <t>DO_surf_excess_g</t>
  </si>
  <si>
    <t>flux = kLa·V·(C − C*) on the growth source (companion of D181 for lag).</t>
  </si>
  <si>
    <t>Mean-field DO — growth</t>
  </si>
  <si>
    <t>DO_mf_g</t>
  </si>
  <si>
    <t>Surface excess plus Henry equilibrium with the flux-mean headspace: the quantity the sizing (D184) holds at DO_target ÷ saw_factor.</t>
  </si>
  <si>
    <t>Cycle-mean DO — growth</t>
  </si>
  <si>
    <t>DO_avg_g</t>
  </si>
  <si>
    <t>Surface excess plus equilibrium with the TIME-mean headspace: the time-mean of the liquid is exactly this (linear liquid balance).</t>
  </si>
  <si>
    <t>Peak DO — growth</t>
  </si>
  <si>
    <t>DO_peak_g</t>
  </si>
  <si>
    <t>Liquid DO just before a pulse: the headspace top minus the lag of a first-order liquid (τ = 1/kLa) behind the end-of-gap ramp slope. Quasi-steady approximation, valid while the gap ≫ τ; floored at the cycle mean. Time-stepped check: within 4 % of the limit-cycle ODE in all four vent/phase cases.</t>
  </si>
  <si>
    <t>Cycle-mean DO — growth (mg/L)</t>
  </si>
  <si>
    <t>DO_avg_g_mgL</t>
  </si>
  <si>
    <t>For the Summary.</t>
  </si>
  <si>
    <t>Peak DO — growth (mg/L)</t>
  </si>
  <si>
    <t>DO_peak_g_mgL</t>
  </si>
  <si>
    <t>Surface kLa required at the target DO — growth</t>
  </si>
  <si>
    <t>kLa_surf_req_g</t>
  </si>
  <si>
    <t>Below this no sparge interval can hold the target on this source.</t>
  </si>
  <si>
    <t>kLa feasibility margin — growth</t>
  </si>
  <si>
    <t>kLa_margin_g</t>
  </si>
  <si>
    <t>kLa in use ÷ kLa required. Below 1 the target is unreachable on this phase at any interval.</t>
  </si>
  <si>
    <t>DO_feas_g</t>
  </si>
  <si>
    <t>Feasibility verdict for this phase, independent of which phase the schedule is sized on.</t>
  </si>
  <si>
    <t>Peak DO vs inhibition ceiling — growth</t>
  </si>
  <si>
    <t>DO_peak_chk_g</t>
  </si>
  <si>
    <t>The sawtooth peak against the growth-inhibition ceiling (Biology D27). Not a tautology: the peak is not what the schedule is sized on.</t>
  </si>
  <si>
    <t>Headspace O₂ inflow — lag</t>
  </si>
  <si>
    <t>S_O2_l</t>
  </si>
  <si>
    <t>Net vent outflow, cycle mean — lag</t>
  </si>
  <si>
    <t>F_hs_net_l</t>
  </si>
  <si>
    <t>Mean-field headspace O₂ — lag</t>
  </si>
  <si>
    <t>y_O2_mf_l</t>
  </si>
  <si>
    <t>Mean-field headspace H₂ — lag</t>
  </si>
  <si>
    <t>y_H2_mf_l</t>
  </si>
  <si>
    <t>Gas leaving between pulses — lag</t>
  </si>
  <si>
    <t>F_gap_l</t>
  </si>
  <si>
    <t>Headspace turnovers per gap — lag</t>
  </si>
  <si>
    <t>x_hs_l</t>
  </si>
  <si>
    <t>Φ(x) = (1−e^−x)/x — lag</t>
  </si>
  <si>
    <t>phi_hs_l</t>
  </si>
  <si>
    <t>Ψ(x) = (x−1+e^−x)/x² — lag</t>
  </si>
  <si>
    <t>psi_hs_l</t>
  </si>
  <si>
    <t>O₂ rise per gap, undiluted — lag</t>
  </si>
  <si>
    <t>dy_O2_l</t>
  </si>
  <si>
    <t>Headspace O₂ just before a pulse — lag</t>
  </si>
  <si>
    <t>y_O2_end_l</t>
  </si>
  <si>
    <t>Headspace O₂ just after a pulse — lag</t>
  </si>
  <si>
    <t>y_O2_post_l</t>
  </si>
  <si>
    <t>Time-mean headspace O₂ — lag</t>
  </si>
  <si>
    <t>y_O2_avg_l</t>
  </si>
  <si>
    <t>Mean-field DO — lag</t>
  </si>
  <si>
    <t>DO_mf_l</t>
  </si>
  <si>
    <t>Cycle-mean DO — lag</t>
  </si>
  <si>
    <t>DO_avg_l</t>
  </si>
  <si>
    <t>Peak DO — lag</t>
  </si>
  <si>
    <t>DO_peak_l</t>
  </si>
  <si>
    <t>Cycle-mean DO — lag (mg/L)</t>
  </si>
  <si>
    <t>DO_avg_l_mgL</t>
  </si>
  <si>
    <t>Peak DO — lag (mg/L)</t>
  </si>
  <si>
    <t>DO_peak_l_mgL</t>
  </si>
  <si>
    <t>Surface kLa required at the target DO — lag</t>
  </si>
  <si>
    <t>kLa_surf_req_l</t>
  </si>
  <si>
    <t>kLa feasibility margin — lag</t>
  </si>
  <si>
    <t>kLa_margin_l</t>
  </si>
  <si>
    <t>DO_feas_l</t>
  </si>
  <si>
    <t>Peak DO vs inhibition ceiling — lag</t>
  </si>
  <si>
    <t>DO_peak_chk_l</t>
  </si>
  <si>
    <t>Gas leaving between pulses — sizing phase</t>
  </si>
  <si>
    <t>F_gap_sched</t>
  </si>
  <si>
    <t>Feeds the headspace turnover k_vent (D143) and hence the CO₂ pool decay.</t>
  </si>
  <si>
    <t>Cycle-mean DO — sizing phase</t>
  </si>
  <si>
    <t>DO_avg_sched</t>
  </si>
  <si>
    <t>Feeds D108 (DO_ss).</t>
  </si>
  <si>
    <t>Peak DO — sizing phase</t>
  </si>
  <si>
    <t>DO_peak_sched</t>
  </si>
  <si>
    <t>Feeds the organism-band check below and Summary D21.</t>
  </si>
  <si>
    <t>DO vs organism band — mean vs optimum, peak vs impairment (sizing phase)</t>
  </si>
  <si>
    <t>DO_peak_band</t>
  </si>
  <si>
    <t>The Summary O₂ check, rule (a): each statistic against what it is for — the cycle MEAN (DO_avg_sched) against the organism optimum (the schedule is sized on the mean; the optimum is a time-averaged quantity) and the sawtooth PEAK (DO_peak_sched) against the impairment threshold (what a transient must stay under). With the band unmeasured, the peak is tested against the inhibition ceiling.</t>
  </si>
  <si>
    <t>Gap CO₂ change, slow-vent limit</t>
  </si>
  <si>
    <t>pool_D_raw</t>
  </si>
  <si>
    <t>Pool concentration change over one gap if the decay were linear: CO₂ carried in by exchanged air (air is 0.04 % CO₂) minus carbon fixed, spread over the liquid plus headspace-equivalent volume. Negative = loss.</t>
  </si>
  <si>
    <t>Pool turnovers per gap</t>
  </si>
  <si>
    <t>pool_x</t>
  </si>
  <si>
    <t>k_eff·t_gap; pool_e (D197) is exp(−this).</t>
  </si>
  <si>
    <t>Φ(x) — pool</t>
  </si>
  <si>
    <t>pool_phi</t>
  </si>
  <si>
    <t>As phi_hs; limit 1 at x → 0 so an outflow-only growth headspace (nothing vented between pulses) stays singularity-free.</t>
  </si>
  <si>
    <t>Ψ(x) — pool</t>
  </si>
  <si>
    <t>pool_psi</t>
  </si>
  <si>
    <t>As psi_hs; limit ½.</t>
  </si>
  <si>
    <t>Gap CO₂ change</t>
  </si>
  <si>
    <t>pool_D_gap</t>
  </si>
  <si>
    <t>The asymptote term of the exponential decay, written as D_raw·Φ so it needs no division by k_eff.</t>
  </si>
  <si>
    <t>Pool share retained through a pulse</t>
  </si>
  <si>
    <t>pool_ret</t>
  </si>
  <si>
    <t>The liquid share survives the pulse untouched; of the headspace share, flush_ret survives the well-mixed flush. Replaces the hard-coded full displacement (R2-m3).</t>
  </si>
  <si>
    <t>Mean-field headspace CO₂ — sizing phase (cross-check)</t>
  </si>
  <si>
    <t>y_CO2_mf</t>
  </si>
  <si>
    <t>The same flux balance as y_O2_mf, for CO₂. Diagnostic: the pool model (D198–D200) and this should agree to within the sawtooth; 96 % CO₂ in "Outflow only" at the optimal schedule.</t>
  </si>
  <si>
    <t>Mean-field dissolved CO₂ (cross-check)</t>
  </si>
  <si>
    <t>C_CO2_mf</t>
  </si>
  <si>
    <t>Henry equilibrium with the flux-mean headspace CO₂; compare with CO2_cyc_avg_new (D200).</t>
  </si>
  <si>
    <t>HEADSPACE BALANCE (cont.) — open vent and air ingress, anodic H₂ oxidation, pre-pulse H₂, vacuum check</t>
  </si>
  <si>
    <t xml:space="preserve">  valid vent model 3</t>
  </si>
  <si>
    <t>vent_name_3</t>
  </si>
  <si>
    <t>A plain needle or tube with no forced flow: air is drawn back after each pulse to refill what the liquid absorbs (no check valve), at the equivalent continuous ingress Q_backdraw (D385). Unsure which vent you have → this one.</t>
  </si>
  <si>
    <t>Open-vent back-draw (equivalent continuous air ingress)</t>
  </si>
  <si>
    <t>Q_backdraw</t>
  </si>
  <si>
    <t>ODE-equivalent pressure back-draw at the default schedule (review R4: limit-cycle ODE, open vent, no exchange, ≈0.16 mL of air per 12.7 min cycle). Schedule-dependent, coarse — measure (pressure-decay or headspace-O₂ tracer). Used only when vent_model = "Open vent".</t>
  </si>
  <si>
    <t>Air ingress for the vent model in use</t>
  </si>
  <si>
    <t>Q_vent_used</t>
  </si>
  <si>
    <t>0 for "Outflow only" (check valve), Q_backdraw for "Open vent", the measured Q_vent for "Air exchange"; anything else #N/A by design. The vent is a continuum: 0 is a true check valve. Feeds F_vent_ex (D308) and Summary D113.</t>
  </si>
  <si>
    <t>H2_HOR_mt</t>
  </si>
  <si>
    <t>Import from Electrochemistry!D149 (r_H2_HOR; 0 while f_HOR_anode is a data gap).</t>
  </si>
  <si>
    <t>Headspace H₂ just before a pulse — lag</t>
  </si>
  <si>
    <t>y_H2_end_l</t>
  </si>
  <si>
    <t>The H₂ analogue of y_O2_end_l (D358): periodic sawtooth top of the lag headspace at the schedule in use (no H₂ in air). The flammability verdict uses the mean-field mix; this is how high the vial gets before each pulse.</t>
  </si>
  <si>
    <t>Headspace pressure sag per cycle if the vent held a vacuum</t>
  </si>
  <si>
    <t>hs_sag</t>
  </si>
  <si>
    <t>Upper bound on the per-gap pressure deficit (fraction of 1 atm) that an outflow-only (check-valve) headspace implies: the CO₂ the liquid absorbs after each pulse plus the fixation that outruns gas evolution, over the headspace inventory. The limit-cycle ODE gives somewhat less (≈0.022 vs ≈0.03 at the outflow-only default).</t>
  </si>
  <si>
    <t>Largest sag a sealed cap is taken to hold</t>
  </si>
  <si>
    <t>hs_sag_max</t>
  </si>
  <si>
    <t>Design assumption: the per-cycle pressure deficit (≈5 kPa) a check valve or sealed cap is taken to hold without drawing air back. Confirm on the hardware.</t>
  </si>
  <si>
    <t>hs_sag_chk</t>
  </si>
  <si>
    <t>Flags the vacuum the check-valve model needs. When it fires, "Outflow only" is not a physical description of the vial.</t>
  </si>
  <si>
    <t>(import) sparge duration override</t>
  </si>
  <si>
    <t>override_spg_dur_s</t>
  </si>
  <si>
    <t>→ Summary (override_spg_dur_s)</t>
  </si>
  <si>
    <t>(import) sparge interval override</t>
  </si>
  <si>
    <t>override_spg_int_min</t>
  </si>
  <si>
    <t>→ Summary (override_spg_int_min)</t>
  </si>
  <si>
    <t>(import) Net O₂ to the liquid — lag (cathodic loss at the lag DO)</t>
  </si>
  <si>
    <t>O2_net_lag_mt</t>
  </si>
  <si>
    <t>Import from Electrochemistry!D132 (O2_net_lag).</t>
  </si>
  <si>
    <t>(import) H₂ evolved — lag</t>
  </si>
  <si>
    <t>rH2_lag_mt</t>
  </si>
  <si>
    <t>Import from Electrochemistry!D133 (rH2_lag).</t>
  </si>
  <si>
    <t>Solenoid floor when no minimum pulse is recorded</t>
  </si>
  <si>
    <t>pulse_floor_default</t>
  </si>
  <si>
    <t>Weak estimate: the shortest pulse logged for ed04 (CO2 flows I4, 0.25 s), used only for a reactor calibrated on the Calibrations tab with no Min pulse entry and no CO2 flows row. Confirm per reactor (flow-calibration.md, minimum-pulse step).</t>
  </si>
  <si>
    <t>PULSE-VOLUME FIT, CARRYOVER LIMIT, CO₂ UPTAKE, DIC STORAGE AND DRY-GAS BASIS</t>
  </si>
  <si>
    <t>Points in the pulse-volume fit (this reactor)</t>
  </si>
  <si>
    <t>fit_n</t>
  </si>
  <si>
    <t>CO2 flows rows with a pulse time (F &gt; 0) for the selected reactor, less those flagged 1 in column N (the red outliers). SUMPRODUCT normal equations: no dynamic arrays, no CSE.</t>
  </si>
  <si>
    <t xml:space="preserve">  Σ t (pulse time)</t>
  </si>
  <si>
    <t>fit_St</t>
  </si>
  <si>
    <t>Normal-equation sum over the selected rows.</t>
  </si>
  <si>
    <t xml:space="preserve">  Σ V (pulse volume)</t>
  </si>
  <si>
    <t>fit_SV</t>
  </si>
  <si>
    <t xml:space="preserve">  Σ t²</t>
  </si>
  <si>
    <t>fit_Stt</t>
  </si>
  <si>
    <t>s²</t>
  </si>
  <si>
    <t xml:space="preserve">  Σ t·V</t>
  </si>
  <si>
    <t>fit_StV</t>
  </si>
  <si>
    <t>mL·s</t>
  </si>
  <si>
    <t>Minimum points for a pulse-volume fit</t>
  </si>
  <si>
    <t>fit_n_min</t>
  </si>
  <si>
    <t>Design assumption: fewer points (or all at one pulse length) and the fit falls back to the nominal flow with no intercept.</t>
  </si>
  <si>
    <t>Fitted steady CO₂ flow (slope)</t>
  </si>
  <si>
    <t>Q_CO2_fit</t>
  </si>
  <si>
    <t>One rule: the source that sets Q_CO2 also sets the pulse model. A Calibrations-tab flow (cal_flow) is a steady open-valve flow, so it is the slope here; otherwise the least-squares slope of pulse volume on pulse time over the CO2 flows rows (R2-M3; ed04: 3.319 mL/s over 34 runs, vs the 3.33 nominal); Q_CO2/60 when there is no usable fit.</t>
  </si>
  <si>
    <t>Fixed volume per pulse (solenoid opening + line decompression)</t>
  </si>
  <si>
    <t>pulse_V0</t>
  </si>
  <si>
    <t>Least-squares intercept (R2-M3): ed04 0.375 mL (0.327 if the 15 s run is dropped, 0.131 on ≤2 s runs only). Weak: captured at the inlet tube over CO₂-saturated water / NaHCO₃ (CO2 flows L7–L9), ±0.2 mL. 0 while a Calibrations-tab flow is in use (steady flow, intercept unknown) until the per-pulse volume is re-measured downstream of a sealed cap.</t>
  </si>
  <si>
    <t>Optimal pulse as full-flow equivalent time</t>
  </si>
  <si>
    <t>spg_dur_eq_opt</t>
  </si>
  <si>
    <t>The time the steady flow Q_CO2 would take to deliver what the optimal pulse actually delivers (V₀ + Q_fit·t). Every duty-based interval (carbon, O₂ dilution, H₂ safety) converts duty to interval through this, so the intercept moves the pulse, not the dose.</t>
  </si>
  <si>
    <t>Pulse in use as full-flow equivalent time</t>
  </si>
  <si>
    <t>spg_dur_eq</t>
  </si>
  <si>
    <t>As above for the schedule in use (follows any override).</t>
  </si>
  <si>
    <t>CO₂ volume per pulse (schedule in use)</t>
  </si>
  <si>
    <t>V_pulse</t>
  </si>
  <si>
    <t>V = V₀ + Q_fit·t at the pulse in use; CO2_pulse (D123) converts it to moles.</t>
  </si>
  <si>
    <t>Measured no-carryover limits for this reactor</t>
  </si>
  <si>
    <t>carry_n</t>
  </si>
  <si>
    <t>Rows of CO2 flows column M with a value for the selected reactor (review R3 M-17).</t>
  </si>
  <si>
    <t>Max flow without carryover (lowest measured)</t>
  </si>
  <si>
    <t>Q_carry_max</t>
  </si>
  <si>
    <t>DATA GAP until measured (CO2 flows column M). The lowest entry for the reactor is used (conservative). Key L3 says the nominal flow was set as the largest without bubbles reaching the neck; if that run is taken as the measurement, enter J4 in M4.</t>
  </si>
  <si>
    <t>carry_flag_usg</t>
  </si>
  <si>
    <t>The former carry_flag test, kept as a secondary line: u_sg vs u_g_max (D58, provisional). It cannot bind below ~25 mL/s, which is why the primary check (D59) now uses the measured limit.</t>
  </si>
  <si>
    <t>(import) DIC capacity factor of the liquid</t>
  </si>
  <si>
    <t>DIC_cap_mt</t>
  </si>
  <si>
    <t>Import from Chemistry!D296 (DIC_cap).</t>
  </si>
  <si>
    <t>Liquid CO₂ capacity as CO₂(aq)-equivalent volume</t>
  </si>
  <si>
    <t>V_L_CO2</t>
  </si>
  <si>
    <t>The liquid holds CO₂(aq) plus the bicarbonate it forms, so for the pool it counts as DIC_cap × its volume (R2-m3). Used in D193, D195, D375, D389 and D417.</t>
  </si>
  <si>
    <t>CO₂ absorbed after each pulse, per hour : carbon demand</t>
  </si>
  <si>
    <t>CO2_uptake_ratio</t>
  </si>
  <si>
    <t>Review R3 M-18: the CO₂ the liquid actually takes up when each pulse equilibrates (rise of the pool from trough to peak × the liquid capacity incl. bicarbonate, V_L_CO2) × pulses per hour, over fixation. Unlike D126 it ignores gas expelled unabsorbed. Not a sufficiency test: below 1 the culture also draws on headspace CO₂ between pulses (Outflow only, growth: 0.84×); carbon sufficiency is the trough margin (Biology D98).</t>
  </si>
  <si>
    <t>Dry-gas pressure in the headspace</t>
  </si>
  <si>
    <t>P_dry</t>
  </si>
  <si>
    <t>The headspace over the culture is saturated with water vapour, so the gases the Henry terms see share P_atm − p_sat_w (R2-m8, −3.1 % at 25 °C).</t>
  </si>
  <si>
    <t>max flow without carryover</t>
  </si>
  <si>
    <t>excluded from pulse fit</t>
  </si>
  <si>
    <t>1 = yes</t>
  </si>
  <si>
    <t>CO2 collected in measuring cylinder over CO2-saturated water</t>
  </si>
  <si>
    <t>Collected over saturated NaHCO3 solution</t>
  </si>
  <si>
    <t>Column M: highest steady flow at which no liquid is carried into the vial neck or vent for this reactor (measured; blank = not measured, and Mass Transfer carry_flag then reads "not measured"). If the lowest entry for the reactor is below the pulse flow, carry_flag reads RISK.</t>
  </si>
  <si>
    <t>Column N: 1 = point excluded from the pulse-volume fit V = V₀ + Q·t on Mass Transfer (rows 401–408); 1 is set on the two red outliers (G36, G46). Blank = used.</t>
  </si>
  <si>
    <t>Value in use: the most recent included measurement for the active reactor (a flow rate is a valve/hardware setting, so the latest reading replaces older ones). An included flow here calibrates the reactor on its own (no CO2 flows row needed). Min pulse (column J, optional): the shortest commanded pulse that still delivers a repeatable volume; the latest included entry sets the solenoid floor (row 61).</t>
  </si>
  <si>
    <t>Min pulse (s)</t>
  </si>
  <si>
    <t>Value in use - minimum reliable pulse</t>
  </si>
  <si>
    <t>Headspace (computed)</t>
  </si>
  <si>
    <t>Working-fill mass</t>
  </si>
  <si>
    <t>Working fill (computed)</t>
  </si>
  <si>
    <t>Value in use - headspace at working fill</t>
  </si>
  <si>
    <t>Value in use - working fill behind that headspace</t>
  </si>
  <si>
    <t>NAMED CONSTANTS AND IMPORTS</t>
  </si>
  <si>
    <t>Bubble-point constant (water)</t>
  </si>
  <si>
    <t>bp_const</t>
  </si>
  <si>
    <t>µm·kPa</t>
  </si>
  <si>
    <t>Bubble-point law d = 4σ/ΔP for water (σ = 72.8 mN/m, θ = 0): d in µm with ΔP in kPa.</t>
  </si>
  <si>
    <t>Sinter grade boundary P0/P1</t>
  </si>
  <si>
    <t>por_break_1</t>
  </si>
  <si>
    <t>ISO 4793 / DURAN pore-size grade boundary between P0 and P1 (Mass Transfer E33:E38).</t>
  </si>
  <si>
    <t>Sinter grade boundary P1/P2</t>
  </si>
  <si>
    <t>por_break_2</t>
  </si>
  <si>
    <t>ISO 4793 / DURAN pore-size grade boundary between P1 and P2 (Mass Transfer E33:E38).</t>
  </si>
  <si>
    <t>Sinter grade boundary P2/P3</t>
  </si>
  <si>
    <t>por_break_3</t>
  </si>
  <si>
    <t>ISO 4793 / DURAN pore-size grade boundary between P2 and P3 (Mass Transfer E33:E38).</t>
  </si>
  <si>
    <t>Sinter grade boundary P3/P4</t>
  </si>
  <si>
    <t>por_break_4</t>
  </si>
  <si>
    <t>ISO 4793 / DURAN pore-size grade boundary between P3 and P4 (Mass Transfer E33:E38).</t>
  </si>
  <si>
    <t>Sinter grade boundary P4/P5</t>
  </si>
  <si>
    <t>por_break_5</t>
  </si>
  <si>
    <t>ISO 4793 / DURAN pore-size grade boundary between P4 and P5 (Mass Transfer E33:E38).</t>
  </si>
  <si>
    <t>(import) Electrons per H₂</t>
  </si>
  <si>
    <t>Import from Electrochemistry!D16</t>
  </si>
  <si>
    <t>(import) Electrons per O₂</t>
  </si>
  <si>
    <t>Import from Electrochemistry!D17</t>
  </si>
  <si>
    <t>(import) Magnus coefficient A</t>
  </si>
  <si>
    <t>Import from Mass Transfer!D203 (pw_A; Magnus–Tetens, T in °C)</t>
  </si>
  <si>
    <t>(import) Magnus coefficient B</t>
  </si>
  <si>
    <t>Import from Mass Transfer!D204 (pw_B; Magnus–Tetens, T in °C)</t>
  </si>
  <si>
    <t>(import) Magnus coefficient C</t>
  </si>
  <si>
    <t>Import from Mass Transfer!D205 (pw_C; Magnus–Tetens, T in °C)</t>
  </si>
  <si>
    <t>(import) Liquid density intercept</t>
  </si>
  <si>
    <t>ca_rho_0</t>
  </si>
  <si>
    <t>Import from Mass Transfer!D169 (rho_0; density law ρ = ρ₀ + k·T[°C])</t>
  </si>
  <si>
    <t>(import) Liquid density slope</t>
  </si>
  <si>
    <t>ca_rho_k</t>
  </si>
  <si>
    <t>Import from Mass Transfer!D170 (rho_k)</t>
  </si>
  <si>
    <t>(import) Reactor selected on Summary</t>
  </si>
  <si>
    <t>Import from Summary!D2 (Reactor_sel)</t>
  </si>
  <si>
    <t>(import) Organism selected on Summary</t>
  </si>
  <si>
    <t>Import from Summary!D4 (organism_sel)</t>
  </si>
  <si>
    <t>(import) Reactor type (resolved from reactor)</t>
  </si>
  <si>
    <t>Import from Geometry!D51 (rx_ver)</t>
  </si>
  <si>
    <t>Import from Geometry!D21 (A_x)</t>
  </si>
  <si>
    <t>(import) Molar gas constant</t>
  </si>
  <si>
    <t>Import from Mass Transfer!D101 (R_gas)</t>
  </si>
  <si>
    <t>Import from Electrochemistry!D15 (F_const)</t>
  </si>
  <si>
    <t>NaHCO₃ to lift pH to the target (first-order)</t>
  </si>
  <si>
    <t>g/L</t>
  </si>
  <si>
    <t>Alkalinity the medium would need for a probe pH of Chemistry D303 (the 6.5 band floor by default) at today’s dissolved CO₂. A media-design lever for row 128; not fed back into the model yet.</t>
  </si>
  <si>
    <t>Same, as extra alkalinity</t>
  </si>
  <si>
    <t>mM</t>
  </si>
  <si>
    <t>Any strong base counts (NaHCO₃, KHCO₃, NaOH). Using nitrate or urea instead of NH₄⁺ also avoids the acid released as the culture takes up ammonium.</t>
  </si>
  <si>
    <t>TODO – open work: measurements not yet in the Improvements table, model extensions and owner decisions (also in Media/TODO.md)</t>
  </si>
  <si>
    <t>TODO</t>
  </si>
  <si>
    <t>Measure: headspace vent</t>
  </si>
  <si>
    <t>Decides the vent model (D111), the single biggest input: across plausible vents the interval runs from about 0.9 to 12.7 min. Fix the cap leak noted on CO2 flows L8 first.</t>
  </si>
  <si>
    <t>Measure: abiotic DO trace</t>
  </si>
  <si>
    <t>One run with no cells at 3 % logging DO with an optical spot: tests the whole headspace balance against the lag-phase predictions (rows 116–117).</t>
  </si>
  <si>
    <t>Measure: headspace H₂/O₂ (safety)</t>
  </si>
  <si>
    <t>Safety. The model puts the lag-phase headspace at about 11 % H₂ (row 126), above the 4 % lower flammable limit, until the cells take up H₂.</t>
  </si>
  <si>
    <t>Measure: off-gas H₂ at steady growth</t>
  </si>
  <si>
    <t>H₂ fraction in the vent gas × vent flow, against the H₂ the current makes, gives the H₂ uptake fraction behind the growth O₂ surplus (up to ±200 % on the schedule). Row 69 measures the same ratio in sealed bottles.</t>
  </si>
  <si>
    <t>Measure: free and combined chlorine (DPD)</t>
  </si>
  <si>
    <t>Settles the monochloramine lifetime (Chemistry D142), which moves the interval by about ±32 %. Also confirm the CaCl₂ hydrate state (−24 % on every chlorine figure).</t>
  </si>
  <si>
    <t>Measure: sparger-attached flow check</t>
  </si>
  <si>
    <t>Step 10: confirms the open-line calibration holds with the sinter and liquid back-pressure of the real setup.</t>
  </si>
  <si>
    <t>Model: timed N₂ pulses</t>
  </si>
  <si>
    <t>CO₂ alone cannot hold the DO target and the pH band together (row 128). N₂ pulsed between CO₂ pulses would dilute O₂ and H₂, leaving CO₂ for carbon and pH, so CO₂ pulse, interval and N₂ dose can be solved together. Needs: objective, N₂ hardware and flow.</t>
  </si>
  <si>
    <t>Model: couple alkalinity into pH</t>
  </si>
  <si>
    <t>Rows 131–132 now give the NaHCO₃ for a target pH at first order (about 2 g/L for the 6.5 floor). Still to do: an added-alkalinity input that feeds the charge balance, ionic strength and CO₂ storage, so the schedule and pH respond to it.</t>
  </si>
  <si>
    <t>Model: pulse = shortest reliable</t>
  </si>
  <si>
    <t>Pulse length (D13) is a rule of thumb: about one headspace volume per pulse. A twin trial at the 0.25 s default floor gives 0.25 s every 4.4 min: same pH and growth DO on about 7 % less CO₂, smaller swings, but lag-phase mean DO rises from 4.7 to 6.2 mg/L. Wait for the measured floor (flow-calibration step 9).</t>
  </si>
  <si>
    <t>Model: start-up (lag) regime</t>
  </si>
  <si>
    <t>The schedule is sized for growth (D112). Until the cells take up H₂ the headspace is flammable and DO peaks higher; ramping the electrolysis current with biomass, or N₂ during lag only, covers start-up.</t>
  </si>
  <si>
    <t>Model: measured k_m as input</t>
  </si>
  <si>
    <t>Today a measured ferricyanide k_m is compared by hand with Electrochemistry D84; feeding it in would replace the assumed swirl velocity everywhere.</t>
  </si>
  <si>
    <t>Decide: run temperature 25 or 30 °C</t>
  </si>
  <si>
    <t>The protocols assume 30 °C; the model runs at D8 = 25 °C. Temperature moves CO₂ and O₂ solubility.</t>
  </si>
  <si>
    <t>Decide: M365 on MBA claude account</t>
  </si>
  <si>
    <t>Excel there is view-only: it recalculates for verification but cannot save.</t>
  </si>
  <si>
    <t>ALKALINITY NEEDED FOR A TARGET pH (first-order: dissolved CO₂ and activity coefficients held at the schedule in use)</t>
  </si>
  <si>
    <t>Target pH a probe should read</t>
  </si>
  <si>
    <t>alk_pH_target</t>
  </si>
  <si>
    <t>Defaults to the HOB band floor (D236). Type a number (e.g. 7.0) to size for another target.</t>
  </si>
  <si>
    <t>Target pH on the concentration scale</t>
  </si>
  <si>
    <t>alk_pH_target_c</t>
  </si>
  <si>
    <t>Probe (activity) pH to the concentration scale the charge balance solves on: the inverse of D220.</t>
  </si>
  <si>
    <t>Charge-balance residual at the target pH</t>
  </si>
  <si>
    <t>alk_resid_t</t>
  </si>
  <si>
    <t>Same residual as the pH grid (B50), at the target. Negative = the medium lacks that much strong cation (alkalinity) to sit at the target pH.</t>
  </si>
  <si>
    <t>Extra alkalinity needed for the target pH</t>
  </si>
  <si>
    <t>alk_needed</t>
  </si>
  <si>
    <t>Strong base (Na⁺ or K⁺ added as bicarbonate or hydroxide) that zeroes the residual at the target, holding dissolved CO₂ (D5) and γ fixed. 0 = the target is already met.</t>
  </si>
  <si>
    <t>Molar mass of NaHCO₃</t>
  </si>
  <si>
    <t>M_NaHCO3</t>
  </si>
  <si>
    <t>IUPAC standard atomic weights (Na 22.990, H 1.008, C 12.011, O 15.999).</t>
  </si>
  <si>
    <t>NaHCO₃ to add for the target pH</t>
  </si>
  <si>
    <t>alk_NaHCO3_gL</t>
  </si>
  <si>
    <t>First-order: added Na⁺ raises ionic strength a little and the extra bicarbonate enlarges the CO₂ storage (D296), neither fed back here. Full coupling is on the Summary TODO.</t>
  </si>
  <si>
    <t>AMYBO03</t>
  </si>
  <si>
    <t>Teo final, carbon-free; full recipe on AMYBO03</t>
  </si>
  <si>
    <t>Teo Reid MRes thesis, Table 2, PDF p.10</t>
  </si>
  <si>
    <t>AMYBO03 - Teo final minimal medium</t>
  </si>
  <si>
    <t>Source: Teo Reid, MRes Thesis Final, Table 2 and Medium section, PDF page 10.</t>
  </si>
  <si>
    <t>Base medium</t>
  </si>
  <si>
    <t>Formula</t>
  </si>
  <si>
    <t>g per L H2O</t>
  </si>
  <si>
    <t>Calculated mM</t>
  </si>
  <si>
    <t>Thesis mM</t>
  </si>
  <si>
    <t>Disodium hydrogen phosphate</t>
  </si>
  <si>
    <t>Na2HPO4</t>
  </si>
  <si>
    <t>Sodium dihydrogen phosphate dihydrate</t>
  </si>
  <si>
    <t>NaH2PO4·2H2O</t>
  </si>
  <si>
    <t>Potassium sulfate</t>
  </si>
  <si>
    <t>K2SO4</t>
  </si>
  <si>
    <t>Calcium sulfate dihydrate</t>
  </si>
  <si>
    <t>CaSO4·2H2O</t>
  </si>
  <si>
    <t>Magnesium sulfate heptahydrate</t>
  </si>
  <si>
    <t>MgSO4·7H2O</t>
  </si>
  <si>
    <t>Ammonium sulfate</t>
  </si>
  <si>
    <t>(NH4)2SO4</t>
  </si>
  <si>
    <t>Sodium bicarbonate</t>
  </si>
  <si>
    <t>NaHCO3</t>
  </si>
  <si>
    <t>Stock additions</t>
  </si>
  <si>
    <t>mL per L base</t>
  </si>
  <si>
    <t>Use</t>
  </si>
  <si>
    <t>Iron solution</t>
  </si>
  <si>
    <t>Required</t>
  </si>
  <si>
    <t>Trace mineral solution</t>
  </si>
  <si>
    <t>Sodium gluconate solution</t>
  </si>
  <si>
    <t>Optional, growth with carbon source</t>
  </si>
  <si>
    <t>Model basis</t>
  </si>
  <si>
    <t>Carbon-free base plus required stocks; optional gluconate excluded</t>
  </si>
  <si>
    <t>Iron stock</t>
  </si>
  <si>
    <t>Stock mM</t>
  </si>
  <si>
    <t>Dose mL/L</t>
  </si>
  <si>
    <t>Calculated final µM</t>
  </si>
  <si>
    <t>Thesis final µM</t>
  </si>
  <si>
    <t>Thesis stock mM</t>
  </si>
  <si>
    <t>Iron(II) sulfate heptahydrate</t>
  </si>
  <si>
    <t>FeSO4·7H2O</t>
  </si>
  <si>
    <t>Sulfuric acid</t>
  </si>
  <si>
    <t>H2SO4</t>
  </si>
  <si>
    <t>Trace mineral stock</t>
  </si>
  <si>
    <t>Sodium molybdate dihydrate</t>
  </si>
  <si>
    <t>Na2MoO4·2H2O</t>
  </si>
  <si>
    <t>Zinc sulfate heptahydrate</t>
  </si>
  <si>
    <t>ZnSO4·7H2O</t>
  </si>
  <si>
    <t>Manganese(II) sulfate monohydrate</t>
  </si>
  <si>
    <t>MnSO4·H2O</t>
  </si>
  <si>
    <t>Copper(II) sulfate pentahydrate</t>
  </si>
  <si>
    <t>CuSO4·5H2O</t>
  </si>
  <si>
    <t>Nickel(II) sulfate hexahydrate</t>
  </si>
  <si>
    <t>NiSO4·6H2O</t>
  </si>
  <si>
    <t>Cobalt(II) sulfate heptahydrate</t>
  </si>
  <si>
    <t>CoSO4·7H2O</t>
  </si>
  <si>
    <t>Optional carbon stock</t>
  </si>
  <si>
    <t>Calculated final mM</t>
  </si>
  <si>
    <t>Thesis final mM</t>
  </si>
  <si>
    <t>Sodium gluconate</t>
  </si>
  <si>
    <t>C6H11NaO7</t>
  </si>
  <si>
    <t>Preparation and interpretation</t>
  </si>
  <si>
    <t>Make the base, iron, trace mineral and sodium gluconate solutions separately.</t>
  </si>
  <si>
    <t>Filter-sterilize each solution separately. Autoclaving changed the hue of some solutions.</t>
  </si>
  <si>
    <t>Add 0.68 mL iron stock and 0.05 mL trace mineral stock to 1 L base medium.</t>
  </si>
  <si>
    <t>For growth with a carbon source, add 50 mL sodium gluconate stock to 1 L base medium.</t>
  </si>
  <si>
    <t>Each acidified stock contains 11 mL concentrated sulfuric acid per L H2O; the thesis gives 0.2 M.</t>
  </si>
  <si>
    <t>Sulfuric acid aids iron and trace-mineral solubility. Iron was kept separate because it may reduce shelf life.</t>
  </si>
  <si>
    <t>Sodium gluconate stock: 10% w/v (0.46 M). Thesis nominal supplemented medium: 0.5% w/v (23 mM).</t>
  </si>
  <si>
    <t>Amounts and rounded thesis concentrations are both retained. Model calculations use weighed masses and stated doses.</t>
  </si>
  <si>
    <t>Basis: nominal amounts per L base medium. Stocks add 0.73 mL; with carbon stock they add 50.73 mL.</t>
  </si>
  <si>
    <t>If volumes are additive, divide nominal final concentrations by 1.00073 (carbon-free) or 1.05073 (with carbon).</t>
  </si>
  <si>
    <t>AMYBO03 selection uses carbon-free medium. Gluconate is documented here; organic-carbon growth is outside this gas model.</t>
  </si>
  <si>
    <t>Acid inputs use the reported 0.2 M stock. Exact concentrated-acid assay/density and preparation final volume are unspecified.</t>
  </si>
  <si>
    <t>Conductivity follows the existing major-ion approximation. Trace-metal mobilities and metal complexation are not modelled.</t>
  </si>
  <si>
    <t>No vitamins are specified in Table 2. No extra ingredients or pH-adjustment reagents have been inferred.</t>
  </si>
  <si>
    <t>Model inputs</t>
  </si>
  <si>
    <t>Symbol</t>
  </si>
  <si>
    <t>mol/L unless stated</t>
  </si>
  <si>
    <t>Total phosphate</t>
  </si>
  <si>
    <t>PT_AMYBO03</t>
  </si>
  <si>
    <t>Strong-ion difference</t>
  </si>
  <si>
    <t>SID_AMYBO03</t>
  </si>
  <si>
    <t>Total ammonium</t>
  </si>
  <si>
    <t>NT_AMYBO03</t>
  </si>
  <si>
    <t>Chloride</t>
  </si>
  <si>
    <t>Cl_AMYBO03</t>
  </si>
  <si>
    <t>Ideal conductivity (major ions)</t>
  </si>
  <si>
    <t>kappa0_AMYBO03</t>
  </si>
  <si>
    <t>Ionic strength (as-weighed salts)</t>
  </si>
  <si>
    <t>I_AMYBO03</t>
  </si>
  <si>
    <t>Sulfuric acid contributes two acid equivalents per mole to SID. Trace sulfates are retained; molybdate is treated as divalent.</t>
  </si>
  <si>
    <t>Ionic strength follows the workbook as-weighed convention; acid contributes 2H+ + SO4²-. Speciation changes are not resolved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</si>
</sst>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_(&quot;£&quot;* \(#,##0.00\);_(&quot;£&quot;* &quot;-&quot;??_);_(@_)"/>
    <numFmt numFmtId="164" formatCode="yyyy\-mm\-dd\ h:mm:ss"/>
    <numFmt numFmtId="165" formatCode="0.0"/>
    <numFmt numFmtId="166" formatCode="0.000"/>
    <numFmt numFmtId="167" formatCode="0.0000"/>
    <numFmt numFmtId="168" formatCode="0.000000"/>
    <numFmt numFmtId="169" formatCode="0.00000"/>
    <numFmt numFmtId="170" formatCode="0.00000000"/>
    <numFmt numFmtId="171" formatCode="0.0000000"/>
    <numFmt numFmtId="172" formatCode="0.###"/>
    <numFmt numFmtId="173" formatCode="0.####"/>
  </numFmts>
  <fonts count="59">
    <font>
      <sz val="11"/>
      <color theme="1"/>
      <name val="Calibri"/>
      <family val="2"/>
      <charset val="1"/>
    </font>
    <font>
      <sz val="10"/>
      <name val="Arial"/>
      <family val="2"/>
    </font>
    <font>
      <sz val="9"/>
      <color rgb="FF7030A0"/>
      <name val="Consolas"/>
      <family val="2"/>
    </font>
    <font>
      <sz val="9"/>
      <color rgb="FF595959"/>
      <name val="Arial"/>
      <family val="2"/>
    </font>
    <font>
      <sz val="8"/>
      <color rgb="FF404040"/>
      <name val="Arial"/>
      <family val="2"/>
    </font>
    <font>
      <sz val="10"/>
      <color rgb="FF000000"/>
      <name val="Arial"/>
      <family val="2"/>
    </font>
    <font>
      <sz val="10"/>
      <color rgb="FF7030A0"/>
      <name val="Arial"/>
      <family val="2"/>
    </font>
    <font>
      <b/>
      <sz val="12"/>
      <name val="Calibri"/>
      <family val="2"/>
    </font>
    <font>
      <b/>
      <sz val="11"/>
      <color rgb="FFFFFFFF"/>
      <name val="Calibri"/>
      <family val="2"/>
    </font>
    <font>
      <sz val="11"/>
      <color theme="0"/>
      <name val="Calibri"/>
      <family val="2"/>
      <charset val="1"/>
    </font>
    <font>
      <b/>
      <sz val="11"/>
      <name val="Calibri"/>
      <family val="2"/>
    </font>
    <font>
      <sz val="11"/>
      <color rgb="FF000000"/>
      <name val="Calibri"/>
      <family val="2"/>
    </font>
    <font>
      <sz val="11"/>
      <color rgb="FF000000"/>
      <name val="Calibri"/>
      <family val="2"/>
    </font>
    <font>
      <b/>
      <sz val="11"/>
      <name val="Calibri"/>
      <family val="2"/>
    </font>
    <font>
      <u/>
      <sz val="9"/>
      <color rgb="FF0000FF"/>
      <name val="Calibri"/>
      <family val="2"/>
    </font>
    <font>
      <sz val="11"/>
      <color rgb="FF7030A0"/>
      <name val="Calibri"/>
      <family val="2"/>
    </font>
    <font>
      <sz val="11"/>
      <color theme="1"/>
      <name val="Calibri"/>
      <family val="2"/>
    </font>
    <font>
      <sz val="9"/>
      <name val="Calibri"/>
      <family val="2"/>
    </font>
    <font>
      <b/>
      <sz val="11"/>
      <name val="Calibri"/>
      <family val="2"/>
    </font>
    <font>
      <i/>
      <sz val="9"/>
      <name val="Calibri"/>
      <family val="2"/>
    </font>
    <font>
      <b/>
      <sz val="11"/>
      <name val="Calibri"/>
      <family val="2"/>
    </font>
    <font>
      <u/>
      <sz val="9"/>
      <color rgb="FF0000FF"/>
      <name val="Calibri"/>
      <family val="2"/>
    </font>
    <font>
      <sz val="11"/>
      <color rgb="FF000000"/>
      <name val="Calibri"/>
      <family val="2"/>
    </font>
    <font>
      <sz val="10"/>
      <color rgb="FF000000"/>
      <name val="Calibri"/>
      <family val="2"/>
    </font>
    <font>
      <sz val="12"/>
      <color rgb="FF006100"/>
      <name val="Calibri"/>
      <family val="2"/>
      <scheme val="minor"/>
    </font>
    <font>
      <sz val="12"/>
      <color rgb="FF9C0006"/>
      <name val="Calibri"/>
      <family val="2"/>
      <scheme val="minor"/>
    </font>
    <font>
      <sz val="12"/>
      <color rgb="FF9C5700"/>
      <name val="Calibri"/>
      <family val="2"/>
      <scheme val="minor"/>
    </font>
    <font>
      <sz val="11"/>
      <color theme="1"/>
      <name val="Calibri"/>
      <family val="2"/>
      <scheme val="minor"/>
    </font>
    <font>
      <sz val="11"/>
      <color theme="3"/>
      <name val="Calibri"/>
      <family val="2"/>
    </font>
    <font>
      <sz val="11"/>
      <color rgb="FF000000"/>
      <name val="Calibri"/>
      <family val="2"/>
    </font>
    <font>
      <sz val="11"/>
      <color theme="3"/>
      <name val="Calibri"/>
      <family val="2"/>
    </font>
    <font>
      <sz val="11"/>
      <color theme="3"/>
      <name val="Calibri"/>
      <family val="2"/>
    </font>
    <font>
      <sz val="9"/>
      <name val="Calibri"/>
      <family val="2"/>
    </font>
    <font>
      <sz val="11"/>
      <name val="Calibri"/>
      <family val="2"/>
    </font>
    <font>
      <sz val="12"/>
      <name val="Calibri"/>
      <family val="2"/>
    </font>
    <font>
      <sz val="10"/>
      <color theme="3"/>
      <name val="Calibri"/>
      <family val="2"/>
    </font>
    <font>
      <sz val="10"/>
      <name val="Arial"/>
      <family val="2"/>
    </font>
    <font>
      <b/>
      <sz val="10"/>
      <color rgb="FF0000FF"/>
      <name val="Calibri"/>
      <family val="2"/>
    </font>
    <font>
      <b/>
      <sz val="10"/>
      <color rgb="FF0000FF"/>
      <name val="Arial"/>
      <family val="2"/>
    </font>
    <font>
      <b/>
      <sz val="11"/>
      <color rgb="FF0000FF"/>
      <name val="Calibri"/>
      <family val="2"/>
    </font>
    <font>
      <b/>
      <sz val="11"/>
      <color rgb="FF0000FF"/>
      <name val="Calibri"/>
      <family val="2"/>
      <charset val="1"/>
    </font>
    <font>
      <sz val="11"/>
      <color rgb="FF000000"/>
      <name val="Calibri"/>
      <family val="2"/>
      <charset val="1"/>
    </font>
    <font>
      <sz val="11"/>
      <color rgb="FF0000FF"/>
      <name val="Calibri"/>
      <family val="2"/>
    </font>
    <font>
      <sz val="9"/>
      <color rgb="FF0000FF"/>
      <name val="Calibri"/>
      <family val="2"/>
    </font>
    <font>
      <sz val="8"/>
      <color rgb="FF0563C1"/>
      <name val="Arial"/>
      <family val="2"/>
    </font>
    <font>
      <sz val="10"/>
      <color theme="1"/>
      <name val="Arial"/>
      <family val="2"/>
    </font>
    <font>
      <b/>
      <sz val="14"/>
      <color theme="1"/>
      <name val="Arial"/>
      <family val="2"/>
    </font>
    <font>
      <b/>
      <sz val="10"/>
      <color rgb="FFFFFFFF"/>
      <name val="Arial"/>
      <family val="2"/>
    </font>
    <font>
      <b/>
      <sz val="10"/>
      <color theme="1"/>
      <name val="Arial"/>
      <family val="2"/>
    </font>
    <font>
      <sz val="11"/>
      <color theme="1"/>
      <name val="Calibri"/>
      <family val="2"/>
      <charset val="1"/>
    </font>
    <font>
      <sz val="9"/>
      <name val="Calibri"/>
      <family val="2"/>
      <color rgb="FF000000"/>
    </font>
    <font>
      <sz val="11"/>
      <name val="Calibri"/>
      <family val="2"/>
      <charset val="1"/>
      <color rgb="FF0000FF"/>
      <b/>
    </font>
    <font>
      <sz val="8"/>
      <name val="Arial"/>
      <family val="2"/>
      <color rgb="FF000000"/>
    </font>
    <font>
      <sz val="10"/>
      <name val="Arial"/>
      <family val="2"/>
      <color rgb="FF0000FF"/>
      <b/>
    </font>
    <font>
      <b/>
      <sz val="10"/>
      <name val="Arial"/>
      <family val="2"/>
      <color rgb="FF000000"/>
    </font>
    <font>
      <sz val="9"/>
      <name val="Calibri"/>
      <family val="2"/>
      <color rgb="FF000000"/>
    </font>
    <font>
      <sz val="11"/>
      <name val="Calibri"/>
      <family val="2"/>
      <charset val="1"/>
      <color rgb="FF000000"/>
    </font>
    <font>
      <sz val="11"/>
      <name val="Calibri"/>
      <family val="2"/>
      <charset val="1"/>
      <color rgb="FF000000"/>
    </font>
    <font>
      <sz val="11"/>
      <name val="Calibri"/>
      <family val="2"/>
      <charset val="1"/>
      <color rgb="FF0000FF"/>
      <b/>
    </font>
  </fonts>
  <fills count="23">
    <fill>
      <patternFill patternType="none"/>
    </fill>
    <fill>
      <patternFill patternType="gray125"/>
    </fill>
    <fill>
      <patternFill patternType="solid">
        <fgColor rgb="FFBDD7EE"/>
        <bgColor rgb="FFD9D9D9"/>
      </patternFill>
    </fill>
    <fill>
      <patternFill patternType="solid">
        <fgColor rgb="FFFFF2CC"/>
        <bgColor rgb="FFFCE4D6"/>
      </patternFill>
    </fill>
    <fill>
      <patternFill patternType="solid">
        <fgColor rgb="FFFFE699"/>
        <bgColor rgb="FFFFF2CC"/>
      </patternFill>
    </fill>
    <fill>
      <patternFill patternType="solid">
        <fgColor rgb="FFFCE4D6"/>
        <bgColor rgb="FFFFF2CC"/>
      </patternFill>
    </fill>
    <fill>
      <patternFill patternType="solid">
        <fgColor rgb="FFFFC7CE"/>
        <bgColor rgb="FFFCE4D6"/>
      </patternFill>
    </fill>
    <fill>
      <patternFill patternType="solid">
        <fgColor rgb="FFBDD7EE"/>
      </patternFill>
    </fill>
    <fill>
      <patternFill patternType="solid">
        <fgColor rgb="FFC6EFCE"/>
      </patternFill>
    </fill>
    <fill>
      <patternFill patternType="solid">
        <fgColor rgb="FFFFF2CC"/>
      </patternFill>
    </fill>
    <fill>
      <patternFill patternType="solid">
        <fgColor rgb="FFFFC7CE"/>
      </patternFill>
    </fill>
    <fill>
      <patternFill patternType="solid">
        <fgColor rgb="FFFFE699"/>
      </patternFill>
    </fill>
    <fill>
      <patternFill patternType="solid">
        <fgColor rgb="FF4472C4"/>
      </patternFill>
    </fill>
    <fill>
      <patternFill patternType="solid">
        <fgColor rgb="FFFF0000"/>
        <bgColor indexed="64"/>
      </patternFill>
    </fill>
    <fill>
      <patternFill patternType="solid">
        <fgColor theme="8"/>
        <bgColor indexed="64"/>
      </patternFill>
    </fill>
    <fill>
      <patternFill patternType="solid">
        <fgColor rgb="FFFCE4D6"/>
      </patternFill>
    </fill>
    <fill>
      <patternFill patternType="solid">
        <fgColor rgb="FF4472C4"/>
        <bgColor rgb="FF000000"/>
      </patternFill>
    </fill>
    <fill>
      <patternFill patternType="solid">
        <fgColor rgb="FFFFEB9C"/>
      </patternFill>
    </fill>
    <fill>
      <patternFill patternType="solid">
        <fgColor theme="6" tint="0.59999389629810485"/>
        <bgColor indexed="64"/>
      </patternFill>
    </fill>
    <fill>
      <patternFill patternType="solid">
        <fgColor theme="0" tint="-0.249977111117893"/>
        <bgColor indexed="64"/>
      </patternFill>
    </fill>
    <fill>
      <patternFill patternType="solid">
        <fgColor rgb="FFFF9999"/>
        <bgColor indexed="64"/>
      </patternFill>
    </fill>
    <fill>
      <patternFill patternType="none"/>
    </fill>
    <fill>
      <patternFill patternType="solid">
        <fgColor rgb="FF4472C4"/>
      </patternFill>
    </fill>
  </fills>
  <borders count="17">
    <border>
      <left/>
      <right/>
      <top/>
      <bottom/>
      <diagonal/>
    </border>
    <border>
      <left/>
      <right/>
      <top/>
      <bottom/>
      <diagonal/>
    </border>
    <border>
      <left/>
      <right/>
      <top/>
      <bottom/>
      <diagonal/>
    </border>
    <border>
      <left/>
      <right/>
      <top/>
      <bottom/>
      <diagonal/>
    </border>
    <border>
      <left style="medium">
        <color theme="6"/>
      </left>
      <right style="medium">
        <color theme="6"/>
      </right>
      <top style="medium">
        <color theme="6"/>
      </top>
      <bottom style="medium">
        <color theme="6"/>
      </bottom>
      <diagonal/>
    </border>
    <border>
      <left style="medium">
        <color theme="7"/>
      </left>
      <right style="medium">
        <color theme="7"/>
      </right>
      <top style="medium">
        <color theme="7"/>
      </top>
      <bottom style="medium">
        <color theme="7"/>
      </bottom>
      <diagonal/>
    </border>
    <border>
      <left style="medium">
        <color theme="5"/>
      </left>
      <right style="medium">
        <color theme="5"/>
      </right>
      <top style="medium">
        <color theme="5"/>
      </top>
      <bottom style="medium">
        <color theme="5"/>
      </bottom>
      <diagonal/>
    </border>
    <border>
      <left style="medium">
        <color theme="8"/>
      </left>
      <right style="medium">
        <color theme="8"/>
      </right>
      <top style="medium">
        <color theme="8"/>
      </top>
      <bottom style="medium">
        <color theme="8"/>
      </bottom>
      <diagonal/>
    </border>
    <border>
      <left style="medium">
        <color theme="1"/>
      </left>
      <right style="medium">
        <color theme="1"/>
      </right>
      <top style="medium">
        <color theme="1"/>
      </top>
      <bottom style="medium">
        <color theme="1"/>
      </bottom>
      <diagonal/>
    </border>
    <border>
      <left style="medium">
        <color theme="9"/>
      </left>
      <right style="medium">
        <color theme="9"/>
      </right>
      <top style="medium">
        <color theme="9"/>
      </top>
      <bottom style="medium">
        <color theme="9"/>
      </bottom>
      <diagonal/>
    </border>
    <border>
      <left style="medium">
        <color theme="6"/>
      </left>
      <right style="medium">
        <color theme="6"/>
      </right>
      <top style="medium">
        <color theme="6"/>
      </top>
      <bottom style="medium">
        <color theme="6"/>
      </bottom>
      <diagonal/>
    </border>
    <border>
      <left/>
      <right/>
      <top/>
      <bottom/>
      <diagonal/>
    </border>
    <border>
      <left style="medium">
        <color theme="7"/>
      </left>
      <right style="medium">
        <color theme="7"/>
      </right>
      <top style="medium">
        <color theme="7"/>
      </top>
      <bottom style="medium">
        <color theme="7"/>
      </bottom>
      <diagonal/>
    </border>
    <border>
      <left style="medium">
        <color theme="5"/>
      </left>
      <right style="medium">
        <color theme="5"/>
      </right>
      <top style="medium">
        <color theme="5"/>
      </top>
      <bottom style="medium">
        <color theme="5"/>
      </bottom>
      <diagonal/>
    </border>
    <border>
      <left style="medium">
        <color theme="8"/>
      </left>
      <right style="medium">
        <color theme="8"/>
      </right>
      <top style="medium">
        <color theme="8"/>
      </top>
      <bottom style="medium">
        <color theme="8"/>
      </bottom>
      <diagonal/>
    </border>
    <border>
      <left style="medium">
        <color rgb="FFFFFC00"/>
      </left>
      <right style="medium">
        <color rgb="FFFFFC00"/>
      </right>
      <top style="medium">
        <color rgb="FFFFFC00"/>
      </top>
      <bottom style="medium">
        <color rgb="FFFFFC00"/>
      </bottom>
      <diagonal/>
    </border>
    <border>
      <left/>
      <right/>
      <top/>
      <bottom/>
      <diagonal/>
    </border>
  </borders>
  <cellStyleXfs count="5">
    <xf numFmtId="0" fontId="0" fillId="0" borderId="11"/>
    <xf numFmtId="0" fontId="24" fillId="8" borderId="11"/>
    <xf numFmtId="0" fontId="25" fillId="10" borderId="11"/>
    <xf numFmtId="0" fontId="26" fillId="17" borderId="11"/>
    <xf numFmtId="44" fontId="49" fillId="0" borderId="0" applyFont="0" applyFill="0" applyBorder="0" applyAlignment="0" applyProtection="0"/>
  </cellStyleXfs>
  <cellXfs count="180">
    <xf numFmtId="0" fontId="0" fillId="0" borderId="0" xfId="0" applyBorder="1"/>
    <xf numFmtId="0" fontId="45" fillId="21" borderId="16" xfId="0" applyFont="1" applyFill="1" applyBorder="1" applyAlignment="1">
      <alignment wrapText="1"/>
    </xf>
    <xf numFmtId="0" fontId="10" fillId="0" borderId="0" xfId="0" applyFont="1" applyBorder="1"/>
    <xf numFmtId="0" fontId="16" fillId="0" borderId="0" xfId="0" applyFont="1" applyBorder="1"/>
    <xf numFmtId="0" fontId="0" fillId="0" borderId="1" xfId="0" applyBorder="1"/>
    <xf numFmtId="0" fontId="7" fillId="0" borderId="1" xfId="0" applyFont="1" applyBorder="1"/>
    <xf numFmtId="0" fontId="8" fillId="12" borderId="1" xfId="0" applyFont="1" applyFill="1" applyBorder="1"/>
    <xf numFmtId="0" fontId="18" fillId="0" borderId="1" xfId="0" applyFont="1" applyBorder="1"/>
    <xf numFmtId="0" fontId="13" fillId="0" borderId="1" xfId="0" applyFont="1" applyBorder="1"/>
    <xf numFmtId="0" fontId="9" fillId="14" borderId="1" xfId="0" applyFont="1" applyFill="1" applyBorder="1"/>
    <xf numFmtId="14" fontId="0" fillId="0" borderId="1" xfId="0" applyNumberFormat="1" applyBorder="1"/>
    <xf numFmtId="0" fontId="9" fillId="13" borderId="1" xfId="0" applyFont="1" applyFill="1" applyBorder="1"/>
    <xf numFmtId="164" fontId="0" fillId="0" borderId="1" xfId="0" applyNumberFormat="1" applyBorder="1"/>
    <xf numFmtId="2" fontId="0" fillId="0" borderId="1" xfId="0" applyNumberFormat="1" applyBorder="1"/>
    <xf numFmtId="0" fontId="19" fillId="0" borderId="1" xfId="0" applyFont="1" applyBorder="1"/>
    <xf numFmtId="0" fontId="20" fillId="0" borderId="1" xfId="0" applyFont="1" applyBorder="1"/>
    <xf numFmtId="0" fontId="0" fillId="0" borderId="2" xfId="0" applyBorder="1"/>
    <xf numFmtId="0" fontId="8" fillId="12" borderId="3" xfId="0" applyFont="1" applyFill="1" applyBorder="1"/>
    <xf numFmtId="0" fontId="1" fillId="0" borderId="3" xfId="0" applyFont="1" applyBorder="1"/>
    <xf numFmtId="0" fontId="2" fillId="0" borderId="3" xfId="0" applyFont="1" applyBorder="1"/>
    <xf numFmtId="0" fontId="3" fillId="0" borderId="3" xfId="0" applyFont="1" applyBorder="1"/>
    <xf numFmtId="0" fontId="0" fillId="0" borderId="3" xfId="0" applyBorder="1"/>
    <xf numFmtId="0" fontId="17" fillId="0" borderId="3" xfId="0" applyFont="1" applyBorder="1"/>
    <xf numFmtId="0" fontId="22" fillId="0" borderId="4" xfId="0" applyFont="1" applyBorder="1"/>
    <xf numFmtId="0" fontId="14" fillId="0" borderId="3" xfId="0" applyFont="1" applyBorder="1"/>
    <xf numFmtId="0" fontId="11" fillId="0" borderId="3" xfId="0" applyFont="1" applyBorder="1"/>
    <xf numFmtId="0" fontId="0" fillId="7" borderId="3" xfId="0" applyFill="1" applyBorder="1"/>
    <xf numFmtId="0" fontId="0" fillId="11" borderId="3" xfId="0" applyFill="1" applyBorder="1"/>
    <xf numFmtId="0" fontId="11" fillId="15" borderId="3" xfId="0" applyFont="1" applyFill="1" applyBorder="1"/>
    <xf numFmtId="0" fontId="11" fillId="10" borderId="3" xfId="0" applyFont="1" applyFill="1" applyBorder="1"/>
    <xf numFmtId="0" fontId="12" fillId="0" borderId="3" xfId="0" applyFont="1" applyBorder="1"/>
    <xf numFmtId="0" fontId="15" fillId="0" borderId="3" xfId="0" applyFont="1" applyBorder="1"/>
    <xf numFmtId="0" fontId="8" fillId="16" borderId="3" xfId="0" applyFont="1" applyFill="1" applyBorder="1"/>
    <xf numFmtId="0" fontId="21" fillId="0" borderId="3" xfId="0" applyFont="1" applyBorder="1"/>
    <xf numFmtId="0" fontId="4" fillId="3" borderId="3" xfId="0" applyFont="1" applyFill="1" applyBorder="1" applyAlignment="1">
      <alignment vertical="top" wrapText="1"/>
    </xf>
    <xf numFmtId="0" fontId="22" fillId="0" borderId="8" xfId="0" applyFont="1" applyBorder="1"/>
    <xf numFmtId="0" fontId="4" fillId="5" borderId="3" xfId="0" applyFont="1" applyFill="1" applyBorder="1" applyAlignment="1">
      <alignment vertical="top" wrapText="1"/>
    </xf>
    <xf numFmtId="2" fontId="23" fillId="0" borderId="3" xfId="0" applyNumberFormat="1" applyFont="1" applyBorder="1"/>
    <xf numFmtId="165" fontId="23" fillId="0" borderId="3" xfId="0" applyNumberFormat="1" applyFont="1" applyBorder="1"/>
    <xf numFmtId="166" fontId="23" fillId="0" borderId="3" xfId="0" applyNumberFormat="1" applyFont="1" applyBorder="1"/>
    <xf numFmtId="167" fontId="23" fillId="0" borderId="3" xfId="0" applyNumberFormat="1" applyFont="1" applyBorder="1"/>
    <xf numFmtId="168" fontId="23" fillId="0" borderId="3" xfId="0" applyNumberFormat="1" applyFont="1" applyBorder="1"/>
    <xf numFmtId="1" fontId="11" fillId="0" borderId="3" xfId="0" applyNumberFormat="1" applyFont="1" applyBorder="1"/>
    <xf numFmtId="2" fontId="6" fillId="0" borderId="3" xfId="0" applyNumberFormat="1" applyFont="1" applyBorder="1"/>
    <xf numFmtId="0" fontId="6" fillId="0" borderId="3" xfId="0" applyFont="1" applyBorder="1"/>
    <xf numFmtId="0" fontId="23" fillId="0" borderId="3" xfId="0" applyFont="1" applyBorder="1"/>
    <xf numFmtId="0" fontId="0" fillId="10" borderId="3" xfId="0" applyFill="1" applyBorder="1"/>
    <xf numFmtId="168" fontId="5" fillId="0" borderId="3" xfId="0" applyNumberFormat="1" applyFont="1" applyBorder="1"/>
    <xf numFmtId="165" fontId="22" fillId="0" borderId="8" xfId="0" applyNumberFormat="1" applyFont="1" applyBorder="1"/>
    <xf numFmtId="170" fontId="23" fillId="0" borderId="3" xfId="0" applyNumberFormat="1" applyFont="1" applyBorder="1"/>
    <xf numFmtId="0" fontId="4" fillId="2" borderId="3" xfId="0" applyFont="1" applyFill="1" applyBorder="1" applyAlignment="1">
      <alignment vertical="top" wrapText="1"/>
    </xf>
    <xf numFmtId="0" fontId="4" fillId="7" borderId="3" xfId="0" applyFont="1" applyFill="1" applyBorder="1" applyAlignment="1">
      <alignment vertical="top" wrapText="1"/>
    </xf>
    <xf numFmtId="0" fontId="4" fillId="9" borderId="3" xfId="0" applyFont="1" applyFill="1" applyBorder="1" applyAlignment="1">
      <alignment vertical="top" wrapText="1"/>
    </xf>
    <xf numFmtId="0" fontId="4" fillId="11" borderId="3" xfId="0" applyFont="1" applyFill="1" applyBorder="1" applyAlignment="1">
      <alignment vertical="top" wrapText="1"/>
    </xf>
    <xf numFmtId="0" fontId="4" fillId="10" borderId="3" xfId="0" applyFont="1" applyFill="1" applyBorder="1" applyAlignment="1">
      <alignment vertical="top" wrapText="1"/>
    </xf>
    <xf numFmtId="0" fontId="14" fillId="11" borderId="3" xfId="0" applyFont="1" applyFill="1" applyBorder="1" applyAlignment="1">
      <alignment vertical="top" wrapText="1"/>
    </xf>
    <xf numFmtId="167" fontId="5" fillId="0" borderId="3" xfId="0" applyNumberFormat="1" applyFont="1" applyBorder="1"/>
    <xf numFmtId="0" fontId="4" fillId="4" borderId="3" xfId="0" applyFont="1" applyFill="1" applyBorder="1" applyAlignment="1">
      <alignment vertical="top" wrapText="1"/>
    </xf>
    <xf numFmtId="171" fontId="23" fillId="0" borderId="3" xfId="0" applyNumberFormat="1" applyFont="1" applyBorder="1"/>
    <xf numFmtId="0" fontId="0" fillId="9" borderId="3" xfId="0" applyFill="1" applyBorder="1"/>
    <xf numFmtId="0" fontId="27" fillId="8" borderId="3" xfId="1" applyFont="1" applyBorder="1"/>
    <xf numFmtId="0" fontId="27" fillId="17" borderId="3" xfId="3" applyFont="1" applyBorder="1"/>
    <xf numFmtId="0" fontId="0" fillId="18" borderId="3" xfId="0" applyFill="1" applyBorder="1"/>
    <xf numFmtId="0" fontId="28" fillId="0" borderId="3" xfId="0" applyFont="1" applyBorder="1"/>
    <xf numFmtId="0" fontId="29" fillId="0" borderId="3" xfId="0" applyFont="1" applyBorder="1"/>
    <xf numFmtId="0" fontId="29" fillId="0" borderId="10" xfId="0" applyFont="1" applyBorder="1"/>
    <xf numFmtId="0" fontId="29" fillId="0" borderId="11" xfId="0" applyFont="1"/>
    <xf numFmtId="0" fontId="30" fillId="0" borderId="3" xfId="0" applyFont="1" applyBorder="1"/>
    <xf numFmtId="0" fontId="30" fillId="0" borderId="11" xfId="0" applyFont="1"/>
    <xf numFmtId="0" fontId="29" fillId="0" borderId="12" xfId="0" applyFont="1" applyBorder="1"/>
    <xf numFmtId="0" fontId="29" fillId="0" borderId="13" xfId="0" applyFont="1" applyBorder="1"/>
    <xf numFmtId="0" fontId="29" fillId="0" borderId="14" xfId="0" applyFont="1" applyBorder="1"/>
    <xf numFmtId="0" fontId="0" fillId="0" borderId="11" xfId="0"/>
    <xf numFmtId="0" fontId="30" fillId="9" borderId="3" xfId="0" applyFont="1" applyFill="1" applyBorder="1"/>
    <xf numFmtId="0" fontId="4" fillId="18" borderId="3" xfId="0" applyFont="1" applyFill="1" applyBorder="1" applyAlignment="1">
      <alignment vertical="top" wrapText="1"/>
    </xf>
    <xf numFmtId="0" fontId="32" fillId="0" borderId="3" xfId="0" applyFont="1" applyBorder="1"/>
    <xf numFmtId="0" fontId="31" fillId="0" borderId="3" xfId="0" applyFont="1" applyBorder="1"/>
    <xf numFmtId="0" fontId="33" fillId="0" borderId="3" xfId="0" applyFont="1" applyBorder="1"/>
    <xf numFmtId="0" fontId="34" fillId="0" borderId="3" xfId="0" applyFont="1" applyBorder="1"/>
    <xf numFmtId="0" fontId="35" fillId="0" borderId="3" xfId="0" applyFont="1" applyBorder="1"/>
    <xf numFmtId="165" fontId="35" fillId="0" borderId="3" xfId="0" applyNumberFormat="1" applyFont="1" applyBorder="1"/>
    <xf numFmtId="0" fontId="32" fillId="3" borderId="3" xfId="0" applyFont="1" applyFill="1" applyBorder="1" applyAlignment="1">
      <alignment vertical="top" wrapText="1"/>
    </xf>
    <xf numFmtId="0" fontId="32" fillId="2" borderId="3" xfId="0" applyFont="1" applyFill="1" applyBorder="1" applyAlignment="1">
      <alignment vertical="top" wrapText="1"/>
    </xf>
    <xf numFmtId="0" fontId="32" fillId="7" borderId="3" xfId="0" applyFont="1" applyFill="1" applyBorder="1" applyAlignment="1">
      <alignment vertical="top" wrapText="1"/>
    </xf>
    <xf numFmtId="0" fontId="32" fillId="5" borderId="3" xfId="0" applyFont="1" applyFill="1" applyBorder="1" applyAlignment="1">
      <alignment vertical="top" wrapText="1"/>
    </xf>
    <xf numFmtId="0" fontId="32" fillId="6" borderId="3" xfId="0" applyFont="1" applyFill="1" applyBorder="1" applyAlignment="1">
      <alignment vertical="top" wrapText="1"/>
    </xf>
    <xf numFmtId="0" fontId="36" fillId="0" borderId="3" xfId="0" applyFont="1" applyBorder="1"/>
    <xf numFmtId="0" fontId="32" fillId="9" borderId="3" xfId="0" applyFont="1" applyFill="1" applyBorder="1" applyAlignment="1">
      <alignment vertical="top" wrapText="1"/>
    </xf>
    <xf numFmtId="0" fontId="32" fillId="18" borderId="3" xfId="0" applyFont="1" applyFill="1" applyBorder="1" applyAlignment="1">
      <alignment vertical="top" wrapText="1"/>
    </xf>
    <xf numFmtId="0" fontId="32" fillId="4" borderId="3" xfId="0" applyFont="1" applyFill="1" applyBorder="1" applyAlignment="1">
      <alignment vertical="top" wrapText="1"/>
    </xf>
    <xf numFmtId="0" fontId="32" fillId="11" borderId="3" xfId="0" applyFont="1" applyFill="1" applyBorder="1" applyAlignment="1">
      <alignment vertical="top" wrapText="1"/>
    </xf>
    <xf numFmtId="170" fontId="23" fillId="0" borderId="11" xfId="0" applyNumberFormat="1" applyFont="1"/>
    <xf numFmtId="165" fontId="29" fillId="0" borderId="15" xfId="0" applyNumberFormat="1" applyFont="1" applyBorder="1"/>
    <xf numFmtId="1" fontId="22" fillId="0" borderId="11" xfId="0" applyNumberFormat="1" applyFont="1"/>
    <xf numFmtId="168" fontId="35" fillId="0" borderId="11" xfId="0" applyNumberFormat="1" applyFont="1"/>
    <xf numFmtId="168" fontId="23" fillId="0" borderId="11" xfId="0" applyNumberFormat="1" applyFont="1"/>
    <xf numFmtId="0" fontId="1" fillId="0" borderId="11" xfId="0" applyFont="1"/>
    <xf numFmtId="0" fontId="3" fillId="0" borderId="11" xfId="0" applyFont="1"/>
    <xf numFmtId="0" fontId="7" fillId="0" borderId="11" xfId="0" applyFont="1"/>
    <xf numFmtId="0" fontId="8" fillId="12" borderId="11" xfId="0" applyFont="1" applyFill="1"/>
    <xf numFmtId="168" fontId="23" fillId="19" borderId="11" xfId="0" applyNumberFormat="1" applyFont="1" applyFill="1"/>
    <xf numFmtId="0" fontId="0" fillId="19" borderId="11" xfId="0" applyFill="1"/>
    <xf numFmtId="0" fontId="0" fillId="8" borderId="3" xfId="0" applyFill="1" applyBorder="1"/>
    <xf numFmtId="0" fontId="27" fillId="20" borderId="3" xfId="2" applyFont="1" applyFill="1" applyBorder="1"/>
    <xf numFmtId="0" fontId="11" fillId="0" borderId="8" xfId="0" applyFont="1" applyBorder="1"/>
    <xf numFmtId="0" fontId="14" fillId="8" borderId="3" xfId="0" applyFont="1" applyFill="1" applyBorder="1"/>
    <xf numFmtId="0" fontId="37" fillId="0" borderId="3" xfId="0" applyFont="1" applyBorder="1"/>
    <xf numFmtId="2" fontId="37" fillId="0" borderId="3" xfId="0" applyNumberFormat="1" applyFont="1" applyBorder="1"/>
    <xf numFmtId="165" fontId="37" fillId="0" borderId="3" xfId="0" applyNumberFormat="1" applyFont="1" applyBorder="1"/>
    <xf numFmtId="2" fontId="11" fillId="0" borderId="3" xfId="0" applyNumberFormat="1" applyFont="1" applyBorder="1"/>
    <xf numFmtId="165" fontId="11" fillId="0" borderId="3" xfId="0" applyNumberFormat="1" applyFont="1" applyBorder="1"/>
    <xf numFmtId="0" fontId="11" fillId="0" borderId="4" xfId="0" applyFont="1" applyBorder="1"/>
    <xf numFmtId="0" fontId="11" fillId="0" borderId="6" xfId="0" applyFont="1" applyBorder="1"/>
    <xf numFmtId="1" fontId="11" fillId="0" borderId="8" xfId="0" applyNumberFormat="1" applyFont="1" applyBorder="1"/>
    <xf numFmtId="1" fontId="38" fillId="0" borderId="3" xfId="0" applyNumberFormat="1" applyFont="1" applyBorder="1"/>
    <xf numFmtId="169" fontId="38" fillId="0" borderId="3" xfId="0" applyNumberFormat="1" applyFont="1" applyBorder="1"/>
    <xf numFmtId="0" fontId="38" fillId="0" borderId="3" xfId="0" applyFont="1" applyBorder="1"/>
    <xf numFmtId="0" fontId="32" fillId="8" borderId="3" xfId="0" applyFont="1" applyFill="1" applyBorder="1"/>
    <xf numFmtId="0" fontId="5" fillId="0" borderId="3" xfId="0" applyFont="1" applyBorder="1"/>
    <xf numFmtId="165" fontId="11" fillId="0" borderId="8" xfId="0" applyNumberFormat="1" applyFont="1" applyBorder="1"/>
    <xf numFmtId="0" fontId="11" fillId="0" borderId="7" xfId="0" applyFont="1" applyBorder="1"/>
    <xf numFmtId="0" fontId="11" fillId="0" borderId="5" xfId="0" applyFont="1" applyBorder="1"/>
    <xf numFmtId="168" fontId="38" fillId="0" borderId="3" xfId="0" applyNumberFormat="1" applyFont="1" applyBorder="1"/>
    <xf numFmtId="168" fontId="11" fillId="0" borderId="5" xfId="0" applyNumberFormat="1" applyFont="1" applyBorder="1"/>
    <xf numFmtId="165" fontId="38" fillId="0" borderId="3" xfId="0" applyNumberFormat="1" applyFont="1" applyBorder="1"/>
    <xf numFmtId="2" fontId="38" fillId="0" borderId="3" xfId="0" applyNumberFormat="1" applyFont="1" applyBorder="1"/>
    <xf numFmtId="166" fontId="38" fillId="0" borderId="3" xfId="0" applyNumberFormat="1" applyFont="1" applyBorder="1"/>
    <xf numFmtId="168" fontId="11" fillId="0" borderId="8" xfId="0" applyNumberFormat="1" applyFont="1" applyBorder="1"/>
    <xf numFmtId="168" fontId="11" fillId="0" borderId="3" xfId="0" applyNumberFormat="1" applyFont="1" applyBorder="1"/>
    <xf numFmtId="0" fontId="4" fillId="8" borderId="3" xfId="0" applyFont="1" applyFill="1" applyBorder="1" applyAlignment="1">
      <alignment vertical="top" wrapText="1"/>
    </xf>
    <xf numFmtId="0" fontId="39" fillId="0" borderId="3" xfId="0" applyFont="1" applyBorder="1"/>
    <xf numFmtId="0" fontId="11" fillId="0" borderId="9" xfId="0" applyFont="1" applyBorder="1"/>
    <xf numFmtId="0" fontId="40" fillId="0" borderId="11" xfId="0" applyFont="1"/>
    <xf numFmtId="0" fontId="41" fillId="0" borderId="11" xfId="0" applyFont="1"/>
    <xf numFmtId="0" fontId="0" fillId="8" borderId="11" xfId="0" applyFill="1"/>
    <xf numFmtId="0" fontId="42" fillId="0" borderId="3" xfId="0" applyFont="1" applyBorder="1"/>
    <xf numFmtId="0" fontId="43" fillId="0" borderId="3" xfId="0" applyFont="1" applyBorder="1"/>
    <xf numFmtId="0" fontId="44" fillId="5" borderId="3" xfId="0" applyFont="1" applyFill="1" applyBorder="1" applyAlignment="1">
      <alignment vertical="top" wrapText="1"/>
    </xf>
    <xf numFmtId="0" fontId="44" fillId="2" borderId="3" xfId="0" applyFont="1" applyFill="1" applyBorder="1" applyAlignment="1">
      <alignment vertical="top" wrapText="1"/>
    </xf>
    <xf numFmtId="0" fontId="44" fillId="18" borderId="3" xfId="0" applyFont="1" applyFill="1" applyBorder="1" applyAlignment="1">
      <alignment vertical="top" wrapText="1"/>
    </xf>
    <xf numFmtId="0" fontId="43" fillId="8" borderId="3" xfId="0" applyFont="1" applyFill="1" applyBorder="1"/>
    <xf numFmtId="0" fontId="44" fillId="6" borderId="3" xfId="0" applyFont="1" applyFill="1" applyBorder="1" applyAlignment="1">
      <alignment vertical="top" wrapText="1"/>
    </xf>
    <xf numFmtId="0" fontId="44" fillId="3" borderId="3" xfId="0" applyFont="1" applyFill="1" applyBorder="1" applyAlignment="1">
      <alignment vertical="top" wrapText="1"/>
    </xf>
    <xf numFmtId="0" fontId="45" fillId="21" borderId="16" xfId="4" applyFont="1" applyBorder="1"/>
    <xf numFmtId="172" fontId="45" fillId="21" borderId="16" xfId="4" applyNumberFormat="1" applyFont="1" applyBorder="1"/>
    <xf numFmtId="0" fontId="46" fillId="21" borderId="16" xfId="4" applyFont="1" applyBorder="1"/>
    <xf numFmtId="0" fontId="47" fillId="22" borderId="16" xfId="4" applyFont="1" applyFill="1" applyBorder="1"/>
    <xf numFmtId="0" fontId="47" fillId="22" borderId="16" xfId="4" applyFont="1" applyFill="1" applyBorder="1" applyAlignment="1">
      <alignment wrapText="1"/>
    </xf>
    <xf numFmtId="172" fontId="47" fillId="22" borderId="16" xfId="4" applyNumberFormat="1" applyFont="1" applyFill="1" applyBorder="1" applyAlignment="1">
      <alignment wrapText="1"/>
    </xf>
    <xf numFmtId="173" fontId="45" fillId="21" borderId="16" xfId="4" applyNumberFormat="1" applyFont="1" applyBorder="1"/>
    <xf numFmtId="173" fontId="47" fillId="22" borderId="16" xfId="4" applyNumberFormat="1" applyFont="1" applyFill="1" applyBorder="1"/>
    <xf numFmtId="173" fontId="47" fillId="22" borderId="16" xfId="4" applyNumberFormat="1" applyFont="1" applyFill="1" applyBorder="1" applyAlignment="1">
      <alignment wrapText="1"/>
    </xf>
    <xf numFmtId="168" fontId="45" fillId="21" borderId="16" xfId="4" applyNumberFormat="1" applyFont="1" applyBorder="1"/>
    <xf numFmtId="0" fontId="48" fillId="21" borderId="16" xfId="4" applyFont="1" applyBorder="1"/>
    <xf numFmtId="0" fontId="50" fillId="0" borderId="3" xfId="0" applyFont="1" applyBorder="1"/>
    <xf numFmtId="0" fontId="51" fillId="0" borderId="3" xfId="0" applyBorder="1" applyFont="1"/>
    <xf numFmtId="0" fontId="51" fillId="10" borderId="3" xfId="0" applyFill="1" applyBorder="1" applyFont="1"/>
    <xf numFmtId="0" fontId="52" fillId="4" borderId="3" xfId="0" applyFont="1" applyFill="1" applyBorder="1" applyAlignment="1">
      <alignment vertical="top" wrapText="1"/>
    </xf>
    <xf numFmtId="0" fontId="52" fillId="7" borderId="3" xfId="0" applyFont="1" applyFill="1" applyBorder="1" applyAlignment="1">
      <alignment vertical="top" wrapText="1"/>
    </xf>
    <xf numFmtId="0" fontId="53" fillId="0" borderId="3" xfId="0" applyFont="1" applyBorder="1"/>
    <xf numFmtId="0" fontId="54" fillId="0" borderId="3" xfId="0" applyFont="1" applyBorder="1"/>
    <xf numFmtId="0" fontId="55" fillId="18" borderId="3" xfId="0" applyFont="1" applyFill="1" applyBorder="1" applyAlignment="1">
      <alignment vertical="top" wrapText="1"/>
    </xf>
    <xf numFmtId="0" fontId="56" fillId="0" borderId="3" xfId="0" applyBorder="1" applyFont="1"/>
    <xf numFmtId="14" fontId="51" fillId="0" borderId="1" xfId="0" applyNumberFormat="1" applyBorder="1" applyFont="1"/>
    <xf numFmtId="0" fontId="51" fillId="0" borderId="1" xfId="0" applyBorder="1" applyFont="1"/>
    <xf numFmtId="0" fontId="57" fillId="14" borderId="1" xfId="0" applyFont="1" applyFill="1" applyBorder="1"/>
    <xf numFmtId="0" fontId="58" fillId="14" borderId="1" xfId="0" applyFont="1" applyFill="1" applyBorder="1"/>
    <xf numFmtId="0" fontId="56" fillId="0" borderId="1" xfId="0" applyBorder="1" applyFont="1"/>
    <xf numFmtId="0" fontId="57" fillId="13" borderId="1" xfId="0" applyFont="1" applyFill="1" applyBorder="1"/>
    <xf numFmtId="0" fontId="56" fillId="19" borderId="11" xfId="0" applyFill="1" applyFont="1"/>
    <xf numFmtId="0" fontId="29" fillId="0" borderId="10" xfId="0" applyFont="1" applyBorder="1" applyAlignment="1">
      <alignment vertical="top" wrapText="1"/>
    </xf>
    <xf numFmtId="0" fontId="29" fillId="0" borderId="12" xfId="0" applyFont="1" applyBorder="1" applyAlignment="1">
      <alignment vertical="top" wrapText="1"/>
    </xf>
    <xf numFmtId="0" fontId="29" fillId="0" borderId="13" xfId="0" applyFont="1" applyBorder="1" applyAlignment="1">
      <alignment vertical="top" wrapText="1"/>
    </xf>
    <xf numFmtId="0" fontId="11" fillId="0" borderId="4" xfId="0" applyFont="1" applyBorder="1" applyAlignment="1">
      <alignment vertical="top" wrapText="1"/>
    </xf>
    <xf numFmtId="0" fontId="22" fillId="0" borderId="4" xfId="0" applyFont="1" applyBorder="1" applyAlignment="1">
      <alignment vertical="top" wrapText="1"/>
    </xf>
    <xf numFmtId="0" fontId="29" fillId="0" borderId="10" xfId="0" applyFont="1" applyBorder="1" applyAlignment="1">
      <alignment vertical="top" wrapText="1"/>
    </xf>
    <xf numFmtId="0" fontId="29" fillId="0" borderId="12" xfId="0" applyFont="1" applyBorder="1" applyAlignment="1">
      <alignment vertical="top" wrapText="1"/>
    </xf>
    <xf numFmtId="0" fontId="29" fillId="0" borderId="13" xfId="0" applyFont="1" applyBorder="1" applyAlignment="1">
      <alignment vertical="top" wrapText="1"/>
    </xf>
    <xf numFmtId="0" fontId="11" fillId="0" borderId="4" xfId="0" applyFont="1" applyBorder="1" applyAlignment="1">
      <alignment vertical="top" wrapText="1"/>
    </xf>
    <xf numFmtId="0" fontId="22" fillId="0" borderId="4" xfId="0" applyFont="1" applyBorder="1" applyAlignment="1">
      <alignment vertical="top" wrapText="1"/>
    </xf>
  </cellXfs>
  <cellStyles count="5">
    <cellStyle name="Bad" xfId="2" builtinId="27"/>
    <cellStyle name="Currency" xfId="4" builtinId="4"/>
    <cellStyle name="Good" xfId="1" builtinId="26"/>
    <cellStyle name="Neutral" xfId="3" builtinId="28"/>
    <cellStyle name="Normal" xfId="0" builtinId="0"/>
  </cellStyles>
  <dxfs count="46">
    <dxf>
      <fill>
        <patternFill patternType="solid">
          <fgColor rgb="FFC6EFCE"/>
        </patternFill>
      </fill>
    </dxf>
    <dxf>
      <fill>
        <patternFill patternType="solid">
          <fgColor rgb="FFFFC7CE"/>
        </patternFill>
      </fill>
    </dxf>
    <dxf>
      <fill>
        <patternFill patternType="solid">
          <fgColor rgb="FFFFEB84"/>
          <bgColor rgb="FFFFEB84"/>
        </patternFill>
      </fill>
    </dxf>
    <dxf>
      <fill>
        <patternFill patternType="solid">
          <fgColor rgb="FF63BE7B"/>
          <bgColor rgb="FF63BE7B"/>
        </patternFill>
      </fill>
    </dxf>
    <dxf>
      <fill>
        <patternFill patternType="solid">
          <fgColor rgb="FFFFC7CE"/>
        </patternFill>
      </fill>
    </dxf>
    <dxf>
      <fill>
        <patternFill patternType="solid">
          <fgColor rgb="FFF8696B"/>
          <bgColor rgb="FFF8696B"/>
        </patternFill>
      </fill>
    </dxf>
    <dxf>
      <fill>
        <patternFill patternType="solid">
          <fgColor rgb="FF63BE7B"/>
          <bgColor rgb="FF63BE7B"/>
        </patternFill>
      </fill>
    </dxf>
    <dxf>
      <fill>
        <patternFill patternType="solid">
          <fgColor rgb="FFFFC7CE"/>
        </patternFill>
      </fill>
    </dxf>
    <dxf>
      <fill>
        <patternFill patternType="solid">
          <fgColor rgb="FFF8696B"/>
          <bgColor rgb="FFF8696B"/>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F8696B"/>
          <bgColor rgb="FFF8696B"/>
        </patternFill>
      </fill>
    </dxf>
    <dxf>
      <fill>
        <patternFill patternType="solid">
          <fgColor rgb="FF63BE7B"/>
          <bgColor rgb="FF63BE7B"/>
        </patternFill>
      </fill>
    </dxf>
    <dxf>
      <fill>
        <patternFill patternType="solid">
          <fgColor rgb="FFC6EFCE"/>
        </patternFill>
      </fill>
    </dxf>
    <dxf>
      <fill>
        <patternFill patternType="solid">
          <fgColor rgb="FFFFC7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ont>
        <color theme="0"/>
      </font>
      <fill>
        <patternFill patternType="solid">
          <fgColor rgb="FFBDD7EE"/>
          <bgColor theme="3"/>
        </patternFill>
      </fill>
    </dxf>
    <dxf>
      <font>
        <color theme="0"/>
      </font>
      <fill>
        <patternFill patternType="solid">
          <fgColor rgb="FFBDD7EE"/>
          <bgColor theme="3"/>
        </patternFill>
      </fill>
    </dxf>
    <dxf>
      <fill>
        <patternFill patternType="solid">
          <fgColor rgb="FFFFC7CE"/>
          <bgColor rgb="FFFFC7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7030A0"/>
      <rgbColor rgb="FFFFF2CC"/>
      <rgbColor rgb="FFFCE4D6"/>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FC7CE"/>
      <rgbColor rgb="FF4472C4"/>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mruColors>
      <color rgb="FFFFF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G164"/>
  <sheetViews>
    <sheetView tabSelected="1" zoomScale="116" workbookViewId="0">
      <selection activeCell="D2" sqref="D2"/>
    </sheetView>
  </sheetViews>
  <sheetFormatPr baseColWidth="10" defaultColWidth="8.83203125" defaultRowHeight="15" x14ac:dyDescent="0.2"/>
  <cols>
    <col min="1" max="1" width="34" customWidth="1"/>
    <col min="2" max="2" width="13" customWidth="1"/>
    <col min="3" max="3" width="6" customWidth="1"/>
    <col min="4" max="4" width="44" customWidth="1"/>
    <col min="5" max="5" width="13.1640625" bestFit="1" customWidth="1"/>
    <col min="6" max="6" width="110.5" style="3" bestFit="1" customWidth="1"/>
  </cols>
  <sheetData>
    <row r="1" spans="1:7" x14ac:dyDescent="0.2">
      <c r="A1" s="17" t="s">
        <v>20</v>
      </c>
      <c r="B1" s="17" t="s">
        <v>21</v>
      </c>
      <c r="C1" s="17" t="s">
        <v>22</v>
      </c>
      <c r="D1" s="17" t="s">
        <v>23</v>
      </c>
      <c r="E1" s="17" t="s">
        <v>24</v>
      </c>
      <c r="F1" s="17" t="s">
        <v>25</v>
      </c>
    </row>
    <row r="2" spans="1:7" ht="16" customHeight="1" thickBot="1" x14ac:dyDescent="0.25">
      <c r="A2" s="18" t="s">
        <v>1</v>
      </c>
      <c r="B2" s="19" t="s">
        <v>26</v>
      </c>
      <c r="C2" s="20"/>
      <c r="D2" s="130" t="s">
        <v>14</v>
      </c>
      <c r="E2" s="21" t="s">
        <v>27</v>
      </c>
      <c r="F2" s="22" t="s">
        <v>28</v>
      </c>
    </row>
    <row r="3" spans="1:7" ht="16" customHeight="1" thickBot="1" x14ac:dyDescent="0.25">
      <c r="A3" s="18" t="s">
        <v>29</v>
      </c>
      <c r="B3" s="19" t="s">
        <v>30</v>
      </c>
      <c r="C3" s="20"/>
      <c r="D3" s="130" t="s">
        <v>31</v>
      </c>
      <c r="E3" s="21" t="s">
        <v>27</v>
      </c>
      <c r="F3" s="22" t="s">
        <v>1708</v>
      </c>
    </row>
    <row r="4" spans="1:7" x14ac:dyDescent="0.2">
      <c r="A4" s="18" t="s">
        <v>32</v>
      </c>
      <c r="B4" s="19" t="s">
        <v>33</v>
      </c>
      <c r="C4" s="20"/>
      <c r="D4" s="130" t="s">
        <v>472</v>
      </c>
      <c r="E4" s="21" t="s">
        <v>27</v>
      </c>
      <c r="F4" s="22" t="s">
        <v>35</v>
      </c>
    </row>
    <row r="5" spans="1:7" x14ac:dyDescent="0.2">
      <c r="A5" s="21" t="s">
        <v>36</v>
      </c>
      <c r="B5" s="19" t="s">
        <v>37</v>
      </c>
      <c r="C5" s="21"/>
      <c r="D5" s="130" t="s">
        <v>2744</v>
      </c>
      <c r="E5" s="21" t="s">
        <v>27</v>
      </c>
      <c r="F5" s="22" t="s">
        <v>38</v>
      </c>
    </row>
    <row r="6" spans="1:7" x14ac:dyDescent="0.2">
      <c r="A6" s="21" t="s">
        <v>1142</v>
      </c>
      <c r="B6" s="19" t="s">
        <v>39</v>
      </c>
      <c r="C6" s="21" t="s">
        <v>40</v>
      </c>
      <c r="D6" s="130">
        <v>3</v>
      </c>
      <c r="E6" s="21" t="s">
        <v>41</v>
      </c>
      <c r="F6" s="22" t="inlineStr">
        <is>
          <t xml:space="preserve">LED channel D %, the AEP-Plugin 'electrolysis_power' setting (runtime-clamped 0–10 %); drives the electrolysis current via Gerrit's Law. The model needs 3–10 % (fit range ∩ plugin clamp), which the D6 validation enforces.</t>
        </is>
      </c>
    </row>
    <row r="7" spans="1:7" x14ac:dyDescent="0.2">
      <c r="A7" s="21" t="s">
        <v>42</v>
      </c>
      <c r="B7" s="19" t="s">
        <v>43</v>
      </c>
      <c r="C7" s="21" t="s">
        <v>44</v>
      </c>
      <c r="D7" s="130">
        <v>1000</v>
      </c>
      <c r="E7" s="21" t="s">
        <v>41</v>
      </c>
      <c r="F7" s="22" t="s">
        <v>45</v>
      </c>
    </row>
    <row r="8" spans="1:7" x14ac:dyDescent="0.2">
      <c r="A8" s="21" t="s">
        <v>46</v>
      </c>
      <c r="B8" s="19" t="s">
        <v>47</v>
      </c>
      <c r="C8" s="21" t="s">
        <v>48</v>
      </c>
      <c r="D8" s="130">
        <v>30</v>
      </c>
      <c r="E8" s="21" t="s">
        <v>41</v>
      </c>
      <c r="F8" s="22" t="s">
        <v>49</v>
      </c>
    </row>
    <row r="9" spans="1:7" x14ac:dyDescent="0.2">
      <c r="A9" s="21" t="s">
        <v>50</v>
      </c>
      <c r="B9" s="19" t="s">
        <v>51</v>
      </c>
      <c r="C9" s="21" t="s">
        <v>52</v>
      </c>
      <c r="D9" s="135"/>
      <c r="E9" s="21" t="s">
        <v>53</v>
      </c>
      <c r="F9" s="22" t="s">
        <v>54</v>
      </c>
    </row>
    <row r="10" spans="1:7" ht="16" customHeight="1" x14ac:dyDescent="0.2">
      <c r="A10" s="21" t="s">
        <v>55</v>
      </c>
      <c r="B10" s="19" t="s">
        <v>56</v>
      </c>
      <c r="C10" s="21" t="s">
        <v>57</v>
      </c>
      <c r="D10" s="135"/>
      <c r="E10" s="21" t="s">
        <v>53</v>
      </c>
      <c r="F10" s="75" t="s">
        <v>58</v>
      </c>
    </row>
    <row r="11" spans="1:6" x14ac:dyDescent="0.2">
      <c r="A11" s="18" t="inlineStr">
        <is>
          <t xml:space="preserve">Vent model</t>
        </is>
      </c>
      <c r="B11" s="19" t="s">
        <v>1792</v>
      </c>
      <c r="C11" s="20" t="s">
        <v>111</v>
      </c>
      <c r="D11" s="130" t="s">
        <v>1793</v>
      </c>
      <c r="E11" s="21" t="s">
        <v>27</v>
      </c>
      <c r="F11" s="22" t="inlineStr">
        <is>
          <t xml:space="preserve">"Outflow only" = check valve or sealed cap that holds a vacuum (no air ever enters). "Open vent" = a plain needle or tube with no forced flow (air drawn back after each pulse; Q_backdraw, Mass Transfer D385, an estimate). "Air exchange" = measured bidirectional exchange at Q_vent (Mass Transfer D142). The MEP0.3 and AEP0.1.1 caps vent through 2 × 1/16" ID tubes to 0.2 µm PTFE filters, AEP0.2 through needles to the same filters, with no check valve: Open vent (owner, T5). Anything else → #N/A throughout.</t>
        </is>
      </c>
    </row>
    <row r="12" spans="1:6" x14ac:dyDescent="0.2">
      <c r="A12" s="18" t="s">
        <v>1795</v>
      </c>
      <c r="B12" s="19" t="s">
        <v>1796</v>
      </c>
      <c r="C12" s="20" t="s">
        <v>111</v>
      </c>
      <c r="D12" s="130" t="s">
        <v>1797</v>
      </c>
      <c r="E12" s="21" t="s">
        <v>27</v>
      </c>
      <c r="F12" s="22" t="inlineStr">
        <is>
          <t xml:space="preserve">"Growth" sizes the headline schedule (rows 18–21) on the O₂ surplus after knallgas uptake; "Lag" on the whole net electrolytic O₂ plus H₂ (no uptake yet). Anything else → #N/A. Both phases are shown either way, and the start-up schedule (rows 31 and 33) is always the lag one. If the chosen phase’s DO target is unreachable (rows 65–66), the schedule falls back to the legacy O₂ flush guard (Mass Transfer D89).</t>
        </is>
      </c>
    </row>
    <row r="13">
      <c r="A13" s="21" t="inlineStr">
        <is>
          <t xml:space="preserve">Added NaHCO₃ (on top of the recipe)</t>
        </is>
      </c>
      <c r="B13" s="19" t="inlineStr">
        <is>
          <t xml:space="preserve">NaHCO3_add_gL</t>
        </is>
      </c>
      <c r="C13" s="21" t="inlineStr">
        <is>
          <t xml:space="preserve">g/L</t>
        </is>
      </c>
      <c r="D13" s="135"/>
      <c r="E13" s="21" t="inlineStr">
        <is>
          <t xml:space="preserve">input/blank</t>
        </is>
      </c>
      <c r="F13" s="22" t="inlineStr">
        <is>
          <t xml:space="preserve">NaHCO₃ added to the medium; blank = none. It feeds the charge balance, ionic strength, conductivity and CO₂ storage (Chemistry D44, D185, D180, D296), so pH, DO and the schedule respond. Row 80 then shows what is still needed. After a large addition (pH up by more than 0.1) re-enter the DIC reference pH, Chemistry D291 (D310 says when).</t>
        </is>
      </c>
    </row>
    <row r="14">
      <c r="A14" s="21" t="inlineStr">
        <is>
          <t xml:space="preserve">N₂ dose (mean flow of timed pulses)</t>
        </is>
      </c>
      <c r="B14" s="19" t="inlineStr">
        <is>
          <t xml:space="preserve">N2_sweep_set</t>
        </is>
      </c>
      <c r="C14" s="21" t="inlineStr">
        <is>
          <t xml:space="preserve">mL/min</t>
        </is>
      </c>
      <c r="D14" s="130"/>
      <c r="E14" s="21" t="inlineStr">
        <is>
          <t xml:space="preserve">input/blank</t>
        </is>
      </c>
      <c r="F14" s="22" t="inlineStr">
        <is>
          <t xml:space="preserve">Blank = none, the owner’s preference: fix the medium first (rows 80–81). If N₂ must be used it is pulsed apart from the CO₂ pulses (owner, T7); the balance takes its mean flow as an inert inflow with no O₂ or CO₂ (Mass Transfer D424–D425), exact for the mean-field fractions; the sawtooth of a separate N₂ flush is a model improvement (row 135).</t>
        </is>
      </c>
    </row>
    <row r="15">
      <c r="A15" s="21" t="inlineStr">
        <is>
          <t xml:space="preserve">Solenoid command resolution</t>
        </is>
      </c>
      <c r="B15" s="19" t="inlineStr">
        <is>
          <t xml:space="preserve">pulse_res_set</t>
        </is>
      </c>
      <c r="C15" s="21" t="inlineStr">
        <is>
          <t xml:space="preserve">s</t>
        </is>
      </c>
      <c r="D15" s="130">
        <v>0.05</v>
      </c>
      <c r="E15" s="21" t="inlineStr">
        <is>
          <t xml:space="preserve">input</t>
        </is>
      </c>
      <c r="F15" s="22" t="inlineStr">
        <is>
          <t xml:space="preserve">Smallest step the AEP-Plugin solenoid timer is commanded in; the pulse is rounded to it (row 19). Same solenoid as ed04, whose logged pulses (0.2, 0.25, 0.4, 0.6 s) are all 0.05 s multiples (owner, T8).</t>
        </is>
      </c>
    </row>
    <row r="17" spans="1:7" ht="16" customHeight="1" thickBot="1" x14ac:dyDescent="0.25">
      <c r="A17" s="17" t="s">
        <v>59</v>
      </c>
      <c r="B17" s="17" t="s">
        <v>21</v>
      </c>
      <c r="C17" s="17" t="s">
        <v>22</v>
      </c>
      <c r="D17" s="17" t="s">
        <v>23</v>
      </c>
      <c r="E17" s="17" t="s">
        <v>24</v>
      </c>
      <c r="F17" s="17" t="s">
        <v>25</v>
      </c>
      <c r="G17" s="17" t="s">
        <v>1034</v>
      </c>
    </row>
    <row r="18" spans="1:7" ht="16" customHeight="1" thickBot="1" x14ac:dyDescent="0.25">
      <c r="A18" s="25" t="s">
        <v>961</v>
      </c>
      <c r="B18" s="19" t="s">
        <v>1709</v>
      </c>
      <c r="C18" s="21" t="s">
        <v>12</v>
      </c>
      <c r="D18" s="65">
        <f>IF('Mass Transfer'!has_cal=0,"calibrate this reactor first (CO₂ flow section of the Calibrations tab, or a CO2 flows row)",'Mass Transfer'!spg_dur_opt)</f>
        <v>0.674076519917</v>
      </c>
      <c r="E18" s="24" t="str">
        <f>HYPERLINK("#'Mass Transfer'!D90","→ Mass")</f>
        <v>→ Mass</v>
      </c>
      <c r="F18" s="22" t="s">
        <v>60</v>
      </c>
      <c r="G18" s="136"/>
    </row>
    <row r="19" spans="1:7" s="4" customFormat="1" ht="16" customHeight="1" thickBot="1" x14ac:dyDescent="0.25">
      <c r="A19" s="25" t="s">
        <v>1710</v>
      </c>
      <c r="B19" s="19" t="s">
        <v>1711</v>
      </c>
      <c r="C19" s="21" t="s">
        <v>12</v>
      </c>
      <c r="D19" s="111">
        <f>IF(NOT(ISNUMBER(res_spg_dur)),res_spg_dur,'Mass Transfer'!spg_dur)</f>
        <v>0.65</v>
      </c>
      <c r="E19" s="21"/>
      <c r="F19" s="57" t="inlineStr">
        <is>
          <t xml:space="preserve">Pulse actually evaluated by every operating check below. Summary override wins, then Manual mode, otherwise the optimum rounded to the pulse resolution.</t>
        </is>
      </c>
    </row>
    <row r="20" spans="1:7" ht="16" customHeight="1" thickBot="1" x14ac:dyDescent="0.25">
      <c r="A20" s="64" t="str">
        <f>"CO₂ sparge interval ("&amp;vent_model_sel&amp;", sized on "&amp;O2_phase_sel&amp;")"</f>
        <v>CO₂ sparge interval (Open vent, sized on Growth)</v>
      </c>
      <c r="B20" s="19" t="s">
        <v>1713</v>
      </c>
      <c r="C20" s="21" t="s">
        <v>61</v>
      </c>
      <c r="D20" s="65">
        <f>IF('Mass Transfer'!has_cal=0,"calibrate this reactor first (CO₂ flow section of the Calibrations tab, or a CO2 flows row)",'Mass Transfer'!spg_int_opt)</f>
        <v>7.421902768325</v>
      </c>
      <c r="E20" s="24" t="str">
        <f>HYPERLINK("#'Mass Transfer'!D91","→ Mass")</f>
        <v>→ Mass</v>
      </c>
      <c r="F20" s="22" t="inlineStr">
        <is>
          <t xml:space="preserve">Time between doses: the shortest of the carbon-limited, headspace-O₂-dilution and pH-ceiling intervals (rows 28–30), plus the H₂ flammability screen when the schedule is sized on Lag (row 12); row 22 says which binds. Sized for the vent model in row 11 and the pulse in row 19.</t>
        </is>
      </c>
      <c r="G20" s="136"/>
    </row>
    <row r="21" spans="1:7" x14ac:dyDescent="0.2">
      <c r="A21" s="25" t="s">
        <v>1715</v>
      </c>
      <c r="B21" s="19" t="s">
        <v>1716</v>
      </c>
      <c r="C21" s="21" t="s">
        <v>61</v>
      </c>
      <c r="D21" s="111">
        <f>IF(NOT(ISNUMBER(res_spg_int)),res_spg_int,'Mass Transfer'!spg_int)</f>
        <v>7.19</v>
      </c>
      <c r="E21" s="67"/>
      <c r="F21" s="22" t="inlineStr">
        <is>
          <t xml:space="preserve">Interval actually evaluated below, in decimal minutes. Default converts the commanded pulse to the ideal delivery duty and rounds down to 0.01 min; overrides and Manual mode are evaluated directly.</t>
        </is>
      </c>
    </row>
    <row r="22">
      <c r="A22" s="64" t="inlineStr">
        <is>
          <t xml:space="preserve">Binding constraint on the interval</t>
        </is>
      </c>
      <c r="B22" s="19" t="inlineStr">
        <is>
          <t xml:space="preserve">res_binding</t>
        </is>
      </c>
      <c r="D22" s="65" t="str">
        <f>'Mass Transfer'!opt_binding</f>
        <v>O2-DILUTION (headspace O2 sets the interval)</v>
      </c>
      <c r="E22" s="24" t="str">
        <f>HYPERLINK("#'Mass Transfer'!D94","→ Mass Transfer")</f>
        <v>→ Mass Transfer</v>
      </c>
      <c r="F22" s="22" t="inlineStr">
        <is>
          <t xml:space="preserve">Which upper bound sets row 20: carbon supply, headspace-O₂ dilution, the pH ceiling (rows 28–30) or, when sized on Lag, the H₂ flammability screen; an invalid selector or an unreachable target is named here instead.</t>
        </is>
      </c>
    </row>
    <row r="23" spans="1:6" ht="16" thickBot="1" x14ac:dyDescent="0.25">
      <c r="A23" s="64" t="s">
        <v>1744</v>
      </c>
      <c r="B23" s="19" t="s">
        <v>1745</v>
      </c>
      <c r="C23" s="21"/>
      <c r="D23" s="92">
        <f>Chemistry!pH_meas</f>
        <v>6.48770186848</v>
      </c>
      <c r="E23" s="24" t="str">
        <f>HYPERLINK("#Chemistry!D220","→ Chemistry")</f>
        <v>→ Chemistry</v>
      </c>
      <c r="F23" s="22" t="inlineStr">
        <is>
          <t xml:space="preserve">pH at the cycle-average dissolved CO₂ of the schedule in use, on the activity scale a probe reads; the trough just after a pulse is lower. Colour: green inside the HOB band (Chemistry pH_band_lo–pH_band_hi), red outside pH_red_lo–pH_red_hi (Chemistry D299–D300), amber between; thresholds in rows 159–162.</t>
        </is>
      </c>
    </row>
    <row r="24" spans="1:6" x14ac:dyDescent="0.2">
      <c r="A24" s="64" t="s">
        <v>1749</v>
      </c>
      <c r="B24" s="19" t="s">
        <v>1750</v>
      </c>
      <c r="C24" s="21" t="s">
        <v>83</v>
      </c>
      <c r="D24" s="65">
        <f>'Mass Transfer'!DO_ss</f>
        <v>2.274565106296</v>
      </c>
      <c r="E24" s="24" t="str">
        <f>HYPERLINK("#'Mass Transfer'!D108","→ Mass")</f>
        <v>→ Mass</v>
      </c>
      <c r="F24" s="22" t="inlineStr">
        <is>
          <t xml:space="preserve">Time-mean dissolved O₂ of the sawtooth model at the schedule in use, on the sizing phase; near the target by construction when O₂ dilution binds. Both phases, mean and peak: rows 59–62.</t>
        </is>
      </c>
    </row>
    <row r="25" spans="1:6" ht="16" thickBot="1" x14ac:dyDescent="0.25">
      <c r="A25" s="64" t="s">
        <v>1029</v>
      </c>
      <c r="B25" s="19" t="s">
        <v>1747</v>
      </c>
      <c r="C25" s="21" t="s">
        <v>83</v>
      </c>
      <c r="D25" s="92">
        <f>Chemistry!C_eff_Cl2</f>
        <v>0.0</v>
      </c>
      <c r="E25" s="24" t="str">
        <f>HYPERLINK("#Chemistry!D226","→ Chemistry")</f>
        <v>→ Chemistry</v>
      </c>
      <c r="F25" s="111" t="str">
        <f>IF(Chemistry!Cl_model_check&lt;&gt;"OK",Chemistry!Cl_model_check,"Effective chlorine on the as-Cl2 basis; zero for chloride-free medium. Lifetime and potency require measurement.")</f>
        <v>Effective chlorine on the as-Cl2 basis; zero for chloride-free medium. Lifetime and potency require measurement.</v>
      </c>
    </row>
    <row r="27" spans="1:6" x14ac:dyDescent="0.2">
      <c r="A27" s="77" t="inlineStr">
        <is>
          <t xml:space="preserve">SCHEDULE BOUNDS AND THE START-UP (LAG-PHASE) SCHEDULE</t>
        </is>
      </c>
    </row>
    <row r="28" spans="1:6" x14ac:dyDescent="0.2">
      <c r="A28" s="64" t="s">
        <v>1752</v>
      </c>
      <c r="B28" s="19" t="s">
        <v>1753</v>
      </c>
      <c r="C28" s="21" t="s">
        <v>61</v>
      </c>
      <c r="D28" s="65">
        <f>'Mass Transfer'!spg_int_carbon</f>
        <v>184.723136314261</v>
      </c>
      <c r="E28" s="24" t="str">
        <f>HYPERLINK("#'Mass Transfer'!D112","→ Mass")</f>
        <v>→ Mass</v>
      </c>
      <c r="F28" s="22" t="s">
        <v>1754</v>
      </c>
    </row>
    <row r="29">
      <c r="A29" s="64" t="inlineStr">
        <is>
          <t xml:space="preserve">DO-limited sparge interval</t>
        </is>
      </c>
      <c r="B29" s="19" t="inlineStr">
        <is>
          <t xml:space="preserve">res_spg_int_DO</t>
        </is>
      </c>
      <c r="C29" s="21" t="inlineStr">
        <is>
          <t xml:space="preserve">min</t>
        </is>
      </c>
      <c r="D29" s="65">
        <f>'Mass Transfer'!spg_int_DO</f>
        <v>7.421902768325</v>
      </c>
      <c r="E29" s="24" t="str">
        <f>HYPERLINK("#'Mass Transfer'!D185","→ Mass Transfer")</f>
        <v>→ Mass Transfer</v>
      </c>
      <c r="F29" s="22" t="inlineStr">
        <is>
          <t xml:space="preserve">Longest interval that still dilutes headspace O₂ enough to hold the DO target on the sizing phase (row 12). #N/A = the target is unreachable at this surface kLa.</t>
        </is>
      </c>
    </row>
    <row r="30">
      <c r="A30" s="64" t="inlineStr">
        <is>
          <t xml:space="preserve">pH-ceiling interval (longest keeping pH at or under the band ceiling)</t>
        </is>
      </c>
      <c r="C30" s="21" t="inlineStr">
        <is>
          <t xml:space="preserve">min</t>
        </is>
      </c>
      <c r="D30" s="65">
        <f>'Mass Transfer'!spg_int_pH</f>
        <v>212.486056390007</v>
      </c>
      <c r="E30" s="24" t="str">
        <f>HYPERLINK("#'Mass Transfer'!D432","→ Mass Transfer")</f>
        <v>→ Mass Transfer</v>
      </c>
      <c r="F30" s="22" t="inlineStr">
        <is>
          <t xml:space="preserve">Longest interval keeping pH at or under the band ceiling, for the pulse in use. Far above the other bounds, or "no pH bound", unless N₂ dilutes the headspace; then it stops pH overshooting the band once CO₂ no longer has to dilute O₂. Row 55 warns if a long interval lets the carbon pool run dry.</t>
        </is>
      </c>
    </row>
    <row r="31">
      <c r="A31" s="64" t="inlineStr">
        <is>
          <t xml:space="preserve">Start-up (lag-phase) interval, same pulse</t>
        </is>
      </c>
      <c r="B31" s="19" t="inlineStr">
        <is>
          <t xml:space="preserve">res_spg_int_su</t>
        </is>
      </c>
      <c r="C31" s="21" t="inlineStr">
        <is>
          <t xml:space="preserve">min</t>
        </is>
      </c>
      <c r="D31" s="65">
        <f>'Mass Transfer'!spg_int_su_run</f>
        <v>1.21</v>
      </c>
      <c r="E31" s="24" t="str">
        <f>HYPERLINK("#'Mass Transfer'!D547","→ Mass Transfer")</f>
        <v>→ Mass Transfer</v>
      </c>
      <c r="F31" s="22" t="inlineStr">
        <is>
          <t xml:space="preserve">Owner asked for both schedules (T4). Until uptake starts: the shortest of the lag O₂ bound (the legacy guard when the lag DO target is unreachable), the interval clearing the H₂ flammability screen (Biology D92), the lag pH ceiling and the carbon bound. Select Lag in row 12 to evaluate every output at exactly this schedule.</t>
        </is>
      </c>
    </row>
    <row r="32" spans="1:6" x14ac:dyDescent="0.2">
      <c r="A32" s="64" t="s">
        <v>1788</v>
      </c>
      <c r="C32" s="21" t="s">
        <v>87</v>
      </c>
      <c r="D32" s="70">
        <f>IF(AND(ISNUMBER(res_spg_dur_run),ISNUMBER(res_spg_int_run),ISNUMBER('Mass Transfer'!duty_actual)),('Mass Transfer'!pulse_V0+'Mass Transfer'!Q_CO2_fit*res_spg_dur_run)/('Mass Transfer'!Q_CO2/60)/(60*res_spg_int_run)/'Mass Transfer'!duty_actual,"calibrate this reactor first (CO₂ flow section of the Calibrations tab, or a CO2 flows row)")</f>
        <v>1.00068132864</v>
      </c>
      <c r="E32" s="24" t="str">
        <f>HYPERLINK("#'Mass Transfer'!D93","→ Mass")</f>
        <v>→ Mass</v>
      </c>
      <c r="F32" s="22" t="inlineStr">
        <is>
          <t xml:space="preserve">Delivered CO₂ duty of the schedule as run (rows 19 and 21) against the sized duty; 1 = rounding the interval has not moved the CO₂ dose. The sizing already uses the commanded pulse (Mass Transfer D320), so a ratio near 1 also means the DO target holds.</t>
        </is>
      </c>
    </row>
    <row r="33" ht="47" customHeight="1">
      <c r="A33" s="64" t="inlineStr">
        <is>
          <t xml:space="preserve">Start-up schedule: lag-phase DO and H₂</t>
        </is>
      </c>
      <c r="B33" s="19" t="inlineStr">
        <is>
          <t xml:space="preserve">res_su_state</t>
        </is>
      </c>
      <c r="D33" s="175" t="str">
        <f>IF(ISNUMBER('Mass Transfer'!spg_int_su_run),"DO "&amp;TEXT('Mass Transfer'!DO_avg_su_mgL,"0.0")&amp;" mg/L mean, "&amp;TEXT('Mass Transfer'!DO_peak_su_mgL,"0.0")&amp;" peak; H₂ "&amp;TEXT('Mass Transfer'!y_H2_end_su,"0%")&amp;" before each pulse; set by "&amp;'Mass Transfer'!su_binding,"no executable start-up schedule")</f>
        <v>DO 4.1 mg/L mean, 4.1 peak; H₂ 3% before each pulse; set by the legacy O₂ flush guard (lag DO target unreachable)</v>
      </c>
      <c r="E33" s="24" t="str">
        <f>HYPERLINK("#'Mass Transfer'!D556","→ Mass Transfer")</f>
        <v>→ Mass Transfer</v>
      </c>
      <c r="F33" s="22" t="inlineStr">
        <is>
          <t xml:space="preserve">The lag sawtooth evaluated at the start-up interval (rows 61–62 show the lag phase at the headline schedule instead).</t>
        </is>
      </c>
    </row>
    <row r="34" spans="1:6" x14ac:dyDescent="0.2">
      <c r="A34" s="17" t="s">
        <v>62</v>
      </c>
      <c r="B34" s="17"/>
      <c r="C34" s="17"/>
      <c r="D34" s="17" t="s">
        <v>23</v>
      </c>
      <c r="E34" s="17" t="s">
        <v>24</v>
      </c>
      <c r="F34" s="17" t="s">
        <v>25</v>
      </c>
    </row>
    <row r="35" spans="1:6" x14ac:dyDescent="0.2" ht="32" customHeight="1">
      <c r="A35" s="64" t="s">
        <v>63</v>
      </c>
      <c r="B35" s="19" t="s">
        <v>1717</v>
      </c>
      <c r="C35" s="21"/>
      <c r="D35" s="176" t="str">
        <f>Geometry!geom_check</f>
        <v>VIAL GEOMETRY INCONSISTENT - measure the true headspace (protocols/vial-geometry.md)</v>
      </c>
      <c r="E35" s="24" t="str">
        <f>HYPERLINK("#Geometry!D90","→ Geometry")</f>
        <v>→ Geometry</v>
      </c>
      <c r="F35" s="22" t="inlineStr">
        <is>
          <t xml:space="preserve">Red until the vial headspace is measured (vial-geometry.md); while red, the pulse above is provisional (~4x uncertain). Once a headspace and its working fill are included on the Calibrations tab it reads OK, because the measured headspace replaces the cylinder approximation.</t>
        </is>
      </c>
    </row>
    <row r="36" spans="1:6" x14ac:dyDescent="0.2">
      <c r="A36" s="64" t="s">
        <v>64</v>
      </c>
      <c r="B36" s="19" t="s">
        <v>1719</v>
      </c>
      <c r="C36" s="21"/>
      <c r="D36" s="65" t="str">
        <f>'Mass Transfer'!cal_warning</f>
        <v>calibrated: ed04 (flow from CO2 flows)</v>
      </c>
      <c r="E36" s="24" t="str">
        <f>HYPERLINK("#'Mass Transfer'!D120","→ Mass")</f>
        <v>→ Mass</v>
      </c>
      <c r="F36" s="22" t="s">
        <v>1720</v>
      </c>
    </row>
    <row r="37" spans="1:6" x14ac:dyDescent="0.2" ht="32" customHeight="1">
      <c r="A37" s="64" t="s">
        <v>1721</v>
      </c>
      <c r="B37" s="19" t="s">
        <v>1722</v>
      </c>
      <c r="C37" s="21"/>
      <c r="D37" s="175" t="str">
        <f>'Mass Transfer'!DO_peak_band</f>
        <v>organism band unknown – peak 2.5 mg/L is under the inhibition ceiling</v>
      </c>
      <c r="E37" s="24" t="str">
        <f>HYPERLINK("#'Mass Transfer'!D374","→ Mass Transfer")</f>
        <v>→ Mass Transfer</v>
      </c>
      <c r="F37" s="22" t="s">
        <v>1723</v>
      </c>
    </row>
    <row r="38" spans="1:6" x14ac:dyDescent="0.2">
      <c r="A38" s="64" t="s">
        <v>65</v>
      </c>
      <c r="B38" s="19" t="s">
        <v>1724</v>
      </c>
      <c r="C38" s="21"/>
      <c r="D38" s="65" t="str">
        <f>'Mass Transfer'!DO_ss_vs_min</f>
        <v>minimum DO unknown - measure</v>
      </c>
      <c r="E38" s="24" t="str">
        <f>HYPERLINK("#'Mass Transfer'!D110","→ Mass")</f>
        <v>→ Mass</v>
      </c>
      <c r="F38" s="22" t="s">
        <v>66</v>
      </c>
    </row>
    <row r="39" spans="1:6" x14ac:dyDescent="0.2" ht="62" customHeight="1">
      <c r="A39" s="64" t="s">
        <v>1725</v>
      </c>
      <c r="B39" s="19" t="s">
        <v>1726</v>
      </c>
      <c r="C39" s="21"/>
      <c r="D39" s="175" t="str">
        <f>'Mass Transfer'!sched_regime</f>
        <v>Do NOT relax: at the carbon-limited interval (185 min) the cycle-mean DO would be ≈13 mg/L, above the 10.1 mg/L inhibition ceiling (peaks higher)</v>
      </c>
      <c r="E39" s="24" t="str">
        <f>HYPERLINK("#'Mass Transfer'!D113","→ Mass")</f>
        <v>→ Mass</v>
      </c>
      <c r="F39" s="22" t="s">
        <v>1727</v>
      </c>
    </row>
    <row r="40" spans="1:6" x14ac:dyDescent="0.2" ht="92" customHeight="1">
      <c r="A40" s="64" t="s">
        <v>1728</v>
      </c>
      <c r="B40" s="19" t="s">
        <v>1729</v>
      </c>
      <c r="C40" s="21"/>
      <c r="D40" s="177" t="str">
        <f>Biology!H2_safety</f>
        <v>POTENTIAL FLAMMABILITY (lag screen): H₂ 9% mean, 15% before each pulse; O₂ 5% mean, 8% before each pulse – until uptake starts, sparge every ≤2.3 min or sweep ≥1.0 mL/min N₂; vent to a hood; no ignition sources</v>
      </c>
      <c r="E40" s="24" t="str">
        <f>HYPERLINK("#Biology!D44","→ Biology")</f>
        <v>→ Biology</v>
      </c>
      <c r="F40" s="22" t="inlineStr">
        <is>
          <t xml:space="preserve">Nominal lag-phase hazard screen, not safety certification. Predictions depend on unmeasured vent/transfer behaviour; validate mixture-specific limits, sampling and gas clearance before operation.</t>
        </is>
      </c>
    </row>
    <row r="41" spans="1:6" x14ac:dyDescent="0.2">
      <c r="A41" s="64" t="s">
        <v>67</v>
      </c>
      <c r="B41" s="19" t="s">
        <v>1731</v>
      </c>
      <c r="C41" s="21"/>
      <c r="D41" s="65" t="str">
        <f>'Mass Transfer'!bubble_regime</f>
        <v>Dynamic</v>
      </c>
      <c r="E41" s="24" t="str">
        <f>HYPERLINK("#'Mass Transfer'!D64","→ Mass")</f>
        <v>→ Mass</v>
      </c>
      <c r="F41" s="22" t="s">
        <v>68</v>
      </c>
    </row>
    <row r="42" spans="1:6" x14ac:dyDescent="0.2" ht="32" customHeight="1">
      <c r="A42" s="64" t="s">
        <v>69</v>
      </c>
      <c r="B42" s="19" t="s">
        <v>1732</v>
      </c>
      <c r="C42" s="21"/>
      <c r="D42" s="175" t="str">
        <f>IFERROR("×"&amp;TEXT('Mass Transfer'!CO2_sd_ratio,"0.0")&amp;IF('Mass Transfer'!CO2_sd_ratio&gt;=1," OK"," SHORTFALL (CO2 &lt; demand)")&amp;" delivered; ×"&amp;TEXT('Mass Transfer'!CO2_uptake_ratio,"0.0")&amp;" absorbed per pulse (row 77)","calibrate this reactor first")</f>
        <v>×49.8 OK delivered; ×2.5 absorbed per pulse (row 77)</v>
      </c>
      <c r="E42" s="24" t="str">
        <f>HYPERLINK("#'Mass Transfer'!D126","→ Mass")</f>
        <v>→ Mass</v>
      </c>
      <c r="F42" s="22" t="inlineStr">
        <is>
          <t xml:space="preserve">Ratio of CO₂ delivered to carbon demand (should be ≥ 1), with the absorbed ratio beside it (row 77): delivered counts gas the pulse expels unabsorbed, absorbed does not.</t>
        </is>
      </c>
    </row>
    <row r="43" spans="1:6" x14ac:dyDescent="0.2">
      <c r="A43" s="64" t="s">
        <v>70</v>
      </c>
      <c r="B43" s="19" t="s">
        <v>1734</v>
      </c>
      <c r="C43" s="21"/>
      <c r="D43" s="65" t="str">
        <f>IFERROR('Mass Transfer'!dur_ok,"calibrate this reactor first (CO₂ flow section of the Calibrations tab, or a CO2 flows row)")</f>
        <v>OK</v>
      </c>
      <c r="E43" s="24" t="str">
        <f>HYPERLINK("#'Mass Transfer'!D130","→ Mass")</f>
        <v>→ Mass</v>
      </c>
      <c r="F43" s="22" t="s">
        <v>1735</v>
      </c>
    </row>
    <row r="44" spans="1:6" x14ac:dyDescent="0.2">
      <c r="A44" s="64" t="s">
        <v>71</v>
      </c>
      <c r="B44" s="19" t="s">
        <v>1736</v>
      </c>
      <c r="C44" s="21"/>
      <c r="D44" s="65" t="str">
        <f>IFERROR('Mass Transfer'!od_ok,"calibrate this reactor first (CO₂ flow section of the Calibrations tab, or a CO2 flows row)")</f>
        <v>OK</v>
      </c>
      <c r="E44" s="24" t="str">
        <f>HYPERLINK("#'Mass Transfer'!D95","→ Mass")</f>
        <v>→ Mass</v>
      </c>
      <c r="F44" s="22" t="s">
        <v>72</v>
      </c>
    </row>
    <row r="45" spans="1:6" x14ac:dyDescent="0.2" ht="32" customHeight="1">
      <c r="A45" s="64" t="s">
        <v>73</v>
      </c>
      <c r="B45" s="19" t="s">
        <v>1737</v>
      </c>
      <c r="C45" s="21"/>
      <c r="D45" s="175" t="str">
        <f>'Mass Transfer'!carry_flag</f>
        <v>not measured – record the max flow without carryover for ed04 in CO2 flows column M</v>
      </c>
      <c r="E45" s="24" t="str">
        <f>HYPERLINK("#'Mass Transfer'!D59","→ Mass")</f>
        <v>→ Mass</v>
      </c>
      <c r="F45" s="22" t="inlineStr">
        <is>
          <t xml:space="preserve">Pulse flow against the measured no-carryover maximum for this reactor (CO2 flows column M). Reads "not measured" (amber) until one is recorded; the superficial-velocity rule of thumb is row 51.</t>
        </is>
      </c>
    </row>
    <row r="46" spans="1:6" x14ac:dyDescent="0.2">
      <c r="A46" s="64" t="s">
        <v>74</v>
      </c>
      <c r="B46" s="19" t="s">
        <v>1739</v>
      </c>
      <c r="C46" s="21"/>
      <c r="D46" s="65" t="str">
        <f>'Mass Transfer'!tip_warn</f>
        <v>OK</v>
      </c>
      <c r="E46" s="24" t="str">
        <f>HYPERLINK("#'Mass Transfer'!D111","→ Mass")</f>
        <v>→ Mass</v>
      </c>
      <c r="F46" s="22" t="s">
        <v>75</v>
      </c>
    </row>
    <row r="47" spans="1:6" x14ac:dyDescent="0.2">
      <c r="A47" s="64" t="s">
        <v>76</v>
      </c>
      <c r="B47" s="19" t="s">
        <v>1740</v>
      </c>
      <c r="C47" s="21"/>
      <c r="D47" s="69" t="str">
        <f>Geometry!media_vol_warn</f>
        <v>OK</v>
      </c>
      <c r="E47" s="24" t="str">
        <f>HYPERLINK("#Geometry!D54","→ Geometry")</f>
        <v>→ Geometry</v>
      </c>
      <c r="F47" s="22" t="s">
        <v>77</v>
      </c>
    </row>
    <row r="48" spans="1:6" x14ac:dyDescent="0.2">
      <c r="A48" s="64" t="s">
        <v>78</v>
      </c>
      <c r="B48" s="19" t="s">
        <v>1741</v>
      </c>
      <c r="C48" s="21"/>
      <c r="D48" s="69" t="str">
        <f>Geometry!depth_warn</f>
        <v>OK</v>
      </c>
      <c r="E48" s="24" t="str">
        <f>HYPERLINK("#Geometry!D55","→ Geometry")</f>
        <v>→ Geometry</v>
      </c>
      <c r="F48" s="22" t="s">
        <v>79</v>
      </c>
    </row>
    <row r="49" spans="1:6" ht="16" thickBot="1" x14ac:dyDescent="0.25">
      <c r="A49" s="64" t="s">
        <v>80</v>
      </c>
      <c r="B49" s="19" t="s">
        <v>1742</v>
      </c>
      <c r="C49" s="21"/>
      <c r="D49" s="71" t="str">
        <f>Electrochemistry!I_valid</f>
        <v>OK</v>
      </c>
      <c r="E49" s="24" t="str">
        <f>HYPERLINK("#Electrochemistry!D20","→ Electrochemistry")</f>
        <v>→ Electrochemistry</v>
      </c>
      <c r="F49" s="22" t="s">
        <v>81</v>
      </c>
    </row>
    <row r="50" spans="1:6" thickBot="1" x14ac:dyDescent="0.25" ht="32" customHeight="1">
      <c r="A50" s="64" t="s">
        <v>897</v>
      </c>
      <c r="B50" s="19" t="s">
        <v>1743</v>
      </c>
      <c r="C50" s="21"/>
      <c r="D50" s="176" t="str">
        <f>IF(AND(ISNUMBER(Biology!DO_min),ISNUMBER(Biology!DO_opt),ISNUMBER(Biology!DO_impair),ISNUMBER(Biology!DO_toxic)),"inputs present","DATA GAP - organism DO thresholds unmeasured; results unreliable")</f>
        <v>DATA GAP - organism DO thresholds unmeasured; results unreliable</v>
      </c>
      <c r="E50" s="24" t="str">
        <f>HYPERLINK("#Biology!D45","→ Biology")</f>
        <v>→ Biology</v>
      </c>
      <c r="F50" s="22" t="s">
        <v>898</v>
      </c>
    </row>
    <row r="51" spans="1:6" x14ac:dyDescent="0.2" ht="32" customHeight="1">
      <c r="A51" s="64" t="s">
        <v>1836</v>
      </c>
      <c r="B51" s="19" t="s">
        <v>1837</v>
      </c>
      <c r="D51" s="175" t="str">
        <f>'Mass Transfer'!carry_flag_usg</f>
        <v>OK – 6.6 mm/s against the 50 mm/s rule of thumb</v>
      </c>
      <c r="E51" s="24" t="str">
        <f>HYPERLINK("#'Mass Transfer'!D414","→ Mass Transfer")</f>
        <v>→ Mass Transfer</v>
      </c>
      <c r="F51" s="22" t="inlineStr">
        <is>
          <t xml:space="preserve">Secondary to row 45: gas velocity against the provisional 50 mm/s entrainment rule of thumb. It cannot fail at bench flows; row 45 tests the measured limit.</t>
        </is>
      </c>
    </row>
    <row r="52" spans="1:6" x14ac:dyDescent="0.2" ht="32" customHeight="1">
      <c r="A52" s="64" t="s">
        <v>1827</v>
      </c>
      <c r="D52" s="178" t="str">
        <f>IF(ISNA('Mass Transfer'!F_vent_ex+'Mass Transfer'!O2_src_sched),"#N/A – check the selectors in D2–D5, D11 and D12",IF(NOT(ISNUMBER('Mass Transfer'!spg_int_DO)),"DO target unreachable on the sizing phase; schedule is a legacy fallback",IF(OR(Chemistry!DIC_ref_check&lt;&gt;"OK",ABS(Electrochemistry!DO_lag_ref/Electrochemistry!ec_DO_lag-1)&gt;Electrochemistry!DO_lag_tol),"watch – refresh the DIC or lag-DO reference before claiming either target",IF(AND(res_pH&gt;=cf_pH_lo,res_pH&lt;=cf_pH_hi,res_DO_ss&lt;='Mass Transfer'!DO_target*'Mass Transfer'!M_O2),"yes – both targets met by the evaluated schedule","NO – evaluated schedule misses the pH band or mean DO target"))))</f>
        <v>NO – evaluated schedule misses the pH band or mean DO target</v>
      </c>
      <c r="E52" s="24" t="str">
        <f>HYPERLINK("#Chemistry!D220","→ Chemistry")</f>
        <v>→ Chemistry</v>
      </c>
      <c r="F52" s="22" t="inlineStr">
        <is>
          <t xml:space="preserve">The vent model couples the two: when O₂ dilution binds, CO₂ is doing the O₂ dilution, so the DO-limited interval sets the pH (row 22 says which bound binds). Tests both band edges (rows 160–161) at the evaluated schedule, including any override in G18/G20. Red = the two targets conflict: fix the medium (rows 80–81) or measure the vent. Amber "watch" = the DIC or lag-DO reference needs re-entering first (Chemistry D310, Electrochemistry D134). #N/A = a selector (D2–D5, D11, D12) is not a listed value.</t>
        </is>
      </c>
    </row>
    <row r="53" spans="1:6" x14ac:dyDescent="0.2">
      <c r="A53" s="64" t="s">
        <v>1829</v>
      </c>
      <c r="C53" s="21" t="s">
        <v>111</v>
      </c>
      <c r="D53" s="65">
        <f>'Mass Transfer'!hs_sag</f>
        <v>0.05097124556</v>
      </c>
      <c r="E53" s="24" t="str">
        <f>HYPERLINK("#'Mass Transfer'!D389","→ Mass Transfer")</f>
        <v>→ Mass Transfer</v>
      </c>
      <c r="F53" s="22" t="s">
        <v>1830</v>
      </c>
    </row>
    <row r="54" spans="1:6" x14ac:dyDescent="0.2" ht="32" customHeight="1">
      <c r="A54" s="64" t="s">
        <v>1831</v>
      </c>
      <c r="D54" s="175" t="str">
        <f>'Mass Transfer'!hs_sag_chk</f>
        <v>UNVERIFIED pressure closure: air ingress is assumed; measure vent make-up flow</v>
      </c>
      <c r="E54" s="24" t="str">
        <f>HYPERLINK("#'Mass Transfer'!D391","→ Mass Transfer")</f>
        <v>→ Mass Transfer</v>
      </c>
      <c r="F54" s="22" t="inlineStr">
        <is>
          <t xml:space="preserve">"HEADSPACE SAGS" = the check-valve model needs more vacuum than a real cap holds: switch D11 to Open vent or Air exchange. With an open vent or air exchange it reads UNVERIFIED, because the air ingress is assumed until the vent back-draw is measured (row 121); OK when an N₂ dose covers the per-cycle deficit.</t>
        </is>
      </c>
    </row>
    <row r="55">
      <c r="A55" s="64" t="inlineStr">
        <is>
          <t xml:space="preserve">Carbon pool stays above air equilibrium through the cycle?</t>
        </is>
      </c>
      <c r="B55" s="19" t="inlineStr">
        <is>
          <t xml:space="preserve">chk_pool</t>
        </is>
      </c>
      <c r="D55" s="65" t="str">
        <f>'Mass Transfer'!pool_start_chk</f>
        <v>OK</v>
      </c>
      <c r="E55" s="24" t="str">
        <f>HYPERLINK("#'Mass Transfer'!D435","→ Mass Transfer")</f>
        <v>→ Mass Transfer</v>
      </c>
      <c r="F55" s="22" t="inlineStr">
        <is>
          <t xml:space="preserve">Pulse-start dissolved CO₂ against air equilibrium at the schedule in use; WATCH = fixation empties the pool within the cycle (only reachable with a long, N₂-relaxed interval).</t>
        </is>
      </c>
    </row>
    <row r="57" spans="1:6" x14ac:dyDescent="0.2">
      <c r="A57" s="77" t="inlineStr">
        <is>
          <t xml:space="preserve">DISSOLVED O₂ AND HEADSPACE BY PHASE (both shown; row 12 picks which sizes the headline schedule)</t>
        </is>
      </c>
    </row>
    <row r="58" spans="1:6" x14ac:dyDescent="0.2">
      <c r="A58" s="64" t="s">
        <v>1799</v>
      </c>
      <c r="C58" s="21" t="s">
        <v>314</v>
      </c>
      <c r="D58" s="65">
        <f>'Mass Transfer'!Q_vent_used</f>
        <v>0.015</v>
      </c>
      <c r="E58" s="24" t="str">
        <f>HYPERLINK("#'Mass Transfer'!D386","→ Mass Transfer")</f>
        <v>→ Mass Transfer</v>
      </c>
      <c r="F58" s="22" t="inlineStr">
        <is>
          <t xml:space="preserve">0 for "Outflow only"; Q_backdraw (Mass Transfer D385, an estimate) for "Open vent"; the measured Q_vent (Mass Transfer D142) for "Air exchange". The single number that reconciles the O₂, CO₂ and flammability blocks — measure it.</t>
        </is>
      </c>
    </row>
    <row r="59" spans="1:6" x14ac:dyDescent="0.2">
      <c r="A59" s="64" t="s">
        <v>1801</v>
      </c>
      <c r="C59" s="21" t="s">
        <v>83</v>
      </c>
      <c r="D59" s="65">
        <f>'Mass Transfer'!DO_avg_g_mgL</f>
        <v>2.274565106296</v>
      </c>
      <c r="E59" s="24" t="str">
        <f>HYPERLINK("#'Mass Transfer'!D343","→ Mass Transfer")</f>
        <v>→ Mass Transfer</v>
      </c>
      <c r="F59" s="22" t="s">
        <v>1802</v>
      </c>
    </row>
    <row r="60" spans="1:6" x14ac:dyDescent="0.2">
      <c r="A60" s="64" t="s">
        <v>1803</v>
      </c>
      <c r="C60" s="21" t="s">
        <v>83</v>
      </c>
      <c r="D60" s="65">
        <f>'Mass Transfer'!DO_peak_g_mgL</f>
        <v>2.452828748339</v>
      </c>
      <c r="E60" s="24" t="str">
        <f>HYPERLINK("#'Mass Transfer'!D344","→ Mass Transfer")</f>
        <v>→ Mass Transfer</v>
      </c>
      <c r="F60" s="22" t="s">
        <v>1804</v>
      </c>
    </row>
    <row r="61" spans="1:6" x14ac:dyDescent="0.2">
      <c r="A61" s="64" t="s">
        <v>1805</v>
      </c>
      <c r="C61" s="21" t="s">
        <v>83</v>
      </c>
      <c r="D61" s="65">
        <f>'Mass Transfer'!DO_avg_l_mgL</f>
        <v>5.640773717562</v>
      </c>
      <c r="E61" s="24" t="str">
        <f>HYPERLINK("#'Mass Transfer'!D364","→ Mass Transfer")</f>
        <v>→ Mass Transfer</v>
      </c>
      <c r="F61" s="22" t="s">
        <v>1806</v>
      </c>
    </row>
    <row r="62" spans="1:6" x14ac:dyDescent="0.2">
      <c r="A62" s="64" t="s">
        <v>1807</v>
      </c>
      <c r="C62" s="21" t="s">
        <v>83</v>
      </c>
      <c r="D62" s="65">
        <f>'Mass Transfer'!DO_peak_l_mgL</f>
        <v>6.004422813773</v>
      </c>
      <c r="E62" s="24" t="str">
        <f>HYPERLINK("#'Mass Transfer'!D365","→ Mass Transfer")</f>
        <v>→ Mass Transfer</v>
      </c>
      <c r="F62" s="22" t="s">
        <v>1808</v>
      </c>
    </row>
    <row r="63" spans="1:6" x14ac:dyDescent="0.2">
      <c r="A63" s="64" t="s">
        <v>1809</v>
      </c>
      <c r="D63" s="65" t="str">
        <f>'Mass Transfer'!DO_peak_chk_g</f>
        <v>peak 2.5 mg/L under the 10.1 mg/L ceiling</v>
      </c>
      <c r="E63" s="24" t="str">
        <f>HYPERLINK("#'Mass Transfer'!D348","→ Mass Transfer")</f>
        <v>→ Mass Transfer</v>
      </c>
      <c r="F63" s="22" t="inlineStr">
        <is>
          <t xml:space="preserve">Red = the growth-phase sawtooth peaks above the organism’s inhibition limit: its toxic DO when known, otherwise the 0.30 atm ceiling (Mass Transfer D565).</t>
        </is>
      </c>
    </row>
    <row r="64" spans="1:6" x14ac:dyDescent="0.2">
      <c r="A64" s="64" t="s">
        <v>1811</v>
      </c>
      <c r="D64" s="65" t="str">
        <f>'Mass Transfer'!DO_peak_chk_l</f>
        <v>peak 6.0 mg/L under the 10.1 mg/L ceiling</v>
      </c>
      <c r="E64" s="24" t="str">
        <f>HYPERLINK("#'Mass Transfer'!D369","→ Mass Transfer")</f>
        <v>→ Mass Transfer</v>
      </c>
      <c r="F64" s="22" t="inlineStr">
        <is>
          <t xml:space="preserve">Red = the lag-phase peak breaches that limit at the schedule in use; the culture would then be inhibited before it can take up O₂ (Mass Transfer D565).</t>
        </is>
      </c>
    </row>
    <row r="65" spans="1:6" x14ac:dyDescent="0.2">
      <c r="A65" s="64" t="s">
        <v>1813</v>
      </c>
      <c r="D65" s="65" t="str">
        <f>'Mass Transfer'!DO_feas_g</f>
        <v>reachable – kLa margin 1.74×</v>
      </c>
      <c r="E65" s="24" t="str">
        <f>HYPERLINK("#'Mass Transfer'!D347","→ Mass Transfer")</f>
        <v>→ Mass Transfer</v>
      </c>
      <c r="F65" s="22" t="s">
        <v>1814</v>
      </c>
    </row>
    <row r="66" spans="1:6" x14ac:dyDescent="0.2" ht="47" customHeight="1">
      <c r="A66" s="64" t="s">
        <v>1815</v>
      </c>
      <c r="D66" s="175" t="str">
        <f>'Mass Transfer'!DO_feas_l</f>
        <v>UNREACHABLE at this surface kLa – margin 0.61× (raise kL_surf, lower the current, or accept a higher DO)</v>
      </c>
      <c r="E66" s="24" t="str">
        <f>HYPERLINK("#'Mass Transfer'!D368","→ Mass Transfer")</f>
        <v>→ Mass Transfer</v>
      </c>
      <c r="F66" s="154" t="str">
        <f>"Same on the lag source. Currently "&amp;TEXT('Mass Transfer'!kLa_margin_l,"0.00")&amp;"×: "&amp;IF('Mass Transfer'!kLa_margin_l&lt;1,"the target cannot be held during lag at the kLa in use, whatever the schedule — an owner decision (target the ceiling with a margin during lag?).","the target can be held during lag at the kLa in use.")</f>
        <v>Same on the lag source. Currently 0.61×: the target cannot be held during lag at the kLa in use, whatever the schedule — an owner decision (target the ceiling with a margin during lag?).</v>
      </c>
    </row>
    <row r="67" spans="1:6" x14ac:dyDescent="0.2">
      <c r="A67" s="64" t="s">
        <v>1816</v>
      </c>
      <c r="C67" s="21" t="s">
        <v>449</v>
      </c>
      <c r="D67" s="65">
        <f>'Mass Transfer'!kLa_surf_req_g*3600</f>
        <v>15.848589519808</v>
      </c>
      <c r="E67" s="24" t="str">
        <f>HYPERLINK("#'Mass Transfer'!D345","→ Mass Transfer")</f>
        <v>→ Mass Transfer</v>
      </c>
      <c r="F67" s="22" t="s">
        <v>1817</v>
      </c>
    </row>
    <row r="68" spans="1:6" x14ac:dyDescent="0.2">
      <c r="A68" s="64" t="s">
        <v>1818</v>
      </c>
      <c r="C68" s="21" t="s">
        <v>449</v>
      </c>
      <c r="D68" s="65">
        <f>'Mass Transfer'!kLa_surf_req_l*3600</f>
        <v>45.331424583836</v>
      </c>
      <c r="E68" s="24" t="str">
        <f>HYPERLINK("#'Mass Transfer'!D366","→ Mass Transfer")</f>
        <v>→ Mass Transfer</v>
      </c>
      <c r="F68" s="22" t="s">
        <v>1817</v>
      </c>
    </row>
    <row r="69" spans="1:6" x14ac:dyDescent="0.2">
      <c r="A69" s="64" t="s">
        <v>1819</v>
      </c>
      <c r="C69" s="21" t="s">
        <v>111</v>
      </c>
      <c r="D69" s="65">
        <f>'Mass Transfer'!y_O2_mf_g</f>
        <v>0.02766022792</v>
      </c>
      <c r="E69" s="24" t="str">
        <f>HYPERLINK("#'Mass Transfer'!D329","→ Mass Transfer")</f>
        <v>→ Mass Transfer</v>
      </c>
      <c r="F69" s="22" t="s">
        <v>1820</v>
      </c>
    </row>
    <row r="70" spans="1:6" x14ac:dyDescent="0.2">
      <c r="A70" s="64" t="s">
        <v>1821</v>
      </c>
      <c r="C70" s="21" t="s">
        <v>111</v>
      </c>
      <c r="D70" s="65">
        <f>'Mass Transfer'!y_O2_mf_l</f>
        <v>0.054287788176</v>
      </c>
      <c r="E70" s="24" t="str">
        <f>HYPERLINK("#'Mass Transfer'!D351","→ Mass Transfer")</f>
        <v>→ Mass Transfer</v>
      </c>
      <c r="F70" s="22" t="inlineStr">
        <is>
          <t xml:space="preserve">Lag phase; with the H₂ fraction below it, the flammability basis of row 40.</t>
        </is>
      </c>
    </row>
    <row r="71" spans="1:6" x14ac:dyDescent="0.2">
      <c r="A71" s="64" t="s">
        <v>1823</v>
      </c>
      <c r="C71" s="21" t="s">
        <v>111</v>
      </c>
      <c r="D71" s="65">
        <f>'Mass Transfer'!y_H2_mf_l</f>
        <v>0.093870758852</v>
      </c>
      <c r="E71" s="24" t="str">
        <f>HYPERLINK("#'Mass Transfer'!D352","→ Mass Transfer")</f>
        <v>→ Mass Transfer</v>
      </c>
      <c r="F71" s="22" t="s">
        <v>1824</v>
      </c>
    </row>
    <row r="72" spans="1:6" x14ac:dyDescent="0.2">
      <c r="A72" s="64" t="s">
        <v>1825</v>
      </c>
      <c r="C72" s="21" t="s">
        <v>111</v>
      </c>
      <c r="D72" s="65">
        <f>'Mass Transfer'!y_CO2_mf</f>
        <v>0.940062404006</v>
      </c>
      <c r="E72" s="24" t="str">
        <f>HYPERLINK("#'Mass Transfer'!D381","→ Mass Transfer")</f>
        <v>→ Mass Transfer</v>
      </c>
      <c r="F72" s="22" t="s">
        <v>1826</v>
      </c>
    </row>
    <row r="74" spans="1:6" ht="16" thickBot="1" x14ac:dyDescent="0.25">
      <c r="A74" s="77" t="s">
        <v>82</v>
      </c>
      <c r="B74" s="21"/>
      <c r="C74" s="21"/>
      <c r="D74" s="21"/>
      <c r="E74" s="21"/>
      <c r="F74" s="22"/>
    </row>
    <row r="75" spans="1:6" x14ac:dyDescent="0.2">
      <c r="A75" s="64" t="s">
        <v>84</v>
      </c>
      <c r="B75" s="19" t="s">
        <v>1755</v>
      </c>
      <c r="C75" s="21" t="s">
        <v>85</v>
      </c>
      <c r="D75" s="65">
        <f>'Mass Transfer'!tip_speed</f>
        <v>0.628318530718</v>
      </c>
      <c r="E75" s="24" t="str">
        <f>HYPERLINK("#'Mass Transfer'!D68","→ Mass")</f>
        <v>→ Mass</v>
      </c>
      <c r="F75" s="22" t="s">
        <v>86</v>
      </c>
    </row>
    <row r="76" spans="1:6" x14ac:dyDescent="0.2">
      <c r="A76" s="64" t="s">
        <v>1756</v>
      </c>
      <c r="B76" s="19" t="s">
        <v>1757</v>
      </c>
      <c r="C76" s="21" t="s">
        <v>87</v>
      </c>
      <c r="D76" s="70">
        <f>Biology!CO2_margin_trough</f>
        <v>508.697994922664</v>
      </c>
      <c r="E76" s="24" t="str">
        <f>HYPERLINK("#Biology!D98","→ Biology")</f>
        <v>→ Biology</v>
      </c>
      <c r="F76" s="22" t="inlineStr">
        <is>
          <t xml:space="preserve">Dissolved CO₂ at the lowest point of the dosing cycle vs RuBisCO Km (was the in-sparge saturation peak, which a sub-second pulse never reaches); large = ample carbon. Complements the supply:demand ratio (D42).</t>
        </is>
      </c>
    </row>
    <row r="77" spans="1:6" x14ac:dyDescent="0.2">
      <c r="A77" s="64" t="s">
        <v>1833</v>
      </c>
      <c r="B77" s="19" t="s">
        <v>1834</v>
      </c>
      <c r="C77" s="21" t="s">
        <v>87</v>
      </c>
      <c r="D77" s="65">
        <f>'Mass Transfer'!CO2_uptake_ratio</f>
        <v>2.501421260187</v>
      </c>
      <c r="E77" s="24" t="str">
        <f>HYPERLINK("#'Mass Transfer'!D417","→ Mass Transfer")</f>
        <v>→ Mass Transfer</v>
      </c>
      <c r="F77" s="22" t="inlineStr">
        <is>
          <t xml:space="preserve">Shown beside D42: CO₂ the liquid takes up after each pulse (incl. bicarbonate), per hour, over fixation. Informative, not pass/fail: below 1 the culture also draws on headspace CO₂ between pulses. Carbon sufficiency is row 76.</t>
        </is>
      </c>
    </row>
    <row r="79">
      <c r="A79" s="77" t="inlineStr">
        <is>
          <t xml:space="preserve">MEDIA DESIGN — fix the medium first (owner, T7); N₂ only if it must, pulsed apart from CO₂</t>
        </is>
      </c>
    </row>
    <row r="80" spans="1:6" x14ac:dyDescent="0.2">
      <c r="A80" s="64" t="inlineStr">
        <is>
          <t xml:space="preserve">NaHCO₃ still needed to lift pH to the target (first-order)</t>
        </is>
      </c>
      <c r="C80" s="21" t="s">
        <v>2692</v>
      </c>
      <c r="D80" s="65">
        <f>Chemistry!alk_NaHCO3_gL</f>
        <v>0.123122489916</v>
      </c>
      <c r="E80" s="24" t="str">
        <f>HYPERLINK("#Chemistry!D306","→ Chemistry")</f>
        <v>→ Chemistry</v>
      </c>
      <c r="F80" s="22" t="inlineStr">
        <is>
          <t xml:space="preserve">Alkalinity still needed, on top of the recipe and any NaHCO₃ in D13, for a probe pH of Chemistry D303 (the 6.5 band floor by default) at today’s dissolved CO₂. Enter it in D13 to see the coupled result; re-read, as CO₂ storage moves with it.</t>
        </is>
      </c>
    </row>
    <row r="81" spans="1:6" x14ac:dyDescent="0.2">
      <c r="A81" s="64" t="s">
        <v>2694</v>
      </c>
      <c r="C81" s="21" t="s">
        <v>2695</v>
      </c>
      <c r="D81" s="65">
        <f>Chemistry!alk_needed*1000</f>
        <v>1.465621792425</v>
      </c>
      <c r="E81" s="24" t="str">
        <f>HYPERLINK("#Chemistry!D306","→ Chemistry")</f>
        <v>→ Chemistry</v>
      </c>
      <c r="F81" s="22" t="s">
        <v>2696</v>
      </c>
    </row>
    <row r="82">
      <c r="A82" s="64" t="inlineStr">
        <is>
          <t xml:space="preserve">N₂ (mean of timed pulses) that holds the DO target at the carbon-limited interval</t>
        </is>
      </c>
      <c r="C82" s="21" t="inlineStr">
        <is>
          <t xml:space="preserve">mL/min</t>
        </is>
      </c>
      <c r="D82" s="65">
        <f>'Mass Transfer'!N2_for_DO</f>
        <v>0.337846643585</v>
      </c>
      <c r="E82" s="24" t="str">
        <f>HYPERLINK("#'Mass Transfer'!D426","→ Mass Transfer")</f>
        <v>→ Mass Transfer</v>
      </c>
      <c r="F82" s="22" t="inlineStr">
        <is>
          <t xml:space="preserve">Sizing phase (row 12): the N₂ that removes the DO bound on the CO₂ schedule. With it in row 14 the pH ceiling (row 30) then usually sets the interval. #N/A = the DO target is unreachable at this surface kLa, which no N₂ fixes.</t>
        </is>
      </c>
    </row>
    <row r="83">
      <c r="A83" s="64" t="inlineStr">
        <is>
          <t xml:space="preserve">N₂ (mean of timed pulses) that keeps lag-phase H₂ below the LFL</t>
        </is>
      </c>
      <c r="C83" s="21" t="inlineStr">
        <is>
          <t xml:space="preserve">mL/min</t>
        </is>
      </c>
      <c r="D83" s="65">
        <f>Biology!N2_sweep_H2safe</f>
        <v>0.927852667512</v>
      </c>
      <c r="E83" s="24" t="str">
        <f>HYPERLINK("#Biology!D88","→ Biology")</f>
        <v>→ Biology</v>
      </c>
      <c r="F83" s="22" t="inlineStr">
        <is>
          <t xml:space="preserve">Mean-field, with no CO₂ at all; the pre-pulse sawtooth peaks higher, so treat it as a lower bound and re-read row 40 with it entered. A screen, not a mixture safety certification.</t>
        </is>
      </c>
    </row>
    <row r="85" spans="1:6" x14ac:dyDescent="0.2">
      <c r="A85" s="77" t="s">
        <v>1144</v>
      </c>
    </row>
    <row r="86" spans="1:6" x14ac:dyDescent="0.2">
      <c r="A86" s="64" t="s">
        <v>1145</v>
      </c>
      <c r="B86" s="19" t="s">
        <v>1759</v>
      </c>
      <c r="C86" s="21" t="s">
        <v>278</v>
      </c>
      <c r="D86" s="65">
        <f>Electrochemistry!I_app*1000</f>
        <v>5.69</v>
      </c>
      <c r="E86" s="24" t="str">
        <f>HYPERLINK("#Electrochemistry!D19","→ Electrochemistry")</f>
        <v>→ Electrochemistry</v>
      </c>
      <c r="F86" s="22" t="s">
        <v>1146</v>
      </c>
    </row>
    <row r="87" spans="1:6" x14ac:dyDescent="0.2">
      <c r="A87" s="64" t="s">
        <v>1147</v>
      </c>
      <c r="B87" s="19" t="s">
        <v>1760</v>
      </c>
      <c r="C87" s="21" t="s">
        <v>1148</v>
      </c>
      <c r="D87" s="65">
        <f>Electrochemistry!j_anode</f>
        <v>3.287810437489</v>
      </c>
      <c r="E87" s="24" t="str">
        <f>HYPERLINK("#Electrochemistry!D48","→ Electrochemistry")</f>
        <v>→ Electrochemistry</v>
      </c>
      <c r="F87" s="22" t="s">
        <v>1149</v>
      </c>
    </row>
    <row r="88" spans="1:6" x14ac:dyDescent="0.2">
      <c r="A88" s="64" t="s">
        <v>1150</v>
      </c>
      <c r="B88" s="19" t="s">
        <v>1761</v>
      </c>
      <c r="D88" s="65" t="str">
        <f>Electrochemistry!j_flag</f>
        <v>watch - above optimum current density</v>
      </c>
      <c r="E88" s="24" t="str">
        <f>HYPERLINK("#Electrochemistry!D62","→ Electrochemistry")</f>
        <v>→ Electrochemistry</v>
      </c>
      <c r="F88" s="22" t="s">
        <v>1151</v>
      </c>
    </row>
    <row r="89" spans="1:6" x14ac:dyDescent="0.2">
      <c r="A89" s="64" t="s">
        <v>1152</v>
      </c>
      <c r="B89" s="19" t="s">
        <v>1762</v>
      </c>
      <c r="C89" s="21" t="s">
        <v>40</v>
      </c>
      <c r="D89" s="65">
        <f>Electrochemistry!power_max</f>
        <v>10.0</v>
      </c>
      <c r="E89" s="24" t="str">
        <f>HYPERLINK("#Electrochemistry!D73","→ Electrochemistry")</f>
        <v>→ Electrochemistry</v>
      </c>
      <c r="F89" s="22" t="s">
        <v>1153</v>
      </c>
    </row>
    <row r="90" spans="1:6" x14ac:dyDescent="0.2">
      <c r="A90" s="64" t="s">
        <v>1154</v>
      </c>
      <c r="B90" s="19" t="s">
        <v>1763</v>
      </c>
      <c r="C90" s="21" t="s">
        <v>278</v>
      </c>
      <c r="D90" s="65">
        <f>Electrochemistry!I_max</f>
        <v>12.9</v>
      </c>
      <c r="E90" s="24" t="str">
        <f>HYPERLINK("#Electrochemistry!D74","→ Electrochemistry")</f>
        <v>→ Electrochemistry</v>
      </c>
      <c r="F90" s="22" t="s">
        <v>1155</v>
      </c>
    </row>
    <row r="91" spans="1:6" x14ac:dyDescent="0.2">
      <c r="A91" s="64" t="s">
        <v>1156</v>
      </c>
      <c r="B91" s="19" t="s">
        <v>1764</v>
      </c>
      <c r="C91" s="21" t="s">
        <v>1148</v>
      </c>
      <c r="D91" s="65">
        <f>Electrochemistry!j_anode_max</f>
        <v>7.453911185169</v>
      </c>
      <c r="E91" s="24" t="str">
        <f>HYPERLINK("#Electrochemistry!D75","→ Electrochemistry")</f>
        <v>→ Electrochemistry</v>
      </c>
      <c r="F91" s="22" t="s">
        <v>1157</v>
      </c>
    </row>
    <row r="92" spans="1:6" x14ac:dyDescent="0.2">
      <c r="A92" s="64" t="s">
        <v>1158</v>
      </c>
      <c r="B92" s="19" t="s">
        <v>1765</v>
      </c>
      <c r="D92" s="65" t="str">
        <f>Electrochemistry!j_flag_max</f>
        <v>EXCEED - max current over a limit</v>
      </c>
      <c r="E92" s="24" t="str">
        <f>HYPERLINK("#Electrochemistry!D76","→ Electrochemistry")</f>
        <v>→ Electrochemistry</v>
      </c>
      <c r="F92" s="22" t="s">
        <v>1159</v>
      </c>
    </row>
    <row r="94" spans="1:6" x14ac:dyDescent="0.2">
      <c r="A94" s="6" t="s">
        <v>1772</v>
      </c>
    </row>
    <row r="95" spans="1:6" x14ac:dyDescent="0.2">
      <c r="A95" t="s">
        <v>1490</v>
      </c>
      <c r="B95" s="19" t="s">
        <v>1773</v>
      </c>
      <c r="C95" s="20" t="s">
        <v>1140</v>
      </c>
      <c r="D95" s="23">
        <f>Electrochemistry!etaF_calc</f>
        <v>0.964044311944</v>
      </c>
      <c r="E95" s="24" t="str">
        <f>HYPERLINK("#Electrochemistry!D88","→ Electrochemistry")</f>
        <v>→ Electrochemistry</v>
      </c>
      <c r="F95" t="s">
        <v>1774</v>
      </c>
    </row>
    <row r="96" spans="1:6" x14ac:dyDescent="0.2">
      <c r="A96" t="s">
        <v>1572</v>
      </c>
      <c r="B96" s="19" t="s">
        <v>1775</v>
      </c>
      <c r="C96" s="20" t="s">
        <v>1445</v>
      </c>
      <c r="D96" s="23">
        <f>Electrochemistry!V_cell_est</f>
        <v>2.649439580207</v>
      </c>
      <c r="E96" s="24" t="str">
        <f>HYPERLINK("#Electrochemistry!D119","→ Electrochemistry")</f>
        <v>→ Electrochemistry</v>
      </c>
      <c r="F96" t="s">
        <v>1662</v>
      </c>
    </row>
    <row r="97" spans="1:6" x14ac:dyDescent="0.2">
      <c r="A97" t="s">
        <v>1581</v>
      </c>
      <c r="B97" s="19" t="s">
        <v>1776</v>
      </c>
      <c r="C97" s="20" t="s">
        <v>1140</v>
      </c>
      <c r="D97" s="23" t="str">
        <f>Electrochemistry!V_flag</f>
        <v>OK — 2.65 V estimated against a 5 V rail</v>
      </c>
      <c r="E97" s="24" t="str">
        <f>HYPERLINK("#Electrochemistry!D122","→ Electrochemistry")</f>
        <v>→ Electrochemistry</v>
      </c>
      <c r="F97" t="s">
        <v>1663</v>
      </c>
    </row>
    <row r="98" spans="1:6" x14ac:dyDescent="0.2" ht="62" customHeight="1">
      <c r="A98" t="s">
        <v>1517</v>
      </c>
      <c r="B98" s="19" t="s">
        <v>1777</v>
      </c>
      <c r="C98" s="20" t="s">
        <v>1140</v>
      </c>
      <c r="D98" s="179" t="str">
        <f>Electrochemistry!H2O2_flag</f>
        <v>watch — steady growth is clear (0.048 mg/L) but LAG PHASE is not: peroxide passes the threshold in 6 min (0.84 mg/L after 1 h) before biomass can scavenge it</v>
      </c>
      <c r="E98" s="24" t="str">
        <f>HYPERLINK("#Electrochemistry!D99","→ Electrochemistry")</f>
        <v>→ Electrochemistry</v>
      </c>
      <c r="F98" t="s">
        <v>1664</v>
      </c>
    </row>
    <row r="99" spans="1:6" x14ac:dyDescent="0.2" ht="32" customHeight="1">
      <c r="A99" t="s">
        <v>1665</v>
      </c>
      <c r="B99" s="19" t="s">
        <v>1778</v>
      </c>
      <c r="C99" s="20" t="s">
        <v>1140</v>
      </c>
      <c r="D99" s="179" t="str">
        <f>Chemistry!buffer_flag</f>
        <v>OK — buffer holds the electrode surfaces at the bulk pH</v>
      </c>
      <c r="E99" s="24" t="str">
        <f>HYPERLINK("#Chemistry!D219","→ Chemistry")</f>
        <v>→ Chemistry</v>
      </c>
      <c r="F99" t="s">
        <v>1666</v>
      </c>
    </row>
    <row r="100" spans="1:6" x14ac:dyDescent="0.2">
      <c r="A100" t="s">
        <v>1779</v>
      </c>
      <c r="B100" s="19" t="s">
        <v>1780</v>
      </c>
      <c r="C100" s="20" t="s">
        <v>1445</v>
      </c>
      <c r="D100" s="23" t="e">
        <f>Chemistry!E_Cl_margin</f>
        <v>#N/A</v>
      </c>
      <c r="E100" s="24" t="str">
        <f>HYPERLINK("#Chemistry!D209","→ Chemistry")</f>
        <v>→ Chemistry</v>
      </c>
      <c r="F100" t="s">
        <v>1781</v>
      </c>
    </row>
    <row r="101" spans="1:6" x14ac:dyDescent="0.2">
      <c r="A101" t="s">
        <v>1449</v>
      </c>
      <c r="B101" s="19" t="s">
        <v>1782</v>
      </c>
      <c r="C101" s="20" t="s">
        <v>1445</v>
      </c>
      <c r="D101" s="23">
        <f>Chemistry!E_Cu_margin</f>
        <v>1.24888409344</v>
      </c>
      <c r="E101" s="24" t="str">
        <f>HYPERLINK("#Chemistry!D211","→ Chemistry")</f>
        <v>→ Chemistry</v>
      </c>
      <c r="F101" t="s">
        <v>1783</v>
      </c>
    </row>
    <row r="102" spans="1:6" x14ac:dyDescent="0.2">
      <c r="A102" t="s">
        <v>1468</v>
      </c>
      <c r="B102" s="19" t="s">
        <v>1784</v>
      </c>
      <c r="C102" s="20" t="s">
        <v>1140</v>
      </c>
      <c r="D102" s="23">
        <f>Chemistry!pH_meas</f>
        <v>6.48770186848</v>
      </c>
      <c r="E102" s="24" t="str">
        <f>HYPERLINK("#Chemistry!D220","→ Chemistry")</f>
        <v>→ Chemistry</v>
      </c>
      <c r="F102" t="s">
        <v>1667</v>
      </c>
    </row>
    <row r="103" spans="1:6" x14ac:dyDescent="0.2">
      <c r="A103" t="s">
        <v>1668</v>
      </c>
      <c r="B103" s="19" t="s">
        <v>1785</v>
      </c>
      <c r="C103" s="20" t="s">
        <v>449</v>
      </c>
      <c r="D103" s="23">
        <f>'Mass Transfer'!kLa_surf_req*3600</f>
        <v>15.848589519808</v>
      </c>
      <c r="E103" s="24" t="str">
        <f>HYPERLINK("#'Mass Transfer'!D186","→ Mass Transfer")</f>
        <v>→ Mass Transfer</v>
      </c>
      <c r="F103" t="inlineStr">
        <is>
          <t xml:space="preserve">Below this, no sparge interval holds the target dissolved O₂ on the sizing phase. Per hour, the unit you measure in and the Calibrations tab takes (Calibrations D46). Both phases and their margins: rows 65–68.</t>
        </is>
      </c>
    </row>
    <row r="105" spans="1:6" x14ac:dyDescent="0.2">
      <c r="A105" s="32" t="inlineStr">
        <is>
          <t xml:space="preserve">EXPERIMENTS TO IMPROVE ACCURACY (bench measurements; each replaces an estimate or a data gap)</t>
        </is>
      </c>
      <c r="B105" s="32" t="s">
        <v>102</v>
      </c>
      <c r="C105" s="32" t="s">
        <v>103</v>
      </c>
      <c r="D105" s="32" t="s">
        <v>104</v>
      </c>
      <c r="E105" s="32"/>
      <c r="F105" s="32" t="s">
        <v>105</v>
      </c>
    </row>
    <row r="106" spans="1:6" x14ac:dyDescent="0.2">
      <c r="A106" s="21" t="s">
        <v>921</v>
      </c>
      <c r="B106" s="21" t="s">
        <v>922</v>
      </c>
      <c r="C106" s="21" t="s">
        <v>923</v>
      </c>
      <c r="D106" s="33" t="str">
        <f>HYPERLINK("https://github.com/amy-bo/electroPioreactor/blob/AEP02/Media/protocols/surface-kla.md","surface-kla.md →")</f>
        <v>surface-kla.md →</v>
      </c>
      <c r="E106" s="77"/>
      <c r="F106" s="22" t="s">
        <v>1766</v>
      </c>
    </row>
    <row r="107" spans="1:6" x14ac:dyDescent="0.2">
      <c r="A107" s="21" t="s">
        <v>924</v>
      </c>
      <c r="B107" s="21" t="s">
        <v>925</v>
      </c>
      <c r="C107" s="21" t="s">
        <v>926</v>
      </c>
      <c r="D107" s="33" t="str">
        <f>HYPERLINK("https://github.com/amy-bo/electroPioreactor/blob/AEP02/Media/protocols/vial-geometry.md","vial-geometry.md →")</f>
        <v>vial-geometry.md →</v>
      </c>
      <c r="E107" s="77"/>
      <c r="F107" s="22" t="s">
        <v>1767</v>
      </c>
    </row>
    <row r="108" spans="1:6" x14ac:dyDescent="0.2">
      <c r="A108" s="21" t="s">
        <v>927</v>
      </c>
      <c r="B108" s="21" t="s">
        <v>928</v>
      </c>
      <c r="C108" s="21" t="s">
        <v>929</v>
      </c>
      <c r="D108" s="33" t="str">
        <f>HYPERLINK("https://github.com/amy-bo/electroPioreactor/blob/AEP02/Media/protocols/faradaic-efficiency.md","faradaic-efficiency.md →")</f>
        <v>faradaic-efficiency.md →</v>
      </c>
      <c r="E108" s="77"/>
      <c r="F108" s="22" t="s">
        <v>1768</v>
      </c>
    </row>
    <row r="109" spans="1:6" x14ac:dyDescent="0.2">
      <c r="A109" s="21" t="s">
        <v>930</v>
      </c>
      <c r="B109" s="21" t="s">
        <v>931</v>
      </c>
      <c r="C109" s="21" t="s">
        <v>932</v>
      </c>
      <c r="D109" s="33" t="str">
        <f>HYPERLINK("https://github.com/amy-bo/electroPioreactor/blob/AEP02/Media/protocols/knallgas-stoichiometry.md","knallgas-stoichiometry.md →")</f>
        <v>knallgas-stoichiometry.md →</v>
      </c>
      <c r="E109" s="77"/>
      <c r="F109" s="154" t="str">
        <f>IFERROR("Sets the O₂ surplus and the carbon demand: each 1 % on the O₂:H₂ uptake ratio moves the surplus "&amp;TEXT(Biology!O2_cons/Biology!O2_excess,"0.0")&amp;" % (Biology E16); needs a growing culture.","Sets the O₂ surplus and the carbon demand; needs a growing culture.")</f>
        <v>Sets the O₂ surplus and the carbon demand: each 1 % on the O₂:H₂ uptake ratio moves the surplus 2.0 % (Biology E16); needs a growing culture.</v>
      </c>
    </row>
    <row r="110" spans="1:6" x14ac:dyDescent="0.2">
      <c r="A110" s="21" t="s">
        <v>933</v>
      </c>
      <c r="B110" s="21" t="s">
        <v>934</v>
      </c>
      <c r="C110" s="21" t="s">
        <v>935</v>
      </c>
      <c r="D110" s="33" t="str">
        <f>HYPERLINK("https://github.com/amy-bo/electroPioreactor/blob/AEP02/Media/protocols/faradaic-efficiency.md","faradaic-efficiency.md →")</f>
        <v>faradaic-efficiency.md →</v>
      </c>
      <c r="E110" s="77"/>
      <c r="F110" s="22" t="s">
        <v>1689</v>
      </c>
    </row>
    <row r="111" spans="1:6" x14ac:dyDescent="0.2">
      <c r="A111" s="21" t="s">
        <v>936</v>
      </c>
      <c r="B111" s="21" t="s">
        <v>937</v>
      </c>
      <c r="C111" s="21" t="s">
        <v>938</v>
      </c>
      <c r="D111" s="33" t="str">
        <f>HYPERLINK("https://github.com/amy-bo/electroPioreactor/blob/AEP02/Media/protocols/vial-geometry.md","vial-geometry.md →")</f>
        <v>vial-geometry.md →</v>
      </c>
      <c r="E111" s="77"/>
      <c r="F111" s="22" t="inlineStr">
        <is>
          <t xml:space="preserve">Calipers on the vial body; drives the headspace and displacement budget alongside the total volume (row 107).</t>
        </is>
      </c>
    </row>
    <row r="112" spans="1:6" x14ac:dyDescent="0.2">
      <c r="A112" s="21" t="s">
        <v>940</v>
      </c>
      <c r="B112" s="21" t="s">
        <v>941</v>
      </c>
      <c r="C112" s="21" t="s">
        <v>942</v>
      </c>
      <c r="D112" s="33" t="str">
        <f>HYPERLINK("https://github.com/amy-bo/electroPioreactor/blob/AEP02/Media/protocols/flow-calibration.md","flow-calibration.md →")</f>
        <v>flow-calibration.md →</v>
      </c>
      <c r="E112" s="77"/>
      <c r="F112" s="154" t="str">
        <f>"Sets the solenoid floor (pulse_floor, now "&amp;TEXT('Mass Transfer'!pulse_floor,"0.00")&amp;" s), which binds only when it exceeds the optimal pulse ("&amp;IF(ISNUMBER(res_spg_dur),TEXT(res_spg_dur,"0.00")&amp;" s","not yet computed")&amp;"): "&amp;IF(AND(ISNUMBER(res_spg_dur),'Mass Transfer'!pulse_floor&gt;=res_spg_dur),"it does now, so the pulse IS the floor","it does not now, so it matters only for a smaller headspace or a faster flow")&amp;". Trivial to characterise on the bench (flow-calibration.md)."</f>
        <v>Sets the solenoid floor (pulse_floor, now 0.25 s), which binds only when it exceeds the optimal pulse (0.67 s): it does not now, so it matters only for a smaller headspace or a faster flow. Trivial to characterise on the bench (flow-calibration.md).</v>
      </c>
    </row>
    <row r="113" spans="1:6" x14ac:dyDescent="0.2">
      <c r="A113" s="21" t="inlineStr">
        <is>
          <t xml:space="preserve">Organism DO thresholds</t>
        </is>
      </c>
      <c r="B113" s="21" t="s">
        <v>944</v>
      </c>
      <c r="C113" s="21" t="s">
        <v>945</v>
      </c>
      <c r="D113" s="33" t="str">
        <f>HYPERLINK("https://github.com/amy-bo/electroPioreactor/blob/AEP02/Media/protocols/dissolved-oxygen.md","dissolved-oxygen.md →")</f>
        <v>dissolved-oxygen.md →</v>
      </c>
      <c r="E113" s="77"/>
      <c r="F113" s="22" t="inlineStr">
        <is>
          <t xml:space="preserve">Minimum, optimum and impairment DO for the organism in use: all four are data gaps for X. tagetidis, and the C. necator optimum and impairment that set the fallback target fraction (Biology D61) are provisional working values (row 38 is the minimum check).</t>
        </is>
      </c>
    </row>
    <row r="114" spans="1:6" x14ac:dyDescent="0.2">
      <c r="A114" s="21" t="s">
        <v>947</v>
      </c>
      <c r="B114" s="21" t="s">
        <v>948</v>
      </c>
      <c r="C114" s="21" t="s">
        <v>949</v>
      </c>
      <c r="D114" s="33" t="str">
        <f>HYPERLINK("https://github.com/amy-bo/electroPioreactor/blob/AEP02/Media/protocols/flow-calibration.md","flow-calibration.md →")</f>
        <v>flow-calibration.md →</v>
      </c>
      <c r="E114" s="77"/>
      <c r="F114" s="22" t="inlineStr">
        <is>
          <t xml:space="preserve">Each reactor needs its own CO₂ flow calibration; only ed04 has one (row 128 for the reactor actually in use).</t>
        </is>
      </c>
    </row>
    <row r="115" spans="1:6" x14ac:dyDescent="0.2">
      <c r="A115" s="21" t="s">
        <v>951</v>
      </c>
      <c r="B115" s="21" t="s">
        <v>952</v>
      </c>
      <c r="C115" s="21" t="s">
        <v>953</v>
      </c>
      <c r="D115" s="33" t="str">
        <f>HYPERLINK("https://github.com/amy-bo/electroPioreactor/blob/AEP02/Media/protocols/sinter-porosity.md","sinter-porosity.md →")</f>
        <v>sinter-porosity.md →</v>
      </c>
      <c r="E115" s="77"/>
      <c r="F115" s="22" t="inlineStr">
        <is>
          <t xml:space="preserve">Sets bubble size, and only matters when the sparger is a sintered frit; grade 0 (Gerrit’s disc) is assumed today.</t>
        </is>
      </c>
    </row>
    <row r="116" spans="1:6" x14ac:dyDescent="0.2">
      <c r="A116" s="21" t="s">
        <v>955</v>
      </c>
      <c r="B116" s="21" t="s">
        <v>956</v>
      </c>
      <c r="C116" s="21" t="s">
        <v>957</v>
      </c>
      <c r="D116" s="33" t="str">
        <f>HYPERLINK("https://github.com/amy-bo/electroPioreactor/blob/AEP02/Media/protocols/README.md","README.md →")</f>
        <v>README.md →</v>
      </c>
      <c r="E116" s="77"/>
      <c r="F116" s="22" t="inlineStr">
        <is>
          <t xml:space="preserve">Enters every Henry solubility and gas-volume conversion through P_atm (blank = 101 325 Pa): small near sea level, larger at altitude. It does not move the O₂ inhibition criterion, a fixed 0.30 atm partial pressure (Biology D26).</t>
        </is>
      </c>
    </row>
    <row r="117" spans="1:6" x14ac:dyDescent="0.2">
      <c r="A117" t="s">
        <v>1690</v>
      </c>
      <c r="B117" t="s">
        <v>928</v>
      </c>
      <c r="C117" t="s">
        <v>957</v>
      </c>
      <c r="D117" s="24" t="str">
        <f>HYPERLINK("https://github.com/amy-bo/electroPioreactor/blob/AEP02/Media/protocols/electrode-mass-transfer.md","electrode-mass-transfer.md →")</f>
        <v>electrode-mass-transfer.md →</v>
      </c>
      <c r="E117" s="21"/>
      <c r="F117" t="inlineStr">
        <is>
          <t xml:space="preserve">One ferricyanide limiting-current run in the same vial at the same rpm and temperature replaces the assumed swirl velocity behind k_m — which sets the cathodic O₂ loss, the peroxide source, the chlorine cap and the electrode-surface pH verdict. Enter it in the electrode mass-transfer section of the Calibrations tab.</t>
        </is>
      </c>
    </row>
    <row r="118" spans="1:6" x14ac:dyDescent="0.2">
      <c r="A118" t="s">
        <v>1692</v>
      </c>
      <c r="B118" t="s">
        <v>948</v>
      </c>
      <c r="C118" t="s">
        <v>957</v>
      </c>
      <c r="D118" s="24" t="str">
        <f>HYPERLINK("https://github.com/amy-bo/electroPioreactor/blob/AEP02/Media/protocols/vial-geometry.md","vial-geometry.md →")</f>
        <v>vial-geometry.md →</v>
      </c>
      <c r="E118" s="21"/>
      <c r="F118" t="s">
        <v>1693</v>
      </c>
    </row>
    <row r="119" spans="1:6" x14ac:dyDescent="0.2">
      <c r="A119" t="s">
        <v>1694</v>
      </c>
      <c r="B119" t="s">
        <v>928</v>
      </c>
      <c r="C119" t="s">
        <v>957</v>
      </c>
      <c r="D119" s="24" t="str">
        <f>HYPERLINK("https://github.com/amy-bo/electroPioreactor/blob/AEP02/Media/protocols/gerrit-current.md","gerrit-current.md →")</f>
        <v>gerrit-current.md →</v>
      </c>
      <c r="E119" s="21"/>
      <c r="F119" t="str">
        <f>"The cell-voltage budget is a testable prediction: about "&amp;TEXT(Electrochemistry!V_cell_est,"0.00")&amp;" V of the "&amp;TEXT(Electrochemistry!V_rail,"0")&amp;" V rail at the current settings (row 96). A multimeter reading across the electrodes tests the cell-constant choice and, with a high-power point, bounds the j₀ errors."</f>
        <v>The cell-voltage budget is a testable prediction: about 2.65 V of the 5 V rail at the current settings (row 96). A multimeter reading across the electrodes tests the cell-constant choice and, with a high-power point, bounds the j₀ errors.</v>
      </c>
    </row>
    <row r="120" spans="1:6" x14ac:dyDescent="0.2">
      <c r="A120" t="s">
        <v>1695</v>
      </c>
      <c r="B120" t="s">
        <v>928</v>
      </c>
      <c r="C120" t="s">
        <v>935</v>
      </c>
      <c r="D120" s="24" t="str">
        <f>HYPERLINK("https://github.com/amy-bo/electroPioreactor/blob/AEP02/Media/protocols/README.md","README.md →")</f>
        <v>README.md →</v>
      </c>
      <c r="F120" t="inlineStr">
        <is>
          <t xml:space="preserve">Cu/Ni/Fe by ICP or a colorimetric kit. The operating anode sits well above the Cu²⁺/Cu equilibrium (row 101), so dissolution is thermodynamically allowed; this is the unmodelled prime suspect for the Exp-2 death and it also closes the anodic charge budget.</t>
        </is>
      </c>
    </row>
    <row r="121" spans="1:6" x14ac:dyDescent="0.2">
      <c r="A121" s="21" t="inlineStr">
        <is>
          <t xml:space="preserve">Characterise the headspace vent</t>
        </is>
      </c>
      <c r="B121" s="21" t="s">
        <v>922</v>
      </c>
      <c r="C121" s="21" t="s">
        <v>923</v>
      </c>
      <c r="D121" s="33" t="str">
        <f>HYPERLINK("https://github.com/amy-bo/electroPioreactor/blob/AEP02/Media/protocols/headspace-vent.md","headspace-vent.md →")</f>
        <v>headspace-vent.md →</v>
      </c>
      <c r="F121" s="22" t="inlineStr">
        <is>
          <t xml:space="preserve">The vent is confirmed open (row 11; owner, T5), so the measurement is now its back-draw flow (Q_backdraw, Mass Transfer D385), the single biggest input after the vent type: the interval moves several-fold across plausible ingress. Pressure-decay test or a headspace O₂ tracer.</t>
        </is>
      </c>
    </row>
    <row r="122" spans="1:6" x14ac:dyDescent="0.2">
      <c r="A122" s="21" t="inlineStr">
        <is>
          <t xml:space="preserve">Abiotic DO trace under the schedule</t>
        </is>
      </c>
      <c r="B122" s="21" t="s">
        <v>922</v>
      </c>
      <c r="C122" s="21" t="s">
        <v>923</v>
      </c>
      <c r="D122" s="33" t="str">
        <f>HYPERLINK("https://github.com/amy-bo/electroPioreactor/blob/AEP02/Media/protocols/abiotic-do-trace.md","abiotic-do-trace.md →")</f>
        <v>abiotic-do-trace.md →</v>
      </c>
      <c r="F122" s="22" t="inlineStr">
        <is>
          <t xml:space="preserve">One run with no cells at 3 % logging DO with an optical spot: tests the whole headspace balance against the lag-phase predictions (rows 61–62).</t>
        </is>
      </c>
    </row>
    <row r="123" spans="1:6" x14ac:dyDescent="0.2">
      <c r="A123" s="21" t="inlineStr">
        <is>
          <t xml:space="preserve">Headspace H₂/O₂ during lag (safety)</t>
        </is>
      </c>
      <c r="B123" s="21" t="s">
        <v>922</v>
      </c>
      <c r="C123" s="21" t="s">
        <v>923</v>
      </c>
      <c r="D123" s="33" t="str">
        <f>HYPERLINK("https://github.com/amy-bo/electroPioreactor/blob/AEP02/Media/protocols/headspace-gas-safety.md","headspace-gas-safety.md →")</f>
        <v>headspace-gas-safety.md →</v>
      </c>
      <c r="F123" s="22" t="inlineStr">
        <is>
          <t xml:space="preserve">Safety. The model puts the lag-phase headspace at about 9 % H₂ (D40), above the 4 % lower flammable limit, until the cells take up H₂.</t>
        </is>
      </c>
    </row>
    <row r="124" spans="1:6" x14ac:dyDescent="0.2">
      <c r="A124" s="21" t="inlineStr">
        <is>
          <t xml:space="preserve">Off-gas H₂ at steady growth</t>
        </is>
      </c>
      <c r="B124" s="21" t="s">
        <v>922</v>
      </c>
      <c r="C124" s="21" t="s">
        <v>932</v>
      </c>
      <c r="D124" s="33" t="str">
        <f>HYPERLINK("https://github.com/amy-bo/electroPioreactor/blob/AEP02/Media/protocols/knallgas-stoichiometry.md","knallgas-stoichiometry.md →")</f>
        <v>knallgas-stoichiometry.md →</v>
      </c>
      <c r="F124" s="22" t="inlineStr">
        <is>
          <t xml:space="preserve">H₂ fraction in the vent gas × vent flow, against the H₂ the current makes, gives the H₂ uptake fraction behind the growth O₂ surplus (up to ±200 % on the schedule). Row 109 measures the same ratio in sealed bottles.</t>
        </is>
      </c>
    </row>
    <row r="125" spans="1:6" x14ac:dyDescent="0.2">
      <c r="A125" s="21" t="inlineStr">
        <is>
          <t xml:space="preserve">Free and combined chlorine (DPD)</t>
        </is>
      </c>
      <c r="B125" s="21" t="s">
        <v>931</v>
      </c>
      <c r="C125" s="21" t="s">
        <v>926</v>
      </c>
      <c r="D125" s="33" t="str">
        <f>HYPERLINK("https://github.com/amy-bo/electroPioreactor/blob/AEP02/Media/protocols/chlorine-species.md","chlorine-species.md →")</f>
        <v>chlorine-species.md →</v>
      </c>
      <c r="F125" s="22" t="inlineStr">
        <is>
          <t xml:space="preserve">Settles the monochloramine lifetime (Chemistry D142, entered in the Calibrations monochloramine section), which moves the UdG interval by about ±32 %. Also confirm the CaCl₂ hydrate state (−24 % on every chlorine figure).</t>
        </is>
      </c>
    </row>
    <row r="126" spans="1:6" x14ac:dyDescent="0.2">
      <c r="A126" s="21" t="inlineStr">
        <is>
          <t xml:space="preserve">Sparger-attached flow check</t>
        </is>
      </c>
      <c r="B126" s="21" t="s">
        <v>941</v>
      </c>
      <c r="C126" s="21" t="s">
        <v>926</v>
      </c>
      <c r="D126" s="33" t="str">
        <f>HYPERLINK("https://github.com/amy-bo/electroPioreactor/blob/AEP02/Media/protocols/flow-calibration.md","flow-calibration.md →")</f>
        <v>flow-calibration.md →</v>
      </c>
      <c r="F126" s="22" t="s">
        <v>2710</v>
      </c>
    </row>
    <row r="127" spans="1:6" x14ac:dyDescent="0.2">
      <c r="A127" s="21" t="inlineStr">
        <is>
          <t xml:space="preserve">No-carryover maximum flow</t>
        </is>
      </c>
      <c r="B127" s="21" t="inlineStr">
        <is>
          <t xml:space="preserve">LOW</t>
        </is>
      </c>
      <c r="C127" s="21" t="inlineStr">
        <is>
          <t xml:space="preserve">low</t>
        </is>
      </c>
      <c r="D127" s="33" t="str">
        <f>HYPERLINK("https://github.com/amy-bo/electroPioreactor/blob/AEP02/Media/protocols/flow-calibration.md","flow-calibration.md →")</f>
        <v>flow-calibration.md →</v>
      </c>
      <c r="F127" s="22" t="inlineStr">
        <is>
          <t xml:space="preserve">Record the highest flow without liquid carryover for each reactor in CO2 flows column M; D45 reads "not measured" until then.</t>
        </is>
      </c>
    </row>
    <row r="128" spans="1:6" x14ac:dyDescent="0.2">
      <c r="A128" s="21" t="inlineStr">
        <is>
          <t xml:space="preserve">CO₂ flow of the reactor in use</t>
        </is>
      </c>
      <c r="B128" s="21" t="inlineStr">
        <is>
          <t xml:space="preserve">HIGH</t>
        </is>
      </c>
      <c r="C128" s="21" t="s">
        <v>926</v>
      </c>
      <c r="D128" s="33" t="str">
        <f>HYPERLINK("https://github.com/amy-bo/electroPioreactor/blob/AEP02/Media/protocols/flow-calibration.md","flow-calibration.md →")</f>
        <v>flow-calibration.md →</v>
      </c>
      <c r="F128" s="22" t="inlineStr">
        <is>
          <t xml:space="preserve">D2 is ed04, the only reactor with a flow calibration, and its MEP0.3 geometry (20 mL vial, 16 mL max). For an AEP0.2 build (ed06–ed08), calibrate that reactor and select it in D2.</t>
        </is>
      </c>
    </row>
    <row r="129">
      <c r="A129" s="21" t="inlineStr">
        <is>
          <t xml:space="preserve">AMYBO03 conductivity at the operating temperature</t>
        </is>
      </c>
      <c r="B129" s="21" t="inlineStr">
        <is>
          <t xml:space="preserve">MED</t>
        </is>
      </c>
      <c r="C129" s="21" t="inlineStr">
        <is>
          <t xml:space="preserve">low</t>
        </is>
      </c>
      <c r="D129" s="33" t="str">
        <f>HYPERLINK("https://github.com/amy-bo/electroPioreactor/blob/AEP02/Media/protocols/README.md","README.md →")</f>
        <v>README.md →</v>
      </c>
      <c r="F129" s="22" t="inlineStr">
        <is>
          <t xml:space="preserve">The ohmic term uses a Kohlrausch sum × a finite-strength factor (0.78) anchored near I ≈ 0.1 M; AMYBO03 is about 0.2 M. A conductivity-meter reading at 30 °C replaces both (Chemistry D178–D180).</t>
        </is>
      </c>
    </row>
    <row r="130">
      <c r="A130" s="21" t="inlineStr">
        <is>
          <t xml:space="preserve">Low-power current curve below 3 %</t>
        </is>
      </c>
      <c r="B130" s="21" t="inlineStr">
        <is>
          <t xml:space="preserve">MED</t>
        </is>
      </c>
      <c r="C130" s="21" t="inlineStr">
        <is>
          <t xml:space="preserve">low</t>
        </is>
      </c>
      <c r="D130" s="33" t="str">
        <f>HYPERLINK("https://github.com/amy-bo/electroPioreactor/blob/AEP02/Media/protocols/gerrit-current.md","gerrit-current.md →")</f>
        <v>gerrit-current.md →</v>
      </c>
      <c r="F130" s="22" t="inlineStr">
        <is>
          <t xml:space="preserve">Gerrit’s Law is fitted and validated for 3–10 %; below that the model refuses to run. Needed before a start-up current ramp can be modelled (row 138).</t>
        </is>
      </c>
    </row>
    <row r="131">
      <c r="A131" s="21" t="inlineStr">
        <is>
          <t xml:space="preserve">Electrochemist review of the calculated electrochemistry</t>
        </is>
      </c>
      <c r="B131" s="21" t="inlineStr">
        <is>
          <t xml:space="preserve">HIGH</t>
        </is>
      </c>
      <c r="C131" s="21" t="inlineStr">
        <is>
          <t xml:space="preserve">low</t>
        </is>
      </c>
      <c r="D131" s="33" t="str">
        <f>HYPERLINK("https://github.com/amy-bo/electroPioreactor/blob/AEP02/Media/protocols/README.md","README.md →")</f>
        <v>README.md →</v>
      </c>
      <c r="F131" s="22" t="inlineStr">
        <is>
          <t xml:space="preserve">Weakest inputs: the anodic exchange-current density (four decades in the literature) and the electrode mass-transfer coefficient. Rows 94–103 are the numbers to hand over.</t>
        </is>
      </c>
    </row>
    <row r="133" spans="1:6" x14ac:dyDescent="0.2">
      <c r="A133" s="77" t="inlineStr">
        <is>
          <t xml:space="preserve">POTENTIAL MODEL IMPROVEMENTS (changes to the spreadsheet itself; each waits on the decision or data in column D)</t>
        </is>
      </c>
    </row>
    <row r="134" spans="1:6" x14ac:dyDescent="0.2">
      <c r="A134" s="32" t="inlineStr">
        <is>
          <t xml:space="preserve">Improvement</t>
        </is>
      </c>
      <c r="B134" s="32" t="s">
        <v>102</v>
      </c>
      <c r="C134" s="32" t="s">
        <v>103</v>
      </c>
      <c r="D134" s="32" t="inlineStr">
        <is>
          <t xml:space="preserve">Waits on</t>
        </is>
      </c>
      <c r="F134" s="32" t="s">
        <v>105</v>
      </c>
    </row>
    <row r="135" x14ac:dyDescent="0.2">
      <c r="A135" s="21" t="inlineStr">
        <is>
          <t xml:space="preserve">Separate N₂ flush in the sawtooth</t>
        </is>
      </c>
      <c r="B135" s="21" t="inlineStr">
        <is>
          <t xml:space="preserve">LOW</t>
        </is>
      </c>
      <c r="C135" s="21" t="inlineStr">
        <is>
          <t xml:space="preserve">med</t>
        </is>
      </c>
      <c r="D135" s="22" t="inlineStr">
        <is>
          <t xml:space="preserve">Owner: only if N₂ is used at all (T7 prefers fixing the medium)</t>
        </is>
      </c>
      <c r="F135" s="22" t="inlineStr">
        <is>
          <t xml:space="preserve">Row 14 enters N₂ by its mean flow. That is exact for the mean-field fractions but not for the sawtooth: a separate N₂ flush lets H₂ and O₂ build for longer between flushes, so the pre-pulse peaks can be substantially higher than the continuous surrogate shows. Model the flush before relying on pulsed N₂.</t>
        </is>
      </c>
    </row>
    <row r="136" x14ac:dyDescent="0.2">
      <c r="A136" s="21" t="inlineStr">
        <is>
          <t xml:space="preserve">Nitrate or urea instead of NH₄⁺</t>
        </is>
      </c>
      <c r="B136" s="21" t="inlineStr">
        <is>
          <t xml:space="preserve">MED</t>
        </is>
      </c>
      <c r="C136" s="21" t="inlineStr">
        <is>
          <t xml:space="preserve">med</t>
        </is>
      </c>
      <c r="D136" s="22" t="inlineStr">
        <is>
          <t xml:space="preserve">Owner: nitrogen source; a measured uptake rate</t>
        </is>
      </c>
      <c r="F136" s="22" t="inlineStr">
        <is>
          <t xml:space="preserve">Ammonium uptake releases acid as the culture grows, which the model does not see: it holds NH₄⁺ at its recipe value. Part of fixing the medium (T7).</t>
        </is>
      </c>
    </row>
    <row r="137" x14ac:dyDescent="0.2">
      <c r="A137" s="21" t="inlineStr">
        <is>
          <t xml:space="preserve">Pulse length from the shortest reliable pulse</t>
        </is>
      </c>
      <c r="B137" s="21" t="inlineStr">
        <is>
          <t xml:space="preserve">MED</t>
        </is>
      </c>
      <c r="C137" s="21" t="inlineStr">
        <is>
          <t xml:space="preserve">low</t>
        </is>
      </c>
      <c r="D137" s="22" t="inlineStr">
        <is>
          <t xml:space="preserve">Measured solenoid floor (flow-calibration step 9)</t>
        </is>
      </c>
      <c r="F137" s="22" t="inlineStr">
        <is>
          <t xml:space="preserve">Pulse length (row 18) is a rule of thumb: about one headspace volume per pulse. A twin trial at a 0.25 s floor held pH and growth DO on about 7 % less CO₂ but raised lag-phase DO.</t>
        </is>
      </c>
    </row>
    <row r="138" x14ac:dyDescent="0.2">
      <c r="A138" s="21" t="inlineStr">
        <is>
          <t xml:space="preserve">Start-up current ramp</t>
        </is>
      </c>
      <c r="B138" s="21" t="inlineStr">
        <is>
          <t xml:space="preserve">MED</t>
        </is>
      </c>
      <c r="C138" s="21" t="inlineStr">
        <is>
          <t xml:space="preserve">med</t>
        </is>
      </c>
      <c r="D138" s="22" t="inlineStr">
        <is>
          <t xml:space="preserve">Measured low-power current curve below 3 %</t>
        </is>
      </c>
      <c r="F138" s="22" t="inlineStr">
        <is>
          <t xml:space="preserve">Lag DO stays unreachable at the estimated surface kLa at any interval (row 66), so the remaining lever is less current until uptake starts; the current fit is not valid below 3 %.</t>
        </is>
      </c>
    </row>
    <row r="139" x14ac:dyDescent="0.2">
      <c r="A139" s="21" t="inlineStr">
        <is>
          <t xml:space="preserve">Carbon bound on the pool trough</t>
        </is>
      </c>
      <c r="B139" s="21" t="inlineStr">
        <is>
          <t xml:space="preserve">LOW</t>
        </is>
      </c>
      <c r="C139" s="21" t="inlineStr">
        <is>
          <t xml:space="preserve">low</t>
        </is>
      </c>
      <c r="D139" s="22" t="inlineStr">
        <is>
          <t xml:space="preserve">Owner: trough margin over RuBisCO Km</t>
        </is>
      </c>
      <c r="F139" s="22" t="inlineStr">
        <is>
          <t xml:space="preserve">The carbon interval (row 28) is sized on mean supply; row 55 warns when a long interval lets the pool run dry within the cycle. A bound on the trough (Biology D98) would close it.</t>
        </is>
      </c>
    </row>
    <row r="144" spans="1:6" x14ac:dyDescent="0.2">
      <c r="A144" s="17" t="s">
        <v>88</v>
      </c>
      <c r="B144" s="17"/>
      <c r="C144" s="17"/>
      <c r="D144" s="17"/>
      <c r="E144" s="17"/>
      <c r="F144" s="17"/>
    </row>
    <row r="145" spans="1:6" x14ac:dyDescent="0.2">
      <c r="A145" s="102" t="s">
        <v>89</v>
      </c>
      <c r="B145" s="21"/>
      <c r="C145" s="21"/>
      <c r="D145" s="25"/>
      <c r="E145" s="21"/>
      <c r="F145" s="21"/>
    </row>
    <row r="146" spans="1:6" x14ac:dyDescent="0.2">
      <c r="A146" s="26" t="s">
        <v>90</v>
      </c>
      <c r="B146" s="21"/>
      <c r="C146" s="21"/>
      <c r="D146" s="25"/>
      <c r="E146" s="21"/>
      <c r="F146" s="21"/>
    </row>
    <row r="147" spans="1:6" x14ac:dyDescent="0.2">
      <c r="A147" s="73" t="s">
        <v>91</v>
      </c>
      <c r="B147" s="21"/>
      <c r="C147" s="21"/>
      <c r="D147" s="25"/>
      <c r="E147" s="21"/>
      <c r="F147" s="21"/>
    </row>
    <row r="148" spans="1:6" x14ac:dyDescent="0.2">
      <c r="A148" s="27" t="s">
        <v>92</v>
      </c>
      <c r="B148" s="21"/>
      <c r="C148" s="21"/>
      <c r="D148" s="25"/>
      <c r="E148" s="21"/>
      <c r="F148" s="21"/>
    </row>
    <row r="149" spans="1:6" x14ac:dyDescent="0.2">
      <c r="A149" s="28" t="s">
        <v>93</v>
      </c>
      <c r="B149" s="21"/>
      <c r="C149" s="21"/>
      <c r="D149" s="25"/>
      <c r="E149" s="67"/>
      <c r="F149" s="21"/>
    </row>
    <row r="150" spans="1:6" x14ac:dyDescent="0.2">
      <c r="A150" s="29" t="s">
        <v>94</v>
      </c>
      <c r="B150" s="21"/>
      <c r="C150" s="21"/>
      <c r="D150" s="25"/>
      <c r="E150" s="67"/>
      <c r="F150" s="21"/>
    </row>
    <row r="151" spans="1:6" x14ac:dyDescent="0.2">
      <c r="A151" s="63" t="s">
        <v>95</v>
      </c>
      <c r="B151" s="21"/>
      <c r="C151" s="21"/>
      <c r="D151" s="25"/>
      <c r="E151" s="67"/>
      <c r="F151" s="21"/>
    </row>
    <row r="152" spans="1:6" x14ac:dyDescent="0.2">
      <c r="A152" s="30" t="s">
        <v>96</v>
      </c>
      <c r="B152" s="21"/>
      <c r="C152" s="21"/>
      <c r="D152" s="21"/>
      <c r="E152" s="21"/>
      <c r="F152" s="21"/>
    </row>
    <row r="153" spans="1:6" x14ac:dyDescent="0.2">
      <c r="A153" s="30"/>
      <c r="B153" s="21"/>
      <c r="C153" s="21"/>
      <c r="D153" s="21"/>
      <c r="E153" s="21"/>
      <c r="F153" s="21"/>
    </row>
    <row r="154" spans="1:6" s="21" customFormat="1" x14ac:dyDescent="0.2">
      <c r="A154" s="60" t="s">
        <v>98</v>
      </c>
    </row>
    <row r="155" spans="1:6" s="21" customFormat="1" x14ac:dyDescent="0.2">
      <c r="A155" s="61" t="s">
        <v>99</v>
      </c>
    </row>
    <row r="156" spans="1:6" x14ac:dyDescent="0.2">
      <c r="A156" s="103" t="s">
        <v>100</v>
      </c>
      <c r="B156" s="21"/>
      <c r="C156" s="21"/>
      <c r="D156" s="21"/>
      <c r="E156" s="21"/>
      <c r="F156" s="21"/>
    </row>
    <row r="158" spans="1:6" x14ac:dyDescent="0.2">
      <c r="A158" s="77" t="inlineStr">
        <is>
          <t xml:space="preserve">COLOUR THRESHOLDS (the conditional formatting on D23 and D25 reads these cells)</t>
        </is>
      </c>
    </row>
    <row r="159" spans="1:6" x14ac:dyDescent="0.2">
      <c r="A159" s="64" t="s">
        <v>1840</v>
      </c>
      <c r="B159" s="19" t="s">
        <v>1841</v>
      </c>
      <c r="C159" s="21" t="s">
        <v>1842</v>
      </c>
      <c r="D159" s="65">
        <f>Chemistry!pH_red_lo</f>
        <v>6.0</v>
      </c>
      <c r="E159" s="24" t="str">
        <f>HYPERLINK("#Chemistry!D299","→ Chemistry")</f>
        <v>→ Chemistry</v>
      </c>
      <c r="F159" s="22" t="s">
        <v>1843</v>
      </c>
    </row>
    <row r="160" spans="1:6" x14ac:dyDescent="0.2">
      <c r="A160" s="64" t="s">
        <v>1844</v>
      </c>
      <c r="B160" s="19" t="s">
        <v>1845</v>
      </c>
      <c r="C160" s="21" t="s">
        <v>1842</v>
      </c>
      <c r="D160" s="65">
        <f>Chemistry!pH_band_lo</f>
        <v>6.5</v>
      </c>
      <c r="E160" s="24" t="str">
        <f>HYPERLINK("#Chemistry!D236","→ Chemistry")</f>
        <v>→ Chemistry</v>
      </c>
      <c r="F160" s="22" t="s">
        <v>1843</v>
      </c>
    </row>
    <row r="161" spans="1:6" x14ac:dyDescent="0.2">
      <c r="A161" s="64" t="s">
        <v>1846</v>
      </c>
      <c r="B161" s="19" t="s">
        <v>1847</v>
      </c>
      <c r="C161" s="21" t="s">
        <v>1842</v>
      </c>
      <c r="D161" s="65">
        <f>Chemistry!pH_band_hi</f>
        <v>7.5</v>
      </c>
      <c r="E161" s="24" t="str">
        <f>HYPERLINK("#Chemistry!D237","→ Chemistry")</f>
        <v>→ Chemistry</v>
      </c>
      <c r="F161" s="22" t="s">
        <v>1843</v>
      </c>
    </row>
    <row r="162" spans="1:6" x14ac:dyDescent="0.2">
      <c r="A162" s="64" t="s">
        <v>1848</v>
      </c>
      <c r="B162" s="19" t="s">
        <v>1849</v>
      </c>
      <c r="C162" s="21" t="s">
        <v>1842</v>
      </c>
      <c r="D162" s="65">
        <f>Chemistry!pH_red_hi</f>
        <v>8.0</v>
      </c>
      <c r="E162" s="24" t="str">
        <f>HYPERLINK("#Chemistry!D300","→ Chemistry")</f>
        <v>→ Chemistry</v>
      </c>
      <c r="F162" s="22" t="s">
        <v>1843</v>
      </c>
    </row>
    <row r="163" spans="1:6" x14ac:dyDescent="0.2">
      <c r="A163" s="64" t="s">
        <v>1850</v>
      </c>
      <c r="B163" s="19" t="s">
        <v>1851</v>
      </c>
      <c r="C163" s="21" t="s">
        <v>83</v>
      </c>
      <c r="D163" s="65">
        <f>Chemistry!Cl_onset</f>
        <v>0.1</v>
      </c>
      <c r="E163" s="24" t="str">
        <f>HYPERLINK("#Chemistry!D146","→ Chemistry")</f>
        <v>→ Chemistry</v>
      </c>
      <c r="F163" s="22" t="s">
        <v>1843</v>
      </c>
    </row>
    <row r="164" spans="1:6" x14ac:dyDescent="0.2">
      <c r="A164" s="64" t="s">
        <v>1852</v>
      </c>
      <c r="B164" s="19" t="s">
        <v>1853</v>
      </c>
      <c r="C164" s="21" t="s">
        <v>83</v>
      </c>
      <c r="D164" s="65">
        <f>Chemistry!Cl_kill</f>
        <v>2.0</v>
      </c>
      <c r="E164" s="24" t="str">
        <f>HYPERLINK("#Chemistry!D147","→ Chemistry")</f>
        <v>→ Chemistry</v>
      </c>
      <c r="F164" s="22" t="s">
        <v>1843</v>
      </c>
    </row>
  </sheetData>
  <conditionalFormatting sqref="B105:B131 B135:B139">
    <cfRule type="expression" dxfId="45" priority="16" stopIfTrue="1">
      <formula>EXACT(B105,"HIGH")</formula>
    </cfRule>
    <cfRule type="expression" dxfId="44" priority="17" stopIfTrue="1">
      <formula>EXACT(B105,"MED")</formula>
    </cfRule>
    <cfRule type="expression" dxfId="43" priority="18" stopIfTrue="1">
      <formula>EXACT(B105,"LOW")</formula>
    </cfRule>
  </conditionalFormatting>
  <conditionalFormatting sqref="C105:C131 C135:C139">
    <cfRule type="expression" dxfId="42" priority="19" stopIfTrue="1">
      <formula>EXACT(C105,"low")</formula>
    </cfRule>
    <cfRule type="expression" dxfId="41" priority="20" stopIfTrue="1">
      <formula>EXACT(C105,"med")</formula>
    </cfRule>
    <cfRule type="expression" dxfId="40" priority="21" stopIfTrue="1">
      <formula>EXACT(C105,"high")</formula>
    </cfRule>
  </conditionalFormatting>
  <conditionalFormatting sqref="D18:D21">
    <cfRule type="expression" dxfId="39" priority="15" stopIfTrue="1">
      <formula>ISNUMBER(SEARCH("calibrate this",D18))</formula>
    </cfRule>
  </conditionalFormatting>
  <conditionalFormatting sqref="D19">
    <cfRule type="expression" dxfId="38" priority="1" stopIfTrue="1">
      <formula>AND(ISNUMBER($G$18),$G$18&gt;0)</formula>
    </cfRule>
  </conditionalFormatting>
  <conditionalFormatting sqref="D21">
    <cfRule type="expression" dxfId="37" priority="3" stopIfTrue="1">
      <formula>AND(ISNUMBER($G$20),$G$20&gt;0)</formula>
    </cfRule>
  </conditionalFormatting>
  <conditionalFormatting sqref="D23 D25 D35:D50 D52:D55 D63:D66 D97:D99">
    <cfRule type="expression" dxfId="36" priority="12" stopIfTrue="1">
      <formula>OR(ISNUMBER(FIND("INCONSISTENT",D23)),ISNUMBER(FIND("OVER",D23)),ISNUMBER(FIND("BELOW",D23)),ISNUMBER(FIND("EXCEED",D23)),ISNUMBER(FIND("NO CALIB",D23)),ISNUMBER(SEARCH("calibrate this",D23)),ISNUMBER(FIND("RISK",D23)),ISNUMBER(FIND("EXPLOSIVE",D23)),ISNUMBER(FIND("FLAMMAB",D23)),ISNUMBER(FIND("OOR",D23)),ISNUMBER(SEARCH("insufficient",D23)),ISNUMBER(FIND("TIP SPEED",D23)),ISNUMBER(FIND("SHORTFALL",D23)),ISNUMBER(SEARCH("unreachable",D23)),ISNUMBER(FIND("SAGS",D23)),EXACT(LEFT(D23,4),"NO –"),EXACT(D23,"OUT"),EXACT(D23,"LOW"),ISNUMBER(FIND("GAP",D23)))</formula>
    </cfRule>
    <cfRule type="expression" dxfId="35" priority="13" stopIfTrue="1">
      <formula>OR(ISNUMBER(SEARCH("above optimum",D23)),ISNUMBER(SEARCH("watch",D23)),ISNUMBER(SEARCH("NEAREST",D23)),ISNUMBER(SEARCH("unknown",D23)),ISNUMBER(SEARCH("TIGHT",D23)),ISNUMBER(SEARCH("not measured",D23)))</formula>
    </cfRule>
    <cfRule type="expression" dxfId="34" priority="14" stopIfTrue="1">
      <formula>OR(EXACT(D23,"OK"),EXACT(LEFT(D23,2),"OK"),ISNUMBER(SEARCH(" OK",D23)),ISNUMBER(SEARCH("calibrated:",D23)),ISNUMBER(SEARCH("optimum",D23)),ISNUMBER(SEARCH("above min",D23)),ISNUMBER(SEARCH("CARBON-limited",D23)),ISNUMBER(SEARCH("Static",D23)),ISNUMBER(SEARCH("Dynamic",D23)),ISNUMBER(SEARCH("present",D23)),ISNUMBER(SEARCH("under the",D23)),ISNUMBER(SEARCH("reachable",D23)),EXACT(LEFT(D23,3),"yes"),ISNUMBER(FIND("Below the H₂ LFL",D23)))</formula>
    </cfRule>
  </conditionalFormatting>
  <conditionalFormatting sqref="D23">
    <cfRule type="expression" dxfId="33" priority="22" stopIfTrue="1">
      <formula>OR(D23&lt;cf_pH_red_lo,D23&gt;cf_pH_red_hi)</formula>
    </cfRule>
    <cfRule type="expression" dxfId="32" priority="23" stopIfTrue="1">
      <formula>OR(D23&lt;cf_pH_lo,D23&gt;cf_pH_hi)</formula>
    </cfRule>
    <cfRule type="expression" dxfId="31" priority="24" stopIfTrue="1">
      <formula>ISNUMBER(D23)</formula>
    </cfRule>
  </conditionalFormatting>
  <conditionalFormatting sqref="D25">
    <cfRule type="expression" dxfId="30" priority="25" stopIfTrue="1">
      <formula>D25&gt;cf_Cl_kill</formula>
    </cfRule>
    <cfRule type="expression" dxfId="29" priority="26" stopIfTrue="1">
      <formula>D25&gt;cf_Cl_onset</formula>
    </cfRule>
    <cfRule type="expression" dxfId="28" priority="27" stopIfTrue="1">
      <formula>ISNUMBER(D25)</formula>
    </cfRule>
  </conditionalFormatting>
  <conditionalFormatting sqref="D88">
    <cfRule type="expression" dxfId="27" priority="40" stopIfTrue="1">
      <formula>ISNUMBER(SEARCH("EXCEED",D88))</formula>
    </cfRule>
    <cfRule type="expression" dxfId="26" priority="41" stopIfTrue="1">
      <formula>ISNUMBER(SEARCH("watch",D88))</formula>
    </cfRule>
    <cfRule type="expression" dxfId="25" priority="42" stopIfTrue="1">
      <formula>ISNUMBER(SEARCH("OK",D88))</formula>
    </cfRule>
  </conditionalFormatting>
  <conditionalFormatting sqref="D92">
    <cfRule type="expression" dxfId="24" priority="43" stopIfTrue="1">
      <formula>ISNUMBER(SEARCH("EXCEED",D92))</formula>
    </cfRule>
    <cfRule type="expression" dxfId="23" priority="44" stopIfTrue="1">
      <formula>ISNUMBER(SEARCH("watch",D92))</formula>
    </cfRule>
    <cfRule type="expression" dxfId="22" priority="45" stopIfTrue="1">
      <formula>ISNUMBER(SEARCH("OK",D92))</formula>
    </cfRule>
  </conditionalFormatting>
  <dataValidations count="14">
    <dataValidation type="list" allowBlank="1" showInputMessage="1" showErrorMessage="1" errorTitle="Not a listed reactor" error="Pick a reactor from the list (Geometry A59:A80)." sqref="D2" xr:uid="{00000000-0002-0000-0000-000000000000}">
      <formula1>ReactorList</formula1>
    </dataValidation>
    <dataValidation type="list" allowBlank="1" showInputMessage="1" showErrorMessage="1" errorTitle="Not a listed electrode" error="Pick an electrode from the list (Electrochemistry A35:A38)." sqref="D3" xr:uid="{00000000-0002-0000-0000-000001000000}">
      <formula1>ElectrodeList</formula1>
    </dataValidation>
    <dataValidation type="list" allowBlank="1" showInputMessage="1" showErrorMessage="1" errorTitle="Not a listed organism" error="Pick an organism from the list (Biology A52:A57)." sqref="D4" xr:uid="{00000000-0002-0000-0000-000002000000}">
      <formula1>OrganismList</formula1>
    </dataValidation>
    <dataValidation type="list" allowBlank="1" showInputMessage="1" showErrorMessage="1" errorTitle="Not a listed medium" error="Pick a medium from the list (Chemistry A114:A116)." sqref="D5" xr:uid="{00000000-0002-0000-0000-000003000000}">
      <formula1>MediaList</formula1>
    </dataValidation>
    <dataValidation type="whole" allowBlank="1" showErrorMessage="1" errorTitle="Invalid value" error="Stirrer rate 125–2000 rpm." sqref="D7" xr:uid="{00000000-0002-0000-0000-000005000000}">
      <formula1>125</formula1>
      <formula2>2000</formula2>
    </dataValidation>
    <dataValidation type="decimal" allowBlank="1" showErrorMessage="1" errorTitle="Invalid value" error="Temperature 15–40 °C: the water-property fits are valid in that range." sqref="D8" xr:uid="{00000000-0002-0000-0000-000006000000}">
      <formula1>15</formula1>
      <formula2>40</formula2>
    </dataValidation>
    <dataValidation type="decimal" operator="greaterThan" allowBlank="1" showErrorMessage="1" errorTitle="Invalid value" error="Media volume in mL, or leave blank for the recommended working volume." sqref="D9" xr:uid="{00000000-0002-0000-0000-000007000000}">
      <formula1>0</formula1>
    </dataValidation>
    <dataValidation type="decimal" allowBlank="1" showErrorMessage="1" errorTitle="Invalid value" error="Ambient pressure in Pa (80000–110000), or leave blank for 101325 Pa." sqref="D10" xr:uid="{00000000-0002-0000-0000-000008000000}">
      <formula1>80000</formula1>
      <formula2>110000</formula2>
    </dataValidation>
    <dataValidation type="list" allowBlank="1" showErrorMessage="1" errorTitle="Invalid value" error="Choose Growth or Lag." sqref="D12" xr:uid="{00000000-0002-0000-0000-000009000000}">
      <formula1>"Growth,Lag"</formula1>
    </dataValidation>
    <dataValidation type="list" allowBlank="1" showErrorMessage="1" errorTitle="Invalid value" error="Choose Outflow only, Open vent or Air exchange." sqref="D11" xr:uid="{00000000-0002-0000-0000-00000A000000}">
      <formula1>"Outflow only,Open vent,Air exchange"</formula1>
    </dataValidation>
    <dataValidation type="decimal" allowBlank="1" showErrorMessage="1" errorTitle="Invalid value" error="Added NaHCO₃ in g/L (0–10), or leave blank for none." sqref="D13">
      <formula1>0</formula1>
      <formula2>10</formula2>
    </dataValidation>
    <dataValidation type="decimal" allowBlank="1" showErrorMessage="1" errorTitle="Invalid value" error="Electrolysis power 3–10 %: Gerrit's Law fit range intersected with the AEP-Plugin clamp; outside it the model returns no schedule." sqref="D6">
      <formula1>3</formula1>
      <formula2>10</formula2>
    </dataValidation>
    <dataValidation type="decimal" allowBlank="1" showErrorMessage="1" errorTitle="Invalid value" error="N₂ sweep in mL/min (0–20), or leave blank for none." sqref="D14">
      <formula1>0</formula1>
      <formula2>20</formula2>
    </dataValidation>
    <dataValidation type="decimal" allowBlank="1" showErrorMessage="1" errorTitle="Invalid value" error="Command resolution in seconds (0.001–1)." sqref="D15">
      <formula1>0.001</formula1>
      <formula2>1</formula2>
    </dataValidation>
  </dataValidations>
  <pageMargins left="0.75" right="0.75" top="1" bottom="1" header="0.5" footer="0.5"/>
  <pageSetup paperSize="9" orientation="portrait" horizontalDpi="0" verticalDpi="0"/>
  <extLst>
    <ext xmlns:x14="http://schemas.microsoft.com/office/spreadsheetml/2009/9/main" uri="{CCE6A557-97BC-4b89-ADB6-D9C93CAAB3DF}">
      <x14:dataValidations xmlns:xm="http://schemas.microsoft.com/office/excel/2006/main" count="4">
        <x14:dataValidation type="list" allowBlank="1" xr:uid="{00000000-0002-0000-0000-000000000000}">
          <x14:formula1>
            <xm:f>Geometry!$A$59:$A$80</xm:f>
          </x14:formula1>
          <xm:sqref>D2</xm:sqref>
        </x14:dataValidation>
        <x14:dataValidation type="list" allowBlank="1" xr:uid="{00000000-0002-0000-0000-000001000000}">
          <x14:formula1>
            <xm:f>Electrochemistry!$A$35:$A$38</xm:f>
          </x14:formula1>
          <xm:sqref>D3</xm:sqref>
        </x14:dataValidation>
        <x14:dataValidation type="list" allowBlank="1" xr:uid="{00000000-0002-0000-0000-000002000000}">
          <x14:formula1>
            <xm:f>Biology!$A$52:$A$57</xm:f>
          </x14:formula1>
          <xm:sqref>D4</xm:sqref>
        </x14:dataValidation>
        <x14:dataValidation type="list" allowBlank="1" xr:uid="{00000000-0002-0000-0000-000003000000}">
          <x14:formula1>
            <xm:f>Chemistry!$A$114:$A$115</xm:f>
          </x14:formula1>
          <xm:sqref>D5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sheetPr>
  <dimension ref="A1:I96"/>
  <sheetViews>
    <sheetView zoomScale="125" workbookViewId="0">
      <selection activeCell="A2" sqref="A2:XFD2"/>
    </sheetView>
  </sheetViews>
  <sheetFormatPr baseColWidth="10" defaultColWidth="8.83203125" defaultRowHeight="15" x14ac:dyDescent="0.2"/>
  <cols>
    <col min="1" max="1" width="30" customWidth="1"/>
    <col min="2" max="2" width="15" customWidth="1"/>
    <col min="5" max="5" width="60" customWidth="1"/>
  </cols>
  <sheetData>
    <row r="1" spans="1:9" ht="16" customHeight="1" x14ac:dyDescent="0.2">
      <c r="A1" s="78" t="s">
        <v>106</v>
      </c>
      <c r="B1" s="21"/>
      <c r="C1" s="21"/>
      <c r="D1" s="21"/>
      <c r="E1" s="21"/>
      <c r="F1" s="21"/>
      <c r="G1" s="21"/>
      <c r="H1" s="21"/>
      <c r="I1" s="21"/>
    </row>
    <row r="2" spans="1:9" x14ac:dyDescent="0.2">
      <c r="A2" s="17" t="s">
        <v>20</v>
      </c>
      <c r="B2" s="17" t="s">
        <v>21</v>
      </c>
      <c r="C2" s="17" t="s">
        <v>22</v>
      </c>
      <c r="D2" s="17" t="s">
        <v>23</v>
      </c>
      <c r="E2" s="17" t="s">
        <v>107</v>
      </c>
      <c r="F2" s="21"/>
      <c r="G2" s="21"/>
      <c r="H2" s="21"/>
      <c r="I2" s="21"/>
    </row>
    <row r="3" spans="1:9" x14ac:dyDescent="0.2">
      <c r="A3" s="18"/>
      <c r="B3" s="19"/>
      <c r="C3" s="20"/>
      <c r="D3" s="79"/>
      <c r="E3" s="34"/>
      <c r="F3" s="21"/>
      <c r="G3" s="21"/>
      <c r="H3" s="21"/>
      <c r="I3" s="21"/>
    </row>
    <row r="4" spans="1:9" ht="16" customHeight="1" x14ac:dyDescent="0.2">
      <c r="A4" s="78" t="s">
        <v>108</v>
      </c>
      <c r="B4" s="19"/>
      <c r="C4" s="20"/>
      <c r="D4" s="79"/>
      <c r="E4" s="34"/>
      <c r="F4" s="21"/>
      <c r="G4" s="21"/>
      <c r="H4" s="21"/>
      <c r="I4" s="21"/>
    </row>
    <row r="5" spans="1:9" x14ac:dyDescent="0.2">
      <c r="A5" s="21" t="s">
        <v>109</v>
      </c>
      <c r="B5" s="21" t="s">
        <v>110</v>
      </c>
      <c r="C5" s="21" t="s">
        <v>111</v>
      </c>
      <c r="D5" s="104" t="str">
        <f>Summary!Reactor_sel</f>
        <v>ed04</v>
      </c>
      <c r="E5" s="105" t="str">
        <f>HYPERLINK("#Summary!D2","→ Summary")</f>
        <v>→ Summary</v>
      </c>
      <c r="F5" s="21"/>
      <c r="G5" s="21"/>
      <c r="H5" s="21"/>
      <c r="I5" s="21"/>
    </row>
    <row r="6" spans="1:9" x14ac:dyDescent="0.2">
      <c r="A6" s="21" t="s">
        <v>112</v>
      </c>
      <c r="B6" s="21" t="s">
        <v>51</v>
      </c>
      <c r="C6" s="21" t="s">
        <v>52</v>
      </c>
      <c r="D6" s="104">
        <f>Summary!media_volume</f>
        <v>0.0</v>
      </c>
      <c r="E6" s="105" t="str">
        <f>HYPERLINK("#Summary!D9","→ Summary")</f>
        <v>→ Summary</v>
      </c>
      <c r="F6" s="21"/>
      <c r="G6" s="21"/>
      <c r="H6" s="21"/>
      <c r="I6" s="21"/>
    </row>
    <row r="7" spans="1:9" x14ac:dyDescent="0.2">
      <c r="A7" s="18"/>
      <c r="B7" s="19"/>
      <c r="C7" s="20"/>
      <c r="D7" s="80"/>
      <c r="E7" s="137"/>
      <c r="F7" s="21"/>
      <c r="G7" s="21"/>
      <c r="H7" s="21"/>
      <c r="I7" s="21"/>
    </row>
    <row r="8" spans="1:9" ht="26" customHeight="1" x14ac:dyDescent="0.2">
      <c r="A8" s="18"/>
      <c r="B8" s="19"/>
      <c r="C8" s="20"/>
      <c r="D8" s="106"/>
      <c r="E8" s="81"/>
      <c r="F8" s="21"/>
      <c r="G8" s="21"/>
      <c r="H8" s="21"/>
      <c r="I8" s="21"/>
    </row>
    <row r="9" spans="1:9" x14ac:dyDescent="0.2">
      <c r="A9" s="18"/>
      <c r="B9" s="19"/>
      <c r="C9" s="20"/>
      <c r="D9" s="106"/>
      <c r="E9" s="81"/>
      <c r="F9" s="21"/>
      <c r="G9" s="21"/>
      <c r="H9" s="21"/>
      <c r="I9" s="21"/>
    </row>
    <row r="10" spans="1:9" ht="24" customHeight="1" x14ac:dyDescent="0.2">
      <c r="A10" s="18"/>
      <c r="B10" s="19"/>
      <c r="C10" s="20"/>
      <c r="D10" s="107"/>
      <c r="E10" s="82"/>
      <c r="F10" s="21"/>
      <c r="G10" s="21"/>
      <c r="H10" s="21"/>
      <c r="I10" s="21"/>
    </row>
    <row r="11" spans="1:9" x14ac:dyDescent="0.2">
      <c r="A11" s="18"/>
      <c r="B11" s="19"/>
      <c r="C11" s="20"/>
      <c r="D11" s="107"/>
      <c r="E11" s="83"/>
      <c r="F11" s="21"/>
      <c r="G11" s="21"/>
      <c r="H11" s="21"/>
      <c r="I11" s="21"/>
    </row>
    <row r="12" spans="1:9" x14ac:dyDescent="0.2">
      <c r="A12" s="18"/>
      <c r="B12" s="19"/>
      <c r="C12" s="20"/>
      <c r="D12" s="108"/>
      <c r="E12" s="84"/>
      <c r="F12" s="21"/>
      <c r="G12" s="21"/>
      <c r="H12" s="21"/>
      <c r="I12" s="21"/>
    </row>
    <row r="13" spans="1:9" x14ac:dyDescent="0.2">
      <c r="A13" s="18"/>
      <c r="B13" s="19"/>
      <c r="C13" s="20"/>
      <c r="D13" s="108"/>
      <c r="E13" s="84"/>
      <c r="F13" s="21"/>
      <c r="G13" s="21"/>
      <c r="H13" s="21"/>
      <c r="I13" s="21"/>
    </row>
    <row r="14" spans="1:9" ht="24" customHeight="1" x14ac:dyDescent="0.2">
      <c r="A14" s="18"/>
      <c r="B14" s="19"/>
      <c r="C14" s="20"/>
      <c r="D14" s="108"/>
      <c r="E14" s="82"/>
      <c r="F14" s="21"/>
      <c r="G14" s="21"/>
      <c r="H14" s="21"/>
      <c r="I14" s="21"/>
    </row>
    <row r="15" spans="1:9" ht="24" customHeight="1" x14ac:dyDescent="0.2">
      <c r="A15" s="18"/>
      <c r="B15" s="19"/>
      <c r="C15" s="20"/>
      <c r="D15" s="108"/>
      <c r="E15" s="82"/>
      <c r="F15" s="21"/>
      <c r="G15" s="21"/>
      <c r="H15" s="21"/>
      <c r="I15" s="21"/>
    </row>
    <row r="16" spans="1:9" x14ac:dyDescent="0.2">
      <c r="A16" s="18"/>
      <c r="B16" s="19"/>
      <c r="C16" s="20"/>
      <c r="D16" s="108"/>
      <c r="E16" s="85"/>
      <c r="F16" s="21"/>
      <c r="G16" s="21"/>
      <c r="H16" s="21"/>
      <c r="I16" s="21"/>
    </row>
    <row r="17" spans="1:9" x14ac:dyDescent="0.2">
      <c r="A17" s="18"/>
      <c r="B17" s="19"/>
      <c r="C17" s="20"/>
      <c r="D17" s="108"/>
      <c r="E17" s="85"/>
      <c r="F17" s="21"/>
      <c r="G17" s="21"/>
      <c r="H17" s="21"/>
      <c r="I17" s="21"/>
    </row>
    <row r="18" spans="1:9" x14ac:dyDescent="0.2">
      <c r="A18" s="18" t="s">
        <v>116</v>
      </c>
      <c r="B18" s="19" t="s">
        <v>117</v>
      </c>
      <c r="C18" s="20" t="s">
        <v>115</v>
      </c>
      <c r="D18" s="109">
        <f>VLOOKUP(rx_ver,tbl_rxtype,MATCH("vial OD (mm)",tbl_rxtype_hdr,0),FALSE)</f>
        <v>27.48</v>
      </c>
      <c r="E18" s="74" t="s">
        <v>118</v>
      </c>
      <c r="F18" s="21"/>
      <c r="G18" s="21"/>
      <c r="H18" s="21"/>
      <c r="I18" s="21"/>
    </row>
    <row r="19" spans="1:9" ht="24" customHeight="1" x14ac:dyDescent="0.2">
      <c r="A19" s="18" t="s">
        <v>119</v>
      </c>
      <c r="B19" s="19" t="s">
        <v>120</v>
      </c>
      <c r="C19" s="20" t="s">
        <v>115</v>
      </c>
      <c r="D19" s="130">
        <v>1.1000000000000001</v>
      </c>
      <c r="E19" s="36" t="s">
        <v>121</v>
      </c>
      <c r="F19" s="21"/>
      <c r="G19" s="21"/>
      <c r="H19" s="21"/>
      <c r="I19" s="21"/>
    </row>
    <row r="20" spans="1:9" x14ac:dyDescent="0.2">
      <c r="A20" s="18" t="s">
        <v>122</v>
      </c>
      <c r="B20" s="19" t="s">
        <v>123</v>
      </c>
      <c r="C20" s="20" t="s">
        <v>115</v>
      </c>
      <c r="D20" s="37">
        <f>vial_OD-2*vial_wall</f>
        <v>25.28</v>
      </c>
      <c r="E20" s="74" t="s">
        <v>124</v>
      </c>
      <c r="F20" s="21"/>
      <c r="G20" s="21"/>
      <c r="H20" s="21"/>
      <c r="I20" s="21"/>
    </row>
    <row r="21" spans="1:9" x14ac:dyDescent="0.2">
      <c r="A21" s="18" t="s">
        <v>125</v>
      </c>
      <c r="B21" s="19" t="s">
        <v>126</v>
      </c>
      <c r="C21" s="20" t="s">
        <v>127</v>
      </c>
      <c r="D21" s="38">
        <f>PI()/4*vial_ID^2</f>
        <v>501.93100162698</v>
      </c>
      <c r="E21" s="74" t="s">
        <v>128</v>
      </c>
      <c r="F21" s="21"/>
      <c r="G21" s="21"/>
      <c r="H21" s="21"/>
      <c r="I21" s="21"/>
    </row>
    <row r="22" spans="1:9" x14ac:dyDescent="0.2">
      <c r="A22" s="18" t="s">
        <v>129</v>
      </c>
      <c r="B22" s="19" t="s">
        <v>130</v>
      </c>
      <c r="C22" s="20" t="s">
        <v>115</v>
      </c>
      <c r="D22" s="110">
        <f>VLOOKUP(rx_ver,tbl_rxtype,MATCH("usable depth (mm)",tbl_rxtype_hdr,0),FALSE)</f>
        <v>55.0</v>
      </c>
      <c r="E22" s="74" t="inlineStr">
        <is>
          <t xml:space="preserve">Physical cap-to-base depth from the reactor-type table, selected by rx_ver. The Calibrations volume-equivalent depth (D75) is not a physical length and does not replace it.</t>
        </is>
      </c>
      <c r="F22" s="21"/>
      <c r="G22" s="21"/>
      <c r="H22" s="21"/>
      <c r="I22" s="21"/>
    </row>
    <row r="23" spans="1:9" x14ac:dyDescent="0.2">
      <c r="A23" s="18" t="s">
        <v>132</v>
      </c>
      <c r="B23" s="19" t="s">
        <v>133</v>
      </c>
      <c r="C23" s="20" t="s">
        <v>52</v>
      </c>
      <c r="D23" s="110">
        <f>VLOOKUP(rx_ver,tbl_rxtype,MATCH("max working (mL)",tbl_rxtype_hdr,0),FALSE)</f>
        <v>16.0</v>
      </c>
      <c r="E23" s="74" t="s">
        <v>131</v>
      </c>
      <c r="F23" s="21"/>
      <c r="G23" s="21"/>
      <c r="H23" s="21"/>
      <c r="I23" s="21"/>
    </row>
    <row r="24" spans="1:9" x14ac:dyDescent="0.2">
      <c r="A24" s="18" t="s">
        <v>134</v>
      </c>
      <c r="B24" s="19" t="s">
        <v>135</v>
      </c>
      <c r="C24" s="20" t="s">
        <v>52</v>
      </c>
      <c r="D24" s="110">
        <f>IF(ISNUMBER(cal_Vtot),cal_Vtot,VLOOKUP(rx_ver,tbl_rxtype,MATCH("total vial (mL)",tbl_rxtype_hdr,0),FALSE))</f>
        <v>20.0</v>
      </c>
      <c r="E24" s="74" t="s">
        <v>131</v>
      </c>
      <c r="F24" s="21"/>
      <c r="G24" s="21"/>
      <c r="H24" s="21"/>
      <c r="I24" s="21"/>
    </row>
    <row r="25" spans="1:9" x14ac:dyDescent="0.2">
      <c r="A25" s="18" t="s">
        <v>136</v>
      </c>
      <c r="B25" s="19" t="s">
        <v>137</v>
      </c>
      <c r="C25" s="20" t="s">
        <v>115</v>
      </c>
      <c r="D25" s="37">
        <f>V_max*1000/A_x</f>
        <v>31.876891341911</v>
      </c>
      <c r="E25" s="74" t="s">
        <v>138</v>
      </c>
      <c r="F25" s="21"/>
      <c r="G25" s="21"/>
      <c r="H25" s="21"/>
      <c r="I25" s="21"/>
    </row>
    <row r="26" spans="1:9" x14ac:dyDescent="0.2">
      <c r="A26" s="18" t="s">
        <v>139</v>
      </c>
      <c r="B26" s="19" t="s">
        <v>140</v>
      </c>
      <c r="C26" s="20" t="s">
        <v>115</v>
      </c>
      <c r="D26" s="130">
        <v>6</v>
      </c>
      <c r="E26" s="34" t="s">
        <v>141</v>
      </c>
      <c r="F26" s="21"/>
      <c r="G26" s="21"/>
      <c r="H26" s="21"/>
      <c r="I26" s="21"/>
    </row>
    <row r="27" spans="1:9" x14ac:dyDescent="0.2">
      <c r="A27" s="18" t="s">
        <v>142</v>
      </c>
      <c r="B27" s="19" t="s">
        <v>143</v>
      </c>
      <c r="C27" s="20" t="s">
        <v>111</v>
      </c>
      <c r="D27" s="130">
        <v>2</v>
      </c>
      <c r="E27" s="74" t="s">
        <v>144</v>
      </c>
      <c r="F27" s="21"/>
      <c r="G27" s="21"/>
      <c r="H27" s="21"/>
      <c r="I27" s="21"/>
    </row>
    <row r="28" spans="1:9" x14ac:dyDescent="0.2">
      <c r="A28" s="18" t="s">
        <v>145</v>
      </c>
      <c r="B28" s="19" t="s">
        <v>146</v>
      </c>
      <c r="C28" s="20" t="s">
        <v>115</v>
      </c>
      <c r="D28" s="130">
        <v>22</v>
      </c>
      <c r="E28" s="34" t="s">
        <v>147</v>
      </c>
      <c r="F28" s="21"/>
      <c r="G28" s="21"/>
      <c r="H28" s="21"/>
      <c r="I28" s="21"/>
    </row>
    <row r="29" spans="1:9" x14ac:dyDescent="0.2">
      <c r="A29" s="86" t="s">
        <v>148</v>
      </c>
      <c r="B29" s="19" t="s">
        <v>149</v>
      </c>
      <c r="C29" s="20" t="s">
        <v>115</v>
      </c>
      <c r="D29" s="38">
        <f>D_int-elec_clear</f>
        <v>33.0</v>
      </c>
      <c r="E29" s="74" t="s">
        <v>150</v>
      </c>
      <c r="F29" s="21"/>
      <c r="G29" s="21"/>
      <c r="H29" s="21"/>
      <c r="I29" s="21"/>
    </row>
    <row r="30" spans="1:9" x14ac:dyDescent="0.2">
      <c r="A30" s="18" t="s">
        <v>151</v>
      </c>
      <c r="B30" s="19" t="s">
        <v>152</v>
      </c>
      <c r="C30" s="20" t="s">
        <v>115</v>
      </c>
      <c r="D30" s="130">
        <v>3.1749999999999998</v>
      </c>
      <c r="E30" s="74" t="s">
        <v>153</v>
      </c>
      <c r="F30" s="21"/>
      <c r="G30" s="21"/>
      <c r="H30" s="21"/>
      <c r="I30" s="21"/>
    </row>
    <row r="31" spans="1:9" x14ac:dyDescent="0.2">
      <c r="A31" s="18" t="s">
        <v>154</v>
      </c>
      <c r="B31" s="19" t="s">
        <v>155</v>
      </c>
      <c r="C31" s="20" t="s">
        <v>115</v>
      </c>
      <c r="D31" s="130">
        <v>1.5874999999999999</v>
      </c>
      <c r="E31" s="74" t="s">
        <v>156</v>
      </c>
      <c r="F31" s="21"/>
      <c r="G31" s="21"/>
      <c r="H31" s="21"/>
      <c r="I31" s="21"/>
    </row>
    <row r="32" spans="1:9" x14ac:dyDescent="0.2">
      <c r="A32" s="18" t="s">
        <v>157</v>
      </c>
      <c r="B32" s="19" t="s">
        <v>158</v>
      </c>
      <c r="C32" s="20" t="s">
        <v>115</v>
      </c>
      <c r="D32" s="38">
        <f>elec_clear</f>
        <v>22.0</v>
      </c>
      <c r="E32" s="34" t="s">
        <v>159</v>
      </c>
      <c r="F32" s="21"/>
      <c r="G32" s="21"/>
      <c r="H32" s="21"/>
      <c r="I32" s="21"/>
    </row>
    <row r="33" spans="1:9" x14ac:dyDescent="0.2">
      <c r="A33" s="18" t="s">
        <v>160</v>
      </c>
      <c r="B33" s="19" t="s">
        <v>161</v>
      </c>
      <c r="C33" s="20" t="s">
        <v>115</v>
      </c>
      <c r="D33" s="130">
        <v>3.1749999999999998</v>
      </c>
      <c r="E33" s="74" t="s">
        <v>153</v>
      </c>
      <c r="F33" s="21"/>
      <c r="G33" s="21"/>
      <c r="H33" s="21"/>
      <c r="I33" s="21"/>
    </row>
    <row r="34" spans="1:9" x14ac:dyDescent="0.2">
      <c r="A34" s="18" t="s">
        <v>162</v>
      </c>
      <c r="B34" s="19" t="s">
        <v>163</v>
      </c>
      <c r="C34" s="20" t="s">
        <v>115</v>
      </c>
      <c r="D34" s="130">
        <v>1.5874999999999999</v>
      </c>
      <c r="E34" s="74" t="s">
        <v>156</v>
      </c>
      <c r="F34" s="21"/>
      <c r="G34" s="21"/>
      <c r="H34" s="21"/>
      <c r="I34" s="21"/>
    </row>
    <row r="35" spans="1:9" x14ac:dyDescent="0.2">
      <c r="A35" s="18" t="s">
        <v>164</v>
      </c>
      <c r="B35" s="19" t="s">
        <v>165</v>
      </c>
      <c r="C35" s="20" t="s">
        <v>115</v>
      </c>
      <c r="D35" s="37">
        <f>MAX(0,h_datum-elec_clear)</f>
        <v>9.876891341911</v>
      </c>
      <c r="E35" s="74" t="s">
        <v>166</v>
      </c>
      <c r="F35" s="21"/>
      <c r="G35" s="21"/>
      <c r="H35" s="21"/>
      <c r="I35" s="21"/>
    </row>
    <row r="36" spans="1:9" x14ac:dyDescent="0.2">
      <c r="A36" s="18" t="s">
        <v>167</v>
      </c>
      <c r="B36" s="19" t="s">
        <v>168</v>
      </c>
      <c r="C36" s="20" t="s">
        <v>52</v>
      </c>
      <c r="D36" s="39">
        <f>rod_n*(PI()/4*rod_d^2)*elec_sub_L/1000</f>
        <v>0.558525047041</v>
      </c>
      <c r="E36" s="74" t="s">
        <v>169</v>
      </c>
      <c r="F36" s="21"/>
      <c r="G36" s="21"/>
      <c r="H36" s="21"/>
      <c r="I36" s="21"/>
    </row>
    <row r="37" spans="1:9" x14ac:dyDescent="0.2">
      <c r="A37" s="18" t="s">
        <v>170</v>
      </c>
      <c r="B37" s="19" t="s">
        <v>171</v>
      </c>
      <c r="C37" s="20" t="s">
        <v>52</v>
      </c>
      <c r="D37" s="39">
        <f>(PI()/4*spg_OD^2)*MAX(0,h_datum-spg_tip_h)/1000</f>
        <v>0.078198354893</v>
      </c>
      <c r="E37" s="74" t="s">
        <v>172</v>
      </c>
      <c r="F37" s="21"/>
      <c r="G37" s="21"/>
      <c r="H37" s="21"/>
      <c r="I37" s="21"/>
    </row>
    <row r="38" spans="1:9" x14ac:dyDescent="0.2">
      <c r="A38" s="18" t="s">
        <v>173</v>
      </c>
      <c r="B38" s="19" t="s">
        <v>174</v>
      </c>
      <c r="C38" s="20" t="s">
        <v>115</v>
      </c>
      <c r="D38" s="39">
        <f>(eff_OD+eff_ID)/2</f>
        <v>2.38125</v>
      </c>
      <c r="E38" s="34" t="s">
        <v>175</v>
      </c>
      <c r="F38" s="21"/>
      <c r="G38" s="21"/>
      <c r="H38" s="21"/>
      <c r="I38" s="21"/>
    </row>
    <row r="39" spans="1:9" x14ac:dyDescent="0.2">
      <c r="A39" s="18" t="s">
        <v>176</v>
      </c>
      <c r="B39" s="19" t="s">
        <v>177</v>
      </c>
      <c r="C39" s="20" t="s">
        <v>52</v>
      </c>
      <c r="D39" s="40">
        <f>(PI()/4*(eff_OD^2-eff_ID^2))*eff_sub_L/1000</f>
        <v>0.014139810757</v>
      </c>
      <c r="E39" s="34" t="s">
        <v>178</v>
      </c>
      <c r="F39" s="21"/>
      <c r="G39" s="21"/>
      <c r="H39" s="21"/>
      <c r="I39" s="21"/>
    </row>
    <row r="40" spans="1:9" x14ac:dyDescent="0.2">
      <c r="A40" s="18" t="s">
        <v>179</v>
      </c>
      <c r="B40" s="19" t="s">
        <v>180</v>
      </c>
      <c r="C40" s="20" t="s">
        <v>52</v>
      </c>
      <c r="D40" s="39">
        <f>elec_disp+spg_disp+eff_disp</f>
        <v>0.650863212691</v>
      </c>
      <c r="E40" s="74" t="s">
        <v>181</v>
      </c>
      <c r="F40" s="21"/>
      <c r="G40" s="21"/>
      <c r="H40" s="21"/>
      <c r="I40" s="21"/>
    </row>
    <row r="41" spans="1:9" x14ac:dyDescent="0.2">
      <c r="A41" s="86" t="s">
        <v>182</v>
      </c>
      <c r="B41" s="19" t="s">
        <v>183</v>
      </c>
      <c r="C41" s="20" t="s">
        <v>52</v>
      </c>
      <c r="D41" s="42">
        <f>IF(media_volume&gt;0,media_volume,ROUND(V_max-disp_tot,0))</f>
        <v>15.0</v>
      </c>
      <c r="E41" s="74" t="s">
        <v>184</v>
      </c>
      <c r="F41" s="21"/>
      <c r="G41" s="21"/>
      <c r="H41" s="21"/>
      <c r="I41" s="21"/>
    </row>
    <row r="42" spans="1:9" x14ac:dyDescent="0.2">
      <c r="A42" s="86" t="s">
        <v>185</v>
      </c>
      <c r="B42" s="19" t="s">
        <v>186</v>
      </c>
      <c r="C42" s="20" t="s">
        <v>115</v>
      </c>
      <c r="D42" s="37">
        <f>(V_charge+disp_tot)*1000/A_x</f>
        <v>31.18130412738</v>
      </c>
      <c r="E42" s="74" t="s">
        <v>187</v>
      </c>
      <c r="F42" s="21"/>
      <c r="G42" s="21"/>
      <c r="H42" s="21"/>
      <c r="I42" s="21"/>
    </row>
    <row r="43" spans="1:9" x14ac:dyDescent="0.2">
      <c r="A43" s="86" t="s">
        <v>188</v>
      </c>
      <c r="B43" s="19" t="s">
        <v>189</v>
      </c>
      <c r="C43" s="20" t="s">
        <v>115</v>
      </c>
      <c r="D43" s="37">
        <f>MAX(0,h_actual-spg_tip_h)</f>
        <v>9.18130412738</v>
      </c>
      <c r="E43" s="74" t="s">
        <v>190</v>
      </c>
      <c r="F43" s="21"/>
      <c r="G43" s="21"/>
      <c r="H43" s="21"/>
      <c r="I43" s="21"/>
    </row>
    <row r="44" spans="1:9" x14ac:dyDescent="0.2">
      <c r="A44" s="86" t="s">
        <v>191</v>
      </c>
      <c r="B44" s="19" t="s">
        <v>192</v>
      </c>
      <c r="C44" s="20" t="s">
        <v>127</v>
      </c>
      <c r="D44" s="38">
        <f>A_x-(rod_n*(PI()/4*rod_d^2)+(PI()/4*spg_OD^2)+(PI()/4*eff_OD^2))</f>
        <v>429.547725140567</v>
      </c>
      <c r="E44" s="34" t="s">
        <v>193</v>
      </c>
      <c r="F44" s="21"/>
      <c r="G44" s="21"/>
      <c r="H44" s="21"/>
      <c r="I44" s="21"/>
    </row>
    <row r="45" spans="1:9" x14ac:dyDescent="0.2">
      <c r="A45" s="18" t="s">
        <v>194</v>
      </c>
      <c r="B45" s="19" t="s">
        <v>195</v>
      </c>
      <c r="C45" s="20" t="s">
        <v>115</v>
      </c>
      <c r="D45" s="39">
        <f>eff_OD</f>
        <v>3.175</v>
      </c>
      <c r="E45" s="34" t="s">
        <v>196</v>
      </c>
      <c r="F45" s="21"/>
      <c r="G45" s="21"/>
      <c r="H45" s="21"/>
      <c r="I45" s="21"/>
    </row>
    <row r="46" spans="1:9" x14ac:dyDescent="0.2">
      <c r="A46" s="18" t="s">
        <v>197</v>
      </c>
      <c r="B46" s="19" t="s">
        <v>198</v>
      </c>
      <c r="C46" s="20" t="s">
        <v>111</v>
      </c>
      <c r="D46" s="130">
        <v>3</v>
      </c>
      <c r="E46" s="34" t="s">
        <v>199</v>
      </c>
      <c r="F46" s="21"/>
      <c r="G46" s="21"/>
      <c r="H46" s="21"/>
      <c r="I46" s="21"/>
    </row>
    <row r="47" spans="1:9" x14ac:dyDescent="0.2">
      <c r="A47" s="18" t="s">
        <v>200</v>
      </c>
      <c r="B47" s="19" t="s">
        <v>201</v>
      </c>
      <c r="C47" s="20" t="s">
        <v>115</v>
      </c>
      <c r="D47" s="130">
        <v>5</v>
      </c>
      <c r="E47" s="36" t="s">
        <v>202</v>
      </c>
      <c r="F47" s="21"/>
      <c r="G47" s="21"/>
      <c r="H47" s="21"/>
      <c r="I47" s="21"/>
    </row>
    <row r="48" spans="1:9" x14ac:dyDescent="0.2">
      <c r="A48" s="18" t="s">
        <v>203</v>
      </c>
      <c r="B48" s="19" t="s">
        <v>204</v>
      </c>
      <c r="C48" s="20" t="s">
        <v>52</v>
      </c>
      <c r="D48" s="39">
        <f>(rod_n*(PI()/4*rod_d^2)*elec_ins+(PI()/4*spg_OD^2)*spg_len+(PI()/4*(eff_OD^2-eff_ID^2))*(D_int-h_actual)+xtube_n*(PI()/4*xtube_OD^2)*xtube_pro)/1000</f>
        <v>2.387571544083</v>
      </c>
      <c r="E48" s="34" t="s">
        <v>205</v>
      </c>
      <c r="F48" s="21"/>
      <c r="G48" s="21"/>
      <c r="H48" s="21"/>
      <c r="I48" s="21"/>
    </row>
    <row r="49" spans="1:9" ht="36" x14ac:dyDescent="0.2">
      <c r="A49" s="86" t="s">
        <v>206</v>
      </c>
      <c r="B49" s="19" t="s">
        <v>207</v>
      </c>
      <c r="C49" s="20" t="s">
        <v>52</v>
      </c>
      <c r="D49" s="37">
        <f>IF(AND(ISNUMBER(cal_hs),ISNUMBER(cal_hs_fill)),cal_hs-(V_charge-cal_hs_fill),V_vial_total-V_charge-V_inserts)</f>
        <v>2.612428455917</v>
      </c>
      <c r="E49" s="34" t="s">
        <v>1854</v>
      </c>
      <c r="F49" s="21"/>
      <c r="G49" s="21"/>
      <c r="H49" s="21"/>
      <c r="I49" s="21"/>
    </row>
    <row r="50" spans="1:9" x14ac:dyDescent="0.2">
      <c r="A50" s="18" t="s">
        <v>208</v>
      </c>
      <c r="B50" s="19" t="s">
        <v>209</v>
      </c>
      <c r="C50" s="20" t="s">
        <v>115</v>
      </c>
      <c r="D50" s="41">
        <f>D_int-spg_tip_h</f>
        <v>33.0</v>
      </c>
      <c r="E50" s="74" t="s">
        <v>210</v>
      </c>
      <c r="F50" s="21"/>
      <c r="G50" s="21"/>
      <c r="H50" s="21"/>
      <c r="I50" s="21"/>
    </row>
    <row r="51" spans="1:9" x14ac:dyDescent="0.2">
      <c r="A51" s="21" t="s">
        <v>211</v>
      </c>
      <c r="B51" s="21" t="s">
        <v>212</v>
      </c>
      <c r="C51" s="21"/>
      <c r="D51" s="25" t="str">
        <f>VLOOKUP(reactor_sel,tbl_reactor,MATCH("Type",tbl_reactor_hdr,0),FALSE)</f>
        <v>MEP0.3</v>
      </c>
      <c r="E51" s="74" t="inlineStr">
        <is>
          <t xml:space="preserve">Looked up from the reactor table (tbl_reactor, rows 58–80) by the Summary reactor (D2).</t>
        </is>
      </c>
      <c r="F51" s="21"/>
      <c r="G51" s="21"/>
      <c r="H51" s="21"/>
      <c r="I51" s="21"/>
    </row>
    <row r="52" spans="1:9" x14ac:dyDescent="0.2">
      <c r="A52" s="21" t="s">
        <v>213</v>
      </c>
      <c r="B52" s="21" t="s">
        <v>214</v>
      </c>
      <c r="C52" s="21"/>
      <c r="D52" s="25">
        <f>VLOOKUP(rx_ver,tbl_rxtype,MATCH("stir bar L (mm)",tbl_rxtype_hdr,0),FALSE)</f>
        <v>12.0</v>
      </c>
      <c r="E52" s="74" t="inlineStr">
        <is>
          <t xml:space="preserve">Looked up from the reactor-type table (tbl_rxtype, rows 83–87) by the resolved type (D51).</t>
        </is>
      </c>
      <c r="F52" s="21"/>
      <c r="G52" s="21"/>
      <c r="H52" s="21"/>
      <c r="I52" s="21"/>
    </row>
    <row r="53" spans="1:9" x14ac:dyDescent="0.2">
      <c r="A53" s="75" t="s">
        <v>215</v>
      </c>
      <c r="B53" s="21"/>
      <c r="C53" s="21"/>
      <c r="D53" s="21"/>
      <c r="E53" s="21"/>
      <c r="F53" s="21"/>
      <c r="G53" s="21"/>
      <c r="H53" s="21"/>
      <c r="I53" s="21"/>
    </row>
    <row r="54" spans="1:9" x14ac:dyDescent="0.2">
      <c r="A54" s="21" t="s">
        <v>216</v>
      </c>
      <c r="B54" s="21" t="s">
        <v>217</v>
      </c>
      <c r="C54" s="21"/>
      <c r="D54" s="25" t="str">
        <f>IF(V_charge&gt;V_max,"MEDIA &gt; MAX WORKING VOLUME","OK")</f>
        <v>OK</v>
      </c>
      <c r="E54" s="51" t="inlineStr">
        <is>
          <t xml:space="preserve">Charge against the reactor-type maximum working volume (Geometry D23).</t>
        </is>
      </c>
      <c r="F54" s="21"/>
      <c r="G54" s="21"/>
      <c r="H54" s="21"/>
      <c r="I54" s="21"/>
    </row>
    <row r="55" spans="1:9" x14ac:dyDescent="0.2">
      <c r="A55" s="21" t="s">
        <v>218</v>
      </c>
      <c r="B55" s="21" t="s">
        <v>219</v>
      </c>
      <c r="C55" s="21"/>
      <c r="D55" s="25" t="str">
        <f>IF(h_actual&gt;D_int,"LIQUID OVER USABLE DEPTH","OK")</f>
        <v>OK</v>
      </c>
      <c r="E55" s="51" t="inlineStr">
        <is>
          <t xml:space="preserve">Achieved liquid level against the usable depth (D22).</t>
        </is>
      </c>
      <c r="F55" s="21"/>
      <c r="G55" s="21"/>
      <c r="H55" s="21"/>
      <c r="I55" s="21"/>
    </row>
    <row r="56" spans="1:9" x14ac:dyDescent="0.2">
      <c r="A56" s="21"/>
      <c r="B56" s="21"/>
      <c r="C56" s="21"/>
      <c r="D56" s="21"/>
      <c r="E56" s="21"/>
      <c r="F56" s="21"/>
      <c r="G56" s="21"/>
      <c r="H56" s="21"/>
      <c r="I56" s="21"/>
    </row>
    <row r="57" spans="1:9" x14ac:dyDescent="0.2">
      <c r="A57" s="77" t="s">
        <v>220</v>
      </c>
      <c r="B57" s="21"/>
      <c r="C57" s="21"/>
      <c r="D57" s="21"/>
      <c r="E57" s="21"/>
      <c r="F57" s="21"/>
      <c r="G57" s="21"/>
      <c r="H57" s="21"/>
      <c r="I57" s="21"/>
    </row>
    <row r="58" spans="1:9" x14ac:dyDescent="0.2">
      <c r="A58" s="77" t="s">
        <v>1</v>
      </c>
      <c r="B58" s="77" t="s">
        <v>221</v>
      </c>
      <c r="C58" s="21"/>
      <c r="D58" s="21"/>
      <c r="E58" s="21"/>
      <c r="F58" s="21"/>
      <c r="G58" s="21"/>
      <c r="H58" s="21"/>
      <c r="I58" s="21"/>
    </row>
    <row r="59" spans="1:9" x14ac:dyDescent="0.2">
      <c r="A59" s="21" t="s">
        <v>222</v>
      </c>
      <c r="B59" s="21" t="s">
        <v>113</v>
      </c>
      <c r="C59" s="21"/>
      <c r="D59" s="21"/>
      <c r="E59" s="21"/>
      <c r="F59" s="21"/>
      <c r="G59" s="21"/>
      <c r="H59" s="21"/>
      <c r="I59" s="21"/>
    </row>
    <row r="60" spans="1:9" x14ac:dyDescent="0.2">
      <c r="A60" s="21" t="s">
        <v>223</v>
      </c>
      <c r="B60" s="21" t="s">
        <v>113</v>
      </c>
      <c r="C60" s="21"/>
      <c r="D60" s="21"/>
      <c r="E60" s="21"/>
      <c r="F60" s="21"/>
      <c r="G60" s="21"/>
      <c r="H60" s="21"/>
      <c r="I60" s="21"/>
    </row>
    <row r="61" spans="1:9" x14ac:dyDescent="0.2">
      <c r="A61" s="21" t="s">
        <v>224</v>
      </c>
      <c r="B61" s="21" t="s">
        <v>113</v>
      </c>
      <c r="C61" s="21"/>
      <c r="D61" s="21"/>
      <c r="E61" s="21"/>
      <c r="F61" s="21"/>
      <c r="G61" s="21"/>
      <c r="H61" s="21"/>
      <c r="I61" s="21"/>
    </row>
    <row r="62" spans="1:9" x14ac:dyDescent="0.2">
      <c r="A62" s="21" t="s">
        <v>225</v>
      </c>
      <c r="B62" s="21" t="s">
        <v>113</v>
      </c>
      <c r="C62" s="21"/>
      <c r="D62" s="21"/>
      <c r="E62" s="21"/>
      <c r="F62" s="21"/>
      <c r="G62" s="21"/>
      <c r="H62" s="21"/>
      <c r="I62" s="21"/>
    </row>
    <row r="63" spans="1:9" x14ac:dyDescent="0.2">
      <c r="A63" s="21" t="s">
        <v>226</v>
      </c>
      <c r="B63" s="21" t="s">
        <v>113</v>
      </c>
      <c r="C63" s="21"/>
      <c r="D63" s="21"/>
      <c r="E63" s="21"/>
      <c r="F63" s="21"/>
      <c r="G63" s="21"/>
      <c r="H63" s="21"/>
      <c r="I63" s="21"/>
    </row>
    <row r="64" spans="1:9" x14ac:dyDescent="0.2">
      <c r="A64" s="21" t="s">
        <v>227</v>
      </c>
      <c r="B64" s="21" t="s">
        <v>113</v>
      </c>
      <c r="C64" s="21"/>
      <c r="D64" s="21"/>
      <c r="E64" s="21"/>
      <c r="F64" s="21"/>
      <c r="G64" s="21"/>
      <c r="H64" s="21"/>
      <c r="I64" s="21"/>
    </row>
    <row r="65" spans="1:9" x14ac:dyDescent="0.2">
      <c r="A65" s="21" t="s">
        <v>228</v>
      </c>
      <c r="B65" s="21" t="s">
        <v>113</v>
      </c>
      <c r="C65" s="21"/>
      <c r="D65" s="21"/>
      <c r="E65" s="21"/>
      <c r="F65" s="21"/>
      <c r="G65" s="21"/>
      <c r="H65" s="21"/>
      <c r="I65" s="21"/>
    </row>
    <row r="66" spans="1:9" x14ac:dyDescent="0.2">
      <c r="A66" s="21" t="s">
        <v>229</v>
      </c>
      <c r="B66" s="21" t="s">
        <v>113</v>
      </c>
      <c r="C66" s="21"/>
      <c r="D66" s="21"/>
      <c r="E66" s="21"/>
      <c r="F66" s="21"/>
      <c r="G66" s="21"/>
      <c r="H66" s="21"/>
      <c r="I66" s="21"/>
    </row>
    <row r="67" spans="1:9" x14ac:dyDescent="0.2">
      <c r="A67" s="21" t="s">
        <v>230</v>
      </c>
      <c r="B67" s="21" t="s">
        <v>113</v>
      </c>
      <c r="C67" s="21"/>
      <c r="D67" s="21"/>
      <c r="E67" s="21"/>
      <c r="F67" s="21"/>
      <c r="G67" s="21"/>
      <c r="H67" s="21"/>
      <c r="I67" s="21"/>
    </row>
    <row r="68" spans="1:9" x14ac:dyDescent="0.2">
      <c r="A68" s="21" t="s">
        <v>14</v>
      </c>
      <c r="B68" s="21" t="s">
        <v>231</v>
      </c>
      <c r="C68" s="21"/>
      <c r="D68" s="21"/>
      <c r="E68" s="21"/>
      <c r="F68" s="21"/>
      <c r="G68" s="21"/>
      <c r="H68" s="21"/>
      <c r="I68" s="21"/>
    </row>
    <row r="69" spans="1:9" x14ac:dyDescent="0.2">
      <c r="A69" s="21" t="s">
        <v>232</v>
      </c>
      <c r="B69" s="21" t="s">
        <v>231</v>
      </c>
      <c r="C69" s="21"/>
      <c r="D69" s="21"/>
      <c r="E69" s="21"/>
      <c r="F69" s="21"/>
      <c r="G69" s="21"/>
      <c r="H69" s="21"/>
      <c r="I69" s="21"/>
    </row>
    <row r="70" spans="1:9" x14ac:dyDescent="0.2">
      <c r="A70" s="21" t="s">
        <v>233</v>
      </c>
      <c r="B70" s="21" t="s">
        <v>114</v>
      </c>
      <c r="C70" s="21"/>
      <c r="D70" s="21"/>
      <c r="E70" s="21"/>
      <c r="F70" s="21"/>
      <c r="G70" s="21"/>
      <c r="H70" s="21"/>
      <c r="I70" s="21"/>
    </row>
    <row r="71" spans="1:9" x14ac:dyDescent="0.2">
      <c r="A71" s="21" t="s">
        <v>234</v>
      </c>
      <c r="B71" s="21" t="s">
        <v>114</v>
      </c>
      <c r="C71" s="21"/>
      <c r="D71" s="21"/>
      <c r="E71" s="21"/>
      <c r="F71" s="21"/>
      <c r="G71" s="21"/>
      <c r="H71" s="21"/>
      <c r="I71" s="21"/>
    </row>
    <row r="72" spans="1:9" x14ac:dyDescent="0.2">
      <c r="A72" s="21" t="s">
        <v>235</v>
      </c>
      <c r="B72" s="21" t="s">
        <v>114</v>
      </c>
      <c r="C72" s="21"/>
      <c r="D72" s="21"/>
      <c r="E72" s="21"/>
      <c r="F72" s="21"/>
      <c r="G72" s="21"/>
      <c r="H72" s="21"/>
      <c r="I72" s="21"/>
    </row>
    <row r="73" spans="1:9" x14ac:dyDescent="0.2">
      <c r="A73" s="21" t="s">
        <v>236</v>
      </c>
      <c r="B73" s="21" t="s">
        <v>114</v>
      </c>
      <c r="C73" s="21"/>
      <c r="D73" s="21"/>
      <c r="E73" s="21"/>
      <c r="F73" s="21"/>
      <c r="G73" s="21"/>
      <c r="H73" s="21"/>
      <c r="I73" s="21"/>
    </row>
    <row r="74" spans="1:9" x14ac:dyDescent="0.2">
      <c r="A74" s="21" t="s">
        <v>237</v>
      </c>
      <c r="B74" s="21" t="s">
        <v>114</v>
      </c>
      <c r="C74" s="21"/>
      <c r="D74" s="21"/>
      <c r="E74" s="21"/>
      <c r="F74" s="21"/>
      <c r="G74" s="21"/>
      <c r="H74" s="21"/>
      <c r="I74" s="21"/>
    </row>
    <row r="75" spans="1:9" x14ac:dyDescent="0.2">
      <c r="A75" s="21" t="s">
        <v>238</v>
      </c>
      <c r="B75" s="21" t="s">
        <v>114</v>
      </c>
      <c r="C75" s="21"/>
      <c r="D75" s="21"/>
      <c r="E75" s="21"/>
      <c r="F75" s="21"/>
      <c r="G75" s="21"/>
      <c r="H75" s="21"/>
      <c r="I75" s="21"/>
    </row>
    <row r="76" spans="1:9" x14ac:dyDescent="0.2">
      <c r="A76" s="21" t="s">
        <v>239</v>
      </c>
      <c r="B76" s="21" t="s">
        <v>114</v>
      </c>
      <c r="C76" s="21"/>
      <c r="D76" s="21"/>
      <c r="E76" s="21"/>
      <c r="F76" s="21"/>
      <c r="G76" s="21"/>
      <c r="H76" s="21"/>
      <c r="I76" s="21"/>
    </row>
    <row r="77" spans="1:9" x14ac:dyDescent="0.2">
      <c r="A77" s="21" t="s">
        <v>240</v>
      </c>
      <c r="B77" s="21" t="s">
        <v>114</v>
      </c>
      <c r="C77" s="21"/>
      <c r="D77" s="21"/>
      <c r="E77" s="21"/>
      <c r="F77" s="21"/>
      <c r="G77" s="21"/>
      <c r="H77" s="21"/>
      <c r="I77" s="21"/>
    </row>
    <row r="78" spans="1:9" x14ac:dyDescent="0.2">
      <c r="A78" s="21" t="s">
        <v>241</v>
      </c>
      <c r="B78" s="21" t="s">
        <v>114</v>
      </c>
      <c r="C78" s="21"/>
      <c r="D78" s="21"/>
      <c r="E78" s="21"/>
      <c r="F78" s="21"/>
      <c r="G78" s="21"/>
      <c r="H78" s="21"/>
      <c r="I78" s="21"/>
    </row>
    <row r="79" spans="1:9" x14ac:dyDescent="0.2">
      <c r="A79" s="21" t="s">
        <v>242</v>
      </c>
      <c r="B79" s="21" t="s">
        <v>243</v>
      </c>
      <c r="C79" s="21"/>
      <c r="D79" s="21"/>
      <c r="E79" s="21"/>
      <c r="F79" s="21"/>
      <c r="G79" s="21"/>
      <c r="H79" s="21"/>
      <c r="I79" s="21"/>
    </row>
    <row r="80" spans="1:9" x14ac:dyDescent="0.2">
      <c r="A80" s="21" t="s">
        <v>244</v>
      </c>
      <c r="B80" s="21" t="s">
        <v>114</v>
      </c>
      <c r="C80" s="21"/>
      <c r="D80" s="21"/>
      <c r="E80" s="21"/>
      <c r="F80" s="21"/>
      <c r="G80" s="21"/>
      <c r="H80" s="21"/>
      <c r="I80" s="21"/>
    </row>
    <row r="81" spans="1:9" x14ac:dyDescent="0.2">
      <c r="A81" s="21"/>
      <c r="B81" s="21"/>
      <c r="C81" s="21"/>
      <c r="D81" s="21"/>
      <c r="E81" s="21"/>
      <c r="F81" s="21"/>
      <c r="G81" s="21"/>
      <c r="H81" s="21"/>
      <c r="I81" s="21"/>
    </row>
    <row r="82" spans="1:9" x14ac:dyDescent="0.2">
      <c r="A82" s="77" t="s">
        <v>245</v>
      </c>
      <c r="B82" s="21"/>
      <c r="C82" s="21"/>
      <c r="D82" s="21"/>
      <c r="E82" s="21"/>
      <c r="F82" s="21"/>
      <c r="G82" s="21"/>
      <c r="H82" s="21"/>
      <c r="I82" s="21"/>
    </row>
    <row r="83" spans="1:9" x14ac:dyDescent="0.2">
      <c r="A83" s="77" t="s">
        <v>221</v>
      </c>
      <c r="B83" s="77" t="s">
        <v>246</v>
      </c>
      <c r="C83" s="77" t="s">
        <v>247</v>
      </c>
      <c r="D83" s="77" t="s">
        <v>248</v>
      </c>
      <c r="E83" s="77" t="s">
        <v>249</v>
      </c>
      <c r="F83" s="77" t="s">
        <v>250</v>
      </c>
      <c r="G83" s="77" t="s">
        <v>251</v>
      </c>
      <c r="H83" s="77" t="s">
        <v>252</v>
      </c>
      <c r="I83" s="77" t="s">
        <v>253</v>
      </c>
    </row>
    <row r="84" spans="1:9" x14ac:dyDescent="0.2">
      <c r="A84" s="21" t="s">
        <v>113</v>
      </c>
      <c r="B84" s="21" t="s">
        <v>254</v>
      </c>
      <c r="C84" s="155">
        <v>20</v>
      </c>
      <c r="D84" s="155">
        <v>55</v>
      </c>
      <c r="E84" s="155">
        <v>16</v>
      </c>
      <c r="F84" s="155">
        <v>20</v>
      </c>
      <c r="G84" s="155">
        <v>27.48</v>
      </c>
      <c r="H84" s="155">
        <v>12</v>
      </c>
      <c r="I84" s="155">
        <v>3</v>
      </c>
    </row>
    <row r="85" spans="1:9" x14ac:dyDescent="0.2">
      <c r="A85" s="21" t="s">
        <v>231</v>
      </c>
      <c r="B85" s="21" t="s">
        <v>254</v>
      </c>
      <c r="C85" s="155">
        <v>20</v>
      </c>
      <c r="D85" s="155">
        <v>55</v>
      </c>
      <c r="E85" s="155">
        <v>16</v>
      </c>
      <c r="F85" s="155">
        <v>20</v>
      </c>
      <c r="G85" s="155">
        <v>27.48</v>
      </c>
      <c r="H85" s="155">
        <v>12</v>
      </c>
      <c r="I85" s="155">
        <v>3</v>
      </c>
    </row>
    <row r="86" spans="1:9" x14ac:dyDescent="0.2">
      <c r="A86" s="21" t="s">
        <v>114</v>
      </c>
      <c r="B86" s="21" t="s">
        <v>255</v>
      </c>
      <c r="C86" s="155">
        <v>40</v>
      </c>
      <c r="D86" s="155">
        <v>95</v>
      </c>
      <c r="E86" s="155">
        <v>30</v>
      </c>
      <c r="F86" s="155">
        <v>42</v>
      </c>
      <c r="G86" s="155">
        <v>27.48</v>
      </c>
      <c r="H86" s="155">
        <v>15</v>
      </c>
      <c r="I86" s="155">
        <v>6</v>
      </c>
    </row>
    <row r="87" spans="1:9" x14ac:dyDescent="0.2">
      <c r="A87" s="21" t="s">
        <v>243</v>
      </c>
      <c r="B87" s="21" t="s">
        <v>255</v>
      </c>
      <c r="C87" s="155">
        <v>40</v>
      </c>
      <c r="D87" s="155">
        <v>95</v>
      </c>
      <c r="E87" s="155">
        <v>30</v>
      </c>
      <c r="F87" s="155">
        <v>42</v>
      </c>
      <c r="G87" s="155">
        <v>27.48</v>
      </c>
      <c r="H87" s="155">
        <v>15</v>
      </c>
      <c r="I87" s="155">
        <v>6</v>
      </c>
    </row>
    <row r="88" spans="1:9" x14ac:dyDescent="0.2">
      <c r="A88" s="21"/>
      <c r="B88" s="21"/>
      <c r="C88" s="21"/>
      <c r="D88" s="21"/>
      <c r="E88" s="21"/>
      <c r="F88" s="21"/>
      <c r="G88" s="21"/>
      <c r="H88" s="21"/>
      <c r="I88" s="21"/>
    </row>
    <row r="89" spans="1:9" x14ac:dyDescent="0.2">
      <c r="A89" s="77" t="s">
        <v>256</v>
      </c>
      <c r="B89" s="21"/>
      <c r="C89" s="21"/>
      <c r="D89" s="21"/>
      <c r="E89" s="21"/>
      <c r="F89" s="21"/>
      <c r="G89" s="21"/>
      <c r="H89" s="21"/>
      <c r="I89" s="21"/>
    </row>
    <row r="90" spans="1:9" x14ac:dyDescent="0.2">
      <c r="A90" s="21" t="s">
        <v>257</v>
      </c>
      <c r="B90" s="21" t="s">
        <v>258</v>
      </c>
      <c r="C90" s="21"/>
      <c r="D90" s="25" t="str">
        <f>IF(ABS(A_x*D_int/1000-V_vial_total)&lt;=geom_tol_mL,"OK",IF(AND(ISNUMBER(cal_hs),ISNUMBER(cal_hs_fill)),"OK – headspace measured (the tapered vial differs from the cylinder, which no longer sets the headspace)","VIAL GEOMETRY INCONSISTENT - measure the true headspace (protocols/vial-geometry.md)"))</f>
        <v>VIAL GEOMETRY INCONSISTENT - measure the true headspace (protocols/vial-geometry.md)</v>
      </c>
      <c r="E90" s="74" t="inlineStr">
        <is>
          <t xml:space="preserve">Compares the cylinder A_x × D_int with the total vial volume within geom_tol_mL; flags the vial-geometry experiment (Summary row 107) until the true headspace is measured.</t>
        </is>
      </c>
      <c r="F90" s="75" t="inlineStr">
        <is>
          <t xml:space="preserve">Fires INCONSISTENT while the headspace comes from the cylinder approximation: the bare cylinder (A_x × usable depth, ~28 mL) overstates the tapered 20 mL vial. Measuring the true headspace (Calibrations rows 63–77) makes it OK, because the measured headspace then replaces the approximation; the cylinder itself still differs from the vial.</t>
        </is>
      </c>
      <c r="G90" s="21"/>
      <c r="H90" s="21"/>
      <c r="I90" s="21"/>
    </row>
    <row r="91" spans="1:9" x14ac:dyDescent="0.2">
      <c r="A91" s="6" t="s">
        <v>1856</v>
      </c>
    </row>
    <row r="92" spans="1:9" ht="36" x14ac:dyDescent="0.2">
      <c r="A92" t="s">
        <v>1322</v>
      </c>
      <c r="B92" s="19" t="s">
        <v>1323</v>
      </c>
      <c r="C92" s="20" t="s">
        <v>115</v>
      </c>
      <c r="D92" s="130">
        <v>14</v>
      </c>
      <c r="E92" s="54" t="s">
        <v>1324</v>
      </c>
    </row>
    <row r="93" spans="1:9" ht="24" x14ac:dyDescent="0.2">
      <c r="A93" t="s">
        <v>1325</v>
      </c>
      <c r="B93" s="19" t="s">
        <v>1326</v>
      </c>
      <c r="C93" s="20" t="s">
        <v>115</v>
      </c>
      <c r="D93" s="111">
        <f>MAX(0,h_actual-elec_clear)</f>
        <v>9.18130412738</v>
      </c>
      <c r="E93" s="74" t="s">
        <v>1327</v>
      </c>
    </row>
    <row r="95" spans="1:9" x14ac:dyDescent="0.2">
      <c r="A95" s="77" t="s">
        <v>1857</v>
      </c>
    </row>
    <row r="96" spans="1:9" ht="24" x14ac:dyDescent="0.2">
      <c r="A96" s="18" t="s">
        <v>1858</v>
      </c>
      <c r="B96" s="19" t="s">
        <v>1859</v>
      </c>
      <c r="C96" s="20" t="s">
        <v>52</v>
      </c>
      <c r="D96" s="130">
        <v>3</v>
      </c>
      <c r="E96" s="34" t="s">
        <v>1860</v>
      </c>
    </row>
  </sheetData>
  <conditionalFormatting sqref="D54:D55 D90">
    <cfRule type="expression" dxfId="21" priority="1">
      <formula>OR(ISNUMBER(SEARCH("RISK",D54)),ISNUMBER(SEARCH("OVER",D54)),ISNUMBER(SEARCH("BELOW",D54)),ISNUMBER(SEARCH("EXCEED",D54)),ISNUMBER(SEARCH("NO CALIB",D54)),ISNUMBER(SEARCH("NEAREST",D54)),ISNUMBER(SEARCH("EXPLOSIVE",D54)),ISNUMBER(SEARCH("LOW",D54)),ISNUMBER(SEARCH("TIGHT",D54)),ISNUMBER(SEARCH("insufficient",D54)))</formula>
    </cfRule>
    <cfRule type="expression" dxfId="20" priority="2">
      <formula>OR(ISNUMBER(SEARCH("OK",D54)),ISNUMBER(SEARCH("calibrated",D54)),ISNUMBER(SEARCH("under optimum",D54)),ISNUMBER(SEARCH("above min",D54)),ISNUMBER(SEARCH("exact",D54)))</formula>
    </cfRule>
  </conditionalFormatting>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sheetPr>
  <dimension ref="A1:N172"/>
  <sheetViews>
    <sheetView zoomScale="181" workbookViewId="0">
      <selection activeCell="D45" sqref="D45"/>
    </sheetView>
  </sheetViews>
  <sheetFormatPr baseColWidth="10" defaultColWidth="8.83203125" defaultRowHeight="15" x14ac:dyDescent="0.2"/>
  <cols>
    <col min="1" max="1" width="30" customWidth="1"/>
    <col min="2" max="2" width="15" customWidth="1"/>
    <col min="4" max="4" width="11.6640625" bestFit="1" customWidth="1"/>
    <col min="5" max="5" width="60" customWidth="1"/>
  </cols>
  <sheetData>
    <row r="1" spans="1:9" ht="16" customHeight="1" x14ac:dyDescent="0.2">
      <c r="A1" s="78" t="s">
        <v>259</v>
      </c>
      <c r="B1" s="21"/>
      <c r="C1" s="21"/>
      <c r="D1" s="21"/>
      <c r="E1" s="21"/>
      <c r="F1" s="21"/>
      <c r="G1" s="21"/>
      <c r="H1" s="21"/>
      <c r="I1" s="21"/>
    </row>
    <row r="2" spans="1:9" x14ac:dyDescent="0.2">
      <c r="A2" s="17" t="s">
        <v>20</v>
      </c>
      <c r="B2" s="17" t="s">
        <v>21</v>
      </c>
      <c r="C2" s="17" t="s">
        <v>22</v>
      </c>
      <c r="D2" s="17" t="s">
        <v>23</v>
      </c>
      <c r="E2" s="17" t="s">
        <v>107</v>
      </c>
      <c r="F2" s="21"/>
      <c r="G2" s="21"/>
      <c r="H2" s="21"/>
      <c r="I2" s="21"/>
    </row>
    <row r="3" spans="1:9" x14ac:dyDescent="0.2">
      <c r="A3" s="18"/>
      <c r="B3" s="19"/>
      <c r="C3" s="20"/>
      <c r="D3" s="42"/>
      <c r="E3" s="34"/>
      <c r="F3" s="21"/>
      <c r="G3" s="21"/>
      <c r="H3" s="21"/>
      <c r="I3" s="21"/>
    </row>
    <row r="4" spans="1:9" ht="16" customHeight="1" x14ac:dyDescent="0.2">
      <c r="A4" s="78" t="s">
        <v>108</v>
      </c>
      <c r="B4" s="19"/>
      <c r="C4" s="20"/>
      <c r="D4" s="43"/>
      <c r="E4" s="138"/>
      <c r="F4" s="21"/>
      <c r="G4" s="21"/>
      <c r="H4" s="21"/>
      <c r="I4" s="21"/>
    </row>
    <row r="5" spans="1:9" x14ac:dyDescent="0.2">
      <c r="A5" s="21" t="s">
        <v>260</v>
      </c>
      <c r="B5" s="21" t="s">
        <v>261</v>
      </c>
      <c r="C5" s="21" t="s">
        <v>262</v>
      </c>
      <c r="D5" s="112">
        <f>Biology!T_K</f>
        <v>303.15</v>
      </c>
      <c r="E5" s="105" t="str">
        <f>HYPERLINK("#Biology!D18","→ Biology")</f>
        <v>→ Biology</v>
      </c>
      <c r="F5" s="21"/>
      <c r="G5" s="21"/>
      <c r="H5" s="21"/>
      <c r="I5" s="21"/>
    </row>
    <row r="6" spans="1:9" x14ac:dyDescent="0.2">
      <c r="A6" s="21" t="s">
        <v>263</v>
      </c>
      <c r="B6" s="21" t="s">
        <v>264</v>
      </c>
      <c r="C6" s="21" t="s">
        <v>57</v>
      </c>
      <c r="D6" s="112">
        <f>Biology!P_atm</f>
        <v>101325.0</v>
      </c>
      <c r="E6" s="105" t="str">
        <f>HYPERLINK("#Biology!D19","→ Biology")</f>
        <v>→ Biology</v>
      </c>
      <c r="F6" s="21"/>
      <c r="G6" s="21"/>
      <c r="H6" s="21"/>
      <c r="I6" s="21"/>
    </row>
    <row r="7" spans="1:9" x14ac:dyDescent="0.2">
      <c r="A7" s="21" t="s">
        <v>265</v>
      </c>
      <c r="B7" s="21" t="s">
        <v>266</v>
      </c>
      <c r="C7" s="21" t="s">
        <v>267</v>
      </c>
      <c r="D7" s="111">
        <f>'Mass Transfer'!R_gas</f>
        <v>8.314462618</v>
      </c>
      <c r="E7" s="105" t="str">
        <f>HYPERLINK("#'Mass Transfer'!D101","→ Mass Transfer")</f>
        <v>→ Mass Transfer</v>
      </c>
      <c r="F7" s="21"/>
      <c r="G7" s="21"/>
      <c r="H7" s="21"/>
      <c r="I7" s="21"/>
    </row>
    <row r="8" spans="1:9" x14ac:dyDescent="0.2">
      <c r="A8" s="21" t="s">
        <v>268</v>
      </c>
      <c r="B8" s="21" t="s">
        <v>30</v>
      </c>
      <c r="C8" s="21"/>
      <c r="D8" s="104" t="str">
        <f>Summary!electrode_sel</f>
        <v>MMO tube</v>
      </c>
      <c r="E8" s="105" t="str">
        <f>HYPERLINK("#Summary!D3","→ Summary")</f>
        <v>→ Summary</v>
      </c>
      <c r="F8" s="21"/>
      <c r="G8" s="21"/>
      <c r="H8" s="21"/>
      <c r="I8" s="21"/>
    </row>
    <row r="9" spans="1:9" x14ac:dyDescent="0.2">
      <c r="A9" s="18"/>
      <c r="B9" s="19"/>
      <c r="C9" s="20"/>
      <c r="D9" s="44"/>
      <c r="E9" s="74"/>
      <c r="F9" s="21"/>
      <c r="G9" s="21"/>
      <c r="H9" s="21"/>
      <c r="I9" s="21"/>
    </row>
    <row r="10" spans="1:9" x14ac:dyDescent="0.2">
      <c r="A10" s="18" t="s">
        <v>269</v>
      </c>
      <c r="B10" s="19" t="s">
        <v>270</v>
      </c>
      <c r="C10" s="20" t="s">
        <v>40</v>
      </c>
      <c r="D10" s="113">
        <f>Summary!led_intensity</f>
        <v>3.0</v>
      </c>
      <c r="E10" s="34" t="s">
        <v>271</v>
      </c>
      <c r="F10" s="21"/>
      <c r="G10" s="21"/>
      <c r="H10" s="21"/>
      <c r="I10" s="21"/>
    </row>
    <row r="11" spans="1:9" ht="36" customHeight="1" x14ac:dyDescent="0.2">
      <c r="A11" s="18" t="s">
        <v>272</v>
      </c>
      <c r="B11" s="19" t="s">
        <v>273</v>
      </c>
      <c r="C11" s="20" t="s">
        <v>274</v>
      </c>
      <c r="D11" s="111">
        <f>IF(ISNUMBER(cal_gerrit_slope),cal_gerrit_slope,gerrit_slope_default)</f>
        <v>1.03</v>
      </c>
      <c r="E11" s="82" t="s">
        <v>275</v>
      </c>
      <c r="F11" s="21"/>
      <c r="G11" s="21"/>
      <c r="H11" s="21"/>
      <c r="I11" s="21"/>
    </row>
    <row r="12" spans="1:9" x14ac:dyDescent="0.2">
      <c r="A12" s="18" t="s">
        <v>276</v>
      </c>
      <c r="B12" s="19" t="s">
        <v>277</v>
      </c>
      <c r="C12" s="20" t="s">
        <v>278</v>
      </c>
      <c r="D12" s="111">
        <f>IF(ISNUMBER(cal_gerrit_int),cal_gerrit_int,gerrit_int_default)</f>
        <v>2.6</v>
      </c>
      <c r="E12" s="82" t="s">
        <v>279</v>
      </c>
      <c r="F12" s="21"/>
      <c r="G12" s="21"/>
      <c r="H12" s="21"/>
      <c r="I12" s="21"/>
    </row>
    <row r="13" spans="1:9" x14ac:dyDescent="0.2">
      <c r="A13" s="18" t="s">
        <v>280</v>
      </c>
      <c r="B13" s="19" t="s">
        <v>281</v>
      </c>
      <c r="C13" s="20" t="s">
        <v>40</v>
      </c>
      <c r="D13" s="114">
        <v>3</v>
      </c>
      <c r="E13" s="138" t="s">
        <v>282</v>
      </c>
      <c r="F13" s="21"/>
      <c r="G13" s="21"/>
      <c r="H13" s="21"/>
      <c r="I13" s="21"/>
    </row>
    <row r="14" spans="1:9" x14ac:dyDescent="0.2">
      <c r="A14" s="18" t="s">
        <v>283</v>
      </c>
      <c r="B14" s="19" t="s">
        <v>284</v>
      </c>
      <c r="C14" s="20" t="s">
        <v>40</v>
      </c>
      <c r="D14" s="114">
        <v>25</v>
      </c>
      <c r="E14" s="138" t="s">
        <v>285</v>
      </c>
      <c r="F14" s="21"/>
      <c r="G14" s="21"/>
      <c r="H14" s="21"/>
      <c r="I14" s="21"/>
    </row>
    <row r="15" spans="1:9" x14ac:dyDescent="0.2">
      <c r="A15" s="18" t="s">
        <v>286</v>
      </c>
      <c r="B15" s="19" t="s">
        <v>287</v>
      </c>
      <c r="C15" s="20" t="s">
        <v>288</v>
      </c>
      <c r="D15" s="115">
        <v>96485.332120000006</v>
      </c>
      <c r="E15" s="139" t="s">
        <v>289</v>
      </c>
      <c r="F15" s="21"/>
      <c r="G15" s="21"/>
      <c r="H15" s="21"/>
      <c r="I15" s="21"/>
    </row>
    <row r="16" spans="1:9" x14ac:dyDescent="0.2">
      <c r="A16" s="18" t="s">
        <v>290</v>
      </c>
      <c r="B16" s="19" t="s">
        <v>291</v>
      </c>
      <c r="C16" s="20" t="s">
        <v>111</v>
      </c>
      <c r="D16" s="116">
        <v>2</v>
      </c>
      <c r="E16" s="74" t="s">
        <v>292</v>
      </c>
      <c r="F16" s="21"/>
      <c r="G16" s="21"/>
      <c r="H16" s="21"/>
      <c r="I16" s="21"/>
    </row>
    <row r="17" spans="1:9" x14ac:dyDescent="0.2">
      <c r="A17" s="18" t="s">
        <v>293</v>
      </c>
      <c r="B17" s="19" t="s">
        <v>294</v>
      </c>
      <c r="C17" s="20" t="s">
        <v>111</v>
      </c>
      <c r="D17" s="116">
        <v>4</v>
      </c>
      <c r="E17" s="74" t="s">
        <v>295</v>
      </c>
      <c r="F17" s="21"/>
      <c r="G17" s="21"/>
      <c r="H17" s="21"/>
      <c r="I17" s="21"/>
    </row>
    <row r="18" spans="1:9" ht="24" customHeight="1" x14ac:dyDescent="0.2">
      <c r="A18" s="18" t="s">
        <v>296</v>
      </c>
      <c r="B18" s="19" t="s">
        <v>297</v>
      </c>
      <c r="C18" s="20" t="s">
        <v>111</v>
      </c>
      <c r="D18" s="37">
        <f>IF(ISNUMBER(cal_etaF),cal_etaF,etaF_calc)</f>
        <v>0.964044311944</v>
      </c>
      <c r="E18" s="51" t="s">
        <v>1861</v>
      </c>
      <c r="F18" s="21"/>
      <c r="G18" s="21"/>
      <c r="H18" s="21"/>
      <c r="I18" s="21"/>
    </row>
    <row r="19" spans="1:9" ht="24" customHeight="1" x14ac:dyDescent="0.2">
      <c r="A19" s="18" t="s">
        <v>298</v>
      </c>
      <c r="B19" s="19" t="s">
        <v>299</v>
      </c>
      <c r="C19" s="20" t="s">
        <v>300</v>
      </c>
      <c r="D19" s="40">
        <f>IF(AND(intensity&gt;=gerrit_min,intensity&lt;=MIN(gerrit_max,power_max)),(gerrit_slope*intensity+gerrit_int)/1000,NA())</f>
        <v>0.00569</v>
      </c>
      <c r="E19" s="138" t="inlineStr">
        <is>
          <t xml:space="preserve">Empirical current fit only over the intersection of its validated range and the plugin runtime limit. Off and below-range commands return #N/A rather than inventing current from the fit intercept. Above-limit requests also return #N/A; the plugin clamps them.</t>
        </is>
      </c>
      <c r="F19" s="21"/>
      <c r="G19" s="21"/>
      <c r="H19" s="21"/>
      <c r="I19" s="21"/>
    </row>
    <row r="20" spans="1:9" ht="24" customHeight="1" x14ac:dyDescent="0.2">
      <c r="A20" s="18" t="s">
        <v>302</v>
      </c>
      <c r="B20" s="19" t="s">
        <v>303</v>
      </c>
      <c r="C20" s="20" t="s">
        <v>111</v>
      </c>
      <c r="D20" s="45" t="str">
        <f>IF(AND(intensity&gt;=gerrit_min,intensity&lt;=MIN(gerrit_max,power_max)),"OK","OUT – no schedule: power outside validated fit/runtime range")</f>
        <v>OK</v>
      </c>
      <c r="E20" s="138" t="inlineStr">
        <is>
          <t xml:space="preserve">Model domain: gerrit_min through MIN(gerrit_max,power_max), currently 3–10%. Lower-power/start-up behaviour needs measurement; no extrapolated schedule is issued.</t>
        </is>
      </c>
      <c r="F20" s="21"/>
      <c r="G20" s="21"/>
      <c r="H20" s="21"/>
      <c r="I20" s="21"/>
    </row>
    <row r="21" spans="1:9" x14ac:dyDescent="0.2">
      <c r="A21" s="18" t="s">
        <v>305</v>
      </c>
      <c r="B21" s="19" t="s">
        <v>306</v>
      </c>
      <c r="C21" s="20" t="s">
        <v>307</v>
      </c>
      <c r="D21" s="41">
        <f>I_app*etaF/(z_e_H2*F_const)*3600</f>
        <v>0.0001023341229799</v>
      </c>
      <c r="E21" s="74" t="s">
        <v>308</v>
      </c>
      <c r="F21" s="21"/>
      <c r="G21" s="21"/>
      <c r="H21" s="21"/>
      <c r="I21" s="21"/>
    </row>
    <row r="22" spans="1:9" x14ac:dyDescent="0.2">
      <c r="A22" s="18" t="s">
        <v>309</v>
      </c>
      <c r="B22" s="19" t="s">
        <v>310</v>
      </c>
      <c r="C22" s="20" t="s">
        <v>307</v>
      </c>
      <c r="D22" s="41">
        <f>I_app*etaF_OER/(z_e_O2*F_const)*3600</f>
        <v>5.305977013371e-05</v>
      </c>
      <c r="E22" s="74" t="s">
        <v>311</v>
      </c>
      <c r="F22" s="21"/>
      <c r="G22" s="21"/>
      <c r="H22" s="21"/>
      <c r="I22" s="21"/>
    </row>
    <row r="23" spans="1:9" x14ac:dyDescent="0.2">
      <c r="A23" s="18" t="s">
        <v>312</v>
      </c>
      <c r="B23" s="19" t="s">
        <v>313</v>
      </c>
      <c r="C23" s="20" t="s">
        <v>314</v>
      </c>
      <c r="D23" s="41">
        <f>rH2_gen/60*R_gas*T_K/P_atm*1000000</f>
        <v>0.04242719956</v>
      </c>
      <c r="E23" s="74" t="s">
        <v>315</v>
      </c>
      <c r="F23" s="21"/>
      <c r="G23" s="21"/>
      <c r="H23" s="21"/>
      <c r="I23" s="21"/>
    </row>
    <row r="24" spans="1:9" x14ac:dyDescent="0.2">
      <c r="A24" s="18" t="s">
        <v>316</v>
      </c>
      <c r="B24" s="19" t="s">
        <v>317</v>
      </c>
      <c r="C24" s="20" t="s">
        <v>314</v>
      </c>
      <c r="D24" s="41">
        <f>rO2_gen/60*R_gas*T_K/P_atm*1000000</f>
        <v>0.021998307021</v>
      </c>
      <c r="E24" s="74" t="s">
        <v>318</v>
      </c>
      <c r="F24" s="21"/>
      <c r="G24" s="21"/>
      <c r="H24" s="21"/>
      <c r="I24" s="21"/>
    </row>
    <row r="25" spans="1:9" ht="24" customHeight="1" x14ac:dyDescent="0.2">
      <c r="A25" s="18" t="s">
        <v>319</v>
      </c>
      <c r="B25" s="19" t="s">
        <v>320</v>
      </c>
      <c r="C25" s="20" t="s">
        <v>314</v>
      </c>
      <c r="D25" s="41">
        <f>V_H2_gen+V_O2_gen</f>
        <v>0.064425506581</v>
      </c>
      <c r="E25" s="74" t="s">
        <v>321</v>
      </c>
      <c r="F25" s="21"/>
      <c r="G25" s="21"/>
      <c r="H25" s="21"/>
      <c r="I25" s="21"/>
    </row>
    <row r="26" spans="1:9" ht="48" x14ac:dyDescent="0.2">
      <c r="A26" s="18" t="s">
        <v>322</v>
      </c>
      <c r="B26" s="19" t="s">
        <v>323</v>
      </c>
      <c r="C26" s="20" t="s">
        <v>111</v>
      </c>
      <c r="D26" s="37">
        <f>IF(ISNUMBER(cal_etaF_OER),cal_etaF_OER,etaF_OER_calc)</f>
        <v>0.999705046585</v>
      </c>
      <c r="E26" s="51" t="s">
        <v>1862</v>
      </c>
      <c r="F26" s="21"/>
      <c r="G26" s="21"/>
      <c r="H26" s="21"/>
      <c r="I26" s="21"/>
    </row>
    <row r="27" spans="1:9" ht="24" customHeight="1" x14ac:dyDescent="0.2">
      <c r="A27" s="18" t="s">
        <v>1863</v>
      </c>
      <c r="B27" s="19" t="s">
        <v>324</v>
      </c>
      <c r="C27" s="20" t="s">
        <v>111</v>
      </c>
      <c r="D27" s="109">
        <f>VLOOKUP(electrode_sel,tbl_electrode,MATCH("z_e_ORR",tbl_electrode_hdr,0),FALSE)</f>
        <v>2.0</v>
      </c>
      <c r="E27" s="87" t="s">
        <v>1864</v>
      </c>
      <c r="F27" s="21"/>
      <c r="G27" s="21"/>
      <c r="H27" s="21"/>
      <c r="I27" s="21"/>
    </row>
    <row r="28" spans="1:9" ht="36" x14ac:dyDescent="0.2">
      <c r="A28" s="18" t="s">
        <v>325</v>
      </c>
      <c r="B28" s="19" t="s">
        <v>326</v>
      </c>
      <c r="C28" s="20" t="s">
        <v>307</v>
      </c>
      <c r="D28" s="41">
        <f>I_app*(1-etaF)/(n_ORR_eff*F_const)*3600</f>
        <v>2.063095590892e-06</v>
      </c>
      <c r="E28" s="74" t="s">
        <v>1865</v>
      </c>
      <c r="F28" s="21"/>
      <c r="G28" s="21"/>
      <c r="H28" s="21"/>
      <c r="I28" s="21"/>
    </row>
    <row r="29" spans="1:9" ht="24" x14ac:dyDescent="0.2">
      <c r="A29" s="18" t="s">
        <v>327</v>
      </c>
      <c r="B29" s="19" t="s">
        <v>328</v>
      </c>
      <c r="C29" s="20" t="s">
        <v>307</v>
      </c>
      <c r="D29" s="41">
        <f>rO2_gen-O2_cathode_ORR+O2_H2O2_ret_g</f>
        <v>5.102798409848e-05</v>
      </c>
      <c r="E29" s="74" t="inlineStr">
        <is>
          <t xml:space="preserve">Anodic O₂ minus cathodic consumption at the design DO (D85), plus the O₂ returned by peroxide oxidation at the anode (D171) — the O₂ the dissolved pool receives in growth. The lag phase uses O2_net_lag (D132).</t>
        </is>
      </c>
      <c r="F29" s="21"/>
      <c r="G29" s="21"/>
      <c r="H29" s="21"/>
      <c r="I29" s="21"/>
    </row>
    <row r="30" spans="1:9" x14ac:dyDescent="0.2">
      <c r="A30" s="75" t="s">
        <v>1867</v>
      </c>
      <c r="B30" s="21"/>
      <c r="C30" s="21"/>
      <c r="D30" s="21"/>
      <c r="E30" s="21"/>
      <c r="F30" s="21"/>
      <c r="G30" s="21"/>
      <c r="H30" s="21"/>
      <c r="I30" s="21"/>
    </row>
    <row r="31" spans="1:9" x14ac:dyDescent="0.2">
      <c r="A31" s="21" t="s">
        <v>329</v>
      </c>
      <c r="B31" s="21" t="s">
        <v>330</v>
      </c>
      <c r="C31" s="21"/>
      <c r="D31" s="25" t="str">
        <f>VLOOKUP(electrode_sel,tbl_electrode,MATCH("sparger",tbl_electrode_hdr,0),FALSE)</f>
        <v>Sintered</v>
      </c>
      <c r="E31" s="51" t="inlineStr">
        <is>
          <t xml:space="preserve">Sparger type of the selected electrode assembly, looked up in the electrode table (tbl_electrode).</t>
        </is>
      </c>
      <c r="F31" s="21"/>
      <c r="G31" s="21"/>
      <c r="H31" s="21"/>
      <c r="I31" s="21"/>
    </row>
    <row r="32" spans="1:9" x14ac:dyDescent="0.2">
      <c r="A32" s="21" t="s">
        <v>331</v>
      </c>
      <c r="B32" s="21" t="s">
        <v>332</v>
      </c>
      <c r="C32" s="21"/>
      <c r="D32" s="25">
        <f>IF(ISNUMBER(cal_sinter),cal_sinter,IF(ISNUMBER(VLOOKUP(electrode_sel,tbl_electrode,MATCH("sinter porosity",tbl_electrode_hdr,0),FALSE)),VLOOKUP(electrode_sel,tbl_electrode,MATCH("sinter porosity",tbl_electrode_hdr,0),FALSE),0))</f>
        <v>0.0</v>
      </c>
      <c r="E32" s="117" t="s">
        <v>333</v>
      </c>
      <c r="F32" s="21"/>
      <c r="G32" s="21"/>
      <c r="H32" s="46"/>
      <c r="I32" s="21"/>
    </row>
    <row r="33" spans="1:14" x14ac:dyDescent="0.2">
      <c r="A33" s="77" t="s">
        <v>334</v>
      </c>
      <c r="B33" s="21"/>
      <c r="C33" s="21"/>
      <c r="D33" s="21"/>
      <c r="E33" s="21"/>
      <c r="F33" s="21"/>
      <c r="G33" s="21"/>
      <c r="H33" s="21"/>
      <c r="I33" s="21"/>
    </row>
    <row r="34" spans="1:14" x14ac:dyDescent="0.2">
      <c r="A34" s="77" t="s">
        <v>29</v>
      </c>
      <c r="B34" s="77" t="s">
        <v>335</v>
      </c>
      <c r="C34" s="77" t="s">
        <v>336</v>
      </c>
      <c r="D34" s="77" t="s">
        <v>337</v>
      </c>
      <c r="E34" s="77" t="s">
        <v>338</v>
      </c>
      <c r="F34" s="77" t="s">
        <v>339</v>
      </c>
      <c r="G34" s="77" t="s">
        <v>340</v>
      </c>
      <c r="H34" s="77" t="s">
        <v>297</v>
      </c>
      <c r="I34" s="77" t="s">
        <v>324</v>
      </c>
      <c r="J34" s="77" t="s">
        <v>1160</v>
      </c>
      <c r="K34" s="77" t="s">
        <v>1161</v>
      </c>
      <c r="L34" s="77" t="s">
        <v>1162</v>
      </c>
      <c r="M34" s="77" t="s">
        <v>1163</v>
      </c>
      <c r="N34" s="77" t="s">
        <v>1164</v>
      </c>
    </row>
    <row r="35" spans="1:14" x14ac:dyDescent="0.2">
      <c r="A35" s="21" t="s">
        <v>341</v>
      </c>
      <c r="B35" s="21" t="s">
        <v>342</v>
      </c>
      <c r="C35" s="155">
        <v>6</v>
      </c>
      <c r="D35" s="21" t="s">
        <v>343</v>
      </c>
      <c r="E35" s="21" t="s">
        <v>344</v>
      </c>
      <c r="F35" s="21" t="s">
        <v>345</v>
      </c>
      <c r="G35" s="155">
        <v>6</v>
      </c>
      <c r="H35" s="46" t="s">
        <v>346</v>
      </c>
      <c r="I35" s="155">
        <v>2</v>
      </c>
      <c r="J35" s="21" t="s">
        <v>1165</v>
      </c>
      <c r="K35" s="155">
        <v>100</v>
      </c>
      <c r="L35" s="155">
        <v>500</v>
      </c>
      <c r="M35" s="21" t="s">
        <v>1165</v>
      </c>
      <c r="N35" s="21" t="s">
        <v>1166</v>
      </c>
    </row>
    <row r="36" spans="1:14" x14ac:dyDescent="0.2">
      <c r="A36" s="21" t="s">
        <v>347</v>
      </c>
      <c r="B36" s="21" t="s">
        <v>348</v>
      </c>
      <c r="C36" s="155">
        <v>6</v>
      </c>
      <c r="D36" s="21" t="s">
        <v>343</v>
      </c>
      <c r="E36" s="21" t="s">
        <v>344</v>
      </c>
      <c r="F36" s="21" t="s">
        <v>345</v>
      </c>
      <c r="G36" s="155">
        <v>6</v>
      </c>
      <c r="H36" s="46" t="s">
        <v>346</v>
      </c>
      <c r="I36" s="155">
        <v>2</v>
      </c>
      <c r="J36" s="21" t="s">
        <v>1165</v>
      </c>
      <c r="K36" s="155">
        <v>50</v>
      </c>
      <c r="L36" s="155">
        <v>500</v>
      </c>
      <c r="M36" s="21" t="s">
        <v>1165</v>
      </c>
      <c r="N36" s="21" t="s">
        <v>1167</v>
      </c>
    </row>
    <row r="37" spans="1:14" x14ac:dyDescent="0.2">
      <c r="A37" s="21" t="s">
        <v>31</v>
      </c>
      <c r="B37" s="21" t="s">
        <v>348</v>
      </c>
      <c r="C37" s="155">
        <v>6</v>
      </c>
      <c r="D37" s="21" t="s">
        <v>349</v>
      </c>
      <c r="E37" s="156">
        <v>0</v>
      </c>
      <c r="F37" s="21" t="s">
        <v>345</v>
      </c>
      <c r="G37" s="155">
        <v>6</v>
      </c>
      <c r="H37" s="46" t="s">
        <v>346</v>
      </c>
      <c r="I37" s="155">
        <v>2</v>
      </c>
      <c r="J37" s="21" t="s">
        <v>1168</v>
      </c>
      <c r="K37" s="155">
        <v>10</v>
      </c>
      <c r="L37" s="155">
        <v>60</v>
      </c>
      <c r="M37" s="21" t="s">
        <v>1165</v>
      </c>
      <c r="N37" s="21" t="s">
        <v>1169</v>
      </c>
    </row>
    <row r="38" spans="1:14" x14ac:dyDescent="0.2">
      <c r="A38" s="21" t="s">
        <v>1170</v>
      </c>
      <c r="B38" s="21" t="s">
        <v>1171</v>
      </c>
      <c r="C38" s="155">
        <v>6</v>
      </c>
      <c r="D38" s="21" t="s">
        <v>343</v>
      </c>
      <c r="E38" s="21" t="s">
        <v>344</v>
      </c>
      <c r="F38" s="21" t="s">
        <v>345</v>
      </c>
      <c r="G38" s="155">
        <v>6</v>
      </c>
      <c r="H38" s="46" t="s">
        <v>346</v>
      </c>
      <c r="I38" s="155">
        <v>2</v>
      </c>
      <c r="J38" s="21" t="s">
        <v>1165</v>
      </c>
      <c r="K38" s="155">
        <v>35</v>
      </c>
      <c r="L38" s="155">
        <v>50</v>
      </c>
      <c r="M38" s="21" t="s">
        <v>1165</v>
      </c>
      <c r="N38" s="21" t="s">
        <v>1172</v>
      </c>
    </row>
    <row r="39" spans="1:14" x14ac:dyDescent="0.2">
      <c r="A39" s="21"/>
      <c r="B39" s="21"/>
      <c r="C39" s="21"/>
      <c r="D39" s="25"/>
      <c r="E39" s="21"/>
      <c r="F39" s="21"/>
      <c r="G39" s="21"/>
      <c r="H39" s="21"/>
      <c r="I39" s="21"/>
    </row>
    <row r="40" spans="1:14" ht="16" x14ac:dyDescent="0.2">
      <c r="A40" s="78" t="s">
        <v>1173</v>
      </c>
    </row>
    <row r="41" spans="1:14" x14ac:dyDescent="0.2">
      <c r="A41" s="18" t="s">
        <v>1174</v>
      </c>
      <c r="B41" s="19" t="s">
        <v>1175</v>
      </c>
      <c r="C41" s="20" t="s">
        <v>111</v>
      </c>
      <c r="D41" s="41" t="str">
        <f>VLOOKUP(electrode_sel,tbl_electrode,MATCH("anode shape",tbl_electrode_hdr,0),FALSE)</f>
        <v>tube</v>
      </c>
      <c r="E41" s="74" t="s">
        <v>1176</v>
      </c>
    </row>
    <row r="42" spans="1:14" x14ac:dyDescent="0.2">
      <c r="A42" s="18" t="s">
        <v>1177</v>
      </c>
      <c r="B42" s="19" t="s">
        <v>1178</v>
      </c>
      <c r="C42" s="20" t="s">
        <v>115</v>
      </c>
      <c r="D42" s="41">
        <f>VLOOKUP(electrode_sel,tbl_electrode,MATCH("anode dia (mm)",tbl_electrode_hdr,0),FALSE)</f>
        <v>6.0</v>
      </c>
      <c r="E42" s="74" t="s">
        <v>1179</v>
      </c>
    </row>
    <row r="43" spans="1:14" x14ac:dyDescent="0.2">
      <c r="A43" s="18" t="s">
        <v>1180</v>
      </c>
      <c r="B43" s="19" t="s">
        <v>1181</v>
      </c>
      <c r="C43" s="20" t="s">
        <v>111</v>
      </c>
      <c r="D43" s="41" t="str">
        <f>VLOOKUP(electrode_sel,tbl_electrode,MATCH("cathode shape",tbl_electrode_hdr,0),FALSE)</f>
        <v>rod</v>
      </c>
      <c r="E43" s="74" t="s">
        <v>1182</v>
      </c>
    </row>
    <row r="44" spans="1:14" x14ac:dyDescent="0.2">
      <c r="A44" s="18" t="s">
        <v>1183</v>
      </c>
      <c r="B44" s="19" t="s">
        <v>1184</v>
      </c>
      <c r="C44" s="20" t="s">
        <v>115</v>
      </c>
      <c r="D44" s="41">
        <f>VLOOKUP(electrode_sel,tbl_electrode,MATCH("cathode dia (mm)",tbl_electrode_hdr,0),FALSE)</f>
        <v>6.0</v>
      </c>
      <c r="E44" s="74" t="s">
        <v>1179</v>
      </c>
    </row>
    <row r="45" spans="1:14" ht="36" x14ac:dyDescent="0.2">
      <c r="A45" s="18" t="s">
        <v>1185</v>
      </c>
      <c r="B45" s="19" t="s">
        <v>1186</v>
      </c>
      <c r="C45" s="20" t="s">
        <v>115</v>
      </c>
      <c r="D45" s="41">
        <f>Geometry!elec_sub_L_act</f>
        <v>9.18130412738</v>
      </c>
      <c r="E45" s="74" t="s">
        <v>1868</v>
      </c>
    </row>
    <row r="46" spans="1:14" x14ac:dyDescent="0.2">
      <c r="A46" s="18" t="s">
        <v>973</v>
      </c>
      <c r="B46" s="19" t="s">
        <v>1187</v>
      </c>
      <c r="C46" s="20" t="s">
        <v>975</v>
      </c>
      <c r="D46" s="41">
        <f>(PI()*anode_dia*L_sub+IF(anode_shape="rod",PI()/4*anode_dia^2,0))/100</f>
        <v>1.730635055817</v>
      </c>
      <c r="E46" s="74" t="s">
        <v>1188</v>
      </c>
    </row>
    <row r="47" spans="1:14" x14ac:dyDescent="0.2">
      <c r="A47" s="18" t="s">
        <v>1189</v>
      </c>
      <c r="B47" s="19" t="s">
        <v>1190</v>
      </c>
      <c r="C47" s="20" t="s">
        <v>975</v>
      </c>
      <c r="D47" s="41">
        <f>(PI()*cathode_dia*L_sub+IF(cathode_shape="rod",PI()/4*cathode_dia^2,0))/100</f>
        <v>2.01337839464</v>
      </c>
      <c r="E47" s="74" t="s">
        <v>1191</v>
      </c>
    </row>
    <row r="48" spans="1:14" x14ac:dyDescent="0.2">
      <c r="A48" s="18" t="s">
        <v>1147</v>
      </c>
      <c r="B48" s="19" t="s">
        <v>1192</v>
      </c>
      <c r="C48" s="20" t="s">
        <v>1148</v>
      </c>
      <c r="D48" s="41">
        <f>I_app*1000/A_anode_wet</f>
        <v>3.287810437489</v>
      </c>
      <c r="E48" s="74" t="s">
        <v>1193</v>
      </c>
    </row>
    <row r="49" spans="1:5" x14ac:dyDescent="0.2">
      <c r="A49" s="18" t="s">
        <v>1194</v>
      </c>
      <c r="B49" s="19" t="s">
        <v>1195</v>
      </c>
      <c r="C49" s="20" t="s">
        <v>1148</v>
      </c>
      <c r="D49" s="41">
        <f>I_app*1000/A_cath_wet</f>
        <v>2.826095688296</v>
      </c>
      <c r="E49" s="74" t="s">
        <v>1196</v>
      </c>
    </row>
    <row r="50" spans="1:5" x14ac:dyDescent="0.2">
      <c r="A50" s="18" t="s">
        <v>1197</v>
      </c>
      <c r="B50" s="19" t="s">
        <v>1198</v>
      </c>
      <c r="C50" s="20" t="s">
        <v>1148</v>
      </c>
      <c r="D50" s="41">
        <f>VLOOKUP(electrode_sel,tbl_electrode,MATCH("anode j cont (mA/cm²)",tbl_electrode_hdr,0),FALSE)</f>
        <v>10.0</v>
      </c>
      <c r="E50" s="74" t="s">
        <v>1199</v>
      </c>
    </row>
    <row r="51" spans="1:5" x14ac:dyDescent="0.2">
      <c r="A51" s="18" t="s">
        <v>1200</v>
      </c>
      <c r="B51" s="19" t="s">
        <v>1201</v>
      </c>
      <c r="C51" s="20" t="s">
        <v>1148</v>
      </c>
      <c r="D51" s="41">
        <f>VLOOKUP(electrode_sel,tbl_electrode,MATCH("anode j max (mA/cm²)",tbl_electrode_hdr,0),FALSE)</f>
        <v>60.0</v>
      </c>
      <c r="E51" s="74" t="s">
        <v>1202</v>
      </c>
    </row>
    <row r="52" spans="1:5" x14ac:dyDescent="0.2">
      <c r="A52" s="18" t="s">
        <v>1203</v>
      </c>
      <c r="B52" s="19" t="s">
        <v>1204</v>
      </c>
      <c r="C52" s="20" t="s">
        <v>1148</v>
      </c>
      <c r="D52" s="116">
        <v>80</v>
      </c>
      <c r="E52" s="138" t="s">
        <v>1205</v>
      </c>
    </row>
    <row r="53" spans="1:5" x14ac:dyDescent="0.2">
      <c r="A53" s="18" t="s">
        <v>1206</v>
      </c>
      <c r="B53" s="19" t="s">
        <v>1207</v>
      </c>
      <c r="C53" s="20" t="s">
        <v>1148</v>
      </c>
      <c r="D53" s="116">
        <v>250</v>
      </c>
      <c r="E53" s="138" t="s">
        <v>1208</v>
      </c>
    </row>
    <row r="54" spans="1:5" x14ac:dyDescent="0.2">
      <c r="A54" s="18" t="s">
        <v>1209</v>
      </c>
      <c r="B54" s="19" t="s">
        <v>1210</v>
      </c>
      <c r="C54" s="20" t="s">
        <v>1148</v>
      </c>
      <c r="D54" s="116">
        <v>1</v>
      </c>
      <c r="E54" s="87" t="s">
        <v>1211</v>
      </c>
    </row>
    <row r="55" spans="1:5" x14ac:dyDescent="0.2">
      <c r="A55" s="18" t="s">
        <v>1212</v>
      </c>
      <c r="B55" s="19" t="s">
        <v>1213</v>
      </c>
      <c r="C55" s="20" t="s">
        <v>1148</v>
      </c>
      <c r="D55" s="116">
        <v>2</v>
      </c>
      <c r="E55" s="87" t="s">
        <v>1214</v>
      </c>
    </row>
    <row r="56" spans="1:5" x14ac:dyDescent="0.2">
      <c r="A56" s="18" t="s">
        <v>1215</v>
      </c>
      <c r="B56" s="19" t="s">
        <v>1216</v>
      </c>
      <c r="C56" s="20" t="s">
        <v>1148</v>
      </c>
      <c r="D56" s="41">
        <f>IF(ISNA(MATCH(organism_sel,OrganismList,0)),NA(),IF(ISNUMBER(cal_j_opt),cal_j_opt,IFERROR(VLOOKUP(organism_sel,tbl_strain,MATCH("j_opt",tbl_strain_hdr,0),FALSE),j_opt_default)))</f>
        <v>2.0</v>
      </c>
      <c r="E56" s="74" t="s">
        <v>1217</v>
      </c>
    </row>
    <row r="57" spans="1:5" x14ac:dyDescent="0.2">
      <c r="A57" s="18" t="s">
        <v>1218</v>
      </c>
      <c r="B57" s="19" t="s">
        <v>1219</v>
      </c>
      <c r="C57" s="20" t="s">
        <v>1148</v>
      </c>
      <c r="D57" s="41">
        <f>IF(ISNA(MATCH(organism_sel,OrganismList,0)),NA(),IF(ISNUMBER(cal_j_ceiling),cal_j_ceiling,IFERROR(VLOOKUP(organism_sel,tbl_strain,MATCH("j_ceiling",tbl_strain_hdr,0),FALSE),j_ceiling_default)))</f>
        <v>4.0</v>
      </c>
      <c r="E57" s="74" t="s">
        <v>1220</v>
      </c>
    </row>
    <row r="58" spans="1:5" x14ac:dyDescent="0.2">
      <c r="A58" s="18" t="s">
        <v>1221</v>
      </c>
      <c r="B58" s="19" t="s">
        <v>1222</v>
      </c>
      <c r="C58" s="20" t="s">
        <v>111</v>
      </c>
      <c r="D58" s="41" t="str">
        <f>IFERROR(VLOOKUP(organism_sel,tbl_strain,MATCH("confidence",tbl_strain_hdr,0),FALSE),"unknown")</f>
        <v>low</v>
      </c>
      <c r="E58" s="74" t="s">
        <v>1223</v>
      </c>
    </row>
    <row r="59" spans="1:5" x14ac:dyDescent="0.2">
      <c r="A59" s="18" t="s">
        <v>1224</v>
      </c>
      <c r="B59" s="19" t="s">
        <v>1225</v>
      </c>
      <c r="C59" s="20" t="s">
        <v>111</v>
      </c>
      <c r="D59" s="41" t="str">
        <f>IF(j_anode&lt;=j_opt_strain,"OK - at/below optimum",IF(j_anode&lt;=j_ceiling_strain,"watch - above optimum","EXCEED - over strain ceiling"))</f>
        <v>watch - above optimum</v>
      </c>
      <c r="E59" s="74" t="s">
        <v>1226</v>
      </c>
    </row>
    <row r="60" spans="1:5" x14ac:dyDescent="0.2">
      <c r="A60" s="18" t="s">
        <v>1227</v>
      </c>
      <c r="B60" s="19" t="s">
        <v>1228</v>
      </c>
      <c r="C60" s="20" t="s">
        <v>111</v>
      </c>
      <c r="D60" s="41" t="str">
        <f>IF(j_anode&gt;anode_j_max,"EXCEED - over plating maximum",IF(OR(j_anode&gt;anode_j_cont,anode_material="Graphite"),IF(anode_material="Graphite","watch - graphite consumable in neutral O₂ (testing only)","watch - above continuous plating rating"),"OK - within plating rating"))</f>
        <v>OK - within plating rating</v>
      </c>
      <c r="E60" s="74" t="s">
        <v>1229</v>
      </c>
    </row>
    <row r="61" spans="1:5" x14ac:dyDescent="0.2">
      <c r="A61" s="18" t="s">
        <v>1230</v>
      </c>
      <c r="B61" s="19" t="s">
        <v>1231</v>
      </c>
      <c r="C61" s="20" t="s">
        <v>111</v>
      </c>
      <c r="D61" s="41" t="str">
        <f>IF(j_cathode&lt;=cath_j_cont,"OK - cathode within HER norm",IF(j_cathode&lt;=cath_j_max,"watch - high cathodic j","EXCEED - over SS HER norm"))</f>
        <v>OK - cathode within HER norm</v>
      </c>
      <c r="E61" s="74" t="s">
        <v>1232</v>
      </c>
    </row>
    <row r="62" spans="1:5" x14ac:dyDescent="0.2">
      <c r="A62" s="18" t="s">
        <v>1233</v>
      </c>
      <c r="B62" s="19" t="s">
        <v>1234</v>
      </c>
      <c r="C62" s="20" t="s">
        <v>111</v>
      </c>
      <c r="D62" s="41" t="str">
        <f>IF(OR(ISNUMBER(SEARCH("EXCEED",j_bio_flag)),ISNUMBER(SEARCH("EXCEED",j_mat_flag)),ISNUMBER(SEARCH("EXCEED",j_cath_flag))),"EXCEED - current density over a limit",IF(OR(ISNUMBER(SEARCH("watch",j_bio_flag)),ISNUMBER(SEARCH("watch",j_mat_flag)),ISNUMBER(SEARCH("watch",j_cath_flag))),"watch - above optimum current density","OK - current density in range"))</f>
        <v>watch - above optimum current density</v>
      </c>
      <c r="E62" s="74" t="s">
        <v>1235</v>
      </c>
    </row>
    <row r="63" spans="1:5" x14ac:dyDescent="0.2">
      <c r="A63" s="18" t="s">
        <v>1236</v>
      </c>
      <c r="B63" s="19" t="s">
        <v>1237</v>
      </c>
      <c r="C63" s="20" t="s">
        <v>111</v>
      </c>
      <c r="D63" s="41" t="str">
        <f>VLOOKUP(electrode_sel,tbl_electrode,MATCH("anode material",tbl_electrode_hdr,0),FALSE)</f>
        <v>MMO</v>
      </c>
      <c r="E63" s="74" t="s">
        <v>1238</v>
      </c>
    </row>
    <row r="64" spans="1:5" ht="16" x14ac:dyDescent="0.2">
      <c r="A64" s="78" t="s">
        <v>1239</v>
      </c>
    </row>
    <row r="65" spans="1:5" x14ac:dyDescent="0.2">
      <c r="A65" s="77" t="s">
        <v>1240</v>
      </c>
      <c r="B65" s="77" t="s">
        <v>1241</v>
      </c>
      <c r="C65" s="77" t="s">
        <v>1242</v>
      </c>
      <c r="D65" s="77" t="s">
        <v>1243</v>
      </c>
      <c r="E65" s="77" t="s">
        <v>466</v>
      </c>
    </row>
    <row r="66" spans="1:5" x14ac:dyDescent="0.2">
      <c r="A66" s="21" t="s">
        <v>34</v>
      </c>
      <c r="B66" s="155">
        <v>2</v>
      </c>
      <c r="C66" s="155">
        <v>4</v>
      </c>
      <c r="D66" s="21" t="s">
        <v>926</v>
      </c>
      <c r="E66" s="87" t="s">
        <v>1244</v>
      </c>
    </row>
    <row r="67" spans="1:5" x14ac:dyDescent="0.2">
      <c r="A67" s="21" t="s">
        <v>468</v>
      </c>
      <c r="B67" s="155">
        <v>2</v>
      </c>
      <c r="C67" s="155">
        <v>4</v>
      </c>
      <c r="D67" s="21" t="s">
        <v>926</v>
      </c>
      <c r="E67" s="87" t="s">
        <v>1245</v>
      </c>
    </row>
    <row r="68" spans="1:5" x14ac:dyDescent="0.2">
      <c r="A68" s="21" t="s">
        <v>470</v>
      </c>
      <c r="B68" s="155">
        <v>2</v>
      </c>
      <c r="C68" s="155">
        <v>4</v>
      </c>
      <c r="D68" s="21" t="s">
        <v>926</v>
      </c>
      <c r="E68" s="87" t="s">
        <v>1245</v>
      </c>
    </row>
    <row r="69" spans="1:5" x14ac:dyDescent="0.2">
      <c r="A69" s="21" t="s">
        <v>472</v>
      </c>
      <c r="B69" s="155">
        <v>2</v>
      </c>
      <c r="C69" s="155">
        <v>4</v>
      </c>
      <c r="D69" s="21" t="s">
        <v>926</v>
      </c>
      <c r="E69" s="87" t="s">
        <v>1245</v>
      </c>
    </row>
    <row r="70" spans="1:5" x14ac:dyDescent="0.2">
      <c r="A70" s="21" t="s">
        <v>473</v>
      </c>
      <c r="B70" s="155">
        <v>2</v>
      </c>
      <c r="C70" s="155">
        <v>4</v>
      </c>
      <c r="D70" s="21" t="s">
        <v>926</v>
      </c>
      <c r="E70" s="87" t="s">
        <v>1246</v>
      </c>
    </row>
    <row r="71" spans="1:5" x14ac:dyDescent="0.2">
      <c r="A71" s="21" t="s">
        <v>474</v>
      </c>
      <c r="B71" s="155">
        <v>2.14</v>
      </c>
      <c r="C71" s="155">
        <v>4.29</v>
      </c>
      <c r="D71" s="21" t="s">
        <v>923</v>
      </c>
      <c r="E71" s="138" t="s">
        <v>1247</v>
      </c>
    </row>
    <row r="72" spans="1:5" ht="16" x14ac:dyDescent="0.2">
      <c r="A72" s="78" t="s">
        <v>1248</v>
      </c>
    </row>
    <row r="73" spans="1:5" x14ac:dyDescent="0.2">
      <c r="A73" s="18" t="s">
        <v>1249</v>
      </c>
      <c r="B73" s="19" t="s">
        <v>1250</v>
      </c>
      <c r="C73" s="20" t="s">
        <v>40</v>
      </c>
      <c r="D73" s="116">
        <v>10</v>
      </c>
      <c r="E73" s="138" t="s">
        <v>1251</v>
      </c>
    </row>
    <row r="74" spans="1:5" x14ac:dyDescent="0.2">
      <c r="A74" s="18" t="s">
        <v>1154</v>
      </c>
      <c r="B74" s="19" t="s">
        <v>1252</v>
      </c>
      <c r="C74" s="20" t="s">
        <v>278</v>
      </c>
      <c r="D74" s="41">
        <f>gerrit_slope*power_max+gerrit_int</f>
        <v>12.9</v>
      </c>
      <c r="E74" s="74" t="s">
        <v>1253</v>
      </c>
    </row>
    <row r="75" spans="1:5" x14ac:dyDescent="0.2">
      <c r="A75" s="18" t="s">
        <v>1156</v>
      </c>
      <c r="B75" s="19" t="s">
        <v>1254</v>
      </c>
      <c r="C75" s="20" t="s">
        <v>1148</v>
      </c>
      <c r="D75" s="41">
        <f>I_max/A_anode_wet</f>
        <v>7.453911185169</v>
      </c>
      <c r="E75" s="74" t="s">
        <v>1157</v>
      </c>
    </row>
    <row r="76" spans="1:5" x14ac:dyDescent="0.2">
      <c r="A76" s="18" t="s">
        <v>1255</v>
      </c>
      <c r="B76" s="19" t="s">
        <v>1256</v>
      </c>
      <c r="C76" s="20" t="s">
        <v>111</v>
      </c>
      <c r="D76" s="41" t="str">
        <f>IF(OR(j_anode_max&gt;j_ceiling_strain,j_anode_max&gt;anode_j_max),"EXCEED - max current over a limit",IF(OR(j_anode_max&gt;j_opt_strain,j_anode_max&gt;anode_j_cont),"watch - max current above optimum","OK - max current in range"))</f>
        <v>EXCEED - max current over a limit</v>
      </c>
      <c r="E76" s="74" t="s">
        <v>1257</v>
      </c>
    </row>
    <row r="78" spans="1:5" x14ac:dyDescent="0.2">
      <c r="A78" s="6" t="s">
        <v>1869</v>
      </c>
    </row>
    <row r="79" spans="1:5" x14ac:dyDescent="0.2">
      <c r="B79" s="19"/>
      <c r="C79" s="20"/>
      <c r="D79" s="111"/>
      <c r="E79" s="51"/>
    </row>
    <row r="80" spans="1:5" x14ac:dyDescent="0.2">
      <c r="A80" t="s">
        <v>1471</v>
      </c>
      <c r="B80" s="19" t="s">
        <v>1472</v>
      </c>
      <c r="C80" s="20" t="s">
        <v>909</v>
      </c>
      <c r="D80" s="111">
        <f>Biology!O2_ceil_C</f>
        <v>0.314742903798</v>
      </c>
      <c r="E80" s="51" t="s">
        <v>1473</v>
      </c>
    </row>
    <row r="81" spans="1:5" x14ac:dyDescent="0.2">
      <c r="A81" t="s">
        <v>1474</v>
      </c>
      <c r="B81" s="19" t="s">
        <v>1475</v>
      </c>
      <c r="C81" s="20" t="s">
        <v>515</v>
      </c>
      <c r="D81" s="111">
        <f>'Mass Transfer'!D_O2</f>
        <v>2.249544435762e-09</v>
      </c>
      <c r="E81" s="51" t="s">
        <v>1476</v>
      </c>
    </row>
    <row r="82" spans="1:5" x14ac:dyDescent="0.2">
      <c r="A82" t="s">
        <v>1870</v>
      </c>
      <c r="B82" s="19" t="s">
        <v>1477</v>
      </c>
      <c r="C82" s="20" t="s">
        <v>772</v>
      </c>
      <c r="D82" s="111">
        <f>V_charge/1000</f>
        <v>0.015</v>
      </c>
      <c r="E82" s="51" t="s">
        <v>1871</v>
      </c>
    </row>
    <row r="83" spans="1:5" ht="60" x14ac:dyDescent="0.2">
      <c r="A83" t="s">
        <v>1478</v>
      </c>
      <c r="B83" s="19" t="s">
        <v>1479</v>
      </c>
      <c r="C83" s="20" t="s">
        <v>972</v>
      </c>
      <c r="D83" s="111">
        <f>IF(ISNUMBER(cal_km_O2),cal_km_O2,km_O2_default)</f>
        <v>0.004</v>
      </c>
      <c r="E83" s="57" t="inlineStr">
        <is>
          <t xml:space="preserve">The measured value from the Calibrations tab (electrode mass-transfer section: ferricyanide limiting current scaled to O₂) when a run for this reactor at the Summary rpm and temperature is included; otherwise the swirl-velocity estimate km_O2_default (D165).</t>
        </is>
      </c>
    </row>
    <row r="84" spans="1:5" ht="24" x14ac:dyDescent="0.2">
      <c r="A84" t="s">
        <v>1481</v>
      </c>
      <c r="B84" s="19" t="s">
        <v>1482</v>
      </c>
      <c r="C84" s="20" t="s">
        <v>1140</v>
      </c>
      <c r="D84" s="116">
        <v>0.64400000000000002</v>
      </c>
      <c r="E84" s="74" t="s">
        <v>1483</v>
      </c>
    </row>
    <row r="85" spans="1:5" ht="60" x14ac:dyDescent="0.2">
      <c r="A85" t="s">
        <v>1872</v>
      </c>
      <c r="B85" s="19" t="s">
        <v>1484</v>
      </c>
      <c r="C85" s="20" t="s">
        <v>909</v>
      </c>
      <c r="D85" s="111">
        <f>'Mass Transfer'!DO_target</f>
        <v>0.071159265207</v>
      </c>
      <c r="E85" s="51" t="s">
        <v>1873</v>
      </c>
    </row>
    <row r="86" spans="1:5" ht="48" x14ac:dyDescent="0.2">
      <c r="A86" t="s">
        <v>1485</v>
      </c>
      <c r="B86" s="19" t="s">
        <v>1486</v>
      </c>
      <c r="C86" s="20" t="s">
        <v>978</v>
      </c>
      <c r="D86" s="111">
        <f>n_ORR_eff*F_const*(km_O2/100)*ec_DO_design*(A_cath_wet/10000)</f>
        <v>0.0002045878650403</v>
      </c>
      <c r="E86" s="51" t="s">
        <v>1874</v>
      </c>
    </row>
    <row r="87" spans="1:5" x14ac:dyDescent="0.2">
      <c r="A87" t="s">
        <v>1487</v>
      </c>
      <c r="B87" s="19" t="s">
        <v>1488</v>
      </c>
      <c r="C87" s="20" t="s">
        <v>978</v>
      </c>
      <c r="D87" s="111">
        <f>n_ORR_eff*F_const*(km_O2/100)*ec_O2_ceil*(A_cath_wet/10000)</f>
        <v>0.0009049078646015</v>
      </c>
      <c r="E87" s="51" t="s">
        <v>1489</v>
      </c>
    </row>
    <row r="88" spans="1:5" ht="24" x14ac:dyDescent="0.2">
      <c r="A88" t="s">
        <v>1490</v>
      </c>
      <c r="B88" s="19" t="s">
        <v>1491</v>
      </c>
      <c r="C88" s="20" t="s">
        <v>1140</v>
      </c>
      <c r="D88" s="111">
        <f>MAX(0,1-i_ORR_design/I_app)</f>
        <v>0.964044311944</v>
      </c>
      <c r="E88" s="51" t="s">
        <v>1875</v>
      </c>
    </row>
    <row r="89" spans="1:5" x14ac:dyDescent="0.2">
      <c r="A89" t="s">
        <v>1492</v>
      </c>
      <c r="B89" s="19" t="s">
        <v>1493</v>
      </c>
      <c r="C89" s="20" t="s">
        <v>1140</v>
      </c>
      <c r="D89" s="111">
        <f>MAX(0,1-i_ORR_ceiling/I_app)</f>
        <v>0.840965225905</v>
      </c>
      <c r="E89" s="51" t="s">
        <v>1494</v>
      </c>
    </row>
    <row r="90" spans="1:5" x14ac:dyDescent="0.2">
      <c r="A90" s="6" t="s">
        <v>1495</v>
      </c>
    </row>
    <row r="91" spans="1:5" ht="48" x14ac:dyDescent="0.2">
      <c r="A91" t="s">
        <v>1496</v>
      </c>
      <c r="B91" s="19" t="s">
        <v>1497</v>
      </c>
      <c r="C91" s="20" t="s">
        <v>1140</v>
      </c>
      <c r="D91" s="130">
        <v>0.15</v>
      </c>
      <c r="E91" s="57" t="s">
        <v>1498</v>
      </c>
    </row>
    <row r="92" spans="1:5" x14ac:dyDescent="0.2">
      <c r="A92" t="s">
        <v>1499</v>
      </c>
      <c r="B92" s="19" t="s">
        <v>1500</v>
      </c>
      <c r="C92" s="20" t="s">
        <v>1124</v>
      </c>
      <c r="D92" s="116">
        <v>34.014699999999998</v>
      </c>
      <c r="E92" s="74" t="s">
        <v>1501</v>
      </c>
    </row>
    <row r="93" spans="1:5" ht="24" x14ac:dyDescent="0.2">
      <c r="A93" t="s">
        <v>1502</v>
      </c>
      <c r="B93" s="19" t="s">
        <v>1503</v>
      </c>
      <c r="C93" s="20" t="s">
        <v>1132</v>
      </c>
      <c r="D93" s="111">
        <f>f_HOOH*I_app*(1-etaF)/(n_ORR_eff*F_const)*M_H2O2*1000*3600/ec_V_L</f>
        <v>0.701755775955</v>
      </c>
      <c r="E93" s="51" t="s">
        <v>1876</v>
      </c>
    </row>
    <row r="94" spans="1:5" ht="48" x14ac:dyDescent="0.2">
      <c r="A94" t="s">
        <v>1504</v>
      </c>
      <c r="B94" s="19" t="s">
        <v>1505</v>
      </c>
      <c r="C94" s="20" t="s">
        <v>577</v>
      </c>
      <c r="D94" s="130">
        <v>4.1000000000000003E-3</v>
      </c>
      <c r="E94" s="57" t="s">
        <v>1506</v>
      </c>
    </row>
    <row r="95" spans="1:5" ht="48" x14ac:dyDescent="0.2">
      <c r="A95" t="s">
        <v>1507</v>
      </c>
      <c r="B95" s="19" t="s">
        <v>1508</v>
      </c>
      <c r="C95" s="20" t="s">
        <v>1136</v>
      </c>
      <c r="D95" s="111">
        <f>r_H2O2/(k_cat_cells*3600)</f>
        <v>0.047544429265</v>
      </c>
      <c r="E95" s="51" t="s">
        <v>1509</v>
      </c>
    </row>
    <row r="96" spans="1:5" ht="24" x14ac:dyDescent="0.2">
      <c r="A96" t="s">
        <v>1510</v>
      </c>
      <c r="B96" s="19" t="s">
        <v>1511</v>
      </c>
      <c r="C96" s="20" t="s">
        <v>1136</v>
      </c>
      <c r="D96" s="111">
        <f>r_H2O2_lag/(k_H2O2_anode*3600)*(1-EXP(-k_H2O2_anode*3600))</f>
        <v>0.840809324217</v>
      </c>
      <c r="E96" s="51" t="s">
        <v>1877</v>
      </c>
    </row>
    <row r="97" spans="1:5" ht="60" x14ac:dyDescent="0.2">
      <c r="A97" t="s">
        <v>1512</v>
      </c>
      <c r="B97" s="19" t="s">
        <v>1513</v>
      </c>
      <c r="C97" s="20" t="s">
        <v>1136</v>
      </c>
      <c r="D97" s="116">
        <v>0.17</v>
      </c>
      <c r="E97" s="51" t="s">
        <v>1514</v>
      </c>
    </row>
    <row r="98" spans="1:5" ht="24" x14ac:dyDescent="0.2">
      <c r="A98" t="s">
        <v>1515</v>
      </c>
      <c r="B98" s="19" t="s">
        <v>1516</v>
      </c>
      <c r="C98" s="20" t="s">
        <v>873</v>
      </c>
      <c r="D98" s="111">
        <f>IF(r_H2O2_lag&gt;0,IF(1-H2O2_thresh*k_H2O2_anode*3600/r_H2O2_lag&gt;0,-LN(1-H2O2_thresh*k_H2O2_anode*3600/r_H2O2_lag)/k_H2O2_anode/60,NA()),NA())</f>
        <v>6.460189095256</v>
      </c>
      <c r="E98" s="51" t="s">
        <v>1878</v>
      </c>
    </row>
    <row r="99" spans="1:5" ht="48" x14ac:dyDescent="0.2">
      <c r="A99" t="s">
        <v>1517</v>
      </c>
      <c r="B99" s="19" t="s">
        <v>1518</v>
      </c>
      <c r="C99" s="20" t="s">
        <v>1140</v>
      </c>
      <c r="D99" s="111" t="str">
        <f>IF(H2O2_ss&gt;H2O2_thresh,"PEROXIDE ABOVE THE GROWTH-INHIBITION THRESHOLD even with a full catalase pool ("&amp;TEXT(H2O2_ss,"0.00")&amp;" mg/L)",IF(ISNUMBER(t_H2O2_thresh),"watch — steady growth is clear ("&amp;TEXT(H2O2_ss,"0.000")&amp;" mg/L) but LAG PHASE is not: peroxide passes the threshold in "&amp;TEXT(t_H2O2_thresh,"0")&amp;" min ("&amp;TEXT(H2O2_lag_1h,"0.00")&amp;" mg/L after 1 h) before biomass can scavenge it","OK — peroxide stays below the growth-inhibition threshold in both phases, including the lag plateau"))</f>
        <v>watch — steady growth is clear (0.048 mg/L) but LAG PHASE is not: peroxide passes the threshold in 6 min (0.84 mg/L after 1 h) before biomass can scavenge it</v>
      </c>
      <c r="E99" s="51" t="inlineStr">
        <is>
          <t xml:space="preserve">Steady growth against the threshold first; then lag, judged on whether the lag plateau ever reaches the threshold (D98 is finite), not on the 1-hour level alone, which is quoted beside the crossing time.</t>
        </is>
      </c>
    </row>
    <row r="100" spans="1:5" x14ac:dyDescent="0.2">
      <c r="A100" s="6" t="s">
        <v>1520</v>
      </c>
    </row>
    <row r="101" spans="1:5" x14ac:dyDescent="0.2">
      <c r="A101" t="s">
        <v>1521</v>
      </c>
      <c r="B101" s="19" t="s">
        <v>1522</v>
      </c>
      <c r="C101" s="20" t="s">
        <v>978</v>
      </c>
      <c r="D101" s="111">
        <f>Chemistry!I_Cl</f>
        <v>0.0</v>
      </c>
      <c r="E101" s="51" t="s">
        <v>1523</v>
      </c>
    </row>
    <row r="102" spans="1:5" x14ac:dyDescent="0.2">
      <c r="A102" t="s">
        <v>1524</v>
      </c>
      <c r="B102" s="19" t="s">
        <v>1525</v>
      </c>
      <c r="C102" s="20" t="s">
        <v>1140</v>
      </c>
      <c r="D102" s="111">
        <f>Chemistry!corr_I_frac</f>
        <v>0.0</v>
      </c>
      <c r="E102" s="54" t="s">
        <v>1526</v>
      </c>
    </row>
    <row r="103" spans="1:5" ht="36" x14ac:dyDescent="0.2">
      <c r="A103" t="s">
        <v>1527</v>
      </c>
      <c r="B103" s="19" t="s">
        <v>1528</v>
      </c>
      <c r="C103" s="20" t="s">
        <v>1140</v>
      </c>
      <c r="D103" s="111">
        <f>ec_I_Cl/I_app</f>
        <v>0.0</v>
      </c>
      <c r="E103" s="51" t="s">
        <v>1879</v>
      </c>
    </row>
    <row r="104" spans="1:5" ht="36" x14ac:dyDescent="0.2">
      <c r="A104" t="s">
        <v>1529</v>
      </c>
      <c r="B104" s="19" t="s">
        <v>1530</v>
      </c>
      <c r="C104" s="20" t="s">
        <v>1140</v>
      </c>
      <c r="D104" s="111">
        <f>MAX(0,1-f_Cl_anode-IF(ISNUMBER(ec_corr_I),ec_corr_I,0)-IF(ISNUMBER(f_HOR_anode),f_HOR_anode,0)-f_H2O2_anode)</f>
        <v>0.999705046585</v>
      </c>
      <c r="E104" s="51" t="inlineStr">
        <is>
          <t xml:space="preserve">1 − chlorine share − metal-dissolution share − anodic H₂-oxidation share (f_HOR_anode, D145) − peroxide-oxidation share (D170). It remains an UPPER BOUND while the metal and H₂ charges are unmeasured: a corroding anode, or one oxidising crossed-over H₂ (ceiling D148), takes current that this cell still credits to oxygen.</t>
        </is>
      </c>
    </row>
    <row r="105" spans="1:5" x14ac:dyDescent="0.2">
      <c r="A105" s="6" t="s">
        <v>1531</v>
      </c>
    </row>
    <row r="106" spans="1:5" ht="24" x14ac:dyDescent="0.2">
      <c r="A106" t="s">
        <v>1532</v>
      </c>
      <c r="B106" s="19" t="s">
        <v>1533</v>
      </c>
      <c r="C106" s="20" t="s">
        <v>1445</v>
      </c>
      <c r="D106" s="111">
        <f>Chemistry!E0_OER</f>
        <v>1.229</v>
      </c>
      <c r="E106" s="74" t="s">
        <v>1534</v>
      </c>
    </row>
    <row r="107" spans="1:5" ht="48" x14ac:dyDescent="0.2">
      <c r="A107" t="s">
        <v>1535</v>
      </c>
      <c r="B107" s="19" t="s">
        <v>1536</v>
      </c>
      <c r="C107" s="20" t="s">
        <v>1537</v>
      </c>
      <c r="D107" s="130">
        <v>0.12</v>
      </c>
      <c r="E107" s="57" t="s">
        <v>1538</v>
      </c>
    </row>
    <row r="108" spans="1:5" ht="48" x14ac:dyDescent="0.2">
      <c r="A108" t="s">
        <v>1539</v>
      </c>
      <c r="B108" s="19" t="s">
        <v>1540</v>
      </c>
      <c r="C108" s="20" t="s">
        <v>1541</v>
      </c>
      <c r="D108" s="130">
        <v>1E-10</v>
      </c>
      <c r="E108" s="36" t="s">
        <v>1542</v>
      </c>
    </row>
    <row r="109" spans="1:5" ht="36" x14ac:dyDescent="0.2">
      <c r="A109" t="s">
        <v>1543</v>
      </c>
      <c r="B109" s="19" t="s">
        <v>1544</v>
      </c>
      <c r="C109" s="20" t="s">
        <v>1537</v>
      </c>
      <c r="D109" s="130">
        <v>0.14000000000000001</v>
      </c>
      <c r="E109" s="51" t="s">
        <v>1545</v>
      </c>
    </row>
    <row r="110" spans="1:5" ht="24" x14ac:dyDescent="0.2">
      <c r="A110" t="s">
        <v>1546</v>
      </c>
      <c r="B110" s="19" t="s">
        <v>1547</v>
      </c>
      <c r="C110" s="20" t="s">
        <v>1541</v>
      </c>
      <c r="D110" s="130">
        <v>1.5E-6</v>
      </c>
      <c r="E110" s="51" t="s">
        <v>1548</v>
      </c>
    </row>
    <row r="111" spans="1:5" x14ac:dyDescent="0.2">
      <c r="A111" t="s">
        <v>1549</v>
      </c>
      <c r="B111" s="19" t="s">
        <v>1550</v>
      </c>
      <c r="C111" s="20" t="s">
        <v>1445</v>
      </c>
      <c r="D111" s="111">
        <f>b_anode*LOG10(j_anode/1000/j0_anode)</f>
        <v>0.902028812381</v>
      </c>
      <c r="E111" s="51" t="s">
        <v>1551</v>
      </c>
    </row>
    <row r="112" spans="1:5" x14ac:dyDescent="0.2">
      <c r="A112" t="s">
        <v>1552</v>
      </c>
      <c r="B112" s="19" t="s">
        <v>1553</v>
      </c>
      <c r="C112" s="20" t="s">
        <v>1445</v>
      </c>
      <c r="D112" s="111">
        <f>b_cath*LOG10(j_cathode/1000/j0_cath)</f>
        <v>0.458513384477</v>
      </c>
      <c r="E112" s="51" t="s">
        <v>1554</v>
      </c>
    </row>
    <row r="113" spans="1:5" ht="72" x14ac:dyDescent="0.2">
      <c r="A113" t="s">
        <v>1555</v>
      </c>
      <c r="B113" s="19" t="s">
        <v>1556</v>
      </c>
      <c r="C113" s="20" t="s">
        <v>1445</v>
      </c>
      <c r="D113" s="130">
        <v>-0.15</v>
      </c>
      <c r="E113" s="57" t="s">
        <v>1881</v>
      </c>
    </row>
    <row r="114" spans="1:5" x14ac:dyDescent="0.2">
      <c r="A114" t="s">
        <v>1557</v>
      </c>
      <c r="B114" s="19" t="s">
        <v>1558</v>
      </c>
      <c r="C114" s="20" t="s">
        <v>1359</v>
      </c>
      <c r="D114" s="111">
        <f>Chemistry!kappa_med</f>
        <v>1.401288519775</v>
      </c>
      <c r="E114" s="51" t="s">
        <v>1559</v>
      </c>
    </row>
    <row r="115" spans="1:5" x14ac:dyDescent="0.2">
      <c r="A115" t="s">
        <v>1560</v>
      </c>
      <c r="B115" s="19" t="s">
        <v>1561</v>
      </c>
      <c r="C115" s="20" t="s">
        <v>115</v>
      </c>
      <c r="D115" s="111">
        <f>Geometry!elec_gap</f>
        <v>14.0</v>
      </c>
      <c r="E115" s="54" t="s">
        <v>1562</v>
      </c>
    </row>
    <row r="116" spans="1:5" ht="60" x14ac:dyDescent="0.2">
      <c r="A116" t="s">
        <v>1563</v>
      </c>
      <c r="B116" s="19" t="s">
        <v>1564</v>
      </c>
      <c r="C116" s="20" t="s">
        <v>1140</v>
      </c>
      <c r="D116" s="130">
        <v>1</v>
      </c>
      <c r="E116" s="157" t="str">
        <f>("Parallel-cylinder (2D) formula taken at face value. Lateral confinement by the 25 mm wall raises the resistance and current spreading through the ~22 mm of liquid below the rod tips lowers it; for "&amp;"rods with L/d ≈ 1.5 the two roughly cancel. Bounded above at ~")&amp;TEXT(k_geom*(1+(V_rail-V_at_gerrit_max)/(I_at_gerrit_max*R_cell)),"0.00")&amp;" by the current law holding linear to "&amp;TEXT(gerrit_check_pct,"0")&amp;" % on a "&amp;TEXT(V_rail,"0")&amp;" V rail (D143–D144); that leaves "&amp;TEXT(V_rail-V_at_gerrit_max,"0.00")&amp;" V of headroom there, against the ±0.12 V j₀ uncertainty (E108)."</f>
        <v>Parallel-cylinder (2D) formula taken at face value. Lateral confinement by the 25 mm wall raises the resistance and current spreading through the ~22 mm of liquid below the rod tips lowers it; for rods with L/d ≈ 1.5 the two roughly cancel. Bounded above at ~2.27 by the current law holding linear to 25 % on a 5 V rail (D143–D144); that leaves 1.33 V of headroom there, against the ±0.12 V j₀ uncertainty (E108).</v>
      </c>
    </row>
    <row r="117" spans="1:5" ht="24" x14ac:dyDescent="0.2">
      <c r="A117" t="s">
        <v>1565</v>
      </c>
      <c r="B117" s="19" t="s">
        <v>1566</v>
      </c>
      <c r="C117" s="20" t="s">
        <v>1567</v>
      </c>
      <c r="D117" s="111">
        <f>k_geom*ACOSH(ec_gap/anode_dia)/(PI()*ec_kappa*(L_sub/1000))</f>
        <v>36.888819569293</v>
      </c>
      <c r="E117" s="51" t="s">
        <v>1568</v>
      </c>
    </row>
    <row r="118" spans="1:5" ht="24" x14ac:dyDescent="0.2">
      <c r="A118" t="s">
        <v>1569</v>
      </c>
      <c r="B118" s="19" t="s">
        <v>1570</v>
      </c>
      <c r="C118" s="20" t="s">
        <v>1445</v>
      </c>
      <c r="D118" s="111">
        <f>I_app*R_cell</f>
        <v>0.209897383349</v>
      </c>
      <c r="E118" s="51" t="s">
        <v>1571</v>
      </c>
    </row>
    <row r="119" spans="1:5" ht="36" x14ac:dyDescent="0.2">
      <c r="A119" t="s">
        <v>1572</v>
      </c>
      <c r="B119" s="19" t="s">
        <v>1573</v>
      </c>
      <c r="C119" s="20" t="s">
        <v>1445</v>
      </c>
      <c r="D119" s="111">
        <f>ec_E_rev+eta_anode+eta_cath+pcet_credit_op+V_IR</f>
        <v>2.649439580207</v>
      </c>
      <c r="E119" s="51" t="s">
        <v>1574</v>
      </c>
    </row>
    <row r="120" spans="1:5" ht="24" x14ac:dyDescent="0.2">
      <c r="A120" t="s">
        <v>1575</v>
      </c>
      <c r="B120" s="19" t="s">
        <v>1576</v>
      </c>
      <c r="C120" s="20" t="s">
        <v>1445</v>
      </c>
      <c r="D120" s="116">
        <v>5</v>
      </c>
      <c r="E120" s="51" t="s">
        <v>1577</v>
      </c>
    </row>
    <row r="121" spans="1:5" x14ac:dyDescent="0.2">
      <c r="A121" t="s">
        <v>1578</v>
      </c>
      <c r="B121" s="19" t="s">
        <v>1579</v>
      </c>
      <c r="C121" s="20" t="s">
        <v>1445</v>
      </c>
      <c r="D121" s="111">
        <f>V_rail-V_cell_est</f>
        <v>2.350560419793</v>
      </c>
      <c r="E121" s="51" t="s">
        <v>1580</v>
      </c>
    </row>
    <row r="122" spans="1:5" ht="36" x14ac:dyDescent="0.2">
      <c r="A122" t="s">
        <v>1581</v>
      </c>
      <c r="B122" s="19" t="s">
        <v>1582</v>
      </c>
      <c r="C122" s="20" t="s">
        <v>1140</v>
      </c>
      <c r="D122" s="111" t="str">
        <f>IF(V_headroom&lt;0,"OVER RAIL — the drive cannot deliver this current; the linear current law will not hold",IF(V_headroom&lt;V_headroom_min,"watch — within "&amp;TEXT(V_headroom_min,"0")&amp;" V of the rail ("&amp;TEXT(V_cell_est,"0.00")&amp;" V of "&amp;TEXT(V_rail,"0")&amp;" V); expect the current law to bend","OK — "&amp;TEXT(V_cell_est,"0.00")&amp;" V estimated against a "&amp;TEXT(V_rail,"0")&amp;" V rail"))</f>
        <v>OK — 2.65 V estimated against a 5 V rail</v>
      </c>
      <c r="E122" s="158" t="str">
        <f>"Cross-check on the current law: it is validated linear to "&amp;TEXT(gerrit_check_pct,"0")&amp;" % (D166), so the budget evaluated there (V_at_gerrit_max, D143) must stay at or below V_rail; D144 tests it live (currently "&amp;TEXT(V_at_gerrit_max,"0.00")&amp;" V with k_geom = "&amp;TEXT(k_geom,"0.0#")&amp;")."</f>
        <v>Cross-check on the current law: it is validated linear to 25 % (D166), so the budget evaluated there (V_at_gerrit_max, D143) must stay at or below V_rail; D144 tests it live (currently 3.67 V with k_geom = 1.0).</v>
      </c>
    </row>
    <row r="124" spans="1:5" ht="16" x14ac:dyDescent="0.2">
      <c r="A124" s="78" t="s">
        <v>1882</v>
      </c>
    </row>
    <row r="125" spans="1:5" ht="26" x14ac:dyDescent="0.2">
      <c r="A125" s="18" t="s">
        <v>1883</v>
      </c>
      <c r="B125" s="19" t="s">
        <v>1884</v>
      </c>
      <c r="C125" s="20" t="s">
        <v>274</v>
      </c>
      <c r="D125" s="130">
        <v>1.03</v>
      </c>
      <c r="E125" s="82" t="s">
        <v>1885</v>
      </c>
    </row>
    <row r="126" spans="1:5" ht="26" x14ac:dyDescent="0.2">
      <c r="A126" s="18" t="s">
        <v>1886</v>
      </c>
      <c r="B126" s="19" t="s">
        <v>1887</v>
      </c>
      <c r="C126" s="20" t="s">
        <v>278</v>
      </c>
      <c r="D126" s="130">
        <v>2.6</v>
      </c>
      <c r="E126" s="82" t="s">
        <v>1885</v>
      </c>
    </row>
    <row r="127" spans="1:5" x14ac:dyDescent="0.2">
      <c r="A127" s="18" t="s">
        <v>1888</v>
      </c>
      <c r="B127" s="19" t="s">
        <v>1889</v>
      </c>
      <c r="C127" s="20" t="s">
        <v>1445</v>
      </c>
      <c r="D127" s="130">
        <v>1</v>
      </c>
      <c r="E127" s="87" t="s">
        <v>1890</v>
      </c>
    </row>
    <row r="128" spans="1:5" ht="16" x14ac:dyDescent="0.2">
      <c r="A128" s="78" t="s">
        <v>1891</v>
      </c>
    </row>
    <row r="129" spans="1:5" ht="48" x14ac:dyDescent="0.2">
      <c r="A129" t="s">
        <v>1892</v>
      </c>
      <c r="B129" s="19" t="s">
        <v>1893</v>
      </c>
      <c r="C129" s="20" t="s">
        <v>406</v>
      </c>
      <c r="D129" s="130">
        <v>0.174849986629</v>
      </c>
      <c r="E129" s="57" t="inlineStr">
        <is>
          <t xml:space="preserve">Input, not a link: set to the last lag-phase cycle-mean DO (D150 = Mass Transfer D135) and re-enter it when D134 says so. Linking it would close a loop (lag DO → lag O₂ source → lag DO, and through the schedule when it is sized on Lag). Same pattern as Chemistry pH_ref_DIC.</t>
        </is>
      </c>
    </row>
    <row r="130" spans="1:5" ht="24" x14ac:dyDescent="0.2">
      <c r="A130" t="s">
        <v>1895</v>
      </c>
      <c r="B130" s="19" t="s">
        <v>1896</v>
      </c>
      <c r="C130" s="20" t="s">
        <v>111</v>
      </c>
      <c r="D130" s="130">
        <v>0.05</v>
      </c>
      <c r="E130" s="52" t="s">
        <v>1897</v>
      </c>
    </row>
    <row r="131" spans="1:5" ht="24" x14ac:dyDescent="0.2">
      <c r="A131" t="s">
        <v>1898</v>
      </c>
      <c r="B131" s="19" t="s">
        <v>1899</v>
      </c>
      <c r="C131" s="20" t="s">
        <v>307</v>
      </c>
      <c r="D131" s="111">
        <f>MIN(I_app/(n_ORR_eff*F_const)*3600,IF(ISNUMBER(cal_etaF),(O2_cathode_ORR*DO_lag_ref/ec_DO_design),(i_ORR_design/(n_ORR_eff*F_const)*3600*DO_lag_ref/ec_DO_design)))</f>
        <v>5.0693642695e-06</v>
      </c>
      <c r="E131" s="57" t="s">
        <v>1900</v>
      </c>
    </row>
    <row r="132" spans="1:5" ht="24" x14ac:dyDescent="0.2">
      <c r="A132" t="s">
        <v>1901</v>
      </c>
      <c r="B132" s="19" t="s">
        <v>1902</v>
      </c>
      <c r="C132" s="20" t="s">
        <v>307</v>
      </c>
      <c r="D132" s="111">
        <f>rO2_gen-O2_ORR_lag+O2_H2O2_lag_adj</f>
        <v>4.838626296225e-05</v>
      </c>
      <c r="E132" s="57" t="inlineStr">
        <is>
          <t xml:space="preserve">Anodic O₂ less the cathodic loss at the lag DO, with the lag peroxide-oxidation correction (D172): the lag-phase O₂ source (Mass Transfer O2_src_l, D310; Biology flammability).</t>
        </is>
      </c>
    </row>
    <row r="133" spans="1:5" ht="24" x14ac:dyDescent="0.2">
      <c r="A133" t="s">
        <v>1904</v>
      </c>
      <c r="B133" s="19" t="s">
        <v>1905</v>
      </c>
      <c r="C133" s="20" t="s">
        <v>307</v>
      </c>
      <c r="D133" s="111">
        <f>MAX(0,I_app-O2_ORR_lag/3600*n_ORR_eff*F_const)/(z_e_H2*F_const)*3600</f>
        <v>9.67725259245e-05</v>
      </c>
      <c r="E133" s="57" t="s">
        <v>1906</v>
      </c>
    </row>
    <row r="134" spans="1:5" ht="24" x14ac:dyDescent="0.2">
      <c r="A134" t="s">
        <v>1907</v>
      </c>
      <c r="B134" s="19" t="s">
        <v>1908</v>
      </c>
      <c r="C134" s="20" t="s">
        <v>111</v>
      </c>
      <c r="D134" s="111" t="str">
        <f>IFERROR(IF(ABS(DO_lag_ref/ec_DO_lag-1)&gt;DO_lag_tol,"RE-ENTER DO_lag_ref (D129): the lag DO is now "&amp;TEXT(ec_DO_lag,"0.000")&amp;" mol/m³ ("&amp;TEXT(DO_lag_ref/ec_DO_lag-1,"+0%;-0%")&amp;" off)","OK – DO_lag_ref within "&amp;TEXT(DO_lag_tol,"0%")&amp;" of the lag DO ("&amp;TEXT(ec_DO_lag,"0.000")&amp;" mol/m³)"),"lag DO not available")</f>
        <v>OK – DO_lag_ref within 5% of the lag DO (0.176 mol/m³)</v>
      </c>
      <c r="E134" s="57" t="s">
        <v>1909</v>
      </c>
    </row>
    <row r="140" spans="1:5" ht="16" x14ac:dyDescent="0.2">
      <c r="A140" s="78" t="s">
        <v>1910</v>
      </c>
    </row>
    <row r="141" spans="1:5" ht="39" x14ac:dyDescent="0.2">
      <c r="A141" t="s">
        <v>1911</v>
      </c>
      <c r="B141" s="19" t="s">
        <v>1912</v>
      </c>
      <c r="C141" s="20" t="s">
        <v>1913</v>
      </c>
      <c r="D141" s="111">
        <f>z_e_ORR*f_HOOH+z_e_O2*(1-f_HOOH)</f>
        <v>3.7</v>
      </c>
      <c r="E141" s="87" t="s">
        <v>1914</v>
      </c>
    </row>
    <row r="142" spans="1:5" x14ac:dyDescent="0.2">
      <c r="A142" t="inlineStr">
        <is>
          <t xml:space="preserve">Current at the top of the validated band (D166)</t>
        </is>
      </c>
      <c r="B142" s="19" t="s">
        <v>1916</v>
      </c>
      <c r="C142" s="20" t="s">
        <v>300</v>
      </c>
      <c r="D142" s="111">
        <f>(gerrit_slope*gerrit_check_pct+gerrit_int)/1000</f>
        <v>0.02835</v>
      </c>
      <c r="E142" s="51" t="s">
        <v>1917</v>
      </c>
    </row>
    <row r="143" spans="1:5" ht="24" x14ac:dyDescent="0.2">
      <c r="A143" t="s">
        <v>1918</v>
      </c>
      <c r="B143" s="19" t="s">
        <v>1919</v>
      </c>
      <c r="C143" s="20" t="s">
        <v>1445</v>
      </c>
      <c r="D143" s="111">
        <f>ec_E_rev+b_anode*LOG10(I_at_gerrit_max/A_anode_wet/j0_anode)+b_cath*LOG10(I_at_gerrit_max/A_cath_wet/j0_cath)+pcet_credit_gmax+I_at_gerrit_max*R_cell</f>
        <v>3.666674838824</v>
      </c>
      <c r="E143" s="57" t="s">
        <v>1920</v>
      </c>
    </row>
    <row r="144" spans="1:5" ht="24" x14ac:dyDescent="0.2">
      <c r="A144" t="s">
        <v>1921</v>
      </c>
      <c r="B144" s="19" t="s">
        <v>1922</v>
      </c>
      <c r="C144" s="20" t="s">
        <v>111</v>
      </c>
      <c r="D144" s="111" t="str">
        <f>IF(V_at_gerrit_max&gt;V_rail,"INCONSISTENT — the budget needs "&amp;TEXT(V_at_gerrit_max,"0.00")&amp;" V at "&amp;TEXT(gerrit_check_pct,"0")&amp;" %, above the "&amp;TEXT(V_rail,"0")&amp;" V rail, where the current law in use is validated linear: R_cell (k_geom) or j₀ is too high","OK — "&amp;TEXT(V_at_gerrit_max,"0.00")&amp;" V at "&amp;TEXT(gerrit_check_pct,"0")&amp;" %, under the "&amp;TEXT(V_rail,"0")&amp;" V rail across the validated band")</f>
        <v>OK — 3.67 V at 25 %, under the 5 V rail across the validated band</v>
      </c>
      <c r="E144" s="51" t="s">
        <v>1923</v>
      </c>
    </row>
    <row r="145" spans="1:5" ht="36" x14ac:dyDescent="0.2">
      <c r="A145" t="s">
        <v>1924</v>
      </c>
      <c r="B145" s="19" t="s">
        <v>1925</v>
      </c>
      <c r="C145" s="20" t="s">
        <v>111</v>
      </c>
      <c r="D145" s="130"/>
      <c r="E145" s="54" t="s">
        <v>1926</v>
      </c>
    </row>
    <row r="146" spans="1:5" x14ac:dyDescent="0.2">
      <c r="A146" t="s">
        <v>1927</v>
      </c>
      <c r="B146" s="19" t="s">
        <v>1928</v>
      </c>
      <c r="C146" s="20" t="s">
        <v>406</v>
      </c>
      <c r="D146" s="111">
        <f>Biology!C_H2_sat</f>
        <v>0.768774121515</v>
      </c>
      <c r="E146" s="51" t="s">
        <v>1929</v>
      </c>
    </row>
    <row r="147" spans="1:5" ht="36" x14ac:dyDescent="0.2">
      <c r="A147" t="s">
        <v>1930</v>
      </c>
      <c r="B147" s="19" t="s">
        <v>1931</v>
      </c>
      <c r="C147" s="20" t="s">
        <v>300</v>
      </c>
      <c r="D147" s="111">
        <f>z_e_H2*F_const*(km_O2/100)*ec_C_H2_sat*(A_anode_wet/10000)</f>
        <v>0.001026964746</v>
      </c>
      <c r="E147" s="57" t="s">
        <v>1932</v>
      </c>
    </row>
    <row r="148" spans="1:5" x14ac:dyDescent="0.2">
      <c r="A148" t="s">
        <v>1933</v>
      </c>
      <c r="B148" s="19" t="s">
        <v>1934</v>
      </c>
      <c r="C148" s="20" t="s">
        <v>111</v>
      </c>
      <c r="D148" s="111">
        <f>i_HOR_lim/I_app</f>
        <v>0.180485895644</v>
      </c>
      <c r="E148" s="57" t="s">
        <v>1935</v>
      </c>
    </row>
    <row r="149" spans="1:5" ht="24" x14ac:dyDescent="0.2">
      <c r="A149" t="s">
        <v>1936</v>
      </c>
      <c r="B149" s="19" t="s">
        <v>1937</v>
      </c>
      <c r="C149" s="20" t="s">
        <v>307</v>
      </c>
      <c r="D149" s="111">
        <f>IF(ISNUMBER(f_HOR_anode),f_HOR_anode*I_app/(z_e_H2*F_const)*3600,0)</f>
        <v>0.0</v>
      </c>
      <c r="E149" s="51" t="s">
        <v>1938</v>
      </c>
    </row>
    <row r="150" spans="1:5" x14ac:dyDescent="0.2">
      <c r="A150" t="s">
        <v>1939</v>
      </c>
      <c r="B150" s="19" t="s">
        <v>1940</v>
      </c>
      <c r="C150" s="20" t="s">
        <v>406</v>
      </c>
      <c r="D150" s="111">
        <f>'Mass Transfer'!DO_ss_sawtooth_lag</f>
        <v>0.176285196499</v>
      </c>
      <c r="E150" s="51" t="s">
        <v>1941</v>
      </c>
    </row>
    <row r="151" spans="1:5" ht="36" x14ac:dyDescent="0.2">
      <c r="A151" t="s">
        <v>1942</v>
      </c>
      <c r="B151" s="19" t="s">
        <v>1943</v>
      </c>
      <c r="C151" s="20" t="s">
        <v>577</v>
      </c>
      <c r="D151" s="111">
        <f>(km_O2/100)*(A_anode_wet/10000)/(ec_V_L/1000)</f>
        <v>0.0004615026815512</v>
      </c>
      <c r="E151" s="57" t="s">
        <v>1944</v>
      </c>
    </row>
    <row r="152" spans="1:5" ht="36" x14ac:dyDescent="0.2">
      <c r="A152" t="s">
        <v>1945</v>
      </c>
      <c r="B152" s="19" t="s">
        <v>1946</v>
      </c>
      <c r="C152" s="20" t="s">
        <v>870</v>
      </c>
      <c r="D152" s="111">
        <f>f_HOOH*O2_ORR_lag*M_H2O2*1000/ec_V_L</f>
        <v>1.724329048178</v>
      </c>
      <c r="E152" s="57" t="inlineStr">
        <is>
          <t xml:space="preserve">Peroxide is f_HOOH times the same capped lag ORR oxygen flux used by the H2/O2 budgets (D131). No separate uncapped scaling by the solved lag DO.</t>
        </is>
      </c>
    </row>
    <row r="153" spans="1:5" x14ac:dyDescent="0.2">
      <c r="A153" t="s">
        <v>1948</v>
      </c>
      <c r="B153" s="19" t="s">
        <v>183</v>
      </c>
      <c r="C153" s="20" t="s">
        <v>52</v>
      </c>
      <c r="D153" s="111">
        <f>Biology!V_charge</f>
        <v>15.0</v>
      </c>
      <c r="E153" s="51" t="s">
        <v>1949</v>
      </c>
    </row>
    <row r="154" spans="1:5" x14ac:dyDescent="0.2">
      <c r="A154" t="s">
        <v>1950</v>
      </c>
      <c r="B154" s="19" t="s">
        <v>33</v>
      </c>
      <c r="C154" s="20" t="s">
        <v>111</v>
      </c>
      <c r="D154" s="111" t="str">
        <f>Summary!organism_sel</f>
        <v>Xanthobacter tagetidis</v>
      </c>
      <c r="E154" s="51" t="s">
        <v>1951</v>
      </c>
    </row>
    <row r="160" spans="1:5" ht="16" x14ac:dyDescent="0.2">
      <c r="A160" s="78" t="s">
        <v>1952</v>
      </c>
    </row>
    <row r="161" spans="1:5" x14ac:dyDescent="0.2">
      <c r="A161" t="s">
        <v>1953</v>
      </c>
      <c r="B161" s="19" t="s">
        <v>1954</v>
      </c>
      <c r="C161" s="20" t="s">
        <v>111</v>
      </c>
      <c r="D161" s="111">
        <f>Chemistry!j_buffer_ratio</f>
        <v>0.19971310793</v>
      </c>
      <c r="E161" s="140" t="s">
        <v>1955</v>
      </c>
    </row>
    <row r="162" spans="1:5" ht="36" x14ac:dyDescent="0.2">
      <c r="A162" t="s">
        <v>1956</v>
      </c>
      <c r="B162" s="19" t="s">
        <v>1957</v>
      </c>
      <c r="C162" s="20" t="s">
        <v>1445</v>
      </c>
      <c r="D162" s="111">
        <f>IF(ec_jbuf_ratio&gt;1,0,pcet_credit)</f>
        <v>-0.15</v>
      </c>
      <c r="E162" s="57" t="s">
        <v>1958</v>
      </c>
    </row>
    <row r="163" spans="1:5" ht="24" x14ac:dyDescent="0.2">
      <c r="A163" t="s">
        <v>1959</v>
      </c>
      <c r="B163" s="19" t="s">
        <v>1960</v>
      </c>
      <c r="C163" s="20" t="s">
        <v>1445</v>
      </c>
      <c r="D163" s="111">
        <f>IF(ec_jbuf_ratio*I_at_gerrit_max/I_app&gt;1,0,pcet_credit)</f>
        <v>-0.15</v>
      </c>
      <c r="E163" s="57" t="inlineStr">
        <is>
          <t xml:space="preserve">Buffer ratio scaled to I_at_gerrit_max (j ∝ I at the bulk pH); the credit is withdrawn only above a scaled ratio of 1, so this cell shows whether it still applies at the top of the validated band for the D143 cross-check.</t>
        </is>
      </c>
    </row>
    <row r="165">
      <c r="A165" t="inlineStr">
        <is>
          <t xml:space="preserve">Electrode mass-transfer coefficient — O₂ (estimate)</t>
        </is>
      </c>
      <c r="B165" s="19" t="inlineStr">
        <is>
          <t xml:space="preserve">km_O2_default</t>
        </is>
      </c>
      <c r="C165" s="20" t="inlineStr">
        <is>
          <t xml:space="preserve">cm/s</t>
        </is>
      </c>
      <c r="D165" s="130">
        <v>0.004</v>
      </c>
      <c r="E165" s="57" t="inlineStr">
        <is>
          <t xml:space="preserve">Eisenberg, Tobias &amp; Wilke 1954 (JES 101:306): Sh = 0.0791·Re^0.7·Sc^0.356 for a cylinder in axial swirl. At an assumed 20 cm/s swirl past a 6 mm rod this gives 3.7e-3 cm/s; bracket 2–6e-3 for 10–40 cm/s. The swirl velocity past a STATIONARY rod is the weak link — Sh goes as u^0.7, so a 4× velocity error is a 2.6× error here. Replaced by a ferricyanide run entered on the Calibrations tab.</t>
        </is>
      </c>
    </row>
    <row r="166">
      <c r="A166" t="inlineStr">
        <is>
          <t xml:space="preserve">Power at which the voltage cross-check is made</t>
        </is>
      </c>
      <c r="B166" s="19" t="inlineStr">
        <is>
          <t xml:space="preserve">gerrit_check_pct</t>
        </is>
      </c>
      <c r="C166" s="20" t="inlineStr">
        <is>
          <t xml:space="preserve">%</t>
        </is>
      </c>
      <c r="D166" s="111">
        <f>IF(ISNUMBER(cal_gerrit_slope),power_max,gerrit_max)</f>
        <v>25.0</v>
      </c>
      <c r="E166" s="51" t="inlineStr">
        <is>
          <t xml:space="preserve">The top of the band the current law in use is validated on: 25 % (gerrit_max) for Gerrit’s default fit, the 10 % plugin clamp (power_max) for a Calibrations fit, whose accepted points span 3–10 % only.</t>
        </is>
      </c>
    </row>
    <row r="167">
      <c r="A167" t="inlineStr">
        <is>
          <t xml:space="preserve">PEROXIDE OXIDATION AT THE ANODE (charge and oxygen balance)</t>
        </is>
      </c>
    </row>
    <row r="168">
      <c r="A168" t="inlineStr">
        <is>
          <t xml:space="preserve">Peroxide oxidised at the anode — growth</t>
        </is>
      </c>
      <c r="B168" s="19" t="inlineStr">
        <is>
          <t xml:space="preserve">r_H2O2_an_g</t>
        </is>
      </c>
      <c r="C168" s="20" t="inlineStr">
        <is>
          <t xml:space="preserve">mol/h</t>
        </is>
      </c>
      <c r="D168" s="111">
        <f>f_HOOH*O2_cathode_ORR*k_H2O2_anode/(k_H2O2_anode+k_cat_cells)</f>
        <v>3.130955566497e-08</v>
      </c>
      <c r="E168" s="51" t="inlineStr">
        <is>
          <t xml:space="preserve">The anodic share of the peroxide made at the cathode (D93) in a growing culture: the anodic sink (D151) competes with catalase (D94). H₂O₂ → O₂ + 2H⁺ + 2e⁻ draws anodic current and returns one O₂ per H₂O₂.</t>
        </is>
      </c>
    </row>
    <row r="169">
      <c r="A169" t="inlineStr">
        <is>
          <t xml:space="preserve">Peroxide oxidised at the anode — lag (plateau)</t>
        </is>
      </c>
      <c r="B169" s="19" t="inlineStr">
        <is>
          <t xml:space="preserve">r_H2O2_an_l</t>
        </is>
      </c>
      <c r="C169" s="20" t="inlineStr">
        <is>
          <t xml:space="preserve">mol/h</t>
        </is>
      </c>
      <c r="D169" s="111">
        <f>f_HOOH*O2_ORR_lag</f>
        <v>7.60404640425e-07</v>
      </c>
      <c r="E169" s="51" t="inlineStr">
        <is>
          <t xml:space="preserve">At the lag plateau (D96, no catalase) every peroxide made is oxidised at the anode, so the anodic turnover equals the lag production (D152).</t>
        </is>
      </c>
    </row>
    <row r="170">
      <c r="A170" t="inlineStr">
        <is>
          <t xml:space="preserve">Peroxide-oxidation share of the anodic current — growth</t>
        </is>
      </c>
      <c r="B170" s="19" t="inlineStr">
        <is>
          <t xml:space="preserve">f_H2O2_anode</t>
        </is>
      </c>
      <c r="C170" s="20" t="inlineStr">
        <is>
          <t xml:space="preserve">-</t>
        </is>
      </c>
      <c r="D170" s="111">
        <f>IF(ISNUMBER(cal_etaF_OER),0,2*F_const*r_H2O2_an_g/3600/I_app)</f>
        <v>0.0002949534150424</v>
      </c>
      <c r="E170" s="51" t="inlineStr">
        <is>
          <t xml:space="preserve">Two electrons per H₂O₂, as a fraction of the applied current; taken out of the calculated anodic O₂ efficiency (D104). 0 when etaF_OER is measured, since a measurement already includes it.</t>
        </is>
      </c>
    </row>
    <row r="171">
      <c r="A171" t="inlineStr">
        <is>
          <t xml:space="preserve">O₂ returned by peroxide oxidation — growth</t>
        </is>
      </c>
      <c r="B171" s="19" t="inlineStr">
        <is>
          <t xml:space="preserve">O2_H2O2_ret_g</t>
        </is>
      </c>
      <c r="C171" s="20" t="inlineStr">
        <is>
          <t xml:space="preserve">mol/h</t>
        </is>
      </c>
      <c r="D171" s="111">
        <f>IF(ISNUMBER(cal_etaF_OER),0,r_H2O2_an_g)</f>
        <v>3.130955566497e-08</v>
      </c>
      <c r="E171" s="51" t="inlineStr">
        <is>
          <t xml:space="preserve">One O₂ per H₂O₂ oxidised, added back to the growth O₂ source (D29).</t>
        </is>
      </c>
    </row>
    <row r="172">
      <c r="A172" t="inlineStr">
        <is>
          <t xml:space="preserve">Lag correction to the anodic O₂ for peroxide oxidation</t>
        </is>
      </c>
      <c r="B172" s="19" t="inlineStr">
        <is>
          <t xml:space="preserve">O2_H2O2_lag_adj</t>
        </is>
      </c>
      <c r="C172" s="20" t="inlineStr">
        <is>
          <t xml:space="preserve">mol/h</t>
        </is>
      </c>
      <c r="D172" s="111">
        <f>IF(ISNUMBER(cal_etaF_OER),0,r_H2O2_an_l/2+r_H2O2_an_g/2)</f>
        <v>3.95857098045e-07</v>
      </c>
      <c r="E172" s="51" t="inlineStr">
        <is>
          <t xml:space="preserve">Added to the lag O₂ source (D132): the lag peroxide turnover returns one O₂ and diverts half an O₂ of OER per H₂O₂, while D22 already carries the growth diversion; net (r_l + r_g)/2.</t>
        </is>
      </c>
    </row>
  </sheetData>
  <conditionalFormatting sqref="D20">
    <cfRule type="cellIs" dxfId="19" priority="1" operator="equal">
      <formula>"OK"</formula>
    </cfRule>
    <cfRule type="cellIs" dxfId="18" priority="2" operator="equal">
      <formula>"OUT"</formula>
    </cfRule>
  </conditionalFormatting>
  <conditionalFormatting sqref="D59:D62">
    <cfRule type="expression" dxfId="17" priority="3" stopIfTrue="1">
      <formula>ISNUMBER(SEARCH("EXCEED",D59))</formula>
    </cfRule>
    <cfRule type="expression" dxfId="16" priority="4" stopIfTrue="1">
      <formula>ISNUMBER(SEARCH("watch",D59))</formula>
    </cfRule>
    <cfRule type="expression" dxfId="15" priority="5" stopIfTrue="1">
      <formula>ISNUMBER(SEARCH("OK",D59))</formula>
    </cfRule>
  </conditionalFormatting>
  <conditionalFormatting sqref="D76">
    <cfRule type="expression" dxfId="14" priority="15" stopIfTrue="1">
      <formula>ISNUMBER(SEARCH("EXCEED",D76))</formula>
    </cfRule>
    <cfRule type="expression" dxfId="13" priority="16" stopIfTrue="1">
      <formula>ISNUMBER(SEARCH("watch",D76))</formula>
    </cfRule>
    <cfRule type="expression" dxfId="12" priority="17" stopIfTrue="1">
      <formula>ISNUMBER(SEARCH("OK",D76))</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C00"/>
  </sheetPr>
  <dimension ref="A1:G324"/>
  <sheetViews>
    <sheetView topLeftCell="A17" workbookViewId="0">
      <selection activeCell="D28" sqref="D28"/>
    </sheetView>
  </sheetViews>
  <sheetFormatPr baseColWidth="10" defaultColWidth="8.83203125" defaultRowHeight="15" x14ac:dyDescent="0.2"/>
  <cols>
    <col min="1" max="1" width="39.33203125" customWidth="1"/>
    <col min="2" max="2" width="12.33203125" bestFit="1" customWidth="1"/>
    <col min="3" max="3" width="13.83203125" bestFit="1" customWidth="1"/>
    <col min="4" max="4" width="15.33203125" customWidth="1"/>
    <col min="5" max="5" width="39.33203125" bestFit="1" customWidth="1"/>
  </cols>
  <sheetData>
    <row r="1" spans="1:6" ht="16" x14ac:dyDescent="0.2">
      <c r="A1" s="78" t="s">
        <v>750</v>
      </c>
    </row>
    <row r="2" spans="1:6" x14ac:dyDescent="0.2">
      <c r="A2" s="17" t="s">
        <v>751</v>
      </c>
      <c r="B2" s="17" t="s">
        <v>752</v>
      </c>
      <c r="C2" s="17" t="s">
        <v>753</v>
      </c>
      <c r="D2" s="17" t="s">
        <v>754</v>
      </c>
      <c r="E2" s="17" t="s">
        <v>755</v>
      </c>
    </row>
    <row r="3" spans="1:6" x14ac:dyDescent="0.2">
      <c r="A3" s="77" t="s">
        <v>756</v>
      </c>
    </row>
    <row r="4" spans="1:6" x14ac:dyDescent="0.2">
      <c r="A4" s="18" t="s">
        <v>757</v>
      </c>
      <c r="B4" s="19" t="s">
        <v>758</v>
      </c>
      <c r="C4" s="20" t="s">
        <v>759</v>
      </c>
      <c r="D4" s="49">
        <f>Biology!T_K</f>
        <v>303.15</v>
      </c>
      <c r="E4" s="138" t="s">
        <v>760</v>
      </c>
    </row>
    <row r="5" spans="1:6" ht="36" x14ac:dyDescent="0.2">
      <c r="A5" s="18" t="s">
        <v>1962</v>
      </c>
      <c r="B5" s="19" t="s">
        <v>761</v>
      </c>
      <c r="C5" s="20" t="s">
        <v>762</v>
      </c>
      <c r="D5" s="49">
        <f>'Mass Transfer'!CO2aqc_ss</f>
        <v>0.02555602506</v>
      </c>
      <c r="E5" s="138" t="s">
        <v>1963</v>
      </c>
    </row>
    <row r="6" spans="1:6" x14ac:dyDescent="0.2">
      <c r="A6" s="18" t="s">
        <v>763</v>
      </c>
      <c r="B6" s="19" t="s">
        <v>764</v>
      </c>
      <c r="C6" s="20" t="s">
        <v>765</v>
      </c>
      <c r="D6" s="49">
        <f>Electrochemistry!I_app</f>
        <v>0.00569</v>
      </c>
      <c r="E6" s="138" t="s">
        <v>766</v>
      </c>
    </row>
    <row r="7" spans="1:6" x14ac:dyDescent="0.2">
      <c r="A7" s="18" t="s">
        <v>767</v>
      </c>
      <c r="B7" s="19" t="s">
        <v>768</v>
      </c>
      <c r="C7" s="20" t="s">
        <v>769</v>
      </c>
      <c r="D7" s="49">
        <f>Electrochemistry!F_const</f>
        <v>96485.33212</v>
      </c>
      <c r="E7" s="138" t="s">
        <v>770</v>
      </c>
    </row>
    <row r="8" spans="1:6" x14ac:dyDescent="0.2">
      <c r="A8" s="18" t="s">
        <v>1870</v>
      </c>
      <c r="B8" s="19" t="s">
        <v>771</v>
      </c>
      <c r="C8" s="20" t="s">
        <v>772</v>
      </c>
      <c r="D8" s="49">
        <f>V_charge/1000</f>
        <v>0.015</v>
      </c>
      <c r="E8" s="138" t="s">
        <v>1964</v>
      </c>
    </row>
    <row r="9" spans="1:6" x14ac:dyDescent="0.2">
      <c r="A9" s="18" t="s">
        <v>773</v>
      </c>
      <c r="B9" s="19" t="s">
        <v>774</v>
      </c>
      <c r="C9" s="20" t="s">
        <v>775</v>
      </c>
      <c r="D9" s="118">
        <f>'Mass Transfer'!R_gas</f>
        <v>8.314462618</v>
      </c>
      <c r="E9" s="60" t="s">
        <v>1965</v>
      </c>
    </row>
    <row r="11" spans="1:6" ht="16" x14ac:dyDescent="0.2">
      <c r="A11" s="78" t="s">
        <v>776</v>
      </c>
      <c r="F11" s="75" t="s">
        <v>777</v>
      </c>
    </row>
    <row r="12" spans="1:6" x14ac:dyDescent="0.2">
      <c r="A12" s="17" t="s">
        <v>778</v>
      </c>
      <c r="B12" s="17" t="s">
        <v>779</v>
      </c>
      <c r="C12" s="17" t="s">
        <v>780</v>
      </c>
      <c r="D12" s="17" t="s">
        <v>781</v>
      </c>
      <c r="E12" s="17" t="s">
        <v>782</v>
      </c>
    </row>
    <row r="13" spans="1:6" x14ac:dyDescent="0.2">
      <c r="A13" s="18" t="s">
        <v>784</v>
      </c>
      <c r="B13" s="159">
        <v>4.4499999999999997E-7</v>
      </c>
      <c r="C13" s="159">
        <v>9.15</v>
      </c>
      <c r="D13" s="49">
        <f t="shared" ref="D13:D20" si="0">B13*EXP(-C13*1000/R_gas*(1/TKc-1/T_ref))</f>
        <v>4.729325907259e-07</v>
      </c>
      <c r="E13" s="60" t="s">
        <v>783</v>
      </c>
    </row>
    <row r="14" spans="1:6" x14ac:dyDescent="0.2">
      <c r="A14" s="18" t="s">
        <v>785</v>
      </c>
      <c r="B14" s="159">
        <v>4.6900000000000001E-11</v>
      </c>
      <c r="C14" s="159">
        <v>14.9</v>
      </c>
      <c r="D14" s="49">
        <f t="shared" si="0"/>
        <v>5.178773212274e-11</v>
      </c>
      <c r="E14" s="60" t="s">
        <v>783</v>
      </c>
    </row>
    <row r="15" spans="1:6" x14ac:dyDescent="0.2">
      <c r="A15" s="18" t="s">
        <v>786</v>
      </c>
      <c r="B15" s="159">
        <v>7.1000000000000004E-3</v>
      </c>
      <c r="C15" s="159">
        <v>-8</v>
      </c>
      <c r="D15" s="49">
        <f t="shared" si="0"/>
        <v>0.006731968577</v>
      </c>
      <c r="E15" s="60" t="s">
        <v>783</v>
      </c>
    </row>
    <row r="16" spans="1:6" x14ac:dyDescent="0.2">
      <c r="A16" s="18" t="s">
        <v>787</v>
      </c>
      <c r="B16" s="159">
        <v>6.3100000000000003E-8</v>
      </c>
      <c r="C16" s="159">
        <v>3.6</v>
      </c>
      <c r="D16" s="49">
        <f t="shared" si="0"/>
        <v>6.46296315581e-08</v>
      </c>
      <c r="E16" s="60" t="s">
        <v>783</v>
      </c>
    </row>
    <row r="17" spans="1:6" x14ac:dyDescent="0.2">
      <c r="A17" s="18" t="s">
        <v>915</v>
      </c>
      <c r="B17" s="159">
        <v>4.1999999999999998E-13</v>
      </c>
      <c r="C17" s="159">
        <v>16</v>
      </c>
      <c r="D17" s="49">
        <f t="shared" si="0"/>
        <v>4.671774023329e-13</v>
      </c>
      <c r="E17" s="60" t="s">
        <v>783</v>
      </c>
    </row>
    <row r="18" spans="1:6" x14ac:dyDescent="0.2">
      <c r="A18" s="18" t="s">
        <v>788</v>
      </c>
      <c r="B18" s="159">
        <v>5.6000000000000003E-10</v>
      </c>
      <c r="C18" s="159">
        <v>52.2</v>
      </c>
      <c r="D18" s="49">
        <f t="shared" si="0"/>
        <v>7.92540891973e-10</v>
      </c>
      <c r="E18" s="60" t="s">
        <v>783</v>
      </c>
    </row>
    <row r="19" spans="1:6" x14ac:dyDescent="0.2">
      <c r="A19" s="18" t="s">
        <v>789</v>
      </c>
      <c r="B19" s="159">
        <v>1E-14</v>
      </c>
      <c r="C19" s="159">
        <v>55.8</v>
      </c>
      <c r="D19" s="49">
        <f t="shared" si="0"/>
        <v>1.449559255234e-14</v>
      </c>
      <c r="E19" s="60" t="s">
        <v>783</v>
      </c>
    </row>
    <row r="20" spans="1:6" x14ac:dyDescent="0.2">
      <c r="A20" s="18" t="s">
        <v>790</v>
      </c>
      <c r="B20" s="159">
        <v>2.8840315031266057E-8</v>
      </c>
      <c r="C20" s="159">
        <v>13.8</v>
      </c>
      <c r="D20" s="49">
        <f t="shared" si="0"/>
        <v>3.16137171463e-08</v>
      </c>
      <c r="E20" s="60" t="s">
        <v>783</v>
      </c>
    </row>
    <row r="21" spans="1:6" x14ac:dyDescent="0.2">
      <c r="A21" s="18" t="s">
        <v>791</v>
      </c>
      <c r="B21" s="19" t="s">
        <v>792</v>
      </c>
      <c r="C21" s="20" t="s">
        <v>793</v>
      </c>
      <c r="D21" s="119">
        <f>-LOG10(Ka_HOCl)</f>
        <v>7.500124436738</v>
      </c>
      <c r="E21" s="138" t="s">
        <v>794</v>
      </c>
    </row>
    <row r="23" spans="1:6" ht="16" x14ac:dyDescent="0.2">
      <c r="A23" s="78" t="s">
        <v>795</v>
      </c>
      <c r="F23" s="75" t="s">
        <v>796</v>
      </c>
    </row>
    <row r="24" spans="1:6" x14ac:dyDescent="0.2">
      <c r="A24" s="17" t="s">
        <v>799</v>
      </c>
      <c r="B24" s="17" t="s">
        <v>800</v>
      </c>
      <c r="C24" s="17" t="s">
        <v>801</v>
      </c>
      <c r="D24" s="17" t="s">
        <v>802</v>
      </c>
      <c r="E24" s="17" t="s">
        <v>803</v>
      </c>
    </row>
    <row r="25" spans="1:6" x14ac:dyDescent="0.2">
      <c r="A25" s="18" t="s">
        <v>804</v>
      </c>
      <c r="B25" s="159">
        <v>136.08600000000001</v>
      </c>
      <c r="C25" s="155">
        <v>0</v>
      </c>
      <c r="D25" s="116">
        <v>2.2999999999999998</v>
      </c>
      <c r="E25" s="138" t="s">
        <v>797</v>
      </c>
    </row>
    <row r="26" spans="1:6" x14ac:dyDescent="0.2">
      <c r="A26" s="18" t="s">
        <v>805</v>
      </c>
      <c r="B26" s="159">
        <v>141.96</v>
      </c>
      <c r="C26" s="159">
        <v>2.895</v>
      </c>
      <c r="D26" s="116">
        <v>2.9</v>
      </c>
      <c r="E26" s="138" t="s">
        <v>798</v>
      </c>
    </row>
    <row r="27" spans="1:6" x14ac:dyDescent="0.2">
      <c r="A27" s="18" t="s">
        <v>806</v>
      </c>
      <c r="B27" s="159">
        <v>156.01</v>
      </c>
      <c r="C27" s="159">
        <v>3.06</v>
      </c>
      <c r="D27" s="155">
        <v>0</v>
      </c>
      <c r="E27" s="138" t="s">
        <v>798</v>
      </c>
    </row>
    <row r="28" spans="1:6" x14ac:dyDescent="0.2">
      <c r="A28" s="18" t="s">
        <v>807</v>
      </c>
      <c r="B28" s="159">
        <v>84.007000000000005</v>
      </c>
      <c r="C28" s="155">
        <v>0</v>
      </c>
      <c r="D28" s="116">
        <v>1.05</v>
      </c>
      <c r="E28" s="138" t="s">
        <v>797</v>
      </c>
    </row>
    <row r="29" spans="1:6" x14ac:dyDescent="0.2">
      <c r="A29" s="18" t="s">
        <v>808</v>
      </c>
      <c r="B29" s="159">
        <v>174.26</v>
      </c>
      <c r="C29" s="159">
        <v>0.17</v>
      </c>
      <c r="D29" s="155">
        <v>0</v>
      </c>
      <c r="E29" s="138" t="s">
        <v>798</v>
      </c>
    </row>
    <row r="30" spans="1:6" x14ac:dyDescent="0.2">
      <c r="A30" s="18" t="s">
        <v>809</v>
      </c>
      <c r="B30" s="159">
        <v>172.17</v>
      </c>
      <c r="C30" s="159">
        <v>9.7000000000000003E-2</v>
      </c>
      <c r="D30" s="155">
        <v>0</v>
      </c>
      <c r="E30" s="138" t="s">
        <v>798</v>
      </c>
    </row>
    <row r="31" spans="1:6" x14ac:dyDescent="0.2">
      <c r="A31" s="18" t="s">
        <v>810</v>
      </c>
      <c r="B31" s="159">
        <v>246.48</v>
      </c>
      <c r="C31" s="159">
        <v>0.8</v>
      </c>
      <c r="D31" s="116">
        <v>0.5</v>
      </c>
      <c r="E31" s="138" t="s">
        <v>798</v>
      </c>
    </row>
    <row r="32" spans="1:6" x14ac:dyDescent="0.2">
      <c r="A32" s="18" t="s">
        <v>811</v>
      </c>
      <c r="B32" s="159">
        <v>132.13999999999999</v>
      </c>
      <c r="C32" s="159">
        <v>0.94299999999999995</v>
      </c>
      <c r="D32" s="116">
        <v>0.47</v>
      </c>
      <c r="E32" s="138" t="s">
        <v>798</v>
      </c>
    </row>
    <row r="33" spans="1:5" ht="24" x14ac:dyDescent="0.2">
      <c r="A33" s="18" t="s">
        <v>812</v>
      </c>
      <c r="B33" s="159">
        <v>110.98</v>
      </c>
      <c r="C33" s="155">
        <v>0</v>
      </c>
      <c r="D33" s="116">
        <v>0.01</v>
      </c>
      <c r="E33" s="138" t="s">
        <v>964</v>
      </c>
    </row>
    <row r="35" spans="1:5" x14ac:dyDescent="0.2">
      <c r="A35" s="18" t="s">
        <v>813</v>
      </c>
      <c r="B35" s="19" t="s">
        <v>814</v>
      </c>
      <c r="C35" s="20" t="s">
        <v>815</v>
      </c>
      <c r="D35" s="119">
        <f>mc_Na2HPO4/MW_Na2HPO4+mc_NaH2PO4_2H2O/MW_NaH2PO4_2H2O</f>
        <v>0.04000719577</v>
      </c>
      <c r="E35" s="138" t="s">
        <v>816</v>
      </c>
    </row>
    <row r="36" spans="1:5" x14ac:dyDescent="0.2">
      <c r="A36" s="18" t="s">
        <v>817</v>
      </c>
      <c r="B36" s="19" t="s">
        <v>818</v>
      </c>
      <c r="C36" s="20" t="s">
        <v>819</v>
      </c>
      <c r="D36" s="119">
        <f>(2*mc_Na2HPO4/MW_Na2HPO4+mc_NaH2PO4_2H2O/MW_NaH2PO4_2H2O+2*mc_K2SO4/MW_K2SO4+2*mc_MgSO4_7H2O/MW_MgSO4_7H2O+2*mc_CaSO4_2H2O/MW_CaSO4_2H2O)-2*(mc_NH42SO4/MW_NH42SO4+mc_MgSO4_7H2O/MW_MgSO4_7H2O+mc_K2SO4/MW_K2SO4+mc_CaSO4_2H2O/MW_CaSO4_2H2O)</f>
        <v>0.046127523207</v>
      </c>
      <c r="E36" s="138" t="s">
        <v>820</v>
      </c>
    </row>
    <row r="37" spans="1:5" x14ac:dyDescent="0.2">
      <c r="A37" s="18" t="s">
        <v>821</v>
      </c>
      <c r="B37" s="19" t="s">
        <v>822</v>
      </c>
      <c r="C37" s="20" t="s">
        <v>823</v>
      </c>
      <c r="D37" s="119">
        <f>2*mc_NH42SO4/MW_NH42SO4</f>
        <v>0.014272741032</v>
      </c>
      <c r="E37" s="138" t="inlineStr">
        <is>
          <t xml:space="preserve">Σ ammonium in the recipe: 2 × (NH₄)₂SO₄ per litre (MC02).</t>
        </is>
      </c>
    </row>
    <row r="38" spans="1:5" x14ac:dyDescent="0.2">
      <c r="A38" s="18" t="s">
        <v>825</v>
      </c>
      <c r="B38" s="19" t="s">
        <v>826</v>
      </c>
      <c r="C38" s="20" t="s">
        <v>827</v>
      </c>
      <c r="D38" s="119">
        <f>0</f>
        <v>0.0</v>
      </c>
      <c r="E38" s="138" t="s">
        <v>828</v>
      </c>
    </row>
    <row r="39" spans="1:5" x14ac:dyDescent="0.2">
      <c r="A39" s="18" t="s">
        <v>829</v>
      </c>
      <c r="B39" s="19" t="s">
        <v>830</v>
      </c>
      <c r="C39" s="20" t="s">
        <v>831</v>
      </c>
      <c r="D39" s="119">
        <f>udg_KH2PO4/MW_KH2PO4+udg_Na2HPO4/MW_Na2HPO4</f>
        <v>0.037329366919</v>
      </c>
      <c r="E39" s="138" t="s">
        <v>832</v>
      </c>
    </row>
    <row r="40" spans="1:5" x14ac:dyDescent="0.2">
      <c r="A40" s="18" t="s">
        <v>833</v>
      </c>
      <c r="B40" s="19" t="s">
        <v>834</v>
      </c>
      <c r="C40" s="20" t="s">
        <v>835</v>
      </c>
      <c r="D40" s="119">
        <f>(udg_NaHCO3/MW_NaHCO3+2*udg_Na2HPO4/MW_Na2HPO4+udg_KH2PO4/MW_KH2PO4+2*udg_MgSO4_7H2O/MW_MgSO4_7H2O+2*udg_CaCl2/MW_CaCl2)-(2*(udg_NH42SO4/MW_NH42SO4+udg_MgSO4_7H2O/MW_MgSO4_7H2O)+2*udg_CaCl2/MW_CaCl2)</f>
        <v>0.063142947676</v>
      </c>
      <c r="E40" s="138" t="s">
        <v>836</v>
      </c>
    </row>
    <row r="41" spans="1:5" x14ac:dyDescent="0.2">
      <c r="A41" s="18" t="s">
        <v>837</v>
      </c>
      <c r="B41" s="19" t="s">
        <v>838</v>
      </c>
      <c r="C41" s="20" t="s">
        <v>839</v>
      </c>
      <c r="D41" s="119">
        <f>2*udg_NH42SO4/MW_NH42SO4</f>
        <v>0.007113667323</v>
      </c>
      <c r="E41" s="138" t="inlineStr">
        <is>
          <t xml:space="preserve">Σ ammonium in the recipe: 2 × (NH₄)₂SO₄ per litre (UdG).</t>
        </is>
      </c>
    </row>
    <row r="42" spans="1:5" x14ac:dyDescent="0.2">
      <c r="A42" s="18" t="s">
        <v>841</v>
      </c>
      <c r="B42" s="19" t="s">
        <v>842</v>
      </c>
      <c r="C42" s="20" t="s">
        <v>843</v>
      </c>
      <c r="D42" s="119">
        <f>2*udg_CaCl2/MW_CaCl2</f>
        <v>0.0001802126509281</v>
      </c>
      <c r="E42" s="138" t="s">
        <v>844</v>
      </c>
    </row>
    <row r="44" spans="1:5" x14ac:dyDescent="0.2">
      <c r="A44" s="18" t="s">
        <v>845</v>
      </c>
      <c r="B44" s="19" t="s">
        <v>846</v>
      </c>
      <c r="C44" s="20" t="s">
        <v>847</v>
      </c>
      <c r="D44" s="119">
        <f>IF(media_sel=INDEX(MediaList,1),SID_mc02,IF(media_sel=INDEX(MediaList,2),SID_udg,IF(media_sel=INDEX(MediaList,3),AMYBO03!SID_AMYBO03,NA())))+alk_add_M</f>
        <v>0.115446909129</v>
      </c>
      <c r="E44" s="138" t="inlineStr">
        <is>
          <t xml:space="preserve">by media_sel, plus any NaHCO₃ added on Summary D13 (alk_add_M, D318)</t>
        </is>
      </c>
    </row>
    <row r="45" spans="1:5" x14ac:dyDescent="0.2">
      <c r="A45" s="18" t="s">
        <v>849</v>
      </c>
      <c r="B45" s="19" t="s">
        <v>850</v>
      </c>
      <c r="C45" s="20" t="s">
        <v>851</v>
      </c>
      <c r="D45" s="119">
        <f>IF(media_sel=INDEX(MediaList,1),PT_mc02,IF(media_sel=INDEX(MediaList,2),PT_udg,IF(media_sel=INDEX(MediaList,3),AMYBO03!PT_AMYBO03,NA())))</f>
        <v>0.060006530132</v>
      </c>
      <c r="E45" s="138" t="s">
        <v>852</v>
      </c>
    </row>
    <row r="46" spans="1:5" x14ac:dyDescent="0.2">
      <c r="A46" s="18" t="s">
        <v>853</v>
      </c>
      <c r="B46" s="19" t="s">
        <v>854</v>
      </c>
      <c r="C46" s="20" t="s">
        <v>855</v>
      </c>
      <c r="D46" s="119">
        <f>IF(media_sel=INDEX(MediaList,1),NT_mc02,IF(media_sel=INDEX(MediaList,2),NT_udg,IF(media_sel=INDEX(MediaList,3),AMYBO03!NT_AMYBO03,NA())))</f>
        <v>0.014272741032</v>
      </c>
      <c r="E46" s="138" t="s">
        <v>856</v>
      </c>
    </row>
    <row r="47" spans="1:5" x14ac:dyDescent="0.2">
      <c r="A47" s="18" t="s">
        <v>857</v>
      </c>
      <c r="B47" s="19" t="s">
        <v>858</v>
      </c>
      <c r="C47" s="20" t="s">
        <v>859</v>
      </c>
      <c r="D47" s="119">
        <f>IF(media_sel=INDEX(MediaList,1),Cl_mc02,IF(media_sel=INDEX(MediaList,2),Cl_udg,IF(media_sel=INDEX(MediaList,3),AMYBO03!Cl_AMYBO03,NA())))</f>
        <v>0.0</v>
      </c>
      <c r="E47" s="138" t="s">
        <v>860</v>
      </c>
    </row>
    <row r="49" spans="1:3" x14ac:dyDescent="0.2">
      <c r="A49" s="17" t="s">
        <v>1669</v>
      </c>
      <c r="B49" s="17" t="s">
        <v>861</v>
      </c>
      <c r="C49" s="17" t="s">
        <v>862</v>
      </c>
    </row>
    <row r="50" spans="1:3" x14ac:dyDescent="0.2">
      <c r="A50" s="155">
        <v>4</v>
      </c>
      <c r="B50" s="49">
        <f t="shared" ref="B50:B81" si="1">pH_SID + pH_NT*(10^-A50)/((10^-A50)+KaN_c) + (10^-A50) - (pH_PT*Ka1p_c*(10^-A50)^2 + 2*pH_PT*Ka1p_c*Ka2p_c*(10^-A50) + 3*pH_PT*Ka1p_c*Ka2p_c*Ka3p_c)/((10^-A50)^3 + Ka1p_c*(10^-A50)^2 + Ka1p_c*Ka2p_c*(10^-A50) + Ka1p_c*Ka2p_c*Ka3p_c) - Ka1c_c*CO2aqc/(10^-A50) - 2*Ka1c_c*Ka2c_c*CO2aqc/(10^-A50)^2 - Kw_c/(10^-A50)</f>
        <v>0.069961089647</v>
      </c>
      <c r="C50" s="49">
        <f t="shared" ref="C50:C81" si="2">IF(AND(B50&gt;=0,B51&lt;0),A50+pH_step*B50/(B50-B51),0)</f>
        <v>0.0</v>
      </c>
    </row>
    <row r="51" spans="1:3" x14ac:dyDescent="0.2">
      <c r="A51" s="155">
        <v>4.0999999999999996</v>
      </c>
      <c r="B51" s="49">
        <f t="shared" si="1"/>
        <v>0.069751417946</v>
      </c>
      <c r="C51" s="49">
        <f t="shared" si="2"/>
        <v>0.0</v>
      </c>
    </row>
    <row r="52" spans="1:3" x14ac:dyDescent="0.2">
      <c r="A52" s="155">
        <v>4.2</v>
      </c>
      <c r="B52" s="49">
        <f t="shared" si="1"/>
        <v>0.069543441154</v>
      </c>
      <c r="C52" s="49">
        <f t="shared" si="2"/>
        <v>0.0</v>
      </c>
    </row>
    <row r="53" spans="1:3" x14ac:dyDescent="0.2">
      <c r="A53" s="155">
        <v>4.3</v>
      </c>
      <c r="B53" s="49">
        <f t="shared" si="1"/>
        <v>0.069326273846</v>
      </c>
      <c r="C53" s="49">
        <f t="shared" si="2"/>
        <v>0.0</v>
      </c>
    </row>
    <row r="54" spans="1:3" x14ac:dyDescent="0.2">
      <c r="A54" s="155">
        <v>4.4000000000000004</v>
      </c>
      <c r="B54" s="49">
        <f t="shared" si="1"/>
        <v>0.069088508579</v>
      </c>
      <c r="C54" s="49">
        <f t="shared" si="2"/>
        <v>0.0</v>
      </c>
    </row>
    <row r="55" spans="1:3" x14ac:dyDescent="0.2">
      <c r="A55" s="155">
        <v>4.5</v>
      </c>
      <c r="B55" s="49">
        <f t="shared" si="1"/>
        <v>0.068817641626</v>
      </c>
      <c r="C55" s="49">
        <f t="shared" si="2"/>
        <v>0.0</v>
      </c>
    </row>
    <row r="56" spans="1:3" x14ac:dyDescent="0.2">
      <c r="A56" s="155">
        <v>4.5999999999999996</v>
      </c>
      <c r="B56" s="49">
        <f t="shared" si="1"/>
        <v>0.068499440462</v>
      </c>
      <c r="C56" s="49">
        <f t="shared" si="2"/>
        <v>0.0</v>
      </c>
    </row>
    <row r="57" spans="1:3" x14ac:dyDescent="0.2">
      <c r="A57" s="155">
        <v>4.7</v>
      </c>
      <c r="B57" s="49">
        <f t="shared" si="1"/>
        <v>0.068117226127</v>
      </c>
      <c r="C57" s="49">
        <f t="shared" si="2"/>
        <v>0.0</v>
      </c>
    </row>
    <row r="58" spans="1:3" x14ac:dyDescent="0.2">
      <c r="A58" s="155">
        <v>4.8</v>
      </c>
      <c r="B58" s="49">
        <f t="shared" si="1"/>
        <v>0.067651040393</v>
      </c>
      <c r="C58" s="49">
        <f t="shared" si="2"/>
        <v>0.0</v>
      </c>
    </row>
    <row r="59" spans="1:3" x14ac:dyDescent="0.2">
      <c r="A59" s="155">
        <v>4.9000000000000004</v>
      </c>
      <c r="B59" s="49">
        <f t="shared" si="1"/>
        <v>0.067076664325</v>
      </c>
      <c r="C59" s="49">
        <f t="shared" si="2"/>
        <v>0.0</v>
      </c>
    </row>
    <row r="60" spans="1:3" x14ac:dyDescent="0.2">
      <c r="A60" s="155">
        <v>5</v>
      </c>
      <c r="B60" s="49">
        <f t="shared" si="1"/>
        <v>0.066364451605</v>
      </c>
      <c r="C60" s="49">
        <f t="shared" si="2"/>
        <v>0.0</v>
      </c>
    </row>
    <row r="61" spans="1:3" x14ac:dyDescent="0.2">
      <c r="A61" s="155">
        <v>5.0999999999999996</v>
      </c>
      <c r="B61" s="49">
        <f t="shared" si="1"/>
        <v>0.065477937341</v>
      </c>
      <c r="C61" s="49">
        <f t="shared" si="2"/>
        <v>0.0</v>
      </c>
    </row>
    <row r="62" spans="1:3" x14ac:dyDescent="0.2">
      <c r="A62" s="155">
        <v>5.2</v>
      </c>
      <c r="B62" s="49">
        <f t="shared" si="1"/>
        <v>0.06437218162</v>
      </c>
      <c r="C62" s="49">
        <f t="shared" si="2"/>
        <v>0.0</v>
      </c>
    </row>
    <row r="63" spans="1:3" x14ac:dyDescent="0.2">
      <c r="A63" s="155">
        <v>5.3</v>
      </c>
      <c r="B63" s="49">
        <f t="shared" si="1"/>
        <v>0.062991807568</v>
      </c>
      <c r="C63" s="49">
        <f t="shared" si="2"/>
        <v>0.0</v>
      </c>
    </row>
    <row r="64" spans="1:3" x14ac:dyDescent="0.2">
      <c r="A64" s="155">
        <v>5.4</v>
      </c>
      <c r="B64" s="49">
        <f t="shared" si="1"/>
        <v>0.061268696854</v>
      </c>
      <c r="C64" s="49">
        <f t="shared" si="2"/>
        <v>0.0</v>
      </c>
    </row>
    <row r="65" spans="1:3" x14ac:dyDescent="0.2">
      <c r="A65" s="155">
        <v>5.5</v>
      </c>
      <c r="B65" s="49">
        <f t="shared" si="1"/>
        <v>0.059119311276</v>
      </c>
      <c r="C65" s="49">
        <f t="shared" si="2"/>
        <v>0.0</v>
      </c>
    </row>
    <row r="66" spans="1:3" x14ac:dyDescent="0.2">
      <c r="A66" s="155">
        <v>5.6</v>
      </c>
      <c r="B66" s="49">
        <f t="shared" si="1"/>
        <v>0.05644161557</v>
      </c>
      <c r="C66" s="49">
        <f t="shared" si="2"/>
        <v>0.0</v>
      </c>
    </row>
    <row r="67" spans="1:3" x14ac:dyDescent="0.2">
      <c r="A67" s="155">
        <v>5.7</v>
      </c>
      <c r="B67" s="49">
        <f t="shared" si="1"/>
        <v>0.053111578135</v>
      </c>
      <c r="C67" s="49">
        <f t="shared" si="2"/>
        <v>0.0</v>
      </c>
    </row>
    <row r="68" spans="1:3" x14ac:dyDescent="0.2">
      <c r="A68" s="155">
        <v>5.8</v>
      </c>
      <c r="B68" s="49">
        <f t="shared" si="1"/>
        <v>0.048979211329</v>
      </c>
      <c r="C68" s="49">
        <f t="shared" si="2"/>
        <v>0.0</v>
      </c>
    </row>
    <row r="69" spans="1:3" x14ac:dyDescent="0.2">
      <c r="A69" s="155">
        <v>5.9</v>
      </c>
      <c r="B69" s="49">
        <f t="shared" si="1"/>
        <v>0.043864060207</v>
      </c>
      <c r="C69" s="49">
        <f t="shared" si="2"/>
        <v>0.0</v>
      </c>
    </row>
    <row r="70" spans="1:3" x14ac:dyDescent="0.2">
      <c r="A70" s="155">
        <v>6</v>
      </c>
      <c r="B70" s="49">
        <f t="shared" si="1"/>
        <v>0.037549927376</v>
      </c>
      <c r="C70" s="49">
        <f t="shared" si="2"/>
        <v>0.0</v>
      </c>
    </row>
    <row r="71" spans="1:3" x14ac:dyDescent="0.2">
      <c r="A71" s="155">
        <v>6.1</v>
      </c>
      <c r="B71" s="49">
        <f t="shared" si="1"/>
        <v>0.029778395532</v>
      </c>
      <c r="C71" s="49">
        <f t="shared" si="2"/>
        <v>0.0</v>
      </c>
    </row>
    <row r="72" spans="1:3" x14ac:dyDescent="0.2">
      <c r="A72" s="155">
        <v>6.2</v>
      </c>
      <c r="B72" s="49">
        <f t="shared" si="1"/>
        <v>0.020240350728</v>
      </c>
      <c r="C72" s="49">
        <f t="shared" si="2"/>
        <v>0.0</v>
      </c>
    </row>
    <row r="73" spans="1:3" x14ac:dyDescent="0.2">
      <c r="A73" s="155">
        <v>6.3</v>
      </c>
      <c r="B73" s="49">
        <f t="shared" si="1"/>
        <v>0.008564225664</v>
      </c>
      <c r="C73" s="49">
        <f t="shared" si="2"/>
        <v>6.360036291182</v>
      </c>
    </row>
    <row r="74" spans="1:3" x14ac:dyDescent="0.2">
      <c r="A74" s="155">
        <v>6.4</v>
      </c>
      <c r="B74" s="49">
        <f t="shared" si="1"/>
        <v>-0.005700855498</v>
      </c>
      <c r="C74" s="49">
        <f t="shared" si="2"/>
        <v>0.0</v>
      </c>
    </row>
    <row r="75" spans="1:3" x14ac:dyDescent="0.2">
      <c r="A75" s="155">
        <v>6.5</v>
      </c>
      <c r="B75" s="49">
        <f t="shared" si="1"/>
        <v>-0.023109297687</v>
      </c>
      <c r="C75" s="49">
        <f t="shared" si="2"/>
        <v>0.0</v>
      </c>
    </row>
    <row r="76" spans="1:3" x14ac:dyDescent="0.2">
      <c r="A76" s="155">
        <v>6.6</v>
      </c>
      <c r="B76" s="49">
        <f t="shared" si="1"/>
        <v>-0.044353076874</v>
      </c>
      <c r="C76" s="49">
        <f t="shared" si="2"/>
        <v>0.0</v>
      </c>
    </row>
    <row r="77" spans="1:3" x14ac:dyDescent="0.2">
      <c r="A77" s="155">
        <v>6.7</v>
      </c>
      <c r="B77" s="49">
        <f t="shared" si="1"/>
        <v>-0.070307904209</v>
      </c>
      <c r="C77" s="49">
        <f t="shared" si="2"/>
        <v>0.0</v>
      </c>
    </row>
    <row r="78" spans="1:3" x14ac:dyDescent="0.2">
      <c r="A78" s="155">
        <v>6.8</v>
      </c>
      <c r="B78" s="49">
        <f t="shared" si="1"/>
        <v>-0.102093440558</v>
      </c>
      <c r="C78" s="49">
        <f t="shared" si="2"/>
        <v>0.0</v>
      </c>
    </row>
    <row r="79" spans="1:3" x14ac:dyDescent="0.2">
      <c r="A79" s="155">
        <v>6.9</v>
      </c>
      <c r="B79" s="49">
        <f t="shared" si="1"/>
        <v>-0.141149273789</v>
      </c>
      <c r="C79" s="49">
        <f t="shared" si="2"/>
        <v>0.0</v>
      </c>
    </row>
    <row r="80" spans="1:3" x14ac:dyDescent="0.2">
      <c r="A80" s="155">
        <v>7</v>
      </c>
      <c r="B80" s="49">
        <f t="shared" si="1"/>
        <v>-0.189328797934</v>
      </c>
      <c r="C80" s="49">
        <f t="shared" si="2"/>
        <v>0.0</v>
      </c>
    </row>
    <row r="81" spans="1:3" x14ac:dyDescent="0.2">
      <c r="A81" s="155">
        <v>7.1</v>
      </c>
      <c r="B81" s="49">
        <f t="shared" si="1"/>
        <v>-0.249014555568</v>
      </c>
      <c r="C81" s="49">
        <f t="shared" si="2"/>
        <v>0.0</v>
      </c>
    </row>
    <row r="82" spans="1:3" x14ac:dyDescent="0.2">
      <c r="A82" s="155">
        <v>7.2</v>
      </c>
      <c r="B82" s="49">
        <f t="shared" ref="B82:B100" si="3">pH_SID + pH_NT*(10^-A82)/((10^-A82)+KaN_c) + (10^-A82) - (pH_PT*Ka1p_c*(10^-A82)^2 + 2*pH_PT*Ka1p_c*Ka2p_c*(10^-A82) + 3*pH_PT*Ka1p_c*Ka2p_c*Ka3p_c)/((10^-A82)^3 + Ka1p_c*(10^-A82)^2 + Ka1p_c*Ka2p_c*(10^-A82) + Ka1p_c*Ka2p_c*Ka3p_c) - Ka1c_c*CO2aqc/(10^-A82) - 2*Ka1c_c*Ka2c_c*CO2aqc/(10^-A82)^2 - Kw_c/(10^-A82)</f>
        <v>-0.32326107991</v>
      </c>
      <c r="C82" s="49">
        <f t="shared" ref="C82:C99" si="4">IF(AND(B82&gt;=0,B83&lt;0),A82+pH_step*B82/(B82-B83),0)</f>
        <v>0.0</v>
      </c>
    </row>
    <row r="83" spans="1:3" x14ac:dyDescent="0.2">
      <c r="A83" s="155">
        <v>7.3</v>
      </c>
      <c r="B83" s="49">
        <f t="shared" si="3"/>
        <v>-0.415974635856</v>
      </c>
      <c r="C83" s="49">
        <f t="shared" si="4"/>
        <v>0.0</v>
      </c>
    </row>
    <row r="84" spans="1:3" x14ac:dyDescent="0.2">
      <c r="A84" s="155">
        <v>7.4</v>
      </c>
      <c r="B84" s="49">
        <f t="shared" si="3"/>
        <v>-0.532143388559</v>
      </c>
      <c r="C84" s="49">
        <f t="shared" si="4"/>
        <v>0.0</v>
      </c>
    </row>
    <row r="85" spans="1:3" x14ac:dyDescent="0.2">
      <c r="A85" s="155">
        <v>7.5</v>
      </c>
      <c r="B85" s="49">
        <f t="shared" si="3"/>
        <v>-0.678136622512</v>
      </c>
      <c r="C85" s="49">
        <f t="shared" si="4"/>
        <v>0.0</v>
      </c>
    </row>
    <row r="86" spans="1:3" x14ac:dyDescent="0.2">
      <c r="A86" s="155">
        <v>7.6</v>
      </c>
      <c r="B86" s="49">
        <f t="shared" si="3"/>
        <v>-0.862098355682</v>
      </c>
      <c r="C86" s="49">
        <f t="shared" si="4"/>
        <v>0.0</v>
      </c>
    </row>
    <row r="87" spans="1:3" x14ac:dyDescent="0.2">
      <c r="A87" s="155">
        <v>7.7</v>
      </c>
      <c r="B87" s="49">
        <f t="shared" si="3"/>
        <v>-1.094470207061</v>
      </c>
      <c r="C87" s="49">
        <f t="shared" si="4"/>
        <v>0.0</v>
      </c>
    </row>
    <row r="88" spans="1:3" x14ac:dyDescent="0.2">
      <c r="A88" s="155">
        <v>7.8</v>
      </c>
      <c r="B88" s="49">
        <f t="shared" si="3"/>
        <v>-1.388692414049</v>
      </c>
      <c r="C88" s="49">
        <f t="shared" si="4"/>
        <v>0.0</v>
      </c>
    </row>
    <row r="89" spans="1:3" x14ac:dyDescent="0.2">
      <c r="A89" s="155">
        <v>7.9</v>
      </c>
      <c r="B89" s="49">
        <f t="shared" si="3"/>
        <v>-1.762152977297</v>
      </c>
      <c r="C89" s="49">
        <f t="shared" si="4"/>
        <v>0.0</v>
      </c>
    </row>
    <row r="90" spans="1:3" x14ac:dyDescent="0.2">
      <c r="A90" s="155">
        <v>8</v>
      </c>
      <c r="B90" s="49">
        <f t="shared" si="3"/>
        <v>-2.237486801867</v>
      </c>
      <c r="C90" s="49">
        <f t="shared" si="4"/>
        <v>0.0</v>
      </c>
    </row>
    <row r="91" spans="1:3" x14ac:dyDescent="0.2">
      <c r="A91" s="155">
        <v>8.1</v>
      </c>
      <c r="B91" s="49">
        <f t="shared" si="3"/>
        <v>-2.844375195515</v>
      </c>
      <c r="C91" s="49">
        <f t="shared" si="4"/>
        <v>0.0</v>
      </c>
    </row>
    <row r="92" spans="1:3" x14ac:dyDescent="0.2">
      <c r="A92" s="155">
        <v>8.1999999999999993</v>
      </c>
      <c r="B92" s="49">
        <f t="shared" si="3"/>
        <v>-3.622070214084</v>
      </c>
      <c r="C92" s="49">
        <f t="shared" si="4"/>
        <v>0.0</v>
      </c>
    </row>
    <row r="93" spans="1:3" x14ac:dyDescent="0.2">
      <c r="A93" s="155">
        <v>8.3000000000000007</v>
      </c>
      <c r="B93" s="49">
        <f t="shared" si="3"/>
        <v>-4.622982295039</v>
      </c>
      <c r="C93" s="49">
        <f t="shared" si="4"/>
        <v>0.0</v>
      </c>
    </row>
    <row r="94" spans="1:3" x14ac:dyDescent="0.2">
      <c r="A94" s="155">
        <v>8.4</v>
      </c>
      <c r="B94" s="49">
        <f t="shared" si="3"/>
        <v>-5.917845708389</v>
      </c>
      <c r="C94" s="49">
        <f t="shared" si="4"/>
        <v>0.0</v>
      </c>
    </row>
    <row r="95" spans="1:3" x14ac:dyDescent="0.2">
      <c r="A95" s="155">
        <v>8.5</v>
      </c>
      <c r="B95" s="49">
        <f t="shared" si="3"/>
        <v>-7.603249726853</v>
      </c>
      <c r="C95" s="49">
        <f t="shared" si="4"/>
        <v>0.0</v>
      </c>
    </row>
    <row r="96" spans="1:3" x14ac:dyDescent="0.2">
      <c r="A96" s="155">
        <v>8.6</v>
      </c>
      <c r="B96" s="49">
        <f t="shared" si="3"/>
        <v>-9.812749485113</v>
      </c>
      <c r="C96" s="49">
        <f t="shared" si="4"/>
        <v>0.0</v>
      </c>
    </row>
    <row r="97" spans="1:7" x14ac:dyDescent="0.2">
      <c r="A97" s="155">
        <v>8.6999999999999993</v>
      </c>
      <c r="B97" s="49">
        <f t="shared" si="3"/>
        <v>-12.733436697525</v>
      </c>
      <c r="C97" s="49">
        <f t="shared" si="4"/>
        <v>0.0</v>
      </c>
    </row>
    <row r="98" spans="1:7" x14ac:dyDescent="0.2">
      <c r="A98" s="155">
        <v>8.8000000000000007</v>
      </c>
      <c r="B98" s="49">
        <f t="shared" si="3"/>
        <v>-16.63089482033</v>
      </c>
      <c r="C98" s="49">
        <f t="shared" si="4"/>
        <v>0.0</v>
      </c>
    </row>
    <row r="99" spans="1:7" x14ac:dyDescent="0.2">
      <c r="A99" s="155">
        <v>8.9</v>
      </c>
      <c r="B99" s="49">
        <f t="shared" si="3"/>
        <v>-21.887104114512</v>
      </c>
      <c r="C99" s="49">
        <f t="shared" si="4"/>
        <v>0.0</v>
      </c>
    </row>
    <row r="100" spans="1:7" x14ac:dyDescent="0.2">
      <c r="A100" s="155">
        <v>9</v>
      </c>
      <c r="B100" s="49">
        <f t="shared" si="3"/>
        <v>-29.05844451528</v>
      </c>
      <c r="C100" s="49">
        <f>0</f>
        <v>0.0</v>
      </c>
    </row>
    <row r="101" spans="1:7" s="72" customFormat="1" x14ac:dyDescent="0.2">
      <c r="B101" s="91"/>
      <c r="C101" s="91"/>
    </row>
    <row r="102" spans="1:7" x14ac:dyDescent="0.2">
      <c r="A102" s="17" t="s">
        <v>20</v>
      </c>
      <c r="B102" s="17" t="s">
        <v>21</v>
      </c>
      <c r="C102" s="17" t="s">
        <v>22</v>
      </c>
      <c r="D102" s="17" t="s">
        <v>23</v>
      </c>
      <c r="E102" s="17" t="s">
        <v>107</v>
      </c>
    </row>
    <row r="103" spans="1:7" ht="48" x14ac:dyDescent="0.2">
      <c r="A103" s="18" t="s">
        <v>1966</v>
      </c>
      <c r="B103" s="19" t="s">
        <v>863</v>
      </c>
      <c r="C103" s="20" t="s">
        <v>864</v>
      </c>
      <c r="D103" s="119">
        <f>IF(n_cross=1,SUM(C50:C100),NA())</f>
        <v>6.360036291182</v>
      </c>
      <c r="E103" s="138" t="s">
        <v>1670</v>
      </c>
      <c r="F103" s="75" t="s">
        <v>1967</v>
      </c>
    </row>
    <row r="104" spans="1:7" ht="36" x14ac:dyDescent="0.2">
      <c r="A104" s="18" t="s">
        <v>865</v>
      </c>
      <c r="B104" s="19" t="s">
        <v>866</v>
      </c>
      <c r="C104" s="20" t="s">
        <v>867</v>
      </c>
      <c r="D104" s="119">
        <f>1/(1+KaHOCl_c/10^-pH_op)</f>
        <v>0.884650730265</v>
      </c>
      <c r="E104" s="138" t="s">
        <v>1968</v>
      </c>
    </row>
    <row r="105" spans="1:7" ht="36" x14ac:dyDescent="0.2">
      <c r="A105" s="18" t="s">
        <v>911</v>
      </c>
      <c r="B105" s="19" t="s">
        <v>912</v>
      </c>
      <c r="C105" s="20" t="s">
        <v>913</v>
      </c>
      <c r="D105" s="119">
        <f>SUMPRODUCT((B50:B99&gt;=0)*(B51:B100&lt;0))</f>
        <v>1.0</v>
      </c>
      <c r="E105" s="138" t="s">
        <v>914</v>
      </c>
      <c r="F105" s="21"/>
    </row>
    <row r="106" spans="1:7" ht="48" x14ac:dyDescent="0.2">
      <c r="A106" s="78" t="s">
        <v>868</v>
      </c>
      <c r="G106" s="53" t="s">
        <v>916</v>
      </c>
    </row>
    <row r="107" spans="1:7" ht="328" x14ac:dyDescent="0.2">
      <c r="A107" s="18" t="s">
        <v>962</v>
      </c>
      <c r="B107" s="19" t="s">
        <v>869</v>
      </c>
      <c r="C107" s="20" t="s">
        <v>870</v>
      </c>
      <c r="D107" s="119">
        <f>Iappc/(2*Fcc)*M_HOCl*3600/VLc</f>
        <v>371.244905447914</v>
      </c>
      <c r="E107" s="111" t="str">
        <f>IF(P_HOCl&gt;0,"Naive FE=1 ceiling; overstates operative production by "&amp;TEXT(bleach_rate/(P_HOCl*M_HOCl*3600),"0")&amp;" times","No chlorine production at the selected chloride inventory")</f>
        <v>No chlorine production at the selected chloride inventory</v>
      </c>
      <c r="G107" s="53" t="s">
        <v>917</v>
      </c>
    </row>
    <row r="108" spans="1:7" ht="284" x14ac:dyDescent="0.2">
      <c r="A108" s="18" t="s">
        <v>871</v>
      </c>
      <c r="B108" s="19" t="s">
        <v>872</v>
      </c>
      <c r="C108" s="20" t="s">
        <v>873</v>
      </c>
      <c r="D108" s="119">
        <f>1/(bleach_rate)*60</f>
        <v>0.161618379457</v>
      </c>
      <c r="E108" s="138" t="s">
        <v>874</v>
      </c>
      <c r="G108" s="53" t="s">
        <v>918</v>
      </c>
    </row>
    <row r="109" spans="1:7" ht="204" x14ac:dyDescent="0.2">
      <c r="A109" s="18" t="s">
        <v>875</v>
      </c>
      <c r="B109" s="19" t="s">
        <v>876</v>
      </c>
      <c r="C109" s="20" t="s">
        <v>877</v>
      </c>
      <c r="D109" s="49" t="str">
        <f>IF(C_eff_Cl2&lt;Cl_onset,"negligible free chlorine ("&amp;TEXT(C_eff_Cl2,"0.00")&amp;" mg/L as Cl₂ &lt; onset); does NOT account for the Exp-2 death - see metal_flag",IF(C_eff_Cl2&lt;Cl_kill,"sub-lethal "&amp;TEXT(C_eff_Cl2,"0.00")&amp;" mg/L as Cl₂ (band "&amp;TEXT(C_eff_lo_Cl2,"0.00")&amp;"-"&amp;TEXT(C_eff_hi_Cl2,"0.00")&amp;"); chloride-pool-bounded, cannot reach the kill threshold in this medium; does NOT explain the death - see metal_flag","SEVERE free chlorine: "&amp;TEXT(C_eff_Cl2,"0.0")&amp;" mg/L as Cl₂ - biofilm/electrode damage (Baek 2021)"))</f>
        <v>negligible free chlorine (0.00 mg/L as Cl₂ &lt; onset); does NOT account for the Exp-2 death - see metal_flag</v>
      </c>
      <c r="E109" s="138" t="s">
        <v>1028</v>
      </c>
      <c r="G109" s="53" t="s">
        <v>919</v>
      </c>
    </row>
    <row r="110" spans="1:7" ht="328" x14ac:dyDescent="0.2">
      <c r="A110" s="18" t="s">
        <v>878</v>
      </c>
      <c r="B110" s="19" t="s">
        <v>879</v>
      </c>
      <c r="C110" s="20" t="s">
        <v>880</v>
      </c>
      <c r="D110" s="49" t="str">
        <f>IF(pH_meas&lt;pH_band_lo,"pH BELOW HOB optimum (&lt;"&amp;TEXT(pH_band_lo,"0.0")&amp;") — reduce the CO₂ dose or lengthen the interval",IF(pH_meas&gt;pH_band_hi,"pH above optimum (&gt;"&amp;TEXT(pH_band_hi,"0.0")&amp;")","pH in HOB band "&amp;TEXT(pH_band_lo,"0.0")&amp;"–"&amp;TEXT(pH_band_hi,"0.0")))</f>
        <v>pH BELOW HOB optimum (&lt;6.5) — reduce the CO₂ dose or lengthen the interval</v>
      </c>
      <c r="E110" s="138" t="s">
        <v>1671</v>
      </c>
      <c r="G110" s="53" t="s">
        <v>920</v>
      </c>
    </row>
    <row r="112" spans="1:7" ht="16" x14ac:dyDescent="0.2">
      <c r="A112" s="78" t="s">
        <v>881</v>
      </c>
    </row>
    <row r="113" spans="1:5" x14ac:dyDescent="0.2">
      <c r="A113" s="17" t="s">
        <v>882</v>
      </c>
      <c r="B113" s="17" t="s">
        <v>883</v>
      </c>
      <c r="C113" s="17" t="s">
        <v>884</v>
      </c>
      <c r="D113" s="17" t="s">
        <v>885</v>
      </c>
      <c r="E113" s="17" t="s">
        <v>886</v>
      </c>
    </row>
    <row r="114" spans="1:5" x14ac:dyDescent="0.2">
      <c r="A114" s="21" t="s">
        <v>887</v>
      </c>
      <c r="B114" s="21" t="s">
        <v>888</v>
      </c>
      <c r="C114" s="48">
        <f>PT_mc02*1000</f>
        <v>40.007195769524</v>
      </c>
      <c r="D114" s="21" t="s">
        <v>889</v>
      </c>
      <c r="E114" s="21" t="s">
        <v>890</v>
      </c>
    </row>
    <row r="115" spans="1:5" x14ac:dyDescent="0.2">
      <c r="A115" s="21" t="s">
        <v>891</v>
      </c>
      <c r="B115" s="21" t="s">
        <v>892</v>
      </c>
      <c r="C115" s="48">
        <f>PT_udg*1000</f>
        <v>37.329366919027</v>
      </c>
      <c r="D115" s="21" t="s">
        <v>893</v>
      </c>
      <c r="E115" s="21" t="s">
        <v>894</v>
      </c>
    </row>
    <row r="116" spans="1:5" x14ac:dyDescent="0.2">
      <c r="A116" s="21" t="s">
        <v>2744</v>
      </c>
      <c r="B116" s="21" t="s">
        <v>888</v>
      </c>
      <c r="C116" s="48">
        <f>AMYBO03!PT_AMYBO03*1000</f>
        <v>60.006530131719</v>
      </c>
      <c r="D116" s="21" t="s">
        <v>2745</v>
      </c>
      <c r="E116" s="21" t="s">
        <v>2746</v>
      </c>
    </row>
    <row r="123" spans="1:5" ht="16" x14ac:dyDescent="0.2">
      <c r="A123" s="78"/>
    </row>
    <row r="125" spans="1:5" ht="48" x14ac:dyDescent="0.2">
      <c r="A125" s="18" t="s">
        <v>963</v>
      </c>
      <c r="B125" s="19" t="s">
        <v>895</v>
      </c>
      <c r="C125" s="20" t="s">
        <v>896</v>
      </c>
      <c r="D125" s="119">
        <f>pH_Cl*pH_fHOCl*M_HOCl</f>
        <v>0.0</v>
      </c>
      <c r="E125" s="138" t="s">
        <v>1320</v>
      </c>
    </row>
    <row r="127" spans="1:5" ht="16" x14ac:dyDescent="0.2">
      <c r="A127" s="78" t="s">
        <v>966</v>
      </c>
    </row>
    <row r="128" spans="1:5" ht="60" x14ac:dyDescent="0.2">
      <c r="A128" s="18" t="s">
        <v>967</v>
      </c>
      <c r="B128" s="19" t="s">
        <v>968</v>
      </c>
      <c r="C128" s="20" t="s">
        <v>969</v>
      </c>
      <c r="D128" s="116">
        <v>0.5</v>
      </c>
      <c r="E128" s="138" t="s">
        <v>1321</v>
      </c>
    </row>
    <row r="129" spans="1:5" ht="48" x14ac:dyDescent="0.2">
      <c r="A129" s="18" t="s">
        <v>970</v>
      </c>
      <c r="B129" s="19" t="s">
        <v>971</v>
      </c>
      <c r="C129" s="20" t="s">
        <v>972</v>
      </c>
      <c r="D129" s="160">
        <f>km_O2_c*(D_Cl/D_O2_c)^km_exp_c</f>
        <v>0.003746398314</v>
      </c>
      <c r="E129" s="138" t="s">
        <v>1969</v>
      </c>
    </row>
    <row r="130" spans="1:5" ht="24" x14ac:dyDescent="0.2">
      <c r="A130" s="18" t="s">
        <v>973</v>
      </c>
      <c r="B130" s="19" t="s">
        <v>974</v>
      </c>
      <c r="C130" s="20" t="s">
        <v>975</v>
      </c>
      <c r="D130" s="111">
        <f>Electrochemistry!A_anode_wet</f>
        <v>1.730635055817</v>
      </c>
      <c r="E130" s="138" t="s">
        <v>1258</v>
      </c>
    </row>
    <row r="131" spans="1:5" x14ac:dyDescent="0.2">
      <c r="A131" s="18" t="s">
        <v>976</v>
      </c>
      <c r="B131" s="19" t="s">
        <v>977</v>
      </c>
      <c r="C131" s="20" t="s">
        <v>978</v>
      </c>
      <c r="D131" s="119">
        <f>Iappc*FE_CER</f>
        <v>0.002845</v>
      </c>
      <c r="E131" s="138" t="s">
        <v>979</v>
      </c>
    </row>
    <row r="132" spans="1:5" ht="96" x14ac:dyDescent="0.2">
      <c r="A132" s="18" t="s">
        <v>980</v>
      </c>
      <c r="B132" s="19" t="s">
        <v>981</v>
      </c>
      <c r="C132" s="20" t="s">
        <v>978</v>
      </c>
      <c r="D132" s="119">
        <f>n_e_Cl*Fcc*km_Cl*(pH_Cl*Cl_free_frac/1000)*A_anode</f>
        <v>0.0</v>
      </c>
      <c r="E132" s="57" t="s">
        <v>1970</v>
      </c>
    </row>
    <row r="133" spans="1:5" x14ac:dyDescent="0.2">
      <c r="A133" s="18" t="s">
        <v>982</v>
      </c>
      <c r="B133" s="19" t="s">
        <v>983</v>
      </c>
      <c r="C133" s="20" t="s">
        <v>978</v>
      </c>
      <c r="D133" s="119">
        <f>MIN(I_Cl_FE,I_Cl_mt)</f>
        <v>0.0</v>
      </c>
      <c r="E133" s="138" t="s">
        <v>984</v>
      </c>
    </row>
    <row r="134" spans="1:5" ht="36" x14ac:dyDescent="0.2">
      <c r="A134" s="18" t="s">
        <v>985</v>
      </c>
      <c r="B134" s="19" t="s">
        <v>986</v>
      </c>
      <c r="C134" s="20" t="s">
        <v>987</v>
      </c>
      <c r="D134" s="119">
        <f>I_Cl/(n_e_Cl*Fcc*VLc)</f>
        <v>0.0</v>
      </c>
      <c r="E134" s="138" t="s">
        <v>1971</v>
      </c>
    </row>
    <row r="135" spans="1:5" x14ac:dyDescent="0.2">
      <c r="A135" s="18" t="s">
        <v>988</v>
      </c>
      <c r="B135" s="19" t="s">
        <v>989</v>
      </c>
      <c r="C135" s="20" t="s">
        <v>990</v>
      </c>
      <c r="D135" s="119">
        <f>pH_NT*MW_N</f>
        <v>199.918283638565</v>
      </c>
      <c r="E135" s="138" t="s">
        <v>991</v>
      </c>
    </row>
    <row r="136" spans="1:5" ht="36" x14ac:dyDescent="0.2">
      <c r="A136" s="18" t="s">
        <v>992</v>
      </c>
      <c r="B136" s="19" t="s">
        <v>993</v>
      </c>
      <c r="C136" s="20" t="s">
        <v>994</v>
      </c>
      <c r="D136" s="116">
        <v>4200000</v>
      </c>
      <c r="E136" s="138" t="s">
        <v>995</v>
      </c>
    </row>
    <row r="137" spans="1:5" ht="48" x14ac:dyDescent="0.2">
      <c r="A137" s="18" t="s">
        <v>996</v>
      </c>
      <c r="B137" s="19" t="s">
        <v>997</v>
      </c>
      <c r="C137" s="20" t="s">
        <v>969</v>
      </c>
      <c r="D137" s="118">
        <f>-LOG10(Ka_NH4)</f>
        <v>9.100978320656</v>
      </c>
      <c r="E137" s="138" t="s">
        <v>1333</v>
      </c>
    </row>
    <row r="138" spans="1:5" ht="24" x14ac:dyDescent="0.2">
      <c r="A138" s="18" t="s">
        <v>998</v>
      </c>
      <c r="B138" s="19" t="s">
        <v>999</v>
      </c>
      <c r="C138" s="20" t="s">
        <v>1000</v>
      </c>
      <c r="D138" s="119">
        <f>pH_NT/(1+10^(pKa_NH4-pH_op))</f>
        <v>2.586887235199e-05</v>
      </c>
      <c r="E138" s="138" t="s">
        <v>1001</v>
      </c>
    </row>
    <row r="139" spans="1:5" ht="24" x14ac:dyDescent="0.2">
      <c r="A139" s="18" t="s">
        <v>1002</v>
      </c>
      <c r="B139" s="19" t="s">
        <v>1003</v>
      </c>
      <c r="C139" s="20" t="s">
        <v>1000</v>
      </c>
      <c r="D139" s="119">
        <f>P_HOCl/(k1_NH2Cl*NH3_free)</f>
        <v>0.0</v>
      </c>
      <c r="E139" s="138" t="s">
        <v>1004</v>
      </c>
    </row>
    <row r="140" spans="1:5" ht="24" x14ac:dyDescent="0.2">
      <c r="A140" s="18" t="s">
        <v>1005</v>
      </c>
      <c r="B140" s="19" t="s">
        <v>1006</v>
      </c>
      <c r="C140" s="20" t="s">
        <v>990</v>
      </c>
      <c r="D140" s="119">
        <f>HOCl_ss*M_HOCl</f>
        <v>0.0</v>
      </c>
      <c r="E140" s="138" t="s">
        <v>1007</v>
      </c>
    </row>
    <row r="141" spans="1:5" ht="48" x14ac:dyDescent="0.2">
      <c r="A141" s="18" t="s">
        <v>1008</v>
      </c>
      <c r="B141" s="19" t="s">
        <v>1009</v>
      </c>
      <c r="C141" s="20" t="s">
        <v>969</v>
      </c>
      <c r="D141" s="116">
        <v>10</v>
      </c>
      <c r="E141" s="138" t="s">
        <v>1010</v>
      </c>
    </row>
    <row r="142" spans="1:5" ht="36" x14ac:dyDescent="0.2">
      <c r="A142" s="18" t="s">
        <v>1011</v>
      </c>
      <c r="B142" s="19" t="s">
        <v>1012</v>
      </c>
      <c r="C142" s="20" t="s">
        <v>1013</v>
      </c>
      <c r="D142" s="111">
        <f>IF(ISNUMBER(cal_tau_NH2Cl),cal_tau_NH2Cl,tau_NH2Cl_default)</f>
        <v>1.0</v>
      </c>
      <c r="E142" s="57" t="inlineStr">
        <is>
          <t xml:space="preserve">The measured lifetime from the Calibrations tab (monochloramine section: DPD combined chlorine at plateau ÷ production rate) when one is included for this reactor and medium; otherwise tau_NH2Cl_default (D314). SENSITIVITY parameter: the fixed τ band (D150–D155, 1 min to 5 h) is shown beside it.</t>
        </is>
      </c>
    </row>
    <row r="143" spans="1:5" ht="84" x14ac:dyDescent="0.2">
      <c r="A143" s="18" t="s">
        <v>1015</v>
      </c>
      <c r="B143" s="19" t="s">
        <v>1016</v>
      </c>
      <c r="C143" s="20" t="s">
        <v>990</v>
      </c>
      <c r="D143" s="111">
        <f>Cl_bound*M_HOCl</f>
        <v>0.0</v>
      </c>
      <c r="E143" s="57" t="inlineStr">
        <is>
          <t xml:space="preserve">Steady combined chlorine from D311, on HOCl-equivalent mass basis; both the chloride transport/recycling limit and the actual current limit apply.</t>
        </is>
      </c>
    </row>
    <row r="144" spans="1:5" ht="36" x14ac:dyDescent="0.2">
      <c r="A144" s="18" t="s">
        <v>1017</v>
      </c>
      <c r="B144" s="19" t="s">
        <v>1018</v>
      </c>
      <c r="C144" s="20" t="s">
        <v>969</v>
      </c>
      <c r="D144" s="116">
        <v>25</v>
      </c>
      <c r="E144" s="138" t="s">
        <v>1019</v>
      </c>
    </row>
    <row r="145" spans="1:5" ht="60" x14ac:dyDescent="0.2">
      <c r="A145" s="18" t="s">
        <v>1020</v>
      </c>
      <c r="B145" s="19" t="s">
        <v>1021</v>
      </c>
      <c r="C145" s="20" t="s">
        <v>990</v>
      </c>
      <c r="D145" s="119">
        <f>f_local*HOCl_ss_mgL+NH2Cl_mgL/R_chloramine</f>
        <v>0.0</v>
      </c>
      <c r="E145" s="138" t="s">
        <v>1973</v>
      </c>
    </row>
    <row r="146" spans="1:5" ht="36" x14ac:dyDescent="0.2">
      <c r="A146" s="18" t="s">
        <v>1022</v>
      </c>
      <c r="B146" s="19" t="s">
        <v>1023</v>
      </c>
      <c r="C146" s="20" t="s">
        <v>990</v>
      </c>
      <c r="D146" s="116">
        <v>0.1</v>
      </c>
      <c r="E146" s="138" t="s">
        <v>1024</v>
      </c>
    </row>
    <row r="147" spans="1:5" ht="24" x14ac:dyDescent="0.2">
      <c r="A147" s="18" t="s">
        <v>1025</v>
      </c>
      <c r="B147" s="19" t="s">
        <v>1026</v>
      </c>
      <c r="C147" s="20" t="s">
        <v>990</v>
      </c>
      <c r="D147" s="116">
        <v>2</v>
      </c>
      <c r="E147" s="138" t="s">
        <v>1027</v>
      </c>
    </row>
    <row r="148" spans="1:5" ht="72" x14ac:dyDescent="0.2">
      <c r="A148" s="18" t="s">
        <v>1082</v>
      </c>
      <c r="B148" s="19" t="s">
        <v>1083</v>
      </c>
      <c r="C148" s="20" t="s">
        <v>1084</v>
      </c>
      <c r="D148" s="119">
        <f>2</f>
        <v>2.0</v>
      </c>
      <c r="E148" s="138" t="s">
        <v>1974</v>
      </c>
    </row>
    <row r="149" spans="1:5" ht="48" x14ac:dyDescent="0.2">
      <c r="A149" s="18" t="s">
        <v>1085</v>
      </c>
      <c r="B149" s="19" t="s">
        <v>1086</v>
      </c>
      <c r="C149" s="20" t="s">
        <v>1087</v>
      </c>
      <c r="D149" s="119">
        <f>pH_Cl*M_HOCl</f>
        <v>0.0</v>
      </c>
      <c r="E149" s="138" t="s">
        <v>1975</v>
      </c>
    </row>
    <row r="150" spans="1:5" ht="24" x14ac:dyDescent="0.2">
      <c r="A150" s="18" t="s">
        <v>1088</v>
      </c>
      <c r="B150" s="19" t="s">
        <v>1089</v>
      </c>
      <c r="C150" s="20" t="s">
        <v>1090</v>
      </c>
      <c r="D150" s="116">
        <v>1.6666666666666666E-2</v>
      </c>
      <c r="E150" s="57" t="s">
        <v>1091</v>
      </c>
    </row>
    <row r="151" spans="1:5" ht="24" x14ac:dyDescent="0.2">
      <c r="A151" s="18" t="s">
        <v>1092</v>
      </c>
      <c r="B151" s="19" t="s">
        <v>1093</v>
      </c>
      <c r="C151" s="20" t="s">
        <v>1094</v>
      </c>
      <c r="D151" s="116">
        <v>5</v>
      </c>
      <c r="E151" s="57" t="s">
        <v>1095</v>
      </c>
    </row>
    <row r="152" spans="1:5" ht="24" x14ac:dyDescent="0.2">
      <c r="A152" s="18" t="s">
        <v>1096</v>
      </c>
      <c r="B152" s="19" t="s">
        <v>1097</v>
      </c>
      <c r="C152" s="20" t="s">
        <v>1098</v>
      </c>
      <c r="D152" s="116">
        <v>18</v>
      </c>
      <c r="E152" s="57" t="s">
        <v>1099</v>
      </c>
    </row>
    <row r="153" spans="1:5" x14ac:dyDescent="0.2">
      <c r="A153" s="18" t="s">
        <v>1100</v>
      </c>
      <c r="B153" s="19" t="s">
        <v>1101</v>
      </c>
      <c r="C153" s="20" t="s">
        <v>1102</v>
      </c>
      <c r="D153" s="116">
        <v>70</v>
      </c>
      <c r="E153" s="57" t="s">
        <v>1103</v>
      </c>
    </row>
    <row r="154" spans="1:5" ht="24" x14ac:dyDescent="0.2">
      <c r="A154" s="18" t="s">
        <v>1104</v>
      </c>
      <c r="B154" s="19" t="s">
        <v>1105</v>
      </c>
      <c r="C154" s="20" t="s">
        <v>1106</v>
      </c>
      <c r="D154" s="111">
        <f>MIN(pH_Cl*k_Cl_turn*tau_NH2Cl_lo*3600/(1+k_Cl_turn*tau_NH2Cl_lo*3600),I_Cl_FE/(n_e_Cl*Fcc*VLc)*tau_NH2Cl_lo*3600,pH_NT)*M_HOCl</f>
        <v>0.0</v>
      </c>
      <c r="E154" s="138" t="s">
        <v>1976</v>
      </c>
    </row>
    <row r="155" spans="1:5" ht="24" x14ac:dyDescent="0.2">
      <c r="A155" s="18" t="s">
        <v>1107</v>
      </c>
      <c r="B155" s="19" t="s">
        <v>1108</v>
      </c>
      <c r="C155" s="20" t="s">
        <v>1109</v>
      </c>
      <c r="D155" s="111">
        <f>MIN(pH_Cl*k_Cl_turn*tau_NH2Cl_hi*3600/(1+k_Cl_turn*tau_NH2Cl_hi*3600),I_Cl_FE/(n_e_Cl*Fcc*VLc)*tau_NH2Cl_hi*3600,pH_NT)*M_HOCl</f>
        <v>0.0</v>
      </c>
      <c r="E155" s="138" t="s">
        <v>1977</v>
      </c>
    </row>
    <row r="156" spans="1:5" x14ac:dyDescent="0.2">
      <c r="A156" s="18" t="s">
        <v>1110</v>
      </c>
      <c r="B156" s="19" t="s">
        <v>1111</v>
      </c>
      <c r="C156" s="20" t="s">
        <v>1112</v>
      </c>
      <c r="D156" s="119">
        <f>f_local*HOCl_ss_mgL+NH2Cl_lo/R_chloramine_hi</f>
        <v>0.0</v>
      </c>
      <c r="E156" s="138" t="s">
        <v>1113</v>
      </c>
    </row>
    <row r="157" spans="1:5" ht="24" x14ac:dyDescent="0.2">
      <c r="A157" s="18" t="s">
        <v>1114</v>
      </c>
      <c r="B157" s="19" t="s">
        <v>1115</v>
      </c>
      <c r="C157" s="20" t="s">
        <v>1116</v>
      </c>
      <c r="D157" s="119">
        <f>f_local*HOCl_ss_mgL+NH2Cl_hi/R_chloramine_lo</f>
        <v>0.0</v>
      </c>
      <c r="E157" s="138" t="s">
        <v>1117</v>
      </c>
    </row>
    <row r="158" spans="1:5" ht="24" x14ac:dyDescent="0.2">
      <c r="A158" s="18" t="s">
        <v>1118</v>
      </c>
      <c r="B158" s="19" t="s">
        <v>1119</v>
      </c>
      <c r="C158" s="20" t="s">
        <v>1120</v>
      </c>
      <c r="D158" s="44"/>
      <c r="E158" s="141" t="s">
        <v>1121</v>
      </c>
    </row>
    <row r="159" spans="1:5" x14ac:dyDescent="0.2">
      <c r="A159" s="18" t="s">
        <v>1122</v>
      </c>
      <c r="B159" s="19" t="s">
        <v>1123</v>
      </c>
      <c r="C159" s="20" t="s">
        <v>1124</v>
      </c>
      <c r="D159" s="116">
        <v>63.55</v>
      </c>
      <c r="E159" s="138" t="s">
        <v>1125</v>
      </c>
    </row>
    <row r="160" spans="1:5" x14ac:dyDescent="0.2">
      <c r="A160" s="18" t="s">
        <v>1126</v>
      </c>
      <c r="B160" s="19" t="s">
        <v>1127</v>
      </c>
      <c r="C160" s="20" t="s">
        <v>1128</v>
      </c>
      <c r="D160" s="116">
        <v>2</v>
      </c>
      <c r="E160" s="138" t="s">
        <v>1129</v>
      </c>
    </row>
    <row r="161" spans="1:5" ht="24" x14ac:dyDescent="0.2">
      <c r="A161" s="18" t="s">
        <v>1130</v>
      </c>
      <c r="B161" s="19" t="s">
        <v>1131</v>
      </c>
      <c r="C161" s="20" t="s">
        <v>1132</v>
      </c>
      <c r="D161" s="119" t="e">
        <f>IF(ISNUMBER(corr_I_frac),corr_I_frac*Iappc/(metal_z*Fcc)*metal_MW*1000*3600/VLc,NA())</f>
        <v>#N/A</v>
      </c>
      <c r="E161" s="141" t="s">
        <v>1133</v>
      </c>
    </row>
    <row r="162" spans="1:5" ht="24" x14ac:dyDescent="0.2">
      <c r="A162" s="18" t="s">
        <v>1134</v>
      </c>
      <c r="B162" s="19" t="s">
        <v>1135</v>
      </c>
      <c r="C162" s="20" t="s">
        <v>1136</v>
      </c>
      <c r="D162" s="116">
        <v>0.5</v>
      </c>
      <c r="E162" s="138" t="s">
        <v>1137</v>
      </c>
    </row>
    <row r="163" spans="1:5" x14ac:dyDescent="0.2">
      <c r="A163" s="18" t="s">
        <v>1138</v>
      </c>
      <c r="B163" s="19" t="s">
        <v>1139</v>
      </c>
      <c r="C163" s="20" t="s">
        <v>1140</v>
      </c>
      <c r="D163" s="49" t="str">
        <f>IF(ISNUMBER(corr_I_frac),"metal leach "&amp;TEXT(metal_leach_rate,"0.00")&amp;" mg/L/h vs ~"&amp;TEXT(metal_tox_thresh,"0.0")&amp;" mg/L bactericidal threshold","DATA GAP - measure dissolved Cu/Ni/Fe in spent medium; the green anode implicates electrode corrosion / metal leaching as the unmodelled prime suspect for the Exp-2 death")</f>
        <v>DATA GAP - measure dissolved Cu/Ni/Fe in spent medium; the green anode implicates electrode corrosion / metal leaching as the unmodelled prime suspect for the Exp-2 death</v>
      </c>
      <c r="E163" s="141" t="s">
        <v>1141</v>
      </c>
    </row>
    <row r="165" spans="1:5" x14ac:dyDescent="0.2">
      <c r="A165" s="6" t="s">
        <v>1334</v>
      </c>
    </row>
    <row r="166" spans="1:5" ht="36" x14ac:dyDescent="0.2">
      <c r="A166" t="s">
        <v>1335</v>
      </c>
      <c r="B166" s="19" t="s">
        <v>1336</v>
      </c>
      <c r="C166" s="20" t="s">
        <v>1337</v>
      </c>
      <c r="D166" s="116">
        <v>50.08</v>
      </c>
      <c r="E166" s="74" t="s">
        <v>1338</v>
      </c>
    </row>
    <row r="167" spans="1:5" ht="36" x14ac:dyDescent="0.2">
      <c r="A167" t="s">
        <v>1339</v>
      </c>
      <c r="B167" s="19" t="s">
        <v>1340</v>
      </c>
      <c r="C167" s="20" t="s">
        <v>1337</v>
      </c>
      <c r="D167" s="116">
        <v>73.48</v>
      </c>
      <c r="E167" s="74" t="s">
        <v>1338</v>
      </c>
    </row>
    <row r="168" spans="1:5" ht="36" x14ac:dyDescent="0.2">
      <c r="A168" t="s">
        <v>1341</v>
      </c>
      <c r="B168" s="19" t="s">
        <v>1342</v>
      </c>
      <c r="C168" s="20" t="s">
        <v>1337</v>
      </c>
      <c r="D168" s="116">
        <v>73.5</v>
      </c>
      <c r="E168" s="74" t="s">
        <v>1338</v>
      </c>
    </row>
    <row r="169" spans="1:5" ht="36" x14ac:dyDescent="0.2">
      <c r="A169" t="s">
        <v>1343</v>
      </c>
      <c r="B169" s="19" t="s">
        <v>1344</v>
      </c>
      <c r="C169" s="20" t="s">
        <v>1337</v>
      </c>
      <c r="D169" s="116">
        <v>106</v>
      </c>
      <c r="E169" s="74" t="s">
        <v>1338</v>
      </c>
    </row>
    <row r="170" spans="1:5" ht="36" x14ac:dyDescent="0.2">
      <c r="A170" t="s">
        <v>1345</v>
      </c>
      <c r="B170" s="19" t="s">
        <v>1346</v>
      </c>
      <c r="C170" s="20" t="s">
        <v>1337</v>
      </c>
      <c r="D170" s="116">
        <v>118.94</v>
      </c>
      <c r="E170" s="74" t="s">
        <v>1338</v>
      </c>
    </row>
    <row r="171" spans="1:5" ht="36" x14ac:dyDescent="0.2">
      <c r="A171" t="s">
        <v>1347</v>
      </c>
      <c r="B171" s="19" t="s">
        <v>1348</v>
      </c>
      <c r="C171" s="20" t="s">
        <v>1337</v>
      </c>
      <c r="D171" s="116">
        <v>36</v>
      </c>
      <c r="E171" s="74" t="s">
        <v>1338</v>
      </c>
    </row>
    <row r="172" spans="1:5" ht="36" x14ac:dyDescent="0.2">
      <c r="A172" t="s">
        <v>1349</v>
      </c>
      <c r="B172" s="19" t="s">
        <v>1350</v>
      </c>
      <c r="C172" s="20" t="s">
        <v>1337</v>
      </c>
      <c r="D172" s="116">
        <v>114</v>
      </c>
      <c r="E172" s="74" t="s">
        <v>1338</v>
      </c>
    </row>
    <row r="173" spans="1:5" ht="36" x14ac:dyDescent="0.2">
      <c r="A173" t="s">
        <v>1351</v>
      </c>
      <c r="B173" s="19" t="s">
        <v>1352</v>
      </c>
      <c r="C173" s="20" t="s">
        <v>1337</v>
      </c>
      <c r="D173" s="116">
        <v>160</v>
      </c>
      <c r="E173" s="74" t="s">
        <v>1338</v>
      </c>
    </row>
    <row r="174" spans="1:5" ht="36" x14ac:dyDescent="0.2">
      <c r="A174" t="s">
        <v>1353</v>
      </c>
      <c r="B174" s="19" t="s">
        <v>1354</v>
      </c>
      <c r="C174" s="20" t="s">
        <v>1337</v>
      </c>
      <c r="D174" s="116">
        <v>44.5</v>
      </c>
      <c r="E174" s="74" t="s">
        <v>1338</v>
      </c>
    </row>
    <row r="175" spans="1:5" ht="36" x14ac:dyDescent="0.2">
      <c r="A175" t="s">
        <v>1355</v>
      </c>
      <c r="B175" s="19" t="s">
        <v>1356</v>
      </c>
      <c r="C175" s="20" t="s">
        <v>1337</v>
      </c>
      <c r="D175" s="116">
        <v>76.31</v>
      </c>
      <c r="E175" s="74" t="s">
        <v>1338</v>
      </c>
    </row>
    <row r="176" spans="1:5" ht="36" x14ac:dyDescent="0.2">
      <c r="A176" t="s">
        <v>1357</v>
      </c>
      <c r="B176" s="19" t="s">
        <v>1358</v>
      </c>
      <c r="C176" s="20" t="s">
        <v>1359</v>
      </c>
      <c r="D176" s="111">
        <f>(2*mc_Na2HPO4/MW_Na2HPO4*lam_Na+mc_NaH2PO4_2H2O/MW_NaH2PO4_2H2O*lam_Na+2*mc_K2SO4/MW_K2SO4*lam_K+2*mc_NH42SO4/MW_NH42SO4*lam_NH4+mc_MgSO4_7H2O/MW_MgSO4_7H2O*lam_Mg+mc_CaSO4_2H2O/MW_CaSO4_2H2O*lam_Ca+mc_Na2HPO4/MW_Na2HPO4*lam_HPO4+mc_NaH2PO4_2H2O/MW_NaH2PO4_2H2O*lam_H2PO4+(mc_K2SO4/MW_K2SO4+mc_MgSO4_7H2O/MW_MgSO4_7H2O+mc_CaSO4_2H2O/MW_CaSO4_2H2O+mc_NH42SO4/MW_NH42SO4)*lam_SO4)/10</f>
        <v>0.956659526802</v>
      </c>
      <c r="E176" s="51" t="s">
        <v>1360</v>
      </c>
    </row>
    <row r="177" spans="1:5" x14ac:dyDescent="0.2">
      <c r="A177" t="s">
        <v>1361</v>
      </c>
      <c r="B177" s="19" t="s">
        <v>1362</v>
      </c>
      <c r="C177" s="20" t="s">
        <v>1359</v>
      </c>
      <c r="D177" s="111">
        <f>((udg_NaHCO3/MW_NaHCO3+2*udg_Na2HPO4/MW_Na2HPO4)*lam_Na+udg_KH2PO4/MW_KH2PO4*lam_K+2*udg_NH42SO4/MW_NH42SO4*lam_NH4+udg_MgSO4_7H2O/MW_MgSO4_7H2O*lam_Mg+udg_CaCl2/MW_CaCl2*lam_Ca+udg_Na2HPO4/MW_Na2HPO4*lam_HPO4+udg_KH2PO4/MW_KH2PO4*lam_H2PO4+(udg_MgSO4_7H2O/MW_MgSO4_7H2O+udg_NH42SO4/MW_NH42SO4)*lam_SO4+udg_NaHCO3/MW_NaHCO3*lam_HCO3+2*udg_CaCl2/MW_CaCl2*lam_Cl)/10</f>
        <v>0.90634186802</v>
      </c>
      <c r="E177" s="51" t="s">
        <v>1363</v>
      </c>
    </row>
    <row r="178" spans="1:5" ht="72" x14ac:dyDescent="0.2">
      <c r="A178" t="s">
        <v>1364</v>
      </c>
      <c r="B178" s="19" t="s">
        <v>1365</v>
      </c>
      <c r="C178" s="20" t="s">
        <v>1140</v>
      </c>
      <c r="D178" s="116">
        <v>0.78</v>
      </c>
      <c r="E178" s="57" t="inlineStr">
        <is>
          <t xml:space="preserve">Estimate anchored near I=0.1 M, not calibrated for AMYBO03 at about 0.2 M. Retained 0.78 pending conductivity measurement; sweep 0.66–0.90 is illustrative, not a validated uncertainty bound.</t>
        </is>
      </c>
    </row>
    <row r="179" spans="1:5" ht="48" x14ac:dyDescent="0.2">
      <c r="A179" t="s">
        <v>1367</v>
      </c>
      <c r="B179" s="19" t="s">
        <v>1368</v>
      </c>
      <c r="C179" s="20" t="s">
        <v>1369</v>
      </c>
      <c r="D179" s="116">
        <v>0.02</v>
      </c>
      <c r="E179" s="51" t="s">
        <v>1370</v>
      </c>
    </row>
    <row r="180" spans="1:5" ht="24" x14ac:dyDescent="0.2">
      <c r="A180" t="s">
        <v>1371</v>
      </c>
      <c r="B180" s="19" t="s">
        <v>1372</v>
      </c>
      <c r="C180" s="20" t="s">
        <v>1359</v>
      </c>
      <c r="D180" s="111">
        <f>(IF(media_sel=INDEX(MediaList,1),kappa0_mc02,IF(media_sel=INDEX(MediaList,2),kappa0_udg,IF(media_sel=INDEX(MediaList,3),AMYBO03!kappa0_AMYBO03,NA())))+alk_add_M*(lam_Na+lam_HCO3)/10)*kappa_fI*(1+kappa_TC*(TKc-T_ref))</f>
        <v>1.401288519775</v>
      </c>
      <c r="E180" s="51" t="inlineStr">
        <is>
          <t xml:space="preserve">(Kohlrausch sum of the recipe + the added NaHCO₃, D318) × finite-strength factor × temperature correction. Feeds the ohmic term of the cell-voltage budget (Electrochemistry).</t>
        </is>
      </c>
    </row>
    <row r="182" spans="1:5" x14ac:dyDescent="0.2">
      <c r="A182" s="6" t="s">
        <v>1374</v>
      </c>
    </row>
    <row r="183" spans="1:5" ht="36" x14ac:dyDescent="0.2">
      <c r="A183" t="s">
        <v>1375</v>
      </c>
      <c r="B183" s="19" t="s">
        <v>1376</v>
      </c>
      <c r="C183" s="20" t="s">
        <v>1000</v>
      </c>
      <c r="D183" s="111">
        <f>0.5*(2*mc_Na2HPO4/MW_Na2HPO4+mc_NaH2PO4_2H2O/MW_NaH2PO4_2H2O+2*mc_K2SO4/MW_K2SO4+2*mc_NH42SO4/MW_NH42SO4+4*mc_MgSO4_7H2O/MW_MgSO4_7H2O+4*mc_CaSO4_2H2O/MW_CaSO4_2H2O+mc_NaH2PO4_2H2O/MW_NaH2PO4_2H2O+4*mc_Na2HPO4/MW_Na2HPO4+4*(mc_K2SO4/MW_K2SO4+mc_MgSO4_7H2O/MW_MgSO4_7H2O+mc_CaSO4_2H2O/MW_CaSO4_2H2O+mc_NH42SO4/MW_NH42SO4))</f>
        <v>0.120365489933</v>
      </c>
      <c r="E183" s="51" t="s">
        <v>1377</v>
      </c>
    </row>
    <row r="184" spans="1:5" x14ac:dyDescent="0.2">
      <c r="A184" t="s">
        <v>1378</v>
      </c>
      <c r="B184" s="19" t="s">
        <v>1379</v>
      </c>
      <c r="C184" s="20" t="s">
        <v>1000</v>
      </c>
      <c r="D184" s="111">
        <f>0.5*((udg_NaHCO3/MW_NaHCO3+2*udg_Na2HPO4/MW_Na2HPO4)+udg_KH2PO4/MW_KH2PO4+2*udg_NH42SO4/MW_NH42SO4+4*udg_MgSO4_7H2O/MW_MgSO4_7H2O+4*udg_CaCl2/MW_CaCl2+udg_KH2PO4/MW_KH2PO4+4*udg_Na2HPO4/MW_Na2HPO4+4*(udg_MgSO4_7H2O/MW_MgSO4_7H2O+udg_NH42SO4/MW_NH42SO4)+udg_NaHCO3/MW_NaHCO3+2*udg_CaCl2/MW_CaCl2)</f>
        <v>0.109739973238</v>
      </c>
      <c r="E184" s="51" t="s">
        <v>1363</v>
      </c>
    </row>
    <row r="185" spans="1:5" x14ac:dyDescent="0.2">
      <c r="A185" t="s">
        <v>1380</v>
      </c>
      <c r="B185" s="19" t="s">
        <v>1381</v>
      </c>
      <c r="C185" s="20" t="s">
        <v>1000</v>
      </c>
      <c r="D185" s="111">
        <f>IF(media_sel=INDEX(MediaList,1),I_mc02,IF(media_sel=INDEX(MediaList,2),I_udg,IF(media_sel=INDEX(MediaList,3),AMYBO03!I_AMYBO03,NA())))+alk_add_M</f>
        <v>0.200184197377</v>
      </c>
      <c r="E185" s="51" t="inlineStr">
        <is>
          <t xml:space="preserve">by media_sel, plus the added NaHCO₃ (D318: Na⁺ and HCO₃⁻, each z = 1)</t>
        </is>
      </c>
    </row>
    <row r="186" spans="1:5" ht="36" x14ac:dyDescent="0.2">
      <c r="A186" t="s">
        <v>1382</v>
      </c>
      <c r="B186" s="19" t="s">
        <v>1383</v>
      </c>
      <c r="C186" s="20" t="s">
        <v>1140</v>
      </c>
      <c r="D186" s="111">
        <f>DH_const*(eps_water_298*(T_ref/TKc)^eps_T_exp)^-1.5*TKc^-1.5</f>
        <v>0.512589593496</v>
      </c>
      <c r="E186" s="51" t="s">
        <v>1384</v>
      </c>
    </row>
    <row r="187" spans="1:5" ht="36" x14ac:dyDescent="0.2">
      <c r="A187" t="s">
        <v>1385</v>
      </c>
      <c r="B187" s="19" t="s">
        <v>1386</v>
      </c>
      <c r="C187" s="20" t="s">
        <v>1140</v>
      </c>
      <c r="D187" s="111">
        <f>10^(-A_DH*1*(SQRT(I_ionic)/(1+SQRT(I_ionic))-davies_c*I_ionic))</f>
        <v>0.745305665732</v>
      </c>
      <c r="E187" s="51" t="s">
        <v>1387</v>
      </c>
    </row>
    <row r="188" spans="1:5" ht="36" x14ac:dyDescent="0.2">
      <c r="A188" t="s">
        <v>1388</v>
      </c>
      <c r="B188" s="19" t="s">
        <v>1389</v>
      </c>
      <c r="C188" s="20" t="s">
        <v>1140</v>
      </c>
      <c r="D188" s="111">
        <f>10^(-A_DH*4*(SQRT(I_ionic)/(1+SQRT(I_ionic))-davies_c*I_ionic))</f>
        <v>0.308558625178</v>
      </c>
      <c r="E188" s="51" t="s">
        <v>1387</v>
      </c>
    </row>
    <row r="189" spans="1:5" ht="36" x14ac:dyDescent="0.2">
      <c r="A189" t="s">
        <v>1390</v>
      </c>
      <c r="B189" s="19" t="s">
        <v>1391</v>
      </c>
      <c r="C189" s="20" t="s">
        <v>1140</v>
      </c>
      <c r="D189" s="111">
        <f>10^(-A_DH*9*(SQRT(I_ionic)/(1+SQRT(I_ionic))-davies_c*I_ionic))</f>
        <v>0.070959378706</v>
      </c>
      <c r="E189" s="51" t="s">
        <v>1387</v>
      </c>
    </row>
    <row r="190" spans="1:5" ht="36" x14ac:dyDescent="0.2">
      <c r="A190" t="s">
        <v>1392</v>
      </c>
      <c r="B190" s="19" t="s">
        <v>1393</v>
      </c>
      <c r="C190" s="20" t="s">
        <v>1000</v>
      </c>
      <c r="D190" s="111">
        <f>Ka1c/gamma_1^2</f>
        <v>8.513936323774e-07</v>
      </c>
      <c r="E190" s="51" t="s">
        <v>1394</v>
      </c>
    </row>
    <row r="191" spans="1:5" ht="36" x14ac:dyDescent="0.2">
      <c r="A191" t="s">
        <v>1395</v>
      </c>
      <c r="B191" s="19" t="s">
        <v>1396</v>
      </c>
      <c r="C191" s="20" t="s">
        <v>1000</v>
      </c>
      <c r="D191" s="111">
        <f>Ka2c/gamma_2</f>
        <v>1.678375773579e-10</v>
      </c>
      <c r="E191" s="51" t="s">
        <v>1397</v>
      </c>
    </row>
    <row r="192" spans="1:5" ht="36" x14ac:dyDescent="0.2">
      <c r="A192" t="s">
        <v>1398</v>
      </c>
      <c r="B192" s="19" t="s">
        <v>1399</v>
      </c>
      <c r="C192" s="20" t="s">
        <v>1000</v>
      </c>
      <c r="D192" s="111">
        <f>Ka1p/gamma_1^2</f>
        <v>0.012119179969</v>
      </c>
      <c r="E192" s="51" t="s">
        <v>1400</v>
      </c>
    </row>
    <row r="193" spans="1:5" ht="60" x14ac:dyDescent="0.2">
      <c r="A193" t="s">
        <v>1401</v>
      </c>
      <c r="B193" s="19" t="s">
        <v>1402</v>
      </c>
      <c r="C193" s="20" t="s">
        <v>1000</v>
      </c>
      <c r="D193" s="111">
        <f>Ka2p/gamma_2</f>
        <v>2.094565709218e-07</v>
      </c>
      <c r="E193" s="51" t="s">
        <v>1403</v>
      </c>
    </row>
    <row r="194" spans="1:5" ht="36" x14ac:dyDescent="0.2">
      <c r="A194" t="s">
        <v>1404</v>
      </c>
      <c r="B194" s="19" t="s">
        <v>1405</v>
      </c>
      <c r="C194" s="20" t="s">
        <v>1000</v>
      </c>
      <c r="D194" s="111">
        <f>Ka3p*gamma_2/(gamma_1*gamma_3)</f>
        <v>2.725682659848e-12</v>
      </c>
      <c r="E194" s="51" t="s">
        <v>1406</v>
      </c>
    </row>
    <row r="195" spans="1:5" ht="24" x14ac:dyDescent="0.2">
      <c r="A195" t="s">
        <v>1407</v>
      </c>
      <c r="B195" s="19" t="s">
        <v>1408</v>
      </c>
      <c r="C195" s="20" t="s">
        <v>1000</v>
      </c>
      <c r="D195" s="111">
        <f>Kw_w/gamma_1^2</f>
        <v>2.609559044695e-14</v>
      </c>
      <c r="E195" s="51" t="s">
        <v>1409</v>
      </c>
    </row>
    <row r="196" spans="1:5" ht="36" x14ac:dyDescent="0.2">
      <c r="A196" t="s">
        <v>1410</v>
      </c>
      <c r="B196" s="19" t="s">
        <v>1411</v>
      </c>
      <c r="C196" s="20" t="s">
        <v>1000</v>
      </c>
      <c r="D196" s="111">
        <f>Ka_HOCl/gamma_1^2</f>
        <v>5.691237610169e-08</v>
      </c>
      <c r="E196" s="51" t="s">
        <v>1412</v>
      </c>
    </row>
    <row r="197" spans="1:5" ht="36" x14ac:dyDescent="0.2">
      <c r="A197" t="s">
        <v>1413</v>
      </c>
      <c r="B197" s="19" t="s">
        <v>1414</v>
      </c>
      <c r="C197" s="20" t="s">
        <v>1000</v>
      </c>
      <c r="D197" s="111">
        <f>Ka_NH4</f>
        <v>7.92540891973e-10</v>
      </c>
      <c r="E197" s="74" t="s">
        <v>1415</v>
      </c>
    </row>
    <row r="199" spans="1:5" x14ac:dyDescent="0.2">
      <c r="A199" s="6" t="s">
        <v>1416</v>
      </c>
    </row>
    <row r="200" spans="1:5" x14ac:dyDescent="0.2">
      <c r="A200" t="s">
        <v>1417</v>
      </c>
      <c r="B200" s="19" t="s">
        <v>1418</v>
      </c>
      <c r="C200" s="20" t="s">
        <v>1419</v>
      </c>
      <c r="D200" s="111">
        <f>R_gas*TKc/Fcc*LN(10)</f>
        <v>0.060151456841</v>
      </c>
      <c r="E200" s="74" t="s">
        <v>1420</v>
      </c>
    </row>
    <row r="201" spans="1:5" ht="36" x14ac:dyDescent="0.2">
      <c r="A201" t="s">
        <v>1421</v>
      </c>
      <c r="B201" s="19" t="s">
        <v>1422</v>
      </c>
      <c r="C201" s="20" t="s">
        <v>1423</v>
      </c>
      <c r="D201" s="116">
        <v>1.2290000000000001</v>
      </c>
      <c r="E201" s="74" t="s">
        <v>1424</v>
      </c>
    </row>
    <row r="202" spans="1:5" ht="24" x14ac:dyDescent="0.2">
      <c r="A202" t="s">
        <v>1425</v>
      </c>
      <c r="B202" s="19" t="s">
        <v>1426</v>
      </c>
      <c r="C202" s="20" t="s">
        <v>1423</v>
      </c>
      <c r="D202" s="116">
        <v>0</v>
      </c>
      <c r="E202" s="74" t="s">
        <v>1427</v>
      </c>
    </row>
    <row r="203" spans="1:5" x14ac:dyDescent="0.2">
      <c r="A203" t="s">
        <v>1428</v>
      </c>
      <c r="B203" s="19" t="s">
        <v>1429</v>
      </c>
      <c r="C203" s="20" t="s">
        <v>1423</v>
      </c>
      <c r="D203" s="116">
        <v>1.3580000000000001</v>
      </c>
      <c r="E203" s="74" t="s">
        <v>1430</v>
      </c>
    </row>
    <row r="204" spans="1:5" x14ac:dyDescent="0.2">
      <c r="A204" t="s">
        <v>1431</v>
      </c>
      <c r="B204" s="19" t="s">
        <v>1432</v>
      </c>
      <c r="C204" s="20" t="s">
        <v>1423</v>
      </c>
      <c r="D204" s="116">
        <v>0.69499999999999995</v>
      </c>
      <c r="E204" s="74" t="s">
        <v>1433</v>
      </c>
    </row>
    <row r="205" spans="1:5" x14ac:dyDescent="0.2">
      <c r="A205" t="s">
        <v>1434</v>
      </c>
      <c r="B205" s="19" t="s">
        <v>1435</v>
      </c>
      <c r="C205" s="20" t="s">
        <v>1423</v>
      </c>
      <c r="D205" s="116">
        <v>0.34189999999999998</v>
      </c>
      <c r="E205" s="74" t="s">
        <v>1430</v>
      </c>
    </row>
    <row r="206" spans="1:5" ht="24" x14ac:dyDescent="0.2">
      <c r="A206" t="s">
        <v>1436</v>
      </c>
      <c r="B206" s="19" t="s">
        <v>1437</v>
      </c>
      <c r="C206" s="20" t="s">
        <v>1423</v>
      </c>
      <c r="D206" s="111">
        <f>E0_OER-nernst_slope*pH_meas</f>
        <v>0.838755281059</v>
      </c>
      <c r="E206" s="74" t="s">
        <v>1438</v>
      </c>
    </row>
    <row r="207" spans="1:5" x14ac:dyDescent="0.2">
      <c r="A207" t="s">
        <v>1439</v>
      </c>
      <c r="B207" s="19" t="s">
        <v>1440</v>
      </c>
      <c r="C207" s="20" t="s">
        <v>1423</v>
      </c>
      <c r="D207" s="111">
        <f>E0_HER-nernst_slope*pH_meas</f>
        <v>-0.390244718941</v>
      </c>
      <c r="E207" s="74" t="s">
        <v>1441</v>
      </c>
    </row>
    <row r="208" spans="1:5" ht="24" x14ac:dyDescent="0.2">
      <c r="A208" t="s">
        <v>1978</v>
      </c>
      <c r="B208" s="19" t="s">
        <v>1442</v>
      </c>
      <c r="C208" s="20" t="s">
        <v>1423</v>
      </c>
      <c r="D208" s="111" t="e">
        <f>IF(pH_Cl&gt;0,E0_Cl2+nernst_slope*(-LOG10(MAX(gamma_1*pH_Cl*Cl_free_frac,Cl_floor_molL))),NA())</f>
        <v>#N/A</v>
      </c>
      <c r="E208" s="51" t="s">
        <v>1443</v>
      </c>
    </row>
    <row r="209" spans="1:5" ht="48" x14ac:dyDescent="0.2">
      <c r="A209" t="s">
        <v>1979</v>
      </c>
      <c r="B209" s="19" t="s">
        <v>1444</v>
      </c>
      <c r="C209" s="20" t="s">
        <v>1445</v>
      </c>
      <c r="D209" s="111" t="e">
        <f>E_HOCl_Cl-E_anode_op</f>
        <v>#N/A</v>
      </c>
      <c r="E209" s="57" t="inlineStr">
        <is>
          <t xml:space="preserve">Not applicable (#N/A) without chloride. Otherwise HOCl/Cl- couple minus operating anode potential; chloride uses free-ion activity, not total analytical concentration.</t>
        </is>
      </c>
    </row>
    <row r="210" spans="1:5" ht="48" x14ac:dyDescent="0.2">
      <c r="A210" t="s">
        <v>1446</v>
      </c>
      <c r="B210" s="19" t="s">
        <v>1447</v>
      </c>
      <c r="C210" s="20" t="s">
        <v>1423</v>
      </c>
      <c r="D210" s="111">
        <f>E0_ORR2-nernst_slope*pH_meas</f>
        <v>0.304755281059</v>
      </c>
      <c r="E210" s="51" t="s">
        <v>1448</v>
      </c>
    </row>
    <row r="211" spans="1:5" ht="48" x14ac:dyDescent="0.2">
      <c r="A211" t="s">
        <v>1981</v>
      </c>
      <c r="B211" s="19" t="s">
        <v>1450</v>
      </c>
      <c r="C211" s="20" t="s">
        <v>1445</v>
      </c>
      <c r="D211" s="111">
        <f>E_anode_op-E0_Cu</f>
        <v>1.24888409344</v>
      </c>
      <c r="E211" s="51" t="s">
        <v>1451</v>
      </c>
    </row>
    <row r="213" spans="1:5" x14ac:dyDescent="0.2">
      <c r="A213" s="6" t="s">
        <v>1452</v>
      </c>
    </row>
    <row r="214" spans="1:5" ht="24" x14ac:dyDescent="0.2">
      <c r="A214" t="s">
        <v>1453</v>
      </c>
      <c r="B214" s="19" t="s">
        <v>1454</v>
      </c>
      <c r="C214" s="20" t="s">
        <v>515</v>
      </c>
      <c r="D214" s="116">
        <v>7.5899999999999996E-10</v>
      </c>
      <c r="E214" s="74" t="s">
        <v>1455</v>
      </c>
    </row>
    <row r="215" spans="1:5" ht="36" x14ac:dyDescent="0.2">
      <c r="A215" t="s">
        <v>1982</v>
      </c>
      <c r="B215" s="19" t="s">
        <v>1456</v>
      </c>
      <c r="C215" s="20" t="s">
        <v>518</v>
      </c>
      <c r="D215" s="111">
        <f>D_O2_c/(km_O2_c/100)*1000000</f>
        <v>56.238610894062</v>
      </c>
      <c r="E215" s="51" t="s">
        <v>1983</v>
      </c>
    </row>
    <row r="216" spans="1:5" ht="84" x14ac:dyDescent="0.2">
      <c r="A216" t="s">
        <v>1457</v>
      </c>
      <c r="B216" s="19" t="s">
        <v>1458</v>
      </c>
      <c r="C216" s="20" t="s">
        <v>1148</v>
      </c>
      <c r="D216" s="111">
        <f>Fcc*((km_HPO4/100)*HPO4_op+(km_HCO3/100)*HCO3_op)*1000/10</f>
        <v>16.462667230811</v>
      </c>
      <c r="E216" s="51" t="s">
        <v>1984</v>
      </c>
    </row>
    <row r="217" spans="1:5" x14ac:dyDescent="0.2">
      <c r="A217" t="s">
        <v>1459</v>
      </c>
      <c r="B217" s="19" t="s">
        <v>1460</v>
      </c>
      <c r="C217" s="20" t="s">
        <v>1148</v>
      </c>
      <c r="D217" s="111">
        <f>Electrochemistry!j_anode</f>
        <v>3.287810437489</v>
      </c>
      <c r="E217" s="51" t="s">
        <v>1461</v>
      </c>
    </row>
    <row r="218" spans="1:5" ht="48" x14ac:dyDescent="0.2">
      <c r="A218" t="s">
        <v>1462</v>
      </c>
      <c r="B218" s="19" t="s">
        <v>1463</v>
      </c>
      <c r="C218" s="20" t="s">
        <v>1140</v>
      </c>
      <c r="D218" s="111">
        <f>j_anode_c/j_buffer_lim</f>
        <v>0.19971310793</v>
      </c>
      <c r="E218" s="51" t="s">
        <v>1464</v>
      </c>
    </row>
    <row r="219" spans="1:5" ht="48" x14ac:dyDescent="0.2">
      <c r="A219" t="s">
        <v>1465</v>
      </c>
      <c r="B219" s="19" t="s">
        <v>1466</v>
      </c>
      <c r="C219" s="20" t="s">
        <v>1140</v>
      </c>
      <c r="D219" s="111" t="str">
        <f>IF(j_buffer_ratio&gt;1,"BUFFER EXCEEDED — anode surface acidifies (local pH ~1 unit below bulk); the pH solved above is the bulk value only",IF(j_buffer_ratio&gt;buffer_caution_frac,"watch — running at "&amp;TEXT(j_buffer_ratio,"0%")&amp;" of the phosphate buffer limit; expect a 0.4–1.0 unit excursion at each electrode surface","OK — buffer holds the electrode surfaces at the bulk pH"))</f>
        <v>OK — buffer holds the electrode surfaces at the bulk pH</v>
      </c>
      <c r="E219" s="51" t="s">
        <v>1467</v>
      </c>
    </row>
    <row r="220" spans="1:5" ht="60" x14ac:dyDescent="0.2">
      <c r="A220" t="s">
        <v>1468</v>
      </c>
      <c r="B220" s="19" t="s">
        <v>1469</v>
      </c>
      <c r="C220" s="20" t="s">
        <v>1140</v>
      </c>
      <c r="D220" s="111">
        <f>pH_op-LOG10(gamma_1)</f>
        <v>6.48770186848</v>
      </c>
      <c r="E220" s="51" t="s">
        <v>1470</v>
      </c>
    </row>
    <row r="221" spans="1:5" x14ac:dyDescent="0.2">
      <c r="A221" s="6" t="s">
        <v>1985</v>
      </c>
    </row>
    <row r="222" spans="1:5" ht="48" x14ac:dyDescent="0.2">
      <c r="A222" t="s">
        <v>1672</v>
      </c>
      <c r="B222" s="19" t="s">
        <v>1673</v>
      </c>
      <c r="C222" s="20" t="s">
        <v>1674</v>
      </c>
      <c r="D222" s="116">
        <v>52460</v>
      </c>
      <c r="E222" s="74" t="s">
        <v>1675</v>
      </c>
    </row>
    <row r="223" spans="1:5" x14ac:dyDescent="0.2">
      <c r="A223" t="s">
        <v>1676</v>
      </c>
      <c r="B223" s="19" t="s">
        <v>1677</v>
      </c>
      <c r="C223" s="20" t="s">
        <v>1674</v>
      </c>
      <c r="D223" s="116">
        <v>70906</v>
      </c>
      <c r="E223" s="74" t="s">
        <v>1678</v>
      </c>
    </row>
    <row r="224" spans="1:5" ht="48" x14ac:dyDescent="0.2">
      <c r="A224" t="s">
        <v>1679</v>
      </c>
      <c r="B224" s="19" t="s">
        <v>1680</v>
      </c>
      <c r="C224" s="20" t="s">
        <v>1681</v>
      </c>
      <c r="D224" s="116">
        <v>5.0599999999999996</v>
      </c>
      <c r="E224" s="51" t="s">
        <v>1682</v>
      </c>
    </row>
    <row r="225" spans="1:5" x14ac:dyDescent="0.2">
      <c r="A225" t="s">
        <v>1683</v>
      </c>
      <c r="B225" s="19" t="s">
        <v>1684</v>
      </c>
      <c r="C225" s="20" t="s">
        <v>1674</v>
      </c>
      <c r="D225" s="116">
        <v>14007</v>
      </c>
      <c r="E225" s="74" t="s">
        <v>1685</v>
      </c>
    </row>
    <row r="226" spans="1:5" ht="48" x14ac:dyDescent="0.2">
      <c r="A226" t="s">
        <v>1686</v>
      </c>
      <c r="B226" s="19" t="s">
        <v>1687</v>
      </c>
      <c r="C226" s="20" t="s">
        <v>1136</v>
      </c>
      <c r="D226" s="111">
        <f>C_eff*M_Cl2/M_HOCl</f>
        <v>0.0</v>
      </c>
      <c r="E226" s="51" t="s">
        <v>1688</v>
      </c>
    </row>
    <row r="228" spans="1:5" ht="16" x14ac:dyDescent="0.2">
      <c r="A228" s="78" t="s">
        <v>1986</v>
      </c>
    </row>
    <row r="229" spans="1:5" x14ac:dyDescent="0.2">
      <c r="A229" s="18" t="s">
        <v>1987</v>
      </c>
      <c r="B229" s="19" t="s">
        <v>393</v>
      </c>
      <c r="C229" s="20" t="s">
        <v>262</v>
      </c>
      <c r="D229" s="111">
        <f>Biology!T_ref</f>
        <v>298.15</v>
      </c>
      <c r="E229" s="138" t="s">
        <v>1988</v>
      </c>
    </row>
    <row r="230" spans="1:5" x14ac:dyDescent="0.2">
      <c r="A230" s="18" t="s">
        <v>1989</v>
      </c>
      <c r="B230" s="19" t="s">
        <v>1990</v>
      </c>
      <c r="C230" s="20" t="s">
        <v>1991</v>
      </c>
      <c r="D230" s="130">
        <v>1820000</v>
      </c>
      <c r="E230" s="60" t="s">
        <v>1992</v>
      </c>
    </row>
    <row r="231" spans="1:5" x14ac:dyDescent="0.2">
      <c r="A231" s="18" t="s">
        <v>1993</v>
      </c>
      <c r="B231" s="19" t="s">
        <v>1994</v>
      </c>
      <c r="C231" s="20" t="s">
        <v>111</v>
      </c>
      <c r="D231" s="130">
        <v>78.540000000000006</v>
      </c>
      <c r="E231" s="60" t="s">
        <v>1995</v>
      </c>
    </row>
    <row r="232" spans="1:5" ht="24" x14ac:dyDescent="0.2">
      <c r="A232" s="18" t="s">
        <v>1996</v>
      </c>
      <c r="B232" s="19" t="s">
        <v>1997</v>
      </c>
      <c r="C232" s="20" t="s">
        <v>111</v>
      </c>
      <c r="D232" s="130">
        <v>1.3680000000000001</v>
      </c>
      <c r="E232" s="51" t="s">
        <v>1998</v>
      </c>
    </row>
    <row r="233" spans="1:5" x14ac:dyDescent="0.2">
      <c r="A233" s="18" t="s">
        <v>1999</v>
      </c>
      <c r="B233" s="19" t="s">
        <v>2000</v>
      </c>
      <c r="C233" s="20" t="s">
        <v>111</v>
      </c>
      <c r="D233" s="130">
        <v>0.3</v>
      </c>
      <c r="E233" s="60" t="s">
        <v>2001</v>
      </c>
    </row>
    <row r="234" spans="1:5" x14ac:dyDescent="0.2">
      <c r="A234" s="18" t="s">
        <v>2002</v>
      </c>
      <c r="B234" s="19" t="s">
        <v>2003</v>
      </c>
      <c r="C234" s="20" t="s">
        <v>429</v>
      </c>
      <c r="D234" s="130">
        <v>9.9999999999999998E-13</v>
      </c>
      <c r="E234" s="60" t="s">
        <v>2004</v>
      </c>
    </row>
    <row r="235" spans="1:5" x14ac:dyDescent="0.2">
      <c r="A235" s="18" t="s">
        <v>2005</v>
      </c>
      <c r="B235" s="19" t="s">
        <v>2006</v>
      </c>
      <c r="C235" s="20" t="s">
        <v>1842</v>
      </c>
      <c r="D235" s="130">
        <v>0.1</v>
      </c>
      <c r="E235" s="60" t="s">
        <v>2007</v>
      </c>
    </row>
    <row r="236" spans="1:5" x14ac:dyDescent="0.2">
      <c r="A236" s="18" t="s">
        <v>2008</v>
      </c>
      <c r="B236" s="19" t="s">
        <v>2009</v>
      </c>
      <c r="C236" s="20" t="s">
        <v>1842</v>
      </c>
      <c r="D236" s="130">
        <v>6.5</v>
      </c>
      <c r="E236" s="51" t="s">
        <v>2010</v>
      </c>
    </row>
    <row r="237" spans="1:5" x14ac:dyDescent="0.2">
      <c r="A237" s="18" t="s">
        <v>2011</v>
      </c>
      <c r="B237" s="19" t="s">
        <v>2012</v>
      </c>
      <c r="C237" s="20" t="s">
        <v>1842</v>
      </c>
      <c r="D237" s="130">
        <v>7.5</v>
      </c>
      <c r="E237" s="51" t="s">
        <v>2010</v>
      </c>
    </row>
    <row r="238" spans="1:5" ht="24" x14ac:dyDescent="0.2">
      <c r="A238" s="18" t="s">
        <v>2013</v>
      </c>
      <c r="B238" s="19" t="s">
        <v>2014</v>
      </c>
      <c r="C238" s="20" t="s">
        <v>111</v>
      </c>
      <c r="D238" s="130">
        <v>0.5</v>
      </c>
      <c r="E238" s="57" t="s">
        <v>2015</v>
      </c>
    </row>
    <row r="250" spans="1:5" x14ac:dyDescent="0.2">
      <c r="A250" s="6" t="s">
        <v>2016</v>
      </c>
    </row>
    <row r="251" spans="1:5" ht="24" x14ac:dyDescent="0.2">
      <c r="A251" t="s">
        <v>2017</v>
      </c>
      <c r="B251" s="19" t="s">
        <v>2018</v>
      </c>
      <c r="C251" s="20" t="s">
        <v>515</v>
      </c>
      <c r="D251" s="116">
        <v>1.1849999999999999E-9</v>
      </c>
      <c r="E251" s="74" t="s">
        <v>2019</v>
      </c>
    </row>
    <row r="252" spans="1:5" ht="24" x14ac:dyDescent="0.2">
      <c r="A252" t="s">
        <v>2020</v>
      </c>
      <c r="B252" s="19" t="s">
        <v>2021</v>
      </c>
      <c r="C252" s="20" t="s">
        <v>429</v>
      </c>
      <c r="D252" s="111">
        <f>Ka1c_c*CO2aqc/10^-pH_op</f>
        <v>0.049849406755</v>
      </c>
      <c r="E252" s="51" t="s">
        <v>2022</v>
      </c>
    </row>
    <row r="253" spans="1:5" ht="24" x14ac:dyDescent="0.2">
      <c r="A253" t="s">
        <v>2023</v>
      </c>
      <c r="B253" s="19" t="s">
        <v>2024</v>
      </c>
      <c r="C253" s="20" t="s">
        <v>429</v>
      </c>
      <c r="D253" s="111">
        <f>pH_PT/(1+10^(-LOG10(Ka2p_c)-pH_op))</f>
        <v>0.0194582179</v>
      </c>
      <c r="E253" s="51" t="s">
        <v>2025</v>
      </c>
    </row>
    <row r="254" spans="1:5" ht="24" x14ac:dyDescent="0.2">
      <c r="A254" t="s">
        <v>2026</v>
      </c>
      <c r="B254" s="19" t="s">
        <v>2027</v>
      </c>
      <c r="C254" s="20" t="s">
        <v>1445</v>
      </c>
      <c r="D254" s="111">
        <f>Electrochemistry!eta_anode</f>
        <v>0.902028812381</v>
      </c>
      <c r="E254" s="51" t="s">
        <v>2028</v>
      </c>
    </row>
    <row r="255" spans="1:5" ht="24" x14ac:dyDescent="0.2">
      <c r="A255" t="s">
        <v>2029</v>
      </c>
      <c r="B255" s="19" t="s">
        <v>2030</v>
      </c>
      <c r="C255" s="20" t="s">
        <v>1445</v>
      </c>
      <c r="D255" s="111">
        <f>Electrochemistry!pcet_credit_op</f>
        <v>-0.15</v>
      </c>
      <c r="E255" s="51" t="s">
        <v>2031</v>
      </c>
    </row>
    <row r="256" spans="1:5" ht="36" x14ac:dyDescent="0.2">
      <c r="A256" t="s">
        <v>2032</v>
      </c>
      <c r="B256" s="19" t="s">
        <v>2033</v>
      </c>
      <c r="C256" s="20" t="s">
        <v>1423</v>
      </c>
      <c r="D256" s="111">
        <f>E_OER+eta_anode_c+pcet_credit_c</f>
        <v>1.59078409344</v>
      </c>
      <c r="E256" s="51" t="s">
        <v>2034</v>
      </c>
    </row>
    <row r="257" spans="1:5" x14ac:dyDescent="0.2">
      <c r="A257" t="s">
        <v>2035</v>
      </c>
      <c r="B257" s="19" t="s">
        <v>2036</v>
      </c>
      <c r="C257" s="20" t="s">
        <v>1445</v>
      </c>
      <c r="D257" s="116">
        <v>1.482</v>
      </c>
      <c r="E257" s="74" t="s">
        <v>2037</v>
      </c>
    </row>
    <row r="258" spans="1:5" ht="36" x14ac:dyDescent="0.2">
      <c r="A258" t="s">
        <v>2038</v>
      </c>
      <c r="B258" s="19" t="s">
        <v>2039</v>
      </c>
      <c r="C258" s="20" t="s">
        <v>1423</v>
      </c>
      <c r="D258" s="111" t="e">
        <f>IF(pH_Cl&gt;0,E0_HOCl+nernst_slope/2*(LOG10(MAX(HOCl_ss*f_local,Cl_floor_molL))-pH_meas-LOG10(MAX(gamma_1*pH_Cl*Cl_free_frac,Cl_floor_molL))),NA())</f>
        <v>#N/A</v>
      </c>
      <c r="E258" s="51" t="s">
        <v>2040</v>
      </c>
    </row>
    <row r="259" spans="1:5" x14ac:dyDescent="0.2">
      <c r="A259" t="s">
        <v>2041</v>
      </c>
      <c r="B259" s="19" t="s">
        <v>2042</v>
      </c>
      <c r="C259" s="20" t="s">
        <v>83</v>
      </c>
      <c r="D259" s="111">
        <f>C_eff_lo*M_Cl2/M_HOCl</f>
        <v>0.0</v>
      </c>
      <c r="E259" s="51" t="s">
        <v>2043</v>
      </c>
    </row>
    <row r="260" spans="1:5" x14ac:dyDescent="0.2">
      <c r="A260" t="s">
        <v>2044</v>
      </c>
      <c r="B260" s="19" t="s">
        <v>2045</v>
      </c>
      <c r="C260" s="20" t="s">
        <v>83</v>
      </c>
      <c r="D260" s="111">
        <f>C_eff_hi*M_Cl2/M_HOCl</f>
        <v>0.0</v>
      </c>
      <c r="E260" s="51" t="s">
        <v>2046</v>
      </c>
    </row>
    <row r="270" spans="1:5" x14ac:dyDescent="0.2">
      <c r="A270" s="6" t="s">
        <v>2047</v>
      </c>
    </row>
    <row r="271" spans="1:5" ht="36" x14ac:dyDescent="0.2">
      <c r="A271" t="s">
        <v>2048</v>
      </c>
      <c r="B271" s="19" t="s">
        <v>2049</v>
      </c>
      <c r="C271" s="20" t="s">
        <v>577</v>
      </c>
      <c r="D271" s="111">
        <f>km_Cl*A_anode/1000/VLc</f>
        <v>0.0004322432170043</v>
      </c>
      <c r="E271" s="57" t="s">
        <v>2050</v>
      </c>
    </row>
    <row r="272" spans="1:5" ht="24" x14ac:dyDescent="0.2">
      <c r="A272" t="s">
        <v>2051</v>
      </c>
      <c r="B272" s="19" t="s">
        <v>2052</v>
      </c>
      <c r="C272" s="20" t="s">
        <v>972</v>
      </c>
      <c r="D272" s="111">
        <f>Electrochemistry!km_O2</f>
        <v>0.004</v>
      </c>
      <c r="E272" s="51" t="s">
        <v>2053</v>
      </c>
    </row>
    <row r="273" spans="1:5" x14ac:dyDescent="0.2">
      <c r="A273" t="s">
        <v>2054</v>
      </c>
      <c r="B273" s="19" t="s">
        <v>2055</v>
      </c>
      <c r="C273" s="20" t="s">
        <v>111</v>
      </c>
      <c r="D273" s="111">
        <f>Electrochemistry!km_exp</f>
        <v>0.644</v>
      </c>
      <c r="E273" s="51" t="s">
        <v>2056</v>
      </c>
    </row>
    <row r="274" spans="1:5" x14ac:dyDescent="0.2">
      <c r="A274" t="s">
        <v>1474</v>
      </c>
      <c r="B274" s="19" t="s">
        <v>2057</v>
      </c>
      <c r="C274" s="20" t="s">
        <v>515</v>
      </c>
      <c r="D274" s="111">
        <f>Electrochemistry!ec_D_O2</f>
        <v>2.249544435762e-09</v>
      </c>
      <c r="E274" s="51" t="s">
        <v>2058</v>
      </c>
    </row>
    <row r="275" spans="1:5" ht="24" x14ac:dyDescent="0.2">
      <c r="A275" t="s">
        <v>2059</v>
      </c>
      <c r="B275" s="19" t="s">
        <v>2060</v>
      </c>
      <c r="C275" s="20" t="s">
        <v>972</v>
      </c>
      <c r="D275" s="111">
        <f>km_O2_c*(D_HPO4/D_O2_c)^km_exp_c</f>
        <v>0.00198694931</v>
      </c>
      <c r="E275" s="57" t="s">
        <v>2061</v>
      </c>
    </row>
    <row r="276" spans="1:5" x14ac:dyDescent="0.2">
      <c r="A276" t="s">
        <v>2062</v>
      </c>
      <c r="B276" s="19" t="s">
        <v>2063</v>
      </c>
      <c r="C276" s="20" t="s">
        <v>972</v>
      </c>
      <c r="D276" s="111">
        <f>km_O2_c*(D_HCO3/D_O2_c)^km_exp_c</f>
        <v>0.002647193586</v>
      </c>
      <c r="E276" s="57" t="s">
        <v>2064</v>
      </c>
    </row>
    <row r="277" spans="1:5" ht="24" x14ac:dyDescent="0.2">
      <c r="A277" t="s">
        <v>2065</v>
      </c>
      <c r="B277" s="19" t="s">
        <v>2066</v>
      </c>
      <c r="C277" s="20" t="s">
        <v>515</v>
      </c>
      <c r="D277" s="116">
        <v>2.032E-9</v>
      </c>
      <c r="E277" s="74" t="s">
        <v>2067</v>
      </c>
    </row>
    <row r="278" spans="1:5" ht="24" x14ac:dyDescent="0.2">
      <c r="A278" t="s">
        <v>2068</v>
      </c>
      <c r="B278" s="19" t="s">
        <v>2069</v>
      </c>
      <c r="C278" s="20" t="s">
        <v>111</v>
      </c>
      <c r="D278" s="111">
        <f>IF(pH_Cl&gt;0,MAX(0,1-Cl_bound/pH_Cl),1)</f>
        <v>1.0</v>
      </c>
      <c r="E278" s="51" t="s">
        <v>2070</v>
      </c>
    </row>
    <row r="279" spans="1:5" x14ac:dyDescent="0.2">
      <c r="A279" t="s">
        <v>1948</v>
      </c>
      <c r="B279" s="19" t="s">
        <v>183</v>
      </c>
      <c r="C279" s="20" t="s">
        <v>52</v>
      </c>
      <c r="D279" s="111">
        <f>Biology!V_charge</f>
        <v>15.0</v>
      </c>
      <c r="E279" s="51" t="s">
        <v>1949</v>
      </c>
    </row>
    <row r="280" spans="1:5" x14ac:dyDescent="0.2">
      <c r="A280" t="s">
        <v>2071</v>
      </c>
      <c r="B280" s="19" t="s">
        <v>37</v>
      </c>
      <c r="C280" s="20" t="s">
        <v>111</v>
      </c>
      <c r="D280" s="111" t="str">
        <f>Summary!media_sel</f>
        <v>AMYBO03</v>
      </c>
      <c r="E280" s="51" t="s">
        <v>2072</v>
      </c>
    </row>
    <row r="290" spans="1:5" x14ac:dyDescent="0.2">
      <c r="A290" s="6" t="s">
        <v>2073</v>
      </c>
    </row>
    <row r="291" spans="1:5" ht="36" x14ac:dyDescent="0.2">
      <c r="A291" t="s">
        <v>2074</v>
      </c>
      <c r="B291" s="19" t="s">
        <v>2075</v>
      </c>
      <c r="C291" s="20" t="s">
        <v>1842</v>
      </c>
      <c r="D291" s="130">
        <v>6.35994620453</v>
      </c>
      <c r="E291" s="34" t="s">
        <v>2076</v>
      </c>
    </row>
    <row r="292" spans="1:5" x14ac:dyDescent="0.2">
      <c r="A292" t="s">
        <v>2077</v>
      </c>
      <c r="B292" s="19" t="s">
        <v>2078</v>
      </c>
      <c r="C292" s="20" t="s">
        <v>429</v>
      </c>
      <c r="D292" s="111">
        <f>10^-pH_ref_DIC</f>
        <v>4.365699062148e-07</v>
      </c>
      <c r="E292" s="60" t="s">
        <v>2079</v>
      </c>
    </row>
    <row r="293" spans="1:5" x14ac:dyDescent="0.2">
      <c r="A293" t="s">
        <v>2080</v>
      </c>
      <c r="B293" s="19" t="s">
        <v>2081</v>
      </c>
      <c r="C293" s="20" t="s">
        <v>111</v>
      </c>
      <c r="D293" s="111">
        <f>Ka1c_c/h_ref_DIC</f>
        <v>1.950188550006</v>
      </c>
      <c r="E293" s="60" t="s">
        <v>2082</v>
      </c>
    </row>
    <row r="294" spans="1:5" x14ac:dyDescent="0.2">
      <c r="A294" t="s">
        <v>2083</v>
      </c>
      <c r="B294" s="19" t="s">
        <v>2084</v>
      </c>
      <c r="C294" s="20" t="s">
        <v>429</v>
      </c>
      <c r="D294" s="111">
        <f>(pH_SID+pH_NT*h_ref_DIC/(h_ref_DIC+KaN_c)+h_ref_DIC-(pH_PT*Ka1p_c*h_ref_DIC^2+2*pH_PT*Ka1p_c*Ka2p_c*h_ref_DIC+3*pH_PT*Ka1p_c*Ka2p_c*Ka3p_c)/(h_ref_DIC^3+Ka1p_c*h_ref_DIC^2+Ka1p_c*Ka2p_c*h_ref_DIC+Ka1p_c*Ka2p_c*Ka3p_c)-Kw_c/h_ref_DIC)/(1+2*Ka2c_c/h_ref_DIC)</f>
        <v>0.050195278773</v>
      </c>
      <c r="E294" s="60" t="s">
        <v>2085</v>
      </c>
    </row>
    <row r="295" spans="1:5" x14ac:dyDescent="0.2">
      <c r="A295" t="s">
        <v>2086</v>
      </c>
      <c r="B295" s="19" t="s">
        <v>2087</v>
      </c>
      <c r="C295" s="20" t="s">
        <v>2088</v>
      </c>
      <c r="D295" s="111">
        <f>LN(10)*(pH_PT*Ka1p_c*h_ref_DIC/(Ka1p_c+h_ref_DIC)^2+pH_PT*Ka2p_c*h_ref_DIC/(Ka2p_c+h_ref_DIC)^2+pH_NT*KaN_c*h_ref_DIC/(KaN_c+h_ref_DIC)^2+h_ref_DIC+Kw_c/h_ref_DIC)</f>
        <v>0.030338975539</v>
      </c>
      <c r="E295" s="60" t="s">
        <v>2089</v>
      </c>
    </row>
    <row r="296" spans="1:5" ht="48" x14ac:dyDescent="0.2">
      <c r="A296" t="s">
        <v>2090</v>
      </c>
      <c r="B296" s="19" t="s">
        <v>2091</v>
      </c>
      <c r="C296" s="20" t="s">
        <v>111</v>
      </c>
      <c r="D296" s="111">
        <f>1+r_HCO3_ref*beta_nonC/(beta_nonC+LN(10)*HCO3_ref)</f>
        <v>1.405479604448</v>
      </c>
      <c r="E296" s="51" t="s">
        <v>2092</v>
      </c>
    </row>
    <row r="298" spans="1:5" x14ac:dyDescent="0.2">
      <c r="A298" s="6" t="s">
        <v>2093</v>
      </c>
    </row>
    <row r="299" spans="1:5" ht="36" x14ac:dyDescent="0.2">
      <c r="A299" t="s">
        <v>2094</v>
      </c>
      <c r="B299" s="19" t="s">
        <v>2095</v>
      </c>
      <c r="C299" s="20" t="s">
        <v>1842</v>
      </c>
      <c r="D299" s="130">
        <v>6</v>
      </c>
      <c r="E299" s="34" t="inlineStr">
        <is>
          <t xml:space="preserve">Design assumption: below pH 6 HOB growth is taken as severely impaired; the red edge of the Summary D23 colour (was embedded in the rule).</t>
        </is>
      </c>
    </row>
    <row r="300" spans="1:5" x14ac:dyDescent="0.2">
      <c r="A300" t="s">
        <v>2097</v>
      </c>
      <c r="B300" s="19" t="s">
        <v>2098</v>
      </c>
      <c r="C300" s="20" t="s">
        <v>1842</v>
      </c>
      <c r="D300" s="130">
        <v>8</v>
      </c>
      <c r="E300" s="34" t="s">
        <v>2099</v>
      </c>
    </row>
    <row r="302" spans="1:5" x14ac:dyDescent="0.2">
      <c r="A302" s="6" t="s">
        <v>2725</v>
      </c>
    </row>
    <row r="303" spans="1:5" x14ac:dyDescent="0.2">
      <c r="A303" t="s">
        <v>2726</v>
      </c>
      <c r="B303" s="19" t="s">
        <v>2727</v>
      </c>
      <c r="C303" s="20" t="s">
        <v>1842</v>
      </c>
      <c r="D303" s="111">
        <f>pH_band_lo</f>
        <v>6.5</v>
      </c>
      <c r="E303" s="60" t="s">
        <v>2728</v>
      </c>
    </row>
    <row r="304" spans="1:5" x14ac:dyDescent="0.2">
      <c r="A304" t="s">
        <v>2729</v>
      </c>
      <c r="B304" s="19" t="s">
        <v>2730</v>
      </c>
      <c r="C304" s="20" t="s">
        <v>1842</v>
      </c>
      <c r="D304" s="111">
        <f>alk_pH_target+LOG10(gamma_1)</f>
        <v>6.372334422702</v>
      </c>
      <c r="E304" s="60" t="s">
        <v>2731</v>
      </c>
    </row>
    <row r="305" spans="1:5" x14ac:dyDescent="0.2">
      <c r="A305" t="s">
        <v>2732</v>
      </c>
      <c r="B305" s="19" t="s">
        <v>2733</v>
      </c>
      <c r="C305" s="20" t="s">
        <v>429</v>
      </c>
      <c r="D305" s="111">
        <f>pH_SID + pH_NT*(10^-alk_pH_target_c)/((10^-alk_pH_target_c)+KaN_c) + (10^-alk_pH_target_c) - (pH_PT*Ka1p_c*(10^-alk_pH_target_c)^2 + 2*pH_PT*Ka1p_c*Ka2p_c*(10^-alk_pH_target_c) + 3*pH_PT*Ka1p_c*Ka2p_c*Ka3p_c)/((10^-alk_pH_target_c)^3 + Ka1p_c*(10^-alk_pH_target_c)^2 + Ka1p_c*Ka2p_c*(10^-alk_pH_target_c) + Ka1p_c*Ka2p_c*Ka3p_c) - Ka1c_c*CO2aqc/(10^-alk_pH_target_c) - 2*Ka1c_c*Ka2c_c*CO2aqc/(10^-alk_pH_target_c)^2 - Kw_c/(10^-alk_pH_target_c)</f>
        <v>-0.001465621792</v>
      </c>
      <c r="E305" s="60" t="s">
        <v>2734</v>
      </c>
    </row>
    <row r="306" spans="1:5" x14ac:dyDescent="0.2">
      <c r="A306" t="inlineStr">
        <is>
          <t xml:space="preserve">Extra alkalinity still needed for the target pH</t>
        </is>
      </c>
      <c r="B306" s="19" t="s">
        <v>2736</v>
      </c>
      <c r="C306" s="20" t="s">
        <v>429</v>
      </c>
      <c r="D306" s="111">
        <f>MAX(0,-alk_resid_t)</f>
        <v>0.001465621792</v>
      </c>
      <c r="E306" s="60" t="s">
        <v>2737</v>
      </c>
    </row>
    <row r="307" spans="1:5" ht="24" x14ac:dyDescent="0.2">
      <c r="A307" t="s">
        <v>2738</v>
      </c>
      <c r="B307" s="19" t="s">
        <v>2739</v>
      </c>
      <c r="C307" s="20" t="s">
        <v>696</v>
      </c>
      <c r="D307" s="130">
        <v>84.007000000000005</v>
      </c>
      <c r="E307" s="34" t="s">
        <v>2740</v>
      </c>
    </row>
    <row r="308" spans="1:5" x14ac:dyDescent="0.2">
      <c r="A308" t="s">
        <v>2741</v>
      </c>
      <c r="B308" s="19" t="s">
        <v>2742</v>
      </c>
      <c r="C308" s="20" t="s">
        <v>2692</v>
      </c>
      <c r="D308" s="111">
        <f>alk_needed*M_NaHCO3</f>
        <v>0.123122489916</v>
      </c>
      <c r="E308" s="60" t="inlineStr">
        <is>
          <t xml:space="preserve">First-order, on top of any NaHCO₃ already entered (Summary D13, which is fully coupled through D44, D185, D180 and D296). Holds dissolved CO₂ and γ at the current schedule, so after entering it re-read: the coupled pH can differ slightly because CO₂ storage and ionic strength move with it.</t>
        </is>
      </c>
    </row>
    <row r="309">
      <c r="A309" t="inlineStr">
        <is>
          <t xml:space="preserve">DIC reference tolerance</t>
        </is>
      </c>
      <c r="B309" s="19" t="inlineStr">
        <is>
          <t xml:space="preserve">DIC_ref_tol</t>
        </is>
      </c>
      <c r="C309" s="20" t="inlineStr">
        <is>
          <t xml:space="preserve">pH</t>
        </is>
      </c>
      <c r="D309" s="116">
        <v>0.1</v>
      </c>
      <c r="E309" s="57" t="inlineStr">
        <is>
          <t xml:space="preserve">Validity criterion from the DIC linearisation: refresh the reference if solved concentration-scale pH moves by more than this.</t>
        </is>
      </c>
    </row>
    <row r="310">
      <c r="A310" t="inlineStr">
        <is>
          <t xml:space="preserve">DIC reference validity</t>
        </is>
      </c>
      <c r="B310" s="19" t="inlineStr">
        <is>
          <t xml:space="preserve">DIC_ref_check</t>
        </is>
      </c>
      <c r="C310" s="20" t="inlineStr">
        <is>
          <t xml:space="preserve">-</t>
        </is>
      </c>
      <c r="D310" s="111" t="str">
        <f>IF(ABS(pH_ref_DIC-pH_op)&lt;=DIC_ref_tol,"OK","REFRESH DIC reference pH")</f>
        <v>OK</v>
      </c>
      <c r="E310" s="57" t="inlineStr">
        <is>
          <t xml:space="preserve">Check the linearisation at the actual schedule. D291 must be iterated after input changes; no circular reference.</t>
        </is>
      </c>
    </row>
    <row r="311">
      <c r="A311" t="inlineStr">
        <is>
          <t xml:space="preserve">Steady combined chlorine inventory</t>
        </is>
      </c>
      <c r="B311" s="19" t="inlineStr">
        <is>
          <t xml:space="preserve">Cl_bound</t>
        </is>
      </c>
      <c r="C311" s="20" t="inlineStr">
        <is>
          <t xml:space="preserve">mol/L</t>
        </is>
      </c>
      <c r="D311" s="111">
        <f>MIN(pH_Cl*k_Cl_turn*tau_NH2Cl*3600/(1+k_Cl_turn*tau_NH2Cl*3600),I_Cl_FE/(n_e_Cl*Fcc*VLc)*tau_NH2Cl*3600,pH_NT)</f>
        <v>0.0</v>
      </c>
      <c r="E311" s="57" t="inlineStr">
        <is>
          <t xml:space="preserve">Steady B=min(C*k*tau/(1+k*tau), pmax*tau, nitrogen). Free chloride=C-B; zero current gives zero combined chlorine.</t>
        </is>
      </c>
    </row>
    <row r="312">
      <c r="A312" t="inlineStr">
        <is>
          <t xml:space="preserve">Chloramine approximation check</t>
        </is>
      </c>
      <c r="B312" s="19" t="inlineStr">
        <is>
          <t xml:space="preserve">Cl_model_check</t>
        </is>
      </c>
      <c r="C312" s="20" t="inlineStr">
        <is>
          <t xml:space="preserve">-</t>
        </is>
      </c>
      <c r="D312" s="111" t="str">
        <f>IF(AND(pH_Cl&gt;0,Cl_bound&gt;=pH_NT,P_HOCl&gt;pH_NT/(tau_NH2Cl*3600)),"UNSUPPORTED – nitrogen capacity exhausted","OK")</f>
        <v>OK</v>
      </c>
      <c r="E312" s="57" t="inlineStr">
        <is>
          <t xml:space="preserve">The simple chloramine steady state does not resolve breakpoint chemistry after ammonium is exhausted.</t>
        </is>
      </c>
    </row>
    <row r="314">
      <c r="A314" t="inlineStr">
        <is>
          <t xml:space="preserve">Monochloramine effective residence (default)</t>
        </is>
      </c>
      <c r="B314" s="19" t="inlineStr">
        <is>
          <t xml:space="preserve">tau_NH2Cl_default</t>
        </is>
      </c>
      <c r="C314" s="20" t="inlineStr">
        <is>
          <t xml:space="preserve">h</t>
        </is>
      </c>
      <c r="D314" s="116">
        <v>1</v>
      </c>
      <c r="E314" s="57" t="inlineStr">
        <is>
          <t xml:space="preserve">Time combined chlorine persists before consumption (growth N-uptake, cathodic reduction, dilution). Lit: minutes–hours; system-specific value unknown, so 1 h is a weak central estimate until a DPD run is entered on the Calibrations tab.</t>
        </is>
      </c>
    </row>
    <row r="315">
      <c r="A315" t="inlineStr">
        <is>
          <t xml:space="preserve">Efficiency-limited chlorine production (independent of τ)</t>
        </is>
      </c>
      <c r="B315" s="19" t="inlineStr">
        <is>
          <t xml:space="preserve">P_Cl_max</t>
        </is>
      </c>
      <c r="C315" s="20" t="inlineStr">
        <is>
          <t xml:space="preserve">mol/L/s</t>
        </is>
      </c>
      <c r="D315" s="111">
        <f>I_Cl_FE/(n_e_Cl*Fcc*VLc)</f>
        <v>9.828782391026e-07</v>
      </c>
      <c r="E315" s="57" t="inlineStr">
        <is>
          <t xml:space="preserve">The production ceiling P in the chloramine steady state (the second term of D311): the CER-efficiency-limited current as mol/L/s. Read with D271 and D47 to turn a DPD plateau into a lifetime (Calibrations rows 155–162).</t>
        </is>
      </c>
    </row>
    <row r="316">
      <c r="A316" s="6" t="inlineStr">
        <is>
          <t xml:space="preserve">ADDED ALKALINITY (Summary D13) — feeds the charge balance, ionic strength, conductivity and CO₂ storage</t>
        </is>
      </c>
    </row>
    <row r="317">
      <c r="A317" t="inlineStr">
        <is>
          <t xml:space="preserve">(import) NaHCO₃ added on Summary</t>
        </is>
      </c>
      <c r="B317" s="19" t="inlineStr">
        <is>
          <t xml:space="preserve">NaHCO3_add_gL</t>
        </is>
      </c>
      <c r="C317" s="20" t="inlineStr">
        <is>
          <t xml:space="preserve">g/L</t>
        </is>
      </c>
      <c r="D317" s="111">
        <f>Summary!NaHCO3_add_gL</f>
        <v>0.0</v>
      </c>
      <c r="E317" s="51" t="inlineStr">
        <is>
          <t xml:space="preserve">Import from Summary!D13 (NaHCO3_add_gL); blank reads as 0.</t>
        </is>
      </c>
    </row>
    <row r="318">
      <c r="A318" t="inlineStr">
        <is>
          <t xml:space="preserve">Added alkalinity (strong cation, as NaHCO₃)</t>
        </is>
      </c>
      <c r="B318" s="19" t="inlineStr">
        <is>
          <t xml:space="preserve">alk_add_M</t>
        </is>
      </c>
      <c r="C318" s="20" t="inlineStr">
        <is>
          <t xml:space="preserve">mol/L</t>
        </is>
      </c>
      <c r="D318" s="111">
        <f>NaHCO3_add_gL/M_NaHCO3</f>
        <v>0.0</v>
      </c>
      <c r="E318" s="60" t="inlineStr">
        <is>
          <t xml:space="preserve">One Na⁺ per NaHCO₃ raises the strong-ion difference by this amount. Its bicarbonate equilibrates with the dosed CO₂ like the recipe’s own NaHCO₃, so only the Na⁺ enters the balance; it adds this amount to the ionic strength (Na⁺ + HCO₃⁻, z = 1). CO₂ storage uses the typed reference pH D291: re-enter it when D310 asks.</t>
        </is>
      </c>
    </row>
    <row r="320">
      <c r="A320" s="6" t="inlineStr">
        <is>
          <t xml:space="preserve">CO₂ THAT HOLDS pH AT THE BAND CEILING (for the pH-ceiling interval, Mass Transfer D432)</t>
        </is>
      </c>
    </row>
    <row r="321">
      <c r="A321" t="inlineStr">
        <is>
          <t xml:space="preserve">Band ceiling on the concentration scale</t>
        </is>
      </c>
      <c r="B321" s="19" t="inlineStr">
        <is>
          <t xml:space="preserve">pH_hi_c</t>
        </is>
      </c>
      <c r="C321" s="20" t="inlineStr">
        <is>
          <t xml:space="preserve">pH</t>
        </is>
      </c>
      <c r="D321" s="111">
        <f>pH_band_hi+LOG10(gamma_1)</f>
        <v>7.372334422702</v>
      </c>
      <c r="E321" s="60" t="inlineStr">
        <is>
          <t xml:space="preserve">Probe (activity) pH ceiling D237 to the concentration scale the charge balance solves on, as D304.</t>
        </is>
      </c>
    </row>
    <row r="322">
      <c r="A322" t="inlineStr">
        <is>
          <t xml:space="preserve">[H⁺] at the ceiling</t>
        </is>
      </c>
      <c r="B322" s="19" t="inlineStr">
        <is>
          <t xml:space="preserve">h_hi</t>
        </is>
      </c>
      <c r="C322" s="20" t="inlineStr">
        <is>
          <t xml:space="preserve">mol/L</t>
        </is>
      </c>
      <c r="D322" s="111">
        <f>10^-pH_hi_c</f>
        <v>4.242927171446e-08</v>
      </c>
      <c r="E322" s="60" t="inlineStr">
        <is>
          <t xml:space="preserve">Concentration scale.</t>
        </is>
      </c>
    </row>
    <row r="323">
      <c r="A323" t="inlineStr">
        <is>
          <t xml:space="preserve">Charge balance at the ceiling without the carbonate terms</t>
        </is>
      </c>
      <c r="B323" s="19" t="inlineStr">
        <is>
          <t xml:space="preserve">resid_noC_hi</t>
        </is>
      </c>
      <c r="C323" s="20" t="inlineStr">
        <is>
          <t xml:space="preserve">mol/L</t>
        </is>
      </c>
      <c r="D323" s="111">
        <f>pH_SID+pH_NT*h_hi/(h_hi+KaN_c)+h_hi-(pH_PT*Ka1p_c*h_hi^2+2*pH_PT*Ka1p_c*Ka2p_c*h_hi+3*pH_PT*Ka1p_c*Ka2p_c*Ka3p_c)/(h_hi^3+Ka1p_c*h_hi^2+Ka1p_c*Ka2p_c*h_hi+Ka1p_c*Ka2p_c*Ka3p_c)-Kw_c/h_hi</f>
        <v>0.019548509304</v>
      </c>
      <c r="E323" s="60" t="inlineStr">
        <is>
          <t xml:space="preserve">The B50 residual with dissolved CO₂ set to zero: the charge the carbonate species must carry for pH to sit exactly at the ceiling.</t>
        </is>
      </c>
    </row>
    <row r="324">
      <c r="A324" t="inlineStr">
        <is>
          <t xml:space="preserve">Dissolved CO₂ that holds pH at the band ceiling</t>
        </is>
      </c>
      <c r="B324" s="19" t="inlineStr">
        <is>
          <t xml:space="preserve">CO2_pH_hi</t>
        </is>
      </c>
      <c r="C324" s="20" t="inlineStr">
        <is>
          <t xml:space="preserve">mol/L</t>
        </is>
      </c>
      <c r="D324" s="111">
        <f>MAX(0,resid_noC_hi)/(Ka1c_c/h_hi+2*Ka1c_c*Ka2c_c/h_hi^2)</f>
        <v>0.0009665547632062</v>
      </c>
      <c r="E324" s="60" t="inlineStr">
        <is>
          <t xml:space="preserve">The residual is linear in dissolved CO₂, so this inverts it exactly (γ and the DIC reference held at the schedule in use). Less dissolved CO₂ than this and pH rises above the band. 0 = the ceiling is out of reach even without CO₂ (no pH bound).</t>
        </is>
      </c>
    </row>
  </sheetData>
  <conditionalFormatting sqref="D109:D110 D163">
    <cfRule type="expression" dxfId="11" priority="101" stopIfTrue="1">
      <formula>OR(ISNUMBER(SEARCH("SEVERE",D109)),ISNUMBER(SEARCH("BELOW",D109)),ISNUMBER(SEARCH("DATA GAP",D109)))</formula>
    </cfRule>
    <cfRule type="expression" dxfId="10" priority="102" stopIfTrue="1">
      <formula>OR(ISNUMBER(SEARCH("sub-lethal",D109)),ISNUMBER(SEARCH("above optimum",D109)),ISNUMBER(SEARCH("watch",D109)))</formula>
    </cfRule>
    <cfRule type="expression" dxfId="9" priority="103" stopIfTrue="1">
      <formula>OR(ISNUMBER(SEARCH("negligible",D109)),ISNUMBER(SEARCH("in HOB band",D109)))</formula>
    </cfRule>
  </conditionalFormatting>
  <pageMargins left="0.75" right="0.75" top="1" bottom="1" header="0.5" footer="0.5"/>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F125"/>
  <sheetViews>
    <sheetView zoomScale="89" workbookViewId="0"/>
  </sheetViews>
  <sheetFormatPr baseColWidth="10" defaultColWidth="8.83203125" defaultRowHeight="15" x14ac:dyDescent="0.2"/>
  <cols>
    <col min="1" max="1" width="30" customWidth="1"/>
    <col min="2" max="2" width="15" customWidth="1"/>
    <col min="4" max="4" width="12" bestFit="1" customWidth="1"/>
    <col min="5" max="5" width="60" customWidth="1"/>
  </cols>
  <sheetData>
    <row r="1" spans="1:6" ht="16" customHeight="1" x14ac:dyDescent="0.2">
      <c r="A1" s="78" t="s">
        <v>350</v>
      </c>
      <c r="B1" s="21"/>
      <c r="C1" s="21"/>
      <c r="D1" s="21"/>
      <c r="E1" s="21"/>
      <c r="F1" s="21"/>
    </row>
    <row r="2" spans="1:6" x14ac:dyDescent="0.2">
      <c r="A2" s="17" t="s">
        <v>20</v>
      </c>
      <c r="B2" s="17" t="s">
        <v>21</v>
      </c>
      <c r="C2" s="17" t="s">
        <v>22</v>
      </c>
      <c r="D2" s="17" t="s">
        <v>23</v>
      </c>
      <c r="E2" s="17" t="s">
        <v>107</v>
      </c>
      <c r="F2" s="21"/>
    </row>
    <row r="3" spans="1:6" ht="16" customHeight="1" x14ac:dyDescent="0.2">
      <c r="A3" s="78" t="s">
        <v>108</v>
      </c>
      <c r="B3" s="19"/>
      <c r="C3" s="20"/>
      <c r="D3" s="79"/>
      <c r="E3" s="21"/>
      <c r="F3" s="21"/>
    </row>
    <row r="4" spans="1:6" x14ac:dyDescent="0.2">
      <c r="A4" s="21" t="s">
        <v>351</v>
      </c>
      <c r="B4" s="19" t="s">
        <v>306</v>
      </c>
      <c r="C4" s="21" t="s">
        <v>307</v>
      </c>
      <c r="D4" s="120">
        <f>Electrochemistry!rH2_gen</f>
        <v>0.0001023341229799</v>
      </c>
      <c r="E4" s="105" t="str">
        <f>HYPERLINK("#Electrochemistry!D21","→ Electrochemistry")</f>
        <v>→ Electrochemistry</v>
      </c>
      <c r="F4" s="21"/>
    </row>
    <row r="5" spans="1:6" x14ac:dyDescent="0.2">
      <c r="A5" s="21" t="s">
        <v>352</v>
      </c>
      <c r="B5" s="19" t="s">
        <v>328</v>
      </c>
      <c r="C5" s="21" t="s">
        <v>307</v>
      </c>
      <c r="D5" s="120">
        <f>Electrochemistry!O2_net_gen</f>
        <v>5.102798409848e-05</v>
      </c>
      <c r="E5" s="105" t="str">
        <f>HYPERLINK("#Electrochemistry!D29","→ Electrochemistry")</f>
        <v>→ Electrochemistry</v>
      </c>
      <c r="F5" s="21"/>
    </row>
    <row r="6" spans="1:6" x14ac:dyDescent="0.2">
      <c r="A6" s="21" t="s">
        <v>353</v>
      </c>
      <c r="B6" s="19" t="s">
        <v>183</v>
      </c>
      <c r="C6" s="21" t="s">
        <v>52</v>
      </c>
      <c r="D6" s="121">
        <f>Geometry!V_charge</f>
        <v>15.0</v>
      </c>
      <c r="E6" s="105" t="str">
        <f>HYPERLINK("#Geometry!D41","→ Geometry")</f>
        <v>→ Geometry</v>
      </c>
      <c r="F6" s="21"/>
    </row>
    <row r="7" spans="1:6" x14ac:dyDescent="0.2">
      <c r="A7" s="21" t="s">
        <v>354</v>
      </c>
      <c r="B7" s="19" t="s">
        <v>33</v>
      </c>
      <c r="C7" s="21"/>
      <c r="D7" s="104" t="str">
        <f>Summary!organism_sel</f>
        <v>Xanthobacter tagetidis</v>
      </c>
      <c r="E7" s="105" t="str">
        <f>HYPERLINK("#Summary!D4","→ Summary")</f>
        <v>→ Summary</v>
      </c>
      <c r="F7" s="21"/>
    </row>
    <row r="8" spans="1:6" s="16" customFormat="1" x14ac:dyDescent="0.2">
      <c r="A8" s="21"/>
      <c r="B8" s="19"/>
      <c r="C8" s="21"/>
      <c r="D8" s="35"/>
      <c r="E8" s="136"/>
      <c r="F8" s="21"/>
    </row>
    <row r="9" spans="1:6" x14ac:dyDescent="0.2">
      <c r="A9" s="86"/>
      <c r="B9" s="19"/>
      <c r="C9" s="20"/>
      <c r="D9" s="47"/>
      <c r="E9" s="21"/>
      <c r="F9" s="21"/>
    </row>
    <row r="10" spans="1:6" ht="36" customHeight="1" x14ac:dyDescent="0.2">
      <c r="A10" s="18" t="s">
        <v>355</v>
      </c>
      <c r="B10" s="19" t="s">
        <v>356</v>
      </c>
      <c r="C10" s="20" t="s">
        <v>111</v>
      </c>
      <c r="D10" s="45">
        <f>IF(ISNUMBER(cal_knall_H2),cal_knall_H2,knall_H2_default)</f>
        <v>6.0</v>
      </c>
      <c r="E10" s="142" t="s">
        <v>357</v>
      </c>
      <c r="F10" s="21"/>
    </row>
    <row r="11" spans="1:6" x14ac:dyDescent="0.2">
      <c r="A11" s="18" t="s">
        <v>358</v>
      </c>
      <c r="B11" s="19" t="s">
        <v>359</v>
      </c>
      <c r="C11" s="20" t="s">
        <v>111</v>
      </c>
      <c r="D11" s="45">
        <f>IF(ISNUMBER(cal_knall_O2),cal_knall_O2,knall_O2_default)</f>
        <v>2.0</v>
      </c>
      <c r="E11" s="142" t="s">
        <v>360</v>
      </c>
      <c r="F11" s="21"/>
    </row>
    <row r="12" spans="1:6" x14ac:dyDescent="0.2">
      <c r="A12" s="18" t="s">
        <v>361</v>
      </c>
      <c r="B12" s="19" t="s">
        <v>362</v>
      </c>
      <c r="C12" s="20" t="s">
        <v>111</v>
      </c>
      <c r="D12" s="45">
        <f>IF(ISNUMBER(cal_knall_CO2),cal_knall_CO2,knall_CO2_default)</f>
        <v>1.0</v>
      </c>
      <c r="E12" s="142" t="s">
        <v>363</v>
      </c>
      <c r="F12" s="21"/>
    </row>
    <row r="13" spans="1:6" ht="24" x14ac:dyDescent="0.2">
      <c r="A13" s="18" t="s">
        <v>364</v>
      </c>
      <c r="B13" s="19" t="s">
        <v>365</v>
      </c>
      <c r="C13" s="20" t="s">
        <v>307</v>
      </c>
      <c r="D13" s="41">
        <f>MAX(0,rH2_gen-H2_HOR_b)</f>
        <v>0.0001023341229799</v>
      </c>
      <c r="E13" s="34" t="s">
        <v>2100</v>
      </c>
      <c r="F13" s="21"/>
    </row>
    <row r="14" spans="1:6" ht="26" customHeight="1" x14ac:dyDescent="0.2">
      <c r="A14" s="18" t="s">
        <v>366</v>
      </c>
      <c r="B14" s="19" t="s">
        <v>367</v>
      </c>
      <c r="C14" s="20" t="s">
        <v>307</v>
      </c>
      <c r="D14" s="41">
        <f>H2_cons*bio_O2/bio_H2</f>
        <v>3.411137432664e-05</v>
      </c>
      <c r="E14" s="81" t="s">
        <v>368</v>
      </c>
      <c r="F14" s="21"/>
    </row>
    <row r="15" spans="1:6" x14ac:dyDescent="0.2">
      <c r="A15" s="18" t="s">
        <v>369</v>
      </c>
      <c r="B15" s="19" t="s">
        <v>370</v>
      </c>
      <c r="C15" s="20" t="s">
        <v>307</v>
      </c>
      <c r="D15" s="41">
        <f>H2_cons*bio_CO2/bio_H2</f>
        <v>1.705568716332e-05</v>
      </c>
      <c r="E15" s="34" t="s">
        <v>371</v>
      </c>
      <c r="F15" s="21"/>
    </row>
    <row r="16" spans="1:6" ht="78" x14ac:dyDescent="0.2">
      <c r="A16" s="86" t="s">
        <v>372</v>
      </c>
      <c r="B16" s="19" t="s">
        <v>373</v>
      </c>
      <c r="C16" s="20" t="s">
        <v>307</v>
      </c>
      <c r="D16" s="41">
        <f>MAX(0,O2_net_gen-O2_cons)</f>
        <v>1.691660977184e-05</v>
      </c>
      <c r="E16" s="161" t="str">
        <f>IFERROR(("Net electrolytic O₂ minus biological uptake, floored at zero. The floor matters: at the knallgas cap (O₂:H₂ = 0.5, i.e. bio_O2 = 3) uptake exactly consumes the electrolytic surplus and everything "&amp;"downstream that divides by this would blow up. A LOWER bound on the surplus: full H₂ uptake maximises respiration, so any H₂ that bubbles off uncaught raises the surplus (half uptake → ×")&amp;TEXT((O2_net_gen-O2_cons/2)/O2_excess,"0.0")&amp;"). Sensitive: each 1 % on bio_O2 moves it "&amp;TEXT(O2_cons/O2_excess,"0.0")&amp;" % the other way (linear, so symmetric).","Net electrolytic O₂ minus biological uptake, floored at zero: uptake consumes the whole surplus at these ratios.")</f>
        <v>Net electrolytic O₂ minus biological uptake, floored at zero. The floor matters: at the knallgas cap (O₂:H₂ = 0.5, i.e. bio_O2 = 3) uptake exactly consumes the electrolytic surplus and everything downstream that divides by this would blow up. A LOWER bound on the surplus: full H₂ uptake maximises respiration, so any H₂ that bubbles off uncaught raises the surplus (half uptake → ×2.0). Sensitive: each 1 % on bio_O2 moves it 2.0 % the other way (linear, so symmetric).</v>
      </c>
      <c r="F16" s="21"/>
    </row>
    <row r="17" spans="1:6" x14ac:dyDescent="0.2">
      <c r="A17" s="18" t="s">
        <v>374</v>
      </c>
      <c r="B17" s="19" t="s">
        <v>375</v>
      </c>
      <c r="C17" s="20" t="s">
        <v>48</v>
      </c>
      <c r="D17" s="119">
        <f>Summary!temp_C</f>
        <v>30.0</v>
      </c>
      <c r="E17" s="34" t="s">
        <v>376</v>
      </c>
      <c r="F17" s="21"/>
    </row>
    <row r="18" spans="1:6" ht="24" customHeight="1" x14ac:dyDescent="0.2">
      <c r="A18" s="18" t="s">
        <v>377</v>
      </c>
      <c r="B18" s="19" t="s">
        <v>261</v>
      </c>
      <c r="C18" s="20" t="s">
        <v>262</v>
      </c>
      <c r="D18" s="37">
        <f>T_C+T_zero_C</f>
        <v>303.15</v>
      </c>
      <c r="E18" s="74" t="s">
        <v>378</v>
      </c>
      <c r="F18" s="21"/>
    </row>
    <row r="19" spans="1:6" x14ac:dyDescent="0.2">
      <c r="A19" s="18" t="s">
        <v>379</v>
      </c>
      <c r="B19" s="19" t="s">
        <v>264</v>
      </c>
      <c r="C19" s="20" t="s">
        <v>57</v>
      </c>
      <c r="D19" s="104">
        <f>IF(P_atm_set&gt;0,P_atm_set,Pa_per_atm)</f>
        <v>101325.0</v>
      </c>
      <c r="E19" s="34" t="s">
        <v>380</v>
      </c>
      <c r="F19" s="21"/>
    </row>
    <row r="20" spans="1:6" x14ac:dyDescent="0.2">
      <c r="A20" s="18" t="s">
        <v>381</v>
      </c>
      <c r="B20" s="19" t="s">
        <v>382</v>
      </c>
      <c r="C20" s="20" t="s">
        <v>383</v>
      </c>
      <c r="D20" s="116">
        <v>101325</v>
      </c>
      <c r="E20" s="74" t="s">
        <v>384</v>
      </c>
      <c r="F20" s="21"/>
    </row>
    <row r="21" spans="1:6" x14ac:dyDescent="0.2">
      <c r="A21" s="18" t="s">
        <v>385</v>
      </c>
      <c r="B21" s="19" t="s">
        <v>386</v>
      </c>
      <c r="C21" s="20" t="s">
        <v>387</v>
      </c>
      <c r="D21" s="116">
        <v>1.2E-5</v>
      </c>
      <c r="E21" s="138" t="s">
        <v>388</v>
      </c>
      <c r="F21" s="21"/>
    </row>
    <row r="22" spans="1:6" x14ac:dyDescent="0.2">
      <c r="A22" s="18" t="s">
        <v>389</v>
      </c>
      <c r="B22" s="19" t="s">
        <v>390</v>
      </c>
      <c r="C22" s="20" t="s">
        <v>262</v>
      </c>
      <c r="D22" s="116">
        <v>1500</v>
      </c>
      <c r="E22" s="138" t="s">
        <v>391</v>
      </c>
      <c r="F22" s="21"/>
    </row>
    <row r="23" spans="1:6" x14ac:dyDescent="0.2">
      <c r="A23" s="18" t="s">
        <v>392</v>
      </c>
      <c r="B23" s="19" t="s">
        <v>393</v>
      </c>
      <c r="C23" s="20" t="s">
        <v>262</v>
      </c>
      <c r="D23" s="116">
        <v>298.14999999999998</v>
      </c>
      <c r="E23" s="74" t="s">
        <v>394</v>
      </c>
      <c r="F23" s="21"/>
    </row>
    <row r="24" spans="1:6" ht="24" x14ac:dyDescent="0.2">
      <c r="A24" s="18" t="s">
        <v>395</v>
      </c>
      <c r="B24" s="19" t="s">
        <v>396</v>
      </c>
      <c r="C24" s="20" t="s">
        <v>387</v>
      </c>
      <c r="D24" s="49">
        <f>H_O2ref*EXP(H_O2T*(1/T_K-1/T_ref))*f_salt_O2</f>
        <v>1.035423649307e-05</v>
      </c>
      <c r="E24" s="74" t="s">
        <v>2101</v>
      </c>
      <c r="F24" s="21"/>
    </row>
    <row r="25" spans="1:6" ht="24" customHeight="1" x14ac:dyDescent="0.2">
      <c r="A25" s="18" t="s">
        <v>397</v>
      </c>
      <c r="B25" s="19" t="s">
        <v>398</v>
      </c>
      <c r="C25" s="20" t="s">
        <v>399</v>
      </c>
      <c r="D25" s="116">
        <v>0.3</v>
      </c>
      <c r="E25" s="138" t="s">
        <v>400</v>
      </c>
      <c r="F25" s="21"/>
    </row>
    <row r="26" spans="1:6" x14ac:dyDescent="0.2">
      <c r="A26" s="18" t="s">
        <v>401</v>
      </c>
      <c r="B26" s="19" t="s">
        <v>402</v>
      </c>
      <c r="C26" s="20" t="s">
        <v>57</v>
      </c>
      <c r="D26" s="38">
        <f>O2_ceil_atm*Pa_per_atm</f>
        <v>30397.5</v>
      </c>
      <c r="E26" s="74" t="s">
        <v>403</v>
      </c>
      <c r="F26" s="21"/>
    </row>
    <row r="27" spans="1:6" x14ac:dyDescent="0.2">
      <c r="A27" s="18" t="s">
        <v>404</v>
      </c>
      <c r="B27" s="19" t="s">
        <v>405</v>
      </c>
      <c r="C27" s="20" t="s">
        <v>406</v>
      </c>
      <c r="D27" s="40">
        <f>H_O2_T*O2_ceil_Pa</f>
        <v>0.314742903798</v>
      </c>
      <c r="E27" s="74" t="s">
        <v>407</v>
      </c>
      <c r="F27" s="21"/>
    </row>
    <row r="28" spans="1:6" x14ac:dyDescent="0.2">
      <c r="A28" s="86" t="s">
        <v>404</v>
      </c>
      <c r="B28" s="19" t="s">
        <v>408</v>
      </c>
      <c r="C28" s="20" t="s">
        <v>409</v>
      </c>
      <c r="D28" s="38">
        <f>O2_ceil_C*1000</f>
        <v>314.742903798027</v>
      </c>
      <c r="E28" s="50" t="s">
        <v>410</v>
      </c>
      <c r="F28" s="21"/>
    </row>
    <row r="29" spans="1:6" x14ac:dyDescent="0.2">
      <c r="A29" s="18" t="s">
        <v>411</v>
      </c>
      <c r="B29" s="19" t="s">
        <v>412</v>
      </c>
      <c r="C29" s="20" t="s">
        <v>387</v>
      </c>
      <c r="D29" s="122">
        <v>3.3E-4</v>
      </c>
      <c r="E29" s="51" t="s">
        <v>958</v>
      </c>
      <c r="F29" s="21"/>
    </row>
    <row r="30" spans="1:6" ht="24" customHeight="1" x14ac:dyDescent="0.2">
      <c r="A30" s="18" t="s">
        <v>413</v>
      </c>
      <c r="B30" s="19" t="s">
        <v>414</v>
      </c>
      <c r="C30" s="20" t="s">
        <v>262</v>
      </c>
      <c r="D30" s="122">
        <v>2400</v>
      </c>
      <c r="E30" s="51" t="s">
        <v>415</v>
      </c>
      <c r="F30" s="21"/>
    </row>
    <row r="31" spans="1:6" x14ac:dyDescent="0.2">
      <c r="A31" s="18" t="s">
        <v>416</v>
      </c>
      <c r="B31" s="19" t="s">
        <v>417</v>
      </c>
      <c r="C31" s="20" t="s">
        <v>387</v>
      </c>
      <c r="D31" s="41">
        <f>H_CO2ref*EXP(H_CO2T*(1/T_K-1/T_ref))</f>
        <v>0.0002889709160252</v>
      </c>
      <c r="E31" s="74" t="s">
        <v>418</v>
      </c>
      <c r="F31" s="21"/>
    </row>
    <row r="32" spans="1:6" x14ac:dyDescent="0.2">
      <c r="A32" s="18" t="s">
        <v>2102</v>
      </c>
      <c r="B32" s="19" t="s">
        <v>419</v>
      </c>
      <c r="C32" s="20" t="s">
        <v>57</v>
      </c>
      <c r="D32" s="41">
        <f>'Mass Transfer'!P_dry</f>
        <v>97088.3497487</v>
      </c>
      <c r="E32" s="140" t="s">
        <v>2103</v>
      </c>
      <c r="F32" s="21"/>
    </row>
    <row r="33" spans="1:6" ht="24" x14ac:dyDescent="0.2">
      <c r="A33" s="18" t="s">
        <v>420</v>
      </c>
      <c r="B33" s="19" t="s">
        <v>421</v>
      </c>
      <c r="C33" s="20" t="s">
        <v>406</v>
      </c>
      <c r="D33" s="41">
        <f>H_CO2_T*p_CO2_sparge</f>
        <v>28.055709362261</v>
      </c>
      <c r="E33" s="74" t="s">
        <v>2104</v>
      </c>
      <c r="F33" s="21"/>
    </row>
    <row r="34" spans="1:6" x14ac:dyDescent="0.2">
      <c r="A34" s="18" t="s">
        <v>422</v>
      </c>
      <c r="B34" s="19" t="s">
        <v>423</v>
      </c>
      <c r="C34" s="20" t="s">
        <v>409</v>
      </c>
      <c r="D34" s="106">
        <v>50</v>
      </c>
      <c r="E34" s="53" t="s">
        <v>424</v>
      </c>
      <c r="F34" s="21"/>
    </row>
    <row r="35" spans="1:6" ht="24" customHeight="1" x14ac:dyDescent="0.2">
      <c r="A35" s="18" t="s">
        <v>425</v>
      </c>
      <c r="B35" s="19" t="s">
        <v>426</v>
      </c>
      <c r="C35" s="20" t="s">
        <v>87</v>
      </c>
      <c r="D35" s="41">
        <f>CO2_diss*1000/Km_CO2</f>
        <v>561.114187245225</v>
      </c>
      <c r="E35" s="74" t="inlineStr">
        <is>
          <t xml:space="preserve">Dissolved CO₂ at full dry-basis saturation : RuBisCO Km. Legacy upper bound, superseded by the cycle-trough margin D98 (Summary D76).</t>
        </is>
      </c>
      <c r="F35" s="21"/>
    </row>
    <row r="36" spans="1:6" x14ac:dyDescent="0.2">
      <c r="A36" s="18" t="s">
        <v>427</v>
      </c>
      <c r="B36" s="19" t="s">
        <v>428</v>
      </c>
      <c r="C36" s="20" t="s">
        <v>429</v>
      </c>
      <c r="D36" s="122">
        <v>4.4499999999999997E-7</v>
      </c>
      <c r="E36" s="51" t="s">
        <v>430</v>
      </c>
      <c r="F36" s="21"/>
    </row>
    <row r="37" spans="1:6" ht="24" customHeight="1" x14ac:dyDescent="0.2">
      <c r="A37" s="18" t="s">
        <v>431</v>
      </c>
      <c r="B37" s="19" t="s">
        <v>432</v>
      </c>
      <c r="C37" s="20" t="s">
        <v>111</v>
      </c>
      <c r="D37" s="41">
        <f>-LOG10(SQRT(Ka1_carb*(CO2_diss/1000)))</f>
        <v>3.951809367556</v>
      </c>
      <c r="E37" s="53" t="s">
        <v>433</v>
      </c>
      <c r="F37" s="21"/>
    </row>
    <row r="38" spans="1:6" x14ac:dyDescent="0.2">
      <c r="A38" s="18" t="s">
        <v>434</v>
      </c>
      <c r="B38" s="19" t="s">
        <v>435</v>
      </c>
      <c r="C38" s="20" t="s">
        <v>387</v>
      </c>
      <c r="D38" s="122">
        <v>7.7999999999999999E-6</v>
      </c>
      <c r="E38" s="51" t="s">
        <v>959</v>
      </c>
      <c r="F38" s="21"/>
    </row>
    <row r="39" spans="1:6" x14ac:dyDescent="0.2">
      <c r="A39" s="18" t="s">
        <v>436</v>
      </c>
      <c r="B39" s="19" t="s">
        <v>437</v>
      </c>
      <c r="C39" s="20" t="s">
        <v>262</v>
      </c>
      <c r="D39" s="122">
        <v>500</v>
      </c>
      <c r="E39" s="51" t="s">
        <v>438</v>
      </c>
      <c r="F39" s="21"/>
    </row>
    <row r="40" spans="1:6" x14ac:dyDescent="0.2">
      <c r="A40" s="18" t="s">
        <v>439</v>
      </c>
      <c r="B40" s="19" t="s">
        <v>440</v>
      </c>
      <c r="C40" s="20" t="s">
        <v>387</v>
      </c>
      <c r="D40" s="41">
        <f>H_H2ref*EXP(H_H2T*(1/T_K-1/T_ref))</f>
        <v>7.587210673725e-06</v>
      </c>
      <c r="E40" s="74" t="s">
        <v>418</v>
      </c>
      <c r="F40" s="21"/>
    </row>
    <row r="41" spans="1:6" x14ac:dyDescent="0.2">
      <c r="A41" s="18" t="s">
        <v>441</v>
      </c>
      <c r="B41" s="19" t="s">
        <v>442</v>
      </c>
      <c r="C41" s="20" t="s">
        <v>406</v>
      </c>
      <c r="D41" s="41">
        <f>H_H2_T*P_atm</f>
        <v>0.768774121515</v>
      </c>
      <c r="E41" s="74" t="s">
        <v>443</v>
      </c>
      <c r="F41" s="21"/>
    </row>
    <row r="42" spans="1:6" ht="24" customHeight="1" x14ac:dyDescent="0.2">
      <c r="A42" s="18" t="s">
        <v>444</v>
      </c>
      <c r="B42" s="19" t="s">
        <v>445</v>
      </c>
      <c r="C42" s="20" t="s">
        <v>61</v>
      </c>
      <c r="D42" s="41">
        <f>C_H2_sat*(V_charge/1000000)/rH2_gen*60</f>
        <v>6.761153457087</v>
      </c>
      <c r="E42" s="74" t="s">
        <v>446</v>
      </c>
      <c r="F42" s="21"/>
    </row>
    <row r="43" spans="1:6" x14ac:dyDescent="0.2">
      <c r="A43" s="18" t="s">
        <v>447</v>
      </c>
      <c r="B43" s="19" t="s">
        <v>448</v>
      </c>
      <c r="C43" s="20" t="s">
        <v>449</v>
      </c>
      <c r="D43" s="41">
        <f>rH2_gen/(V_charge/1000000)/C_H2_sat</f>
        <v>8.874225438133</v>
      </c>
      <c r="E43" s="53" t="s">
        <v>450</v>
      </c>
      <c r="F43" s="21"/>
    </row>
    <row r="44" spans="1:6" ht="24" customHeight="1" x14ac:dyDescent="0.2">
      <c r="A44" s="18" t="s">
        <v>2106</v>
      </c>
      <c r="B44" s="19" t="s">
        <v>451</v>
      </c>
      <c r="C44" s="20" t="s">
        <v>111</v>
      </c>
      <c r="D44" s="111" t="str">
        <f>IF(AND(y_H2_end_b&gt;=H2_LFL,y_O2_end_b&gt;=O2_LOC_H2*LOC_margin),"POTENTIAL FLAMMABILITY (lag screen): H₂ "&amp;TEXT(y_H2_hs_lag,"0%")&amp;" mean, "&amp;TEXT(y_H2_end_b,"0%")&amp;" before each pulse; O₂ "&amp;TEXT(y_O2_hs_lag,"0%")&amp;" mean, "&amp;TEXT(y_O2_end_b,"0%")&amp;" before each pulse – until uptake starts, "&amp;IF(MAX(0,CEILING(spg_int_H2safe_saw,remedy_res)-remedy_res)*60&gt;spg_dur_opt_b,"sparge every ≤"&amp;TEXT(MAX(0,CEILING(spg_int_H2safe_saw,remedy_res)-remedy_res),"0.0")&amp;" min or ","interval remedy unavailable; ")&amp;"sweep ≥"&amp;TEXT(FLOOR(N2_sweep_H2safe,remedy_res)+remedy_res,"0.0")&amp;" mL/min N₂; vent to a hood; no ignition sources","Below nominal H₂/O₂ screening thresholds (lag; not safety certification): H₂ "&amp;TEXT(y_H2_end_b,"0%")&amp;", O₂ "&amp;TEXT(y_O2_end_b,"0%")&amp;" before each pulse ("&amp;TEXT(y_H2_hs_lag,"0%")&amp;" / "&amp;TEXT(y_O2_hs_lag,"0%")&amp;" mean)")</f>
        <v>POTENTIAL FLAMMABILITY (lag screen): H₂ 9% mean, 15% before each pulse; O₂ 5% mean, 8% before each pulse – until uptake starts, sparge every ≤2.3 min or sweep ≥1.0 mL/min N₂; vent to a hood; no ignition sources</v>
      </c>
      <c r="E44" s="57" t="inlineStr">
        <is>
          <t xml:space="preserve">Conservative screen using nominal air LFL and diluted-mixture LOC with an assumed margin, not a validated H2/O2/CO2/N2 flammability envelope. Below threshold is not safety certification. Validate mixture limits and the actual vent/sweep before unattended use.</t>
        </is>
      </c>
      <c r="F44" s="75" t="s">
        <v>2108</v>
      </c>
    </row>
    <row r="45" spans="1:6" x14ac:dyDescent="0.2">
      <c r="A45" s="21" t="s">
        <v>452</v>
      </c>
      <c r="B45" s="21" t="s">
        <v>453</v>
      </c>
      <c r="C45" s="21" t="s">
        <v>83</v>
      </c>
      <c r="D45" s="29" t="e">
        <f>IF(ISNUMBER(cal_DO_min),cal_DO_min,IF(ISNUMBER(VLOOKUP(organism_sel,tbl_organism,MATCH("minimum DO",tbl_organism_hdr,0),FALSE)),VLOOKUP(organism_sel,tbl_organism,MATCH("minimum DO",tbl_organism_hdr,0),FALSE),NA()))</f>
        <v>#N/A</v>
      </c>
      <c r="E45" s="57" t="inlineStr">
        <is>
          <t xml:space="preserve">The Calibrations DO section if a value is included for this organism, otherwise the HOB lookup (row 52 on, column "minimum DO"); #N/A = a data gap, to be measured (Summary row 113).</t>
        </is>
      </c>
      <c r="F45" s="21"/>
    </row>
    <row r="46" spans="1:6" x14ac:dyDescent="0.2">
      <c r="A46" s="21" t="s">
        <v>454</v>
      </c>
      <c r="B46" s="21" t="s">
        <v>455</v>
      </c>
      <c r="C46" s="21" t="s">
        <v>83</v>
      </c>
      <c r="D46" s="25" t="e">
        <f>IF(ISNUMBER(cal_DO_opt),cal_DO_opt,IF(ISNUMBER(VLOOKUP(organism_sel,tbl_organism,MATCH("optimum DO",tbl_organism_hdr,0),FALSE)),VLOOKUP(organism_sel,tbl_organism,MATCH("optimum DO",tbl_organism_hdr,0),FALSE),NA()))</f>
        <v>#N/A</v>
      </c>
      <c r="E46" s="57" t="inlineStr">
        <is>
          <t xml:space="preserve">The Calibrations DO section if a value is included for this organism, otherwise the HOB lookup (row 52 on, column "optimum DO"); #N/A = a data gap, to be measured (Summary row 113).</t>
        </is>
      </c>
      <c r="F46" s="21"/>
    </row>
    <row r="47" spans="1:6" x14ac:dyDescent="0.2">
      <c r="A47" s="21" t="s">
        <v>456</v>
      </c>
      <c r="B47" s="21" t="s">
        <v>457</v>
      </c>
      <c r="C47" s="21" t="s">
        <v>83</v>
      </c>
      <c r="D47" s="25" t="e">
        <f>IF(ISNUMBER(cal_DO_impair),cal_DO_impair,IF(ISNUMBER(VLOOKUP(organism_sel,tbl_organism,MATCH("impairment DO",tbl_organism_hdr,0),FALSE)),VLOOKUP(organism_sel,tbl_organism,MATCH("impairment DO",tbl_organism_hdr,0),FALSE),NA()))</f>
        <v>#N/A</v>
      </c>
      <c r="E47" s="57" t="inlineStr">
        <is>
          <t xml:space="preserve">The Calibrations DO section if a value is included for this organism, otherwise the HOB lookup (row 52 on, column "impairment DO"); #N/A = a data gap, to be measured (Summary row 113).</t>
        </is>
      </c>
      <c r="F47" s="21"/>
    </row>
    <row r="48" spans="1:6" x14ac:dyDescent="0.2">
      <c r="A48" s="21" t="s">
        <v>458</v>
      </c>
      <c r="B48" s="21" t="s">
        <v>459</v>
      </c>
      <c r="C48" s="21" t="s">
        <v>83</v>
      </c>
      <c r="D48" s="25" t="e">
        <f>IF(ISNUMBER(cal_DO_toxic),cal_DO_toxic,IF(ISNUMBER(VLOOKUP(organism_sel,tbl_organism,MATCH("toxic DO",tbl_organism_hdr,0),FALSE)),VLOOKUP(organism_sel,tbl_organism,MATCH("toxic DO",tbl_organism_hdr,0),FALSE),NA()))</f>
        <v>#N/A</v>
      </c>
      <c r="E48" s="57" t="inlineStr">
        <is>
          <t xml:space="preserve">The Calibrations DO section if a value is included for this organism, otherwise the HOB lookup (row 52 on, column "toxic DO"); #N/A = a data gap, to be measured (Summary row 113).</t>
        </is>
      </c>
      <c r="F48" s="21"/>
    </row>
    <row r="49" spans="1:6" x14ac:dyDescent="0.2">
      <c r="A49" s="21"/>
      <c r="B49" s="46"/>
      <c r="C49" s="46"/>
      <c r="D49" s="46"/>
      <c r="E49" s="46"/>
      <c r="F49" s="21"/>
    </row>
    <row r="50" spans="1:6" x14ac:dyDescent="0.2">
      <c r="A50" s="77" t="s">
        <v>460</v>
      </c>
      <c r="B50" s="21"/>
      <c r="C50" s="21"/>
      <c r="D50" s="21"/>
      <c r="E50" s="21"/>
      <c r="F50" s="21"/>
    </row>
    <row r="51" spans="1:6" x14ac:dyDescent="0.2">
      <c r="A51" s="77" t="s">
        <v>461</v>
      </c>
      <c r="B51" s="77" t="s">
        <v>462</v>
      </c>
      <c r="C51" s="77" t="s">
        <v>463</v>
      </c>
      <c r="D51" s="77" t="s">
        <v>464</v>
      </c>
      <c r="E51" s="77" t="s">
        <v>465</v>
      </c>
      <c r="F51" s="77" t="s">
        <v>466</v>
      </c>
    </row>
    <row r="52" spans="1:6" x14ac:dyDescent="0.2">
      <c r="A52" s="21" t="s">
        <v>34</v>
      </c>
      <c r="B52" s="46" t="s">
        <v>346</v>
      </c>
      <c r="C52" s="155">
        <v>2.6</v>
      </c>
      <c r="D52" s="155">
        <v>3</v>
      </c>
      <c r="E52" s="155">
        <v>11.5</v>
      </c>
      <c r="F52" s="75" t="inlineStr">
        <is>
          <t xml:space="preserve">11.5 = Wilde &amp; Schlegel 1982 inhibition datum (the model computes its ceiling via Henry, ~10.7 mg/L at 30 °C). Optimum 2.6 and impairment 3.0 are provisional working values, not sourced measurements (protocols/dissolved-oxygen.md: optimum low, impairment not established).</t>
        </is>
      </c>
    </row>
    <row r="53" spans="1:6" x14ac:dyDescent="0.2">
      <c r="A53" s="21" t="s">
        <v>468</v>
      </c>
      <c r="B53" s="46" t="s">
        <v>346</v>
      </c>
      <c r="C53" s="46" t="s">
        <v>346</v>
      </c>
      <c r="D53" s="46" t="s">
        <v>346</v>
      </c>
      <c r="E53" s="155">
        <v>11.5</v>
      </c>
      <c r="F53" s="21" t="s">
        <v>469</v>
      </c>
    </row>
    <row r="54" spans="1:6" x14ac:dyDescent="0.2">
      <c r="A54" s="21" t="s">
        <v>470</v>
      </c>
      <c r="B54" s="46" t="s">
        <v>346</v>
      </c>
      <c r="C54" s="46" t="s">
        <v>346</v>
      </c>
      <c r="D54" s="46" t="s">
        <v>346</v>
      </c>
      <c r="E54" s="46" t="s">
        <v>346</v>
      </c>
      <c r="F54" s="21" t="s">
        <v>471</v>
      </c>
    </row>
    <row r="55" spans="1:6" x14ac:dyDescent="0.2">
      <c r="A55" s="21" t="s">
        <v>472</v>
      </c>
      <c r="B55" s="46" t="s">
        <v>346</v>
      </c>
      <c r="C55" s="46" t="s">
        <v>346</v>
      </c>
      <c r="D55" s="46" t="s">
        <v>346</v>
      </c>
      <c r="E55" s="46" t="s">
        <v>346</v>
      </c>
      <c r="F55" s="21" t="s">
        <v>471</v>
      </c>
    </row>
    <row r="56" spans="1:6" x14ac:dyDescent="0.2">
      <c r="A56" s="21" t="s">
        <v>473</v>
      </c>
      <c r="B56" s="46" t="s">
        <v>346</v>
      </c>
      <c r="C56" s="46" t="s">
        <v>346</v>
      </c>
      <c r="D56" s="46" t="s">
        <v>346</v>
      </c>
      <c r="E56" s="46" t="s">
        <v>346</v>
      </c>
      <c r="F56" s="21" t="s">
        <v>471</v>
      </c>
    </row>
    <row r="57" spans="1:6" x14ac:dyDescent="0.2">
      <c r="A57" s="21" t="s">
        <v>474</v>
      </c>
      <c r="B57" s="46" t="s">
        <v>346</v>
      </c>
      <c r="C57" s="46" t="s">
        <v>346</v>
      </c>
      <c r="D57" s="46" t="s">
        <v>346</v>
      </c>
      <c r="E57" s="46" t="s">
        <v>346</v>
      </c>
      <c r="F57" s="21" t="s">
        <v>475</v>
      </c>
    </row>
    <row r="58" spans="1:6" x14ac:dyDescent="0.2">
      <c r="A58" s="21"/>
      <c r="B58" s="21"/>
      <c r="C58" s="21"/>
      <c r="D58" s="29"/>
      <c r="E58" s="21"/>
      <c r="F58" s="21"/>
    </row>
    <row r="59" spans="1:6" x14ac:dyDescent="0.2">
      <c r="A59" s="6" t="s">
        <v>2109</v>
      </c>
    </row>
    <row r="60" spans="1:6" ht="24" x14ac:dyDescent="0.2">
      <c r="A60" t="s">
        <v>1328</v>
      </c>
      <c r="B60" s="19" t="s">
        <v>1329</v>
      </c>
      <c r="C60" s="20" t="s">
        <v>1140</v>
      </c>
      <c r="D60" s="111">
        <f>IF(ISNA(MATCH(organism_sel,OrganismList,0)),NA(),IF(AND(ISNUMBER(DO_opt),ISNUMBER(DO_toxic)),DO_opt/DO_toxic,DO_frac_fallback))</f>
        <v>0.226086956522</v>
      </c>
      <c r="E60" s="51" t="s">
        <v>1330</v>
      </c>
    </row>
    <row r="61" spans="1:6" ht="36" x14ac:dyDescent="0.2">
      <c r="A61" t="s">
        <v>1331</v>
      </c>
      <c r="B61" s="19" t="s">
        <v>1332</v>
      </c>
      <c r="C61" s="20" t="s">
        <v>1140</v>
      </c>
      <c r="D61" s="116">
        <v>0.22608695652173899</v>
      </c>
      <c r="E61" s="57" t="inlineStr">
        <is>
          <t xml:space="preserve">Provisional: C. necator optimum 2.6 ÷ inhibition 11.5 mg/L (row 52); the optimum is a working value, not a sourced measurement, so this stand-in for every unmeasured organism is a weak estimate until the DO-band experiment (Summary row 113).</t>
        </is>
      </c>
    </row>
    <row r="62" spans="1:6" x14ac:dyDescent="0.2">
      <c r="A62" s="6" t="s">
        <v>2111</v>
      </c>
    </row>
    <row r="63" spans="1:6" ht="24" x14ac:dyDescent="0.2">
      <c r="A63" s="18" t="s">
        <v>2112</v>
      </c>
      <c r="B63" s="19" t="s">
        <v>2113</v>
      </c>
      <c r="C63" s="20" t="s">
        <v>111</v>
      </c>
      <c r="D63" s="106">
        <v>6</v>
      </c>
      <c r="E63" s="142" t="s">
        <v>2114</v>
      </c>
    </row>
    <row r="64" spans="1:6" x14ac:dyDescent="0.2">
      <c r="A64" s="18" t="s">
        <v>2115</v>
      </c>
      <c r="B64" s="19" t="s">
        <v>2116</v>
      </c>
      <c r="C64" s="20" t="s">
        <v>111</v>
      </c>
      <c r="D64" s="106">
        <v>2</v>
      </c>
      <c r="E64" s="142" t="s">
        <v>2117</v>
      </c>
    </row>
    <row r="65" spans="1:5" x14ac:dyDescent="0.2">
      <c r="A65" s="18" t="s">
        <v>2118</v>
      </c>
      <c r="B65" s="19" t="s">
        <v>2119</v>
      </c>
      <c r="C65" s="20" t="s">
        <v>111</v>
      </c>
      <c r="D65" s="106">
        <v>1</v>
      </c>
      <c r="E65" s="142" t="s">
        <v>2120</v>
      </c>
    </row>
    <row r="66" spans="1:5" x14ac:dyDescent="0.2">
      <c r="A66" s="18" t="s">
        <v>2121</v>
      </c>
      <c r="B66" s="19" t="s">
        <v>2122</v>
      </c>
      <c r="C66" s="20" t="s">
        <v>262</v>
      </c>
      <c r="D66" s="106">
        <v>273.14999999999998</v>
      </c>
      <c r="E66" s="74" t="s">
        <v>2123</v>
      </c>
    </row>
    <row r="67" spans="1:5" x14ac:dyDescent="0.2">
      <c r="A67" s="21" t="s">
        <v>2124</v>
      </c>
      <c r="B67" s="19" t="s">
        <v>56</v>
      </c>
      <c r="C67" s="21" t="s">
        <v>57</v>
      </c>
      <c r="D67" s="121">
        <f>Summary!P_atm_set</f>
        <v>0.0</v>
      </c>
      <c r="E67" s="140" t="s">
        <v>2125</v>
      </c>
    </row>
    <row r="75" spans="1:5" x14ac:dyDescent="0.2">
      <c r="A75" s="6" t="s">
        <v>2126</v>
      </c>
    </row>
    <row r="76" spans="1:5" x14ac:dyDescent="0.2">
      <c r="A76" s="21" t="s">
        <v>2127</v>
      </c>
      <c r="B76" s="19" t="s">
        <v>2128</v>
      </c>
      <c r="C76" s="21" t="s">
        <v>307</v>
      </c>
      <c r="D76" s="120">
        <f>'Mass Transfer'!CO2_supply</f>
        <v>0.0008495736750049</v>
      </c>
      <c r="E76" s="140" t="s">
        <v>2129</v>
      </c>
    </row>
    <row r="77" spans="1:5" x14ac:dyDescent="0.2">
      <c r="A77" s="21" t="s">
        <v>2130</v>
      </c>
      <c r="B77" s="19" t="s">
        <v>2131</v>
      </c>
      <c r="C77" s="21" t="s">
        <v>307</v>
      </c>
      <c r="D77" s="120">
        <f>'Mass Transfer'!CO2_rate_full</f>
        <v>0.481916270304</v>
      </c>
      <c r="E77" s="140" t="s">
        <v>2132</v>
      </c>
    </row>
    <row r="78" spans="1:5" x14ac:dyDescent="0.2">
      <c r="A78" s="21" t="s">
        <v>2133</v>
      </c>
      <c r="B78" s="19" t="s">
        <v>2134</v>
      </c>
      <c r="C78" s="21" t="s">
        <v>12</v>
      </c>
      <c r="D78" s="120">
        <f>'Mass Transfer'!spg_dur_eq_opt</f>
        <v>0.784513049825</v>
      </c>
      <c r="E78" s="140" t="s">
        <v>2135</v>
      </c>
    </row>
    <row r="79" spans="1:5" x14ac:dyDescent="0.2">
      <c r="A79" s="21" t="s">
        <v>2136</v>
      </c>
      <c r="B79" s="19" t="s">
        <v>2137</v>
      </c>
      <c r="C79" s="21" t="s">
        <v>2138</v>
      </c>
      <c r="D79" s="120">
        <f>'Mass Transfer'!R_gas</f>
        <v>8.314462618</v>
      </c>
      <c r="E79" s="140" t="s">
        <v>2139</v>
      </c>
    </row>
    <row r="80" spans="1:5" x14ac:dyDescent="0.2">
      <c r="A80" s="18" t="s">
        <v>2140</v>
      </c>
      <c r="B80" s="19" t="s">
        <v>2141</v>
      </c>
      <c r="C80" s="20" t="s">
        <v>111</v>
      </c>
      <c r="D80" s="116">
        <v>0.04</v>
      </c>
      <c r="E80" s="74" t="s">
        <v>2142</v>
      </c>
    </row>
    <row r="81" spans="1:5" x14ac:dyDescent="0.2">
      <c r="A81" s="18" t="s">
        <v>2143</v>
      </c>
      <c r="B81" s="19" t="s">
        <v>2144</v>
      </c>
      <c r="C81" s="20" t="s">
        <v>111</v>
      </c>
      <c r="D81" s="116">
        <v>5.1999999999999998E-2</v>
      </c>
      <c r="E81" s="74" t="s">
        <v>2145</v>
      </c>
    </row>
    <row r="82" spans="1:5" ht="24" x14ac:dyDescent="0.2">
      <c r="A82" s="18" t="s">
        <v>2146</v>
      </c>
      <c r="B82" s="19" t="s">
        <v>2147</v>
      </c>
      <c r="C82" s="20" t="s">
        <v>111</v>
      </c>
      <c r="D82" s="116">
        <v>0.6</v>
      </c>
      <c r="E82" s="74" t="s">
        <v>2148</v>
      </c>
    </row>
    <row r="83" spans="1:5" ht="24" x14ac:dyDescent="0.2">
      <c r="A83" s="18" t="s">
        <v>2149</v>
      </c>
      <c r="B83" s="19" t="s">
        <v>2150</v>
      </c>
      <c r="C83" s="20" t="s">
        <v>307</v>
      </c>
      <c r="D83" s="41">
        <f>H2_src_l_b+O2_src_l_b</f>
        <v>0.0001451587888868</v>
      </c>
      <c r="E83" s="53" t="s">
        <v>2151</v>
      </c>
    </row>
    <row r="84" spans="1:5" ht="48" x14ac:dyDescent="0.2">
      <c r="A84" s="18" t="s">
        <v>2152</v>
      </c>
      <c r="B84" s="19" t="s">
        <v>2153</v>
      </c>
      <c r="C84" s="20" t="s">
        <v>111</v>
      </c>
      <c r="D84" s="41">
        <f>H2_src_l_b/(n_flamm_src+CO2_supply_b+F_dil_b)</f>
        <v>0.093870758852</v>
      </c>
      <c r="E84" s="53" t="s">
        <v>2154</v>
      </c>
    </row>
    <row r="85" spans="1:5" ht="24" x14ac:dyDescent="0.2">
      <c r="A85" s="18" t="s">
        <v>2155</v>
      </c>
      <c r="B85" s="19" t="s">
        <v>2156</v>
      </c>
      <c r="C85" s="20" t="s">
        <v>111</v>
      </c>
      <c r="D85" s="41">
        <f>(O2_src_l_b+y_O2_air_b*F_vent_ex_b)/(n_flamm_src+CO2_supply_b+F_dil_b)</f>
        <v>0.054287788176</v>
      </c>
      <c r="E85" s="53" t="s">
        <v>2157</v>
      </c>
    </row>
    <row r="86" spans="1:5" ht="36" x14ac:dyDescent="0.2">
      <c r="A86" s="18" t="s">
        <v>2158</v>
      </c>
      <c r="B86" s="19" t="s">
        <v>2159</v>
      </c>
      <c r="C86" s="20" t="s">
        <v>111</v>
      </c>
      <c r="D86" s="41">
        <f>MAX(0,MIN(H2_src_l_b/H2_LFL-n_flamm_src-F_dil_b,(O2_src_l_b+y_O2_air_b*F_vent_ex_b)/(O2_LOC_H2*LOC_margin)-n_flamm_src-F_dil_b))/CO2_rate_full_b</f>
        <v>0.003345896216</v>
      </c>
      <c r="E86" s="53" t="s">
        <v>2160</v>
      </c>
    </row>
    <row r="87" spans="1:5" ht="24" x14ac:dyDescent="0.2">
      <c r="A87" s="18" t="s">
        <v>2161</v>
      </c>
      <c r="B87" s="19" t="s">
        <v>2162</v>
      </c>
      <c r="C87" s="20" t="s">
        <v>61</v>
      </c>
      <c r="D87" s="41">
        <f>IF(duty_H2safe&gt;0,spg_dur_b/(60*duty_H2safe),NA())</f>
        <v>3.907837139102</v>
      </c>
      <c r="E87" s="53" t="s">
        <v>2163</v>
      </c>
    </row>
    <row r="88" spans="1:5" ht="24" x14ac:dyDescent="0.2">
      <c r="A88" s="18" t="s">
        <v>2164</v>
      </c>
      <c r="B88" s="19" t="s">
        <v>2165</v>
      </c>
      <c r="C88" s="20" t="s">
        <v>314</v>
      </c>
      <c r="D88" s="41">
        <f>MAX(0,H2_src_l_b/H2_LFL-n_flamm_src-F_vent_ex_b)/3600*R_gas_b*T_K/P_atm*1000000*60</f>
        <v>0.927852667512</v>
      </c>
      <c r="E88" s="53" t="s">
        <v>2166</v>
      </c>
    </row>
    <row r="89" spans="1:5" x14ac:dyDescent="0.2">
      <c r="A89" s="21" t="s">
        <v>2167</v>
      </c>
      <c r="B89" s="19" t="s">
        <v>2168</v>
      </c>
      <c r="C89" s="21" t="s">
        <v>12</v>
      </c>
      <c r="D89" s="111">
        <f>'Mass Transfer'!spg_dur</f>
        <v>0.65</v>
      </c>
      <c r="E89" s="57" t="inlineStr">
        <is>
          <t xml:space="preserve">Actual commanded pulse (Mass Transfer spg_dur), also the pulse required for the interval remedy.</t>
        </is>
      </c>
    </row>
    <row r="90" spans="1:5" ht="48" x14ac:dyDescent="0.2">
      <c r="A90" s="18" t="s">
        <v>2170</v>
      </c>
      <c r="B90" s="19" t="s">
        <v>2171</v>
      </c>
      <c r="C90" s="20" t="s">
        <v>61</v>
      </c>
      <c r="D90" s="41">
        <f>IF(H2_src_l_b&gt;H2_LFL*F_gap_l_b,n_hs_gas_b/F_gap_l_b*LN((1-H2_LFL*F_gap_l_b/(H2_src_l_b)*flush_ret_opt_b)/(1-H2_LFL*F_gap_l_b/(H2_src_l_b)))*60,"none needed")</f>
        <v>1.67411703878</v>
      </c>
      <c r="E90" s="53" t="s">
        <v>2172</v>
      </c>
    </row>
    <row r="91" spans="1:5" x14ac:dyDescent="0.2">
      <c r="A91" s="18" t="s">
        <v>2173</v>
      </c>
      <c r="B91" s="19" t="s">
        <v>2174</v>
      </c>
      <c r="C91" s="20" t="s">
        <v>61</v>
      </c>
      <c r="D91" s="41">
        <f>IF(O2_src_l_b+y_O2_air_b*F_vent_ex_b&gt;O2_LOC_H2*LOC_margin*F_gap_l_b,n_hs_gas_b/F_gap_l_b*LN((1-O2_LOC_H2*LOC_margin*F_gap_l_b/(O2_src_l_b+y_O2_air_b*F_vent_ex_b)*flush_ret_opt_b)/(1-O2_LOC_H2*LOC_margin*F_gap_l_b/(O2_src_l_b+y_O2_air_b*F_vent_ex_b)))*60,"none needed")</f>
        <v>2.301568976741</v>
      </c>
      <c r="E91" s="53" t="s">
        <v>2175</v>
      </c>
    </row>
    <row r="92" spans="1:5" ht="24" x14ac:dyDescent="0.2">
      <c r="A92" s="18" t="inlineStr">
        <is>
          <t xml:space="preserve">Interval clearing the nominal lag hazard screen</t>
        </is>
      </c>
      <c r="B92" s="19" t="s">
        <v>2177</v>
      </c>
      <c r="C92" s="20" t="s">
        <v>61</v>
      </c>
      <c r="D92" s="41">
        <f>IF(OR(ISTEXT(t_gap_H2_LFL),ISTEXT(t_gap_O2_LOC)),"any interval",MAX(t_gap_H2_LFL,t_gap_O2_LOC)+spg_dur_opt_b/60)</f>
        <v>2.312402310074</v>
      </c>
      <c r="E92" s="53" t="s">
        <v>2178</v>
      </c>
    </row>
    <row r="95" spans="1:5" x14ac:dyDescent="0.2">
      <c r="A95" s="6" t="s">
        <v>2179</v>
      </c>
    </row>
    <row r="96" spans="1:5" x14ac:dyDescent="0.2">
      <c r="A96" s="18" t="s">
        <v>2180</v>
      </c>
      <c r="B96" s="19" t="s">
        <v>2181</v>
      </c>
      <c r="C96" s="20" t="s">
        <v>307</v>
      </c>
      <c r="D96" s="41">
        <f>Electrochemistry!r_H2_HOR</f>
        <v>0.0</v>
      </c>
      <c r="E96" s="51" t="s">
        <v>2182</v>
      </c>
    </row>
    <row r="97" spans="1:5" x14ac:dyDescent="0.2">
      <c r="A97" s="18" t="s">
        <v>2183</v>
      </c>
      <c r="B97" s="19" t="s">
        <v>2184</v>
      </c>
      <c r="C97" s="20" t="s">
        <v>406</v>
      </c>
      <c r="D97" s="41">
        <f>'Mass Transfer'!C_cycle_start</f>
        <v>25.434899746133</v>
      </c>
      <c r="E97" s="51" t="s">
        <v>2185</v>
      </c>
    </row>
    <row r="98" spans="1:5" ht="36" x14ac:dyDescent="0.2">
      <c r="A98" s="18" t="s">
        <v>2186</v>
      </c>
      <c r="B98" s="19" t="s">
        <v>2187</v>
      </c>
      <c r="C98" s="20" t="s">
        <v>87</v>
      </c>
      <c r="D98" s="41">
        <f>C_cycle_start_b*1000/Km_CO2</f>
        <v>508.697994922664</v>
      </c>
      <c r="E98" s="53" t="s">
        <v>2188</v>
      </c>
    </row>
    <row r="110" spans="1:5" x14ac:dyDescent="0.2">
      <c r="A110" s="6" t="s">
        <v>2189</v>
      </c>
    </row>
    <row r="111" spans="1:5" x14ac:dyDescent="0.2">
      <c r="A111" s="21" t="s">
        <v>2190</v>
      </c>
      <c r="B111" s="19" t="s">
        <v>2191</v>
      </c>
      <c r="C111" s="21" t="s">
        <v>307</v>
      </c>
      <c r="D111" s="120">
        <f>'Mass Transfer'!F_vent_ex</f>
        <v>3.617990017297e-05</v>
      </c>
      <c r="E111" s="140" t="s">
        <v>2192</v>
      </c>
    </row>
    <row r="112" spans="1:5" x14ac:dyDescent="0.2">
      <c r="A112" s="21" t="s">
        <v>2193</v>
      </c>
      <c r="B112" s="19" t="s">
        <v>2194</v>
      </c>
      <c r="C112" s="21" t="s">
        <v>111</v>
      </c>
      <c r="D112" s="120">
        <f>'Mass Transfer'!y_O2_air</f>
        <v>0.2095</v>
      </c>
      <c r="E112" s="140" t="s">
        <v>2195</v>
      </c>
    </row>
    <row r="113" spans="1:5" x14ac:dyDescent="0.2">
      <c r="A113" s="21" t="s">
        <v>2196</v>
      </c>
      <c r="B113" s="19" t="s">
        <v>2197</v>
      </c>
      <c r="C113" s="21" t="s">
        <v>307</v>
      </c>
      <c r="D113" s="120">
        <f>'Mass Transfer'!H2_src_l</f>
        <v>9.67725259245e-05</v>
      </c>
      <c r="E113" s="140" t="s">
        <v>2198</v>
      </c>
    </row>
    <row r="114" spans="1:5" x14ac:dyDescent="0.2">
      <c r="A114" s="21" t="s">
        <v>2199</v>
      </c>
      <c r="B114" s="19" t="s">
        <v>2200</v>
      </c>
      <c r="C114" s="21" t="s">
        <v>111</v>
      </c>
      <c r="D114" s="120">
        <f>'Mass Transfer'!y_H2_end_l</f>
        <v>0.146419454972</v>
      </c>
      <c r="E114" s="140" t="s">
        <v>2201</v>
      </c>
    </row>
    <row r="115" spans="1:5" x14ac:dyDescent="0.2">
      <c r="A115" s="21" t="s">
        <v>2202</v>
      </c>
      <c r="B115" s="19" t="s">
        <v>2203</v>
      </c>
      <c r="C115" s="21" t="s">
        <v>307</v>
      </c>
      <c r="D115" s="120">
        <f>'Mass Transfer'!O2_src_l</f>
        <v>4.838626296225e-05</v>
      </c>
      <c r="E115" s="140" t="s">
        <v>2204</v>
      </c>
    </row>
    <row r="116" spans="1:5" x14ac:dyDescent="0.2">
      <c r="A116" s="21" t="s">
        <v>2205</v>
      </c>
      <c r="B116" s="19" t="s">
        <v>2206</v>
      </c>
      <c r="C116" s="21" t="s">
        <v>307</v>
      </c>
      <c r="D116" s="120">
        <f>'Mass Transfer'!F_gap_l</f>
        <v>0.0001813386890597</v>
      </c>
      <c r="E116" s="140" t="s">
        <v>2207</v>
      </c>
    </row>
    <row r="117" spans="1:5" x14ac:dyDescent="0.2">
      <c r="A117" s="21" t="s">
        <v>2208</v>
      </c>
      <c r="B117" s="19" t="s">
        <v>2209</v>
      </c>
      <c r="C117" s="21" t="s">
        <v>732</v>
      </c>
      <c r="D117" s="120">
        <f>'Mass Transfer'!n_hs_gas</f>
        <v>0.0001006282146096</v>
      </c>
      <c r="E117" s="140" t="s">
        <v>2210</v>
      </c>
    </row>
    <row r="118" spans="1:5" x14ac:dyDescent="0.2">
      <c r="A118" s="21" t="s">
        <v>2211</v>
      </c>
      <c r="B118" s="19" t="s">
        <v>2212</v>
      </c>
      <c r="C118" s="21" t="s">
        <v>111</v>
      </c>
      <c r="D118" s="111">
        <f>'Mass Transfer'!flush_ret</f>
        <v>0.363594260592</v>
      </c>
      <c r="E118" s="57" t="inlineStr">
        <is>
          <t xml:space="preserve">Retention of the actual commanded pulse, not the ideal design pulse.</t>
        </is>
      </c>
    </row>
    <row r="119" spans="1:5" x14ac:dyDescent="0.2">
      <c r="A119" s="21" t="s">
        <v>2214</v>
      </c>
      <c r="B119" s="19" t="s">
        <v>2215</v>
      </c>
      <c r="C119" s="21" t="s">
        <v>111</v>
      </c>
      <c r="D119" s="120">
        <f>'Mass Transfer'!y_O2_end_l</f>
        <v>0.084678002539</v>
      </c>
      <c r="E119" s="140" t="s">
        <v>2216</v>
      </c>
    </row>
    <row r="120" x14ac:dyDescent="0.2">
      <c r="A120" s="6" t="inlineStr">
        <is>
          <t xml:space="preserve">Remedy display resolution</t>
        </is>
      </c>
      <c r="B120" s="19" t="inlineStr">
        <is>
          <t xml:space="preserve">remedy_res</t>
        </is>
      </c>
      <c r="C120" s="20" t="inlineStr">
        <is>
          <t xml:space="preserve">-</t>
        </is>
      </c>
      <c r="D120" s="116">
        <v>0.1</v>
      </c>
      <c r="E120" s="57" t="inlineStr">
        <is>
          <t xml:space="preserve">Display increment: min for interval, mL/min for sweep. Bounds are rounded strictly in the protective direction.</t>
        </is>
      </c>
    </row>
    <row r="121" spans="1:5" x14ac:dyDescent="0.2">
      <c r="A121" s="21" t="s">
        <v>2218</v>
      </c>
      <c r="B121" s="19" t="s">
        <v>2219</v>
      </c>
      <c r="C121" s="21" t="s">
        <v>429</v>
      </c>
      <c r="D121" s="120">
        <f>Chemistry!I_ionic</f>
        <v>0.200184197377</v>
      </c>
      <c r="E121" s="140" t="s">
        <v>2220</v>
      </c>
    </row>
    <row r="122" spans="1:5" ht="48" x14ac:dyDescent="0.2">
      <c r="A122" s="21" t="s">
        <v>2221</v>
      </c>
      <c r="B122" s="19" t="s">
        <v>2222</v>
      </c>
      <c r="C122" s="21" t="s">
        <v>2223</v>
      </c>
      <c r="D122" s="106">
        <v>0.14000000000000001</v>
      </c>
      <c r="E122" s="34" t="s">
        <v>2224</v>
      </c>
    </row>
    <row r="123" spans="1:5" x14ac:dyDescent="0.2">
      <c r="A123" s="21" t="s">
        <v>2225</v>
      </c>
      <c r="B123" s="19" t="s">
        <v>2226</v>
      </c>
      <c r="C123" s="21" t="s">
        <v>111</v>
      </c>
      <c r="D123" s="120">
        <f>10^(-ks_O2*I_ionic_b)</f>
        <v>0.937506337817</v>
      </c>
      <c r="E123" s="50" t="s">
        <v>2227</v>
      </c>
    </row>
    <row r="125">
      <c r="A125" s="21" t="inlineStr">
        <is>
          <t xml:space="preserve">(import) non-pulse inflow to the headspace (air + N₂)</t>
        </is>
      </c>
      <c r="B125" s="19" t="inlineStr">
        <is>
          <t xml:space="preserve">F_dil_b</t>
        </is>
      </c>
      <c r="C125" s="21" t="inlineStr">
        <is>
          <t xml:space="preserve">mol/h</t>
        </is>
      </c>
      <c r="D125" s="120">
        <f>'Mass Transfer'!F_dil</f>
        <v>3.617990017297e-05</v>
      </c>
      <c r="E125" s="140" t="inlineStr">
        <is>
          <t xml:space="preserve">Import from Mass Transfer!D425 (F_dil): air ingress plus any N₂ sweep (Summary D14).</t>
        </is>
      </c>
    </row>
  </sheetData>
  <conditionalFormatting sqref="D9">
    <cfRule type="colorScale" priority="2">
      <colorScale>
        <cfvo type="num" val="0"/>
        <cfvo type="num" val="1.5E-5"/>
        <cfvo type="num" val="4.0000000000000003E-5"/>
        <color rgb="FF63BE7B"/>
        <color rgb="FFFFEB84"/>
        <color rgb="FFF8696B"/>
      </colorScale>
    </cfRule>
  </conditionalFormatting>
  <conditionalFormatting sqref="D44">
    <cfRule type="cellIs" dxfId="8" priority="1" operator="equal">
      <formula>"EXPLOSIVE"</formula>
    </cfRule>
    <cfRule type="expression" dxfId="7" priority="3" stopIfTrue="1">
      <formula>ISNUMBER(SEARCH("EXPLOSIVE",D44))</formula>
    </cfRule>
  </conditionalFormatting>
  <pageMargins left="0.75" right="0.75" top="1" bottom="1" header="0.5" footer="0.5"/>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sheetPr>
  <dimension ref="A1:S565"/>
  <sheetViews>
    <sheetView topLeftCell="A101" zoomScale="137" workbookViewId="0">
      <selection activeCell="D113" sqref="D113"/>
    </sheetView>
  </sheetViews>
  <sheetFormatPr baseColWidth="10" defaultColWidth="8.83203125" defaultRowHeight="15" x14ac:dyDescent="0.2"/>
  <cols>
    <col min="1" max="1" width="30" customWidth="1"/>
    <col min="2" max="2" width="15" customWidth="1"/>
    <col min="4" max="4" width="14.5" customWidth="1"/>
    <col min="5" max="5" width="60" customWidth="1"/>
  </cols>
  <sheetData>
    <row r="1" spans="1:6" ht="16" customHeight="1" x14ac:dyDescent="0.2">
      <c r="A1" s="78" t="s">
        <v>476</v>
      </c>
      <c r="B1" s="21"/>
      <c r="C1" s="21"/>
      <c r="D1" s="21"/>
      <c r="E1" s="21"/>
      <c r="F1" s="21"/>
    </row>
    <row r="2" spans="1:6" x14ac:dyDescent="0.2">
      <c r="A2" s="17" t="s">
        <v>20</v>
      </c>
      <c r="B2" s="17" t="s">
        <v>21</v>
      </c>
      <c r="C2" s="17" t="s">
        <v>22</v>
      </c>
      <c r="D2" s="17" t="s">
        <v>23</v>
      </c>
      <c r="E2" s="17" t="s">
        <v>107</v>
      </c>
      <c r="F2" s="21"/>
    </row>
    <row r="3" spans="1:6" x14ac:dyDescent="0.2">
      <c r="A3" s="18"/>
      <c r="B3" s="19"/>
      <c r="C3" s="20"/>
      <c r="D3" s="79"/>
      <c r="E3" s="34"/>
      <c r="F3" s="21"/>
    </row>
    <row r="4" spans="1:6" ht="16" customHeight="1" x14ac:dyDescent="0.2">
      <c r="A4" s="78" t="s">
        <v>108</v>
      </c>
      <c r="B4" s="19"/>
      <c r="C4" s="20"/>
      <c r="D4" s="79"/>
      <c r="E4" s="34"/>
      <c r="F4" s="21"/>
    </row>
    <row r="5" spans="1:6" x14ac:dyDescent="0.2">
      <c r="A5" s="18" t="s">
        <v>477</v>
      </c>
      <c r="B5" s="19" t="s">
        <v>478</v>
      </c>
      <c r="C5" s="20" t="s">
        <v>115</v>
      </c>
      <c r="D5" s="123">
        <f>Geometry!stir_bar_L</f>
        <v>12.0</v>
      </c>
      <c r="E5" s="55" t="str">
        <f>HYPERLINK("#Geometry!D52","→ Geometry")</f>
        <v>→ Geometry</v>
      </c>
      <c r="F5" s="75" t="s">
        <v>2228</v>
      </c>
    </row>
    <row r="6" spans="1:6" x14ac:dyDescent="0.2">
      <c r="A6" s="21" t="s">
        <v>479</v>
      </c>
      <c r="B6" s="21" t="s">
        <v>405</v>
      </c>
      <c r="C6" s="21" t="s">
        <v>406</v>
      </c>
      <c r="D6" s="112">
        <f>Biology!O2_ceil_C</f>
        <v>0.314742903798</v>
      </c>
      <c r="E6" s="105" t="str">
        <f>HYPERLINK("#Biology!D27","→ Biology")</f>
        <v>→ Biology</v>
      </c>
      <c r="F6" s="21"/>
    </row>
    <row r="7" spans="1:6" x14ac:dyDescent="0.2">
      <c r="A7" s="21" t="s">
        <v>480</v>
      </c>
      <c r="B7" s="21" t="s">
        <v>402</v>
      </c>
      <c r="C7" s="21" t="s">
        <v>57</v>
      </c>
      <c r="D7" s="112">
        <f>Biology!O2_ceil_Pa</f>
        <v>30397.5</v>
      </c>
      <c r="E7" s="105" t="str">
        <f>HYPERLINK("#Biology!D26","→ Biology")</f>
        <v>→ Biology</v>
      </c>
      <c r="F7" s="21"/>
    </row>
    <row r="8" spans="1:6" ht="24" customHeight="1" x14ac:dyDescent="0.2">
      <c r="A8" s="21" t="s">
        <v>260</v>
      </c>
      <c r="B8" s="21" t="s">
        <v>261</v>
      </c>
      <c r="C8" s="21" t="s">
        <v>262</v>
      </c>
      <c r="D8" s="112">
        <f>Biology!T_K</f>
        <v>303.15</v>
      </c>
      <c r="E8" s="105" t="str">
        <f>HYPERLINK("#Biology!D18","→ Biology")</f>
        <v>→ Biology</v>
      </c>
      <c r="F8" s="21"/>
    </row>
    <row r="9" spans="1:6" x14ac:dyDescent="0.2">
      <c r="A9" s="21" t="s">
        <v>263</v>
      </c>
      <c r="B9" s="21" t="s">
        <v>264</v>
      </c>
      <c r="C9" s="21" t="s">
        <v>57</v>
      </c>
      <c r="D9" s="112">
        <f>Biology!P_atm</f>
        <v>101325.0</v>
      </c>
      <c r="E9" s="105" t="str">
        <f>HYPERLINK("#Biology!D19","→ Biology")</f>
        <v>→ Biology</v>
      </c>
      <c r="F9" s="21"/>
    </row>
    <row r="10" spans="1:6" x14ac:dyDescent="0.2">
      <c r="A10" s="21" t="s">
        <v>481</v>
      </c>
      <c r="B10" s="21" t="s">
        <v>370</v>
      </c>
      <c r="C10" s="21" t="s">
        <v>307</v>
      </c>
      <c r="D10" s="112">
        <f>Biology!CO2_cons</f>
        <v>1.705568716332e-05</v>
      </c>
      <c r="E10" s="105" t="str">
        <f>HYPERLINK("#Biology!D15","→ Biology")</f>
        <v>→ Biology</v>
      </c>
      <c r="F10" s="21"/>
    </row>
    <row r="11" spans="1:6" x14ac:dyDescent="0.2">
      <c r="A11" s="21" t="s">
        <v>482</v>
      </c>
      <c r="B11" s="21" t="s">
        <v>373</v>
      </c>
      <c r="C11" s="21" t="s">
        <v>307</v>
      </c>
      <c r="D11" s="112">
        <f>Biology!O2_excess</f>
        <v>1.691660977184e-05</v>
      </c>
      <c r="E11" s="105" t="str">
        <f>HYPERLINK("#Biology!D16","→ Biology")</f>
        <v>→ Biology</v>
      </c>
      <c r="F11" s="21"/>
    </row>
    <row r="12" spans="1:6" x14ac:dyDescent="0.2">
      <c r="A12" s="21" t="s">
        <v>483</v>
      </c>
      <c r="B12" s="21" t="s">
        <v>396</v>
      </c>
      <c r="C12" s="21" t="s">
        <v>387</v>
      </c>
      <c r="D12" s="112">
        <f>Biology!H_O2_T</f>
        <v>1.035423649307e-05</v>
      </c>
      <c r="E12" s="105" t="str">
        <f>HYPERLINK("#Biology!D24","→ Biology")</f>
        <v>→ Biology</v>
      </c>
      <c r="F12" s="21"/>
    </row>
    <row r="13" spans="1:6" x14ac:dyDescent="0.2">
      <c r="A13" s="21" t="s">
        <v>352</v>
      </c>
      <c r="B13" s="21" t="s">
        <v>328</v>
      </c>
      <c r="C13" s="21" t="s">
        <v>307</v>
      </c>
      <c r="D13" s="120">
        <f>Electrochemistry!O2_net_gen</f>
        <v>5.102798409848e-05</v>
      </c>
      <c r="E13" s="105" t="str">
        <f>HYPERLINK("#Electrochemistry!D29","→ Electrochemistry")</f>
        <v>→ Electrochemistry</v>
      </c>
      <c r="F13" s="21"/>
    </row>
    <row r="14" spans="1:6" x14ac:dyDescent="0.2">
      <c r="A14" s="21" t="s">
        <v>484</v>
      </c>
      <c r="B14" s="21" t="s">
        <v>192</v>
      </c>
      <c r="C14" s="21" t="s">
        <v>127</v>
      </c>
      <c r="D14" s="121">
        <f>Geometry!interface_A</f>
        <v>429.547725140567</v>
      </c>
      <c r="E14" s="105" t="str">
        <f>HYPERLINK("#Geometry!D44","→ Geometry")</f>
        <v>→ Geometry</v>
      </c>
      <c r="F14" s="21"/>
    </row>
    <row r="15" spans="1:6" x14ac:dyDescent="0.2">
      <c r="A15" s="21" t="s">
        <v>485</v>
      </c>
      <c r="B15" s="21" t="s">
        <v>123</v>
      </c>
      <c r="C15" s="21" t="s">
        <v>115</v>
      </c>
      <c r="D15" s="121">
        <f>Geometry!vial_ID</f>
        <v>25.28</v>
      </c>
      <c r="E15" s="105" t="str">
        <f>HYPERLINK("#Geometry!D20","→ Geometry")</f>
        <v>→ Geometry</v>
      </c>
      <c r="F15" s="21"/>
    </row>
    <row r="16" spans="1:6" x14ac:dyDescent="0.2">
      <c r="A16" s="21" t="s">
        <v>353</v>
      </c>
      <c r="B16" s="21" t="s">
        <v>183</v>
      </c>
      <c r="C16" s="21" t="s">
        <v>52</v>
      </c>
      <c r="D16" s="121">
        <f>Geometry!V_charge</f>
        <v>15.0</v>
      </c>
      <c r="E16" s="105" t="str">
        <f>HYPERLINK("#Geometry!D41","→ Geometry")</f>
        <v>→ Geometry</v>
      </c>
      <c r="F16" s="21"/>
    </row>
    <row r="17" spans="1:6" x14ac:dyDescent="0.2">
      <c r="A17" s="21" t="s">
        <v>486</v>
      </c>
      <c r="B17" s="21" t="s">
        <v>126</v>
      </c>
      <c r="C17" s="21" t="s">
        <v>127</v>
      </c>
      <c r="D17" s="121">
        <f>Geometry!A_x</f>
        <v>501.93100162698</v>
      </c>
      <c r="E17" s="105" t="str">
        <f>HYPERLINK("#Geometry!D21","→ Geometry")</f>
        <v>→ Geometry</v>
      </c>
      <c r="F17" s="21"/>
    </row>
    <row r="18" spans="1:6" ht="24" customHeight="1" x14ac:dyDescent="0.2">
      <c r="A18" s="21" t="s">
        <v>487</v>
      </c>
      <c r="B18" s="21" t="s">
        <v>155</v>
      </c>
      <c r="C18" s="21" t="s">
        <v>115</v>
      </c>
      <c r="D18" s="121">
        <f>Geometry!spg_ID</f>
        <v>1.5875</v>
      </c>
      <c r="E18" s="105" t="str">
        <f>HYPERLINK("#Geometry!D31","→ Geometry")</f>
        <v>→ Geometry</v>
      </c>
      <c r="F18" s="21"/>
    </row>
    <row r="19" spans="1:6" x14ac:dyDescent="0.2">
      <c r="A19" s="21" t="s">
        <v>488</v>
      </c>
      <c r="B19" s="21" t="s">
        <v>207</v>
      </c>
      <c r="C19" s="21" t="s">
        <v>52</v>
      </c>
      <c r="D19" s="121">
        <f>Geometry!headspace_V</f>
        <v>2.612428455917</v>
      </c>
      <c r="E19" s="105" t="str">
        <f>HYPERLINK("#Geometry!D49","→ Geometry")</f>
        <v>→ Geometry</v>
      </c>
      <c r="F19" s="21"/>
    </row>
    <row r="20" spans="1:6" x14ac:dyDescent="0.2">
      <c r="A20" s="21" t="s">
        <v>489</v>
      </c>
      <c r="B20" s="21" t="s">
        <v>490</v>
      </c>
      <c r="C20" s="21" t="s">
        <v>491</v>
      </c>
      <c r="D20" s="120">
        <f>Electrochemistry!por_grade_e</f>
        <v>0.0</v>
      </c>
      <c r="E20" s="105" t="str">
        <f>HYPERLINK("#Electrochemistry!D32","→ Electrochemistry")</f>
        <v>→ Electrochemistry</v>
      </c>
      <c r="F20" s="21"/>
    </row>
    <row r="21" spans="1:6" x14ac:dyDescent="0.2">
      <c r="A21" s="21" t="s">
        <v>492</v>
      </c>
      <c r="B21" s="21" t="s">
        <v>337</v>
      </c>
      <c r="C21" s="21" t="s">
        <v>111</v>
      </c>
      <c r="D21" s="120" t="str">
        <f>Electrochemistry!sparger_e</f>
        <v>Sintered</v>
      </c>
      <c r="E21" s="105" t="str">
        <f>HYPERLINK("#Electrochemistry!D31","→ Electrochemistry")</f>
        <v>→ Electrochemistry</v>
      </c>
      <c r="F21" s="21"/>
    </row>
    <row r="22" spans="1:6" ht="36" customHeight="1" x14ac:dyDescent="0.2">
      <c r="A22" s="21" t="s">
        <v>493</v>
      </c>
      <c r="B22" s="21" t="s">
        <v>455</v>
      </c>
      <c r="C22" s="21"/>
      <c r="D22" s="112" t="e">
        <f>Biology!DO_opt</f>
        <v>#N/A</v>
      </c>
      <c r="E22" s="105" t="str">
        <f>HYPERLINK("#Biology!D46","→ Biology")</f>
        <v>→ Biology</v>
      </c>
      <c r="F22" s="21"/>
    </row>
    <row r="23" spans="1:6" x14ac:dyDescent="0.2">
      <c r="A23" s="21" t="s">
        <v>494</v>
      </c>
      <c r="B23" s="21" t="s">
        <v>457</v>
      </c>
      <c r="C23" s="21"/>
      <c r="D23" s="112" t="e">
        <f>Biology!DO_impair</f>
        <v>#N/A</v>
      </c>
      <c r="E23" s="105" t="str">
        <f>HYPERLINK("#Biology!D47","→ Biology")</f>
        <v>→ Biology</v>
      </c>
      <c r="F23" s="21"/>
    </row>
    <row r="24" spans="1:6" x14ac:dyDescent="0.2">
      <c r="A24" s="21" t="s">
        <v>495</v>
      </c>
      <c r="B24" s="21" t="s">
        <v>459</v>
      </c>
      <c r="C24" s="21"/>
      <c r="D24" s="112" t="e">
        <f>Biology!DO_toxic</f>
        <v>#N/A</v>
      </c>
      <c r="E24" s="105" t="str">
        <f>HYPERLINK("#Biology!D48","→ Biology")</f>
        <v>→ Biology</v>
      </c>
      <c r="F24" s="21"/>
    </row>
    <row r="25" spans="1:6" x14ac:dyDescent="0.2">
      <c r="A25" s="21" t="s">
        <v>496</v>
      </c>
      <c r="B25" s="21" t="s">
        <v>453</v>
      </c>
      <c r="C25" s="21"/>
      <c r="D25" s="112" t="e">
        <f>Biology!DO_min</f>
        <v>#N/A</v>
      </c>
      <c r="E25" s="105" t="str">
        <f>HYPERLINK("#Biology!D45","→ Biology")</f>
        <v>→ Biology</v>
      </c>
      <c r="F25" s="21"/>
    </row>
    <row r="26" spans="1:6" x14ac:dyDescent="0.2">
      <c r="A26" s="18"/>
      <c r="B26" s="19"/>
      <c r="C26" s="20"/>
      <c r="D26" s="56"/>
      <c r="E26" s="57"/>
      <c r="F26" s="21"/>
    </row>
    <row r="27" spans="1:6" x14ac:dyDescent="0.2">
      <c r="A27" s="18" t="s">
        <v>497</v>
      </c>
      <c r="B27" s="19" t="s">
        <v>498</v>
      </c>
      <c r="C27" s="20" t="s">
        <v>111</v>
      </c>
      <c r="D27" s="106" t="s">
        <v>343</v>
      </c>
      <c r="E27" s="34" t="s">
        <v>499</v>
      </c>
      <c r="F27" s="21"/>
    </row>
    <row r="28" spans="1:6" x14ac:dyDescent="0.2">
      <c r="A28" s="18" t="s">
        <v>500</v>
      </c>
      <c r="B28" s="19" t="s">
        <v>501</v>
      </c>
      <c r="C28" s="20" t="s">
        <v>111</v>
      </c>
      <c r="D28" s="106" t="s">
        <v>349</v>
      </c>
      <c r="E28" s="34" t="s">
        <v>502</v>
      </c>
      <c r="F28" s="21"/>
    </row>
    <row r="29" spans="1:6" ht="24" x14ac:dyDescent="0.2">
      <c r="A29" s="18" t="s">
        <v>503</v>
      </c>
      <c r="B29" s="19" t="s">
        <v>504</v>
      </c>
      <c r="C29" s="20" t="s">
        <v>505</v>
      </c>
      <c r="D29" s="111">
        <f>sigma_0+sigma_k*(T_K-T_zero_C)</f>
        <v>0.07118</v>
      </c>
      <c r="E29" s="138" t="s">
        <v>2229</v>
      </c>
      <c r="F29" s="21"/>
    </row>
    <row r="30" spans="1:6" ht="24" customHeight="1" x14ac:dyDescent="0.2">
      <c r="A30" s="18" t="s">
        <v>506</v>
      </c>
      <c r="B30" s="19" t="s">
        <v>507</v>
      </c>
      <c r="C30" s="20" t="s">
        <v>508</v>
      </c>
      <c r="D30" s="111">
        <f>rho_0+rho_k*(T_K-T_zero_C)</f>
        <v>995.662</v>
      </c>
      <c r="E30" s="138" t="s">
        <v>1609</v>
      </c>
      <c r="F30" s="21"/>
    </row>
    <row r="31" spans="1:6" x14ac:dyDescent="0.2">
      <c r="A31" s="18" t="s">
        <v>509</v>
      </c>
      <c r="B31" s="19" t="s">
        <v>510</v>
      </c>
      <c r="C31" s="20" t="s">
        <v>511</v>
      </c>
      <c r="D31" s="115">
        <v>9.8066499999999994</v>
      </c>
      <c r="E31" s="139" t="s">
        <v>512</v>
      </c>
      <c r="F31" s="21"/>
    </row>
    <row r="32" spans="1:6" ht="24" customHeight="1" x14ac:dyDescent="0.2">
      <c r="A32" s="18" t="s">
        <v>513</v>
      </c>
      <c r="B32" s="19" t="s">
        <v>514</v>
      </c>
      <c r="C32" s="20" t="s">
        <v>515</v>
      </c>
      <c r="D32" s="111">
        <f>10^(HB_a+HB_b/T_K-(HB_c/T_K)^2)/10000</f>
        <v>2.249544435762e-09</v>
      </c>
      <c r="E32" s="34" t="s">
        <v>2230</v>
      </c>
      <c r="F32" s="21"/>
    </row>
    <row r="33" spans="1:6" x14ac:dyDescent="0.2">
      <c r="A33" s="18" t="s">
        <v>516</v>
      </c>
      <c r="B33" s="19" t="s">
        <v>517</v>
      </c>
      <c r="C33" s="20" t="s">
        <v>518</v>
      </c>
      <c r="D33" s="116">
        <v>205</v>
      </c>
      <c r="E33" s="138" t="s">
        <v>519</v>
      </c>
      <c r="F33" s="21"/>
    </row>
    <row r="34" spans="1:6" ht="24" customHeight="1" x14ac:dyDescent="0.2">
      <c r="A34" s="18" t="s">
        <v>520</v>
      </c>
      <c r="B34" s="19" t="s">
        <v>521</v>
      </c>
      <c r="C34" s="20" t="s">
        <v>518</v>
      </c>
      <c r="D34" s="116">
        <v>130</v>
      </c>
      <c r="E34" s="138" t="s">
        <v>522</v>
      </c>
      <c r="F34" s="21"/>
    </row>
    <row r="35" spans="1:6" x14ac:dyDescent="0.2">
      <c r="A35" s="18" t="s">
        <v>523</v>
      </c>
      <c r="B35" s="19" t="s">
        <v>524</v>
      </c>
      <c r="C35" s="20" t="s">
        <v>518</v>
      </c>
      <c r="D35" s="116">
        <v>70</v>
      </c>
      <c r="E35" s="138" t="s">
        <v>525</v>
      </c>
      <c r="F35" s="21"/>
    </row>
    <row r="36" spans="1:6" x14ac:dyDescent="0.2">
      <c r="A36" s="18" t="s">
        <v>526</v>
      </c>
      <c r="B36" s="19" t="s">
        <v>527</v>
      </c>
      <c r="C36" s="20" t="s">
        <v>518</v>
      </c>
      <c r="D36" s="116">
        <v>28</v>
      </c>
      <c r="E36" s="138" t="s">
        <v>528</v>
      </c>
      <c r="F36" s="21"/>
    </row>
    <row r="37" spans="1:6" x14ac:dyDescent="0.2">
      <c r="A37" s="18" t="s">
        <v>529</v>
      </c>
      <c r="B37" s="19" t="s">
        <v>530</v>
      </c>
      <c r="C37" s="20" t="s">
        <v>518</v>
      </c>
      <c r="D37" s="116">
        <v>13</v>
      </c>
      <c r="E37" s="138" t="s">
        <v>531</v>
      </c>
      <c r="F37" s="21"/>
    </row>
    <row r="38" spans="1:6" x14ac:dyDescent="0.2">
      <c r="A38" s="18" t="s">
        <v>532</v>
      </c>
      <c r="B38" s="19" t="s">
        <v>533</v>
      </c>
      <c r="C38" s="20" t="s">
        <v>518</v>
      </c>
      <c r="D38" s="124">
        <v>1.3</v>
      </c>
      <c r="E38" s="138" t="s">
        <v>534</v>
      </c>
      <c r="F38" s="21"/>
    </row>
    <row r="39" spans="1:6" x14ac:dyDescent="0.2">
      <c r="A39" s="18" t="s">
        <v>535</v>
      </c>
      <c r="B39" s="19" t="s">
        <v>536</v>
      </c>
      <c r="C39" s="20" t="s">
        <v>537</v>
      </c>
      <c r="D39" s="58">
        <f>CHOOSE(por_grade+1,por0_um,por1_um,por2_um,por3_um,por4_um,por5_um)/1000000</f>
        <v>0.000205</v>
      </c>
      <c r="E39" s="74" t="s">
        <v>538</v>
      </c>
      <c r="F39" s="21"/>
    </row>
    <row r="40" spans="1:6" ht="24" customHeight="1" x14ac:dyDescent="0.2">
      <c r="A40" s="18" t="s">
        <v>539</v>
      </c>
      <c r="B40" s="19" t="s">
        <v>540</v>
      </c>
      <c r="C40" s="20" t="s">
        <v>537</v>
      </c>
      <c r="D40" s="58">
        <f>spg_ID/1000</f>
        <v>0.0015875</v>
      </c>
      <c r="E40" s="74" t="s">
        <v>541</v>
      </c>
      <c r="F40" s="21"/>
    </row>
    <row r="41" spans="1:6" x14ac:dyDescent="0.2">
      <c r="A41" s="18" t="s">
        <v>542</v>
      </c>
      <c r="B41" s="19" t="s">
        <v>543</v>
      </c>
      <c r="C41" s="20" t="s">
        <v>537</v>
      </c>
      <c r="D41" s="58">
        <f>IF(sparger=spg_name_1,tube_d_m,IF(sparger=spg_name_2,por_pore,NA()))</f>
        <v>0.000205</v>
      </c>
      <c r="E41" s="74" t="s">
        <v>544</v>
      </c>
      <c r="F41" s="21"/>
    </row>
    <row r="42" spans="1:6" ht="24" customHeight="1" x14ac:dyDescent="0.2">
      <c r="A42" s="86" t="s">
        <v>545</v>
      </c>
      <c r="B42" s="19" t="s">
        <v>546</v>
      </c>
      <c r="C42" s="20" t="s">
        <v>537</v>
      </c>
      <c r="D42" s="41">
        <f>(6*d_orifice*sigma/(rho_L*g_const))^(1/3)</f>
        <v>0.002077511783</v>
      </c>
      <c r="E42" s="57" t="s">
        <v>547</v>
      </c>
      <c r="F42" s="21"/>
    </row>
    <row r="43" spans="1:6" x14ac:dyDescent="0.2">
      <c r="A43" s="86" t="s">
        <v>548</v>
      </c>
      <c r="B43" s="19" t="s">
        <v>549</v>
      </c>
      <c r="C43" s="20" t="s">
        <v>115</v>
      </c>
      <c r="D43" s="39">
        <f>d_bubble*1000</f>
        <v>2.077511783382</v>
      </c>
      <c r="E43" s="51" t="inlineStr">
        <is>
          <t xml:space="preserve">Display of the Tate’s-law bubble diameter in mm for the sparger in use.</t>
        </is>
      </c>
      <c r="F43" s="21"/>
    </row>
    <row r="44" spans="1:6" x14ac:dyDescent="0.2">
      <c r="A44" s="18" t="s">
        <v>550</v>
      </c>
      <c r="B44" s="19" t="s">
        <v>551</v>
      </c>
      <c r="C44" s="20" t="s">
        <v>111</v>
      </c>
      <c r="D44" s="125">
        <v>2.14</v>
      </c>
      <c r="E44" s="57" t="s">
        <v>552</v>
      </c>
      <c r="F44" s="21"/>
    </row>
    <row r="45" spans="1:6" x14ac:dyDescent="0.2">
      <c r="A45" s="18" t="s">
        <v>553</v>
      </c>
      <c r="B45" s="19" t="s">
        <v>554</v>
      </c>
      <c r="C45" s="20" t="s">
        <v>111</v>
      </c>
      <c r="D45" s="126">
        <v>0.505</v>
      </c>
      <c r="E45" s="57" t="s">
        <v>555</v>
      </c>
      <c r="F45" s="21"/>
    </row>
    <row r="46" spans="1:6" ht="36" customHeight="1" x14ac:dyDescent="0.2">
      <c r="A46" s="18" t="s">
        <v>556</v>
      </c>
      <c r="B46" s="19" t="s">
        <v>557</v>
      </c>
      <c r="C46" s="20" t="s">
        <v>85</v>
      </c>
      <c r="D46" s="40">
        <f>SQRT(mend_a*sigma/(rho_L*d_bubble)+mend_b*g_const*d_bubble)</f>
        <v>0.28970504803</v>
      </c>
      <c r="E46" s="57" t="s">
        <v>558</v>
      </c>
      <c r="F46" s="21"/>
    </row>
    <row r="47" spans="1:6" x14ac:dyDescent="0.2">
      <c r="A47" s="18" t="s">
        <v>559</v>
      </c>
      <c r="B47" s="19" t="s">
        <v>560</v>
      </c>
      <c r="C47" s="20" t="s">
        <v>85</v>
      </c>
      <c r="D47" s="41">
        <f>(Q_CO2/1000000/60)/(A_x/1000000)</f>
        <v>0.006634378011</v>
      </c>
      <c r="E47" s="74" t="s">
        <v>561</v>
      </c>
      <c r="F47" s="21"/>
    </row>
    <row r="48" spans="1:6" x14ac:dyDescent="0.2">
      <c r="A48" s="18" t="s">
        <v>562</v>
      </c>
      <c r="B48" s="19" t="s">
        <v>563</v>
      </c>
      <c r="C48" s="20" t="s">
        <v>111</v>
      </c>
      <c r="D48" s="41">
        <f>u_sg/u_rise</f>
        <v>0.022900457053</v>
      </c>
      <c r="E48" s="57" t="s">
        <v>564</v>
      </c>
      <c r="F48" s="21"/>
    </row>
    <row r="49" spans="1:6" x14ac:dyDescent="0.2">
      <c r="A49" s="18" t="s">
        <v>565</v>
      </c>
      <c r="B49" s="19" t="s">
        <v>566</v>
      </c>
      <c r="C49" s="20" t="s">
        <v>567</v>
      </c>
      <c r="D49" s="37">
        <f>6*holdup/d_bubble</f>
        <v>66.13812899596</v>
      </c>
      <c r="E49" s="57" t="s">
        <v>568</v>
      </c>
      <c r="F49" s="21"/>
    </row>
    <row r="50" spans="1:6" x14ac:dyDescent="0.2">
      <c r="A50" s="18" t="s">
        <v>569</v>
      </c>
      <c r="B50" s="19" t="s">
        <v>570</v>
      </c>
      <c r="C50" s="20" t="s">
        <v>12</v>
      </c>
      <c r="D50" s="40">
        <f>d_bubble/u_rise</f>
        <v>0.007171127316</v>
      </c>
      <c r="E50" s="57" t="s">
        <v>571</v>
      </c>
      <c r="F50" s="21"/>
    </row>
    <row r="51" spans="1:6" x14ac:dyDescent="0.2">
      <c r="A51" s="18" t="s">
        <v>572</v>
      </c>
      <c r="B51" s="19" t="s">
        <v>573</v>
      </c>
      <c r="C51" s="20" t="s">
        <v>85</v>
      </c>
      <c r="D51" s="41">
        <f>2*SQRT(D_O2/(PI()*t_contact))</f>
        <v>0.0006319877073063</v>
      </c>
      <c r="E51" s="57" t="s">
        <v>574</v>
      </c>
      <c r="F51" s="21"/>
    </row>
    <row r="52" spans="1:6" x14ac:dyDescent="0.2">
      <c r="A52" s="86" t="s">
        <v>575</v>
      </c>
      <c r="B52" s="19" t="s">
        <v>576</v>
      </c>
      <c r="C52" s="20" t="s">
        <v>577</v>
      </c>
      <c r="D52" s="41">
        <f>kL*a_int</f>
        <v>0.04179848451</v>
      </c>
      <c r="E52" s="57" t="s">
        <v>578</v>
      </c>
      <c r="F52" s="21"/>
    </row>
    <row r="53" spans="1:6" x14ac:dyDescent="0.2">
      <c r="A53" s="18" t="s">
        <v>579</v>
      </c>
      <c r="B53" s="19" t="s">
        <v>580</v>
      </c>
      <c r="C53" s="20" t="s">
        <v>577</v>
      </c>
      <c r="D53" s="49">
        <f>kLa_sparge*duty</f>
        <v>6.297870869563e-05</v>
      </c>
      <c r="E53" s="89" t="s">
        <v>581</v>
      </c>
      <c r="F53" s="21"/>
    </row>
    <row r="54" spans="1:6" ht="24" customHeight="1" x14ac:dyDescent="0.2">
      <c r="A54" s="18" t="s">
        <v>582</v>
      </c>
      <c r="B54" s="19" t="s">
        <v>583</v>
      </c>
      <c r="C54" s="20" t="s">
        <v>307</v>
      </c>
      <c r="D54" s="41">
        <f>IF(d_bubble&lt;d_bubble_min_m,0,kLa_sparge*(V_charge/1000000)*O2_ceil_C*3600)</f>
        <v>0.0007104119250025</v>
      </c>
      <c r="E54" s="57" t="inlineStr">
        <is>
          <t xml:space="preserve">Bubble O₂ strip at the ceiling driving force (best case). 0 for sub-mm bubbles (fine sinter, bubble model out of range — see bubble_regime). Evaluated at the generic 0.30 atm ceiling (D6), as a transfer capacity, not at the organism limit.</t>
        </is>
      </c>
      <c r="F54" s="21"/>
    </row>
    <row r="55" spans="1:6" ht="24" customHeight="1" x14ac:dyDescent="0.2">
      <c r="A55" s="86" t="s">
        <v>585</v>
      </c>
      <c r="B55" s="19" t="s">
        <v>586</v>
      </c>
      <c r="C55" s="20" t="s">
        <v>307</v>
      </c>
      <c r="D55" s="41">
        <f>strip_sparge*duty</f>
        <v>1.070393489225e-06</v>
      </c>
      <c r="E55" s="57" t="s">
        <v>587</v>
      </c>
      <c r="F55" s="21"/>
    </row>
    <row r="56" spans="1:6" x14ac:dyDescent="0.2">
      <c r="A56" s="86" t="s">
        <v>588</v>
      </c>
      <c r="B56" s="19" t="s">
        <v>589</v>
      </c>
      <c r="C56" s="20" t="s">
        <v>87</v>
      </c>
      <c r="D56" s="39">
        <f>IF(O2_excess&gt;0,strip_avg/O2_excess,NA())</f>
        <v>0.063274704782</v>
      </c>
      <c r="E56" s="57" t="s">
        <v>590</v>
      </c>
      <c r="F56" s="21"/>
    </row>
    <row r="57" spans="1:6" ht="36" customHeight="1" x14ac:dyDescent="0.2">
      <c r="A57" s="18" t="s">
        <v>591</v>
      </c>
      <c r="B57" s="19" t="s">
        <v>592</v>
      </c>
      <c r="C57" s="20" t="s">
        <v>577</v>
      </c>
      <c r="D57" s="41">
        <f>IF(O2_excess&gt;0,O2_excess/3600/((V_charge/1000000)*O2_ceil_C),NA())</f>
        <v>0.0009953220471377</v>
      </c>
      <c r="E57" s="57" t="inlineStr">
        <is>
          <t xml:space="preserve">kLa that would exactly strip the excess at the ceiling. Evaluated at the generic 0.30 atm ceiling (D6), as a transfer capacity, not at the organism limit.</t>
        </is>
      </c>
      <c r="F57" s="21"/>
    </row>
    <row r="58" spans="1:6" ht="24" customHeight="1" x14ac:dyDescent="0.2">
      <c r="A58" s="18" t="s">
        <v>594</v>
      </c>
      <c r="B58" s="19" t="s">
        <v>595</v>
      </c>
      <c r="C58" s="20" t="s">
        <v>85</v>
      </c>
      <c r="D58" s="106">
        <v>0.05</v>
      </c>
      <c r="E58" s="57" t="s">
        <v>596</v>
      </c>
      <c r="F58" s="21"/>
    </row>
    <row r="59" spans="1:6" ht="36" x14ac:dyDescent="0.2">
      <c r="A59" s="86" t="s">
        <v>597</v>
      </c>
      <c r="B59" s="19" t="s">
        <v>598</v>
      </c>
      <c r="C59" s="20" t="s">
        <v>111</v>
      </c>
      <c r="D59" s="45" t="str">
        <f>IF(carry_n=0,"not measured – record the max flow without carryover for "&amp;Reactor&amp;" in CO2 flows column M",IF(Q_CO2/60&gt;Q_carry_max,"RISK – pulse flow "&amp;TEXT(Q_CO2/60,"0.00")&amp;" mL/s exceeds the measured "&amp;TEXT(Q_carry_max,"0.00")&amp;" mL/s no-carryover limit","OK – pulse flow "&amp;TEXT(Q_CO2/60,"0.00")&amp;" mL/s within the measured "&amp;TEXT(Q_carry_max,"0.00")&amp;" mL/s no-carryover limit"))</f>
        <v>not measured – record the max flow without carryover for ed04 in CO2 flows column M</v>
      </c>
      <c r="E59" s="57" t="s">
        <v>2231</v>
      </c>
      <c r="F59" s="21"/>
    </row>
    <row r="60" spans="1:6" x14ac:dyDescent="0.2">
      <c r="A60" s="18" t="s">
        <v>599</v>
      </c>
      <c r="B60" s="19" t="s">
        <v>600</v>
      </c>
      <c r="C60" s="20" t="s">
        <v>508</v>
      </c>
      <c r="D60" s="41">
        <f>P_atm*(M_CO2/1000)/(R_gas*T_K)</f>
        <v>1.769177018514</v>
      </c>
      <c r="E60" s="74" t="s">
        <v>601</v>
      </c>
      <c r="F60" s="21"/>
    </row>
    <row r="61" spans="1:6" x14ac:dyDescent="0.2">
      <c r="A61" s="18" t="s">
        <v>602</v>
      </c>
      <c r="B61" s="19" t="s">
        <v>603</v>
      </c>
      <c r="C61" s="20" t="s">
        <v>111</v>
      </c>
      <c r="D61" s="106">
        <v>1</v>
      </c>
      <c r="E61" s="54" t="s">
        <v>604</v>
      </c>
      <c r="F61" s="21"/>
    </row>
    <row r="62" spans="1:6" x14ac:dyDescent="0.2">
      <c r="A62" s="18" t="s">
        <v>605</v>
      </c>
      <c r="B62" s="19" t="s">
        <v>606</v>
      </c>
      <c r="C62" s="20" t="s">
        <v>85</v>
      </c>
      <c r="D62" s="41">
        <f>(Q_CO2/1000000/60)/(n_pores_active*(PI()/4*d_orifice^2))</f>
        <v>100.889653396028</v>
      </c>
      <c r="E62" s="88" t="s">
        <v>581</v>
      </c>
      <c r="F62" s="21"/>
    </row>
    <row r="63" spans="1:6" x14ac:dyDescent="0.2">
      <c r="A63" s="18" t="s">
        <v>607</v>
      </c>
      <c r="B63" s="19" t="s">
        <v>608</v>
      </c>
      <c r="C63" s="20" t="s">
        <v>111</v>
      </c>
      <c r="D63" s="41">
        <f>rho_CO2*v_orifice^2*d_orifice/sigma</f>
        <v>51.8633334102</v>
      </c>
      <c r="E63" s="88" t="s">
        <v>581</v>
      </c>
      <c r="F63" s="21"/>
    </row>
    <row r="64" spans="1:6" ht="24" customHeight="1" x14ac:dyDescent="0.2">
      <c r="A64" s="18" t="s">
        <v>609</v>
      </c>
      <c r="B64" s="19" t="s">
        <v>610</v>
      </c>
      <c r="C64" s="20" t="s">
        <v>111</v>
      </c>
      <c r="D64" s="41" t="str">
        <f>IF(d_bubble&lt;d_bubble_min_m,"Sinter OOR – add fine-bubble model",IF(We_orifice&lt;We_static_max,"Static","Dynamic"))</f>
        <v>Dynamic</v>
      </c>
      <c r="E64" s="74" t="s">
        <v>611</v>
      </c>
      <c r="F64" s="21"/>
    </row>
    <row r="65" spans="1:6" ht="24" customHeight="1" x14ac:dyDescent="0.2">
      <c r="A65" s="18" t="s">
        <v>612</v>
      </c>
      <c r="B65" s="19" t="s">
        <v>613</v>
      </c>
      <c r="C65" s="20" t="s">
        <v>61</v>
      </c>
      <c r="D65" s="111">
        <f>IF(O2_excess&gt;0,O2_ceil_org*(V_charge/1000000)/O2_excess*60,"never (source &lt;= 0)")</f>
        <v>16.744998982586</v>
      </c>
      <c r="E65" s="74" t="s">
        <v>2232</v>
      </c>
      <c r="F65" s="21"/>
    </row>
    <row r="66" spans="1:6" ht="24" customHeight="1" x14ac:dyDescent="0.2">
      <c r="A66" s="18" t="s">
        <v>614</v>
      </c>
      <c r="B66" s="19" t="s">
        <v>615</v>
      </c>
      <c r="C66" s="20" t="s">
        <v>61</v>
      </c>
      <c r="D66" s="41">
        <f>IF(O2_excess-strip_avg&gt;0,O2_ceil_org*(V_charge/1000000)/(O2_excess-strip_avg)*60,"never (strip ≥ source)")</f>
        <v>17.876104198392</v>
      </c>
      <c r="E66" s="74" t="s">
        <v>2233</v>
      </c>
      <c r="F66" s="21"/>
    </row>
    <row r="67" spans="1:6" x14ac:dyDescent="0.2">
      <c r="A67" s="18" t="s">
        <v>2234</v>
      </c>
      <c r="B67" s="19" t="s">
        <v>616</v>
      </c>
      <c r="C67" s="20" t="s">
        <v>617</v>
      </c>
      <c r="D67" s="127">
        <f>Summary!stir_rpm_set</f>
        <v>1000.0</v>
      </c>
      <c r="E67" s="52" t="s">
        <v>2235</v>
      </c>
      <c r="F67" s="21"/>
    </row>
    <row r="68" spans="1:6" ht="24" customHeight="1" x14ac:dyDescent="0.2">
      <c r="A68" s="18" t="s">
        <v>84</v>
      </c>
      <c r="B68" s="19" t="s">
        <v>618</v>
      </c>
      <c r="C68" s="20" t="s">
        <v>85</v>
      </c>
      <c r="D68" s="41">
        <f>PI()*(stir_len/1000)*stir_rpm/60</f>
        <v>0.628318530718</v>
      </c>
      <c r="E68" s="74" t="s">
        <v>619</v>
      </c>
      <c r="F68" s="21"/>
    </row>
    <row r="69" spans="1:6" x14ac:dyDescent="0.2">
      <c r="A69" s="18" t="s">
        <v>620</v>
      </c>
      <c r="B69" s="19" t="s">
        <v>621</v>
      </c>
      <c r="C69" s="20" t="s">
        <v>577</v>
      </c>
      <c r="D69" s="41">
        <f>tip_speed/(vial_ID/1000)</f>
        <v>24.854372259413</v>
      </c>
      <c r="E69" s="53" t="s">
        <v>622</v>
      </c>
      <c r="F69" s="21"/>
    </row>
    <row r="70" spans="1:6" ht="24" x14ac:dyDescent="0.2">
      <c r="A70" s="18" t="s">
        <v>623</v>
      </c>
      <c r="B70" s="19" t="s">
        <v>624</v>
      </c>
      <c r="C70" s="20" t="s">
        <v>85</v>
      </c>
      <c r="D70" s="41">
        <f>2*SQRT(D_O2*s_renew/PI())</f>
        <v>0.0002668110099973</v>
      </c>
      <c r="E70" s="53" t="s">
        <v>960</v>
      </c>
      <c r="F70" s="21"/>
    </row>
    <row r="71" spans="1:6" x14ac:dyDescent="0.2">
      <c r="A71" s="18" t="s">
        <v>625</v>
      </c>
      <c r="B71" s="19" t="s">
        <v>626</v>
      </c>
      <c r="C71" s="20" t="s">
        <v>567</v>
      </c>
      <c r="D71" s="41">
        <f>interface_A/V_charge</f>
        <v>28.636515009371</v>
      </c>
      <c r="E71" s="74" t="s">
        <v>627</v>
      </c>
      <c r="F71" s="21"/>
    </row>
    <row r="72" spans="1:6" x14ac:dyDescent="0.2">
      <c r="A72" s="18" t="s">
        <v>628</v>
      </c>
      <c r="B72" s="19" t="s">
        <v>629</v>
      </c>
      <c r="C72" s="20" t="s">
        <v>577</v>
      </c>
      <c r="D72" s="41">
        <f>kL_surf*a_surf</f>
        <v>0.007640537492</v>
      </c>
      <c r="E72" s="53" t="s">
        <v>630</v>
      </c>
      <c r="F72" s="21"/>
    </row>
    <row r="73" spans="1:6" ht="36" customHeight="1" x14ac:dyDescent="0.2">
      <c r="A73" s="18" t="s">
        <v>631</v>
      </c>
      <c r="B73" s="19" t="s">
        <v>632</v>
      </c>
      <c r="C73" s="20" t="s">
        <v>307</v>
      </c>
      <c r="D73" s="41">
        <f>kLa_surf_used*(V_charge/1000000)*O2_ceil_C*3600</f>
        <v>0.0001298594676754</v>
      </c>
      <c r="E73" s="53" t="inlineStr">
        <is>
          <t xml:space="preserve">O₂ removable across the stirred surface at ceiling driving force — a FEASIBILITY CEILING for surf_ratio / O2_removal_ratio only. NEVER subtracted inside a safety guard (kL_surf is a ~375%-uncertain best-case proxy); the guards size on O2_src_guard (D132) with this credit withheld. Evaluated at the generic 0.30 atm ceiling (D6), as a transfer capacity, not at the organism limit.</t>
        </is>
      </c>
      <c r="F73" s="21"/>
    </row>
    <row r="74" spans="1:6" ht="24" customHeight="1" x14ac:dyDescent="0.2">
      <c r="A74" s="18" t="s">
        <v>633</v>
      </c>
      <c r="B74" s="19" t="s">
        <v>634</v>
      </c>
      <c r="C74" s="20" t="s">
        <v>87</v>
      </c>
      <c r="D74" s="41">
        <f>IF(O2_excess&gt;0,surf_strip/O2_excess,NA())</f>
        <v>7.676447552252</v>
      </c>
      <c r="E74" s="53" t="s">
        <v>635</v>
      </c>
      <c r="F74" s="21"/>
    </row>
    <row r="75" spans="1:6" ht="24" customHeight="1" x14ac:dyDescent="0.2">
      <c r="A75" s="18"/>
      <c r="B75" s="19"/>
      <c r="C75" s="20"/>
      <c r="D75" s="41"/>
      <c r="E75" s="74"/>
      <c r="F75" s="21"/>
    </row>
    <row r="76" spans="1:6" x14ac:dyDescent="0.2">
      <c r="A76" s="18"/>
      <c r="B76" s="19"/>
      <c r="C76" s="20"/>
      <c r="D76" s="41"/>
      <c r="E76" s="53"/>
      <c r="F76" s="21"/>
    </row>
    <row r="77" spans="1:6" x14ac:dyDescent="0.2">
      <c r="A77" s="18" t="s">
        <v>636</v>
      </c>
      <c r="B77" s="19" t="s">
        <v>637</v>
      </c>
      <c r="C77" s="20" t="s">
        <v>61</v>
      </c>
      <c r="D77" s="41">
        <f>headspace_V*spg_int/V_pulse</f>
        <v>7.416849456371</v>
      </c>
      <c r="E77" s="74" t="s">
        <v>2236</v>
      </c>
      <c r="F77" s="21"/>
    </row>
    <row r="78" spans="1:6" ht="26" customHeight="1" x14ac:dyDescent="0.2">
      <c r="A78" s="18" t="s">
        <v>638</v>
      </c>
      <c r="B78" s="19" t="s">
        <v>639</v>
      </c>
      <c r="C78" s="20" t="s">
        <v>87</v>
      </c>
      <c r="D78" s="41">
        <f>IF(O2_excess&gt;0,(strip_avg+surf_strip)/O2_excess,NA())</f>
        <v>7.739722257034</v>
      </c>
      <c r="E78" s="90" t="s">
        <v>640</v>
      </c>
      <c r="F78" s="21"/>
    </row>
    <row r="79" spans="1:6" x14ac:dyDescent="0.2">
      <c r="A79" s="18" t="s">
        <v>641</v>
      </c>
      <c r="B79" s="19" t="s">
        <v>642</v>
      </c>
      <c r="C79" s="20" t="s">
        <v>61</v>
      </c>
      <c r="D79" s="41">
        <f>O2_ceil_org*(V_charge/1000000)/O2_net_gen*60</f>
        <v>5.551240528561</v>
      </c>
      <c r="E79" s="74" t="s">
        <v>643</v>
      </c>
      <c r="F79" s="21"/>
    </row>
    <row r="80" spans="1:6" ht="36" customHeight="1" x14ac:dyDescent="0.2">
      <c r="A80" s="18" t="s">
        <v>644</v>
      </c>
      <c r="B80" s="19" t="s">
        <v>645</v>
      </c>
      <c r="C80" s="20" t="s">
        <v>61</v>
      </c>
      <c r="D80" s="41" t="str">
        <f>IF(O2_net_gen-strip_avg-surf_strip&gt;0,O2_ceil_org*(V_charge/1000000)/(O2_net_gen-strip_avg-surf_strip)*60,"never (removal ≥ source)")</f>
        <v>never (removal ≥ source)</v>
      </c>
      <c r="E80" s="53" t="s">
        <v>2237</v>
      </c>
      <c r="F80" s="21"/>
    </row>
    <row r="81" spans="1:6" ht="24" customHeight="1" x14ac:dyDescent="0.2">
      <c r="A81" s="18" t="s">
        <v>646</v>
      </c>
      <c r="B81" s="19" t="s">
        <v>647</v>
      </c>
      <c r="C81" s="20" t="s">
        <v>111</v>
      </c>
      <c r="D81" s="106" t="s">
        <v>648</v>
      </c>
      <c r="E81" s="52" t="inlineStr">
        <is>
          <t xml:space="preserve">Set by the Summary 'Your setting' override (G18/G20) when filled; otherwise this Manual/Optimal selector + the manual cells below apply. Optimal = recommended schedule.</t>
        </is>
      </c>
      <c r="F81" s="21"/>
    </row>
    <row r="82" spans="1:6" ht="24" x14ac:dyDescent="0.2">
      <c r="A82" s="18" t="s">
        <v>649</v>
      </c>
      <c r="B82" s="19" t="s">
        <v>650</v>
      </c>
      <c r="C82" s="20" t="s">
        <v>12</v>
      </c>
      <c r="D82" s="106">
        <v>1</v>
      </c>
      <c r="E82" s="52" t="inlineStr">
        <is>
          <t xml:space="preserve">Your pulse length when sched_mode=Manual. Easiest: type into the Summary 'Your setting' column (G18) instead — it overrides everything.</t>
        </is>
      </c>
      <c r="F82" s="21"/>
    </row>
    <row r="83" spans="1:6" ht="24" x14ac:dyDescent="0.2">
      <c r="A83" s="18" t="s">
        <v>651</v>
      </c>
      <c r="B83" s="19" t="s">
        <v>652</v>
      </c>
      <c r="C83" s="20" t="s">
        <v>61</v>
      </c>
      <c r="D83" s="106">
        <v>1</v>
      </c>
      <c r="E83" s="52" t="inlineStr">
        <is>
          <t xml:space="preserve">Your interval when sched_mode=Manual. Easiest: type into the Summary 'Your setting' column (G20) instead — it overrides everything.</t>
        </is>
      </c>
      <c r="F83" s="21"/>
    </row>
    <row r="84" spans="1:6" ht="24" x14ac:dyDescent="0.2">
      <c r="A84" s="18" t="s">
        <v>653</v>
      </c>
      <c r="B84" s="19" t="s">
        <v>654</v>
      </c>
      <c r="C84" s="20" t="s">
        <v>111</v>
      </c>
      <c r="D84" s="128">
        <f>Biology!DO_frac_target</f>
        <v>0.226086956522</v>
      </c>
      <c r="E84" s="52" t="s">
        <v>2238</v>
      </c>
      <c r="F84" s="21"/>
    </row>
    <row r="85" spans="1:6" x14ac:dyDescent="0.2">
      <c r="A85" s="18" t="s">
        <v>655</v>
      </c>
      <c r="B85" s="19" t="s">
        <v>656</v>
      </c>
      <c r="C85" s="20" t="s">
        <v>111</v>
      </c>
      <c r="D85" s="106">
        <v>2</v>
      </c>
      <c r="E85" s="52" t="s">
        <v>657</v>
      </c>
      <c r="F85" s="21"/>
    </row>
    <row r="86" spans="1:6" x14ac:dyDescent="0.2">
      <c r="A86" s="18" t="s">
        <v>658</v>
      </c>
      <c r="B86" s="19" t="s">
        <v>659</v>
      </c>
      <c r="C86" s="20" t="s">
        <v>111</v>
      </c>
      <c r="D86" s="41">
        <f>carbon_margin_min*CO2_cons/(nCO2_rate*3600)</f>
        <v>7.078278204869e-05</v>
      </c>
      <c r="E86" s="74" t="s">
        <v>660</v>
      </c>
      <c r="F86" s="21"/>
    </row>
    <row r="87" spans="1:6" ht="24" customHeight="1" x14ac:dyDescent="0.2">
      <c r="A87" s="18" t="s">
        <v>661</v>
      </c>
      <c r="B87" s="19" t="s">
        <v>662</v>
      </c>
      <c r="C87" s="20" t="s">
        <v>111</v>
      </c>
      <c r="D87" s="41">
        <f>O2_src_guard/(target_DO_frac*(O2_ceil_Pa/P_atm))/(nCO2_rate*3600)</f>
        <v>0.001561133561</v>
      </c>
      <c r="E87" s="74" t="s">
        <v>965</v>
      </c>
      <c r="F87" s="21"/>
    </row>
    <row r="88" spans="1:6" ht="24" customHeight="1" x14ac:dyDescent="0.2">
      <c r="A88" s="18" t="s">
        <v>663</v>
      </c>
      <c r="B88" s="19" t="s">
        <v>664</v>
      </c>
      <c r="C88" s="20" t="s">
        <v>111</v>
      </c>
      <c r="D88" s="41">
        <f>MAX(duty_carbon,duty_O2vent)</f>
        <v>0.001561133561</v>
      </c>
      <c r="E88" s="53" t="s">
        <v>2239</v>
      </c>
      <c r="F88" s="21"/>
    </row>
    <row r="89" spans="1:6" ht="60" x14ac:dyDescent="0.2">
      <c r="A89" s="18" t="s">
        <v>2240</v>
      </c>
      <c r="B89" s="19" t="s">
        <v>665</v>
      </c>
      <c r="C89" s="20" t="s">
        <v>61</v>
      </c>
      <c r="D89" s="41">
        <f>target_DO_frac*O2_ceil_org*(V_charge/1000000)/O2_src_guard*60</f>
        <v>1.255063076022</v>
      </c>
      <c r="E89" s="74" t="s">
        <v>2241</v>
      </c>
      <c r="F89" s="21"/>
    </row>
    <row r="90" spans="1:6" ht="24" x14ac:dyDescent="0.2">
      <c r="A90" s="18" t="s">
        <v>666</v>
      </c>
      <c r="B90" s="19" t="s">
        <v>667</v>
      </c>
      <c r="C90" s="20" t="s">
        <v>12</v>
      </c>
      <c r="D90" s="41">
        <f>MAX(pulse_floor,(flush_factor*headspace_V-pulse_V0)/Q_CO2_fit)</f>
        <v>0.674076519917</v>
      </c>
      <c r="E90" s="129" t="s">
        <v>2242</v>
      </c>
      <c r="F90" s="21"/>
    </row>
    <row r="91" spans="1:6" ht="24" customHeight="1" x14ac:dyDescent="0.2">
      <c r="A91" s="18" t="s">
        <v>668</v>
      </c>
      <c r="B91" s="19" t="s">
        <v>669</v>
      </c>
      <c r="C91" s="20" t="s">
        <v>61</v>
      </c>
      <c r="D91" s="41">
        <f>IF(ISNA(F_vent_ex+O2_src_sched),NA(),IF(ph_unreach,NA(),MIN(spg_int_carbon,IF(ISNUMBER(spg_int_DO),spg_int_DO,spg_int_max),IF(ISNUMBER(spg_int_pH_opt),spg_int_pH_opt,spg_int_carbon),IF(O2_sizing_phase=phase_name_2,IF(ISNUMBER(spg_int_H2safe_opt),spg_int_H2safe_opt,spg_int_carbon),spg_int_carbon))))</f>
        <v>7.421902768325</v>
      </c>
      <c r="E91" s="129" t="inlineStr">
        <is>
          <t xml:space="preserve">ANSWER. The shortest of the upper bounds on the interval: carbon supply (D112), headspace-O₂ dilution (spg_int_DO), the pH ceiling (D433) and, when the schedule is sized on Lag, the H₂ flammability screen (D563). #N/A for an invalid vent or phase selector or when no interval keeps pH under the band ceiling (D434). If the DO target is unreachable the legacy O₂ flush guard (D89) stands in for the O₂ bound and D134 says so.</t>
        </is>
      </c>
      <c r="F91" s="21"/>
    </row>
    <row r="92" spans="1:6" x14ac:dyDescent="0.2">
      <c r="A92" s="18" t="s">
        <v>670</v>
      </c>
      <c r="B92" s="19" t="s">
        <v>671</v>
      </c>
      <c r="C92" s="20" t="s">
        <v>12</v>
      </c>
      <c r="D92" s="41">
        <f>spg_int_opt*60</f>
        <v>445.314166099472</v>
      </c>
      <c r="E92" s="129" t="s">
        <v>672</v>
      </c>
      <c r="F92" s="21"/>
    </row>
    <row r="93" spans="1:6" ht="24" x14ac:dyDescent="0.2">
      <c r="A93" s="18" t="s">
        <v>2244</v>
      </c>
      <c r="B93" s="19" t="s">
        <v>673</v>
      </c>
      <c r="C93" s="20" t="s">
        <v>111</v>
      </c>
      <c r="D93" s="41">
        <f>spg_dur_eq_opt/(spg_int_opt*60)</f>
        <v>0.001761706924</v>
      </c>
      <c r="E93" s="74" t="s">
        <v>2245</v>
      </c>
      <c r="F93" s="21"/>
    </row>
    <row r="94" spans="1:6" ht="36" x14ac:dyDescent="0.2">
      <c r="A94" s="18" t="s">
        <v>674</v>
      </c>
      <c r="B94" s="19" t="s">
        <v>675</v>
      </c>
      <c r="C94" s="20" t="s">
        <v>111</v>
      </c>
      <c r="D94" s="41" t="str">
        <f>IF(ISNA(F_vent_ex+O2_src_sched),"INVALID SELECTOR (check Summary D2–D5, D11, D12)",IF(ph_unreach,"pH CEILING UNREACHABLE – reduce the N₂ or the added alkalinity",IF(AND(O2_sizing_phase=phase_name_2,ISNUMBER(spg_int_H2safe_opt),spg_int_opt=spg_int_H2safe_opt),"H₂ FLAMMABILITY SCREEN (lag sizing; Biology D92 sets the interval)",IF(AND(ISNUMBER(spg_int_pH_opt),spg_int_opt=spg_int_pH_opt),"pH CEILING (keeping pH at or under the band ceiling sets the interval)",IF(NOT(ISNUMBER(spg_int_DO)),"O2-INFEASIBLE – the legacy O2 flush guard (D89) sets the interval (see D134)",IF(spg_int_DO&lt;spg_int_carbon,"O2-DILUTION (headspace O2 sets the interval)","CARBON (CO2 supply sets the interval)"))))))</f>
        <v>O2-DILUTION (headspace O2 sets the interval)</v>
      </c>
      <c r="E94" s="74" t="s">
        <v>1638</v>
      </c>
      <c r="F94" s="21"/>
    </row>
    <row r="95" spans="1:6" ht="24" x14ac:dyDescent="0.2">
      <c r="A95" s="18" t="s">
        <v>676</v>
      </c>
      <c r="B95" s="19" t="s">
        <v>677</v>
      </c>
      <c r="C95" s="20" t="s">
        <v>111</v>
      </c>
      <c r="D95" s="41" t="str">
        <f>IF(spg_int*60-spg_dur&gt;=od_gap_min_s,"OK","TIGHT")</f>
        <v>OK</v>
      </c>
      <c r="E95" s="74" t="s">
        <v>1033</v>
      </c>
      <c r="F95" s="21"/>
    </row>
    <row r="96" spans="1:6" ht="36" customHeight="1" x14ac:dyDescent="0.2">
      <c r="A96" s="18" t="s">
        <v>678</v>
      </c>
      <c r="B96" s="19" t="s">
        <v>679</v>
      </c>
      <c r="C96" s="20" t="s">
        <v>111</v>
      </c>
      <c r="D96" s="41" t="str">
        <f>"see note →"</f>
        <v>see note →</v>
      </c>
      <c r="E96" s="53" t="s">
        <v>680</v>
      </c>
      <c r="F96" s="21"/>
    </row>
    <row r="97" spans="1:6" ht="24" customHeight="1" x14ac:dyDescent="0.2">
      <c r="A97" s="18" t="s">
        <v>681</v>
      </c>
      <c r="B97" s="19" t="s">
        <v>682</v>
      </c>
      <c r="C97" s="20" t="s">
        <v>449</v>
      </c>
      <c r="D97" s="41">
        <f>IF(ISNUMBER(cal_kLa),cal_kLa,0)</f>
        <v>0.0</v>
      </c>
      <c r="E97" s="53" t="s">
        <v>683</v>
      </c>
      <c r="F97" s="21"/>
    </row>
    <row r="98" spans="1:6" ht="24" customHeight="1" x14ac:dyDescent="0.2">
      <c r="A98" s="18" t="s">
        <v>684</v>
      </c>
      <c r="B98" s="19" t="s">
        <v>685</v>
      </c>
      <c r="C98" s="20" t="s">
        <v>577</v>
      </c>
      <c r="D98" s="41">
        <f>IF(AND(ISNUMBER(kLa_meas),kLa_meas&gt;0),kLa_meas/3600,kLa_surf)</f>
        <v>0.007640537492</v>
      </c>
      <c r="E98" s="74" t="s">
        <v>1707</v>
      </c>
      <c r="F98" s="21"/>
    </row>
    <row r="99" spans="1:6" x14ac:dyDescent="0.2">
      <c r="A99" s="21" t="s">
        <v>686</v>
      </c>
      <c r="B99" s="21" t="s">
        <v>687</v>
      </c>
      <c r="C99" s="21" t="s">
        <v>12</v>
      </c>
      <c r="D99" s="25">
        <f>min_sparge_cal</f>
        <v>0.25</v>
      </c>
      <c r="E99" s="102" t="s">
        <v>2246</v>
      </c>
      <c r="F99" s="21"/>
    </row>
    <row r="100" spans="1:6" x14ac:dyDescent="0.2">
      <c r="A100" s="21" t="s">
        <v>689</v>
      </c>
      <c r="B100" s="21" t="s">
        <v>690</v>
      </c>
      <c r="C100" s="21" t="s">
        <v>307</v>
      </c>
      <c r="D100" s="25">
        <f>CO2_pulse*pulses_h</f>
        <v>0.0008495736750049</v>
      </c>
      <c r="E100" s="102" t="s">
        <v>688</v>
      </c>
      <c r="F100" s="21"/>
    </row>
    <row r="101" spans="1:6" x14ac:dyDescent="0.2">
      <c r="A101" s="21" t="s">
        <v>691</v>
      </c>
      <c r="B101" s="21" t="s">
        <v>266</v>
      </c>
      <c r="C101" s="21" t="s">
        <v>267</v>
      </c>
      <c r="D101" s="130">
        <v>8.3144626180000003</v>
      </c>
      <c r="E101" s="21" t="s">
        <v>688</v>
      </c>
      <c r="F101" s="21"/>
    </row>
    <row r="102" spans="1:6" x14ac:dyDescent="0.2">
      <c r="A102" s="21" t="s">
        <v>692</v>
      </c>
      <c r="B102" s="21" t="s">
        <v>693</v>
      </c>
      <c r="C102" s="21" t="s">
        <v>314</v>
      </c>
      <c r="D102" s="25">
        <f>IF(has_cal&gt;0,flowrate_cal*60,NA())</f>
        <v>199.8</v>
      </c>
      <c r="E102" s="102" t="s">
        <v>688</v>
      </c>
      <c r="F102" s="21"/>
    </row>
    <row r="103" spans="1:6" x14ac:dyDescent="0.2">
      <c r="A103" s="21" t="s">
        <v>694</v>
      </c>
      <c r="B103" s="21" t="s">
        <v>695</v>
      </c>
      <c r="C103" s="21" t="s">
        <v>696</v>
      </c>
      <c r="D103" s="130">
        <v>44.009500000000003</v>
      </c>
      <c r="E103" s="21" t="s">
        <v>688</v>
      </c>
      <c r="F103" s="21"/>
    </row>
    <row r="104" spans="1:6" x14ac:dyDescent="0.2">
      <c r="A104" s="21" t="s">
        <v>697</v>
      </c>
      <c r="B104" s="21" t="s">
        <v>698</v>
      </c>
      <c r="C104" s="21" t="s">
        <v>699</v>
      </c>
      <c r="D104" s="25">
        <f>P_atm*(Q_CO2/1000000/60)/(R_gas*T_K)</f>
        <v>0.00013386563064</v>
      </c>
      <c r="E104" s="57" t="inlineStr">
        <is>
          <t xml:space="preserve">Dry CO2-equivalent flow at P_atm and T_K. Calibration collection humidity/temperature remain unrecorded; verify before using absolute molar delivery. This convention is distinct from saturated headspace inventory.</t>
        </is>
      </c>
      <c r="F104" s="21"/>
    </row>
    <row r="105" spans="1:6" x14ac:dyDescent="0.2">
      <c r="A105" s="21" t="s">
        <v>700</v>
      </c>
      <c r="B105" s="21" t="s">
        <v>701</v>
      </c>
      <c r="C105" s="21" t="s">
        <v>111</v>
      </c>
      <c r="D105" s="25">
        <f>spg_dur/(spg_int*60)</f>
        <v>0.001506722299</v>
      </c>
      <c r="E105" s="102" t="s">
        <v>688</v>
      </c>
      <c r="F105" s="21"/>
    </row>
    <row r="106" spans="1:6" x14ac:dyDescent="0.2">
      <c r="A106" s="21" t="s">
        <v>702</v>
      </c>
      <c r="B106" s="21" t="s">
        <v>703</v>
      </c>
      <c r="C106" s="21" t="s">
        <v>111</v>
      </c>
      <c r="D106" s="130">
        <v>1</v>
      </c>
      <c r="E106" s="21" t="s">
        <v>688</v>
      </c>
      <c r="F106" s="21"/>
    </row>
    <row r="107" spans="1:6" x14ac:dyDescent="0.2">
      <c r="A107" s="77" t="s">
        <v>704</v>
      </c>
      <c r="B107" s="21"/>
      <c r="C107" s="21"/>
      <c r="D107" s="21"/>
      <c r="E107" s="21"/>
      <c r="F107" s="21"/>
    </row>
    <row r="108" spans="1:6" x14ac:dyDescent="0.2">
      <c r="A108" s="21" t="s">
        <v>2247</v>
      </c>
      <c r="B108" s="21" t="s">
        <v>705</v>
      </c>
      <c r="C108" s="21" t="s">
        <v>83</v>
      </c>
      <c r="D108" s="25">
        <f>DO_avg_sched*M_O2</f>
        <v>2.274565106296</v>
      </c>
      <c r="E108" s="102" t="inlineStr">
        <is>
          <t xml:space="preserve">Time-mean dissolved O₂ of the sawtooth model (§300) on the sizing phase: the surface excess plus equilibrium with the time-mean headspace O₂. Sits near DO_target when the DO constraint binds, because the sizing applies the same sawtooth factor; the peak (D374 / Summary D37) is the non-tautological check.</t>
        </is>
      </c>
      <c r="F108" s="21"/>
    </row>
    <row r="109" spans="1:6" x14ac:dyDescent="0.2">
      <c r="A109" s="21"/>
      <c r="B109" s="21"/>
      <c r="C109" s="21"/>
      <c r="D109" s="25"/>
      <c r="E109" s="21"/>
      <c r="F109" s="21"/>
    </row>
    <row r="110" spans="1:6" x14ac:dyDescent="0.2">
      <c r="A110" s="21" t="s">
        <v>706</v>
      </c>
      <c r="B110" s="21" t="s">
        <v>707</v>
      </c>
      <c r="C110" s="21"/>
      <c r="D110" s="25" t="str">
        <f>IF(ISNUMBER(DO_min),IF(DO_ss&gt;=DO_min,"above minimum","BELOW MINIMUM"),"minimum DO unknown - measure")</f>
        <v>minimum DO unknown - measure</v>
      </c>
      <c r="E110" s="51" t="inlineStr">
        <is>
          <t xml:space="preserve">Cycle-mean DO against the organism minimum (Biology D45); "unknown" while the minimum is a data gap.</t>
        </is>
      </c>
      <c r="F110" s="21"/>
    </row>
    <row r="111" spans="1:6" x14ac:dyDescent="0.2">
      <c r="A111" s="162" t="str">
        <f>"Tip-speed shear flag (&lt;"&amp;TEXT(tip_speed_max,"0.0")&amp;" m/s)"</f>
        <v>Tip-speed shear flag (&lt;1.5 m/s)</v>
      </c>
      <c r="B111" s="21" t="s">
        <v>708</v>
      </c>
      <c r="C111" s="21"/>
      <c r="D111" s="25" t="str">
        <f>IF(tip_speed&gt;tip_speed_max,"TIP SPEED &gt; "&amp;TEXT(tip_speed_max,"0.0")&amp;" m/s","OK")</f>
        <v>OK</v>
      </c>
      <c r="E111" s="59" t="s">
        <v>709</v>
      </c>
      <c r="F111" s="21"/>
    </row>
    <row r="112" spans="1:6" x14ac:dyDescent="0.2">
      <c r="A112" s="21" t="s">
        <v>710</v>
      </c>
      <c r="B112" s="21" t="s">
        <v>711</v>
      </c>
      <c r="C112" s="21" t="s">
        <v>61</v>
      </c>
      <c r="D112" s="25">
        <f>spg_dur_eq_opt/(60*duty_carbon)</f>
        <v>184.723136314261</v>
      </c>
      <c r="E112" s="51" t="inlineStr">
        <is>
          <t xml:space="preserve">The interval at which the CO₂ supply is carbon_margin_min × the fixation demand (duty_carbon, D86), on the optimal-pulse basis; an upper bound only, since the pool can still run dry within a long cycle (D435).</t>
        </is>
      </c>
      <c r="F112" s="21"/>
    </row>
    <row r="113" spans="1:6" x14ac:dyDescent="0.2">
      <c r="A113" s="21" t="s">
        <v>712</v>
      </c>
      <c r="B113" s="21" t="s">
        <v>713</v>
      </c>
      <c r="C113" s="21"/>
      <c r="D113" s="25" t="str">
        <f>IF(DO_at_carbon&lt;=DO_target,"Carbon supply alone holds the DO target – the interval may relax to "&amp;TEXT(MIN(spg_int_carbon,IF(ISNUMBER(spg_int_pH_opt),spg_int_pH_opt,spg_int_carbon)),"0")&amp;" min","Do NOT relax: at the carbon-limited interval ("&amp;TEXT(spg_int_carbon,"0")&amp;" min) the cycle-mean DO would be ≈"&amp;TEXT(DO_at_carbon*M_O2,"0")&amp;" mg/L, "&amp;IF(DO_at_carbon&gt;O2_ceil_org,"above the "&amp;TEXT(O2_ceil_org*M_O2,"0.0")&amp;" mg/L inhibition ceiling","against a "&amp;TEXT(DO_target*M_O2,"0.0")&amp;" mg/L target")&amp;" (peaks higher)")</f>
        <v>Do NOT relax: at the carbon-limited interval (185 min) the cycle-mean DO would be ≈13 mg/L, above the 10.1 mg/L inhibition ceiling (peaks higher)</v>
      </c>
      <c r="E113" s="59" t="s">
        <v>2249</v>
      </c>
      <c r="F113" s="21"/>
    </row>
    <row r="114" spans="1:6" x14ac:dyDescent="0.2">
      <c r="A114" s="77" t="s">
        <v>2250</v>
      </c>
      <c r="B114" s="21"/>
      <c r="C114" s="21"/>
      <c r="D114" s="21"/>
      <c r="E114" s="21"/>
      <c r="F114" s="21"/>
    </row>
    <row r="115" spans="1:6" x14ac:dyDescent="0.2">
      <c r="A115" s="21" t="s">
        <v>714</v>
      </c>
      <c r="B115" s="21" t="s">
        <v>1</v>
      </c>
      <c r="C115" s="21"/>
      <c r="D115" s="104" t="str">
        <f>Summary!Reactor_sel</f>
        <v>ed04</v>
      </c>
      <c r="E115" s="51" t="inlineStr">
        <is>
          <t xml:space="preserve">The Summary reactor, imported as the key for the CO2 flows rows.</t>
        </is>
      </c>
      <c r="F115" s="21"/>
    </row>
    <row r="116" spans="1:6" x14ac:dyDescent="0.2">
      <c r="A116" s="21" t="s">
        <v>715</v>
      </c>
      <c r="B116" s="21" t="s">
        <v>716</v>
      </c>
      <c r="C116" s="21"/>
      <c r="D116" s="131">
        <f>SUMPRODUCT(MAX((co2f_reactor=Reactor)*(co2f_nominal&gt;0)*co2f_date))</f>
        <v>46190.0</v>
      </c>
      <c r="E116" s="51" t="inlineStr">
        <is>
          <t xml:space="preserve">Most recent date in CO2 flows for the selected reactor; only rows of that date set the flow (D117).</t>
        </is>
      </c>
      <c r="F116" s="21"/>
    </row>
    <row r="117" spans="1:6" x14ac:dyDescent="0.2">
      <c r="A117" s="21" t="s">
        <v>717</v>
      </c>
      <c r="B117" s="21" t="s">
        <v>718</v>
      </c>
      <c r="C117" s="21" t="s">
        <v>1286</v>
      </c>
      <c r="D117" s="131">
        <f>IF(ISNUMBER(cal_flow),cal_flow,SUMPRODUCT((co2f_reactor=Reactor)*(co2f_date=latest_date)*co2f_nominal)/MAX(1,SUMPRODUCT((co2f_reactor=Reactor)*(co2f_date=latest_date)*(co2f_nominal&gt;0)*1)))</f>
        <v>3.33</v>
      </c>
      <c r="E117" s="102" t="s">
        <v>2251</v>
      </c>
      <c r="F117" s="21"/>
    </row>
    <row r="118" spans="1:6" x14ac:dyDescent="0.2">
      <c r="A118" s="21" t="s">
        <v>719</v>
      </c>
      <c r="B118" s="21" t="s">
        <v>720</v>
      </c>
      <c r="C118" s="21" t="s">
        <v>12</v>
      </c>
      <c r="D118" s="131">
        <f>IF(ISNUMBER(cal_pulse_floor),cal_pulse_floor,IF(SUMPRODUCT((co2f_reactor=Reactor)*(co2f_nominal&gt;0)*1)&gt;0,SUMPRODUCT((co2f_reactor=Reactor)*(co2f_date=latest_date)*co2f_minpulse)/MAX(1,SUMPRODUCT((co2f_reactor=Reactor)*(co2f_date=latest_date)*(co2f_nominal&gt;0)*1)),pulse_floor_default))</f>
        <v>0.25</v>
      </c>
      <c r="E118" s="102" t="s">
        <v>2252</v>
      </c>
      <c r="F118" s="21"/>
    </row>
    <row r="119" spans="1:6" x14ac:dyDescent="0.2">
      <c r="A119" s="21" t="s">
        <v>721</v>
      </c>
      <c r="B119" s="21" t="s">
        <v>722</v>
      </c>
      <c r="C119" s="21" t="s">
        <v>723</v>
      </c>
      <c r="D119" s="131">
        <f>SUMPRODUCT((co2f_reactor=Reactor)*(co2f_nominal&gt;0)*1)+IF(ISNUMBER(cal_flow),1,0)</f>
        <v>1.0</v>
      </c>
      <c r="E119" s="102" t="s">
        <v>2253</v>
      </c>
      <c r="F119" s="21"/>
    </row>
    <row r="120" spans="1:6" x14ac:dyDescent="0.2">
      <c r="A120" s="21" t="s">
        <v>724</v>
      </c>
      <c r="B120" s="21" t="s">
        <v>725</v>
      </c>
      <c r="C120" s="21"/>
      <c r="D120" s="25" t="str">
        <f>IF(has_cal&gt;0,"calibrated: "&amp;Reactor&amp;IF(ISNUMBER(cal_flow)," (flow from the Calibrations tab)"," (flow from CO2 flows)"),"NO CALIBRATION for "&amp;Reactor&amp;" – record a CO₂ flow in the Calibrations tab (CO₂ flow section, Include = y) or add a row in CO2 flows with nominal flowrate + minimum sparge")</f>
        <v>calibrated: ed04 (flow from CO2 flows)</v>
      </c>
      <c r="E120" s="51" t="inlineStr">
        <is>
          <t xml:space="preserve">Text verdict from has_cal (D119) and the flow source in use.</t>
        </is>
      </c>
      <c r="F120" s="21"/>
    </row>
    <row r="121" spans="1:6" x14ac:dyDescent="0.2">
      <c r="A121" s="21" t="s">
        <v>726</v>
      </c>
      <c r="B121" s="21" t="s">
        <v>727</v>
      </c>
      <c r="C121" s="21" t="s">
        <v>12</v>
      </c>
      <c r="D121" s="111">
        <f>IF(AND(ISNUMBER(override_spg_dur_s),override_spg_dur_s&gt;0),override_spg_dur_s,IF(sched_mode="Manual",spg_dur_man,IF(sched_mode="Optimal",spg_dur_run,NA())))</f>
        <v>0.65</v>
      </c>
      <c r="E121" s="51" t="inlineStr">
        <is>
          <t xml:space="preserve">Pulse in use: Summary override (G18) &gt; Manual cell (D82) &gt; the rounded optimum (D242); #N/A for an unlisted schedule mode.</t>
        </is>
      </c>
      <c r="F121" s="21"/>
    </row>
    <row r="122" spans="1:6" x14ac:dyDescent="0.2">
      <c r="A122" s="21" t="s">
        <v>728</v>
      </c>
      <c r="B122" s="21" t="s">
        <v>729</v>
      </c>
      <c r="C122" s="21" t="s">
        <v>61</v>
      </c>
      <c r="D122" s="111">
        <f>IF(AND(ISNUMBER(override_spg_int_min),override_spg_int_min&gt;0),IF(override_spg_int_min*60&gt;spg_dur,override_spg_int_min,NA()),IF(sched_mode="Manual",IF(spg_int_man*60&gt;spg_dur,spg_int_man,NA()),IF(sched_mode="Optimal",spg_int_run,NA())))</f>
        <v>7.19</v>
      </c>
      <c r="E122" s="51" t="inlineStr">
        <is>
          <t xml:space="preserve">Interval in use: Summary override (G20) &gt; Manual cell (D83) &gt; the rounded executable interval (D420); #N/A when no gap is left or the mode is unlisted.</t>
        </is>
      </c>
      <c r="F122" s="21"/>
    </row>
    <row r="123" spans="1:6" x14ac:dyDescent="0.2">
      <c r="A123" s="21" t="s">
        <v>730</v>
      </c>
      <c r="B123" s="21" t="s">
        <v>731</v>
      </c>
      <c r="C123" s="21" t="s">
        <v>732</v>
      </c>
      <c r="D123" s="25">
        <f>P_atm*(V_pulse/1000000)/(R_gas*T_K)</f>
        <v>0.0001018072453881</v>
      </c>
      <c r="E123" s="21" t="s">
        <v>2254</v>
      </c>
      <c r="F123" s="21"/>
    </row>
    <row r="124" spans="1:6" x14ac:dyDescent="0.2">
      <c r="A124" s="21" t="s">
        <v>733</v>
      </c>
      <c r="B124" s="21" t="s">
        <v>734</v>
      </c>
      <c r="C124" s="21" t="s">
        <v>735</v>
      </c>
      <c r="D124" s="25">
        <f>60/spg_int</f>
        <v>8.344923504868</v>
      </c>
      <c r="E124" s="51" t="inlineStr">
        <is>
          <t xml:space="preserve">60 ÷ the interval in use.</t>
        </is>
      </c>
      <c r="F124" s="21"/>
    </row>
    <row r="125" spans="1:6" x14ac:dyDescent="0.2">
      <c r="A125" s="21" t="s">
        <v>736</v>
      </c>
      <c r="B125" s="21" t="s">
        <v>737</v>
      </c>
      <c r="C125" s="21" t="s">
        <v>738</v>
      </c>
      <c r="D125" s="25">
        <f>pulses_h*24</f>
        <v>200.278164116829</v>
      </c>
      <c r="E125" s="51" t="inlineStr">
        <is>
          <t xml:space="preserve">Pulses per hour × 24.</t>
        </is>
      </c>
      <c r="F125" s="21"/>
    </row>
    <row r="126" spans="1:6" x14ac:dyDescent="0.2">
      <c r="A126" s="21" t="s">
        <v>739</v>
      </c>
      <c r="B126" s="21" t="s">
        <v>740</v>
      </c>
      <c r="C126" s="21" t="s">
        <v>87</v>
      </c>
      <c r="D126" s="25">
        <f>IF(CO2_cons&gt;0,CO2_supply/CO2_cons,NA())</f>
        <v>49.811752928483</v>
      </c>
      <c r="E126" s="51" t="inlineStr">
        <is>
          <t xml:space="preserve">CO₂ delivered ÷ carbon fixed (D100 ÷ Biology D15); ≥ 1 means supply covers demand on average.</t>
        </is>
      </c>
      <c r="F126" s="21"/>
    </row>
    <row r="127" spans="1:6" x14ac:dyDescent="0.2">
      <c r="A127" s="21" t="s">
        <v>741</v>
      </c>
      <c r="B127" s="21" t="s">
        <v>742</v>
      </c>
      <c r="C127" s="21" t="s">
        <v>732</v>
      </c>
      <c r="D127" s="25">
        <f>O2_excess/60*spg_int</f>
        <v>2.027173737658e-06</v>
      </c>
      <c r="E127" s="51" t="inlineStr">
        <is>
          <t xml:space="preserve">Growth O₂ surplus (Biology D16) accumulated over one interval in use.</t>
        </is>
      </c>
      <c r="F127" s="21"/>
    </row>
    <row r="128" spans="1:6" x14ac:dyDescent="0.2">
      <c r="A128" s="21" t="s">
        <v>743</v>
      </c>
      <c r="B128" s="21" t="s">
        <v>744</v>
      </c>
      <c r="C128" s="21" t="s">
        <v>732</v>
      </c>
      <c r="D128" s="25">
        <f>strip_sparge/3600*spg_dur</f>
        <v>1.282688197921e-07</v>
      </c>
      <c r="E128" s="51" t="inlineStr">
        <is>
          <t xml:space="preserve">Bubble-strip removal per pulse: strip_sparge (mol/h at full sparge) × the pulse length; informative only.</t>
        </is>
      </c>
      <c r="F128" s="21"/>
    </row>
    <row r="129" spans="1:6" x14ac:dyDescent="0.2">
      <c r="A129" s="21" t="s">
        <v>745</v>
      </c>
      <c r="B129" s="21" t="s">
        <v>746</v>
      </c>
      <c r="C129" s="21" t="s">
        <v>87</v>
      </c>
      <c r="D129" s="25">
        <f>IF(O2_accum&gt;0,O2_strip_pulse/O2_accum,NA())</f>
        <v>0.063274704782</v>
      </c>
      <c r="E129" s="51" t="inlineStr">
        <is>
          <t xml:space="preserve">Bubble-strip removal ÷ O₂ accumulated per interval; the headspace balance (§300), not this ratio, sizes the schedule.</t>
        </is>
      </c>
      <c r="F129" s="21"/>
    </row>
    <row r="130" spans="1:6" x14ac:dyDescent="0.2">
      <c r="A130" s="21" t="s">
        <v>747</v>
      </c>
      <c r="B130" s="21" t="s">
        <v>748</v>
      </c>
      <c r="C130" s="21"/>
      <c r="D130" s="25" t="str">
        <f>IF(spg_dur&gt;=pulse_floor,"OK","LOW")</f>
        <v>OK</v>
      </c>
      <c r="E130" s="51" t="inlineStr">
        <is>
          <t xml:space="preserve">Pulse in use against the solenoid floor (D99); LOW = below the shortest reliable pulse.</t>
        </is>
      </c>
      <c r="F130" s="21"/>
    </row>
    <row r="131" spans="1:6" x14ac:dyDescent="0.2">
      <c r="A131" s="21" t="s">
        <v>2255</v>
      </c>
      <c r="B131" s="21" t="s">
        <v>749</v>
      </c>
      <c r="C131" s="21" t="s">
        <v>85</v>
      </c>
      <c r="D131" s="25">
        <f>kLa_surf_req/a_surf</f>
        <v>0.0001537333008672</v>
      </c>
      <c r="E131" s="117" t="s">
        <v>1637</v>
      </c>
      <c r="F131" s="21"/>
    </row>
    <row r="132" spans="1:6" ht="24" x14ac:dyDescent="0.2">
      <c r="A132" s="18" t="s">
        <v>899</v>
      </c>
      <c r="B132" s="19" t="s">
        <v>900</v>
      </c>
      <c r="C132" s="20" t="s">
        <v>901</v>
      </c>
      <c r="D132" s="25">
        <f>O2_net_gen</f>
        <v>5.102798409848e-05</v>
      </c>
      <c r="E132" s="53" t="s">
        <v>902</v>
      </c>
      <c r="F132" s="21"/>
    </row>
    <row r="133" spans="1:6" ht="36" x14ac:dyDescent="0.2">
      <c r="A133" s="18" t="s">
        <v>1749</v>
      </c>
      <c r="B133" s="19" t="s">
        <v>903</v>
      </c>
      <c r="C133" s="20" t="s">
        <v>904</v>
      </c>
      <c r="D133" s="25">
        <f>DO_avg_sched</f>
        <v>0.071084602359</v>
      </c>
      <c r="E133" s="53" t="s">
        <v>2256</v>
      </c>
      <c r="F133" s="21"/>
    </row>
    <row r="134" spans="1:6" ht="24" x14ac:dyDescent="0.2">
      <c r="A134" s="21" t="s">
        <v>905</v>
      </c>
      <c r="B134" s="21" t="s">
        <v>906</v>
      </c>
      <c r="C134" s="21" t="s">
        <v>907</v>
      </c>
      <c r="D134" s="25" t="str">
        <f>IF(ISNA(F_vent_ex+O2_src_sched),"INVALID SELECTOR (check Summary D2–D5, D11, D12) – no schedule until both are listed values",IF(NOT(ISNUMBER(spg_int_DO)),"DO TARGET UNREACHABLE — the surface cannot carry the O2 flux at this kLa; no interval fixes it (raise kL_surf, lower the current, or accept a higher DO)",IF(kLa_meas&gt;0,"MEASURED kLa — DO-limited interval is "&amp;TEXT(spg_int_DO,"0.0")&amp;" min","ESTIMATED kLa — DO-limited interval is "&amp;TEXT(spg_int_DO,"0.0")&amp;" min; confirm by measuring kL_surf")))</f>
        <v>ESTIMATED kLa — DO-limited interval is 7.4 min; confirm by measuring kL_surf</v>
      </c>
      <c r="E134" s="53" t="s">
        <v>2257</v>
      </c>
      <c r="F134" s="21"/>
    </row>
    <row r="135" spans="1:6" ht="48" x14ac:dyDescent="0.2">
      <c r="A135" s="21" t="s">
        <v>2258</v>
      </c>
      <c r="B135" s="21" t="s">
        <v>908</v>
      </c>
      <c r="C135" s="21" t="s">
        <v>909</v>
      </c>
      <c r="D135" s="25">
        <f>DO_avg_l</f>
        <v>0.176285196499</v>
      </c>
      <c r="E135" s="53" t="s">
        <v>2259</v>
      </c>
      <c r="F135" s="21"/>
    </row>
    <row r="137" spans="1:6" x14ac:dyDescent="0.2">
      <c r="A137" s="21" t="s">
        <v>1035</v>
      </c>
      <c r="B137" s="21"/>
      <c r="C137" s="21"/>
      <c r="D137" s="21"/>
      <c r="E137" s="21" t="s">
        <v>1036</v>
      </c>
      <c r="F137" s="21"/>
    </row>
    <row r="138" spans="1:6" x14ac:dyDescent="0.2">
      <c r="A138" s="18" t="s">
        <v>1037</v>
      </c>
      <c r="B138" s="19" t="s">
        <v>1038</v>
      </c>
      <c r="C138" s="20" t="s">
        <v>515</v>
      </c>
      <c r="D138" s="111">
        <f>D_CO2_ref*EXP(-Ea_D_CO2/R_gas*(1/T_K-1/T_ref))</f>
        <v>2.178724747845e-09</v>
      </c>
      <c r="E138" s="51" t="s">
        <v>1610</v>
      </c>
      <c r="F138" s="21"/>
    </row>
    <row r="139" spans="1:6" x14ac:dyDescent="0.2">
      <c r="A139" s="18" t="s">
        <v>1054</v>
      </c>
      <c r="B139" s="19" t="s">
        <v>1039</v>
      </c>
      <c r="C139" s="20" t="s">
        <v>57</v>
      </c>
      <c r="D139" s="106">
        <v>40</v>
      </c>
      <c r="E139" s="51" t="s">
        <v>1055</v>
      </c>
      <c r="F139" s="21"/>
    </row>
    <row r="140" spans="1:6" x14ac:dyDescent="0.2">
      <c r="A140" s="18" t="s">
        <v>1056</v>
      </c>
      <c r="B140" s="19" t="s">
        <v>1057</v>
      </c>
      <c r="C140" s="20" t="s">
        <v>1058</v>
      </c>
      <c r="D140" s="41">
        <f>headspace_V/1000000</f>
        <v>2.612428455917e-06</v>
      </c>
      <c r="E140" s="51" t="s">
        <v>1059</v>
      </c>
      <c r="F140" s="21"/>
    </row>
    <row r="141" spans="1:6" x14ac:dyDescent="0.2">
      <c r="A141" s="18" t="s">
        <v>1060</v>
      </c>
      <c r="B141" s="19" t="s">
        <v>1061</v>
      </c>
      <c r="C141" s="20" t="s">
        <v>1058</v>
      </c>
      <c r="D141" s="41">
        <f>V_charge/1000000</f>
        <v>1.5e-05</v>
      </c>
      <c r="E141" s="51" t="s">
        <v>1062</v>
      </c>
      <c r="F141" s="21"/>
    </row>
    <row r="142" spans="1:6" ht="60" x14ac:dyDescent="0.2">
      <c r="A142" s="18" t="s">
        <v>2260</v>
      </c>
      <c r="B142" s="19" t="s">
        <v>1063</v>
      </c>
      <c r="C142" s="20" t="s">
        <v>314</v>
      </c>
      <c r="D142" s="106">
        <v>0.5</v>
      </c>
      <c r="E142" s="53" t="inlineStr">
        <is>
          <t xml:space="preserve">Bidirectional air-exchange flow through the vent, used ONLY when vent_model (Summary D11) = "Air exchange" (an "Open vent" uses Q_backdraw, D385), by the O₂ balance, the CO₂ pool and the flammability block alike. KEY UNCERTAIN PARAMETER — measure (pressure-decay or headspace-O₂ tracer, R2 experiment 1); include any per-pulse back-draw in it. Not free membrane diffusion, which would clear in seconds.</t>
        </is>
      </c>
      <c r="F142" s="21"/>
    </row>
    <row r="143" spans="1:6" ht="36" x14ac:dyDescent="0.2">
      <c r="A143" s="18" t="s">
        <v>2262</v>
      </c>
      <c r="B143" s="19" t="s">
        <v>1064</v>
      </c>
      <c r="C143" s="20" t="s">
        <v>577</v>
      </c>
      <c r="D143" s="41">
        <f>F_gap_sched/3600/n_hs_gas</f>
        <v>9.987231025874e-05</v>
      </c>
      <c r="E143" s="51" t="s">
        <v>2263</v>
      </c>
      <c r="F143" s="21"/>
    </row>
    <row r="144" spans="1:6" ht="24" x14ac:dyDescent="0.2">
      <c r="A144" s="18" t="s">
        <v>1065</v>
      </c>
      <c r="B144" s="19" t="s">
        <v>1066</v>
      </c>
      <c r="C144" s="20" t="s">
        <v>61</v>
      </c>
      <c r="D144" s="41">
        <f>IF(k_vent&gt;0,1/k_vent/60,"none between pulses")</f>
        <v>166.87975499403</v>
      </c>
      <c r="E144" s="51" t="s">
        <v>2264</v>
      </c>
      <c r="F144" s="21"/>
    </row>
    <row r="145" spans="1:6" x14ac:dyDescent="0.2">
      <c r="A145" s="18" t="s">
        <v>1040</v>
      </c>
      <c r="B145" s="19" t="s">
        <v>1041</v>
      </c>
      <c r="C145" s="20" t="s">
        <v>406</v>
      </c>
      <c r="D145" s="41">
        <f>hs_H_CO2*P_dry</f>
        <v>28.055709362261</v>
      </c>
      <c r="E145" s="51" t="s">
        <v>2265</v>
      </c>
      <c r="F145" s="21"/>
    </row>
    <row r="146" spans="1:6" x14ac:dyDescent="0.2">
      <c r="A146" s="18" t="s">
        <v>1042</v>
      </c>
      <c r="B146" s="19" t="s">
        <v>1043</v>
      </c>
      <c r="C146" s="20" t="s">
        <v>406</v>
      </c>
      <c r="D146" s="41">
        <f>hs_H_CO2*pCO2_air</f>
        <v>0.011558836641</v>
      </c>
      <c r="E146" s="51" t="s">
        <v>1067</v>
      </c>
      <c r="F146" s="21"/>
    </row>
    <row r="147" spans="1:6" x14ac:dyDescent="0.2">
      <c r="A147" s="18" t="s">
        <v>1068</v>
      </c>
      <c r="B147" s="19" t="s">
        <v>1044</v>
      </c>
      <c r="C147" s="20" t="s">
        <v>111</v>
      </c>
      <c r="D147" s="41">
        <f>SQRT(D_CO2/D_O2)</f>
        <v>0.984133227229</v>
      </c>
      <c r="E147" s="51" t="s">
        <v>1069</v>
      </c>
      <c r="F147" s="21"/>
    </row>
    <row r="148" spans="1:6" ht="24" x14ac:dyDescent="0.2">
      <c r="A148" s="18" t="s">
        <v>1070</v>
      </c>
      <c r="B148" s="19" t="s">
        <v>1045</v>
      </c>
      <c r="C148" s="20" t="s">
        <v>577</v>
      </c>
      <c r="D148" s="41">
        <f>kLa_surf_used*sqrtD_CO2</f>
        <v>0.00751930682</v>
      </c>
      <c r="E148" s="51" t="s">
        <v>2266</v>
      </c>
      <c r="F148" s="21"/>
    </row>
    <row r="149" spans="1:6" x14ac:dyDescent="0.2">
      <c r="A149" s="18" t="s">
        <v>1071</v>
      </c>
      <c r="B149" s="19" t="s">
        <v>1072</v>
      </c>
      <c r="C149" s="20" t="s">
        <v>61</v>
      </c>
      <c r="D149" s="41">
        <f>1/kLa_CO2_off/60</f>
        <v>2.216516371146</v>
      </c>
      <c r="E149" s="51" t="s">
        <v>1073</v>
      </c>
      <c r="F149" s="21"/>
    </row>
    <row r="150" spans="1:6" x14ac:dyDescent="0.2">
      <c r="A150" s="18" t="s">
        <v>1074</v>
      </c>
      <c r="B150" s="19" t="s">
        <v>1075</v>
      </c>
      <c r="C150" s="20" t="s">
        <v>732</v>
      </c>
      <c r="D150" s="111">
        <f>P_dry*headspace_V_m3/(R_gas*T_K)</f>
        <v>0.0001006282146096</v>
      </c>
      <c r="E150" s="57" t="inlineStr">
        <is>
          <t xml:space="preserve">Dry-gas species inventory above saturated culture: (P_atm - p_sat_w)*V_hs/(R*T). Flush ratios and all species balances use this same inventory.</t>
        </is>
      </c>
      <c r="F150" s="21"/>
    </row>
    <row r="151" spans="1:6" x14ac:dyDescent="0.2">
      <c r="A151" s="18" t="s">
        <v>1046</v>
      </c>
      <c r="B151" s="19" t="s">
        <v>1047</v>
      </c>
      <c r="C151" s="20" t="s">
        <v>12</v>
      </c>
      <c r="D151" s="41">
        <f>spg_dur</f>
        <v>0.65</v>
      </c>
      <c r="E151" s="51" t="s">
        <v>1077</v>
      </c>
      <c r="F151" s="21"/>
    </row>
    <row r="152" spans="1:6" x14ac:dyDescent="0.2">
      <c r="A152" s="18" t="s">
        <v>1048</v>
      </c>
      <c r="B152" s="19" t="s">
        <v>1049</v>
      </c>
      <c r="C152" s="20" t="s">
        <v>12</v>
      </c>
      <c r="D152" s="41">
        <f>MAX(0,spg_int*60-spg_dur)</f>
        <v>430.75</v>
      </c>
      <c r="E152" s="51" t="s">
        <v>1078</v>
      </c>
      <c r="F152" s="21"/>
    </row>
    <row r="153" spans="1:6" x14ac:dyDescent="0.2">
      <c r="A153" s="18"/>
      <c r="B153" s="19"/>
      <c r="C153" s="20"/>
      <c r="D153" s="41"/>
      <c r="E153" s="51"/>
      <c r="F153" s="21"/>
    </row>
    <row r="154" spans="1:6" x14ac:dyDescent="0.2">
      <c r="A154" s="18"/>
      <c r="B154" s="19"/>
      <c r="C154" s="20"/>
      <c r="D154" s="41"/>
      <c r="E154" s="51"/>
      <c r="F154" s="21"/>
    </row>
    <row r="155" spans="1:6" x14ac:dyDescent="0.2">
      <c r="A155" s="18"/>
      <c r="B155" s="19"/>
      <c r="C155" s="20"/>
      <c r="D155" s="41"/>
      <c r="E155" s="51"/>
      <c r="F155" s="21"/>
    </row>
    <row r="156" spans="1:6" x14ac:dyDescent="0.2">
      <c r="A156" s="18"/>
      <c r="B156" s="19"/>
      <c r="C156" s="20"/>
      <c r="D156" s="41"/>
      <c r="E156" s="51"/>
      <c r="F156" s="21"/>
    </row>
    <row r="157" spans="1:6" x14ac:dyDescent="0.2">
      <c r="A157" s="18"/>
      <c r="B157" s="19"/>
      <c r="C157" s="20"/>
      <c r="D157" s="41"/>
      <c r="E157" s="51"/>
      <c r="F157" s="21"/>
    </row>
    <row r="158" spans="1:6" x14ac:dyDescent="0.2">
      <c r="A158" s="18"/>
      <c r="B158" s="19"/>
      <c r="C158" s="20"/>
      <c r="D158" s="41"/>
      <c r="E158" s="51"/>
      <c r="F158" s="21"/>
    </row>
    <row r="159" spans="1:6" x14ac:dyDescent="0.2">
      <c r="A159" s="18"/>
      <c r="B159" s="19"/>
      <c r="C159" s="20"/>
      <c r="D159" s="41"/>
      <c r="E159" s="51"/>
      <c r="F159" s="21"/>
    </row>
    <row r="160" spans="1:6" x14ac:dyDescent="0.2">
      <c r="A160" s="18"/>
      <c r="B160" s="19"/>
      <c r="C160" s="20"/>
      <c r="D160" s="41"/>
      <c r="E160" s="51"/>
      <c r="F160" s="21"/>
    </row>
    <row r="161" spans="1:6" x14ac:dyDescent="0.2">
      <c r="A161" s="18"/>
      <c r="B161" s="19"/>
      <c r="C161" s="20"/>
      <c r="D161" s="41"/>
      <c r="E161" s="51"/>
      <c r="F161" s="21"/>
    </row>
    <row r="162" spans="1:6" ht="24" x14ac:dyDescent="0.2">
      <c r="A162" s="18" t="s">
        <v>1050</v>
      </c>
      <c r="B162" s="19" t="s">
        <v>1051</v>
      </c>
      <c r="C162" s="20" t="s">
        <v>429</v>
      </c>
      <c r="D162" s="41">
        <f>MIN(C_sat_CO2,MAX(C_air_CO2,CO2_cyc_avg_new))/1000</f>
        <v>0.02555602506</v>
      </c>
      <c r="E162" s="51" t="s">
        <v>1661</v>
      </c>
      <c r="F162" s="21"/>
    </row>
    <row r="163" spans="1:6" ht="24" x14ac:dyDescent="0.2">
      <c r="A163" s="18" t="s">
        <v>1079</v>
      </c>
      <c r="B163" s="19" t="s">
        <v>1080</v>
      </c>
      <c r="C163" s="20" t="s">
        <v>111</v>
      </c>
      <c r="D163" s="41" t="str">
        <f>IF(ISTEXT(tau_hs),"no vent turnover between pulses (OK)",IF(tau_hs&gt;=tau_surf_floor,"vent turnover slower than the surface (OK)","WARNING: the vent turns the headspace over faster than the surface relaxes the liquid"))</f>
        <v>vent turnover slower than the surface (OK)</v>
      </c>
      <c r="E163" s="51" t="s">
        <v>2267</v>
      </c>
      <c r="F163" s="21"/>
    </row>
    <row r="164" spans="1:6" x14ac:dyDescent="0.2">
      <c r="A164" s="18" t="s">
        <v>1052</v>
      </c>
      <c r="B164" s="19" t="s">
        <v>1053</v>
      </c>
      <c r="C164" s="20" t="s">
        <v>111</v>
      </c>
      <c r="D164" s="41" t="str">
        <f>IF(spg_int*60&gt;=spg_dur,"OK","INVALID: interval &lt; pulse")</f>
        <v>OK</v>
      </c>
      <c r="E164" s="51" t="s">
        <v>1081</v>
      </c>
      <c r="F164" s="21"/>
    </row>
    <row r="166" spans="1:6" x14ac:dyDescent="0.2">
      <c r="A166" s="6" t="s">
        <v>2268</v>
      </c>
    </row>
    <row r="167" spans="1:6" ht="24" x14ac:dyDescent="0.2">
      <c r="A167" t="s">
        <v>1583</v>
      </c>
      <c r="B167" s="19" t="s">
        <v>1584</v>
      </c>
      <c r="C167" s="20" t="s">
        <v>505</v>
      </c>
      <c r="D167" s="116">
        <v>7.5889999999999999E-2</v>
      </c>
      <c r="E167" s="74" t="s">
        <v>1585</v>
      </c>
    </row>
    <row r="168" spans="1:6" x14ac:dyDescent="0.2">
      <c r="A168" t="s">
        <v>1586</v>
      </c>
      <c r="B168" s="19" t="s">
        <v>1587</v>
      </c>
      <c r="C168" s="20" t="s">
        <v>1588</v>
      </c>
      <c r="D168" s="116">
        <v>-1.5699999999999999E-4</v>
      </c>
      <c r="E168" s="74" t="s">
        <v>1589</v>
      </c>
    </row>
    <row r="169" spans="1:6" x14ac:dyDescent="0.2">
      <c r="A169" t="s">
        <v>1590</v>
      </c>
      <c r="B169" s="19" t="s">
        <v>1591</v>
      </c>
      <c r="C169" s="20" t="s">
        <v>508</v>
      </c>
      <c r="D169" s="116">
        <v>1003.33</v>
      </c>
      <c r="E169" s="74" t="s">
        <v>1592</v>
      </c>
    </row>
    <row r="170" spans="1:6" x14ac:dyDescent="0.2">
      <c r="A170" t="s">
        <v>1593</v>
      </c>
      <c r="B170" s="19" t="s">
        <v>1594</v>
      </c>
      <c r="C170" s="20" t="s">
        <v>1595</v>
      </c>
      <c r="D170" s="116">
        <v>-0.25559999999999999</v>
      </c>
      <c r="E170" s="74" t="s">
        <v>1589</v>
      </c>
    </row>
    <row r="171" spans="1:6" x14ac:dyDescent="0.2">
      <c r="A171" t="s">
        <v>1596</v>
      </c>
      <c r="B171" s="19" t="s">
        <v>1597</v>
      </c>
      <c r="C171" s="20" t="s">
        <v>1140</v>
      </c>
      <c r="D171" s="116">
        <v>-4.41</v>
      </c>
      <c r="E171" s="74" t="s">
        <v>2269</v>
      </c>
    </row>
    <row r="172" spans="1:6" x14ac:dyDescent="0.2">
      <c r="A172" t="s">
        <v>1598</v>
      </c>
      <c r="B172" s="19" t="s">
        <v>1599</v>
      </c>
      <c r="C172" s="20" t="s">
        <v>759</v>
      </c>
      <c r="D172" s="116">
        <v>773.8</v>
      </c>
      <c r="E172" s="74" t="s">
        <v>1589</v>
      </c>
    </row>
    <row r="173" spans="1:6" x14ac:dyDescent="0.2">
      <c r="A173" t="s">
        <v>1600</v>
      </c>
      <c r="B173" s="19" t="s">
        <v>1601</v>
      </c>
      <c r="C173" s="20" t="s">
        <v>759</v>
      </c>
      <c r="D173" s="116">
        <v>506.4</v>
      </c>
      <c r="E173" s="74" t="s">
        <v>1589</v>
      </c>
    </row>
    <row r="174" spans="1:6" x14ac:dyDescent="0.2">
      <c r="A174" t="s">
        <v>1602</v>
      </c>
      <c r="B174" s="19" t="s">
        <v>1603</v>
      </c>
      <c r="C174" s="20" t="s">
        <v>515</v>
      </c>
      <c r="D174" s="116">
        <v>1.92E-9</v>
      </c>
      <c r="E174" s="51" t="s">
        <v>1604</v>
      </c>
    </row>
    <row r="175" spans="1:6" ht="24" x14ac:dyDescent="0.2">
      <c r="A175" t="s">
        <v>1605</v>
      </c>
      <c r="B175" s="19" t="s">
        <v>1606</v>
      </c>
      <c r="C175" s="20" t="s">
        <v>1607</v>
      </c>
      <c r="D175" s="116">
        <v>19000</v>
      </c>
      <c r="E175" s="51" t="s">
        <v>1608</v>
      </c>
    </row>
    <row r="177" spans="1:5" x14ac:dyDescent="0.2">
      <c r="A177" s="6" t="s">
        <v>2270</v>
      </c>
    </row>
    <row r="178" spans="1:5" ht="24" x14ac:dyDescent="0.2">
      <c r="A178" t="s">
        <v>1611</v>
      </c>
      <c r="B178" s="19" t="s">
        <v>1612</v>
      </c>
      <c r="C178" s="20" t="s">
        <v>901</v>
      </c>
      <c r="D178" s="111">
        <f>nCO2_rate*3600</f>
        <v>0.481916270304</v>
      </c>
      <c r="E178" s="74" t="s">
        <v>1613</v>
      </c>
    </row>
    <row r="179" spans="1:5" ht="36" x14ac:dyDescent="0.2">
      <c r="A179" t="s">
        <v>1614</v>
      </c>
      <c r="B179" s="19" t="s">
        <v>1615</v>
      </c>
      <c r="C179" s="20" t="s">
        <v>909</v>
      </c>
      <c r="D179" s="111">
        <f>IF(ISNUMBER(DO_opt),MIN(DO_opt/M_O2,O2_ceil_org),target_DO_frac*O2_ceil_org)</f>
        <v>0.071159265207</v>
      </c>
      <c r="E179" s="74" t="s">
        <v>2271</v>
      </c>
    </row>
    <row r="180" spans="1:5" ht="48" x14ac:dyDescent="0.2">
      <c r="A180" t="s">
        <v>1616</v>
      </c>
      <c r="B180" s="19" t="s">
        <v>1617</v>
      </c>
      <c r="C180" s="20" t="s">
        <v>909</v>
      </c>
      <c r="D180" s="111">
        <f>O2_src_sched/(kLa_surf_used*3600*(V_charge/1000000))</f>
        <v>0.041001114338</v>
      </c>
      <c r="E180" s="51" t="s">
        <v>2272</v>
      </c>
    </row>
    <row r="181" spans="1:5" ht="24" x14ac:dyDescent="0.2">
      <c r="A181" t="s">
        <v>1618</v>
      </c>
      <c r="B181" s="19" t="s">
        <v>1619</v>
      </c>
      <c r="C181" s="20" t="s">
        <v>909</v>
      </c>
      <c r="D181" s="111">
        <f>O2_src_l/(kLa_surf_used*3600*(V_charge/1000000))</f>
        <v>0.117274721522</v>
      </c>
      <c r="E181" s="51" t="s">
        <v>2273</v>
      </c>
    </row>
    <row r="182" spans="1:5" ht="36" x14ac:dyDescent="0.2">
      <c r="A182" t="s">
        <v>1620</v>
      </c>
      <c r="B182" s="19" t="s">
        <v>1621</v>
      </c>
      <c r="C182" s="20" t="s">
        <v>909</v>
      </c>
      <c r="D182" s="111">
        <f>DO_target-DO_surf_excess</f>
        <v>0.030158150869</v>
      </c>
      <c r="E182" s="51" t="s">
        <v>1622</v>
      </c>
    </row>
    <row r="183" spans="1:5" ht="24" x14ac:dyDescent="0.2">
      <c r="A183" t="s">
        <v>1623</v>
      </c>
      <c r="B183" s="19" t="s">
        <v>1624</v>
      </c>
      <c r="C183" s="20" t="s">
        <v>1140</v>
      </c>
      <c r="D183" s="111">
        <f>IF(hs_O2_allow&gt;0,hs_O2_allow/(H_O2_T*P_dry),NA())</f>
        <v>0.029999879484</v>
      </c>
      <c r="E183" s="51" t="s">
        <v>1625</v>
      </c>
    </row>
    <row r="184" spans="1:5" ht="60" x14ac:dyDescent="0.2">
      <c r="A184" t="s">
        <v>1626</v>
      </c>
      <c r="B184" s="19" t="s">
        <v>1627</v>
      </c>
      <c r="C184" s="20" t="s">
        <v>1140</v>
      </c>
      <c r="D184" s="111">
        <f>IF(ISNUMBER(y_O2_star),MAX(0,((O2_src_sched+y_O2_air*F_vent_ex)*saw_factor/y_O2_star-F_dil-O2_src_sched-H2_src_sched+CO2_fix_sched)/CO2_rate_full),NA())</f>
        <v>0.001761706924</v>
      </c>
      <c r="E184" s="51" t="s">
        <v>2274</v>
      </c>
    </row>
    <row r="185" spans="1:5" ht="24" x14ac:dyDescent="0.2">
      <c r="A185" t="s">
        <v>1628</v>
      </c>
      <c r="B185" s="19" t="s">
        <v>1629</v>
      </c>
      <c r="C185" s="20" t="s">
        <v>873</v>
      </c>
      <c r="D185" s="111">
        <f>IF(ISNUMBER(duty_DO),IF(duty_DO&gt;0,spg_dur_eq_opt/(60*duty_DO),spg_int_carbon),NA())</f>
        <v>7.421902768325</v>
      </c>
      <c r="E185" s="51" t="s">
        <v>1630</v>
      </c>
    </row>
    <row r="186" spans="1:5" ht="48" x14ac:dyDescent="0.2">
      <c r="A186" t="s">
        <v>1631</v>
      </c>
      <c r="B186" s="19" t="s">
        <v>1632</v>
      </c>
      <c r="C186" s="20" t="s">
        <v>577</v>
      </c>
      <c r="D186" s="111">
        <f>O2_src_sched/(DO_target*3600*(V_charge/1000000))</f>
        <v>0.004402385978</v>
      </c>
      <c r="E186" s="51" t="inlineStr">
        <is>
          <t xml:space="preserve">The surface kLa below which the DO target is unreachable at any sparge interval, on the sizing-phase source. Both phases: kLa_surf_req_g / kLa_surf_req_l and their margins in §300 (Summary rows 65–68). The ratio to kLa_surf_used is the whole safety margin of the DO strategy, and it rests on a coefficient nobody has measured yet.</t>
        </is>
      </c>
    </row>
    <row r="187" spans="1:5" ht="36" x14ac:dyDescent="0.2">
      <c r="A187" t="s">
        <v>1633</v>
      </c>
      <c r="B187" s="19" t="s">
        <v>1634</v>
      </c>
      <c r="C187" s="20" t="s">
        <v>1140</v>
      </c>
      <c r="D187" s="111">
        <f>IF(O2_sizing_phase=phase_name_1,y_O2_mf_g,IF(O2_sizing_phase=phase_name_2,y_O2_mf_l,NA()))</f>
        <v>0.02766022792</v>
      </c>
      <c r="E187" s="51" t="s">
        <v>2276</v>
      </c>
    </row>
    <row r="188" spans="1:5" ht="36" x14ac:dyDescent="0.2">
      <c r="A188" t="s">
        <v>1635</v>
      </c>
      <c r="B188" s="19" t="s">
        <v>1636</v>
      </c>
      <c r="C188" s="20" t="s">
        <v>909</v>
      </c>
      <c r="D188" s="111">
        <f>IF(ISNUMBER(y_O2_actual),H_O2_T*y_O2_actual*P_dry,NA())</f>
        <v>0.027806155925</v>
      </c>
      <c r="E188" s="51" t="s">
        <v>2277</v>
      </c>
    </row>
    <row r="190" spans="1:5" x14ac:dyDescent="0.2">
      <c r="A190" s="6" t="s">
        <v>2278</v>
      </c>
    </row>
    <row r="191" spans="1:5" x14ac:dyDescent="0.2">
      <c r="A191" t="s">
        <v>1639</v>
      </c>
      <c r="B191" s="19" t="s">
        <v>1640</v>
      </c>
      <c r="C191" s="20" t="s">
        <v>387</v>
      </c>
      <c r="D191" s="111">
        <f>Biology!H_CO2_T</f>
        <v>0.0002889709160252</v>
      </c>
      <c r="E191" s="51" t="s">
        <v>1641</v>
      </c>
    </row>
    <row r="192" spans="1:5" ht="24" x14ac:dyDescent="0.2">
      <c r="A192" t="s">
        <v>1642</v>
      </c>
      <c r="B192" s="19" t="s">
        <v>1643</v>
      </c>
      <c r="C192" s="20" t="s">
        <v>1058</v>
      </c>
      <c r="D192" s="111">
        <f>headspace_V_m3/(hs_H_CO2*R_gas*T_K)</f>
        <v>3.586728580277e-06</v>
      </c>
      <c r="E192" s="74" t="s">
        <v>1644</v>
      </c>
    </row>
    <row r="193" spans="1:5" ht="24" x14ac:dyDescent="0.2">
      <c r="A193" t="s">
        <v>1645</v>
      </c>
      <c r="B193" s="19" t="s">
        <v>1646</v>
      </c>
      <c r="C193" s="20" t="s">
        <v>1140</v>
      </c>
      <c r="D193" s="111">
        <f>V_L_CO2/(V_L_CO2+Vg_CO2)</f>
        <v>0.854605382181</v>
      </c>
      <c r="E193" s="74" t="s">
        <v>2279</v>
      </c>
    </row>
    <row r="194" spans="1:5" ht="48" x14ac:dyDescent="0.2">
      <c r="A194" t="s">
        <v>2280</v>
      </c>
      <c r="B194" s="19" t="s">
        <v>1647</v>
      </c>
      <c r="C194" s="20" t="s">
        <v>909</v>
      </c>
      <c r="D194" s="111">
        <f>C_sat_CO2*(1-pool_a)*(1-flush_ret)</f>
        <v>2.595993924837</v>
      </c>
      <c r="E194" s="74" t="s">
        <v>2281</v>
      </c>
    </row>
    <row r="195" spans="1:5" ht="36" x14ac:dyDescent="0.2">
      <c r="A195" t="s">
        <v>1648</v>
      </c>
      <c r="B195" s="19" t="s">
        <v>1649</v>
      </c>
      <c r="C195" s="20" t="s">
        <v>577</v>
      </c>
      <c r="D195" s="111">
        <f>k_vent*Vg_CO2/(V_L_CO2+Vg_CO2)</f>
        <v>1.452089638081e-05</v>
      </c>
      <c r="E195" s="74" t="s">
        <v>2282</v>
      </c>
    </row>
    <row r="196" spans="1:5" ht="36" x14ac:dyDescent="0.2">
      <c r="A196" t="s">
        <v>1650</v>
      </c>
      <c r="B196" s="19" t="s">
        <v>1651</v>
      </c>
      <c r="C196" s="20" t="s">
        <v>87</v>
      </c>
      <c r="D196" s="111">
        <f>IF(k_vent&gt;0,(kLa_CO2_off*V_L_m3/Vg_CO2)/k_vent,"no turnover between pulses")</f>
        <v>314.865774372625</v>
      </c>
      <c r="E196" s="51" t="s">
        <v>2283</v>
      </c>
    </row>
    <row r="197" spans="1:5" x14ac:dyDescent="0.2">
      <c r="A197" t="s">
        <v>1652</v>
      </c>
      <c r="B197" s="19" t="s">
        <v>1653</v>
      </c>
      <c r="C197" s="20" t="s">
        <v>1140</v>
      </c>
      <c r="D197" s="111">
        <f>EXP(-k_eff_CO2*t_off_CO2)</f>
        <v>0.9937646449</v>
      </c>
      <c r="E197" s="74" t="s">
        <v>1654</v>
      </c>
    </row>
    <row r="198" spans="1:5" ht="36" x14ac:dyDescent="0.2">
      <c r="A198" t="s">
        <v>1655</v>
      </c>
      <c r="B198" s="19" t="s">
        <v>1656</v>
      </c>
      <c r="C198" s="20" t="s">
        <v>909</v>
      </c>
      <c r="D198" s="111">
        <f>(pool_D_gap+pool_b*pool_e)/(1-pool_ret*pool_e)</f>
        <v>25.434899746133</v>
      </c>
      <c r="E198" s="74" t="s">
        <v>2284</v>
      </c>
    </row>
    <row r="199" spans="1:5" ht="24" x14ac:dyDescent="0.2">
      <c r="A199" t="s">
        <v>1657</v>
      </c>
      <c r="B199" s="19" t="s">
        <v>1658</v>
      </c>
      <c r="C199" s="20" t="s">
        <v>909</v>
      </c>
      <c r="D199" s="111">
        <f>pool_ret*C_cycle_start+pool_b</f>
        <v>25.677403179348</v>
      </c>
      <c r="E199" s="74" t="s">
        <v>2285</v>
      </c>
    </row>
    <row r="200" spans="1:5" ht="36" x14ac:dyDescent="0.2">
      <c r="A200" t="s">
        <v>1659</v>
      </c>
      <c r="B200" s="19" t="s">
        <v>1660</v>
      </c>
      <c r="C200" s="20" t="s">
        <v>909</v>
      </c>
      <c r="D200" s="111">
        <f>C_cycle_peak*pool_phi+pool_D_raw*pool_psi</f>
        <v>25.556025060412</v>
      </c>
      <c r="E200" s="74" t="s">
        <v>2286</v>
      </c>
    </row>
    <row r="202" spans="1:5" x14ac:dyDescent="0.2">
      <c r="A202" s="6" t="s">
        <v>1696</v>
      </c>
    </row>
    <row r="203" spans="1:5" ht="24" x14ac:dyDescent="0.2">
      <c r="A203" t="s">
        <v>1697</v>
      </c>
      <c r="B203" s="19" t="s">
        <v>1698</v>
      </c>
      <c r="C203" s="20" t="s">
        <v>57</v>
      </c>
      <c r="D203" s="116">
        <v>610.94000000000005</v>
      </c>
      <c r="E203" s="74" t="s">
        <v>1699</v>
      </c>
    </row>
    <row r="204" spans="1:5" x14ac:dyDescent="0.2">
      <c r="A204" t="s">
        <v>1700</v>
      </c>
      <c r="B204" s="19" t="s">
        <v>1701</v>
      </c>
      <c r="C204" s="20" t="s">
        <v>1140</v>
      </c>
      <c r="D204" s="116">
        <v>17.625</v>
      </c>
      <c r="E204" s="74" t="s">
        <v>1589</v>
      </c>
    </row>
    <row r="205" spans="1:5" x14ac:dyDescent="0.2">
      <c r="A205" t="s">
        <v>1702</v>
      </c>
      <c r="B205" s="19" t="s">
        <v>1703</v>
      </c>
      <c r="C205" s="20" t="s">
        <v>48</v>
      </c>
      <c r="D205" s="116">
        <v>243.04</v>
      </c>
      <c r="E205" s="74" t="s">
        <v>1589</v>
      </c>
    </row>
    <row r="206" spans="1:5" ht="24" x14ac:dyDescent="0.2">
      <c r="A206" t="s">
        <v>1704</v>
      </c>
      <c r="B206" s="19" t="s">
        <v>1705</v>
      </c>
      <c r="C206" s="20" t="s">
        <v>57</v>
      </c>
      <c r="D206" s="111">
        <f>pw_A*EXP(pw_B*(T_K-T_zero_C)/((T_K-T_zero_C)+pw_C))</f>
        <v>4236.650251295475</v>
      </c>
      <c r="E206" s="74" t="s">
        <v>2287</v>
      </c>
    </row>
    <row r="208" spans="1:5" x14ac:dyDescent="0.2">
      <c r="A208" s="77" t="s">
        <v>1986</v>
      </c>
    </row>
    <row r="209" spans="1:5" x14ac:dyDescent="0.2">
      <c r="A209" s="21" t="s">
        <v>1987</v>
      </c>
      <c r="B209" s="21" t="s">
        <v>393</v>
      </c>
      <c r="C209" s="21" t="s">
        <v>262</v>
      </c>
      <c r="D209" s="112">
        <f>Biology!T_ref</f>
        <v>298.15</v>
      </c>
      <c r="E209" s="140" t="s">
        <v>1988</v>
      </c>
    </row>
    <row r="210" spans="1:5" x14ac:dyDescent="0.2">
      <c r="A210" s="21" t="s">
        <v>2288</v>
      </c>
      <c r="B210" s="21" t="s">
        <v>2122</v>
      </c>
      <c r="C210" s="21" t="s">
        <v>262</v>
      </c>
      <c r="D210" s="112">
        <f>Biology!T_zero_C</f>
        <v>273.15</v>
      </c>
      <c r="E210" s="140" t="s">
        <v>2289</v>
      </c>
    </row>
    <row r="211" spans="1:5" x14ac:dyDescent="0.2">
      <c r="A211" s="18" t="s">
        <v>2290</v>
      </c>
      <c r="B211" s="19" t="s">
        <v>2291</v>
      </c>
      <c r="C211" s="20" t="s">
        <v>537</v>
      </c>
      <c r="D211" s="106">
        <v>1E-3</v>
      </c>
      <c r="E211" s="51" t="s">
        <v>2292</v>
      </c>
    </row>
    <row r="212" spans="1:5" x14ac:dyDescent="0.2">
      <c r="A212" s="18" t="s">
        <v>2293</v>
      </c>
      <c r="B212" s="19" t="s">
        <v>2294</v>
      </c>
      <c r="C212" s="20" t="s">
        <v>111</v>
      </c>
      <c r="D212" s="106">
        <v>2</v>
      </c>
      <c r="E212" s="51" t="s">
        <v>2295</v>
      </c>
    </row>
    <row r="213" spans="1:5" x14ac:dyDescent="0.2">
      <c r="A213" s="18" t="s">
        <v>2296</v>
      </c>
      <c r="B213" s="19" t="s">
        <v>2297</v>
      </c>
      <c r="C213" s="20" t="s">
        <v>61</v>
      </c>
      <c r="D213" s="106">
        <v>9999</v>
      </c>
      <c r="E213" s="74" t="s">
        <v>2298</v>
      </c>
    </row>
    <row r="214" spans="1:5" x14ac:dyDescent="0.2">
      <c r="A214" s="18" t="s">
        <v>2299</v>
      </c>
      <c r="B214" s="19" t="s">
        <v>2300</v>
      </c>
      <c r="C214" s="20" t="s">
        <v>12</v>
      </c>
      <c r="D214" s="106">
        <v>5</v>
      </c>
      <c r="E214" s="52" t="s">
        <v>2301</v>
      </c>
    </row>
    <row r="216" spans="1:5" x14ac:dyDescent="0.2">
      <c r="A216" s="18" t="s">
        <v>2302</v>
      </c>
      <c r="B216" s="19" t="s">
        <v>2303</v>
      </c>
      <c r="C216" s="20" t="s">
        <v>85</v>
      </c>
      <c r="D216" s="106">
        <v>1.5</v>
      </c>
      <c r="E216" s="59" t="s">
        <v>2304</v>
      </c>
    </row>
    <row r="230" spans="1:5" x14ac:dyDescent="0.2">
      <c r="A230" s="6" t="s">
        <v>2305</v>
      </c>
    </row>
    <row r="231" spans="1:5" x14ac:dyDescent="0.2">
      <c r="A231" t="s">
        <v>2306</v>
      </c>
      <c r="B231" s="19" t="s">
        <v>2307</v>
      </c>
      <c r="C231" s="20" t="s">
        <v>696</v>
      </c>
      <c r="D231" s="116">
        <v>31.998000000000001</v>
      </c>
      <c r="E231" s="74" t="s">
        <v>2308</v>
      </c>
    </row>
    <row r="232" spans="1:5" ht="84" x14ac:dyDescent="0.2">
      <c r="A232" t="s">
        <v>2309</v>
      </c>
      <c r="B232" s="19" t="s">
        <v>2310</v>
      </c>
      <c r="C232" s="20" t="s">
        <v>406</v>
      </c>
      <c r="D232" s="111">
        <f>IF(F_dil+CO2_rate_full*duty_carbon+O2_src_sched+H2_src_sched-CO2_fix_sched&gt;0,DO_surf_excess+H_O2_T*P_dry*MIN(1,saw_factor*(O2_src_sched+y_O2_air*F_vent_ex)/(F_dil+CO2_rate_full*duty_carbon+O2_src_sched+H2_src_sched-CO2_fix_sched)),DO_surf_excess+H_O2_T*P_dry)</f>
        <v>0.421474597871</v>
      </c>
      <c r="E232" s="74" t="s">
        <v>2311</v>
      </c>
    </row>
    <row r="240" spans="1:5" x14ac:dyDescent="0.2">
      <c r="A240" s="6" t="s">
        <v>2312</v>
      </c>
    </row>
    <row r="241" spans="1:5" ht="24" x14ac:dyDescent="0.2">
      <c r="A241" t="inlineStr">
        <is>
          <t xml:space="preserve">(import) Solenoid pulse command resolution</t>
        </is>
      </c>
      <c r="B241" s="19" t="s">
        <v>2314</v>
      </c>
      <c r="C241" s="20" t="s">
        <v>12</v>
      </c>
      <c r="D241" s="111">
        <f>Summary!pulse_res_set</f>
        <v>0.05</v>
      </c>
      <c r="E241" s="140" t="inlineStr">
        <is>
          <t xml:space="preserve">Import from Summary!D15 (pulse_res_set): an input on the Summary (owner, T8); same solenoid as ed04.</t>
        </is>
      </c>
    </row>
    <row r="242" spans="1:5" x14ac:dyDescent="0.2">
      <c r="A242" t="s">
        <v>2316</v>
      </c>
      <c r="B242" s="19" t="s">
        <v>2317</v>
      </c>
      <c r="C242" s="20" t="s">
        <v>12</v>
      </c>
      <c r="D242" s="111">
        <f>MAX(CEILING(pulse_floor,pulse_res),MROUND(spg_dur_opt,pulse_res))</f>
        <v>0.65</v>
      </c>
      <c r="E242" s="51" t="inlineStr">
        <is>
          <t xml:space="preserve">Pulse as it can actually be commanded: the optimum rounded to the resolution, never below the solenoid floor rounded up to the resolution. Summary D19 shows it.</t>
        </is>
      </c>
    </row>
    <row r="300" spans="1:5" x14ac:dyDescent="0.2">
      <c r="A300" s="6" t="s">
        <v>2319</v>
      </c>
    </row>
    <row r="301" spans="1:5" x14ac:dyDescent="0.2">
      <c r="A301" s="21" t="s">
        <v>2320</v>
      </c>
      <c r="B301" s="21" t="s">
        <v>2321</v>
      </c>
      <c r="C301" s="21" t="s">
        <v>111</v>
      </c>
      <c r="D301" s="104" t="str">
        <f>Summary!vent_model_sel</f>
        <v>Open vent</v>
      </c>
      <c r="E301" s="140" t="s">
        <v>2322</v>
      </c>
    </row>
    <row r="302" spans="1:5" ht="36" x14ac:dyDescent="0.2">
      <c r="A302" s="18" t="s">
        <v>2323</v>
      </c>
      <c r="B302" s="19" t="s">
        <v>2324</v>
      </c>
      <c r="C302" s="20" t="s">
        <v>111</v>
      </c>
      <c r="D302" s="106" t="s">
        <v>2325</v>
      </c>
      <c r="E302" s="34" t="s">
        <v>2326</v>
      </c>
    </row>
    <row r="303" spans="1:5" ht="24" x14ac:dyDescent="0.2">
      <c r="A303" s="18" t="s">
        <v>2327</v>
      </c>
      <c r="B303" s="19" t="s">
        <v>2328</v>
      </c>
      <c r="C303" s="20" t="s">
        <v>111</v>
      </c>
      <c r="D303" s="106" t="s">
        <v>2329</v>
      </c>
      <c r="E303" s="34" t="s">
        <v>2330</v>
      </c>
    </row>
    <row r="304" spans="1:5" x14ac:dyDescent="0.2">
      <c r="A304" s="21" t="s">
        <v>2331</v>
      </c>
      <c r="B304" s="21" t="s">
        <v>2332</v>
      </c>
      <c r="C304" s="21" t="s">
        <v>111</v>
      </c>
      <c r="D304" s="104" t="str">
        <f>Summary!O2_phase_sel</f>
        <v>Growth</v>
      </c>
      <c r="E304" s="140" t="s">
        <v>2333</v>
      </c>
    </row>
    <row r="305" spans="1:5" ht="24" x14ac:dyDescent="0.2">
      <c r="A305" s="18" t="s">
        <v>2334</v>
      </c>
      <c r="B305" s="19" t="s">
        <v>2335</v>
      </c>
      <c r="C305" s="20" t="s">
        <v>111</v>
      </c>
      <c r="D305" s="106" t="s">
        <v>1797</v>
      </c>
      <c r="E305" s="34" t="s">
        <v>2336</v>
      </c>
    </row>
    <row r="306" spans="1:5" ht="24" x14ac:dyDescent="0.2">
      <c r="A306" s="18" t="s">
        <v>2337</v>
      </c>
      <c r="B306" s="19" t="s">
        <v>2338</v>
      </c>
      <c r="C306" s="20" t="s">
        <v>111</v>
      </c>
      <c r="D306" s="106" t="s">
        <v>2339</v>
      </c>
      <c r="E306" s="34" t="s">
        <v>2340</v>
      </c>
    </row>
    <row r="307" spans="1:5" x14ac:dyDescent="0.2">
      <c r="A307" s="18" t="s">
        <v>2341</v>
      </c>
      <c r="B307" s="19" t="s">
        <v>2342</v>
      </c>
      <c r="C307" s="20" t="s">
        <v>111</v>
      </c>
      <c r="D307" s="106">
        <v>0.20949999999999999</v>
      </c>
      <c r="E307" s="102" t="s">
        <v>2343</v>
      </c>
    </row>
    <row r="308" spans="1:5" ht="36" x14ac:dyDescent="0.2">
      <c r="A308" s="18" t="s">
        <v>2344</v>
      </c>
      <c r="B308" s="19" t="s">
        <v>2345</v>
      </c>
      <c r="C308" s="20" t="s">
        <v>307</v>
      </c>
      <c r="D308" s="41">
        <f>P_atm*(Q_vent_used/1000000/60)/(R_gas*T_K)*3600</f>
        <v>3.617990017297e-05</v>
      </c>
      <c r="E308" s="57" t="inlineStr">
        <is>
          <t xml:space="preserve">Dry-air-equivalent ingress at P_atm and T_K, converted mL/min to mol/h. Flow reference conditions and the actual ingress are unmeasured; not a claim that pressure closure has been measured.</t>
        </is>
      </c>
    </row>
    <row r="309" spans="1:5" ht="24" x14ac:dyDescent="0.2">
      <c r="A309" s="18" t="s">
        <v>2347</v>
      </c>
      <c r="B309" s="19" t="s">
        <v>2348</v>
      </c>
      <c r="C309" s="20" t="s">
        <v>307</v>
      </c>
      <c r="D309" s="41">
        <f>O2_excess</f>
        <v>1.691660977184e-05</v>
      </c>
      <c r="E309" s="51" t="s">
        <v>2349</v>
      </c>
    </row>
    <row r="310" spans="1:5" ht="36" x14ac:dyDescent="0.2">
      <c r="A310" s="18" t="s">
        <v>2350</v>
      </c>
      <c r="B310" s="19" t="s">
        <v>2351</v>
      </c>
      <c r="C310" s="20" t="s">
        <v>307</v>
      </c>
      <c r="D310" s="41">
        <f>O2_net_lag_mt</f>
        <v>4.838626296225e-05</v>
      </c>
      <c r="E310" s="51" t="s">
        <v>2352</v>
      </c>
    </row>
    <row r="311" spans="1:5" x14ac:dyDescent="0.2">
      <c r="A311" s="21" t="s">
        <v>351</v>
      </c>
      <c r="B311" s="21" t="s">
        <v>306</v>
      </c>
      <c r="C311" s="21" t="s">
        <v>307</v>
      </c>
      <c r="D311" s="112">
        <f>Electrochemistry!rH2_gen</f>
        <v>0.0001023341229799</v>
      </c>
      <c r="E311" s="140" t="s">
        <v>2353</v>
      </c>
    </row>
    <row r="312" spans="1:5" x14ac:dyDescent="0.2">
      <c r="A312" s="21" t="s">
        <v>2354</v>
      </c>
      <c r="B312" s="21" t="s">
        <v>365</v>
      </c>
      <c r="C312" s="21" t="s">
        <v>307</v>
      </c>
      <c r="D312" s="112">
        <f>Biology!H2_cons</f>
        <v>0.0001023341229799</v>
      </c>
      <c r="E312" s="140" t="s">
        <v>2355</v>
      </c>
    </row>
    <row r="313" spans="1:5" ht="36" x14ac:dyDescent="0.2">
      <c r="A313" s="18" t="s">
        <v>2356</v>
      </c>
      <c r="B313" s="19" t="s">
        <v>2357</v>
      </c>
      <c r="C313" s="20" t="s">
        <v>307</v>
      </c>
      <c r="D313" s="41">
        <f>MAX(0,rH2_gen-H2_HOR_mt-H2_cons)</f>
        <v>0.0</v>
      </c>
      <c r="E313" s="51" t="s">
        <v>2358</v>
      </c>
    </row>
    <row r="314" spans="1:5" ht="24" x14ac:dyDescent="0.2">
      <c r="A314" s="18" t="s">
        <v>2359</v>
      </c>
      <c r="B314" s="19" t="s">
        <v>2360</v>
      </c>
      <c r="C314" s="20" t="s">
        <v>307</v>
      </c>
      <c r="D314" s="41">
        <f>MAX(0,rH2_lag_mt-H2_HOR_mt)</f>
        <v>9.67725259245e-05</v>
      </c>
      <c r="E314" s="51" t="s">
        <v>2361</v>
      </c>
    </row>
    <row r="315" spans="1:5" ht="24" x14ac:dyDescent="0.2">
      <c r="A315" s="18" t="s">
        <v>2362</v>
      </c>
      <c r="B315" s="19" t="s">
        <v>2363</v>
      </c>
      <c r="C315" s="20" t="s">
        <v>307</v>
      </c>
      <c r="D315" s="41">
        <f>CO2_cons</f>
        <v>1.705568716332e-05</v>
      </c>
      <c r="E315" s="51" t="s">
        <v>2364</v>
      </c>
    </row>
    <row r="316" spans="1:5" x14ac:dyDescent="0.2">
      <c r="A316" s="18" t="s">
        <v>2365</v>
      </c>
      <c r="B316" s="19" t="s">
        <v>2366</v>
      </c>
      <c r="C316" s="20" t="s">
        <v>307</v>
      </c>
      <c r="D316" s="106">
        <v>0</v>
      </c>
      <c r="E316" s="102" t="s">
        <v>2367</v>
      </c>
    </row>
    <row r="317" spans="1:5" x14ac:dyDescent="0.2">
      <c r="A317" s="18" t="s">
        <v>2368</v>
      </c>
      <c r="B317" s="19" t="s">
        <v>2369</v>
      </c>
      <c r="C317" s="20" t="s">
        <v>307</v>
      </c>
      <c r="D317" s="41">
        <f>IF(O2_sizing_phase=phase_name_1,O2_src_g,IF(O2_sizing_phase=phase_name_2,O2_src_l,NA()))</f>
        <v>1.691660977184e-05</v>
      </c>
      <c r="E317" s="51" t="s">
        <v>2370</v>
      </c>
    </row>
    <row r="318" spans="1:5" x14ac:dyDescent="0.2">
      <c r="A318" s="18" t="s">
        <v>2371</v>
      </c>
      <c r="B318" s="19" t="s">
        <v>2372</v>
      </c>
      <c r="C318" s="20" t="s">
        <v>307</v>
      </c>
      <c r="D318" s="41">
        <f>IF(O2_sizing_phase=phase_name_1,H2_src_g,IF(O2_sizing_phase=phase_name_2,H2_src_l,NA()))</f>
        <v>0.0</v>
      </c>
      <c r="E318" s="51" t="s">
        <v>2373</v>
      </c>
    </row>
    <row r="319" spans="1:5" x14ac:dyDescent="0.2">
      <c r="A319" s="18" t="s">
        <v>2374</v>
      </c>
      <c r="B319" s="19" t="s">
        <v>2375</v>
      </c>
      <c r="C319" s="20" t="s">
        <v>307</v>
      </c>
      <c r="D319" s="41">
        <f>IF(O2_sizing_phase=phase_name_1,CO2_fix_g,IF(O2_sizing_phase=phase_name_2,CO2_fix_l,NA()))</f>
        <v>1.705568716332e-05</v>
      </c>
      <c r="E319" s="51" t="s">
        <v>2376</v>
      </c>
    </row>
    <row r="320" spans="1:5" ht="24" x14ac:dyDescent="0.2">
      <c r="A320" s="18" t="inlineStr">
        <is>
          <t xml:space="preserve">Headspace volumes per pulse (pulse in use, for sizing)</t>
        </is>
      </c>
      <c r="B320" s="19" t="s">
        <v>2378</v>
      </c>
      <c r="C320" s="20" t="s">
        <v>111</v>
      </c>
      <c r="D320" s="41">
        <f>nCO2_rate*spg_dur_eq/n_hs_gas</f>
        <v>1.011716701753</v>
      </c>
      <c r="E320" s="51" t="inlineStr">
        <is>
          <t xml:space="preserve">CO₂ delivered by the pulse actually commanded (D121, full-flow equivalent D410) in headspace volumes. The sawtooth factor must describe that pulse, so the interval sized here holds the DO target at the commanded pulse; it depends on the pulse only, never on the interval, so there is no loop.</t>
        </is>
      </c>
    </row>
    <row r="321" spans="1:5" ht="36" x14ac:dyDescent="0.2">
      <c r="A321" s="18" t="inlineStr">
        <is>
          <t xml:space="preserve">Headspace retained through the pulse in use (for sizing)</t>
        </is>
      </c>
      <c r="B321" s="19" t="s">
        <v>2381</v>
      </c>
      <c r="C321" s="20" t="s">
        <v>111</v>
      </c>
      <c r="D321" s="41">
        <f>EXP(-flush_vol_opt)</f>
        <v>0.363594260592</v>
      </c>
      <c r="E321" s="52" t="s">
        <v>2382</v>
      </c>
    </row>
    <row r="322" spans="1:5" ht="60" x14ac:dyDescent="0.2">
      <c r="A322" s="18" t="s">
        <v>2383</v>
      </c>
      <c r="B322" s="19" t="s">
        <v>2384</v>
      </c>
      <c r="C322" s="20" t="s">
        <v>111</v>
      </c>
      <c r="D322" s="41">
        <f>flush_vol_opt*(1+flush_ret_opt)/(2*(1-flush_ret_opt))</f>
        <v>1.083877000496</v>
      </c>
      <c r="E322" s="52" t="s">
        <v>2385</v>
      </c>
    </row>
    <row r="323" spans="1:5" x14ac:dyDescent="0.2">
      <c r="A323" s="18" t="s">
        <v>2386</v>
      </c>
      <c r="B323" s="19" t="s">
        <v>2387</v>
      </c>
      <c r="C323" s="20" t="s">
        <v>111</v>
      </c>
      <c r="D323" s="41">
        <f>CO2_pulse/n_hs_gas</f>
        <v>1.011716701753</v>
      </c>
      <c r="E323" s="51" t="s">
        <v>2388</v>
      </c>
    </row>
    <row r="324" spans="1:5" x14ac:dyDescent="0.2">
      <c r="A324" s="18" t="s">
        <v>2389</v>
      </c>
      <c r="B324" s="19" t="s">
        <v>2390</v>
      </c>
      <c r="C324" s="20" t="s">
        <v>111</v>
      </c>
      <c r="D324" s="41">
        <f>EXP(-flush_vol)</f>
        <v>0.363594260592</v>
      </c>
      <c r="E324" s="52" t="s">
        <v>2391</v>
      </c>
    </row>
    <row r="325" spans="1:5" x14ac:dyDescent="0.2">
      <c r="A325" s="18" t="s">
        <v>2392</v>
      </c>
      <c r="B325" s="19" t="s">
        <v>2393</v>
      </c>
      <c r="C325" s="20" t="s">
        <v>1013</v>
      </c>
      <c r="D325" s="41">
        <f>t_off_CO2/3600</f>
        <v>0.119652777778</v>
      </c>
      <c r="E325" s="51" t="s">
        <v>2394</v>
      </c>
    </row>
    <row r="326" spans="1:5" x14ac:dyDescent="0.2">
      <c r="A326" s="18" t="s">
        <v>2395</v>
      </c>
      <c r="B326" s="19" t="s">
        <v>2396</v>
      </c>
      <c r="C326" s="20" t="s">
        <v>1013</v>
      </c>
      <c r="D326" s="41">
        <f>1/(kLa_surf_used*3600)</f>
        <v>0.036355790159</v>
      </c>
      <c r="E326" s="51" t="s">
        <v>2397</v>
      </c>
    </row>
    <row r="327" spans="1:5" ht="24" x14ac:dyDescent="0.2">
      <c r="A327" s="18" t="s">
        <v>2398</v>
      </c>
      <c r="B327" s="19" t="s">
        <v>2399</v>
      </c>
      <c r="C327" s="20" t="s">
        <v>307</v>
      </c>
      <c r="D327" s="41">
        <f>O2_src_g+y_O2_air*F_vent_ex</f>
        <v>2.449629885807e-05</v>
      </c>
      <c r="E327" s="51" t="s">
        <v>2400</v>
      </c>
    </row>
    <row r="328" spans="1:5" ht="24" x14ac:dyDescent="0.2">
      <c r="A328" s="18" t="s">
        <v>2401</v>
      </c>
      <c r="B328" s="19" t="s">
        <v>2402</v>
      </c>
      <c r="C328" s="20" t="s">
        <v>307</v>
      </c>
      <c r="D328" s="41">
        <f>CO2_supply+O2_src_g+H2_src_g-CO2_fix_g</f>
        <v>0.0008494345976134</v>
      </c>
      <c r="E328" s="51" t="s">
        <v>2403</v>
      </c>
    </row>
    <row r="329" spans="1:5" ht="36" x14ac:dyDescent="0.2">
      <c r="A329" s="18" t="s">
        <v>2404</v>
      </c>
      <c r="B329" s="19" t="s">
        <v>2405</v>
      </c>
      <c r="C329" s="20" t="s">
        <v>111</v>
      </c>
      <c r="D329" s="41">
        <f>IF(F_dil+F_hs_net_g&gt;0,S_O2_g/(F_dil+F_hs_net_g),NA())</f>
        <v>0.02766022792</v>
      </c>
      <c r="E329" s="51" t="s">
        <v>2406</v>
      </c>
    </row>
    <row r="330" spans="1:5" x14ac:dyDescent="0.2">
      <c r="A330" s="18" t="s">
        <v>2407</v>
      </c>
      <c r="B330" s="19" t="s">
        <v>2408</v>
      </c>
      <c r="C330" s="20" t="s">
        <v>111</v>
      </c>
      <c r="D330" s="41">
        <f>IF(F_dil+F_hs_net_g&gt;0,H2_src_g/(F_dil+F_hs_net_g),NA())</f>
        <v>0.0</v>
      </c>
      <c r="E330" s="51" t="s">
        <v>2409</v>
      </c>
    </row>
    <row r="331" spans="1:5" ht="36" x14ac:dyDescent="0.2">
      <c r="A331" s="18" t="s">
        <v>2410</v>
      </c>
      <c r="B331" s="19" t="s">
        <v>2411</v>
      </c>
      <c r="C331" s="20" t="s">
        <v>307</v>
      </c>
      <c r="D331" s="41">
        <f>F_dil+MAX(0,O2_src_g+H2_src_g-CO2_fix_g)</f>
        <v>3.617990017297e-05</v>
      </c>
      <c r="E331" s="51" t="s">
        <v>2412</v>
      </c>
    </row>
    <row r="332" spans="1:5" x14ac:dyDescent="0.2">
      <c r="A332" s="18" t="s">
        <v>2413</v>
      </c>
      <c r="B332" s="19" t="s">
        <v>2414</v>
      </c>
      <c r="C332" s="20" t="s">
        <v>111</v>
      </c>
      <c r="D332" s="41">
        <f>F_gap_g*t_gap_h/n_hs_gas</f>
        <v>0.043019997644</v>
      </c>
      <c r="E332" s="51" t="s">
        <v>2415</v>
      </c>
    </row>
    <row r="333" spans="1:5" x14ac:dyDescent="0.2">
      <c r="A333" s="18" t="s">
        <v>2416</v>
      </c>
      <c r="B333" s="19" t="s">
        <v>2417</v>
      </c>
      <c r="C333" s="20" t="s">
        <v>111</v>
      </c>
      <c r="D333" s="41">
        <f>IF(x_hs_g&gt;0,(1-EXP(-x_hs_g))/x_hs_g,1)</f>
        <v>0.978795165468</v>
      </c>
      <c r="E333" s="51" t="s">
        <v>2418</v>
      </c>
    </row>
    <row r="334" spans="1:5" x14ac:dyDescent="0.2">
      <c r="A334" s="18" t="s">
        <v>2419</v>
      </c>
      <c r="B334" s="19" t="s">
        <v>2420</v>
      </c>
      <c r="C334" s="20" t="s">
        <v>111</v>
      </c>
      <c r="D334" s="41">
        <f>IF(x_hs_g&gt;0,(x_hs_g-1+EXP(-x_hs_g))/x_hs_g^2,1/2)</f>
        <v>0.492906454979</v>
      </c>
      <c r="E334" s="51" t="s">
        <v>2421</v>
      </c>
    </row>
    <row r="335" spans="1:5" x14ac:dyDescent="0.2">
      <c r="A335" s="18" t="s">
        <v>2422</v>
      </c>
      <c r="B335" s="19" t="s">
        <v>2423</v>
      </c>
      <c r="C335" s="20" t="s">
        <v>111</v>
      </c>
      <c r="D335" s="41">
        <f>S_O2_g*t_gap_h/n_hs_gas</f>
        <v>0.029127518709</v>
      </c>
      <c r="E335" s="51" t="s">
        <v>2424</v>
      </c>
    </row>
    <row r="336" spans="1:5" ht="24" x14ac:dyDescent="0.2">
      <c r="A336" s="18" t="s">
        <v>2425</v>
      </c>
      <c r="B336" s="19" t="s">
        <v>2426</v>
      </c>
      <c r="C336" s="20" t="s">
        <v>111</v>
      </c>
      <c r="D336" s="41">
        <f>dy_O2_g*phi_hs_g/(1-flush_ret*EXP(-x_hs_g))</f>
        <v>0.043745864279</v>
      </c>
      <c r="E336" s="52" t="s">
        <v>2427</v>
      </c>
    </row>
    <row r="337" spans="1:5" x14ac:dyDescent="0.2">
      <c r="A337" s="18" t="s">
        <v>2428</v>
      </c>
      <c r="B337" s="19" t="s">
        <v>2429</v>
      </c>
      <c r="C337" s="20" t="s">
        <v>111</v>
      </c>
      <c r="D337" s="41">
        <f>y_O2_end_g*flush_ret</f>
        <v>0.015905745177</v>
      </c>
      <c r="E337" s="52" t="s">
        <v>2430</v>
      </c>
    </row>
    <row r="338" spans="1:5" x14ac:dyDescent="0.2">
      <c r="A338" s="18" t="s">
        <v>2431</v>
      </c>
      <c r="B338" s="19" t="s">
        <v>2432</v>
      </c>
      <c r="C338" s="20" t="s">
        <v>111</v>
      </c>
      <c r="D338" s="41">
        <f>y_O2_post_g*phi_hs_g+dy_O2_g*psi_hs_g</f>
        <v>0.029925608471</v>
      </c>
      <c r="E338" s="52" t="s">
        <v>2433</v>
      </c>
    </row>
    <row r="339" spans="1:5" x14ac:dyDescent="0.2">
      <c r="A339" s="18" t="s">
        <v>2434</v>
      </c>
      <c r="B339" s="19" t="s">
        <v>2435</v>
      </c>
      <c r="C339" s="20" t="s">
        <v>406</v>
      </c>
      <c r="D339" s="41">
        <f>O2_src_g/(kLa_surf_used*3600*V_L_m3)</f>
        <v>0.041001114338</v>
      </c>
      <c r="E339" s="51" t="s">
        <v>2436</v>
      </c>
    </row>
    <row r="340" spans="1:5" ht="24" x14ac:dyDescent="0.2">
      <c r="A340" s="18" t="s">
        <v>2437</v>
      </c>
      <c r="B340" s="19" t="s">
        <v>2438</v>
      </c>
      <c r="C340" s="20" t="s">
        <v>406</v>
      </c>
      <c r="D340" s="41">
        <f>DO_surf_excess_g+H_O2_T*P_dry*y_O2_mf_g</f>
        <v>0.068807270263</v>
      </c>
      <c r="E340" s="51" t="s">
        <v>2439</v>
      </c>
    </row>
    <row r="341" spans="1:5" ht="24" x14ac:dyDescent="0.2">
      <c r="A341" s="18" t="s">
        <v>2440</v>
      </c>
      <c r="B341" s="19" t="s">
        <v>2441</v>
      </c>
      <c r="C341" s="20" t="s">
        <v>406</v>
      </c>
      <c r="D341" s="41">
        <f>DO_surf_excess_g+H_O2_T*P_dry*y_O2_avg_g</f>
        <v>0.071084602359</v>
      </c>
      <c r="E341" s="52" t="s">
        <v>2442</v>
      </c>
    </row>
    <row r="342" spans="1:5" ht="36" x14ac:dyDescent="0.2">
      <c r="A342" s="18" t="s">
        <v>2443</v>
      </c>
      <c r="B342" s="19" t="s">
        <v>2444</v>
      </c>
      <c r="C342" s="20" t="s">
        <v>406</v>
      </c>
      <c r="D342" s="41">
        <f>DO_surf_excess_g+H_O2_T*P_dry*MAX(y_O2_avg_g,y_O2_end_g-(S_O2_g-F_gap_g*y_O2_end_g)/n_hs_gas*tau_L_h)</f>
        <v>0.076655689366</v>
      </c>
      <c r="E342" s="52" t="s">
        <v>2445</v>
      </c>
    </row>
    <row r="343" spans="1:5" x14ac:dyDescent="0.2">
      <c r="A343" s="18" t="s">
        <v>2446</v>
      </c>
      <c r="B343" s="19" t="s">
        <v>2447</v>
      </c>
      <c r="C343" s="20" t="s">
        <v>83</v>
      </c>
      <c r="D343" s="41">
        <f>DO_avg_g*M_O2</f>
        <v>2.274565106296</v>
      </c>
      <c r="E343" s="52" t="s">
        <v>2448</v>
      </c>
    </row>
    <row r="344" spans="1:5" x14ac:dyDescent="0.2">
      <c r="A344" s="18" t="s">
        <v>2449</v>
      </c>
      <c r="B344" s="19" t="s">
        <v>2450</v>
      </c>
      <c r="C344" s="20" t="s">
        <v>83</v>
      </c>
      <c r="D344" s="41">
        <f>DO_peak_g*M_O2</f>
        <v>2.452828748339</v>
      </c>
      <c r="E344" s="52" t="s">
        <v>2448</v>
      </c>
    </row>
    <row r="345" spans="1:5" x14ac:dyDescent="0.2">
      <c r="A345" s="18" t="s">
        <v>2451</v>
      </c>
      <c r="B345" s="19" t="s">
        <v>2452</v>
      </c>
      <c r="C345" s="20" t="s">
        <v>577</v>
      </c>
      <c r="D345" s="41">
        <f>O2_src_g/(DO_target*3600*V_L_m3)</f>
        <v>0.004402385978</v>
      </c>
      <c r="E345" s="51" t="s">
        <v>2453</v>
      </c>
    </row>
    <row r="346" spans="1:5" x14ac:dyDescent="0.2">
      <c r="A346" s="18" t="s">
        <v>2454</v>
      </c>
      <c r="B346" s="19" t="s">
        <v>2455</v>
      </c>
      <c r="C346" s="20" t="s">
        <v>87</v>
      </c>
      <c r="D346" s="111">
        <f>IF(kLa_surf_req_g&gt;0,kLa_surf_used/kLa_surf_req_g,"no positive source")</f>
        <v>1.735544663987</v>
      </c>
      <c r="E346" s="51" t="s">
        <v>2456</v>
      </c>
    </row>
    <row r="347" spans="1:5" x14ac:dyDescent="0.2">
      <c r="A347" s="21" t="s">
        <v>1813</v>
      </c>
      <c r="B347" s="19" t="s">
        <v>2457</v>
      </c>
      <c r="C347" s="20" t="s">
        <v>111</v>
      </c>
      <c r="D347" s="111" t="str">
        <f>IF(kLa_surf_req_g&lt;=0,"No positive biological O2 surplus; check air ingress and operating DO",IF(kLa_margin_g&gt;=1,"reachable – kLa margin "&amp;TEXT(kLa_margin_g,"0.00")&amp;"×","UNREACHABLE at this surface kLa – margin "&amp;TEXT(kLa_margin_g,"0.00")&amp;"× (raise kL_surf, lower the current, or accept a higher DO)"))</f>
        <v>reachable – kLa margin 1.74×</v>
      </c>
      <c r="E347" s="51" t="s">
        <v>2458</v>
      </c>
    </row>
    <row r="348" spans="1:5" ht="24" x14ac:dyDescent="0.2">
      <c r="A348" s="21" t="s">
        <v>2459</v>
      </c>
      <c r="B348" s="19" t="s">
        <v>2460</v>
      </c>
      <c r="C348" s="20" t="s">
        <v>111</v>
      </c>
      <c r="D348" s="25" t="str">
        <f>IF(DO_peak_g&lt;=O2_ceil_org,"peak "&amp;TEXT(DO_peak_g_mgL,"0.0")&amp;" mg/L under the "&amp;TEXT(O2_ceil_org*M_O2,"0.0")&amp;" mg/L ceiling","PEAK "&amp;TEXT(DO_peak_g_mgL,"0.0")&amp;" mg/L OVER THE "&amp;TEXT(O2_ceil_org*M_O2,"0.0")&amp;" mg/L INHIBITION CEILING")</f>
        <v>peak 2.5 mg/L under the 10.1 mg/L ceiling</v>
      </c>
      <c r="E348" s="51" t="inlineStr">
        <is>
          <t xml:space="preserve">The sawtooth peak against the growth-inhibition ceiling (D565: the organism’s toxic DO when known, else the generic Biology D27 ceiling). Not a tautology: the peak is not what the schedule is sized on.</t>
        </is>
      </c>
    </row>
    <row r="349" spans="1:5" ht="24" x14ac:dyDescent="0.2">
      <c r="A349" s="18" t="s">
        <v>2462</v>
      </c>
      <c r="B349" s="19" t="s">
        <v>2463</v>
      </c>
      <c r="C349" s="20" t="s">
        <v>307</v>
      </c>
      <c r="D349" s="41">
        <f>O2_src_l+y_O2_air*F_vent_ex</f>
        <v>5.596595204849e-05</v>
      </c>
      <c r="E349" s="51" t="s">
        <v>2400</v>
      </c>
    </row>
    <row r="350" spans="1:5" ht="24" x14ac:dyDescent="0.2">
      <c r="A350" s="18" t="s">
        <v>2464</v>
      </c>
      <c r="B350" s="19" t="s">
        <v>2465</v>
      </c>
      <c r="C350" s="20" t="s">
        <v>307</v>
      </c>
      <c r="D350" s="41">
        <f>CO2_supply+O2_src_l+H2_src_l-CO2_fix_l</f>
        <v>0.0009947324638916</v>
      </c>
      <c r="E350" s="51" t="s">
        <v>2403</v>
      </c>
    </row>
    <row r="351" spans="1:5" ht="36" x14ac:dyDescent="0.2">
      <c r="A351" s="18" t="s">
        <v>2466</v>
      </c>
      <c r="B351" s="19" t="s">
        <v>2467</v>
      </c>
      <c r="C351" s="20" t="s">
        <v>111</v>
      </c>
      <c r="D351" s="41">
        <f>IF(F_dil+F_hs_net_l&gt;0,S_O2_l/(F_dil+F_hs_net_l),NA())</f>
        <v>0.054287788176</v>
      </c>
      <c r="E351" s="51" t="s">
        <v>2406</v>
      </c>
    </row>
    <row r="352" spans="1:5" x14ac:dyDescent="0.2">
      <c r="A352" s="18" t="s">
        <v>2468</v>
      </c>
      <c r="B352" s="19" t="s">
        <v>2469</v>
      </c>
      <c r="C352" s="20" t="s">
        <v>111</v>
      </c>
      <c r="D352" s="41">
        <f>IF(F_dil+F_hs_net_l&gt;0,H2_src_l/(F_dil+F_hs_net_l),NA())</f>
        <v>0.093870758852</v>
      </c>
      <c r="E352" s="51" t="s">
        <v>2409</v>
      </c>
    </row>
    <row r="353" spans="1:5" ht="36" x14ac:dyDescent="0.2">
      <c r="A353" s="18" t="s">
        <v>2470</v>
      </c>
      <c r="B353" s="19" t="s">
        <v>2471</v>
      </c>
      <c r="C353" s="20" t="s">
        <v>307</v>
      </c>
      <c r="D353" s="41">
        <f>F_dil+MAX(0,O2_src_l+H2_src_l-CO2_fix_l)</f>
        <v>0.0001813386890597</v>
      </c>
      <c r="E353" s="51" t="s">
        <v>2412</v>
      </c>
    </row>
    <row r="354" spans="1:5" x14ac:dyDescent="0.2">
      <c r="A354" s="18" t="s">
        <v>2472</v>
      </c>
      <c r="B354" s="19" t="s">
        <v>2473</v>
      </c>
      <c r="C354" s="20" t="s">
        <v>111</v>
      </c>
      <c r="D354" s="41">
        <f>F_gap_l*t_gap_h/n_hs_gas</f>
        <v>0.215622208431</v>
      </c>
      <c r="E354" s="51" t="s">
        <v>2415</v>
      </c>
    </row>
    <row r="355" spans="1:5" x14ac:dyDescent="0.2">
      <c r="A355" s="18" t="s">
        <v>2474</v>
      </c>
      <c r="B355" s="19" t="s">
        <v>2475</v>
      </c>
      <c r="C355" s="20" t="s">
        <v>111</v>
      </c>
      <c r="D355" s="41">
        <f>IF(x_hs_l&gt;0,(1-EXP(-x_hs_l))/x_hs_l,1)</f>
        <v>0.899537399356</v>
      </c>
      <c r="E355" s="51" t="s">
        <v>2418</v>
      </c>
    </row>
    <row r="356" spans="1:5" x14ac:dyDescent="0.2">
      <c r="A356" s="18" t="s">
        <v>2476</v>
      </c>
      <c r="B356" s="19" t="s">
        <v>2477</v>
      </c>
      <c r="C356" s="20" t="s">
        <v>111</v>
      </c>
      <c r="D356" s="41">
        <f>IF(x_hs_l&gt;0,(x_hs_l-1+EXP(-x_hs_l))/x_hs_l^2,1/2)</f>
        <v>0.465919542215</v>
      </c>
      <c r="E356" s="51" t="s">
        <v>2421</v>
      </c>
    </row>
    <row r="357" spans="1:5" x14ac:dyDescent="0.2">
      <c r="A357" s="18" t="s">
        <v>2478</v>
      </c>
      <c r="B357" s="19" t="s">
        <v>2479</v>
      </c>
      <c r="C357" s="20" t="s">
        <v>111</v>
      </c>
      <c r="D357" s="41">
        <f>S_O2_l*t_gap_h/n_hs_gas</f>
        <v>0.066546759769</v>
      </c>
      <c r="E357" s="51" t="s">
        <v>2424</v>
      </c>
    </row>
    <row r="358" spans="1:5" ht="24" x14ac:dyDescent="0.2">
      <c r="A358" s="18" t="s">
        <v>2480</v>
      </c>
      <c r="B358" s="19" t="s">
        <v>2481</v>
      </c>
      <c r="C358" s="20" t="s">
        <v>111</v>
      </c>
      <c r="D358" s="41">
        <f>dy_O2_l*phi_hs_l/(1-flush_ret*EXP(-x_hs_l))</f>
        <v>0.084678002539</v>
      </c>
      <c r="E358" s="52" t="s">
        <v>2427</v>
      </c>
    </row>
    <row r="359" spans="1:5" x14ac:dyDescent="0.2">
      <c r="A359" s="18" t="s">
        <v>2482</v>
      </c>
      <c r="B359" s="19" t="s">
        <v>2483</v>
      </c>
      <c r="C359" s="20" t="s">
        <v>111</v>
      </c>
      <c r="D359" s="41">
        <f>y_O2_end_l*flush_ret</f>
        <v>0.030788435722</v>
      </c>
      <c r="E359" s="52" t="s">
        <v>2430</v>
      </c>
    </row>
    <row r="360" spans="1:5" x14ac:dyDescent="0.2">
      <c r="A360" s="18" t="s">
        <v>2484</v>
      </c>
      <c r="B360" s="19" t="s">
        <v>2485</v>
      </c>
      <c r="C360" s="20" t="s">
        <v>111</v>
      </c>
      <c r="D360" s="41">
        <f>y_O2_post_l*phi_hs_l+dy_O2_l*psi_hs_l</f>
        <v>0.058700785247</v>
      </c>
      <c r="E360" s="52" t="s">
        <v>2433</v>
      </c>
    </row>
    <row r="361" spans="1:5" ht="24" x14ac:dyDescent="0.2">
      <c r="A361" s="18" t="s">
        <v>2486</v>
      </c>
      <c r="B361" s="19" t="s">
        <v>2487</v>
      </c>
      <c r="C361" s="20" t="s">
        <v>406</v>
      </c>
      <c r="D361" s="41">
        <f>DO_surf_excess_lag+H_O2_T*P_dry*y_O2_mf_l</f>
        <v>0.171848917629</v>
      </c>
      <c r="E361" s="51" t="s">
        <v>2439</v>
      </c>
    </row>
    <row r="362" spans="1:5" ht="24" x14ac:dyDescent="0.2">
      <c r="A362" s="18" t="s">
        <v>2488</v>
      </c>
      <c r="B362" s="19" t="s">
        <v>2489</v>
      </c>
      <c r="C362" s="20" t="s">
        <v>406</v>
      </c>
      <c r="D362" s="41">
        <f>DO_surf_excess_lag+H_O2_T*P_dry*y_O2_avg_l</f>
        <v>0.176285196499</v>
      </c>
      <c r="E362" s="52" t="s">
        <v>2442</v>
      </c>
    </row>
    <row r="363" spans="1:5" ht="36" x14ac:dyDescent="0.2">
      <c r="A363" s="18" t="s">
        <v>2490</v>
      </c>
      <c r="B363" s="19" t="s">
        <v>2491</v>
      </c>
      <c r="C363" s="20" t="s">
        <v>406</v>
      </c>
      <c r="D363" s="41">
        <f>DO_surf_excess_lag+H_O2_T*P_dry*MAX(y_O2_avg_l,y_O2_end_l-(S_O2_l-F_gap_l*y_O2_end_l)/n_hs_gas*tau_L_h)</f>
        <v>0.187649941052</v>
      </c>
      <c r="E363" s="52" t="s">
        <v>2445</v>
      </c>
    </row>
    <row r="364" spans="1:5" x14ac:dyDescent="0.2">
      <c r="A364" s="18" t="s">
        <v>2492</v>
      </c>
      <c r="B364" s="19" t="s">
        <v>2493</v>
      </c>
      <c r="C364" s="20" t="s">
        <v>83</v>
      </c>
      <c r="D364" s="41">
        <f>DO_avg_l*M_O2</f>
        <v>5.640773717562</v>
      </c>
      <c r="E364" s="52" t="s">
        <v>2448</v>
      </c>
    </row>
    <row r="365" spans="1:5" x14ac:dyDescent="0.2">
      <c r="A365" s="18" t="s">
        <v>2494</v>
      </c>
      <c r="B365" s="19" t="s">
        <v>2495</v>
      </c>
      <c r="C365" s="20" t="s">
        <v>83</v>
      </c>
      <c r="D365" s="41">
        <f>DO_peak_l*M_O2</f>
        <v>6.004422813773</v>
      </c>
      <c r="E365" s="52" t="s">
        <v>2448</v>
      </c>
    </row>
    <row r="366" spans="1:5" x14ac:dyDescent="0.2">
      <c r="A366" s="18" t="s">
        <v>2496</v>
      </c>
      <c r="B366" s="19" t="s">
        <v>2497</v>
      </c>
      <c r="C366" s="20" t="s">
        <v>577</v>
      </c>
      <c r="D366" s="41">
        <f>O2_src_l/(DO_target*3600*V_L_m3)</f>
        <v>0.012592062384</v>
      </c>
      <c r="E366" s="51" t="s">
        <v>2453</v>
      </c>
    </row>
    <row r="367" spans="1:5" x14ac:dyDescent="0.2">
      <c r="A367" s="18" t="s">
        <v>2498</v>
      </c>
      <c r="B367" s="19" t="s">
        <v>2499</v>
      </c>
      <c r="C367" s="20" t="s">
        <v>87</v>
      </c>
      <c r="D367" s="41">
        <f>kLa_surf_used/kLa_surf_req_l</f>
        <v>0.606774113661</v>
      </c>
      <c r="E367" s="51" t="s">
        <v>2456</v>
      </c>
    </row>
    <row r="368" spans="1:5" x14ac:dyDescent="0.2">
      <c r="A368" s="21" t="s">
        <v>1815</v>
      </c>
      <c r="B368" s="19" t="s">
        <v>2500</v>
      </c>
      <c r="C368" s="20" t="s">
        <v>111</v>
      </c>
      <c r="D368" s="25" t="str">
        <f>IF(kLa_margin_l&gt;=1,"reachable – kLa margin "&amp;TEXT(kLa_margin_l,"0.00")&amp;"×","UNREACHABLE at this surface kLa – margin "&amp;TEXT(kLa_margin_l,"0.00")&amp;"× (raise kL_surf, lower the current, or accept a higher DO)")</f>
        <v>UNREACHABLE at this surface kLa – margin 0.61× (raise kL_surf, lower the current, or accept a higher DO)</v>
      </c>
      <c r="E368" s="51" t="s">
        <v>2458</v>
      </c>
    </row>
    <row r="369" spans="1:5" ht="24" x14ac:dyDescent="0.2">
      <c r="A369" s="21" t="s">
        <v>2501</v>
      </c>
      <c r="B369" s="19" t="s">
        <v>2502</v>
      </c>
      <c r="C369" s="20" t="s">
        <v>111</v>
      </c>
      <c r="D369" s="25" t="str">
        <f>IF(DO_peak_l&lt;=O2_ceil_org,"peak "&amp;TEXT(DO_peak_l_mgL,"0.0")&amp;" mg/L under the "&amp;TEXT(O2_ceil_org*M_O2,"0.0")&amp;" mg/L ceiling","PEAK "&amp;TEXT(DO_peak_l_mgL,"0.0")&amp;" mg/L OVER THE "&amp;TEXT(O2_ceil_org*M_O2,"0.0")&amp;" mg/L INHIBITION CEILING")</f>
        <v>peak 6.0 mg/L under the 10.1 mg/L ceiling</v>
      </c>
      <c r="E369" s="51" t="inlineStr">
        <is>
          <t xml:space="preserve">The sawtooth peak against the growth-inhibition ceiling (D565: the organism’s toxic DO when known, else the generic Biology D27 ceiling). Not a tautology: the peak is not what the schedule is sized on.</t>
        </is>
      </c>
    </row>
    <row r="371" spans="1:5" x14ac:dyDescent="0.2">
      <c r="A371" s="18" t="s">
        <v>2503</v>
      </c>
      <c r="B371" s="19" t="s">
        <v>2504</v>
      </c>
      <c r="C371" s="20" t="s">
        <v>307</v>
      </c>
      <c r="D371" s="41">
        <f>IF(O2_sizing_phase=phase_name_1,F_gap_g,IF(O2_sizing_phase=phase_name_2,F_gap_l,NA()))</f>
        <v>3.617990017297e-05</v>
      </c>
      <c r="E371" s="51" t="s">
        <v>2505</v>
      </c>
    </row>
    <row r="372" spans="1:5" x14ac:dyDescent="0.2">
      <c r="A372" s="18" t="s">
        <v>2506</v>
      </c>
      <c r="B372" s="19" t="s">
        <v>2507</v>
      </c>
      <c r="C372" s="20" t="s">
        <v>406</v>
      </c>
      <c r="D372" s="41">
        <f>IF(O2_sizing_phase=phase_name_1,DO_avg_g,IF(O2_sizing_phase=phase_name_2,DO_avg_l,NA()))</f>
        <v>0.071084602359</v>
      </c>
      <c r="E372" s="52" t="s">
        <v>2508</v>
      </c>
    </row>
    <row r="373" spans="1:5" x14ac:dyDescent="0.2">
      <c r="A373" s="18" t="s">
        <v>2509</v>
      </c>
      <c r="B373" s="19" t="s">
        <v>2510</v>
      </c>
      <c r="C373" s="20" t="s">
        <v>406</v>
      </c>
      <c r="D373" s="41">
        <f>IF(O2_sizing_phase=phase_name_1,DO_peak_g,IF(O2_sizing_phase=phase_name_2,DO_peak_l,NA()))</f>
        <v>0.076655689366</v>
      </c>
      <c r="E373" s="52" t="inlineStr">
        <is>
          <t xml:space="preserve">Feeds the organism-band check below and Summary D37.</t>
        </is>
      </c>
    </row>
    <row r="374" spans="1:5" ht="60" x14ac:dyDescent="0.2">
      <c r="A374" s="21" t="s">
        <v>2512</v>
      </c>
      <c r="B374" s="19" t="s">
        <v>2513</v>
      </c>
      <c r="C374" s="20" t="s">
        <v>111</v>
      </c>
      <c r="D374" s="25" t="str">
        <f>IF(AND(ISNUMBER(DO_opt),ISNUMBER(DO_impair)),IF(DO_peak_sched*M_O2&lt;DO_impair,"peak "&amp;TEXT(DO_peak_sched*M_O2,"0.0")&amp;" mg/L under impairment","PEAK "&amp;TEXT(DO_peak_sched*M_O2,"0.0")&amp;" mg/L OVER IMPAIRMENT")&amp;IF(DO_avg_sched*M_O2&lt;=DO_opt,"; mean "&amp;TEXT(DO_avg_sched*M_O2,"0.0")&amp;" mg/L at/under optimum","; MEAN "&amp;TEXT(DO_avg_sched*M_O2,"0.0")&amp;" mg/L ABOVE OPTIMUM"),IF(DO_peak_sched&lt;=O2_ceil_org,"organism band unknown – peak "&amp;TEXT(DO_peak_sched*M_O2,"0.0")&amp;" mg/L is under the inhibition ceiling","organism band unknown – PEAK "&amp;TEXT(DO_peak_sched*M_O2,"0.0")&amp;" mg/L OVER THE INHIBITION CEILING"))</f>
        <v>organism band unknown – peak 2.5 mg/L is under the inhibition ceiling</v>
      </c>
      <c r="E374" s="51" t="s">
        <v>2514</v>
      </c>
    </row>
    <row r="375" spans="1:5" ht="36" x14ac:dyDescent="0.2">
      <c r="A375" s="18" t="s">
        <v>2515</v>
      </c>
      <c r="B375" s="19" t="s">
        <v>2516</v>
      </c>
      <c r="C375" s="20" t="s">
        <v>406</v>
      </c>
      <c r="D375" s="41">
        <f>(C_air_CO2/C_sat_CO2*F_vent_ex-CO2_fix_sched)*t_gap_h/(V_L_CO2+Vg_CO2)</f>
        <v>-0.082653662444</v>
      </c>
      <c r="E375" s="51" t="s">
        <v>2517</v>
      </c>
    </row>
    <row r="376" spans="1:5" x14ac:dyDescent="0.2">
      <c r="A376" s="18" t="s">
        <v>2518</v>
      </c>
      <c r="B376" s="19" t="s">
        <v>2519</v>
      </c>
      <c r="C376" s="20" t="s">
        <v>111</v>
      </c>
      <c r="D376" s="41">
        <f>k_eff_CO2*t_off_CO2</f>
        <v>0.006254876116</v>
      </c>
      <c r="E376" s="51" t="s">
        <v>2520</v>
      </c>
    </row>
    <row r="377" spans="1:5" ht="24" x14ac:dyDescent="0.2">
      <c r="A377" s="18" t="s">
        <v>2521</v>
      </c>
      <c r="B377" s="19" t="s">
        <v>2522</v>
      </c>
      <c r="C377" s="20" t="s">
        <v>111</v>
      </c>
      <c r="D377" s="41">
        <f>IF(pool_x&gt;0,(1-EXP(-pool_x))/pool_x,1)</f>
        <v>0.996879072338</v>
      </c>
      <c r="E377" s="51" t="s">
        <v>2523</v>
      </c>
    </row>
    <row r="378" spans="1:5" x14ac:dyDescent="0.2">
      <c r="A378" s="18" t="s">
        <v>2524</v>
      </c>
      <c r="B378" s="19" t="s">
        <v>2525</v>
      </c>
      <c r="C378" s="20" t="s">
        <v>111</v>
      </c>
      <c r="D378" s="41">
        <f>IF(pool_x&gt;0,(pool_x-1+EXP(-pool_x))/pool_x^2,1/2)</f>
        <v>0.498959148754</v>
      </c>
      <c r="E378" s="51" t="s">
        <v>2526</v>
      </c>
    </row>
    <row r="379" spans="1:5" x14ac:dyDescent="0.2">
      <c r="A379" s="18" t="s">
        <v>2527</v>
      </c>
      <c r="B379" s="19" t="s">
        <v>2528</v>
      </c>
      <c r="C379" s="20" t="s">
        <v>406</v>
      </c>
      <c r="D379" s="41">
        <f>pool_D_raw*pool_phi</f>
        <v>-0.082395706342</v>
      </c>
      <c r="E379" s="51" t="s">
        <v>2529</v>
      </c>
    </row>
    <row r="380" spans="1:5" ht="24" x14ac:dyDescent="0.2">
      <c r="A380" s="18" t="s">
        <v>2530</v>
      </c>
      <c r="B380" s="19" t="s">
        <v>2531</v>
      </c>
      <c r="C380" s="20" t="s">
        <v>111</v>
      </c>
      <c r="D380" s="41">
        <f>pool_a+(1-pool_a)*flush_ret</f>
        <v>0.907470030741</v>
      </c>
      <c r="E380" s="52" t="s">
        <v>2532</v>
      </c>
    </row>
    <row r="381" spans="1:5" ht="24" x14ac:dyDescent="0.2">
      <c r="A381" s="18" t="s">
        <v>2533</v>
      </c>
      <c r="B381" s="19" t="s">
        <v>2534</v>
      </c>
      <c r="C381" s="20" t="s">
        <v>111</v>
      </c>
      <c r="D381" s="111">
        <f>IF(F_dil+CO2_supply+O2_src_sched+H2_src_sched-CO2_fix_sched&gt;0,(CO2_supply-CO2_fix_sched+pCO2_air/P_dry*F_vent_ex)/(F_dil+CO2_supply+O2_src_sched+H2_src_sched-CO2_fix_sched),NA())</f>
        <v>0.940062404006</v>
      </c>
      <c r="E381" s="51" t="s">
        <v>2535</v>
      </c>
    </row>
    <row r="382" spans="1:5" x14ac:dyDescent="0.2">
      <c r="A382" s="18" t="s">
        <v>2536</v>
      </c>
      <c r="B382" s="19" t="s">
        <v>2537</v>
      </c>
      <c r="C382" s="20" t="s">
        <v>406</v>
      </c>
      <c r="D382" s="41">
        <f>y_CO2_mf*C_sat_CO2</f>
        <v>26.374117589172</v>
      </c>
      <c r="E382" s="51" t="s">
        <v>2538</v>
      </c>
    </row>
    <row r="383" spans="1:5" x14ac:dyDescent="0.2">
      <c r="A383" s="6" t="s">
        <v>2539</v>
      </c>
    </row>
    <row r="384" spans="1:5" ht="36" x14ac:dyDescent="0.2">
      <c r="A384" s="18" t="s">
        <v>2540</v>
      </c>
      <c r="B384" s="19" t="s">
        <v>2541</v>
      </c>
      <c r="C384" s="20" t="s">
        <v>111</v>
      </c>
      <c r="D384" s="106" t="s">
        <v>1793</v>
      </c>
      <c r="E384" s="34" t="s">
        <v>2542</v>
      </c>
    </row>
    <row r="385" spans="1:5" ht="36" x14ac:dyDescent="0.2">
      <c r="A385" s="18" t="s">
        <v>2543</v>
      </c>
      <c r="B385" s="19" t="s">
        <v>2544</v>
      </c>
      <c r="C385" s="20" t="s">
        <v>314</v>
      </c>
      <c r="D385" s="106">
        <v>1.4999999999999999E-2</v>
      </c>
      <c r="E385" s="53" t="s">
        <v>2545</v>
      </c>
    </row>
    <row r="386" spans="1:5" ht="36" x14ac:dyDescent="0.2">
      <c r="A386" s="18" t="s">
        <v>2546</v>
      </c>
      <c r="B386" s="19" t="s">
        <v>2547</v>
      </c>
      <c r="C386" s="20" t="s">
        <v>314</v>
      </c>
      <c r="D386" s="41">
        <f>IF(vent_model=vent_name_1,0,IF(vent_model=vent_name_3,Q_backdraw,IF(vent_model=vent_name_2,Q_vent,NA())))</f>
        <v>0.015</v>
      </c>
      <c r="E386" s="53" t="inlineStr">
        <is>
          <t xml:space="preserve">0 for "Outflow only" (check valve), Q_backdraw for "Open vent", the measured Q_vent for "Air exchange"; anything else #N/A by design. The vent is a continuum: 0 is a true check valve. Feeds F_vent_ex (D308) and Summary D58.</t>
        </is>
      </c>
    </row>
    <row r="387" spans="1:5" x14ac:dyDescent="0.2">
      <c r="A387" s="21" t="s">
        <v>2180</v>
      </c>
      <c r="B387" s="21" t="s">
        <v>2549</v>
      </c>
      <c r="C387" s="21" t="s">
        <v>307</v>
      </c>
      <c r="D387" s="112">
        <f>Electrochemistry!r_H2_HOR</f>
        <v>0.0</v>
      </c>
      <c r="E387" s="140" t="s">
        <v>2550</v>
      </c>
    </row>
    <row r="388" spans="1:5" ht="36" x14ac:dyDescent="0.2">
      <c r="A388" s="18" t="s">
        <v>2551</v>
      </c>
      <c r="B388" s="19" t="s">
        <v>2552</v>
      </c>
      <c r="C388" s="20" t="s">
        <v>111</v>
      </c>
      <c r="D388" s="41">
        <f>H2_src_l*t_gap_h/n_hs_gas*phi_hs_l/(1-flush_ret*EXP(-x_hs_l))</f>
        <v>0.146419454972</v>
      </c>
      <c r="E388" s="52" t="inlineStr">
        <is>
          <t xml:space="preserve">The H₂ analogue of y_O2_end_l (D358): periodic sawtooth top of the lag headspace at the schedule in use (no H₂ in air). The flammability screen (Biology D44) tests these pre-pulse tops; the mean-field mix (D352) is shown beside it.</t>
        </is>
      </c>
    </row>
    <row r="389" spans="1:5" ht="48" x14ac:dyDescent="0.2">
      <c r="A389" s="18" t="s">
        <v>2554</v>
      </c>
      <c r="B389" s="19" t="s">
        <v>2555</v>
      </c>
      <c r="C389" s="20" t="s">
        <v>111</v>
      </c>
      <c r="D389" s="41">
        <f>(pool_a*(C_cycle_peak-C_cycle_start)*(V_L_CO2+Vg_CO2)+MAX(0,CO2_fix_sched-O2_src_sched-H2_src_sched)*t_gap_h)/n_hs_gas</f>
        <v>0.05097124556</v>
      </c>
      <c r="E389" s="52" t="s">
        <v>2556</v>
      </c>
    </row>
    <row r="390" spans="1:5" ht="24" x14ac:dyDescent="0.2">
      <c r="A390" s="18" t="s">
        <v>2557</v>
      </c>
      <c r="B390" s="19" t="s">
        <v>2558</v>
      </c>
      <c r="C390" s="20" t="s">
        <v>111</v>
      </c>
      <c r="D390" s="106">
        <v>0.05</v>
      </c>
      <c r="E390" s="52" t="s">
        <v>2559</v>
      </c>
    </row>
    <row r="391" spans="1:5" ht="24" x14ac:dyDescent="0.2">
      <c r="A391" s="21" t="s">
        <v>1831</v>
      </c>
      <c r="B391" s="19" t="s">
        <v>2560</v>
      </c>
      <c r="C391" s="20" t="s">
        <v>111</v>
      </c>
      <c r="D391" s="111" t="str">
        <f>IF(AND(F_N2&gt;0,F_N2*t_gap_h&gt;=hs_sag*n_hs_gas),"OK – the N₂ sweep supplies the per-cycle make-up gas; vent outflow unverified",IF(F_vent_ex&gt;0,"UNVERIFIED pressure closure: air ingress is assumed; measure vent make-up flow",IF(hs_sag-F_N2*t_gap_h/n_hs_gas&gt;hs_sag_max,"HEADSPACE SAGS "&amp;TEXT(hs_sag-F_N2*t_gap_h/n_hs_gas,"0%")&amp;" below 1 atm each cycle – a real cap will draw air back: use Open vent or Air exchange","OK – sag "&amp;TEXT(MAX(0,hs_sag-F_N2*t_gap_h/n_hs_gas),"0%")&amp;" per cycle, within the assumed sag tolerance; cap performance unverified")))</f>
        <v>UNVERIFIED pressure closure: air ingress is assumed; measure vent make-up flow</v>
      </c>
      <c r="E391" s="51" t="s">
        <v>2561</v>
      </c>
    </row>
    <row r="392" spans="1:5" x14ac:dyDescent="0.2">
      <c r="A392" s="21" t="s">
        <v>2562</v>
      </c>
      <c r="B392" s="21" t="s">
        <v>2563</v>
      </c>
      <c r="C392" s="21" t="s">
        <v>12</v>
      </c>
      <c r="D392" s="112">
        <f>Summary!override_spg_dur_s</f>
        <v>0.0</v>
      </c>
      <c r="E392" s="140" t="s">
        <v>2564</v>
      </c>
    </row>
    <row r="393" spans="1:5" x14ac:dyDescent="0.2">
      <c r="A393" s="21" t="s">
        <v>2565</v>
      </c>
      <c r="B393" s="21" t="s">
        <v>2566</v>
      </c>
      <c r="C393" s="21" t="s">
        <v>61</v>
      </c>
      <c r="D393" s="112">
        <f>Summary!override_spg_int_min</f>
        <v>0.0</v>
      </c>
      <c r="E393" s="140" t="s">
        <v>2567</v>
      </c>
    </row>
    <row r="394" spans="1:5" x14ac:dyDescent="0.2">
      <c r="A394" s="21" t="s">
        <v>2568</v>
      </c>
      <c r="B394" s="21" t="s">
        <v>2569</v>
      </c>
      <c r="C394" s="21" t="s">
        <v>307</v>
      </c>
      <c r="D394" s="112">
        <f>Electrochemistry!O2_net_lag</f>
        <v>4.838626296225e-05</v>
      </c>
      <c r="E394" s="140" t="s">
        <v>2570</v>
      </c>
    </row>
    <row r="395" spans="1:5" x14ac:dyDescent="0.2">
      <c r="A395" s="21" t="s">
        <v>2571</v>
      </c>
      <c r="B395" s="21" t="s">
        <v>2572</v>
      </c>
      <c r="C395" s="21" t="s">
        <v>307</v>
      </c>
      <c r="D395" s="112">
        <f>Electrochemistry!rH2_lag</f>
        <v>9.67725259245e-05</v>
      </c>
      <c r="E395" s="140" t="s">
        <v>2573</v>
      </c>
    </row>
    <row r="396" spans="1:5" ht="36" x14ac:dyDescent="0.2">
      <c r="A396" s="18" t="s">
        <v>2574</v>
      </c>
      <c r="B396" s="19" t="s">
        <v>2575</v>
      </c>
      <c r="C396" s="20" t="s">
        <v>12</v>
      </c>
      <c r="D396" s="106">
        <v>0.25</v>
      </c>
      <c r="E396" s="53" t="s">
        <v>2576</v>
      </c>
    </row>
    <row r="400" spans="1:5" x14ac:dyDescent="0.2">
      <c r="A400" s="6" t="s">
        <v>2577</v>
      </c>
    </row>
    <row r="401" spans="1:5" x14ac:dyDescent="0.2">
      <c r="A401" s="18" t="s">
        <v>2578</v>
      </c>
      <c r="B401" s="19" t="s">
        <v>2579</v>
      </c>
      <c r="C401" s="20" t="s">
        <v>723</v>
      </c>
      <c r="D401" s="25">
        <f>SUMPRODUCT((co2f_reactor=Reactor)*(co2f_time&gt;0)*(co2f_excluded&lt;&gt;1)*1)</f>
        <v>34.0</v>
      </c>
      <c r="E401" s="102" t="s">
        <v>2580</v>
      </c>
    </row>
    <row r="402" spans="1:5" x14ac:dyDescent="0.2">
      <c r="A402" s="18" t="s">
        <v>2581</v>
      </c>
      <c r="B402" s="19" t="s">
        <v>2582</v>
      </c>
      <c r="C402" s="20" t="s">
        <v>12</v>
      </c>
      <c r="D402" s="25">
        <f>SUMPRODUCT((co2f_reactor=Reactor)*(co2f_time&gt;0)*(co2f_excluded&lt;&gt;1)*co2f_time)</f>
        <v>49.85</v>
      </c>
      <c r="E402" s="102" t="s">
        <v>2583</v>
      </c>
    </row>
    <row r="403" spans="1:5" x14ac:dyDescent="0.2">
      <c r="A403" s="18" t="s">
        <v>2584</v>
      </c>
      <c r="B403" s="19" t="s">
        <v>2585</v>
      </c>
      <c r="C403" s="20" t="s">
        <v>52</v>
      </c>
      <c r="D403" s="25">
        <f>SUMPRODUCT((co2f_reactor=Reactor)*(co2f_time&gt;0)*(co2f_excluded&lt;&gt;1)*co2f_volume)</f>
        <v>178.2</v>
      </c>
      <c r="E403" s="102" t="s">
        <v>1589</v>
      </c>
    </row>
    <row r="404" spans="1:5" x14ac:dyDescent="0.2">
      <c r="A404" s="18" t="s">
        <v>2586</v>
      </c>
      <c r="B404" s="19" t="s">
        <v>2587</v>
      </c>
      <c r="C404" s="20" t="s">
        <v>2588</v>
      </c>
      <c r="D404" s="25">
        <f>SUMPRODUCT((co2f_reactor=Reactor)*(co2f_time&gt;0)*(co2f_excluded&lt;&gt;1)*co2f_time^2)</f>
        <v>304.7325</v>
      </c>
      <c r="E404" s="102" t="s">
        <v>1589</v>
      </c>
    </row>
    <row r="405" spans="1:5" x14ac:dyDescent="0.2">
      <c r="A405" s="18" t="s">
        <v>2589</v>
      </c>
      <c r="B405" s="19" t="s">
        <v>2590</v>
      </c>
      <c r="C405" s="20" t="s">
        <v>2591</v>
      </c>
      <c r="D405" s="25">
        <f>SUMPRODUCT((co2f_reactor=Reactor)*(co2f_time&gt;0)*(co2f_excluded&lt;&gt;1)*co2f_time*co2f_volume)</f>
        <v>1030.03</v>
      </c>
      <c r="E405" s="102" t="s">
        <v>1589</v>
      </c>
    </row>
    <row r="406" spans="1:5" ht="24" x14ac:dyDescent="0.2">
      <c r="A406" s="18" t="s">
        <v>2592</v>
      </c>
      <c r="B406" s="19" t="s">
        <v>2593</v>
      </c>
      <c r="C406" s="20" t="s">
        <v>723</v>
      </c>
      <c r="D406" s="106">
        <v>3</v>
      </c>
      <c r="E406" s="52" t="s">
        <v>2594</v>
      </c>
    </row>
    <row r="407" spans="1:5" ht="48" x14ac:dyDescent="0.2">
      <c r="A407" s="18" t="s">
        <v>2595</v>
      </c>
      <c r="B407" s="19" t="s">
        <v>2596</v>
      </c>
      <c r="C407" s="20" t="s">
        <v>1286</v>
      </c>
      <c r="D407" s="25">
        <f>IF(ISNUMBER(cal_flow),cal_flow,IF(AND(fit_n&gt;=fit_n_min,fit_n*fit_Stt-fit_St^2&gt;0),(fit_n*fit_StV-fit_St*fit_SV)/(fit_n*fit_Stt-fit_St^2),Q_CO2/60))</f>
        <v>3.318707459132</v>
      </c>
      <c r="E407" s="51" t="s">
        <v>2597</v>
      </c>
    </row>
    <row r="408" spans="1:5" ht="48" x14ac:dyDescent="0.2">
      <c r="A408" s="18" t="s">
        <v>2598</v>
      </c>
      <c r="B408" s="19" t="s">
        <v>2599</v>
      </c>
      <c r="C408" s="20" t="s">
        <v>52</v>
      </c>
      <c r="D408" s="25">
        <f>IF(ISNUMBER(cal_flow),0,IF(AND(fit_n&gt;=fit_n_min,fit_n*fit_Stt-fit_St^2&gt;0),(fit_SV-Q_CO2_fit*fit_St)/fit_n,0))</f>
        <v>0.375365681243</v>
      </c>
      <c r="E408" s="53" t="s">
        <v>2600</v>
      </c>
    </row>
    <row r="409" spans="1:5" x14ac:dyDescent="0.2">
      <c r="A409" s="18" t="s">
        <v>2601</v>
      </c>
      <c r="B409" s="19" t="s">
        <v>2602</v>
      </c>
      <c r="C409" s="20" t="s">
        <v>12</v>
      </c>
      <c r="D409" s="25">
        <f>(pulse_V0+Q_CO2_fit*spg_dur_opt)/(Q_CO2/60)</f>
        <v>0.784513049825</v>
      </c>
      <c r="E409" s="102" t="s">
        <v>2603</v>
      </c>
    </row>
    <row r="410" spans="1:5" x14ac:dyDescent="0.2">
      <c r="A410" s="18" t="s">
        <v>2604</v>
      </c>
      <c r="B410" s="19" t="s">
        <v>2605</v>
      </c>
      <c r="C410" s="20" t="s">
        <v>12</v>
      </c>
      <c r="D410" s="25">
        <f>(pulse_V0+Q_CO2_fit*spg_dur)/(Q_CO2/60)</f>
        <v>0.760518177081</v>
      </c>
      <c r="E410" s="102" t="s">
        <v>2606</v>
      </c>
    </row>
    <row r="411" spans="1:5" x14ac:dyDescent="0.2">
      <c r="A411" s="18" t="s">
        <v>2607</v>
      </c>
      <c r="B411" s="19" t="s">
        <v>2608</v>
      </c>
      <c r="C411" s="20" t="s">
        <v>52</v>
      </c>
      <c r="D411" s="25">
        <f>pulse_V0+Q_CO2_fit*spg_dur</f>
        <v>2.532525529679</v>
      </c>
      <c r="E411" s="102" t="s">
        <v>2609</v>
      </c>
    </row>
    <row r="412" spans="1:5" x14ac:dyDescent="0.2">
      <c r="A412" s="18" t="s">
        <v>2610</v>
      </c>
      <c r="B412" s="19" t="s">
        <v>2611</v>
      </c>
      <c r="C412" s="20" t="s">
        <v>723</v>
      </c>
      <c r="D412" s="25">
        <f>SUMPRODUCT((co2f_reactor=Reactor)*(co2f_maxflow&gt;0)*1)</f>
        <v>0.0</v>
      </c>
      <c r="E412" s="102" t="s">
        <v>2612</v>
      </c>
    </row>
    <row r="413" spans="1:5" ht="36" x14ac:dyDescent="0.2">
      <c r="A413" s="18" t="s">
        <v>2613</v>
      </c>
      <c r="B413" s="19" t="s">
        <v>2614</v>
      </c>
      <c r="C413" s="20" t="s">
        <v>1286</v>
      </c>
      <c r="D413" s="25" t="str">
        <f>IF(carry_n&gt;0,SUMPRODUCT(MIN((co2f_reactor=Reactor)*(co2f_maxflow&gt;0)*co2f_maxflow+(1-(co2f_reactor=Reactor)*(co2f_maxflow&gt;0))*MAX(co2f_maxflow))),"not measured")</f>
        <v>not measured</v>
      </c>
      <c r="E413" s="54" t="s">
        <v>2615</v>
      </c>
    </row>
    <row r="414" spans="1:5" ht="24" x14ac:dyDescent="0.2">
      <c r="A414" s="18" t="s">
        <v>1836</v>
      </c>
      <c r="B414" s="19" t="s">
        <v>2616</v>
      </c>
      <c r="C414" s="20" t="s">
        <v>111</v>
      </c>
      <c r="D414" s="25" t="str">
        <f>IF(u_sg&gt;u_g_max,"RISK – "&amp;TEXT(u_sg*1000,"0.0")&amp;" mm/s superficial gas velocity over the "&amp;TEXT(u_g_max*1000,"0")&amp;" mm/s rule of thumb","OK – "&amp;TEXT(u_sg*1000,"0.0")&amp;" mm/s against the "&amp;TEXT(u_g_max*1000,"0")&amp;" mm/s rule of thumb")</f>
        <v>OK – 6.6 mm/s against the 50 mm/s rule of thumb</v>
      </c>
      <c r="E414" s="53" t="s">
        <v>2617</v>
      </c>
    </row>
    <row r="415" spans="1:5" x14ac:dyDescent="0.2">
      <c r="A415" s="18" t="s">
        <v>2618</v>
      </c>
      <c r="B415" s="19" t="s">
        <v>2619</v>
      </c>
      <c r="C415" s="20" t="s">
        <v>111</v>
      </c>
      <c r="D415" s="25">
        <f>Chemistry!DIC_cap</f>
        <v>1.405479604448</v>
      </c>
      <c r="E415" s="140" t="s">
        <v>2620</v>
      </c>
    </row>
    <row r="416" spans="1:5" x14ac:dyDescent="0.2">
      <c r="A416" s="18" t="s">
        <v>2621</v>
      </c>
      <c r="B416" s="19" t="s">
        <v>2622</v>
      </c>
      <c r="C416" s="20" t="s">
        <v>1058</v>
      </c>
      <c r="D416" s="25">
        <f>V_L_m3*DIC_cap_mt</f>
        <v>2.108219406672e-05</v>
      </c>
      <c r="E416" s="102" t="s">
        <v>2623</v>
      </c>
    </row>
    <row r="417" spans="1:5" x14ac:dyDescent="0.2">
      <c r="A417" s="18" t="s">
        <v>2624</v>
      </c>
      <c r="B417" s="19" t="s">
        <v>2625</v>
      </c>
      <c r="C417" s="20" t="s">
        <v>87</v>
      </c>
      <c r="D417" s="25">
        <f>IF(CO2_cons&gt;0,(C_cycle_peak-C_cycle_start)*V_L_CO2*pulses_h/CO2_cons,NA())</f>
        <v>2.501421260187</v>
      </c>
      <c r="E417" s="102" t="s">
        <v>2626</v>
      </c>
    </row>
    <row r="418" spans="1:5" x14ac:dyDescent="0.2">
      <c r="A418" s="18" t="s">
        <v>2627</v>
      </c>
      <c r="B418" s="19" t="s">
        <v>2628</v>
      </c>
      <c r="C418" s="20" t="s">
        <v>57</v>
      </c>
      <c r="D418" s="25">
        <f>P_atm-p_sat_w</f>
        <v>97088.3497487</v>
      </c>
      <c r="E418" s="102" t="s">
        <v>2629</v>
      </c>
    </row>
    <row r="419">
      <c r="A419" t="inlineStr">
        <is>
          <t xml:space="preserve">Interval command resolution</t>
        </is>
      </c>
      <c r="B419" s="19" t="inlineStr">
        <is>
          <t xml:space="preserve">interval_res</t>
        </is>
      </c>
      <c r="C419" s="20" t="inlineStr">
        <is>
          <t xml:space="preserve">min</t>
        </is>
      </c>
      <c r="D419" s="116">
        <v>0.01</v>
      </c>
      <c r="E419" s="57" t="inlineStr">
        <is>
          <t xml:space="preserve">Reporting resolution; plugin accepts decimal minutes (UI min 0.01). Round down so an upper interval bound is not exceeded.</t>
        </is>
      </c>
    </row>
    <row r="420">
      <c r="A420" t="inlineStr">
        <is>
          <t xml:space="preserve">Rounded executable interval</t>
        </is>
      </c>
      <c r="B420" s="19" t="inlineStr">
        <is>
          <t xml:space="preserve">spg_int_run</t>
        </is>
      </c>
      <c r="C420" s="20" t="inlineStr">
        <is>
          <t xml:space="preserve">min</t>
        </is>
      </c>
      <c r="D420" s="111">
        <f>IF(FLOOR((pulse_V0+Q_CO2_fit*spg_dur)/(Q_CO2/60)/(60*duty_actual),interval_res)*60&gt;spg_dur,FLOOR((pulse_V0+Q_CO2_fit*spg_dur)/(Q_CO2/60)/(60*duty_actual),interval_res),NA())</f>
        <v>7.19</v>
      </c>
      <c r="E420" s="57" t="inlineStr">
        <is>
          <t xml:space="preserve">Ideal duty converted to the pulse actually commanded, rounded down. Reject a non-positive gap. Re-evaluate DO and pH at this schedule.</t>
        </is>
      </c>
    </row>
    <row r="422">
      <c r="A422" s="6" t="inlineStr">
        <is>
          <t xml:space="preserve">N₂ HEADSPACE SWEEP (Summary D14) — an inert inflow in the shared balance (§300)</t>
        </is>
      </c>
    </row>
    <row r="423">
      <c r="A423" s="18" t="inlineStr">
        <is>
          <t xml:space="preserve">(import) N₂ sweep flow</t>
        </is>
      </c>
      <c r="B423" s="19" t="inlineStr">
        <is>
          <t xml:space="preserve">N2_sweep_set</t>
        </is>
      </c>
      <c r="C423" s="20" t="inlineStr">
        <is>
          <t xml:space="preserve">mL/min</t>
        </is>
      </c>
      <c r="D423" s="41">
        <f>Summary!N2_sweep_set</f>
        <v>0.0</v>
      </c>
      <c r="E423" s="140" t="inlineStr">
        <is>
          <t xml:space="preserve">Import from Summary!D14 (N2_sweep_set); blank reads as 0. Owner decision T7.</t>
        </is>
      </c>
    </row>
    <row r="424">
      <c r="A424" s="18" t="inlineStr">
        <is>
          <t xml:space="preserve">N₂ sweep (molar)</t>
        </is>
      </c>
      <c r="B424" s="19" t="inlineStr">
        <is>
          <t xml:space="preserve">F_N2</t>
        </is>
      </c>
      <c r="C424" s="20" t="inlineStr">
        <is>
          <t xml:space="preserve">mol/h</t>
        </is>
      </c>
      <c r="D424" s="41">
        <f>P_atm*(N2_sweep_set/1000000/60)/(R_gas*T_K)*3600</f>
        <v>0.0</v>
      </c>
      <c r="E424" s="57" t="inlineStr">
        <is>
          <t xml:space="preserve">Dry N₂ at P_atm and T_K, mL/min to mol/h, the same reference as F_vent_ex (D308); the flow-meter reference conditions are unmeasured.</t>
        </is>
      </c>
    </row>
    <row r="425">
      <c r="A425" s="18" t="inlineStr">
        <is>
          <t xml:space="preserve">Non-pulse inflow to the headspace (air + N₂)</t>
        </is>
      </c>
      <c r="B425" s="19" t="inlineStr">
        <is>
          <t xml:space="preserve">F_dil</t>
        </is>
      </c>
      <c r="C425" s="20" t="inlineStr">
        <is>
          <t xml:space="preserve">mol/h</t>
        </is>
      </c>
      <c r="D425" s="41">
        <f>F_vent_ex+F_N2</f>
        <v>3.617990017297e-05</v>
      </c>
      <c r="E425" s="57" t="inlineStr">
        <is>
          <t xml:space="preserve">Every "gas leaving" term of the shared balance (D184, D232, D329–D331, D351–D353, D381; Biology D84–D86) counts this; only the air part (F_vent_ex) carries O₂ and CO₂.</t>
        </is>
      </c>
    </row>
    <row r="426">
      <c r="A426" s="18" t="inlineStr">
        <is>
          <t xml:space="preserve">N₂ sweep that holds the DO target at the carbon-limited duty</t>
        </is>
      </c>
      <c r="B426" s="19" t="inlineStr">
        <is>
          <t xml:space="preserve">N2_for_DO</t>
        </is>
      </c>
      <c r="C426" s="20" t="inlineStr">
        <is>
          <t xml:space="preserve">mL/min</t>
        </is>
      </c>
      <c r="D426" s="41">
        <f>IF(ISNUMBER(y_O2_star),MAX(0,(O2_src_sched+y_O2_air*F_vent_ex)*saw_factor/y_O2_star-F_vent_ex-O2_src_sched-H2_src_sched+CO2_fix_sched-CO2_rate_full*duty_carbon)/3600*R_gas*T_K/P_atm*1000000*60,NA())</f>
        <v>0.337846643585</v>
      </c>
      <c r="E426" s="51" t="inlineStr">
        <is>
          <t xml:space="preserve">The duty_DO inversion (D184) solved for the inert inflow instead of the CO₂ supply, with CO₂ at the carbon-limited duty (D86): total N₂ needed, net of air ingress. #N/A when the target is unreachable at this surface kLa.</t>
        </is>
      </c>
    </row>
    <row r="428">
      <c r="A428" s="6" t="inlineStr">
        <is>
          <t xml:space="preserve">pH-CEILING INTERVAL — the longest interval whose cycle-mean dissolved CO₂ still holds pH at the band ceiling (binds with an N₂ sweep)</t>
        </is>
      </c>
    </row>
    <row r="429">
      <c r="A429" s="18" t="inlineStr">
        <is>
          <t xml:space="preserve">(import) Dissolved CO₂ that holds pH at the band ceiling</t>
        </is>
      </c>
      <c r="B429" s="19" t="inlineStr">
        <is>
          <t xml:space="preserve">CO2_pH_hi_mt</t>
        </is>
      </c>
      <c r="C429" s="20" t="inlineStr">
        <is>
          <t xml:space="preserve">mol/m³</t>
        </is>
      </c>
      <c r="D429" s="41">
        <f>Chemistry!CO2_pH_hi*1000</f>
        <v>0.966554763206</v>
      </c>
      <c r="E429" s="140" t="inlineStr">
        <is>
          <t xml:space="preserve">Import from Chemistry!D324 (CO2_pH_hi, mol/L → mol/m³).</t>
        </is>
      </c>
    </row>
    <row r="430">
      <c r="A430" s="18" t="inlineStr">
        <is>
          <t xml:space="preserve">Shortest trial interval in the grid (shortest executable)</t>
        </is>
      </c>
      <c r="B430" s="19" t="inlineStr">
        <is>
          <t xml:space="preserve">grid_t_min</t>
        </is>
      </c>
      <c r="C430" s="20" t="inlineStr">
        <is>
          <t xml:space="preserve">min</t>
        </is>
      </c>
      <c r="D430" s="41">
        <f>FLOOR(spg_dur/60,interval_res)+interval_res</f>
        <v>0.02</v>
      </c>
      <c r="E430" s="51" t="inlineStr">
        <is>
          <t xml:space="preserve">The first whole command step above the pulse: the shortest executable interval for the pulse in use, so a ceiling that cannot be held even here is genuinely unreachable.</t>
        </is>
      </c>
    </row>
    <row r="431">
      <c r="A431" s="18" t="inlineStr">
        <is>
          <t xml:space="preserve">Grid step ratio</t>
        </is>
      </c>
      <c r="B431" s="19" t="inlineStr">
        <is>
          <t xml:space="preserve">grid_ratio</t>
        </is>
      </c>
      <c r="C431" s="20" t="inlineStr">
        <is>
          <t xml:space="preserve">-</t>
        </is>
      </c>
      <c r="D431" s="41">
        <f>(grid_t_max/grid_t_min)^(1/99)</f>
        <v>1.120064526836</v>
      </c>
      <c r="E431" s="51" t="inlineStr">
        <is>
          <t xml:space="preserve">Geometric step that spans grid_t_min to grid_t_max (D436) in the 100 grid rows; the crossing is interpolated in ln(interval).</t>
        </is>
      </c>
    </row>
    <row r="432">
      <c r="A432" s="18" t="inlineStr">
        <is>
          <t xml:space="preserve">pH-ceiling interval (pulse in use)</t>
        </is>
      </c>
      <c r="B432" s="19" t="inlineStr">
        <is>
          <t xml:space="preserve">spg_int_pH</t>
        </is>
      </c>
      <c r="C432" s="20" t="inlineStr">
        <is>
          <t xml:space="preserve">min</t>
        </is>
      </c>
      <c r="D432" s="41">
        <f>IF(CO2_pH_hi_mt&lt;=0,"no pH bound",IF(INDEX(pHg_C,1)&lt;CO2_pH_hi_mt,"pH above the band ceiling at any interval – reduce the N₂ sweep or the added alkalinity",IF(MAX(pHg_x)&gt;0,MAX(pHg_x),"no pH bound")))</f>
        <v>212.486056390007</v>
      </c>
      <c r="E432" s="51" t="inlineStr">
        <is>
          <t xml:space="preserve">Longest interval, for the pulse in use, keeping the cycle-mean dissolved CO₂ (the limit cycle of D198–D200 with the bounds of D162) at or above D429, so pH stays at or under the band ceiling. Searched from the shortest executable interval (D430) to D436; "no pH bound" = not reached by D436. CO₂ storage uses the typed DIC reference pH (Chemistry D291): re-enter it when D310 asks.</t>
        </is>
      </c>
    </row>
    <row r="433">
      <c r="A433" s="18" t="inlineStr">
        <is>
          <t xml:space="preserve">pH-ceiling interval on the optimal-pulse basis</t>
        </is>
      </c>
      <c r="B433" s="19" t="inlineStr">
        <is>
          <t xml:space="preserve">spg_int_pH_opt</t>
        </is>
      </c>
      <c r="C433" s="20" t="inlineStr">
        <is>
          <t xml:space="preserve">min</t>
        </is>
      </c>
      <c r="D433" s="41">
        <f>IF(ISNUMBER(spg_int_pH),spg_int_pH*spg_dur_eq_opt/spg_dur_eq,"no pH bound")</f>
        <v>219.190137944744</v>
      </c>
      <c r="E433" s="51" t="inlineStr">
        <is>
          <t xml:space="preserve">D432 restated on the full-flow-equivalent basis of D91 (D112, D185), so the executable interval D420 comes back to D432 for whatever pulse is in use.</t>
        </is>
      </c>
    </row>
    <row r="434">
      <c r="A434" s="18" t="inlineStr">
        <is>
          <t xml:space="preserve">pH ceiling unreachable?</t>
        </is>
      </c>
      <c r="B434" s="19" t="inlineStr">
        <is>
          <t xml:space="preserve">ph_unreach</t>
        </is>
      </c>
      <c r="C434" s="20" t="inlineStr">
        <is>
          <t xml:space="preserve">-</t>
        </is>
      </c>
      <c r="D434" s="41" t="b">
        <f>AND(CO2_pH_hi_mt&gt;0,INDEX(pHg_C,1)&lt;CO2_pH_hi_mt)</f>
        <v>0</v>
      </c>
      <c r="E434" s="51" t="inlineStr">
        <is>
          <t xml:space="preserve">TRUE = even the shortest interval leaves pH above the band ceiling; D91 then returns #N/A rather than a schedule that overshoots.</t>
        </is>
      </c>
    </row>
    <row r="435">
      <c r="A435" s="18" t="inlineStr">
        <is>
          <t xml:space="preserve">Carbon pool at the pulse start (schedule in use)</t>
        </is>
      </c>
      <c r="B435" s="19" t="inlineStr">
        <is>
          <t xml:space="preserve">pool_start_chk</t>
        </is>
      </c>
      <c r="C435" s="20" t="inlineStr">
        <is>
          <t xml:space="preserve">-</t>
        </is>
      </c>
      <c r="D435" s="41" t="str">
        <f>IF(C_cycle_start&lt;C_air_CO2,"WATCH – the carbon pool empties within the cycle (pulse-start CO₂ below air equilibrium): fixation outruns supply at this interval","OK")</f>
        <v>OK</v>
      </c>
      <c r="E435" s="51" t="inlineStr">
        <is>
          <t xml:space="preserve">The limit cycle drains the pool linearly by fixation between pulses; below air equilibrium it has run dry for part of the cycle. Can fire when a long, pH-capped interval comes close to the carbon bound.</t>
        </is>
      </c>
    </row>
    <row r="436">
      <c r="A436" s="18" t="inlineStr">
        <is>
          <t xml:space="preserve">Longest trial interval in the grid</t>
        </is>
      </c>
      <c r="B436" s="19" t="inlineStr">
        <is>
          <t xml:space="preserve">grid_t_max</t>
        </is>
      </c>
      <c r="C436" s="20" t="inlineStr">
        <is>
          <t xml:space="preserve">min</t>
        </is>
      </c>
      <c r="D436" s="106">
        <v>1500</v>
      </c>
      <c r="E436" s="102" t="inlineStr">
        <is>
          <t xml:space="preserve">Defined: 25 h, far beyond any carbon-limited interval; a ceiling not reached by here is reported as "no pH bound".</t>
        </is>
      </c>
    </row>
    <row r="439">
      <c r="A439" s="6" t="inlineStr">
        <is>
          <t xml:space="preserve">Interval (min)</t>
        </is>
      </c>
      <c r="B439" s="6" t="inlineStr">
        <is>
          <t xml:space="preserve">Gap (s)</t>
        </is>
      </c>
      <c r="C439" s="6" t="inlineStr">
        <is>
          <t xml:space="preserve">Pool turnovers x</t>
        </is>
      </c>
      <c r="D439" s="6" t="inlineStr">
        <is>
          <t xml:space="preserve">e^−x</t>
        </is>
      </c>
      <c r="E439" s="6" t="inlineStr">
        <is>
          <t xml:space="preserve">Φ(x)</t>
        </is>
      </c>
      <c r="F439" s="6" t="inlineStr">
        <is>
          <t xml:space="preserve">Ψ(x)</t>
        </is>
      </c>
      <c r="G439" s="6" t="inlineStr">
        <is>
          <t xml:space="preserve">Gap CO₂ change (mol/m³)</t>
        </is>
      </c>
      <c r="H439" s="6" t="inlineStr">
        <is>
          <t xml:space="preserve">CO₂ at pulse start (mol/m³)</t>
        </is>
      </c>
      <c r="I439" s="6" t="inlineStr">
        <is>
          <t xml:space="preserve">Cycle-mean CO₂ (mol/m³)</t>
        </is>
      </c>
      <c r="J439" s="6" t="inlineStr">
        <is>
          <t xml:space="preserve">Crossing (min)</t>
        </is>
      </c>
      <c r="L439" s="6" t="inlineStr">
        <is>
          <t xml:space="preserve">Lag: turnovers x</t>
        </is>
      </c>
      <c r="M439" s="6" t="inlineStr">
        <is>
          <t xml:space="preserve">Lag: e^−x</t>
        </is>
      </c>
      <c r="N439" s="6" t="inlineStr">
        <is>
          <t xml:space="preserve">Lag: Φ(x)</t>
        </is>
      </c>
      <c r="O439" s="6" t="inlineStr">
        <is>
          <t xml:space="preserve">Lag: Ψ(x)</t>
        </is>
      </c>
      <c r="P439" s="6" t="inlineStr">
        <is>
          <t xml:space="preserve">Lag: gap CO₂ change</t>
        </is>
      </c>
      <c r="Q439" s="6" t="inlineStr">
        <is>
          <t xml:space="preserve">Lag: CO₂ at pulse start</t>
        </is>
      </c>
      <c r="R439" s="6" t="inlineStr">
        <is>
          <t xml:space="preserve">Lag: cycle-mean CO₂</t>
        </is>
      </c>
      <c r="S439" s="6" t="inlineStr">
        <is>
          <t xml:space="preserve">Lag: crossing (min)</t>
        </is>
      </c>
    </row>
    <row r="440">
      <c r="A440" s="41">
        <f>grid_t_min</f>
        <v>0.02</v>
      </c>
      <c r="B440" s="41">
        <f>MAX(0,A440*60-spg_dur)</f>
        <v>0.55</v>
      </c>
      <c r="C440" s="41">
        <f>k_eff_CO2*B440</f>
        <v>7.986493009448e-06</v>
      </c>
      <c r="D440" s="41">
        <f>EXP(-C440)</f>
        <v>0.999992013539</v>
      </c>
      <c r="E440" s="41">
        <f>IF(C440&gt;0,(1-D440)/C440,1)</f>
        <v>0.99999600677</v>
      </c>
      <c r="F440" s="41">
        <f>IF(C440&gt;0,(C440-1+D440)/C440^2,1/2)</f>
        <v>0.499998404672</v>
      </c>
      <c r="G440" s="41">
        <f>(C_air_CO2/C_sat_CO2*F_vent_ex-CO2_fix_sched)*(B440/3600)/(V_L_CO2+Vg_CO2)</f>
        <v>-0.0001055357268577</v>
      </c>
      <c r="H440" s="41">
        <f>(G440*E440+pool_b*D440)/(1-pool_ret*D440)</f>
        <v>28.052147539797</v>
      </c>
      <c r="I440" s="41">
        <f>MIN(C_sat_CO2,MAX(C_air_CO2,(pool_ret*H440+pool_b)*E440+G440*F440))</f>
        <v>28.052312327445</v>
      </c>
      <c r="J440" s="41">
        <f>IF(AND(I440&gt;=CO2_pH_hi_mt,I441&lt;CO2_pH_hi_mt),EXP(LN(A440)+(LN(A441)-LN(A440))*(I440-CO2_pH_hi_mt)/(I440-I441)),0)</f>
        <v>0.0</v>
      </c>
      <c r="L440" s="41">
        <f>k_eff_CO2_l*B440</f>
        <v>4.002941317124e-05</v>
      </c>
      <c r="M440" s="41">
        <f>EXP(-L440)</f>
        <v>0.999959971388</v>
      </c>
      <c r="N440" s="41">
        <f>IF(L440&gt;0,(1-M440)/L440,1)</f>
        <v>0.999979985559</v>
      </c>
      <c r="O440" s="41">
        <f>IF(L440&gt;0,(L440-1+M440)/L440^2,1/2)</f>
        <v>0.499993382275</v>
      </c>
      <c r="P440" s="41">
        <f>(C_air_CO2/C_sat_CO2*F_vent_ex-CO2_fix_l)*(B440/3600)/(V_L_CO2+Vg_CO2)</f>
        <v>9.231456803077e-08</v>
      </c>
      <c r="Q440" s="41">
        <f>(P440*N440+pool_b*M440)/(1-pool_ret*M440)</f>
        <v>28.043578177755</v>
      </c>
      <c r="R440" s="41">
        <f>MIN(C_sat_CO2,MAX(C_air_CO2,(pool_ret*Q440+pool_b)*N440+P440*O440))</f>
        <v>28.044139423039</v>
      </c>
      <c r="S440" s="41">
        <f>IF(AND(R440&gt;=CO2_pH_hi_mt,R441&lt;CO2_pH_hi_mt),EXP(LN(A440)+(LN(A441)-LN(A440))*(R440-CO2_pH_hi_mt)/(R440-R441)),0)</f>
        <v>0.0</v>
      </c>
    </row>
    <row r="441">
      <c r="A441" s="41">
        <f>A440*grid_ratio</f>
        <v>0.022401290537</v>
      </c>
      <c r="B441" s="41">
        <f>MAX(0,A441*60-spg_dur)</f>
        <v>0.694077432204</v>
      </c>
      <c r="C441" s="41">
        <f>k_eff_CO2*B441</f>
        <v>1.007862647329e-05</v>
      </c>
      <c r="D441" s="41">
        <f>EXP(-C441)</f>
        <v>0.999989921424</v>
      </c>
      <c r="E441" s="41">
        <f>IF(C441&gt;0,(1-D441)/C441,1)</f>
        <v>0.999994960707</v>
      </c>
      <c r="F441" s="41">
        <f>IF(C441&gt;0,(C441-1+D441)/C441^2,1/2)</f>
        <v>0.49999798057</v>
      </c>
      <c r="G441" s="41">
        <f>(C_air_CO2/C_sat_CO2*F_vent_ex-CO2_fix_sched)*(B441/3600)/(V_L_CO2+Vg_CO2)</f>
        <v>-0.0001331817569148</v>
      </c>
      <c r="H441" s="41">
        <f>(G441*E441+pool_b*D441)/(1-pool_ret*D441)</f>
        <v>28.051214585379</v>
      </c>
      <c r="I441" s="41">
        <f>MIN(C_sat_CO2,MAX(C_air_CO2,(pool_ret*H441+pool_b)*E441+G441*F441))</f>
        <v>28.051422535946</v>
      </c>
      <c r="J441" s="41">
        <f>IF(AND(I441&gt;=CO2_pH_hi_mt,I442&lt;CO2_pH_hi_mt),EXP(LN(A441)+(LN(A442)-LN(A441))*(I441-CO2_pH_hi_mt)/(I441-I442)),0)</f>
        <v>0.0</v>
      </c>
      <c r="L441" s="41">
        <f>k_eff_CO2_l*B441</f>
        <v>5.051547692092e-05</v>
      </c>
      <c r="M441" s="41">
        <f>EXP(-L441)</f>
        <v>0.999949485799</v>
      </c>
      <c r="N441" s="41">
        <f>IF(L441&gt;0,(1-M441)/L441,1)</f>
        <v>0.999974742688</v>
      </c>
      <c r="O441" s="41">
        <f>IF(L441&gt;0,(L441-1+M441)/L441^2,1/2)</f>
        <v>0.49999156326</v>
      </c>
      <c r="P441" s="41">
        <f>(C_air_CO2/C_sat_CO2*F_vent_ex-CO2_fix_l)*(B441/3600)/(V_L_CO2+Vg_CO2)</f>
        <v>1.164971969705e-07</v>
      </c>
      <c r="Q441" s="41">
        <f>(P441*N441+pool_b*M441)/(1-pool_ret*M441)</f>
        <v>28.040401958976</v>
      </c>
      <c r="R441" s="41">
        <f>MIN(C_sat_CO2,MAX(C_air_CO2,(pool_ret*Q441+pool_b)*N441+P441*O441))</f>
        <v>28.041110149814</v>
      </c>
      <c r="S441" s="41">
        <f>IF(AND(R441&gt;=CO2_pH_hi_mt,R442&lt;CO2_pH_hi_mt),EXP(LN(A441)+(LN(A442)-LN(A441))*(R441-CO2_pH_hi_mt)/(R441-R442)),0)</f>
        <v>0.0</v>
      </c>
    </row>
    <row r="442">
      <c r="A442" s="41">
        <f>A441*grid_ratio</f>
        <v>0.025090890886</v>
      </c>
      <c r="B442" s="41">
        <f>MAX(0,A442*60-spg_dur)</f>
        <v>0.855453453132</v>
      </c>
      <c r="C442" s="41">
        <f>k_eff_CO2*B442</f>
        <v>1.242195095155e-05</v>
      </c>
      <c r="D442" s="41">
        <f>EXP(-C442)</f>
        <v>0.999987578126</v>
      </c>
      <c r="E442" s="41">
        <f>IF(C442&gt;0,(1-D442)/C442,1)</f>
        <v>0.999993789053</v>
      </c>
      <c r="F442" s="41">
        <f>IF(C442&gt;0,(C442-1+D442)/C442^2,1/2)</f>
        <v>0.499997600822</v>
      </c>
      <c r="G442" s="41">
        <f>(C_air_CO2/C_sat_CO2*F_vent_ex-CO2_fix_sched)*(B442/3600)/(V_L_CO2+Vg_CO2)</f>
        <v>-0.0001641470944896</v>
      </c>
      <c r="H442" s="41">
        <f>(G442*E442+pool_b*D442)/(1-pool_ret*D442)</f>
        <v>28.050169663999</v>
      </c>
      <c r="I442" s="41">
        <f>MIN(C_sat_CO2,MAX(C_air_CO2,(pool_ret*H442+pool_b)*E442+G442*F442))</f>
        <v>28.050425957643</v>
      </c>
      <c r="J442" s="41">
        <f>IF(AND(I442&gt;=CO2_pH_hi_mt,I443&lt;CO2_pH_hi_mt),EXP(LN(A442)+(LN(A443)-LN(A442))*(I442-CO2_pH_hi_mt)/(I442-I443)),0)</f>
        <v>0.0</v>
      </c>
      <c r="L442" s="41">
        <f>k_eff_CO2_l*B442</f>
        <v>6.226054495309e-05</v>
      </c>
      <c r="M442" s="41">
        <f>EXP(-L442)</f>
        <v>0.999937741393</v>
      </c>
      <c r="N442" s="41">
        <f>IF(L442&gt;0,(1-M442)/L442,1)</f>
        <v>0.999968870373</v>
      </c>
      <c r="O442" s="41">
        <f>IF(L442&gt;0,(L442-1+M442)/L442^2,1/2)</f>
        <v>0.499989630114</v>
      </c>
      <c r="P442" s="41">
        <f>(C_air_CO2/C_sat_CO2*F_vent_ex-CO2_fix_l)*(B442/3600)/(V_L_CO2+Vg_CO2)</f>
        <v>1.435833018116e-07</v>
      </c>
      <c r="Q442" s="41">
        <f>(P442*N442+pool_b*M442)/(1-pool_ret*M442)</f>
        <v>28.036845203663</v>
      </c>
      <c r="R442" s="41">
        <f>MIN(C_sat_CO2,MAX(C_air_CO2,(pool_ret*Q442+pool_b)*N442+P442*O442))</f>
        <v>28.03771794459</v>
      </c>
      <c r="S442" s="41">
        <f>IF(AND(R442&gt;=CO2_pH_hi_mt,R443&lt;CO2_pH_hi_mt),EXP(LN(A442)+(LN(A443)-LN(A442))*(R442-CO2_pH_hi_mt)/(R442-R443)),0)</f>
        <v>0.0</v>
      </c>
    </row>
    <row r="443">
      <c r="A443" s="41">
        <f>A442*grid_ratio</f>
        <v>0.028103416828</v>
      </c>
      <c r="B443" s="41">
        <f>MAX(0,A443*60-spg_dur)</f>
        <v>1.036205009657</v>
      </c>
      <c r="C443" s="41">
        <f>k_eff_CO2*B443</f>
        <v>1.504662557451e-05</v>
      </c>
      <c r="D443" s="41">
        <f>EXP(-C443)</f>
        <v>0.999984953488</v>
      </c>
      <c r="E443" s="41">
        <f>IF(C443&gt;0,(1-D443)/C443,1)</f>
        <v>0.999992476725</v>
      </c>
      <c r="F443" s="41">
        <f>IF(C443&gt;0,(C443-1+D443)/C443^2,1/2)</f>
        <v>0.499997452808</v>
      </c>
      <c r="G443" s="41">
        <f>(C_air_CO2/C_sat_CO2*F_vent_ex-CO2_fix_sched)*(B443/3600)/(V_L_CO2+Vg_CO2)</f>
        <v>-0.0001988302706686</v>
      </c>
      <c r="H443" s="41">
        <f>(G443*E443+pool_b*D443)/(1-pool_ret*D443)</f>
        <v>28.04899934455</v>
      </c>
      <c r="I443" s="41">
        <f>MIN(C_sat_CO2,MAX(C_air_CO2,(pool_ret*H443+pool_b)*E443+G443*F443))</f>
        <v>28.049309782645</v>
      </c>
      <c r="J443" s="41">
        <f>IF(AND(I443&gt;=CO2_pH_hi_mt,I444&lt;CO2_pH_hi_mt),EXP(LN(A443)+(LN(A444)-LN(A443))*(I443-CO2_pH_hi_mt)/(I443-I444)),0)</f>
        <v>0.0</v>
      </c>
      <c r="L443" s="41">
        <f>k_eff_CO2_l*B443</f>
        <v>7.54157790212e-05</v>
      </c>
      <c r="M443" s="41">
        <f>EXP(-L443)</f>
        <v>0.999924587065</v>
      </c>
      <c r="N443" s="41">
        <f>IF(L443&gt;0,(1-M443)/L443,1)</f>
        <v>0.999962293059</v>
      </c>
      <c r="O443" s="41">
        <f>IF(L443&gt;0,(L443-1+M443)/L443^2,1/2)</f>
        <v>0.499987413568</v>
      </c>
      <c r="P443" s="41">
        <f>(C_air_CO2/C_sat_CO2*F_vent_ex-CO2_fix_l)*(B443/3600)/(V_L_CO2+Vg_CO2)</f>
        <v>1.739214870142e-07</v>
      </c>
      <c r="Q443" s="41">
        <f>(P443*N443+pool_b*M443)/(1-pool_ret*M443)</f>
        <v>28.032862429876</v>
      </c>
      <c r="R443" s="41">
        <f>MIN(C_sat_CO2,MAX(C_air_CO2,(pool_ret*Q443+pool_b)*N443+P443*O443))</f>
        <v>28.033919429582</v>
      </c>
      <c r="S443" s="41">
        <f>IF(AND(R443&gt;=CO2_pH_hi_mt,R444&lt;CO2_pH_hi_mt),EXP(LN(A443)+(LN(A444)-LN(A443))*(R443-CO2_pH_hi_mt)/(R443-R444)),0)</f>
        <v>0.0</v>
      </c>
    </row>
    <row r="444">
      <c r="A444" s="41">
        <f>A443*grid_ratio</f>
        <v>0.031477640272</v>
      </c>
      <c r="B444" s="41">
        <f>MAX(0,A444*60-spg_dur)</f>
        <v>1.23865841629</v>
      </c>
      <c r="C444" s="41">
        <f>k_eff_CO2*B444</f>
        <v>1.798643051418e-05</v>
      </c>
      <c r="D444" s="41">
        <f>EXP(-C444)</f>
        <v>0.999982013731</v>
      </c>
      <c r="E444" s="41">
        <f>IF(C444&gt;0,(1-D444)/C444,1)</f>
        <v>0.999991006836</v>
      </c>
      <c r="F444" s="41">
        <f>IF(C444&gt;0,(C444-1+D444)/C444^2,1/2)</f>
        <v>0.49999722252</v>
      </c>
      <c r="G444" s="41">
        <f>(C_air_CO2/C_sat_CO2*F_vent_ex-CO2_fix_sched)*(B444/3600)/(V_L_CO2+Vg_CO2)</f>
        <v>-0.0002376776659848</v>
      </c>
      <c r="H444" s="41">
        <f>(G444*E444+pool_b*D444)/(1-pool_ret*D444)</f>
        <v>28.047688586418</v>
      </c>
      <c r="I444" s="41">
        <f>MIN(C_sat_CO2,MAX(C_air_CO2,(pool_ret*H444+pool_b)*E444+G444*F444))</f>
        <v>28.048059666259</v>
      </c>
      <c r="J444" s="41">
        <f>IF(AND(I444&gt;=CO2_pH_hi_mt,I445&lt;CO2_pH_hi_mt),EXP(LN(A444)+(LN(A445)-LN(A444))*(I444-CO2_pH_hi_mt)/(I444-I445)),0)</f>
        <v>0.0</v>
      </c>
      <c r="L444" s="41">
        <f>k_eff_CO2_l*B444</f>
        <v>9.015049004312e-05</v>
      </c>
      <c r="M444" s="41">
        <f>EXP(-L444)</f>
        <v>0.999909853573</v>
      </c>
      <c r="N444" s="41">
        <f>IF(L444&gt;0,(1-M444)/L444,1)</f>
        <v>0.999954926109</v>
      </c>
      <c r="O444" s="41">
        <f>IF(L444&gt;0,(L444-1+M444)/L444^2,1/2)</f>
        <v>0.499984981139</v>
      </c>
      <c r="P444" s="41">
        <f>(C_air_CO2/C_sat_CO2*F_vent_ex-CO2_fix_l)*(B444/3600)/(V_L_CO2+Vg_CO2)</f>
        <v>2.079022120682e-07</v>
      </c>
      <c r="Q444" s="41">
        <f>(P444*N444+pool_b*M444)/(1-pool_ret*M444)</f>
        <v>28.028402747444</v>
      </c>
      <c r="R444" s="41">
        <f>MIN(C_sat_CO2,MAX(C_air_CO2,(pool_ret*Q444+pool_b)*N444+P444*O444))</f>
        <v>28.029666068564</v>
      </c>
      <c r="S444" s="41">
        <f>IF(AND(R444&gt;=CO2_pH_hi_mt,R445&lt;CO2_pH_hi_mt),EXP(LN(A444)+(LN(A445)-LN(A444))*(R444-CO2_pH_hi_mt)/(R444-R445)),0)</f>
        <v>0.0</v>
      </c>
    </row>
    <row r="445">
      <c r="A445" s="41">
        <f>A444*grid_ratio</f>
        <v>0.035256988257</v>
      </c>
      <c r="B445" s="41">
        <f>MAX(0,A445*60-spg_dur)</f>
        <v>1.465419295398</v>
      </c>
      <c r="C445" s="41">
        <f>k_eff_CO2*B445</f>
        <v>2.127920174292e-05</v>
      </c>
      <c r="D445" s="41">
        <f>EXP(-C445)</f>
        <v>0.999978721025</v>
      </c>
      <c r="E445" s="41">
        <f>IF(C445&gt;0,(1-D445)/C445,1)</f>
        <v>0.999989360475</v>
      </c>
      <c r="F445" s="41">
        <f>IF(C445&gt;0,(C445-1+D445)/C445^2,1/2)</f>
        <v>0.499996359475</v>
      </c>
      <c r="G445" s="41">
        <f>(C_air_CO2/C_sat_CO2*F_vent_ex-CO2_fix_sched)*(B445/3600)/(V_L_CO2+Vg_CO2)</f>
        <v>-0.0002811892554384</v>
      </c>
      <c r="H445" s="41">
        <f>(G445*E445+pool_b*D445)/(1-pool_ret*D445)</f>
        <v>28.046220547025</v>
      </c>
      <c r="I445" s="41">
        <f>MIN(C_sat_CO2,MAX(C_air_CO2,(pool_ret*H445+pool_b)*E445+G445*F445))</f>
        <v>28.046659545402</v>
      </c>
      <c r="J445" s="41">
        <f>IF(AND(I445&gt;=CO2_pH_hi_mt,I446&lt;CO2_pH_hi_mt),EXP(LN(A445)+(LN(A446)-LN(A445))*(I445-CO2_pH_hi_mt)/(I445-I446)),0)</f>
        <v>0.0</v>
      </c>
      <c r="L445" s="41">
        <f>k_eff_CO2_l*B445</f>
        <v>0.000106654317172</v>
      </c>
      <c r="M445" s="41">
        <f>EXP(-L445)</f>
        <v>0.99989335137</v>
      </c>
      <c r="N445" s="41">
        <f>IF(L445&gt;0,(1-M445)/L445,1)</f>
        <v>0.999946674737</v>
      </c>
      <c r="O445" s="41">
        <f>IF(L445&gt;0,(L445-1+M445)/L445^2,1/2)</f>
        <v>0.499982222515</v>
      </c>
      <c r="P445" s="41">
        <f>(C_air_CO2/C_sat_CO2*F_vent_ex-CO2_fix_l)*(B445/3600)/(V_L_CO2+Vg_CO2)</f>
        <v>2.459628167974e-07</v>
      </c>
      <c r="Q445" s="41">
        <f>(P445*N445+pool_b*M445)/(1-pool_ret*M445)</f>
        <v>28.023409221948</v>
      </c>
      <c r="R445" s="41">
        <f>MIN(C_sat_CO2,MAX(C_air_CO2,(pool_ret*Q445+pool_b)*N445+P445*O445))</f>
        <v>28.024903560881</v>
      </c>
      <c r="S445" s="41">
        <f>IF(AND(R445&gt;=CO2_pH_hi_mt,R446&lt;CO2_pH_hi_mt),EXP(LN(A445)+(LN(A446)-LN(A445))*(R445-CO2_pH_hi_mt)/(R445-R446)),0)</f>
        <v>0.0</v>
      </c>
    </row>
    <row r="446">
      <c r="A446" s="41">
        <f>A445*grid_ratio</f>
        <v>0.039490101869</v>
      </c>
      <c r="B446" s="41">
        <f>MAX(0,A446*60-spg_dur)</f>
        <v>1.71940611216</v>
      </c>
      <c r="C446" s="41">
        <f>k_eff_CO2*B446</f>
        <v>2.496731799121e-05</v>
      </c>
      <c r="D446" s="41">
        <f>EXP(-C446)</f>
        <v>0.999975032994</v>
      </c>
      <c r="E446" s="41">
        <f>IF(C446&gt;0,(1-D446)/C446,1)</f>
        <v>0.999987516443</v>
      </c>
      <c r="F446" s="41">
        <f>IF(C446&gt;0,(C446-1+D446)/C446^2,1/2)</f>
        <v>0.499995860338</v>
      </c>
      <c r="G446" s="41">
        <f>(C_air_CO2/C_sat_CO2*F_vent_ex-CO2_fix_sched)*(B446/3600)/(V_L_CO2+Vg_CO2)</f>
        <v>-0.0003299250432917</v>
      </c>
      <c r="H446" s="41">
        <f>(G446*E446+pool_b*D446)/(1-pool_ret*D446)</f>
        <v>28.044576366461</v>
      </c>
      <c r="I446" s="41">
        <f>MIN(C_sat_CO2,MAX(C_air_CO2,(pool_ret*H446+pool_b)*E446+G446*F446))</f>
        <v>28.045091432132</v>
      </c>
      <c r="J446" s="41">
        <f>IF(AND(I446&gt;=CO2_pH_hi_mt,I447&lt;CO2_pH_hi_mt),EXP(LN(A446)+(LN(A447)-LN(A446))*(I446-CO2_pH_hi_mt)/(I446-I447)),0)</f>
        <v>0.0</v>
      </c>
      <c r="L446" s="41">
        <f>k_eff_CO2_l*B446</f>
        <v>0.000125139668496</v>
      </c>
      <c r="M446" s="41">
        <f>EXP(-L446)</f>
        <v>0.999874868161</v>
      </c>
      <c r="N446" s="41">
        <f>IF(L446&gt;0,(1-M446)/L446,1)</f>
        <v>0.999937432776</v>
      </c>
      <c r="O446" s="41">
        <f>IF(L446&gt;0,(L446-1+M446)/L446^2,1/2)</f>
        <v>0.499979144048</v>
      </c>
      <c r="P446" s="41">
        <f>(C_air_CO2/C_sat_CO2*F_vent_ex-CO2_fix_l)*(B446/3600)/(V_L_CO2+Vg_CO2)</f>
        <v>2.885931500246e-07</v>
      </c>
      <c r="Q446" s="41">
        <f>(P446*N446+pool_b*M446)/(1-pool_ret*M446)</f>
        <v>28.017818165691</v>
      </c>
      <c r="R446" s="41">
        <f>MIN(C_sat_CO2,MAX(C_air_CO2,(pool_ret*Q446+pool_b)*N446+P446*O446))</f>
        <v>28.019571164762</v>
      </c>
      <c r="S446" s="41">
        <f>IF(AND(R446&gt;=CO2_pH_hi_mt,R447&lt;CO2_pH_hi_mt),EXP(LN(A446)+(LN(A447)-LN(A446))*(R446-CO2_pH_hi_mt)/(R446-R447)),0)</f>
        <v>0.0</v>
      </c>
    </row>
    <row r="447">
      <c r="A447" s="41">
        <f>A446*grid_ratio</f>
        <v>0.044231462265</v>
      </c>
      <c r="B447" s="41">
        <f>MAX(0,A447*60-spg_dur)</f>
        <v>2.003887735899</v>
      </c>
      <c r="C447" s="41">
        <f>k_eff_CO2*B447</f>
        <v>2.909824617178e-05</v>
      </c>
      <c r="D447" s="41">
        <f>EXP(-C447)</f>
        <v>0.999970902177</v>
      </c>
      <c r="E447" s="41">
        <f>IF(C447&gt;0,(1-D447)/C447,1)</f>
        <v>0.999985451017</v>
      </c>
      <c r="F447" s="41">
        <f>IF(C447&gt;0,(C447-1+D447)/C447^2,1/2)</f>
        <v>0.499995211509</v>
      </c>
      <c r="G447" s="41">
        <f>(C_air_CO2/C_sat_CO2*F_vent_ex-CO2_fix_sched)*(B447/3600)/(V_L_CO2+Vg_CO2)</f>
        <v>-0.0003845122704535</v>
      </c>
      <c r="H447" s="41">
        <f>(G447*E447+pool_b*D447)/(1-pool_ret*D447)</f>
        <v>28.042734926511</v>
      </c>
      <c r="I447" s="41">
        <f>MIN(C_sat_CO2,MAX(C_air_CO2,(pool_ret*H447+pool_b)*E447+G447*F447))</f>
        <v>28.043335185624</v>
      </c>
      <c r="J447" s="41">
        <f>IF(AND(I447&gt;=CO2_pH_hi_mt,I448&lt;CO2_pH_hi_mt),EXP(LN(A447)+(LN(A448)-LN(A447))*(I447-CO2_pH_hi_mt)/(I447-I448)),0)</f>
        <v>0.0</v>
      </c>
      <c r="L447" s="41">
        <f>k_eff_CO2_l*B447</f>
        <v>0.0001458444547802</v>
      </c>
      <c r="M447" s="41">
        <f>EXP(-L447)</f>
        <v>0.99985416618</v>
      </c>
      <c r="N447" s="41">
        <f>IF(L447&gt;0,(1-M447)/L447,1)</f>
        <v>0.999927081317</v>
      </c>
      <c r="O447" s="41">
        <f>IF(L447&gt;0,(L447-1+M447)/L447^2,1/2)</f>
        <v>0.499975694232</v>
      </c>
      <c r="P447" s="41">
        <f>(C_air_CO2/C_sat_CO2*F_vent_ex-CO2_fix_l)*(B447/3600)/(V_L_CO2+Vg_CO2)</f>
        <v>3.363418740395e-07</v>
      </c>
      <c r="Q447" s="41">
        <f>(P447*N447+pool_b*M447)/(1-pool_ret*M447)</f>
        <v>28.011558347763</v>
      </c>
      <c r="R447" s="41">
        <f>MIN(C_sat_CO2,MAX(C_air_CO2,(pool_ret*Q447+pool_b)*N447+P447*O447))</f>
        <v>28.013600944114</v>
      </c>
      <c r="S447" s="41">
        <f>IF(AND(R447&gt;=CO2_pH_hi_mt,R448&lt;CO2_pH_hi_mt),EXP(LN(A447)+(LN(A448)-LN(A447))*(R447-CO2_pH_hi_mt)/(R447-R448)),0)</f>
        <v>0.0</v>
      </c>
    </row>
    <row r="448">
      <c r="A448" s="41">
        <f>A447*grid_ratio</f>
        <v>0.049542091853</v>
      </c>
      <c r="B448" s="41">
        <f>MAX(0,A448*60-spg_dur)</f>
        <v>2.322525511187</v>
      </c>
      <c r="C448" s="41">
        <f>k_eff_CO2*B448</f>
        <v>3.372515228974e-05</v>
      </c>
      <c r="D448" s="41">
        <f>EXP(-C448)</f>
        <v>0.999966275416</v>
      </c>
      <c r="E448" s="41">
        <f>IF(C448&gt;0,(1-D448)/C448,1)</f>
        <v>0.999983137613</v>
      </c>
      <c r="F448" s="41">
        <f>IF(C448&gt;0,(C448-1+D448)/C448^2,1/2)</f>
        <v>0.499994367627</v>
      </c>
      <c r="G448" s="41">
        <f>(C_air_CO2/C_sat_CO2*F_vent_ex-CO2_fix_sched)*(B448/3600)/(V_L_CO2+Vg_CO2)</f>
        <v>-0.0004456534872159</v>
      </c>
      <c r="H448" s="41">
        <f>(G448*E448+pool_b*D448)/(1-pool_ret*D448)</f>
        <v>28.040672581064</v>
      </c>
      <c r="I448" s="41">
        <f>MIN(C_sat_CO2,MAX(C_air_CO2,(pool_ret*H448+pool_b)*E448+G448*F448))</f>
        <v>28.041368253601</v>
      </c>
      <c r="J448" s="41">
        <f>IF(AND(I448&gt;=CO2_pH_hi_mt,I449&lt;CO2_pH_hi_mt),EXP(LN(A448)+(LN(A449)-LN(A448))*(I448-CO2_pH_hi_mt)/(I448-I449)),0)</f>
        <v>0.0</v>
      </c>
      <c r="L448" s="41">
        <f>k_eff_CO2_l*B448</f>
        <v>0.0001690351514328</v>
      </c>
      <c r="M448" s="41">
        <f>EXP(-L448)</f>
        <v>0.999830979134</v>
      </c>
      <c r="N448" s="41">
        <f>IF(L448&gt;0,(1-M448)/L448,1)</f>
        <v>0.999915487186</v>
      </c>
      <c r="O448" s="41">
        <f>IF(L448&gt;0,(L448-1+M448)/L448^2,1/2)</f>
        <v>0.499971831004</v>
      </c>
      <c r="P448" s="41">
        <f>(C_air_CO2/C_sat_CO2*F_vent_ex-CO2_fix_l)*(B448/3600)/(V_L_CO2+Vg_CO2)</f>
        <v>3.898235260103e-07</v>
      </c>
      <c r="Q448" s="41">
        <f>(P448*N448+pool_b*M448)/(1-pool_ret*M448)</f>
        <v>28.00455011452</v>
      </c>
      <c r="R448" s="41">
        <f>MIN(C_sat_CO2,MAX(C_air_CO2,(pool_ret*Q448+pool_b)*N448+P448*O448))</f>
        <v>28.006916929646</v>
      </c>
      <c r="S448" s="41">
        <f>IF(AND(R448&gt;=CO2_pH_hi_mt,R449&lt;CO2_pH_hi_mt),EXP(LN(A448)+(LN(A449)-LN(A448))*(R448-CO2_pH_hi_mt)/(R448-R449)),0)</f>
        <v>0.0</v>
      </c>
    </row>
    <row r="449">
      <c r="A449" s="41">
        <f>A448*grid_ratio</f>
        <v>0.05549033967</v>
      </c>
      <c r="B449" s="41">
        <f>MAX(0,A449*60-spg_dur)</f>
        <v>2.679420380196</v>
      </c>
      <c r="C449" s="41">
        <f>k_eff_CO2*B449</f>
        <v>3.890758570148e-05</v>
      </c>
      <c r="D449" s="41">
        <f>EXP(-C449)</f>
        <v>0.999961093171</v>
      </c>
      <c r="E449" s="41">
        <f>IF(C449&gt;0,(1-D449)/C449,1)</f>
        <v>0.999980546458</v>
      </c>
      <c r="F449" s="41">
        <f>IF(C449&gt;0,(C449-1+D449)/C449^2,1/2)</f>
        <v>0.499993536553</v>
      </c>
      <c r="G449" s="41">
        <f>(C_air_CO2/C_sat_CO2*F_vent_ex-CO2_fix_sched)*(B449/3600)/(V_L_CO2+Vg_CO2)</f>
        <v>-0.000514135595239</v>
      </c>
      <c r="H449" s="41">
        <f>(G449*E449+pool_b*D449)/(1-pool_ret*D449)</f>
        <v>28.038362854548</v>
      </c>
      <c r="I449" s="41">
        <f>MIN(C_sat_CO2,MAX(C_air_CO2,(pool_ret*H449+pool_b)*E449+G449*F449))</f>
        <v>28.039165385215</v>
      </c>
      <c r="J449" s="41">
        <f>IF(AND(I449&gt;=CO2_pH_hi_mt,I450&lt;CO2_pH_hi_mt),EXP(LN(A449)+(LN(A450)-LN(A449))*(I449-CO2_pH_hi_mt)/(I449-I450)),0)</f>
        <v>0.0</v>
      </c>
      <c r="L449" s="41">
        <f>k_eff_CO2_l*B449</f>
        <v>0.000195010228106</v>
      </c>
      <c r="M449" s="41">
        <f>EXP(-L449)</f>
        <v>0.999805008785</v>
      </c>
      <c r="N449" s="41">
        <f>IF(L449&gt;0,(1-M449)/L449,1)</f>
        <v>0.999902501224</v>
      </c>
      <c r="O449" s="41">
        <f>IF(L449&gt;0,(L449-1+M449)/L449^2,1/2)</f>
        <v>0.49996750114</v>
      </c>
      <c r="P449" s="41">
        <f>(C_air_CO2/C_sat_CO2*F_vent_ex-CO2_fix_l)*(B449/3600)/(V_L_CO2+Vg_CO2)</f>
        <v>4.497264272194e-07</v>
      </c>
      <c r="Q449" s="41">
        <f>(P449*N449+pool_b*M449)/(1-pool_ret*M449)</f>
        <v>27.996704411059</v>
      </c>
      <c r="R449" s="41">
        <f>MIN(C_sat_CO2,MAX(C_air_CO2,(pool_ret*Q449+pool_b)*N449+P449*O449))</f>
        <v>27.999434185494</v>
      </c>
      <c r="S449" s="41">
        <f>IF(AND(R449&gt;=CO2_pH_hi_mt,R450&lt;CO2_pH_hi_mt),EXP(LN(A449)+(LN(A450)-LN(A449))*(R449-CO2_pH_hi_mt)/(R449-R450)),0)</f>
        <v>0.0</v>
      </c>
    </row>
    <row r="450">
      <c r="A450" s="41">
        <f>A449*grid_ratio</f>
        <v>0.062152761046</v>
      </c>
      <c r="B450" s="41">
        <f>MAX(0,A450*60-spg_dur)</f>
        <v>3.079165662784</v>
      </c>
      <c r="C450" s="41">
        <f>k_eff_CO2*B450</f>
        <v>4.471224552865e-05</v>
      </c>
      <c r="D450" s="41">
        <f>EXP(-C450)</f>
        <v>0.999955288754</v>
      </c>
      <c r="E450" s="41">
        <f>IF(C450&gt;0,(1-D450)/C450,1)</f>
        <v>0.99997764421</v>
      </c>
      <c r="F450" s="41">
        <f>IF(C450&gt;0,(C450-1+D450)/C450^2,1/2)</f>
        <v>0.499992537834</v>
      </c>
      <c r="G450" s="41">
        <f>(C_air_CO2/C_sat_CO2*F_vent_ex-CO2_fix_sched)*(B450/3600)/(V_L_CO2+Vg_CO2)</f>
        <v>-0.0005908399751586</v>
      </c>
      <c r="H450" s="41">
        <f>(G450*E450+pool_b*D450)/(1-pool_ret*D450)</f>
        <v>28.035776104652</v>
      </c>
      <c r="I450" s="41">
        <f>MIN(C_sat_CO2,MAX(C_air_CO2,(pool_ret*H450+pool_b)*E450+G450*F450))</f>
        <v>28.036698309626</v>
      </c>
      <c r="J450" s="41">
        <f>IF(AND(I450&gt;=CO2_pH_hi_mt,I451&lt;CO2_pH_hi_mt),EXP(LN(A450)+(LN(A451)-LN(A450))*(I450-CO2_pH_hi_mt)/(I450-I451)),0)</f>
        <v>0.0</v>
      </c>
      <c r="L450" s="41">
        <f>k_eff_CO2_l*B450</f>
        <v>0.0002241039900696</v>
      </c>
      <c r="M450" s="41">
        <f>EXP(-L450)</f>
        <v>0.999775921119</v>
      </c>
      <c r="N450" s="41">
        <f>IF(L450&gt;0,(1-M450)/L450,1)</f>
        <v>0.999887956375</v>
      </c>
      <c r="O450" s="41">
        <f>IF(L450&gt;0,(L450-1+M450)/L450^2,1/2)</f>
        <v>0.499962651212</v>
      </c>
      <c r="P450" s="41">
        <f>(C_air_CO2/C_sat_CO2*F_vent_ex-CO2_fix_l)*(B450/3600)/(V_L_CO2+Vg_CO2)</f>
        <v>5.168215419183e-07</v>
      </c>
      <c r="Q450" s="41">
        <f>(P450*N450+pool_b*M450)/(1-pool_ret*M450)</f>
        <v>27.987921693449</v>
      </c>
      <c r="R450" s="41">
        <f>MIN(C_sat_CO2,MAX(C_air_CO2,(pool_ret*Q450+pool_b)*N450+P450*O450))</f>
        <v>27.991057771765</v>
      </c>
      <c r="S450" s="41">
        <f>IF(AND(R450&gt;=CO2_pH_hi_mt,R451&lt;CO2_pH_hi_mt),EXP(LN(A450)+(LN(A451)-LN(A450))*(R450-CO2_pH_hi_mt)/(R450-R451)),0)</f>
        <v>0.0</v>
      </c>
    </row>
    <row r="451">
      <c r="A451" s="41">
        <f>A450*grid_ratio</f>
        <v>0.069615102893</v>
      </c>
      <c r="B451" s="41">
        <f>MAX(0,A451*60-spg_dur)</f>
        <v>3.52690617358</v>
      </c>
      <c r="C451" s="41">
        <f>k_eff_CO2*B451</f>
        <v>5.121383909141e-05</v>
      </c>
      <c r="D451" s="41">
        <f>EXP(-C451)</f>
        <v>0.999948787472</v>
      </c>
      <c r="E451" s="41">
        <f>IF(C451&gt;0,(1-D451)/C451,1)</f>
        <v>0.999974393518</v>
      </c>
      <c r="F451" s="41">
        <f>IF(C451&gt;0,(C451-1+D451)/C451^2,1/2)</f>
        <v>0.499991482431</v>
      </c>
      <c r="G451" s="41">
        <f>(C_air_CO2/C_sat_CO2*F_vent_ex-CO2_fix_sched)*(B451/3600)/(V_L_CO2+Vg_CO2)</f>
        <v>-0.0006767538301596</v>
      </c>
      <c r="H451" s="41">
        <f>(G451*E451+pool_b*D451)/(1-pool_ret*D451)</f>
        <v>28.03287914517</v>
      </c>
      <c r="I451" s="41">
        <f>MIN(C_sat_CO2,MAX(C_air_CO2,(pool_ret*H451+pool_b)*E451+G451*F451))</f>
        <v>28.033935375784</v>
      </c>
      <c r="J451" s="41">
        <f>IF(AND(I451&gt;=CO2_pH_hi_mt,I452&lt;CO2_pH_hi_mt),EXP(LN(A451)+(LN(A452)-LN(A451))*(I451-CO2_pH_hi_mt)/(I451-I452)),0)</f>
        <v>0.0</v>
      </c>
      <c r="L451" s="41">
        <f>k_eff_CO2_l*B451</f>
        <v>0.0002566908807971</v>
      </c>
      <c r="M451" s="41">
        <f>EXP(-L451)</f>
        <v>0.999743342061</v>
      </c>
      <c r="N451" s="41">
        <f>IF(L451&gt;0,(1-M451)/L451,1)</f>
        <v>0.999871665541</v>
      </c>
      <c r="O451" s="41">
        <f>IF(L451&gt;0,(L451-1+M451)/L451^2,1/2)</f>
        <v>0.499957221456</v>
      </c>
      <c r="P451" s="41">
        <f>(C_air_CO2/C_sat_CO2*F_vent_ex-CO2_fix_l)*(B451/3600)/(V_L_CO2+Vg_CO2)</f>
        <v>5.919723998166e-07</v>
      </c>
      <c r="Q451" s="41">
        <f>(P451*N451+pool_b*M451)/(1-pool_ret*M451)</f>
        <v>27.978090720656</v>
      </c>
      <c r="R451" s="41">
        <f>MIN(C_sat_CO2,MAX(C_air_CO2,(pool_ret*Q451+pool_b)*N451+P451*O451))</f>
        <v>27.981681592283</v>
      </c>
      <c r="S451" s="41">
        <f>IF(AND(R451&gt;=CO2_pH_hi_mt,R452&lt;CO2_pH_hi_mt),EXP(LN(A451)+(LN(A452)-LN(A451))*(R451-CO2_pH_hi_mt)/(R451-R452)),0)</f>
        <v>0.0</v>
      </c>
    </row>
    <row r="452">
      <c r="A452" s="41">
        <f>A451*grid_ratio</f>
        <v>0.077973407283</v>
      </c>
      <c r="B452" s="41">
        <f>MAX(0,A452*60-spg_dur)</f>
        <v>4.028404436951</v>
      </c>
      <c r="C452" s="41">
        <f>k_eff_CO2*B452</f>
        <v>5.849604340898e-05</v>
      </c>
      <c r="D452" s="41">
        <f>EXP(-C452)</f>
        <v>0.999941505667</v>
      </c>
      <c r="E452" s="41">
        <f>IF(C452&gt;0,(1-D452)/C452,1)</f>
        <v>0.999970752549</v>
      </c>
      <c r="F452" s="41">
        <f>IF(C452&gt;0,(C452-1+D452)/C452^2,1/2)</f>
        <v>0.49999026357</v>
      </c>
      <c r="G452" s="41">
        <f>(C_air_CO2/C_sat_CO2*F_vent_ex-CO2_fix_sched)*(B452/3600)/(V_L_CO2+Vg_CO2)</f>
        <v>-0.00077298289151</v>
      </c>
      <c r="H452" s="41">
        <f>(G452*E452+pool_b*D452)/(1-pool_ret*D452)</f>
        <v>28.029634824341</v>
      </c>
      <c r="I452" s="41">
        <f>MIN(C_sat_CO2,MAX(C_air_CO2,(pool_ret*H452+pool_b)*E452+G452*F452))</f>
        <v>28.030841150665</v>
      </c>
      <c r="J452" s="41">
        <f>IF(AND(I452&gt;=CO2_pH_hi_mt,I453&lt;CO2_pH_hi_mt),EXP(LN(A452)+(LN(A453)-LN(A452))*(I452-CO2_pH_hi_mt)/(I452-I453)),0)</f>
        <v>0.0</v>
      </c>
      <c r="L452" s="41">
        <f>k_eff_CO2_l*B452</f>
        <v>0.000293190301141</v>
      </c>
      <c r="M452" s="41">
        <f>EXP(-L452)</f>
        <v>0.999706852675</v>
      </c>
      <c r="N452" s="41">
        <f>IF(L452&gt;0,(1-M452)/L452,1)</f>
        <v>0.999853419175</v>
      </c>
      <c r="O452" s="41">
        <f>IF(L452&gt;0,(L452-1+M452)/L452^2,1/2)</f>
        <v>0.499951139352</v>
      </c>
      <c r="P452" s="41">
        <f>(C_air_CO2/C_sat_CO2*F_vent_ex-CO2_fix_l)*(B452/3600)/(V_L_CO2+Vg_CO2)</f>
        <v>6.761462099097e-07</v>
      </c>
      <c r="Q452" s="41">
        <f>(P452*N452+pool_b*M452)/(1-pool_ret*M452)</f>
        <v>27.967087214288</v>
      </c>
      <c r="R452" s="41">
        <f>MIN(C_sat_CO2,MAX(C_air_CO2,(pool_ret*Q452+pool_b)*N452+P452*O452))</f>
        <v>27.971187116248</v>
      </c>
      <c r="S452" s="41">
        <f>IF(AND(R452&gt;=CO2_pH_hi_mt,R453&lt;CO2_pH_hi_mt),EXP(LN(A452)+(LN(A453)-LN(A452))*(R452-CO2_pH_hi_mt)/(R452-R453)),0)</f>
        <v>0.0</v>
      </c>
    </row>
    <row r="453">
      <c r="A453" s="41">
        <f>A452*grid_ratio</f>
        <v>0.087335247534</v>
      </c>
      <c r="B453" s="41">
        <f>MAX(0,A453*60-spg_dur)</f>
        <v>4.590114852022</v>
      </c>
      <c r="C453" s="41">
        <f>k_eff_CO2*B453</f>
        <v>6.665258214225e-05</v>
      </c>
      <c r="D453" s="41">
        <f>EXP(-C453)</f>
        <v>0.999933349639</v>
      </c>
      <c r="E453" s="41">
        <f>IF(C453&gt;0,(1-D453)/C453,1)</f>
        <v>0.999966674449</v>
      </c>
      <c r="F453" s="41">
        <f>IF(C453&gt;0,(C453-1+D453)/C453^2,1/2)</f>
        <v>0.499988885123</v>
      </c>
      <c r="G453" s="41">
        <f>(C_air_CO2/C_sat_CO2*F_vent_ex-CO2_fix_sched)*(B453/3600)/(V_L_CO2+Vg_CO2)</f>
        <v>-0.0008807656495793</v>
      </c>
      <c r="H453" s="41">
        <f>(G453*E453+pool_b*D453)/(1-pool_ret*D453)</f>
        <v>28.02600155353</v>
      </c>
      <c r="I453" s="41">
        <f>MIN(C_sat_CO2,MAX(C_air_CO2,(pool_ret*H453+pool_b)*E453+G453*F453))</f>
        <v>28.027375969582</v>
      </c>
      <c r="J453" s="41">
        <f>IF(AND(I453&gt;=CO2_pH_hi_mt,I454&lt;CO2_pH_hi_mt),EXP(LN(A453)+(LN(A454)-LN(A453))*(I453-CO2_pH_hi_mt)/(I453-I454)),0)</f>
        <v>0.0</v>
      </c>
      <c r="L453" s="41">
        <f>k_eff_CO2_l*B453</f>
        <v>0.0003340720071182</v>
      </c>
      <c r="M453" s="41">
        <f>EXP(-L453)</f>
        <v>0.999665983789</v>
      </c>
      <c r="N453" s="41">
        <f>IF(L453&gt;0,(1-M453)/L453,1)</f>
        <v>0.999832982596</v>
      </c>
      <c r="O453" s="41">
        <f>IF(L453&gt;0,(L453-1+M453)/L453^2,1/2)</f>
        <v>0.499944325832</v>
      </c>
      <c r="P453" s="41">
        <f>(C_air_CO2/C_sat_CO2*F_vent_ex-CO2_fix_l)*(B453/3600)/(V_L_CO2+Vg_CO2)</f>
        <v>7.704263086837e-07</v>
      </c>
      <c r="Q453" s="41">
        <f>(P453*N453+pool_b*M453)/(1-pool_ret*M453)</f>
        <v>27.954772373494</v>
      </c>
      <c r="R453" s="41">
        <f>MIN(C_sat_CO2,MAX(C_air_CO2,(pool_ret*Q453+pool_b)*N453+P453*O453))</f>
        <v>27.959441961717</v>
      </c>
      <c r="S453" s="41">
        <f>IF(AND(R453&gt;=CO2_pH_hi_mt,R454&lt;CO2_pH_hi_mt),EXP(LN(A453)+(LN(A454)-LN(A453))*(R453-CO2_pH_hi_mt)/(R453-R454)),0)</f>
        <v>0.0</v>
      </c>
    </row>
    <row r="454">
      <c r="A454" s="41">
        <f>A453*grid_ratio</f>
        <v>0.097821112705</v>
      </c>
      <c r="B454" s="41">
        <f>MAX(0,A454*60-spg_dur)</f>
        <v>5.219266762298</v>
      </c>
      <c r="C454" s="41">
        <f>k_eff_CO2*B454</f>
        <v>7.578843183916e-05</v>
      </c>
      <c r="D454" s="41">
        <f>EXP(-C454)</f>
        <v>0.99992421444</v>
      </c>
      <c r="E454" s="41">
        <f>IF(C454&gt;0,(1-D454)/C454,1)</f>
        <v>0.999962106742</v>
      </c>
      <c r="F454" s="41">
        <f>IF(C454&gt;0,(C454-1+D454)/C454^2,1/2)</f>
        <v>0.499987365675</v>
      </c>
      <c r="G454" s="41">
        <f>(C_air_CO2/C_sat_CO2*F_vent_ex-CO2_fix_sched)*(B454/3600)/(V_L_CO2+Vg_CO2)</f>
        <v>-0.001001489293</v>
      </c>
      <c r="H454" s="41">
        <f>(G454*E454+pool_b*D454)/(1-pool_ret*D454)</f>
        <v>28.021932780554</v>
      </c>
      <c r="I454" s="41">
        <f>MIN(C_sat_CO2,MAX(C_air_CO2,(pool_ret*H454+pool_b)*E454+G454*F454))</f>
        <v>28.023495433872</v>
      </c>
      <c r="J454" s="41">
        <f>IF(AND(I454&gt;=CO2_pH_hi_mt,I455&lt;CO2_pH_hi_mt),EXP(LN(A454)+(LN(A455)-LN(A454))*(I454-CO2_pH_hi_mt)/(I454-I455)),0)</f>
        <v>0.0</v>
      </c>
      <c r="L454" s="41">
        <f>k_eff_CO2_l*B454</f>
        <v>0.0003798621557799</v>
      </c>
      <c r="M454" s="41">
        <f>EXP(-L454)</f>
        <v>0.999620209983</v>
      </c>
      <c r="N454" s="41">
        <f>IF(L454&gt;0,(1-M454)/L454,1)</f>
        <v>0.999810092969</v>
      </c>
      <c r="O454" s="41">
        <f>IF(L454&gt;0,(L454-1+M454)/L454^2,1/2)</f>
        <v>0.499936695642</v>
      </c>
      <c r="P454" s="41">
        <f>(C_air_CO2/C_sat_CO2*F_vent_ex-CO2_fix_l)*(B454/3600)/(V_L_CO2+Vg_CO2)</f>
        <v>8.760261029071e-07</v>
      </c>
      <c r="Q454" s="41">
        <f>(P454*N454+pool_b*M454)/(1-pool_ret*M454)</f>
        <v>27.940991231607</v>
      </c>
      <c r="R454" s="41">
        <f>MIN(C_sat_CO2,MAX(C_air_CO2,(pool_ret*Q454+pool_b)*N454+P454*O454))</f>
        <v>27.946298328144</v>
      </c>
      <c r="S454" s="41">
        <f>IF(AND(R454&gt;=CO2_pH_hi_mt,R455&lt;CO2_pH_hi_mt),EXP(LN(A454)+(LN(A455)-LN(A454))*(R454-CO2_pH_hi_mt)/(R454-R455)),0)</f>
        <v>0.0</v>
      </c>
    </row>
    <row r="455">
      <c r="A455" s="41">
        <f>A454*grid_ratio</f>
        <v>0.109565958316</v>
      </c>
      <c r="B455" s="41">
        <f>MAX(0,A455*60-spg_dur)</f>
        <v>5.923957498989</v>
      </c>
      <c r="C455" s="41">
        <f>k_eff_CO2*B455</f>
        <v>8.602117300718e-05</v>
      </c>
      <c r="D455" s="41">
        <f>EXP(-C455)</f>
        <v>0.999913982527</v>
      </c>
      <c r="E455" s="41">
        <f>IF(C455&gt;0,(1-D455)/C455,1)</f>
        <v>0.999956990647</v>
      </c>
      <c r="F455" s="41">
        <f>IF(C455&gt;0,(C455-1+D455)/C455^2,1/2)</f>
        <v>0.499985658233</v>
      </c>
      <c r="G455" s="41">
        <f>(C_air_CO2/C_sat_CO2*F_vent_ex-CO2_fix_sched)*(B455/3600)/(V_L_CO2+Vg_CO2)</f>
        <v>-0.001136707565</v>
      </c>
      <c r="H455" s="41">
        <f>(G455*E455+pool_b*D455)/(1-pool_ret*D455)</f>
        <v>28.017376401279</v>
      </c>
      <c r="I455" s="41">
        <f>MIN(C_sat_CO2,MAX(C_air_CO2,(pool_ret*H455+pool_b)*E455+G455*F455))</f>
        <v>28.019149849715</v>
      </c>
      <c r="J455" s="41">
        <f>IF(AND(I455&gt;=CO2_pH_hi_mt,I456&lt;CO2_pH_hi_mt),EXP(LN(A455)+(LN(A456)-LN(A455))*(I455-CO2_pH_hi_mt)/(I455-I456)),0)</f>
        <v>0.0</v>
      </c>
      <c r="L455" s="41">
        <f>k_eff_CO2_l*B455</f>
        <v>0.0004311500769744</v>
      </c>
      <c r="M455" s="41">
        <f>EXP(-L455)</f>
        <v>0.999568942855</v>
      </c>
      <c r="N455" s="41">
        <f>IF(L455&gt;0,(1-M455)/L455,1)</f>
        <v>0.99978445594</v>
      </c>
      <c r="O455" s="41">
        <f>IF(L455&gt;0,(L455-1+M455)/L455^2,1/2)</f>
        <v>0.499928149466</v>
      </c>
      <c r="P455" s="41">
        <f>(C_air_CO2/C_sat_CO2*F_vent_ex-CO2_fix_l)*(B455/3600)/(V_L_CO2+Vg_CO2)</f>
        <v>9.943046864579e-07</v>
      </c>
      <c r="Q455" s="41">
        <f>(P455*N455+pool_b*M455)/(1-pool_ret*M455)</f>
        <v>27.925570840489</v>
      </c>
      <c r="R455" s="41">
        <f>MIN(C_sat_CO2,MAX(C_air_CO2,(pool_ret*Q455+pool_b)*N455+P455*O455))</f>
        <v>27.931591264548</v>
      </c>
      <c r="S455" s="41">
        <f>IF(AND(R455&gt;=CO2_pH_hi_mt,R456&lt;CO2_pH_hi_mt),EXP(LN(A455)+(LN(A456)-LN(A455))*(R455-CO2_pH_hi_mt)/(R455-R456)),0)</f>
        <v>0.0</v>
      </c>
    </row>
    <row r="456">
      <c r="A456" s="41">
        <f>A455*grid_ratio</f>
        <v>0.122720943259</v>
      </c>
      <c r="B456" s="41">
        <f>MAX(0,A456*60-spg_dur)</f>
        <v>6.713256595548</v>
      </c>
      <c r="C456" s="41">
        <f>k_eff_CO2*B456</f>
        <v>9.748250340177e-05</v>
      </c>
      <c r="D456" s="41">
        <f>EXP(-C456)</f>
        <v>0.999902522248</v>
      </c>
      <c r="E456" s="41">
        <f>IF(C456&gt;0,(1-D456)/C456,1)</f>
        <v>0.999951260333</v>
      </c>
      <c r="F456" s="41">
        <f>IF(C456&gt;0,(C456-1+D456)/C456^2,1/2)</f>
        <v>0.499983751306</v>
      </c>
      <c r="G456" s="41">
        <f>(C_air_CO2/C_sat_CO2*F_vent_ex-CO2_fix_sched)*(B456/3600)/(V_L_CO2+Vg_CO2)</f>
        <v>-0.001288160753</v>
      </c>
      <c r="H456" s="41">
        <f>(G456*E456+pool_b*D456)/(1-pool_ret*D456)</f>
        <v>28.012274102506</v>
      </c>
      <c r="I456" s="41">
        <f>MIN(C_sat_CO2,MAX(C_air_CO2,(pool_ret*H456+pool_b)*E456+G456*F456))</f>
        <v>28.0142836015</v>
      </c>
      <c r="J456" s="41">
        <f>IF(AND(I456&gt;=CO2_pH_hi_mt,I457&lt;CO2_pH_hi_mt),EXP(LN(A456)+(LN(A457)-LN(A456))*(I456-CO2_pH_hi_mt)/(I456-I457)),0)</f>
        <v>0.0</v>
      </c>
      <c r="L456" s="41">
        <f>k_eff_CO2_l*B456</f>
        <v>0.0004885958581595</v>
      </c>
      <c r="M456" s="41">
        <f>EXP(-L456)</f>
        <v>0.999511523485</v>
      </c>
      <c r="N456" s="41">
        <f>IF(L456&gt;0,(1-M456)/L456,1)</f>
        <v>0.999755741854</v>
      </c>
      <c r="O456" s="41">
        <f>IF(L456&gt;0,(L456-1+M456)/L456^2,1/2)</f>
        <v>0.49991857741</v>
      </c>
      <c r="P456" s="41">
        <f>(C_air_CO2/C_sat_CO2*F_vent_ex-CO2_fix_l)*(B456/3600)/(V_L_CO2+Vg_CO2)</f>
        <v>1.126784332178e-06</v>
      </c>
      <c r="Q456" s="41">
        <f>(P456*N456+pool_b*M456)/(1-pool_ret*M456)</f>
        <v>27.908318268052</v>
      </c>
      <c r="R456" s="41">
        <f>MIN(C_sat_CO2,MAX(C_air_CO2,(pool_ret*Q456+pool_b)*N456+P456*O456))</f>
        <v>27.915136759468</v>
      </c>
      <c r="S456" s="41">
        <f>IF(AND(R456&gt;=CO2_pH_hi_mt,R457&lt;CO2_pH_hi_mt),EXP(LN(A456)+(LN(A457)-LN(A456))*(R456-CO2_pH_hi_mt)/(R456-R457)),0)</f>
        <v>0.0</v>
      </c>
    </row>
    <row r="457">
      <c r="A457" s="41">
        <f>A456*grid_ratio</f>
        <v>0.137455375244</v>
      </c>
      <c r="B457" s="41">
        <f>MAX(0,A457*60-spg_dur)</f>
        <v>7.597322514666</v>
      </c>
      <c r="C457" s="41">
        <f>k_eff_CO2*B457</f>
        <v>0.0001103199330071</v>
      </c>
      <c r="D457" s="41">
        <f>EXP(-C457)</f>
        <v>0.999889686152</v>
      </c>
      <c r="E457" s="41">
        <f>IF(C457&gt;0,(1-D457)/C457,1)</f>
        <v>0.999944842062</v>
      </c>
      <c r="F457" s="41">
        <f>IF(C457&gt;0,(C457-1+D457)/C457^2,1/2)</f>
        <v>0.499981614053</v>
      </c>
      <c r="G457" s="41">
        <f>(C_air_CO2/C_sat_CO2*F_vent_ex-CO2_fix_sched)*(B457/3600)/(V_L_CO2+Vg_CO2)</f>
        <v>-0.001457798098</v>
      </c>
      <c r="H457" s="41">
        <f>(G457*E457+pool_b*D457)/(1-pool_ret*D457)</f>
        <v>28.006560628348</v>
      </c>
      <c r="I457" s="41">
        <f>MIN(C_sat_CO2,MAX(C_air_CO2,(pool_ret*H457+pool_b)*E457+G457*F457))</f>
        <v>28.008834451968</v>
      </c>
      <c r="J457" s="41">
        <f>IF(AND(I457&gt;=CO2_pH_hi_mt,I458&lt;CO2_pH_hi_mt),EXP(LN(A457)+(LN(A458)-LN(A457))*(I457-CO2_pH_hi_mt)/(I457-I458)),0)</f>
        <v>0.0</v>
      </c>
      <c r="L457" s="41">
        <f>k_eff_CO2_l*B457</f>
        <v>0.0005529388398813</v>
      </c>
      <c r="M457" s="41">
        <f>EXP(-L457)</f>
        <v>0.999447214003</v>
      </c>
      <c r="N457" s="41">
        <f>IF(L457&gt;0,(1-M457)/L457,1)</f>
        <v>0.99972358153</v>
      </c>
      <c r="O457" s="41">
        <f>IF(L457&gt;0,(L457-1+M457)/L457^2,1/2)</f>
        <v>0.499907856005</v>
      </c>
      <c r="P457" s="41">
        <f>(C_air_CO2/C_sat_CO2*F_vent_ex-CO2_fix_l)*(B457/3600)/(V_L_CO2+Vg_CO2)</f>
        <v>1.275170083876e-06</v>
      </c>
      <c r="Q457" s="41">
        <f>(P457*N457+pool_b*M457)/(1-pool_ret*M457)</f>
        <v>27.889018394176</v>
      </c>
      <c r="R457" s="41">
        <f>MIN(C_sat_CO2,MAX(C_air_CO2,(pool_ret*Q457+pool_b)*N457+P457*O457))</f>
        <v>27.896729638547</v>
      </c>
      <c r="S457" s="41">
        <f>IF(AND(R457&gt;=CO2_pH_hi_mt,R458&lt;CO2_pH_hi_mt),EXP(LN(A457)+(LN(A458)-LN(A457))*(R457-CO2_pH_hi_mt)/(R457-R458)),0)</f>
        <v>0.0</v>
      </c>
    </row>
    <row r="458">
      <c r="A458" s="41">
        <f>A457*grid_ratio</f>
        <v>0.153958889834</v>
      </c>
      <c r="B458" s="41">
        <f>MAX(0,A458*60-spg_dur)</f>
        <v>8.587533390056</v>
      </c>
      <c r="C458" s="41">
        <f>k_eff_CO2*B458</f>
        <v>0.0001246986825238</v>
      </c>
      <c r="D458" s="41">
        <f>EXP(-C458)</f>
        <v>0.999875309092</v>
      </c>
      <c r="E458" s="41">
        <f>IF(C458&gt;0,(1-D458)/C458,1)</f>
        <v>0.999937653251</v>
      </c>
      <c r="F458" s="41">
        <f>IF(C458&gt;0,(C458-1+D458)/C458^2,1/2)</f>
        <v>0.499979210658</v>
      </c>
      <c r="G458" s="41">
        <f>(C_air_CO2/C_sat_CO2*F_vent_ex-CO2_fix_sched)*(B458/3600)/(V_L_CO2+Vg_CO2)</f>
        <v>-0.00164780287</v>
      </c>
      <c r="H458" s="41">
        <f>(G458*E458+pool_b*D458)/(1-pool_ret*D458)</f>
        <v>28.000162961532</v>
      </c>
      <c r="I458" s="41">
        <f>MIN(C_sat_CO2,MAX(C_air_CO2,(pool_ret*H458+pool_b)*E458+G458*F458))</f>
        <v>28.002732761522</v>
      </c>
      <c r="J458" s="41">
        <f>IF(AND(I458&gt;=CO2_pH_hi_mt,I459&lt;CO2_pH_hi_mt),EXP(LN(A458)+(LN(A459)-LN(A458))*(I458-CO2_pH_hi_mt)/(I458-I459)),0)</f>
        <v>0.0</v>
      </c>
      <c r="L458" s="41">
        <f>k_eff_CO2_l*B458</f>
        <v>0.0006250071312588</v>
      </c>
      <c r="M458" s="41">
        <f>EXP(-L458)</f>
        <v>0.999375188145</v>
      </c>
      <c r="N458" s="41">
        <f>IF(L458&gt;0,(1-M458)/L458,1)</f>
        <v>0.99968756153</v>
      </c>
      <c r="O458" s="41">
        <f>IF(L458&gt;0,(L458-1+M458)/L458^2,1/2)</f>
        <v>0.499895848439</v>
      </c>
      <c r="P458" s="41">
        <f>(C_air_CO2/C_sat_CO2*F_vent_ex-CO2_fix_l)*(B458/3600)/(V_L_CO2+Vg_CO2)</f>
        <v>1.441371700642e-06</v>
      </c>
      <c r="Q458" s="41">
        <f>(P458*N458+pool_b*M458)/(1-pool_ret*M458)</f>
        <v>27.867431490296</v>
      </c>
      <c r="R458" s="41">
        <f>MIN(C_sat_CO2,MAX(C_air_CO2,(pool_ret*Q458+pool_b)*N458+P458*O458))</f>
        <v>27.876141255774</v>
      </c>
      <c r="S458" s="41">
        <f>IF(AND(R458&gt;=CO2_pH_hi_mt,R459&lt;CO2_pH_hi_mt),EXP(LN(A458)+(LN(A459)-LN(A458))*(R458-CO2_pH_hi_mt)/(R458-R459)),0)</f>
        <v>0.0</v>
      </c>
    </row>
    <row r="459">
      <c r="A459" s="41">
        <f>A458*grid_ratio</f>
        <v>0.172443891094</v>
      </c>
      <c r="B459" s="41">
        <f>MAX(0,A459*60-spg_dur)</f>
        <v>9.696633465668</v>
      </c>
      <c r="C459" s="41">
        <f>k_eff_CO2*B459</f>
        <v>0.0001408038097977</v>
      </c>
      <c r="D459" s="41">
        <f>EXP(-C459)</f>
        <v>0.999859206103</v>
      </c>
      <c r="E459" s="41">
        <f>IF(C459&gt;0,(1-D459)/C459,1)</f>
        <v>0.999929601399</v>
      </c>
      <c r="F459" s="41">
        <f>IF(C459&gt;0,(C459-1+D459)/C459^2,1/2)</f>
        <v>0.499976536247</v>
      </c>
      <c r="G459" s="41">
        <f>(C_air_CO2/C_sat_CO2*F_vent_ex-CO2_fix_sched)*(B459/3600)/(V_L_CO2+Vg_CO2)</f>
        <v>-0.001860620474</v>
      </c>
      <c r="H459" s="41">
        <f>(G459*E459+pool_b*D459)/(1-pool_ret*D459)</f>
        <v>27.992999410163</v>
      </c>
      <c r="I459" s="41">
        <f>MIN(C_sat_CO2,MAX(C_air_CO2,(pool_ret*H459+pool_b)*E459+G459*F459))</f>
        <v>27.995900617042</v>
      </c>
      <c r="J459" s="41">
        <f>IF(AND(I459&gt;=CO2_pH_hi_mt,I460&lt;CO2_pH_hi_mt),EXP(LN(A459)+(LN(A460)-LN(A459))*(I459-CO2_pH_hi_mt)/(I459-I460)),0)</f>
        <v>0.0</v>
      </c>
      <c r="L459" s="41">
        <f>k_eff_CO2_l*B459</f>
        <v>0.0007057282679405</v>
      </c>
      <c r="M459" s="41">
        <f>EXP(-L459)</f>
        <v>0.9992945207</v>
      </c>
      <c r="N459" s="41">
        <f>IF(L459&gt;0,(1-M459)/L459,1)</f>
        <v>0.99964721886</v>
      </c>
      <c r="O459" s="41">
        <f>IF(L459&gt;0,(L459-1+M459)/L459^2,1/2)</f>
        <v>0.499882399229</v>
      </c>
      <c r="P459" s="41">
        <f>(C_air_CO2/C_sat_CO2*F_vent_ex-CO2_fix_l)*(B459/3600)/(V_L_CO2+Vg_CO2)</f>
        <v>1.627528235883e-06</v>
      </c>
      <c r="Q459" s="41">
        <f>(P459*N459+pool_b*M459)/(1-pool_ret*M459)</f>
        <v>27.843290568422</v>
      </c>
      <c r="R459" s="41">
        <f>MIN(C_sat_CO2,MAX(C_air_CO2,(pool_ret*Q459+pool_b)*N459+P459*O459))</f>
        <v>27.853116964726</v>
      </c>
      <c r="S459" s="41">
        <f>IF(AND(R459&gt;=CO2_pH_hi_mt,R460&lt;CO2_pH_hi_mt),EXP(LN(A459)+(LN(A460)-LN(A459))*(R459-CO2_pH_hi_mt)/(R459-R460)),0)</f>
        <v>0.0</v>
      </c>
    </row>
    <row r="460">
      <c r="A460" s="41">
        <f>A459*grid_ratio</f>
        <v>0.193148285285</v>
      </c>
      <c r="B460" s="41">
        <f>MAX(0,A460*60-spg_dur)</f>
        <v>10.938897117072</v>
      </c>
      <c r="C460" s="41">
        <f>k_eff_CO2*B460</f>
        <v>0.0001588425915574</v>
      </c>
      <c r="D460" s="41">
        <f>EXP(-C460)</f>
        <v>0.999841170023</v>
      </c>
      <c r="E460" s="41">
        <f>IF(C460&gt;0,(1-D460)/C460,1)</f>
        <v>0.999920582909</v>
      </c>
      <c r="F460" s="41">
        <f>IF(C460&gt;0,(C460-1+D460)/C460^2,1/2)</f>
        <v>0.499973527706</v>
      </c>
      <c r="G460" s="41">
        <f>(C_air_CO2/C_sat_CO2*F_vent_ex-CO2_fix_sched)*(B460/3600)/(V_L_CO2+Vg_CO2)</f>
        <v>-0.002098989924</v>
      </c>
      <c r="H460" s="41">
        <f>(G460*E460+pool_b*D460)/(1-pool_ret*D460)</f>
        <v>27.984978589556</v>
      </c>
      <c r="I460" s="41">
        <f>MIN(C_sat_CO2,MAX(C_air_CO2,(pool_ret*H460+pool_b)*E460+G460*F460))</f>
        <v>27.988250861036</v>
      </c>
      <c r="J460" s="41">
        <f>IF(AND(I460&gt;=CO2_pH_hi_mt,I461&lt;CO2_pH_hi_mt),EXP(LN(A460)+(LN(A461)-LN(A460))*(I460-CO2_pH_hi_mt)/(I460-I461)),0)</f>
        <v>0.0</v>
      </c>
      <c r="L460" s="41">
        <f>k_eff_CO2_l*B460</f>
        <v>0.0007961411497035</v>
      </c>
      <c r="M460" s="41">
        <f>EXP(-L460)</f>
        <v>0.999204175687</v>
      </c>
      <c r="N460" s="41">
        <f>IF(L460&gt;0,(1-M460)/L460,1)</f>
        <v>0.999602035044</v>
      </c>
      <c r="O460" s="41">
        <f>IF(L460&gt;0,(L460-1+M460)/L460^2,1/2)</f>
        <v>0.499867336248</v>
      </c>
      <c r="P460" s="41">
        <f>(C_air_CO2/C_sat_CO2*F_vent_ex-CO2_fix_l)*(B460/3600)/(V_L_CO2+Vg_CO2)</f>
        <v>1.836035567446e-06</v>
      </c>
      <c r="Q460" s="41">
        <f>(P460*N460+pool_b*M460)/(1-pool_ret*M460)</f>
        <v>27.816298486416</v>
      </c>
      <c r="R460" s="41">
        <f>MIN(C_sat_CO2,MAX(C_air_CO2,(pool_ret*Q460+pool_b)*N460+P460*O460))</f>
        <v>27.827373357184</v>
      </c>
      <c r="S460" s="41">
        <f>IF(AND(R460&gt;=CO2_pH_hi_mt,R461&lt;CO2_pH_hi_mt),EXP(LN(A460)+(LN(A461)-LN(A460))*(R460-CO2_pH_hi_mt)/(R460-R461)),0)</f>
        <v>0.0</v>
      </c>
    </row>
    <row r="461">
      <c r="A461" s="41">
        <f>A460*grid_ratio</f>
        <v>0.216338542766</v>
      </c>
      <c r="B461" s="41">
        <f>MAX(0,A461*60-spg_dur)</f>
        <v>12.330312565988</v>
      </c>
      <c r="C461" s="41">
        <f>k_eff_CO2*B461</f>
        <v>0.0001790471911138</v>
      </c>
      <c r="D461" s="41">
        <f>EXP(-C461)</f>
        <v>0.999820968837</v>
      </c>
      <c r="E461" s="41">
        <f>IF(C461&gt;0,(1-D461)/C461,1)</f>
        <v>0.999910481747</v>
      </c>
      <c r="F461" s="41">
        <f>IF(C461&gt;0,(C461-1+D461)/C461^2,1/2)</f>
        <v>0.499970159888</v>
      </c>
      <c r="G461" s="41">
        <f>(C_air_CO2/C_sat_CO2*F_vent_ex-CO2_fix_sched)*(B461/3600)/(V_L_CO2+Vg_CO2)</f>
        <v>-0.002365979089</v>
      </c>
      <c r="H461" s="41">
        <f>(G461*E461+pool_b*D461)/(1-pool_ret*D461)</f>
        <v>27.975998287715</v>
      </c>
      <c r="I461" s="41">
        <f>MIN(C_sat_CO2,MAX(C_air_CO2,(pool_ret*H461+pool_b)*E461+G461*F461))</f>
        <v>27.9796860093</v>
      </c>
      <c r="J461" s="41">
        <f>IF(AND(I461&gt;=CO2_pH_hi_mt,I462&lt;CO2_pH_hi_mt),EXP(LN(A461)+(LN(A462)-LN(A461))*(I461-CO2_pH_hi_mt)/(I461-I462)),0)</f>
        <v>0.0</v>
      </c>
      <c r="L461" s="41">
        <f>k_eff_CO2_l*B461</f>
        <v>0.0008974094113353</v>
      </c>
      <c r="M461" s="41">
        <f>EXP(-L461)</f>
        <v>0.99910299314</v>
      </c>
      <c r="N461" s="41">
        <f>IF(L461&gt;0,(1-M461)/L461,1)</f>
        <v>0.999551429488</v>
      </c>
      <c r="O461" s="41">
        <f>IF(L461&gt;0,(L461-1+M461)/L461^2,1/2)</f>
        <v>0.499850465346</v>
      </c>
      <c r="P461" s="41">
        <f>(C_air_CO2/C_sat_CO2*F_vent_ex-CO2_fix_l)*(B461/3600)/(V_L_CO2+Vg_CO2)</f>
        <v>2.069577233116e-06</v>
      </c>
      <c r="Q461" s="41">
        <f>(P461*N461+pool_b*M461)/(1-pool_ret*M461)</f>
        <v>27.786124798155</v>
      </c>
      <c r="R461" s="41">
        <f>MIN(C_sat_CO2,MAX(C_air_CO2,(pool_ret*Q461+pool_b)*N461+P461*O461))</f>
        <v>27.798595258404</v>
      </c>
      <c r="S461" s="41">
        <f>IF(AND(R461&gt;=CO2_pH_hi_mt,R462&lt;CO2_pH_hi_mt),EXP(LN(A461)+(LN(A462)-LN(A461))*(R461-CO2_pH_hi_mt)/(R461-R462)),0)</f>
        <v>0.0</v>
      </c>
    </row>
    <row r="462">
      <c r="A462" s="41">
        <f>A461*grid_ratio</f>
        <v>0.24231312754</v>
      </c>
      <c r="B462" s="41">
        <f>MAX(0,A462*60-spg_dur)</f>
        <v>13.888787652411</v>
      </c>
      <c r="C462" s="41">
        <f>k_eff_CO2*B462</f>
        <v>0.0002016776463558</v>
      </c>
      <c r="D462" s="41">
        <f>EXP(-C462)</f>
        <v>0.999798342689</v>
      </c>
      <c r="E462" s="41">
        <f>IF(C462&gt;0,(1-D462)/C462,1)</f>
        <v>0.999899167955</v>
      </c>
      <c r="F462" s="41">
        <f>IF(C462&gt;0,(C462-1+D462)/C462^2,1/2)</f>
        <v>0.4999663895</v>
      </c>
      <c r="G462" s="41">
        <f>(C_air_CO2/C_sat_CO2*F_vent_ex-CO2_fix_sched)*(B462/3600)/(V_L_CO2+Vg_CO2)</f>
        <v>-0.002665024182</v>
      </c>
      <c r="H462" s="41">
        <f>(G462*E462+pool_b*D462)/(1-pool_ret*D462)</f>
        <v>27.965944201967</v>
      </c>
      <c r="I462" s="41">
        <f>MIN(C_sat_CO2,MAX(C_air_CO2,(pool_ret*H462+pool_b)*E462+G462*F462))</f>
        <v>27.970097046132</v>
      </c>
      <c r="J462" s="41">
        <f>IF(AND(I462&gt;=CO2_pH_hi_mt,I463&lt;CO2_pH_hi_mt),EXP(LN(A462)+(LN(A463)-LN(A462))*(I462-CO2_pH_hi_mt)/(I462-I463)),0)</f>
        <v>0.0</v>
      </c>
      <c r="L462" s="41">
        <f>k_eff_CO2_l*B462</f>
        <v>0.001010836399</v>
      </c>
      <c r="M462" s="41">
        <f>EXP(-L462)</f>
        <v>0.998989674324</v>
      </c>
      <c r="N462" s="41">
        <f>IF(L462&gt;0,(1-M462)/L462,1)</f>
        <v>0.999494752056</v>
      </c>
      <c r="O462" s="41">
        <f>IF(L462&gt;0,(L462-1+M462)/L462^2,1/2)</f>
        <v>0.499831569912</v>
      </c>
      <c r="P462" s="41">
        <f>(C_air_CO2/C_sat_CO2*F_vent_ex-CO2_fix_l)*(B462/3600)/(V_L_CO2+Vg_CO2)</f>
        <v>2.33115896837e-06</v>
      </c>
      <c r="Q462" s="41">
        <f>(P462*N462+pool_b*M462)/(1-pool_ret*M462)</f>
        <v>27.752402339962</v>
      </c>
      <c r="R462" s="41">
        <f>MIN(C_sat_CO2,MAX(C_air_CO2,(pool_ret*Q462+pool_b)*N462+P462*O462))</f>
        <v>27.766432470593</v>
      </c>
      <c r="S462" s="41">
        <f>IF(AND(R462&gt;=CO2_pH_hi_mt,R463&lt;CO2_pH_hi_mt),EXP(LN(A462)+(LN(A463)-LN(A462))*(R462-CO2_pH_hi_mt)/(R462-R463)),0)</f>
        <v>0.0</v>
      </c>
    </row>
    <row r="463">
      <c r="A463" s="41">
        <f>A462*grid_ratio</f>
        <v>0.271406338545</v>
      </c>
      <c r="B463" s="41">
        <f>MAX(0,A463*60-spg_dur)</f>
        <v>15.634380312671</v>
      </c>
      <c r="C463" s="41">
        <f>k_eff_CO2*B463</f>
        <v>0.0002270252164985</v>
      </c>
      <c r="D463" s="41">
        <f>EXP(-C463)</f>
        <v>0.999773000552</v>
      </c>
      <c r="E463" s="41">
        <f>IF(C463&gt;0,(1-D463)/C463,1)</f>
        <v>0.999886495981</v>
      </c>
      <c r="F463" s="41">
        <f>IF(C463&gt;0,(C463-1+D463)/C463^2,1/2)</f>
        <v>0.499962164475</v>
      </c>
      <c r="G463" s="41">
        <f>(C_air_CO2/C_sat_CO2*F_vent_ex-CO2_fix_sched)*(B463/3600)/(V_L_CO2+Vg_CO2)</f>
        <v>-0.002999973982</v>
      </c>
      <c r="H463" s="41">
        <f>(G463*E463+pool_b*D463)/(1-pool_ret*D463)</f>
        <v>27.954688533147</v>
      </c>
      <c r="I463" s="41">
        <f>MIN(C_sat_CO2,MAX(C_air_CO2,(pool_ret*H463+pool_b)*E463+G463*F463))</f>
        <v>27.959362083412</v>
      </c>
      <c r="J463" s="41">
        <f>IF(AND(I463&gt;=CO2_pH_hi_mt,I464&lt;CO2_pH_hi_mt),EXP(LN(A463)+(LN(A464)-LN(A463))*(I463-CO2_pH_hi_mt)/(I463-I464)),0)</f>
        <v>0.0</v>
      </c>
      <c r="L463" s="41">
        <f>k_eff_CO2_l*B463</f>
        <v>0.001137881944</v>
      </c>
      <c r="M463" s="41">
        <f>EXP(-L463)</f>
        <v>0.998862765198</v>
      </c>
      <c r="N463" s="41">
        <f>IF(L463&gt;0,(1-M463)/L463,1)</f>
        <v>0.999431274762</v>
      </c>
      <c r="O463" s="41">
        <f>IF(L463&gt;0,(L463-1+M463)/L463^2,1/2)</f>
        <v>0.499810406935</v>
      </c>
      <c r="P463" s="41">
        <f>(C_air_CO2/C_sat_CO2*F_vent_ex-CO2_fix_l)*(B463/3600)/(V_L_CO2+Vg_CO2)</f>
        <v>2.624147390896e-06</v>
      </c>
      <c r="Q463" s="41">
        <f>(P463*N463+pool_b*M463)/(1-pool_ret*M463)</f>
        <v>27.714723548707</v>
      </c>
      <c r="R463" s="41">
        <f>MIN(C_sat_CO2,MAX(C_air_CO2,(pool_ret*Q463+pool_b)*N463+P463*O463))</f>
        <v>27.730496260315</v>
      </c>
      <c r="S463" s="41">
        <f>IF(AND(R463&gt;=CO2_pH_hi_mt,R464&lt;CO2_pH_hi_mt),EXP(LN(A463)+(LN(A464)-LN(A463))*(R463-CO2_pH_hi_mt)/(R463-R464)),0)</f>
        <v>0.0</v>
      </c>
    </row>
    <row r="464">
      <c r="A464" s="41">
        <f>A463*grid_ratio</f>
        <v>0.303992612162</v>
      </c>
      <c r="B464" s="41">
        <f>MAX(0,A464*60-spg_dur)</f>
        <v>17.589556729734</v>
      </c>
      <c r="C464" s="41">
        <f>k_eff_CO2*B464</f>
        <v>0.0002554161306569</v>
      </c>
      <c r="D464" s="41">
        <f>EXP(-C464)</f>
        <v>0.999744616485</v>
      </c>
      <c r="E464" s="41">
        <f>IF(C464&gt;0,(1-D464)/C464,1)</f>
        <v>0.999872302807</v>
      </c>
      <c r="F464" s="41">
        <f>IF(C464&gt;0,(C464-1+D464)/C464^2,1/2)</f>
        <v>0.499957433352</v>
      </c>
      <c r="G464" s="41">
        <f>(C_air_CO2/C_sat_CO2*F_vent_ex-CO2_fix_sched)*(B464/3600)/(V_L_CO2+Vg_CO2)</f>
        <v>-0.003375139372</v>
      </c>
      <c r="H464" s="41">
        <f>(G464*E464+pool_b*D464)/(1-pool_ret*D464)</f>
        <v>27.942088422528</v>
      </c>
      <c r="I464" s="41">
        <f>MIN(C_sat_CO2,MAX(C_air_CO2,(pool_ret*H464+pool_b)*E464+G464*F464))</f>
        <v>27.947344869786</v>
      </c>
      <c r="J464" s="41">
        <f>IF(AND(I464&gt;=CO2_pH_hi_mt,I465&lt;CO2_pH_hi_mt),EXP(LN(A464)+(LN(A465)-LN(A464))*(I464-CO2_pH_hi_mt)/(I464-I465)),0)</f>
        <v>0.0</v>
      </c>
      <c r="L464" s="41">
        <f>k_eff_CO2_l*B464</f>
        <v>0.001280181152</v>
      </c>
      <c r="M464" s="41">
        <f>EXP(-L464)</f>
        <v>0.99872063793</v>
      </c>
      <c r="N464" s="41">
        <f>IF(L464&gt;0,(1-M464)/L464,1)</f>
        <v>0.99936018248</v>
      </c>
      <c r="O464" s="41">
        <f>IF(L464&gt;0,(L464-1+M464)/L464^2,1/2)</f>
        <v>0.499786704736</v>
      </c>
      <c r="P464" s="41">
        <f>(C_air_CO2/C_sat_CO2*F_vent_ex-CO2_fix_l)*(B464/3600)/(V_L_CO2+Vg_CO2)</f>
        <v>2.952313329742e-06</v>
      </c>
      <c r="Q464" s="41">
        <f>(P464*N464+pool_b*M464)/(1-pool_ret*M464)</f>
        <v>27.672636512444</v>
      </c>
      <c r="R464" s="41">
        <f>MIN(C_sat_CO2,MAX(C_air_CO2,(pool_ret*Q464+pool_b)*N464+P464*O464))</f>
        <v>27.690355590542</v>
      </c>
      <c r="S464" s="41">
        <f>IF(AND(R464&gt;=CO2_pH_hi_mt,R465&lt;CO2_pH_hi_mt),EXP(LN(A464)+(LN(A465)-LN(A464))*(R464-CO2_pH_hi_mt)/(R464-R465)),0)</f>
        <v>0.0</v>
      </c>
    </row>
    <row r="465">
      <c r="A465" s="41">
        <f>A464*grid_ratio</f>
        <v>0.340491341303</v>
      </c>
      <c r="B465" s="41">
        <f>MAX(0,A465*60-spg_dur)</f>
        <v>19.779480478194</v>
      </c>
      <c r="C465" s="41">
        <f>k_eff_CO2*B465</f>
        <v>0.0002872157864902</v>
      </c>
      <c r="D465" s="41">
        <f>EXP(-C465)</f>
        <v>0.999712825456</v>
      </c>
      <c r="E465" s="41">
        <f>IF(C465&gt;0,(1-D465)/C465,1)</f>
        <v>0.999856405854</v>
      </c>
      <c r="F465" s="41">
        <f>IF(C465&gt;0,(C465-1+D465)/C465^2,1/2)</f>
        <v>0.499952134143</v>
      </c>
      <c r="G465" s="41">
        <f>(C_air_CO2/C_sat_CO2*F_vent_ex-CO2_fix_sched)*(B465/3600)/(V_L_CO2+Vg_CO2)</f>
        <v>-0.003795348817</v>
      </c>
      <c r="H465" s="41">
        <f>(G465*E465+pool_b*D465)/(1-pool_ret*D465)</f>
        <v>27.927984215505</v>
      </c>
      <c r="I465" s="41">
        <f>MIN(C_sat_CO2,MAX(C_air_CO2,(pool_ret*H465+pool_b)*E465+G465*F465))</f>
        <v>27.933893134584</v>
      </c>
      <c r="J465" s="41">
        <f>IF(AND(I465&gt;=CO2_pH_hi_mt,I466&lt;CO2_pH_hi_mt),EXP(LN(A465)+(LN(A466)-LN(A465))*(I465-CO2_pH_hi_mt)/(I465-I466)),0)</f>
        <v>0.0</v>
      </c>
      <c r="L465" s="41">
        <f>k_eff_CO2_l*B465</f>
        <v>0.001439565448</v>
      </c>
      <c r="M465" s="41">
        <f>EXP(-L465)</f>
        <v>0.998561470229</v>
      </c>
      <c r="N465" s="41">
        <f>IF(L465&gt;0,(1-M465)/L465,1)</f>
        <v>0.999280562543</v>
      </c>
      <c r="O465" s="41">
        <f>IF(L465&gt;0,(L465-1+M465)/L465^2,1/2)</f>
        <v>0.499760158713</v>
      </c>
      <c r="P465" s="41">
        <f>(C_air_CO2/C_sat_CO2*F_vent_ex-CO2_fix_l)*(B465/3600)/(V_L_CO2+Vg_CO2)</f>
        <v>3.319880356759e-06</v>
      </c>
      <c r="Q465" s="41">
        <f>(P465*N465+pool_b*M465)/(1-pool_ret*M465)</f>
        <v>27.625640761928</v>
      </c>
      <c r="R465" s="41">
        <f>MIN(C_sat_CO2,MAX(C_air_CO2,(pool_ret*Q465+pool_b)*N465+P465*O465))</f>
        <v>27.645533105246</v>
      </c>
      <c r="S465" s="41">
        <f>IF(AND(R465&gt;=CO2_pH_hi_mt,R466&lt;CO2_pH_hi_mt),EXP(LN(A465)+(LN(A466)-LN(A465))*(R465-CO2_pH_hi_mt)/(R465-R466)),0)</f>
        <v>0.0</v>
      </c>
    </row>
    <row r="466">
      <c r="A466" s="41">
        <f>A465*grid_ratio</f>
        <v>0.381372273089</v>
      </c>
      <c r="B466" s="41">
        <f>MAX(0,A466*60-spg_dur)</f>
        <v>22.232336385319</v>
      </c>
      <c r="C466" s="41">
        <f>k_eff_CO2*B466</f>
        <v>0.0003228334529546</v>
      </c>
      <c r="D466" s="41">
        <f>EXP(-C466)</f>
        <v>0.999677218652</v>
      </c>
      <c r="E466" s="41">
        <f>IF(C466&gt;0,(1-D466)/C466,1)</f>
        <v>0.999838600642</v>
      </c>
      <c r="F466" s="41">
        <f>IF(C466&gt;0,(C466-1+D466)/C466^2,1/2)</f>
        <v>0.499946198387</v>
      </c>
      <c r="G466" s="41">
        <f>(C_air_CO2/C_sat_CO2*F_vent_ex-CO2_fix_sched)*(B466/3600)/(V_L_CO2+Vg_CO2)</f>
        <v>-0.004266010509</v>
      </c>
      <c r="H466" s="41">
        <f>(G466*E466+pool_b*D466)/(1-pool_ret*D466)</f>
        <v>27.912197534837</v>
      </c>
      <c r="I466" s="41">
        <f>MIN(C_sat_CO2,MAX(C_air_CO2,(pool_ret*H466+pool_b)*E466+G466*F466))</f>
        <v>27.918836750082</v>
      </c>
      <c r="J466" s="41">
        <f>IF(AND(I466&gt;=CO2_pH_hi_mt,I467&lt;CO2_pH_hi_mt),EXP(LN(A466)+(LN(A467)-LN(A466))*(I466-CO2_pH_hi_mt)/(I466-I467)),0)</f>
        <v>0.0</v>
      </c>
      <c r="L466" s="41">
        <f>k_eff_CO2_l*B466</f>
        <v>0.001618086144</v>
      </c>
      <c r="M466" s="41">
        <f>EXP(-L466)</f>
        <v>0.998383222252</v>
      </c>
      <c r="N466" s="41">
        <f>IF(L466&gt;0,(1-M466)/L466,1)</f>
        <v>0.999191393119</v>
      </c>
      <c r="O466" s="41">
        <f>IF(L466&gt;0,(L466-1+M466)/L466^2,1/2)</f>
        <v>0.499730428046</v>
      </c>
      <c r="P466" s="41">
        <f>(C_air_CO2/C_sat_CO2*F_vent_ex-CO2_fix_l)*(B466/3600)/(V_L_CO2+Vg_CO2)</f>
        <v>3.731579144956e-06</v>
      </c>
      <c r="Q466" s="41">
        <f>(P466*N466+pool_b*M466)/(1-pool_ret*M466)</f>
        <v>27.573182821062</v>
      </c>
      <c r="R466" s="41">
        <f>MIN(C_sat_CO2,MAX(C_air_CO2,(pool_ret*Q466+pool_b)*N466+P466*O466))</f>
        <v>27.595500883692</v>
      </c>
      <c r="S466" s="41">
        <f>IF(AND(R466&gt;=CO2_pH_hi_mt,R467&lt;CO2_pH_hi_mt),EXP(LN(A466)+(LN(A467)-LN(A466))*(R466-CO2_pH_hi_mt)/(R466-R467)),0)</f>
        <v>0.0</v>
      </c>
    </row>
    <row r="467">
      <c r="A467" s="41">
        <f>A466*grid_ratio</f>
        <v>0.427161554606</v>
      </c>
      <c r="B467" s="41">
        <f>MAX(0,A467*60-spg_dur)</f>
        <v>24.979693276332</v>
      </c>
      <c r="C467" s="41">
        <f>k_eff_CO2*B467</f>
        <v>0.0003627275376901</v>
      </c>
      <c r="D467" s="41">
        <f>EXP(-C467)</f>
        <v>0.99963733824</v>
      </c>
      <c r="E467" s="41">
        <f>IF(C467&gt;0,(1-D467)/C467,1)</f>
        <v>0.999818658158</v>
      </c>
      <c r="F467" s="41">
        <f>IF(C467&gt;0,(C467-1+D467)/C467^2,1/2)</f>
        <v>0.499939551164</v>
      </c>
      <c r="G467" s="41">
        <f>(C_air_CO2/C_sat_CO2*F_vent_ex-CO2_fix_sched)*(B467/3600)/(V_L_CO2+Vg_CO2)</f>
        <v>-0.004793181976</v>
      </c>
      <c r="H467" s="41">
        <f>(G467*E467+pool_b*D467)/(1-pool_ret*D467)</f>
        <v>27.894529145055</v>
      </c>
      <c r="I467" s="41">
        <f>MIN(C_sat_CO2,MAX(C_air_CO2,(pool_ret*H467+pool_b)*E467+G467*F467))</f>
        <v>27.901985694515</v>
      </c>
      <c r="J467" s="41">
        <f>IF(AND(I467&gt;=CO2_pH_hi_mt,I468&lt;CO2_pH_hi_mt),EXP(LN(A467)+(LN(A468)-LN(A467))*(I467-CO2_pH_hi_mt)/(I467-I468)),0)</f>
        <v>0.0</v>
      </c>
      <c r="L467" s="41">
        <f>k_eff_CO2_l*B467</f>
        <v>0.001818040842</v>
      </c>
      <c r="M467" s="41">
        <f>EXP(-L467)</f>
        <v>0.998183610793</v>
      </c>
      <c r="N467" s="41">
        <f>IF(L467&gt;0,(1-M467)/L467,1)</f>
        <v>0.999091530207</v>
      </c>
      <c r="O467" s="41">
        <f>IF(L467&gt;0,(L467-1+M467)/L467^2,1/2)</f>
        <v>0.499697130864</v>
      </c>
      <c r="P467" s="41">
        <f>(C_air_CO2/C_sat_CO2*F_vent_ex-CO2_fix_l)*(B467/3600)/(V_L_CO2+Vg_CO2)</f>
        <v>4.192708353356e-06</v>
      </c>
      <c r="Q467" s="41">
        <f>(P467*N467+pool_b*M467)/(1-pool_ret*M467)</f>
        <v>27.514651546922</v>
      </c>
      <c r="R467" s="41">
        <f>MIN(C_sat_CO2,MAX(C_air_CO2,(pool_ret*Q467+pool_b)*N467+P467*O467))</f>
        <v>27.539675993557</v>
      </c>
      <c r="S467" s="41">
        <f>IF(AND(R467&gt;=CO2_pH_hi_mt,R468&lt;CO2_pH_hi_mt),EXP(LN(A467)+(LN(A468)-LN(A467))*(R467-CO2_pH_hi_mt)/(R467-R468)),0)</f>
        <v>0.0</v>
      </c>
    </row>
    <row r="468">
      <c r="A468" s="41">
        <f>A467*grid_ratio</f>
        <v>0.478448504542</v>
      </c>
      <c r="B468" s="41">
        <f>MAX(0,A468*60-spg_dur)</f>
        <v>28.056910272514</v>
      </c>
      <c r="C468" s="41">
        <f>k_eff_CO2*B468</f>
        <v>0.000407411486833</v>
      </c>
      <c r="D468" s="41">
        <f>EXP(-C468)</f>
        <v>0.999592671494</v>
      </c>
      <c r="E468" s="41">
        <f>IF(C468&gt;0,(1-D468)/C468,1)</f>
        <v>0.999796321918</v>
      </c>
      <c r="F468" s="41">
        <f>IF(C468&gt;0,(C468-1+D468)/C468^2,1/2)</f>
        <v>0.499932105242</v>
      </c>
      <c r="G468" s="41">
        <f>(C_air_CO2/C_sat_CO2*F_vent_ex-CO2_fix_sched)*(B468/3600)/(V_L_CO2+Vg_CO2)</f>
        <v>-0.005383648035</v>
      </c>
      <c r="H468" s="41">
        <f>(G468*E468+pool_b*D468)/(1-pool_ret*D468)</f>
        <v>27.874756588559</v>
      </c>
      <c r="I468" s="41">
        <f>MIN(C_sat_CO2,MAX(C_air_CO2,(pool_ret*H468+pool_b)*E468+G468*F468))</f>
        <v>27.883127797389</v>
      </c>
      <c r="J468" s="41">
        <f>IF(AND(I468&gt;=CO2_pH_hi_mt,I469&lt;CO2_pH_hi_mt),EXP(LN(A468)+(LN(A469)-LN(A468))*(I468-CO2_pH_hi_mt)/(I468-I469)),0)</f>
        <v>0.0</v>
      </c>
      <c r="L468" s="41">
        <f>k_eff_CO2_l*B468</f>
        <v>0.002042003007</v>
      </c>
      <c r="M468" s="41">
        <f>EXP(-L468)</f>
        <v>0.997960080463</v>
      </c>
      <c r="N468" s="41">
        <f>IF(L468&gt;0,(1-M468)/L468,1)</f>
        <v>0.998979693105</v>
      </c>
      <c r="O468" s="41">
        <f>IF(L468&gt;0,(L468-1+M468)/L468^2,1/2)</f>
        <v>0.499659839837</v>
      </c>
      <c r="P468" s="41">
        <f>(C_air_CO2/C_sat_CO2*F_vent_ex-CO2_fix_l)*(B468/3600)/(V_L_CO2+Vg_CO2)</f>
        <v>4.709202821973e-06</v>
      </c>
      <c r="Q468" s="41">
        <f>(P468*N468+pool_b*M468)/(1-pool_ret*M468)</f>
        <v>27.44937330595</v>
      </c>
      <c r="R468" s="41">
        <f>MIN(C_sat_CO2,MAX(C_air_CO2,(pool_ret*Q468+pool_b)*N468+P468*O468))</f>
        <v>27.477415887188</v>
      </c>
      <c r="S468" s="41">
        <f>IF(AND(R468&gt;=CO2_pH_hi_mt,R469&lt;CO2_pH_hi_mt),EXP(LN(A468)+(LN(A469)-LN(A468))*(R468-CO2_pH_hi_mt)/(R468-R469)),0)</f>
        <v>0.0</v>
      </c>
    </row>
    <row r="469">
      <c r="A469" s="41">
        <f>A468*grid_ratio</f>
        <v>0.535893197855</v>
      </c>
      <c r="B469" s="41">
        <f>MAX(0,A469*60-spg_dur)</f>
        <v>31.503591871316</v>
      </c>
      <c r="C469" s="41">
        <f>k_eff_CO2*B469</f>
        <v>0.0004574603931869</v>
      </c>
      <c r="D469" s="41">
        <f>EXP(-C469)</f>
        <v>0.999542644226</v>
      </c>
      <c r="E469" s="41">
        <f>IF(C469&gt;0,(1-D469)/C469,1)</f>
        <v>0.999771304678</v>
      </c>
      <c r="F469" s="41">
        <f>IF(C469&gt;0,(C469-1+D469)/C469^2,1/2)</f>
        <v>0.499923765043</v>
      </c>
      <c r="G469" s="41">
        <f>(C_air_CO2/C_sat_CO2*F_vent_ex-CO2_fix_sched)*(B469/3600)/(V_L_CO2+Vg_CO2)</f>
        <v>-0.006045008121</v>
      </c>
      <c r="H469" s="41">
        <f>(G469*E469+pool_b*D469)/(1-pool_ret*D469)</f>
        <v>27.852631572936</v>
      </c>
      <c r="I469" s="41">
        <f>MIN(C_sat_CO2,MAX(C_air_CO2,(pool_ret*H469+pool_b)*E469+G469*F469))</f>
        <v>27.862026247405</v>
      </c>
      <c r="J469" s="41">
        <f>IF(AND(I469&gt;=CO2_pH_hi_mt,I470&lt;CO2_pH_hi_mt),EXP(LN(A469)+(LN(A470)-LN(A469))*(I469-CO2_pH_hi_mt)/(I469-I470)),0)</f>
        <v>0.0</v>
      </c>
      <c r="L469" s="41">
        <f>k_eff_CO2_l*B469</f>
        <v>0.002292855083</v>
      </c>
      <c r="M469" s="41">
        <f>EXP(-L469)</f>
        <v>0.997709771502</v>
      </c>
      <c r="N469" s="41">
        <f>IF(L469&gt;0,(1-M469)/L469,1)</f>
        <v>0.998854448154</v>
      </c>
      <c r="O469" s="41">
        <f>IF(L469&gt;0,(L469-1+M469)/L469^2,1/2)</f>
        <v>0.49961807643</v>
      </c>
      <c r="P469" s="41">
        <f>(C_air_CO2/C_sat_CO2*F_vent_ex-CO2_fix_l)*(B469/3600)/(V_L_CO2+Vg_CO2)</f>
        <v>5.287709954579e-06</v>
      </c>
      <c r="Q469" s="41">
        <f>(P469*N469+pool_b*M469)/(1-pool_ret*M469)</f>
        <v>27.376607052844</v>
      </c>
      <c r="R469" s="41">
        <f>MIN(C_sat_CO2,MAX(C_air_CO2,(pool_ret*Q469+pool_b)*N469+P469*O469))</f>
        <v>27.408013704348</v>
      </c>
      <c r="S469" s="41">
        <f>IF(AND(R469&gt;=CO2_pH_hi_mt,R470&lt;CO2_pH_hi_mt),EXP(LN(A469)+(LN(A470)-LN(A469))*(R469-CO2_pH_hi_mt)/(R469-R470)),0)</f>
        <v>0.0</v>
      </c>
    </row>
    <row r="470">
      <c r="A470" s="41">
        <f>A469*grid_ratio</f>
        <v>0.600234961091</v>
      </c>
      <c r="B470" s="41">
        <f>MAX(0,A470*60-spg_dur)</f>
        <v>35.364097665433</v>
      </c>
      <c r="C470" s="41">
        <f>k_eff_CO2*B470</f>
        <v>0.0005135183978008</v>
      </c>
      <c r="D470" s="41">
        <f>EXP(-C470)</f>
        <v>0.99948661343</v>
      </c>
      <c r="E470" s="41">
        <f>IF(C470&gt;0,(1-D470)/C470,1)</f>
        <v>0.999743284746</v>
      </c>
      <c r="F470" s="41">
        <f>IF(C470&gt;0,(C470-1+D470)/C470^2,1/2)</f>
        <v>0.499914424862</v>
      </c>
      <c r="G470" s="41">
        <f>(C_air_CO2/C_sat_CO2*F_vent_ex-CO2_fix_sched)*(B470/3600)/(V_L_CO2+Vg_CO2)</f>
        <v>-0.006785774094</v>
      </c>
      <c r="H470" s="41">
        <f>(G470*E470+pool_b*D470)/(1-pool_ret*D470)</f>
        <v>27.827877088271</v>
      </c>
      <c r="I470" s="41">
        <f>MIN(C_sat_CO2,MAX(C_air_CO2,(pool_ret*H470+pool_b)*E470+G470*F470))</f>
        <v>27.838416842784</v>
      </c>
      <c r="J470" s="41">
        <f>IF(AND(I470&gt;=CO2_pH_hi_mt,I471&lt;CO2_pH_hi_mt),EXP(LN(A470)+(LN(A471)-LN(A470))*(I470-CO2_pH_hi_mt)/(I470-I471)),0)</f>
        <v>0.0</v>
      </c>
      <c r="L470" s="41">
        <f>k_eff_CO2_l*B470</f>
        <v>0.002573825594</v>
      </c>
      <c r="M470" s="41">
        <f>EXP(-L470)</f>
        <v>0.997429483855</v>
      </c>
      <c r="N470" s="41">
        <f>IF(L470&gt;0,(1-M470)/L470,1)</f>
        <v>0.998714190589</v>
      </c>
      <c r="O470" s="41">
        <f>IF(L470&gt;0,(L470-1+M470)/L470^2,1/2)</f>
        <v>0.499571304938</v>
      </c>
      <c r="P470" s="41">
        <f>(C_air_CO2/C_sat_CO2*F_vent_ex-CO2_fix_l)*(B470/3600)/(V_L_CO2+Vg_CO2)</f>
        <v>5.935675272332e-06</v>
      </c>
      <c r="Q470" s="41">
        <f>(P470*N470+pool_b*M470)/(1-pool_ret*M470)</f>
        <v>27.29553940323</v>
      </c>
      <c r="R470" s="41">
        <f>MIN(C_sat_CO2,MAX(C_air_CO2,(pool_ret*Q470+pool_b)*N470+P470*O470))</f>
        <v>27.330693568117</v>
      </c>
      <c r="S470" s="41">
        <f>IF(AND(R470&gt;=CO2_pH_hi_mt,R471&lt;CO2_pH_hi_mt),EXP(LN(A470)+(LN(A471)-LN(A470))*(R470-CO2_pH_hi_mt)/(R470-R471)),0)</f>
        <v>0.0</v>
      </c>
    </row>
    <row r="471">
      <c r="A471" s="41">
        <f>A470*grid_ratio</f>
        <v>0.672301887685</v>
      </c>
      <c r="B471" s="41">
        <f>MAX(0,A471*60-spg_dur)</f>
        <v>39.68811326107</v>
      </c>
      <c r="C471" s="41">
        <f>k_eff_CO2*B471</f>
        <v>0.000576306980214</v>
      </c>
      <c r="D471" s="41">
        <f>EXP(-C471)</f>
        <v>0.999423859053</v>
      </c>
      <c r="E471" s="41">
        <f>IF(C471&gt;0,(1-D471)/C471,1)</f>
        <v>0.999711901857</v>
      </c>
      <c r="F471" s="41">
        <f>IF(C471&gt;0,(C471-1+D471)/C471^2,1/2)</f>
        <v>0.499903962847</v>
      </c>
      <c r="G471" s="41">
        <f>(C_air_CO2/C_sat_CO2*F_vent_ex-CO2_fix_sched)*(B471/3600)/(V_L_CO2+Vg_CO2)</f>
        <v>-0.007615479783</v>
      </c>
      <c r="H471" s="41">
        <f>(G471*E471+pool_b*D471)/(1-pool_ret*D471)</f>
        <v>27.800184232766</v>
      </c>
      <c r="I471" s="41">
        <f>MIN(C_sat_CO2,MAX(C_air_CO2,(pool_ret*H471+pool_b)*E471+G471*F471))</f>
        <v>27.812004963448</v>
      </c>
      <c r="J471" s="41">
        <f>IF(AND(I471&gt;=CO2_pH_hi_mt,I472&lt;CO2_pH_hi_mt),EXP(LN(A471)+(LN(A472)-LN(A471))*(I471-CO2_pH_hi_mt)/(I471-I472)),0)</f>
        <v>0.0</v>
      </c>
      <c r="L471" s="41">
        <f>k_eff_CO2_l*B471</f>
        <v>0.002888530698</v>
      </c>
      <c r="M471" s="41">
        <f>EXP(-L471)</f>
        <v>0.997115637093</v>
      </c>
      <c r="N471" s="41">
        <f>IF(L471&gt;0,(1-M471)/L471,1)</f>
        <v>0.998557124249</v>
      </c>
      <c r="O471" s="41">
        <f>IF(L471&gt;0,(L471-1+M471)/L471^2,1/2)</f>
        <v>0.499518925659</v>
      </c>
      <c r="P471" s="41">
        <f>(C_air_CO2/C_sat_CO2*F_vent_ex-CO2_fix_l)*(B471/3600)/(V_L_CO2+Vg_CO2)</f>
        <v>6.661438239367e-06</v>
      </c>
      <c r="Q471" s="41">
        <f>(P471*N471+pool_b*M471)/(1-pool_ret*M471)</f>
        <v>27.205279821034</v>
      </c>
      <c r="R471" s="41">
        <f>MIN(C_sat_CO2,MAX(C_air_CO2,(pool_ret*Q471+pool_b)*N471+P471*O471))</f>
        <v>27.244605989097</v>
      </c>
      <c r="S471" s="41">
        <f>IF(AND(R471&gt;=CO2_pH_hi_mt,R472&lt;CO2_pH_hi_mt),EXP(LN(A471)+(LN(A472)-LN(A471))*(R471-CO2_pH_hi_mt)/(R471-R472)),0)</f>
        <v>0.0</v>
      </c>
    </row>
    <row r="472">
      <c r="A472" s="41">
        <f>A471*grid_ratio</f>
        <v>0.75302149572</v>
      </c>
      <c r="B472" s="41">
        <f>MAX(0,A472*60-spg_dur)</f>
        <v>44.53128974323</v>
      </c>
      <c r="C472" s="41">
        <f>k_eff_CO2*B472</f>
        <v>0.0006466342440655</v>
      </c>
      <c r="D472" s="41">
        <f>EXP(-C472)</f>
        <v>0.999353574779</v>
      </c>
      <c r="E472" s="41">
        <f>IF(C472&gt;0,(1-D472)/C472,1)</f>
        <v>0.999676752556</v>
      </c>
      <c r="F472" s="41">
        <f>IF(C472&gt;0,(C472-1+D472)/C472^2,1/2)</f>
        <v>0.499892245265</v>
      </c>
      <c r="G472" s="41">
        <f>(C_air_CO2/C_sat_CO2*F_vent_ex-CO2_fix_sched)*(B472/3600)/(V_L_CO2+Vg_CO2)</f>
        <v>-0.008544803693</v>
      </c>
      <c r="H472" s="41">
        <f>(G472*E472+pool_b*D472)/(1-pool_ret*D472)</f>
        <v>27.76920872494</v>
      </c>
      <c r="I472" s="41">
        <f>MIN(C_sat_CO2,MAX(C_air_CO2,(pool_ret*H472+pool_b)*E472+G472*F472))</f>
        <v>27.782462244001</v>
      </c>
      <c r="J472" s="41">
        <f>IF(AND(I472&gt;=CO2_pH_hi_mt,I473&lt;CO2_pH_hi_mt),EXP(LN(A472)+(LN(A473)-LN(A472))*(I472-CO2_pH_hi_mt)/(I472-I473)),0)</f>
        <v>0.0</v>
      </c>
      <c r="L472" s="41">
        <f>k_eff_CO2_l*B472</f>
        <v>0.00324102072</v>
      </c>
      <c r="M472" s="41">
        <f>EXP(-L472)</f>
        <v>0.996764225718</v>
      </c>
      <c r="N472" s="41">
        <f>IF(L472&gt;0,(1-M472)/L472,1)</f>
        <v>0.998381238925</v>
      </c>
      <c r="O472" s="41">
        <f>IF(L472&gt;0,(L472-1+M472)/L472^2,1/2)</f>
        <v>0.499460267282</v>
      </c>
      <c r="P472" s="41">
        <f>(C_air_CO2/C_sat_CO2*F_vent_ex-CO2_fix_l)*(B472/3600)/(V_L_CO2+Vg_CO2)</f>
        <v>7.474339593635e-06</v>
      </c>
      <c r="Q472" s="41">
        <f>(P472*N472+pool_b*M472)/(1-pool_ret*M472)</f>
        <v>27.104856077123</v>
      </c>
      <c r="R472" s="41">
        <f>MIN(C_sat_CO2,MAX(C_air_CO2,(pool_ret*Q472+pool_b)*N472+P472*O472))</f>
        <v>27.14882352701</v>
      </c>
      <c r="S472" s="41">
        <f>IF(AND(R472&gt;=CO2_pH_hi_mt,R473&lt;CO2_pH_hi_mt),EXP(LN(A472)+(LN(A473)-LN(A472))*(R472-CO2_pH_hi_mt)/(R472-R473)),0)</f>
        <v>0.0</v>
      </c>
    </row>
    <row r="473">
      <c r="A473" s="41">
        <f>A472*grid_ratio</f>
        <v>0.843432665302</v>
      </c>
      <c r="B473" s="41">
        <f>MAX(0,A473*60-spg_dur)</f>
        <v>49.955959918105</v>
      </c>
      <c r="C473" s="41">
        <f>k_eff_CO2*B473</f>
        <v>0.0007254053175749</v>
      </c>
      <c r="D473" s="41">
        <f>EXP(-C473)</f>
        <v>0.999274857725</v>
      </c>
      <c r="E473" s="41">
        <f>IF(C473&gt;0,(1-D473)/C473,1)</f>
        <v>0.999637385027</v>
      </c>
      <c r="F473" s="41">
        <f>IF(C473&gt;0,(C473-1+D473)/C473^2,1/2)</f>
        <v>0.499879120998</v>
      </c>
      <c r="G473" s="41">
        <f>(C_air_CO2/C_sat_CO2*F_vent_ex-CO2_fix_sched)*(B473/3600)/(V_L_CO2+Vg_CO2)</f>
        <v>-0.009585706438</v>
      </c>
      <c r="H473" s="41">
        <f>(G473*E473+pool_b*D473)/(1-pool_ret*D473)</f>
        <v>27.734567081256</v>
      </c>
      <c r="I473" s="41">
        <f>MIN(C_sat_CO2,MAX(C_air_CO2,(pool_ret*H473+pool_b)*E473+G473*F473))</f>
        <v>27.74942292765</v>
      </c>
      <c r="J473" s="41">
        <f>IF(AND(I473&gt;=CO2_pH_hi_mt,I474&lt;CO2_pH_hi_mt),EXP(LN(A473)+(LN(A474)-LN(A473))*(I473-CO2_pH_hi_mt)/(I473-I474)),0)</f>
        <v>0.0</v>
      </c>
      <c r="L473" s="41">
        <f>k_eff_CO2_l*B473</f>
        <v>0.003635832291</v>
      </c>
      <c r="M473" s="41">
        <f>EXP(-L473)</f>
        <v>0.996370769344</v>
      </c>
      <c r="N473" s="41">
        <f>IF(L473&gt;0,(1-M473)/L473,1)</f>
        <v>0.998184285066</v>
      </c>
      <c r="O473" s="41">
        <f>IF(L473&gt;0,(L473-1+M473)/L473^2,1/2)</f>
        <v>0.499394578354</v>
      </c>
      <c r="P473" s="41">
        <f>(C_air_CO2/C_sat_CO2*F_vent_ex-CO2_fix_l)*(B473/3600)/(V_L_CO2+Vg_CO2)</f>
        <v>8.384841564368e-06</v>
      </c>
      <c r="Q473" s="41">
        <f>(P473*N473+pool_b*M473)/(1-pool_ret*M473)</f>
        <v>26.993210177833</v>
      </c>
      <c r="R473" s="41">
        <f>MIN(C_sat_CO2,MAX(C_air_CO2,(pool_ret*Q473+pool_b)*N473+P473*O473))</f>
        <v>27.042336898806</v>
      </c>
      <c r="S473" s="41">
        <f>IF(AND(R473&gt;=CO2_pH_hi_mt,R474&lt;CO2_pH_hi_mt),EXP(LN(A473)+(LN(A474)-LN(A473))*(R473-CO2_pH_hi_mt)/(R473-R474)),0)</f>
        <v>0.0</v>
      </c>
    </row>
    <row r="474">
      <c r="A474" s="41">
        <f>A473*grid_ratio</f>
        <v>0.944699009179</v>
      </c>
      <c r="B474" s="41">
        <f>MAX(0,A474*60-spg_dur)</f>
        <v>56.031940550769</v>
      </c>
      <c r="C474" s="41">
        <f>k_eff_CO2*B474</f>
        <v>0.0008136340027537</v>
      </c>
      <c r="D474" s="41">
        <f>EXP(-C474)</f>
        <v>0.999186696908</v>
      </c>
      <c r="E474" s="41">
        <f>IF(C474&gt;0,(1-D474)/C474,1)</f>
        <v>0.99959329331</v>
      </c>
      <c r="F474" s="41">
        <f>IF(C474&gt;0,(C474-1+D474)/C474^2,1/2)</f>
        <v>0.499864421983</v>
      </c>
      <c r="G474" s="41">
        <f>(C_air_CO2/C_sat_CO2*F_vent_ex-CO2_fix_sched)*(B474/3600)/(V_L_CO2+Vg_CO2)</f>
        <v>-0.010751584679</v>
      </c>
      <c r="H474" s="41">
        <f>(G474*E474+pool_b*D474)/(1-pool_ret*D474)</f>
        <v>27.695832439381</v>
      </c>
      <c r="I474" s="41">
        <f>MIN(C_sat_CO2,MAX(C_air_CO2,(pool_ret*H474+pool_b)*E474+G474*F474))</f>
        <v>27.712479881891</v>
      </c>
      <c r="J474" s="41">
        <f>IF(AND(I474&gt;=CO2_pH_hi_mt,I475&lt;CO2_pH_hi_mt),EXP(LN(A474)+(LN(A475)-LN(A474))*(I474-CO2_pH_hi_mt)/(I474-I475)),0)</f>
        <v>0.0</v>
      </c>
      <c r="L474" s="41">
        <f>k_eff_CO2_l*B474</f>
        <v>0.004078046726</v>
      </c>
      <c r="M474" s="41">
        <f>EXP(-L474)</f>
        <v>0.995930257215</v>
      </c>
      <c r="N474" s="41">
        <f>IF(L474&gt;0,(1-M474)/L474,1)</f>
        <v>0.997963745558</v>
      </c>
      <c r="O474" s="41">
        <f>IF(L474&gt;0,(L474-1+M474)/L474^2,1/2)</f>
        <v>0.499321017917</v>
      </c>
      <c r="P474" s="41">
        <f>(C_air_CO2/C_sat_CO2*F_vent_ex-CO2_fix_l)*(B474/3600)/(V_L_CO2+Vg_CO2)</f>
        <v>9.4046625234e-06</v>
      </c>
      <c r="Q474" s="41">
        <f>(P474*N474+pool_b*M474)/(1-pool_ret*M474)</f>
        <v>26.86919501051</v>
      </c>
      <c r="R474" s="41">
        <f>MIN(C_sat_CO2,MAX(C_air_CO2,(pool_ret*Q474+pool_b)*N474+P474*O474))</f>
        <v>26.924051768671</v>
      </c>
      <c r="S474" s="41">
        <f>IF(AND(R474&gt;=CO2_pH_hi_mt,R475&lt;CO2_pH_hi_mt),EXP(LN(A474)+(LN(A475)-LN(A474))*(R474-CO2_pH_hi_mt)/(R474-R475)),0)</f>
        <v>0.0</v>
      </c>
    </row>
    <row r="475">
      <c r="A475" s="41">
        <f>A474*grid_ratio</f>
        <v>1.058123848719</v>
      </c>
      <c r="B475" s="41">
        <f>MAX(0,A475*60-spg_dur)</f>
        <v>62.837430923161</v>
      </c>
      <c r="C475" s="41">
        <f>k_eff_CO2*B475</f>
        <v>0.0009124558232718</v>
      </c>
      <c r="D475" s="41">
        <f>EXP(-C475)</f>
        <v>0.999087960338</v>
      </c>
      <c r="E475" s="41">
        <f>IF(C475&gt;0,(1-D475)/C475,1)</f>
        <v>0.999543910819</v>
      </c>
      <c r="F475" s="41">
        <f>IF(C475&gt;0,(C475-1+D475)/C475^2,1/2)</f>
        <v>0.499847958677</v>
      </c>
      <c r="G475" s="41">
        <f>(C_air_CO2/C_sat_CO2*F_vent_ex-CO2_fix_sched)*(B475/3600)/(V_L_CO2+Vg_CO2)</f>
        <v>-0.012057443539</v>
      </c>
      <c r="H475" s="41">
        <f>(G475*E475+pool_b*D475)/(1-pool_ret*D475)</f>
        <v>27.652530009647</v>
      </c>
      <c r="I475" s="41">
        <f>MIN(C_sat_CO2,MAX(C_air_CO2,(pool_ret*H475+pool_b)*E475+G475*F475))</f>
        <v>27.671180259514</v>
      </c>
      <c r="J475" s="41">
        <f>IF(AND(I475&gt;=CO2_pH_hi_mt,I476&lt;CO2_pH_hi_mt),EXP(LN(A475)+(LN(A476)-LN(A475))*(I475-CO2_pH_hi_mt)/(I475-I476)),0)</f>
        <v>0.0</v>
      </c>
      <c r="L475" s="41">
        <f>k_eff_CO2_l*B475</f>
        <v>0.004573355427</v>
      </c>
      <c r="M475" s="41">
        <f>EXP(-L475)</f>
        <v>0.995437086438</v>
      </c>
      <c r="N475" s="41">
        <f>IF(L475&gt;0,(1-M475)/L475,1)</f>
        <v>0.997716804234</v>
      </c>
      <c r="O475" s="41">
        <f>IF(L475&gt;0,(L475-1+M475)/L475^2,1/2)</f>
        <v>0.499238644784</v>
      </c>
      <c r="P475" s="41">
        <f>(C_air_CO2/C_sat_CO2*F_vent_ex-CO2_fix_l)*(B475/3600)/(V_L_CO2+Vg_CO2)</f>
        <v>1.054692780334e-05</v>
      </c>
      <c r="Q475" s="41">
        <f>(P475*N475+pool_b*M475)/(1-pool_ret*M475)</f>
        <v>26.731572008256</v>
      </c>
      <c r="R475" s="41">
        <f>MIN(C_sat_CO2,MAX(C_air_CO2,(pool_ret*Q475+pool_b)*N475+P475*O475))</f>
        <v>26.792786507734</v>
      </c>
      <c r="S475" s="41">
        <f>IF(AND(R475&gt;=CO2_pH_hi_mt,R476&lt;CO2_pH_hi_mt),EXP(LN(A475)+(LN(A476)-LN(A475))*(R475-CO2_pH_hi_mt)/(R475-R476)),0)</f>
        <v>0.0</v>
      </c>
    </row>
    <row r="476">
      <c r="A476" s="41">
        <f>A475*grid_ratio</f>
        <v>1.18516698795</v>
      </c>
      <c r="B476" s="41">
        <f>MAX(0,A476*60-spg_dur)</f>
        <v>70.460019277003</v>
      </c>
      <c r="C476" s="41">
        <f>k_eff_CO2*B476</f>
        <v>0.001023142639</v>
      </c>
      <c r="D476" s="41">
        <f>EXP(-C476)</f>
        <v>0.998977380593</v>
      </c>
      <c r="E476" s="41">
        <f>IF(C476&gt;0,(1-D476)/C476,1)</f>
        <v>0.999488603106</v>
      </c>
      <c r="F476" s="41">
        <f>IF(C476&gt;0,(C476-1+D476)/C476^2,1/2)</f>
        <v>0.499829519888</v>
      </c>
      <c r="G476" s="41">
        <f>(C_air_CO2/C_sat_CO2*F_vent_ex-CO2_fix_sched)*(B476/3600)/(V_L_CO2+Vg_CO2)</f>
        <v>-0.013520089725</v>
      </c>
      <c r="H476" s="41">
        <f>(G476*E476+pool_b*D476)/(1-pool_ret*D476)</f>
        <v>27.60413214104</v>
      </c>
      <c r="I476" s="41">
        <f>MIN(C_sat_CO2,MAX(C_air_CO2,(pool_ret*H476+pool_b)*E476+G476*F476))</f>
        <v>27.625020791618</v>
      </c>
      <c r="J476" s="41">
        <f>IF(AND(I476&gt;=CO2_pH_hi_mt,I477&lt;CO2_pH_hi_mt),EXP(LN(A476)+(LN(A477)-LN(A476))*(I476-CO2_pH_hi_mt)/(I476-I477)),0)</f>
        <v>0.0</v>
      </c>
      <c r="L476" s="41">
        <f>k_eff_CO2_l*B476</f>
        <v>0.005128133134</v>
      </c>
      <c r="M476" s="41">
        <f>EXP(-L476)</f>
        <v>0.994884993293</v>
      </c>
      <c r="N476" s="41">
        <f>IF(L476&gt;0,(1-M476)/L476,1)</f>
        <v>0.997440310778</v>
      </c>
      <c r="O476" s="41">
        <f>IF(L476&gt;0,(L476-1+M476)/L476^2,1/2)</f>
        <v>0.49914640576</v>
      </c>
      <c r="P476" s="41">
        <f>(C_air_CO2/C_sat_CO2*F_vent_ex-CO2_fix_l)*(B476/3600)/(V_L_CO2+Vg_CO2)</f>
        <v>1.182633862363e-05</v>
      </c>
      <c r="Q476" s="41">
        <f>(P476*N476+pool_b*M476)/(1-pool_ret*M476)</f>
        <v>26.579010196783</v>
      </c>
      <c r="R476" s="41">
        <f>MIN(C_sat_CO2,MAX(C_air_CO2,(pool_ret*Q476+pool_b)*N476+P476*O476))</f>
        <v>26.647271269118</v>
      </c>
      <c r="S476" s="41">
        <f>IF(AND(R476&gt;=CO2_pH_hi_mt,R477&lt;CO2_pH_hi_mt),EXP(LN(A476)+(LN(A477)-LN(A476))*(R476-CO2_pH_hi_mt)/(R476-R477)),0)</f>
        <v>0.0</v>
      </c>
    </row>
    <row r="477">
      <c r="A477" s="41">
        <f>A476*grid_ratio</f>
        <v>1.32746350158</v>
      </c>
      <c r="B477" s="41">
        <f>MAX(0,A477*60-spg_dur)</f>
        <v>78.997810094817</v>
      </c>
      <c r="C477" s="41">
        <f>k_eff_CO2*B477</f>
        <v>0.001147119015</v>
      </c>
      <c r="D477" s="41">
        <f>EXP(-C477)</f>
        <v>0.998853538675</v>
      </c>
      <c r="E477" s="41">
        <f>IF(C477&gt;0,(1-D477)/C477,1)</f>
        <v>0.999426659743</v>
      </c>
      <c r="F477" s="41">
        <f>IF(C477&gt;0,(C477-1+D477)/C477^2,1/2)</f>
        <v>0.499808868312</v>
      </c>
      <c r="G477" s="41">
        <f>(C_air_CO2/C_sat_CO2*F_vent_ex-CO2_fix_sched)*(B477/3600)/(V_L_CO2+Vg_CO2)</f>
        <v>-0.015158347834</v>
      </c>
      <c r="H477" s="41">
        <f>(G477*E477+pool_b*D477)/(1-pool_ret*D477)</f>
        <v>27.550052993457</v>
      </c>
      <c r="I477" s="41">
        <f>MIN(C_sat_CO2,MAX(C_air_CO2,(pool_ret*H477+pool_b)*E477+G477*F477))</f>
        <v>27.573442704936</v>
      </c>
      <c r="J477" s="41">
        <f>IF(AND(I477&gt;=CO2_pH_hi_mt,I478&lt;CO2_pH_hi_mt),EXP(LN(A477)+(LN(A478)-LN(A477))*(I477-CO2_pH_hi_mt)/(I477-I478)),0)</f>
        <v>0.0</v>
      </c>
      <c r="L477" s="41">
        <f>k_eff_CO2_l*B477</f>
        <v>0.005749519963</v>
      </c>
      <c r="M477" s="41">
        <f>EXP(-L477)</f>
        <v>0.994266976895</v>
      </c>
      <c r="N477" s="41">
        <f>IF(L477&gt;0,(1-M477)/L477,1)</f>
        <v>0.997130741605</v>
      </c>
      <c r="O477" s="41">
        <f>IF(L477&gt;0,(L477-1+M477)/L477^2,1/2)</f>
        <v>0.499043122467</v>
      </c>
      <c r="P477" s="41">
        <f>(C_air_CO2/C_sat_CO2*F_vent_ex-CO2_fix_l)*(B477/3600)/(V_L_CO2+Vg_CO2)</f>
        <v>1.325936129869e-05</v>
      </c>
      <c r="Q477" s="41">
        <f>(P477*N477+pool_b*M477)/(1-pool_ret*M477)</f>
        <v>26.410087051369</v>
      </c>
      <c r="R477" s="41">
        <f>MIN(C_sat_CO2,MAX(C_air_CO2,(pool_ret*Q477+pool_b)*N477+P477*O477))</f>
        <v>26.486148786007</v>
      </c>
      <c r="S477" s="41">
        <f>IF(AND(R477&gt;=CO2_pH_hi_mt,R478&lt;CO2_pH_hi_mt),EXP(LN(A477)+(LN(A478)-LN(A477))*(R477-CO2_pH_hi_mt)/(R477-R478)),0)</f>
        <v>0.0</v>
      </c>
    </row>
    <row r="478">
      <c r="A478" s="41">
        <f>A477*grid_ratio</f>
        <v>1.48684477879</v>
      </c>
      <c r="B478" s="41">
        <f>MAX(0,A478*60-spg_dur)</f>
        <v>88.560686727399</v>
      </c>
      <c r="C478" s="41">
        <f>k_eff_CO2*B478</f>
        <v>0.001285980555</v>
      </c>
      <c r="D478" s="41">
        <f>EXP(-C478)</f>
        <v>0.998714845963</v>
      </c>
      <c r="E478" s="41">
        <f>IF(C478&gt;0,(1-D478)/C478,1)</f>
        <v>0.999357285258</v>
      </c>
      <c r="F478" s="41">
        <f>IF(C478&gt;0,(C478-1+D478)/C478^2,1/2)</f>
        <v>0.499785738754</v>
      </c>
      <c r="G478" s="41">
        <f>(C_air_CO2/C_sat_CO2*F_vent_ex-CO2_fix_sched)*(B478/3600)/(V_L_CO2+Vg_CO2)</f>
        <v>-0.016993302627</v>
      </c>
      <c r="H478" s="41">
        <f>(G478*E478+pool_b*D478)/(1-pool_ret*D478)</f>
        <v>27.489642815551</v>
      </c>
      <c r="I478" s="41">
        <f>MIN(C_sat_CO2,MAX(C_air_CO2,(pool_ret*H478+pool_b)*E478+G478*F478))</f>
        <v>27.515826262532</v>
      </c>
      <c r="J478" s="41">
        <f>IF(AND(I478&gt;=CO2_pH_hi_mt,I479&lt;CO2_pH_hi_mt),EXP(LN(A478)+(LN(A479)-LN(A478))*(I478-CO2_pH_hi_mt)/(I478-I479)),0)</f>
        <v>0.0</v>
      </c>
      <c r="L478" s="41">
        <f>k_eff_CO2_l*B478</f>
        <v>0.006445513309</v>
      </c>
      <c r="M478" s="41">
        <f>EXP(-L478)</f>
        <v>0.993575214455</v>
      </c>
      <c r="N478" s="41">
        <f>IF(L478&gt;0,(1-M478)/L478,1)</f>
        <v>0.99678415631</v>
      </c>
      <c r="O478" s="41">
        <f>IF(L478&gt;0,(L478-1+M478)/L478^2,1/2)</f>
        <v>0.498927476579</v>
      </c>
      <c r="P478" s="41">
        <f>(C_air_CO2/C_sat_CO2*F_vent_ex-CO2_fix_l)*(B478/3600)/(V_L_CO2+Vg_CO2)</f>
        <v>1.486443916318e-05</v>
      </c>
      <c r="Q478" s="41">
        <f>(P478*N478+pool_b*M478)/(1-pool_ret*M478)</f>
        <v>26.223291658673</v>
      </c>
      <c r="R478" s="41">
        <f>MIN(C_sat_CO2,MAX(C_air_CO2,(pool_ret*Q478+pool_b)*N478+P478*O478))</f>
        <v>26.307977363987</v>
      </c>
      <c r="S478" s="41">
        <f>IF(AND(R478&gt;=CO2_pH_hi_mt,R479&lt;CO2_pH_hi_mt),EXP(LN(A478)+(LN(A479)-LN(A478))*(R478-CO2_pH_hi_mt)/(R478-R479)),0)</f>
        <v>0.0</v>
      </c>
    </row>
    <row r="479">
      <c r="A479" s="41">
        <f>A478*grid_ratio</f>
        <v>1.665362093634</v>
      </c>
      <c r="B479" s="41">
        <f>MAX(0,A479*60-spg_dur)</f>
        <v>99.271725618066</v>
      </c>
      <c r="C479" s="41">
        <f>k_eff_CO2*B479</f>
        <v>0.001441514441</v>
      </c>
      <c r="D479" s="41">
        <f>EXP(-C479)</f>
        <v>0.998559524042</v>
      </c>
      <c r="E479" s="41">
        <f>IF(C479&gt;0,(1-D479)/C479,1)</f>
        <v>0.999279588982</v>
      </c>
      <c r="F479" s="41">
        <f>IF(C479&gt;0,(C479-1+D479)/C479^2,1/2)</f>
        <v>0.499759834171</v>
      </c>
      <c r="G479" s="41">
        <f>(C_air_CO2/C_sat_CO2*F_vent_ex-CO2_fix_sched)*(B479/3600)/(V_L_CO2+Vg_CO2)</f>
        <v>-0.019048570399</v>
      </c>
      <c r="H479" s="41">
        <f>(G479*E479+pool_b*D479)/(1-pool_ret*D479)</f>
        <v>27.422181837733</v>
      </c>
      <c r="I479" s="41">
        <f>MIN(C_sat_CO2,MAX(C_air_CO2,(pool_ret*H479+pool_b)*E479+G479*F479))</f>
        <v>27.451484937085</v>
      </c>
      <c r="J479" s="41">
        <f>IF(AND(I479&gt;=CO2_pH_hi_mt,I480&lt;CO2_pH_hi_mt),EXP(LN(A479)+(LN(A480)-LN(A479))*(I479-CO2_pH_hi_mt)/(I479-I480)),0)</f>
        <v>0.0</v>
      </c>
      <c r="L479" s="41">
        <f>k_eff_CO2_l*B479</f>
        <v>0.007225070765</v>
      </c>
      <c r="M479" s="41">
        <f>EXP(-L479)</f>
        <v>0.992800967312</v>
      </c>
      <c r="N479" s="41">
        <f>IF(L479&gt;0,(1-M479)/L479,1)</f>
        <v>0.9963961492</v>
      </c>
      <c r="O479" s="41">
        <f>IF(L479&gt;0,(L479-1+M479)/L479^2,1/2)</f>
        <v>0.498797993467</v>
      </c>
      <c r="P479" s="41">
        <f>(C_air_CO2/C_sat_CO2*F_vent_ex-CO2_fix_l)*(B479/3600)/(V_L_CO2+Vg_CO2)</f>
        <v>1.6662229942e-05</v>
      </c>
      <c r="Q479" s="41">
        <f>(P479*N479+pool_b*M479)/(1-pool_ret*M479)</f>
        <v>26.01703074287</v>
      </c>
      <c r="R479" s="41">
        <f>MIN(C_sat_CO2,MAX(C_air_CO2,(pool_ret*Q479+pool_b)*N479+P479*O479))</f>
        <v>26.111236600528</v>
      </c>
      <c r="S479" s="41">
        <f>IF(AND(R479&gt;=CO2_pH_hi_mt,R480&lt;CO2_pH_hi_mt),EXP(LN(A479)+(LN(A480)-LN(A479))*(R479-CO2_pH_hi_mt)/(R479-R480)),0)</f>
        <v>0.0</v>
      </c>
    </row>
    <row r="480">
      <c r="A480" s="41">
        <f>A479*grid_ratio</f>
        <v>1.865313005418</v>
      </c>
      <c r="B480" s="41">
        <f>MAX(0,A480*60-spg_dur)</f>
        <v>111.268780325066</v>
      </c>
      <c r="C480" s="41">
        <f>k_eff_CO2*B480</f>
        <v>0.00161572243</v>
      </c>
      <c r="D480" s="41">
        <f>EXP(-C480)</f>
        <v>0.998385582147</v>
      </c>
      <c r="E480" s="41">
        <f>IF(C480&gt;0,(1-D480)/C480,1)</f>
        <v>0.999192573703</v>
      </c>
      <c r="F480" s="41">
        <f>IF(C480&gt;0,(C480-1+D480)/C480^2,1/2)</f>
        <v>0.499730821667</v>
      </c>
      <c r="G480" s="41">
        <f>(C_air_CO2/C_sat_CO2*F_vent_ex-CO2_fix_sched)*(B480/3600)/(V_L_CO2+Vg_CO2)</f>
        <v>-0.021350602924</v>
      </c>
      <c r="H480" s="41">
        <f>(G480*E480+pool_b*D480)/(1-pool_ret*D480)</f>
        <v>27.346873803432</v>
      </c>
      <c r="I480" s="41">
        <f>MIN(C_sat_CO2,MAX(C_air_CO2,(pool_ret*H480+pool_b)*E480+G480*F480))</f>
        <v>27.379659238594</v>
      </c>
      <c r="J480" s="41">
        <f>IF(AND(I480&gt;=CO2_pH_hi_mt,I481&lt;CO2_pH_hi_mt),EXP(LN(A480)+(LN(A481)-LN(A480))*(I480-CO2_pH_hi_mt)/(I480-I481)),0)</f>
        <v>0.0</v>
      </c>
      <c r="L480" s="41">
        <f>k_eff_CO2_l*B480</f>
        <v>0.008098225419</v>
      </c>
      <c r="M480" s="41">
        <f>EXP(-L480)</f>
        <v>0.991934476872</v>
      </c>
      <c r="N480" s="41">
        <f>IF(L480&gt;0,(1-M480)/L480,1)</f>
        <v>0.995961795406</v>
      </c>
      <c r="O480" s="41">
        <f>IF(L480&gt;0,(L480-1+M480)/L480^2,1/2)</f>
        <v>0.498653023896</v>
      </c>
      <c r="P480" s="41">
        <f>(C_air_CO2/C_sat_CO2*F_vent_ex-CO2_fix_l)*(B480/3600)/(V_L_CO2+Vg_CO2)</f>
        <v>1.867587162004e-05</v>
      </c>
      <c r="Q480" s="41">
        <f>(P480*N480+pool_b*M480)/(1-pool_ret*M480)</f>
        <v>25.789638172436</v>
      </c>
      <c r="R480" s="41">
        <f>MIN(C_sat_CO2,MAX(C_air_CO2,(pool_ret*Q480+pool_b)*N480+P480*O480))</f>
        <v>25.894336418705</v>
      </c>
      <c r="S480" s="41">
        <f>IF(AND(R480&gt;=CO2_pH_hi_mt,R481&lt;CO2_pH_hi_mt),EXP(LN(A480)+(LN(A481)-LN(A480))*(R480-CO2_pH_hi_mt)/(R480-R481)),0)</f>
        <v>0.0</v>
      </c>
    </row>
    <row r="481">
      <c r="A481" s="41">
        <f>A480*grid_ratio</f>
        <v>2.089270928815</v>
      </c>
      <c r="B481" s="41">
        <f>MAX(0,A481*60-spg_dur)</f>
        <v>124.706255728892</v>
      </c>
      <c r="C481" s="41">
        <f>k_eff_CO2*B481</f>
        <v>0.001810846617</v>
      </c>
      <c r="D481" s="41">
        <f>EXP(-C481)</f>
        <v>0.998190791976</v>
      </c>
      <c r="E481" s="41">
        <f>IF(C481&gt;0,(1-D481)/C481,1)</f>
        <v>0.999095122972</v>
      </c>
      <c r="F481" s="41">
        <f>IF(C481&gt;0,(C481-1+D481)/C481^2,1/2)</f>
        <v>0.499698328794</v>
      </c>
      <c r="G481" s="41">
        <f>(C_air_CO2/C_sat_CO2*F_vent_ex-CO2_fix_sched)*(B481/3600)/(V_L_CO2+Vg_CO2)</f>
        <v>-0.023929027895</v>
      </c>
      <c r="H481" s="41">
        <f>(G481*E481+pool_b*D481)/(1-pool_ret*D481)</f>
        <v>27.262839179227</v>
      </c>
      <c r="I481" s="41">
        <f>MIN(C_sat_CO2,MAX(C_air_CO2,(pool_ret*H481+pool_b)*E481+G481*F481))</f>
        <v>27.299510235109</v>
      </c>
      <c r="J481" s="41">
        <f>IF(AND(I481&gt;=CO2_pH_hi_mt,I482&lt;CO2_pH_hi_mt),EXP(LN(A481)+(LN(A482)-LN(A481))*(I481-CO2_pH_hi_mt)/(I481-I482)),0)</f>
        <v>0.0</v>
      </c>
      <c r="L481" s="41">
        <f>k_eff_CO2_l*B481</f>
        <v>0.009076214974</v>
      </c>
      <c r="M481" s="41">
        <f>EXP(-L481)</f>
        <v>0.990964849535</v>
      </c>
      <c r="N481" s="41">
        <f>IF(L481&gt;0,(1-M481)/L481,1)</f>
        <v>0.995475591029</v>
      </c>
      <c r="O481" s="41">
        <f>IF(L481&gt;0,(L481-1+M481)/L481^2,1/2)</f>
        <v>0.498490723686</v>
      </c>
      <c r="P481" s="41">
        <f>(C_air_CO2/C_sat_CO2*F_vent_ex-CO2_fix_l)*(B481/3600)/(V_L_CO2+Vg_CO2)</f>
        <v>2.093128023336e-05</v>
      </c>
      <c r="Q481" s="41">
        <f>(P481*N481+pool_b*M481)/(1-pool_ret*M481)</f>
        <v>25.539388605515</v>
      </c>
      <c r="R481" s="41">
        <f>MIN(C_sat_CO2,MAX(C_air_CO2,(pool_ret*Q481+pool_b)*N481+P481*O481))</f>
        <v>25.655630041786</v>
      </c>
      <c r="S481" s="41">
        <f>IF(AND(R481&gt;=CO2_pH_hi_mt,R482&lt;CO2_pH_hi_mt),EXP(LN(A481)+(LN(A482)-LN(A481))*(R481-CO2_pH_hi_mt)/(R481-R482)),0)</f>
        <v>0.0</v>
      </c>
    </row>
    <row r="482">
      <c r="A482" s="41">
        <f>A481*grid_ratio</f>
        <v>2.340118254316</v>
      </c>
      <c r="B482" s="41">
        <f>MAX(0,A482*60-spg_dur)</f>
        <v>139.757095258952</v>
      </c>
      <c r="C482" s="41">
        <f>k_eff_CO2*B482</f>
        <v>0.002029398299</v>
      </c>
      <c r="D482" s="41">
        <f>EXP(-C482)</f>
        <v>0.997972659538</v>
      </c>
      <c r="E482" s="41">
        <f>IF(C482&gt;0,(1-D482)/C482,1)</f>
        <v>0.998985986912</v>
      </c>
      <c r="F482" s="41">
        <f>IF(C482&gt;0,(C482-1+D482)/C482^2,1/2)</f>
        <v>0.49966193848</v>
      </c>
      <c r="G482" s="41">
        <f>(C_air_CO2/C_sat_CO2*F_vent_ex-CO2_fix_sched)*(B482/3600)/(V_L_CO2+Vg_CO2)</f>
        <v>-0.026817030239</v>
      </c>
      <c r="H482" s="41">
        <f>(G482*E482+pool_b*D482)/(1-pool_ret*D482)</f>
        <v>27.16910810675</v>
      </c>
      <c r="I482" s="41">
        <f>MIN(C_sat_CO2,MAX(C_air_CO2,(pool_ret*H482+pool_b)*E482+G482*F482))</f>
        <v>27.210112826365</v>
      </c>
      <c r="J482" s="41">
        <f>IF(AND(I482&gt;=CO2_pH_hi_mt,I483&lt;CO2_pH_hi_mt),EXP(LN(A482)+(LN(A483)-LN(A482))*(I482-CO2_pH_hi_mt)/(I482-I483)),0)</f>
        <v>0.0</v>
      </c>
      <c r="L482" s="41">
        <f>k_eff_CO2_l*B482</f>
        <v>0.010171626381</v>
      </c>
      <c r="M482" s="41">
        <f>EXP(-L482)</f>
        <v>0.989879929659</v>
      </c>
      <c r="N482" s="41">
        <f>IF(L482&gt;0,(1-M482)/L482,1)</f>
        <v>0.994931386713</v>
      </c>
      <c r="O482" s="41">
        <f>IF(L482&gt;0,(L482-1+M482)/L482^2,1/2)</f>
        <v>0.498309031098</v>
      </c>
      <c r="P482" s="41">
        <f>(C_air_CO2/C_sat_CO2*F_vent_ex-CO2_fix_l)*(B482/3600)/(V_L_CO2+Vg_CO2)</f>
        <v>2.345748341466e-05</v>
      </c>
      <c r="Q482" s="41">
        <f>(P482*N482+pool_b*M482)/(1-pool_ret*M482)</f>
        <v>25.264515948267</v>
      </c>
      <c r="R482" s="41">
        <f>MIN(C_sat_CO2,MAX(C_air_CO2,(pool_ret*Q482+pool_b)*N482+P482*O482))</f>
        <v>25.393431551026</v>
      </c>
      <c r="S482" s="41">
        <f>IF(AND(R482&gt;=CO2_pH_hi_mt,R483&lt;CO2_pH_hi_mt),EXP(LN(A482)+(LN(A483)-LN(A482))*(R482-CO2_pH_hi_mt)/(R482-R483)),0)</f>
        <v>0.0</v>
      </c>
    </row>
    <row r="483">
      <c r="A483" s="41">
        <f>A482*grid_ratio</f>
        <v>2.621083445261</v>
      </c>
      <c r="B483" s="41">
        <f>MAX(0,A483*60-spg_dur)</f>
        <v>156.615006715679</v>
      </c>
      <c r="C483" s="41">
        <f>k_eff_CO2*B483</f>
        <v>0.002274190284</v>
      </c>
      <c r="D483" s="41">
        <f>EXP(-C483)</f>
        <v>0.997728393727</v>
      </c>
      <c r="E483" s="41">
        <f>IF(C483&gt;0,(1-D483)/C483,1)</f>
        <v>0.998863766358</v>
      </c>
      <c r="F483" s="41">
        <f>IF(C483&gt;0,(C483-1+D483)/C483^2,1/2)</f>
        <v>0.49962118368</v>
      </c>
      <c r="G483" s="41">
        <f>(C_air_CO2/C_sat_CO2*F_vent_ex-CO2_fix_sched)*(B483/3600)/(V_L_CO2+Vg_CO2)</f>
        <v>-0.030051779219</v>
      </c>
      <c r="H483" s="41">
        <f>(G483*E483+pool_b*D483)/(1-pool_ret*D483)</f>
        <v>27.06461318722</v>
      </c>
      <c r="I483" s="41">
        <f>MIN(C_sat_CO2,MAX(C_air_CO2,(pool_ret*H483+pool_b)*E483+G483*F483))</f>
        <v>27.110448856767</v>
      </c>
      <c r="J483" s="41">
        <f>IF(AND(I483&gt;=CO2_pH_hi_mt,I484&lt;CO2_pH_hi_mt),EXP(LN(A483)+(LN(A484)-LN(A483))*(I483-CO2_pH_hi_mt)/(I483-I484)),0)</f>
        <v>0.0</v>
      </c>
      <c r="L483" s="41">
        <f>k_eff_CO2_l*B483</f>
        <v>0.011398557841</v>
      </c>
      <c r="M483" s="41">
        <f>EXP(-L483)</f>
        <v>0.988666159591</v>
      </c>
      <c r="N483" s="41">
        <f>IF(L483&gt;0,(1-M483)/L483,1)</f>
        <v>0.994322314032</v>
      </c>
      <c r="O483" s="41">
        <f>IF(L483&gt;0,(L483-1+M483)/L483^2,1/2)</f>
        <v>0.498105641672</v>
      </c>
      <c r="P483" s="41">
        <f>(C_air_CO2/C_sat_CO2*F_vent_ex-CO2_fix_l)*(B483/3600)/(V_L_CO2+Vg_CO2)</f>
        <v>2.628699398563e-05</v>
      </c>
      <c r="Q483" s="41">
        <f>(P483*N483+pool_b*M483)/(1-pool_ret*M483)</f>
        <v>24.963237279945</v>
      </c>
      <c r="R483" s="41">
        <f>MIN(C_sat_CO2,MAX(C_air_CO2,(pool_ret*Q483+pool_b)*N483+P483*O483))</f>
        <v>25.106038649249</v>
      </c>
      <c r="S483" s="41">
        <f>IF(AND(R483&gt;=CO2_pH_hi_mt,R484&lt;CO2_pH_hi_mt),EXP(LN(A483)+(LN(A484)-LN(A483))*(R483-CO2_pH_hi_mt)/(R483-R484)),0)</f>
        <v>0.0</v>
      </c>
    </row>
    <row r="484">
      <c r="A484" s="41">
        <f>A483*grid_ratio</f>
        <v>2.935782588915</v>
      </c>
      <c r="B484" s="41">
        <f>MAX(0,A484*60-spg_dur)</f>
        <v>175.496955334905</v>
      </c>
      <c r="C484" s="41">
        <f>k_eff_CO2*B484</f>
        <v>0.002548373104</v>
      </c>
      <c r="D484" s="41">
        <f>EXP(-C484)</f>
        <v>0.997454871243</v>
      </c>
      <c r="E484" s="41">
        <f>IF(C484&gt;0,(1-D484)/C484,1)</f>
        <v>0.998726895127</v>
      </c>
      <c r="F484" s="41">
        <f>IF(C484&gt;0,(C484-1+D484)/C484^2,1/2)</f>
        <v>0.499575541605</v>
      </c>
      <c r="G484" s="41">
        <f>(C_air_CO2/C_sat_CO2*F_vent_ex-CO2_fix_sched)*(B484/3600)/(V_L_CO2+Vg_CO2)</f>
        <v>-0.033674906805</v>
      </c>
      <c r="H484" s="41">
        <f>(G484*E484+pool_b*D484)/(1-pool_ret*D484)</f>
        <v>26.948182224035</v>
      </c>
      <c r="I484" s="41">
        <f>MIN(C_sat_CO2,MAX(C_air_CO2,(pool_ret*H484+pool_b)*E484+G484*F484))</f>
        <v>26.999400187074</v>
      </c>
      <c r="J484" s="41">
        <f>IF(AND(I484&gt;=CO2_pH_hi_mt,I485&lt;CO2_pH_hi_mt),EXP(LN(A484)+(LN(A485)-LN(A484))*(I484-CO2_pH_hi_mt)/(I484-I485)),0)</f>
        <v>0.0</v>
      </c>
      <c r="L484" s="41">
        <f>k_eff_CO2_l*B484</f>
        <v>0.012772800246</v>
      </c>
      <c r="M484" s="41">
        <f>EXP(-L484)</f>
        <v>0.987308425771</v>
      </c>
      <c r="N484" s="41">
        <f>IF(L484&gt;0,(1-M484)/L484,1)</f>
        <v>0.99364070401</v>
      </c>
      <c r="O484" s="41">
        <f>IF(L484&gt;0,(L484-1+M484)/L484^2,1/2)</f>
        <v>0.497877980315</v>
      </c>
      <c r="P484" s="41">
        <f>(C_air_CO2/C_sat_CO2*F_vent_ex-CO2_fix_l)*(B484/3600)/(V_L_CO2+Vg_CO2)</f>
        <v>2.945622840447e-05</v>
      </c>
      <c r="Q484" s="41">
        <f>(P484*N484+pool_b*M484)/(1-pool_ret*M484)</f>
        <v>24.633782826816</v>
      </c>
      <c r="R484" s="41">
        <f>MIN(C_sat_CO2,MAX(C_air_CO2,(pool_ret*Q484+pool_b)*N484+P484*O484))</f>
        <v>24.791761184514</v>
      </c>
      <c r="S484" s="41">
        <f>IF(AND(R484&gt;=CO2_pH_hi_mt,R485&lt;CO2_pH_hi_mt),EXP(LN(A484)+(LN(A485)-LN(A484))*(R484-CO2_pH_hi_mt)/(R484-R485)),0)</f>
        <v>0.0</v>
      </c>
    </row>
    <row r="485">
      <c r="A485" s="41">
        <f>A484*grid_ratio</f>
        <v>3.288265936347</v>
      </c>
      <c r="B485" s="41">
        <f>MAX(0,A485*60-spg_dur)</f>
        <v>196.645956180846</v>
      </c>
      <c r="C485" s="41">
        <f>k_eff_CO2*B485</f>
        <v>0.002855475553</v>
      </c>
      <c r="D485" s="41">
        <f>EXP(-C485)</f>
        <v>0.997148597439</v>
      </c>
      <c r="E485" s="41">
        <f>IF(C485&gt;0,(1-D485)/C485,1)</f>
        <v>0.998573620211</v>
      </c>
      <c r="F485" s="41">
        <f>IF(C485&gt;0,(C485-1+D485)/C485^2,1/2)</f>
        <v>0.499524426947</v>
      </c>
      <c r="G485" s="41">
        <f>(C_air_CO2/C_sat_CO2*F_vent_ex-CO2_fix_sched)*(B485/3600)/(V_L_CO2+Vg_CO2)</f>
        <v>-0.037733043489</v>
      </c>
      <c r="H485" s="41">
        <f>(G485*E485+pool_b*D485)/(1-pool_ret*D485)</f>
        <v>26.818531090874</v>
      </c>
      <c r="I485" s="41">
        <f>MIN(C_sat_CO2,MAX(C_air_CO2,(pool_ret*H485+pool_b)*E485+G485*F485))</f>
        <v>26.875741884287</v>
      </c>
      <c r="J485" s="41">
        <f>IF(AND(I485&gt;=CO2_pH_hi_mt,I486&lt;CO2_pH_hi_mt),EXP(LN(A485)+(LN(A486)-LN(A485))*(I485-CO2_pH_hi_mt)/(I485-I486)),0)</f>
        <v>0.0</v>
      </c>
      <c r="L485" s="41">
        <f>k_eff_CO2_l*B485</f>
        <v>0.014312040415</v>
      </c>
      <c r="M485" s="41">
        <f>EXP(-L485)</f>
        <v>0.985789889978</v>
      </c>
      <c r="N485" s="41">
        <f>IF(L485&gt;0,(1-M485)/L485,1)</f>
        <v>0.992877997075</v>
      </c>
      <c r="O485" s="41">
        <f>IF(L485&gt;0,(L485-1+M485)/L485^2,1/2)</f>
        <v>0.49762317033</v>
      </c>
      <c r="P485" s="41">
        <f>(C_air_CO2/C_sat_CO2*F_vent_ex-CO2_fix_l)*(B485/3600)/(V_L_CO2+Vg_CO2)</f>
        <v>3.300597545424e-05</v>
      </c>
      <c r="Q485" s="41">
        <f>(P485*N485+pool_b*M485)/(1-pool_ret*M485)</f>
        <v>24.274432429382</v>
      </c>
      <c r="R485" s="41">
        <f>MIN(C_sat_CO2,MAX(C_air_CO2,(pool_ret*Q485+pool_b)*N485+P485*O485))</f>
        <v>24.448955856879</v>
      </c>
      <c r="S485" s="41">
        <f>IF(AND(R485&gt;=CO2_pH_hi_mt,R486&lt;CO2_pH_hi_mt),EXP(LN(A485)+(LN(A486)-LN(A485))*(R485-CO2_pH_hi_mt)/(R485-R486)),0)</f>
        <v>0.0</v>
      </c>
    </row>
    <row r="486">
      <c r="A486" s="41">
        <f>A485*grid_ratio</f>
        <v>3.683070030107</v>
      </c>
      <c r="B486" s="41">
        <f>MAX(0,A486*60-spg_dur)</f>
        <v>220.334201806416</v>
      </c>
      <c r="C486" s="41">
        <f>k_eff_CO2*B486</f>
        <v>0.003199450114</v>
      </c>
      <c r="D486" s="41">
        <f>EXP(-C486)</f>
        <v>0.996805662673</v>
      </c>
      <c r="E486" s="41">
        <f>IF(C486&gt;0,(1-D486)/C486,1)</f>
        <v>0.99840197966</v>
      </c>
      <c r="F486" s="41">
        <f>IF(C486&gt;0,(C486-1+D486)/C486^2,1/2)</f>
        <v>0.499467184561</v>
      </c>
      <c r="G486" s="41">
        <f>(C_air_CO2/C_sat_CO2*F_vent_ex-CO2_fix_sched)*(B486/3600)/(V_L_CO2+Vg_CO2)</f>
        <v>-0.042278418435</v>
      </c>
      <c r="H486" s="41">
        <f>(G486*E486+pool_b*D486)/(1-pool_ret*D486)</f>
        <v>26.674256943334</v>
      </c>
      <c r="I486" s="41">
        <f>MIN(C_sat_CO2,MAX(C_air_CO2,(pool_ret*H486+pool_b)*E486+G486*F486))</f>
        <v>26.738135737259</v>
      </c>
      <c r="J486" s="41">
        <f>IF(AND(I486&gt;=CO2_pH_hi_mt,I487&lt;CO2_pH_hi_mt),EXP(LN(A486)+(LN(A487)-LN(A486))*(I486-CO2_pH_hi_mt)/(I486-I487)),0)</f>
        <v>0.0</v>
      </c>
      <c r="L486" s="41">
        <f>k_eff_CO2_l*B486</f>
        <v>0.016036088727</v>
      </c>
      <c r="M486" s="41">
        <f>EXP(-L486)</f>
        <v>0.984091804794</v>
      </c>
      <c r="N486" s="41">
        <f>IF(L486&gt;0,(1-M486)/L486,1)</f>
        <v>0.992024643719</v>
      </c>
      <c r="O486" s="41">
        <f>IF(L486&gt;0,(L486-1+M486)/L486^2,1/2)</f>
        <v>0.497337999112</v>
      </c>
      <c r="P486" s="41">
        <f>(C_air_CO2/C_sat_CO2*F_vent_ex-CO2_fix_l)*(B486/3600)/(V_L_CO2+Vg_CO2)</f>
        <v>3.698192120394e-05</v>
      </c>
      <c r="Q486" s="41">
        <f>(P486*N486+pool_b*M486)/(1-pool_ret*M486)</f>
        <v>23.88355872872</v>
      </c>
      <c r="R486" s="41">
        <f>MIN(C_sat_CO2,MAX(C_air_CO2,(pool_ret*Q486+pool_b)*N486+P486*O486))</f>
        <v>24.076067322903</v>
      </c>
      <c r="S486" s="41">
        <f>IF(AND(R486&gt;=CO2_pH_hi_mt,R487&lt;CO2_pH_hi_mt),EXP(LN(A486)+(LN(A487)-LN(A486))*(R486-CO2_pH_hi_mt)/(R486-R487)),0)</f>
        <v>0.0</v>
      </c>
    </row>
    <row r="487">
      <c r="A487" s="41">
        <f>A486*grid_ratio</f>
        <v>4.125276090577</v>
      </c>
      <c r="B487" s="41">
        <f>MAX(0,A487*60-spg_dur)</f>
        <v>246.866565434603</v>
      </c>
      <c r="C487" s="41">
        <f>k_eff_CO2*B487</f>
        <v>0.003584723817</v>
      </c>
      <c r="D487" s="41">
        <f>EXP(-C487)</f>
        <v>0.996421693635</v>
      </c>
      <c r="E487" s="41">
        <f>IF(C487&gt;0,(1-D487)/C487,1)</f>
        <v>0.998209777881</v>
      </c>
      <c r="F487" s="41">
        <f>IF(C487&gt;0,(C487-1+D487)/C487^2,1/2)</f>
        <v>0.499403081071</v>
      </c>
      <c r="G487" s="41">
        <f>(C_air_CO2/C_sat_CO2*F_vent_ex-CO2_fix_sched)*(B487/3600)/(V_L_CO2+Vg_CO2)</f>
        <v>-0.047369531673</v>
      </c>
      <c r="H487" s="41">
        <f>(G487*E487+pool_b*D487)/(1-pool_ret*D487)</f>
        <v>26.51383205177</v>
      </c>
      <c r="I487" s="41">
        <f>MIN(C_sat_CO2,MAX(C_air_CO2,(pool_ret*H487+pool_b)*E487+G487*F487))</f>
        <v>26.585124362513</v>
      </c>
      <c r="J487" s="41">
        <f>IF(AND(I487&gt;=CO2_pH_hi_mt,I488&lt;CO2_pH_hi_mt),EXP(LN(A487)+(LN(A488)-LN(A487))*(I487-CO2_pH_hi_mt)/(I487-I488)),0)</f>
        <v>0.0</v>
      </c>
      <c r="L487" s="41">
        <f>k_eff_CO2_l*B487</f>
        <v>0.017967134084</v>
      </c>
      <c r="M487" s="41">
        <f>EXP(-L487)</f>
        <v>0.982193312511</v>
      </c>
      <c r="N487" s="41">
        <f>IF(L487&gt;0,(1-M487)/L487,1)</f>
        <v>0.991069995137</v>
      </c>
      <c r="O487" s="41">
        <f>IF(L487&gt;0,(L487-1+M487)/L487^2,1/2)</f>
        <v>0.497018880209</v>
      </c>
      <c r="P487" s="41">
        <f>(C_air_CO2/C_sat_CO2*F_vent_ex-CO2_fix_l)*(B487/3600)/(V_L_CO2+Vg_CO2)</f>
        <v>4.143523699879e-05</v>
      </c>
      <c r="Q487" s="41">
        <f>(P487*N487+pool_b*M487)/(1-pool_ret*M487)</f>
        <v>23.459676985679</v>
      </c>
      <c r="R487" s="41">
        <f>MIN(C_sat_CO2,MAX(C_air_CO2,(pool_ret*Q487+pool_b)*N487+P487*O487))</f>
        <v>23.671675615005</v>
      </c>
      <c r="S487" s="41">
        <f>IF(AND(R487&gt;=CO2_pH_hi_mt,R488&lt;CO2_pH_hi_mt),EXP(LN(A487)+(LN(A488)-LN(A487))*(R487-CO2_pH_hi_mt)/(R487-R488)),0)</f>
        <v>0.0</v>
      </c>
    </row>
    <row r="488">
      <c r="A488" s="41">
        <f>A487*grid_ratio</f>
        <v>4.620575412461</v>
      </c>
      <c r="B488" s="41">
        <f>MAX(0,A488*60-spg_dur)</f>
        <v>276.584524747656</v>
      </c>
      <c r="C488" s="41">
        <f>k_eff_CO2*B488</f>
        <v>0.004016255224</v>
      </c>
      <c r="D488" s="41">
        <f>EXP(-C488)</f>
        <v>0.995991799142</v>
      </c>
      <c r="E488" s="41">
        <f>IF(C488&gt;0,(1-D488)/C488,1)</f>
        <v>0.997994558075</v>
      </c>
      <c r="F488" s="41">
        <f>IF(C488&gt;0,(C488-1+D488)/C488^2,1/2)</f>
        <v>0.499331295688</v>
      </c>
      <c r="G488" s="41">
        <f>(C_air_CO2/C_sat_CO2*F_vent_ex-CO2_fix_sched)*(B488/3600)/(V_L_CO2+Vg_CO2)</f>
        <v>-0.053071907012</v>
      </c>
      <c r="H488" s="41">
        <f>(G488*E488+pool_b*D488)/(1-pool_ret*D488)</f>
        <v>26.335598602324</v>
      </c>
      <c r="I488" s="41">
        <f>MIN(C_sat_CO2,MAX(C_air_CO2,(pool_ret*H488+pool_b)*E488+G488*F488))</f>
        <v>26.415126230675</v>
      </c>
      <c r="J488" s="41">
        <f>IF(AND(I488&gt;=CO2_pH_hi_mt,I489&lt;CO2_pH_hi_mt),EXP(LN(A488)+(LN(A489)-LN(A488))*(I488-CO2_pH_hi_mt)/(I488-I489)),0)</f>
        <v>0.0</v>
      </c>
      <c r="L488" s="41">
        <f>k_eff_CO2_l*B488</f>
        <v>0.020130029487</v>
      </c>
      <c r="M488" s="41">
        <f>EXP(-L488)</f>
        <v>0.980071226862</v>
      </c>
      <c r="N488" s="41">
        <f>IF(L488&gt;0,(1-M488)/L488,1)</f>
        <v>0.990002183091</v>
      </c>
      <c r="O488" s="41">
        <f>IF(L488&gt;0,(L488-1+M488)/L488^2,1/2)</f>
        <v>0.496661811424</v>
      </c>
      <c r="P488" s="41">
        <f>(C_air_CO2/C_sat_CO2*F_vent_ex-CO2_fix_l)*(B488/3600)/(V_L_CO2+Vg_CO2)</f>
        <v>4.642323804741e-05</v>
      </c>
      <c r="Q488" s="41">
        <f>(P488*N488+pool_b*M488)/(1-pool_ret*M488)</f>
        <v>23.001501033564</v>
      </c>
      <c r="R488" s="41">
        <f>MIN(C_sat_CO2,MAX(C_air_CO2,(pool_ret*Q488+pool_b)*N488+P488*O488))</f>
        <v>23.234549399074</v>
      </c>
      <c r="S488" s="41">
        <f>IF(AND(R488&gt;=CO2_pH_hi_mt,R489&lt;CO2_pH_hi_mt),EXP(LN(A488)+(LN(A489)-LN(A488))*(R488-CO2_pH_hi_mt)/(R488-R489)),0)</f>
        <v>0.0</v>
      </c>
    </row>
    <row r="489">
      <c r="A489" s="41">
        <f>A488*grid_ratio</f>
        <v>5.17534261307</v>
      </c>
      <c r="B489" s="41">
        <f>MAX(0,A489*60-spg_dur)</f>
        <v>309.870556784171</v>
      </c>
      <c r="C489" s="41">
        <f>k_eff_CO2*B489</f>
        <v>0.004499598247</v>
      </c>
      <c r="D489" s="41">
        <f>EXP(-C489)</f>
        <v>0.995510509779</v>
      </c>
      <c r="E489" s="41">
        <f>IF(C489&gt;0,(1-D489)/C489,1)</f>
        <v>0.997753571482</v>
      </c>
      <c r="F489" s="41">
        <f>IF(C489&gt;0,(C489-1+D489)/C489^2,1/2)</f>
        <v>0.499250909798</v>
      </c>
      <c r="G489" s="41">
        <f>(C_air_CO2/C_sat_CO2*F_vent_ex-CO2_fix_sched)*(B489/3600)/(V_L_CO2+Vg_CO2)</f>
        <v>-0.059458935349</v>
      </c>
      <c r="H489" s="41">
        <f>(G489*E489+pool_b*D489)/(1-pool_ret*D489)</f>
        <v>26.137764891991</v>
      </c>
      <c r="I489" s="41">
        <f>MIN(C_sat_CO2,MAX(C_air_CO2,(pool_ret*H489+pool_b)*E489+G489*F489))</f>
        <v>26.226432019139</v>
      </c>
      <c r="J489" s="41">
        <f>IF(AND(I489&gt;=CO2_pH_hi_mt,I490&lt;CO2_pH_hi_mt),EXP(LN(A489)+(LN(A490)-LN(A489))*(I489-CO2_pH_hi_mt)/(I489-I490)),0)</f>
        <v>0.0</v>
      </c>
      <c r="L489" s="41">
        <f>k_eff_CO2_l*B489</f>
        <v>0.022552611904</v>
      </c>
      <c r="M489" s="41">
        <f>EXP(-L489)</f>
        <v>0.977699797192</v>
      </c>
      <c r="N489" s="41">
        <f>IF(L489&gt;0,(1-M489)/L489,1)</f>
        <v>0.9888079883</v>
      </c>
      <c r="O489" s="41">
        <f>IF(L489&gt;0,(L489-1+M489)/L489^2,1/2)</f>
        <v>0.496262328631</v>
      </c>
      <c r="P489" s="41">
        <f>(C_air_CO2/C_sat_CO2*F_vent_ex-CO2_fix_l)*(B489/3600)/(V_L_CO2+Vg_CO2)</f>
        <v>5.201012108179e-05</v>
      </c>
      <c r="Q489" s="41">
        <f>(P489*N489+pool_b*M489)/(1-pool_ret*M489)</f>
        <v>22.508004352097</v>
      </c>
      <c r="R489" s="41">
        <f>MIN(C_sat_CO2,MAX(C_air_CO2,(pool_ret*Q489+pool_b)*N489+P489*O489))</f>
        <v>22.763704104872</v>
      </c>
      <c r="S489" s="41">
        <f>IF(AND(R489&gt;=CO2_pH_hi_mt,R490&lt;CO2_pH_hi_mt),EXP(LN(A489)+(LN(A490)-LN(A489))*(R489-CO2_pH_hi_mt)/(R489-R490)),0)</f>
        <v>0.0</v>
      </c>
    </row>
    <row r="490">
      <c r="A490" s="41">
        <f>A489*grid_ratio</f>
        <v>5.796717675123</v>
      </c>
      <c r="B490" s="41">
        <f>MAX(0,A490*60-spg_dur)</f>
        <v>347.153060507409</v>
      </c>
      <c r="C490" s="41">
        <f>k_eff_CO2*B490</f>
        <v>0.00504097362</v>
      </c>
      <c r="D490" s="41">
        <f>EXP(-C490)</f>
        <v>0.994971710765</v>
      </c>
      <c r="E490" s="41">
        <f>IF(C490&gt;0,(1-D490)/C490,1)</f>
        <v>0.997483743094</v>
      </c>
      <c r="F490" s="41">
        <f>IF(C490&gt;0,(C490-1+D490)/C490^2,1/2)</f>
        <v>0.499160895473</v>
      </c>
      <c r="G490" s="41">
        <f>(C_air_CO2/C_sat_CO2*F_vent_ex-CO2_fix_sched)*(B490/3600)/(V_L_CO2+Vg_CO2)</f>
        <v>-0.066612819221</v>
      </c>
      <c r="H490" s="41">
        <f>(G490*E490+pool_b*D490)/(1-pool_ret*D490)</f>
        <v>25.9184034312</v>
      </c>
      <c r="I490" s="41">
        <f>MIN(C_sat_CO2,MAX(C_air_CO2,(pool_ret*H490+pool_b)*E490+G490*F490))</f>
        <v>26.01720278</v>
      </c>
      <c r="J490" s="41">
        <f>IF(AND(I490&gt;=CO2_pH_hi_mt,I491&lt;CO2_pH_hi_mt),EXP(LN(A490)+(LN(A491)-LN(A490))*(I490-CO2_pH_hi_mt)/(I490-I491)),0)</f>
        <v>0.0</v>
      </c>
      <c r="L490" s="41">
        <f>k_eff_CO2_l*B490</f>
        <v>0.025266060532</v>
      </c>
      <c r="M490" s="41">
        <f>EXP(-L490)</f>
        <v>0.975050455071</v>
      </c>
      <c r="N490" s="41">
        <f>IF(L490&gt;0,(1-M490)/L490,1)</f>
        <v>0.987472696702</v>
      </c>
      <c r="O490" s="41">
        <f>IF(L490&gt;0,(L490-1+M490)/L490^2,1/2)</f>
        <v>0.495815454974</v>
      </c>
      <c r="P490" s="41">
        <f>(C_air_CO2/C_sat_CO2*F_vent_ex-CO2_fix_l)*(B490/3600)/(V_L_CO2+Vg_CO2)</f>
        <v>5.826779058419e-05</v>
      </c>
      <c r="Q490" s="41">
        <f>(P490*N490+pool_b*M490)/(1-pool_ret*M490)</f>
        <v>21.978484651667</v>
      </c>
      <c r="R490" s="41">
        <f>MIN(C_sat_CO2,MAX(C_air_CO2,(pool_ret*Q490+pool_b)*N490+P490*O490))</f>
        <v>22.258463393091</v>
      </c>
      <c r="S490" s="41">
        <f>IF(AND(R490&gt;=CO2_pH_hi_mt,R491&lt;CO2_pH_hi_mt),EXP(LN(A490)+(LN(A491)-LN(A490))*(R490-CO2_pH_hi_mt)/(R490-R491)),0)</f>
        <v>0.0</v>
      </c>
    </row>
    <row r="491">
      <c r="A491" s="41">
        <f>A490*grid_ratio</f>
        <v>6.492697839991</v>
      </c>
      <c r="B491" s="41">
        <f>MAX(0,A491*60-spg_dur)</f>
        <v>388.91187039945</v>
      </c>
      <c r="C491" s="41">
        <f>k_eff_CO2*B491</f>
        <v>0.005647348971</v>
      </c>
      <c r="D491" s="41">
        <f>EXP(-C491)</f>
        <v>0.994368567328</v>
      </c>
      <c r="E491" s="41">
        <f>IF(C491&gt;0,(1-D491)/C491,1)</f>
        <v>0.997181633443</v>
      </c>
      <c r="F491" s="41">
        <f>IF(C491&gt;0,(C491-1+D491)/C491^2,1/2)</f>
        <v>0.49906010253</v>
      </c>
      <c r="G491" s="41">
        <f>(C_air_CO2/C_sat_CO2*F_vent_ex-CO2_fix_sched)*(B491/3600)/(V_L_CO2+Vg_CO2)</f>
        <v>-0.074625630775</v>
      </c>
      <c r="H491" s="41">
        <f>(G491*E491+pool_b*D491)/(1-pool_ret*D491)</f>
        <v>25.675451561946</v>
      </c>
      <c r="I491" s="41">
        <f>MIN(C_sat_CO2,MAX(C_air_CO2,(pool_ret*H491+pool_b)*E491+G491*F491))</f>
        <v>25.785470502431</v>
      </c>
      <c r="J491" s="41">
        <f>IF(AND(I491&gt;=CO2_pH_hi_mt,I492&lt;CO2_pH_hi_mt),EXP(LN(A491)+(LN(A492)-LN(A491))*(I491-CO2_pH_hi_mt)/(I491-I492)),0)</f>
        <v>0.0</v>
      </c>
      <c r="L491" s="41">
        <f>k_eff_CO2_l*B491</f>
        <v>0.028305298086</v>
      </c>
      <c r="M491" s="41">
        <f>EXP(-L491)</f>
        <v>0.972091543806</v>
      </c>
      <c r="N491" s="41">
        <f>IF(L491&gt;0,(1-M491)/L491,1)</f>
        <v>0.985979943018</v>
      </c>
      <c r="O491" s="41">
        <f>IF(L491&gt;0,(L491-1+M491)/L491^2,1/2)</f>
        <v>0.495315645137</v>
      </c>
      <c r="P491" s="41">
        <f>(C_air_CO2/C_sat_CO2*F_vent_ex-CO2_fix_l)*(B491/3600)/(V_L_CO2+Vg_CO2)</f>
        <v>6.527678421448e-05</v>
      </c>
      <c r="Q491" s="41">
        <f>(P491*N491+pool_b*M491)/(1-pool_ret*M491)</f>
        <v>21.412629702263</v>
      </c>
      <c r="R491" s="41">
        <f>MIN(C_sat_CO2,MAX(C_air_CO2,(pool_ret*Q491+pool_b)*N491+P491*O491))</f>
        <v>21.718521798935</v>
      </c>
      <c r="S491" s="41">
        <f>IF(AND(R491&gt;=CO2_pH_hi_mt,R492&lt;CO2_pH_hi_mt),EXP(LN(A491)+(LN(A492)-LN(A491))*(R491-CO2_pH_hi_mt)/(R491-R492)),0)</f>
        <v>0.0</v>
      </c>
    </row>
    <row r="492">
      <c r="A492" s="41">
        <f>A491*grid_ratio</f>
        <v>7.27224053404</v>
      </c>
      <c r="B492" s="41">
        <f>MAX(0,A492*60-spg_dur)</f>
        <v>435.684432042427</v>
      </c>
      <c r="C492" s="41">
        <f>k_eff_CO2*B492</f>
        <v>0.006326528492</v>
      </c>
      <c r="D492" s="41">
        <f>EXP(-C492)</f>
        <v>0.993693441852</v>
      </c>
      <c r="E492" s="41">
        <f>IF(C492&gt;0,(1-D492)/C492,1)</f>
        <v>0.996843396043</v>
      </c>
      <c r="F492" s="41">
        <f>IF(C492&gt;0,(C492-1+D492)/C492^2,1/2)</f>
        <v>0.498947244183</v>
      </c>
      <c r="G492" s="41">
        <f>(C_air_CO2/C_sat_CO2*F_vent_ex-CO2_fix_sched)*(B492/3600)/(V_L_CO2+Vg_CO2)</f>
        <v>-0.083600496757</v>
      </c>
      <c r="H492" s="41">
        <f>(G492*E492+pool_b*D492)/(1-pool_ret*D492)</f>
        <v>25.406715297562</v>
      </c>
      <c r="I492" s="41">
        <f>MIN(C_sat_CO2,MAX(C_air_CO2,(pool_ret*H492+pool_b)*E492+G492*F492))</f>
        <v>25.529141742013</v>
      </c>
      <c r="J492" s="41">
        <f>IF(AND(I492&gt;=CO2_pH_hi_mt,I493&lt;CO2_pH_hi_mt),EXP(LN(A492)+(LN(A493)-LN(A492))*(I492-CO2_pH_hi_mt)/(I492-I493)),0)</f>
        <v>0.0</v>
      </c>
      <c r="L492" s="41">
        <f>k_eff_CO2_l*B492</f>
        <v>0.031709440259</v>
      </c>
      <c r="M492" s="41">
        <f>EXP(-L492)</f>
        <v>0.968788031988</v>
      </c>
      <c r="N492" s="41">
        <f>IF(L492&gt;0,(1-M492)/L492,1)</f>
        <v>0.984311541206</v>
      </c>
      <c r="O492" s="41">
        <f>IF(L492&gt;0,(L492-1+M492)/L492^2,1/2)</f>
        <v>0.494756724351</v>
      </c>
      <c r="P492" s="41">
        <f>(C_air_CO2/C_sat_CO2*F_vent_ex-CO2_fix_l)*(B492/3600)/(V_L_CO2+Vg_CO2)</f>
        <v>7.31273093486e-05</v>
      </c>
      <c r="Q492" s="41">
        <f>(P492*N492+pool_b*M492)/(1-pool_ret*M492)</f>
        <v>20.810581479984</v>
      </c>
      <c r="R492" s="41">
        <f>MIN(C_sat_CO2,MAX(C_air_CO2,(pool_ret*Q492+pool_b)*N492+P492*O492))</f>
        <v>21.14400576162</v>
      </c>
      <c r="S492" s="41">
        <f>IF(AND(R492&gt;=CO2_pH_hi_mt,R493&lt;CO2_pH_hi_mt),EXP(LN(A492)+(LN(A493)-LN(A492))*(R492-CO2_pH_hi_mt)/(R492-R493)),0)</f>
        <v>0.0</v>
      </c>
    </row>
    <row r="493">
      <c r="A493" s="41">
        <f>A492*grid_ratio</f>
        <v>8.1453786528</v>
      </c>
      <c r="B493" s="41">
        <f>MAX(0,A493*60-spg_dur)</f>
        <v>488.072719167989</v>
      </c>
      <c r="C493" s="41">
        <f>k_eff_CO2*B493</f>
        <v>0.007087253381</v>
      </c>
      <c r="D493" s="41">
        <f>EXP(-C493)</f>
        <v>0.992937801973</v>
      </c>
      <c r="E493" s="41">
        <f>IF(C493&gt;0,(1-D493)/C493,1)</f>
        <v>0.996464730024</v>
      </c>
      <c r="F493" s="41">
        <f>IF(C493&gt;0,(C493-1+D493)/C493^2,1/2)</f>
        <v>0.498820881022</v>
      </c>
      <c r="G493" s="41">
        <f>(C_air_CO2/C_sat_CO2*F_vent_ex-CO2_fix_sched)*(B493/3600)/(V_L_CO2+Vg_CO2)</f>
        <v>-0.093652925776</v>
      </c>
      <c r="H493" s="41">
        <f>(G493*E493+pool_b*D493)/(1-pool_ret*D493)</f>
        <v>25.109877186622</v>
      </c>
      <c r="I493" s="41">
        <f>MIN(C_sat_CO2,MAX(C_air_CO2,(pool_ret*H493+pool_b)*E493+G493*F493))</f>
        <v>25.246005081447</v>
      </c>
      <c r="J493" s="41">
        <f>IF(AND(I493&gt;=CO2_pH_hi_mt,I494&lt;CO2_pH_hi_mt),EXP(LN(A493)+(LN(A494)-LN(A493))*(I493-CO2_pH_hi_mt)/(I493-I494)),0)</f>
        <v>0.0</v>
      </c>
      <c r="L493" s="41">
        <f>k_eff_CO2_l*B493</f>
        <v>0.035522299151</v>
      </c>
      <c r="M493" s="41">
        <f>EXP(-L493)</f>
        <v>0.965101213052</v>
      </c>
      <c r="N493" s="41">
        <f>IF(L493&gt;0,(1-M493)/L493,1)</f>
        <v>0.982447301603</v>
      </c>
      <c r="O493" s="41">
        <f>IF(L493&gt;0,(L493-1+M493)/L493^2,1/2)</f>
        <v>0.494131821887</v>
      </c>
      <c r="P493" s="41">
        <f>(C_air_CO2/C_sat_CO2*F_vent_ex-CO2_fix_l)*(B493/3600)/(V_L_CO2+Vg_CO2)</f>
        <v>8.192040406836e-05</v>
      </c>
      <c r="Q493" s="41">
        <f>(P493*N493+pool_b*M493)/(1-pool_ret*M493)</f>
        <v>20.172995103818</v>
      </c>
      <c r="R493" s="41">
        <f>MIN(C_sat_CO2,MAX(C_air_CO2,(pool_ret*Q493+pool_b)*N493+P493*O493))</f>
        <v>20.535529677052</v>
      </c>
      <c r="S493" s="41">
        <f>IF(AND(R493&gt;=CO2_pH_hi_mt,R494&lt;CO2_pH_hi_mt),EXP(LN(A493)+(LN(A494)-LN(A493))*(R493-CO2_pH_hi_mt)/(R493-R494)),0)</f>
        <v>0.0</v>
      </c>
    </row>
    <row r="494">
      <c r="A494" s="41">
        <f>A493*grid_ratio</f>
        <v>9.123349686651</v>
      </c>
      <c r="B494" s="41">
        <f>MAX(0,A494*60-spg_dur)</f>
        <v>546.750981199046</v>
      </c>
      <c r="C494" s="41">
        <f>k_eff_CO2*B494</f>
        <v>0.007939314344</v>
      </c>
      <c r="D494" s="41">
        <f>EXP(-C494)</f>
        <v>0.992092118771</v>
      </c>
      <c r="E494" s="41">
        <f>IF(C494&gt;0,(1-D494)/C494,1)</f>
        <v>0.996040827462</v>
      </c>
      <c r="F494" s="41">
        <f>IF(C494&gt;0,(C494-1+D494)/C494^2,1/2)</f>
        <v>0.498679403141</v>
      </c>
      <c r="G494" s="41">
        <f>(C_air_CO2/C_sat_CO2*F_vent_ex-CO2_fix_sched)*(B494/3600)/(V_L_CO2+Vg_CO2)</f>
        <v>-0.104912294929</v>
      </c>
      <c r="H494" s="41">
        <f>(G494*E494+pool_b*D494)/(1-pool_ret*D494)</f>
        <v>24.782509090518</v>
      </c>
      <c r="I494" s="41">
        <f>MIN(C_sat_CO2,MAX(C_air_CO2,(pool_ret*H494+pool_b)*E494+G494*F494))</f>
        <v>24.933743269894</v>
      </c>
      <c r="J494" s="41">
        <f>IF(AND(I494&gt;=CO2_pH_hi_mt,I495&lt;CO2_pH_hi_mt),EXP(LN(A494)+(LN(A495)-LN(A494))*(I494-CO2_pH_hi_mt)/(I494-I495)),0)</f>
        <v>0.0</v>
      </c>
      <c r="L494" s="41">
        <f>k_eff_CO2_l*B494</f>
        <v>0.039792947142</v>
      </c>
      <c r="M494" s="41">
        <f>EXP(-L494)</f>
        <v>0.960988393948</v>
      </c>
      <c r="N494" s="41">
        <f>IF(L494&gt;0,(1-M494)/L494,1)</f>
        <v>0.980364834823</v>
      </c>
      <c r="O494" s="41">
        <f>IF(L494&gt;0,(L494-1+M494)/L494^2,1/2)</f>
        <v>0.493433298789</v>
      </c>
      <c r="P494" s="41">
        <f>(C_air_CO2/C_sat_CO2*F_vent_ex-CO2_fix_l)*(B494/3600)/(V_L_CO2+Vg_CO2)</f>
        <v>9.176923754507e-05</v>
      </c>
      <c r="Q494" s="41">
        <f>(P494*N494+pool_b*M494)/(1-pool_ret*M494)</f>
        <v>19.501088580583</v>
      </c>
      <c r="R494" s="41">
        <f>MIN(C_sat_CO2,MAX(C_air_CO2,(pool_ret*Q494+pool_b)*N494+P494*O494))</f>
        <v>19.89424317738</v>
      </c>
      <c r="S494" s="41">
        <f>IF(AND(R494&gt;=CO2_pH_hi_mt,R495&lt;CO2_pH_hi_mt),EXP(LN(A494)+(LN(A495)-LN(A494))*(R494-CO2_pH_hi_mt)/(R494-R495)),0)</f>
        <v>0.0</v>
      </c>
    </row>
    <row r="495">
      <c r="A495" s="41">
        <f>A494*grid_ratio</f>
        <v>10.218740349941</v>
      </c>
      <c r="B495" s="41">
        <f>MAX(0,A495*60-spg_dur)</f>
        <v>612.47442099644</v>
      </c>
      <c r="C495" s="41">
        <f>k_eff_CO2*B495</f>
        <v>0.008893677603</v>
      </c>
      <c r="D495" s="41">
        <f>EXP(-C495)</f>
        <v>0.991145754163</v>
      </c>
      <c r="E495" s="41">
        <f>IF(C495&gt;0,(1-D495)/C495,1)</f>
        <v>0.995566314856</v>
      </c>
      <c r="F495" s="41">
        <f>IF(C495&gt;0,(C495-1+D495)/C495^2,1/2)</f>
        <v>0.498521010276</v>
      </c>
      <c r="G495" s="41">
        <f>(C_air_CO2/C_sat_CO2*F_vent_ex-CO2_fix_sched)*(B495/3600)/(V_L_CO2+Vg_CO2)</f>
        <v>-0.117523514912</v>
      </c>
      <c r="H495" s="41">
        <f>(G495*E495+pool_b*D495)/(1-pool_ret*D495)</f>
        <v>24.422090831413</v>
      </c>
      <c r="I495" s="41">
        <f>MIN(C_sat_CO2,MAX(C_air_CO2,(pool_ret*H495+pool_b)*E495+G495*F495))</f>
        <v>24.589950952227</v>
      </c>
      <c r="J495" s="41">
        <f>IF(AND(I495&gt;=CO2_pH_hi_mt,I496&lt;CO2_pH_hi_mt),EXP(LN(A495)+(LN(A496)-LN(A495))*(I495-CO2_pH_hi_mt)/(I495-I496)),0)</f>
        <v>0.0</v>
      </c>
      <c r="L495" s="41">
        <f>k_eff_CO2_l*B495</f>
        <v>0.044576348463</v>
      </c>
      <c r="M495" s="41">
        <f>EXP(-L495)</f>
        <v>0.956402577439</v>
      </c>
      <c r="N495" s="41">
        <f>IF(L495&gt;0,(1-M495)/L495,1)</f>
        <v>0.978039342924</v>
      </c>
      <c r="O495" s="41">
        <f>IF(L495&gt;0,(L495-1+M495)/L495^2,1/2)</f>
        <v>0.492652669695</v>
      </c>
      <c r="P495" s="41">
        <f>(C_air_CO2/C_sat_CO2*F_vent_ex-CO2_fix_l)*(B495/3600)/(V_L_CO2+Vg_CO2)</f>
        <v>0.0001028005665531</v>
      </c>
      <c r="Q495" s="41">
        <f>(P495*N495+pool_b*M495)/(1-pool_ret*M495)</f>
        <v>18.796679159107</v>
      </c>
      <c r="R495" s="41">
        <f>MIN(C_sat_CO2,MAX(C_air_CO2,(pool_ret*Q495+pool_b)*N495+P495*O495))</f>
        <v>19.221865634381</v>
      </c>
      <c r="S495" s="41">
        <f>IF(AND(R495&gt;=CO2_pH_hi_mt,R496&lt;CO2_pH_hi_mt),EXP(LN(A495)+(LN(A496)-LN(A495))*(R495-CO2_pH_hi_mt)/(R495-R496)),0)</f>
        <v>0.0</v>
      </c>
    </row>
    <row r="496">
      <c r="A496" s="41">
        <f>A495*grid_ratio</f>
        <v>11.445648574919</v>
      </c>
      <c r="B496" s="41">
        <f>MAX(0,A496*60-spg_dur)</f>
        <v>686.088914495161</v>
      </c>
      <c r="C496" s="41">
        <f>k_eff_CO2*B496</f>
        <v>0.009962626035</v>
      </c>
      <c r="D496" s="41">
        <f>EXP(-C496)</f>
        <v>0.990086836528</v>
      </c>
      <c r="E496" s="41">
        <f>IF(C496&gt;0,(1-D496)/C496,1)</f>
        <v>0.995035188183</v>
      </c>
      <c r="F496" s="41">
        <f>IF(C496&gt;0,(C496-1+D496)/C496^2,1/2)</f>
        <v>0.498343689681</v>
      </c>
      <c r="G496" s="41">
        <f>(C_air_CO2/C_sat_CO2*F_vent_ex-CO2_fix_sched)*(B496/3600)/(V_L_CO2+Vg_CO2)</f>
        <v>-0.131648895055</v>
      </c>
      <c r="H496" s="41">
        <f>(G496*E496+pool_b*D496)/(1-pool_ret*D496)</f>
        <v>24.026035701021</v>
      </c>
      <c r="I496" s="41">
        <f>MIN(C_sat_CO2,MAX(C_air_CO2,(pool_ret*H496+pool_b)*E496+G496*F496))</f>
        <v>24.212158931504</v>
      </c>
      <c r="J496" s="41">
        <f>IF(AND(I496&gt;=CO2_pH_hi_mt,I497&lt;CO2_pH_hi_mt),EXP(LN(A496)+(LN(A497)-LN(A496))*(I496-CO2_pH_hi_mt)/(I496-I497)),0)</f>
        <v>0.0</v>
      </c>
      <c r="L496" s="41">
        <f>k_eff_CO2_l*B496</f>
        <v>0.049934066601</v>
      </c>
      <c r="M496" s="41">
        <f>EXP(-L496)</f>
        <v>0.951292144358</v>
      </c>
      <c r="N496" s="41">
        <f>IF(L496&gt;0,(1-M496)/L496,1)</f>
        <v>0.975443398825</v>
      </c>
      <c r="O496" s="41">
        <f>IF(L496&gt;0,(L496-1+M496)/L496^2,1/2)</f>
        <v>0.491780518714</v>
      </c>
      <c r="P496" s="41">
        <f>(C_air_CO2/C_sat_CO2*F_vent_ex-CO2_fix_l)*(B496/3600)/(V_L_CO2+Vg_CO2)</f>
        <v>0.0001151563668588</v>
      </c>
      <c r="Q496" s="41">
        <f>(P496*N496+pool_b*M496)/(1-pool_ret*M496)</f>
        <v>18.062202204727</v>
      </c>
      <c r="R496" s="41">
        <f>MIN(C_sat_CO2,MAX(C_air_CO2,(pool_ret*Q496+pool_b)*N496+P496*O496))</f>
        <v>18.520703988247</v>
      </c>
      <c r="S496" s="41">
        <f>IF(AND(R496&gt;=CO2_pH_hi_mt,R497&lt;CO2_pH_hi_mt),EXP(LN(A496)+(LN(A497)-LN(A496))*(R496-CO2_pH_hi_mt)/(R496-R497)),0)</f>
        <v>0.0</v>
      </c>
    </row>
    <row r="497">
      <c r="A497" s="41">
        <f>A496*grid_ratio</f>
        <v>12.819864955402</v>
      </c>
      <c r="B497" s="41">
        <f>MAX(0,A497*60-spg_dur)</f>
        <v>768.541897324101</v>
      </c>
      <c r="C497" s="41">
        <f>k_eff_CO2*B497</f>
        <v>0.011159917255</v>
      </c>
      <c r="D497" s="41">
        <f>EXP(-C497)</f>
        <v>0.988902123616</v>
      </c>
      <c r="E497" s="41">
        <f>IF(C497&gt;0,(1-D497)/C497,1)</f>
        <v>0.994440740881</v>
      </c>
      <c r="F497" s="41">
        <f>IF(C497&gt;0,(C497-1+D497)/C497^2,1/2)</f>
        <v>0.498145191553</v>
      </c>
      <c r="G497" s="41">
        <f>(C_air_CO2/C_sat_CO2*F_vent_ex-CO2_fix_sched)*(B497/3600)/(V_L_CO2+Vg_CO2)</f>
        <v>-0.147470232281</v>
      </c>
      <c r="H497" s="41">
        <f>(G497*E497+pool_b*D497)/(1-pool_ret*D497)</f>
        <v>23.591723803888</v>
      </c>
      <c r="I497" s="41">
        <f>MIN(C_sat_CO2,MAX(C_air_CO2,(pool_ret*H497+pool_b)*E497+G497*F497))</f>
        <v>23.797865892003</v>
      </c>
      <c r="J497" s="41">
        <f>IF(AND(I497&gt;=CO2_pH_hi_mt,I498&lt;CO2_pH_hi_mt),EXP(LN(A497)+(LN(A498)-LN(A497))*(I497-CO2_pH_hi_mt)/(I497-I498)),0)</f>
        <v>0.0</v>
      </c>
      <c r="L497" s="41">
        <f>k_eff_CO2_l*B497</f>
        <v>0.055935056632</v>
      </c>
      <c r="M497" s="41">
        <f>EXP(-L497)</f>
        <v>0.945600544381</v>
      </c>
      <c r="N497" s="41">
        <f>IF(L497&gt;0,(1-M497)/L497,1)</f>
        <v>0.972546715693</v>
      </c>
      <c r="O497" s="41">
        <f>IF(L497&gt;0,(L497-1+M497)/L497^2,1/2)</f>
        <v>0.490806409442</v>
      </c>
      <c r="P497" s="41">
        <f>(C_air_CO2/C_sat_CO2*F_vent_ex-CO2_fix_l)*(B497/3600)/(V_L_CO2+Vg_CO2)</f>
        <v>0.0001289956604819</v>
      </c>
      <c r="Q497" s="41">
        <f>(P497*N497+pool_b*M497)/(1-pool_ret*M497)</f>
        <v>17.300709010795</v>
      </c>
      <c r="R497" s="41">
        <f>MIN(C_sat_CO2,MAX(C_air_CO2,(pool_ret*Q497+pool_b)*N497+P497*O497))</f>
        <v>17.79365048506</v>
      </c>
      <c r="S497" s="41">
        <f>IF(AND(R497&gt;=CO2_pH_hi_mt,R498&lt;CO2_pH_hi_mt),EXP(LN(A497)+(LN(A498)-LN(A497))*(R497-CO2_pH_hi_mt)/(R497-R498)),0)</f>
        <v>0.0</v>
      </c>
    </row>
    <row r="498">
      <c r="A498" s="41">
        <f>A497*grid_ratio</f>
        <v>14.359075975377</v>
      </c>
      <c r="B498" s="41">
        <f>MAX(0,A498*60-spg_dur)</f>
        <v>860.89455852264</v>
      </c>
      <c r="C498" s="41">
        <f>k_eff_CO2*B498</f>
        <v>0.012500960679</v>
      </c>
      <c r="D498" s="41">
        <f>EXP(-C498)</f>
        <v>0.987576851749</v>
      </c>
      <c r="E498" s="41">
        <f>IF(C498&gt;0,(1-D498)/C498,1)</f>
        <v>0.993775484134</v>
      </c>
      <c r="F498" s="41">
        <f>IF(C498&gt;0,(C498-1+D498)/C498^2,1/2)</f>
        <v>0.497923001725</v>
      </c>
      <c r="G498" s="41">
        <f>(C_air_CO2/C_sat_CO2*F_vent_ex-CO2_fix_sched)*(B498/3600)/(V_L_CO2+Vg_CO2)</f>
        <v>-0.165191150876</v>
      </c>
      <c r="H498" s="41">
        <f>(G498*E498+pool_b*D498)/(1-pool_ret*D498)</f>
        <v>23.116544121837</v>
      </c>
      <c r="I498" s="41">
        <f>MIN(C_sat_CO2,MAX(C_air_CO2,(pool_ret*H498+pool_b)*E498+G498*F498))</f>
        <v>23.344578427079</v>
      </c>
      <c r="J498" s="41">
        <f>IF(AND(I498&gt;=CO2_pH_hi_mt,I499&lt;CO2_pH_hi_mt),EXP(LN(A498)+(LN(A499)-LN(A498))*(I498-CO2_pH_hi_mt)/(I498-I499)),0)</f>
        <v>0.0</v>
      </c>
      <c r="L498" s="41">
        <f>k_eff_CO2_l*B498</f>
        <v>0.062656552691</v>
      </c>
      <c r="M498" s="41">
        <f>EXP(-L498)</f>
        <v>0.939266006682</v>
      </c>
      <c r="N498" s="41">
        <f>IF(L498&gt;0,(1-M498)/L498,1)</f>
        <v>0.969315908867</v>
      </c>
      <c r="O498" s="41">
        <f>IF(L498&gt;0,(L498-1+M498)/L498^2,1/2)</f>
        <v>0.489718789419</v>
      </c>
      <c r="P498" s="41">
        <f>(C_air_CO2/C_sat_CO2*F_vent_ex-CO2_fix_l)*(B498/3600)/(V_L_CO2+Vg_CO2)</f>
        <v>0.0001444965623456</v>
      </c>
      <c r="Q498" s="41">
        <f>(P498*N498+pool_b*M498)/(1-pool_ret*M498)</f>
        <v>16.515840896598</v>
      </c>
      <c r="R498" s="41">
        <f>MIN(C_sat_CO2,MAX(C_air_CO2,(pool_ret*Q498+pool_b)*N498+P498*O498))</f>
        <v>17.044157794881</v>
      </c>
      <c r="S498" s="41">
        <f>IF(AND(R498&gt;=CO2_pH_hi_mt,R499&lt;CO2_pH_hi_mt),EXP(LN(A498)+(LN(A499)-LN(A498))*(R498-CO2_pH_hi_mt)/(R498-R499)),0)</f>
        <v>0.0</v>
      </c>
    </row>
    <row r="499">
      <c r="A499" s="41">
        <f>A498*grid_ratio</f>
        <v>16.083091638168</v>
      </c>
      <c r="B499" s="41">
        <f>MAX(0,A499*60-spg_dur)</f>
        <v>964.335498290055</v>
      </c>
      <c r="C499" s="41">
        <f>k_eff_CO2*B499</f>
        <v>0.014003015847</v>
      </c>
      <c r="D499" s="41">
        <f>EXP(-C499)</f>
        <v>0.986094570348</v>
      </c>
      <c r="E499" s="41">
        <f>IF(C499&gt;0,(1-D499)/C499,1)</f>
        <v>0.993031058731</v>
      </c>
      <c r="F499" s="41">
        <f>IF(C499&gt;0,(C499-1+D499)/C499^2,1/2)</f>
        <v>0.497674311383</v>
      </c>
      <c r="G499" s="41">
        <f>(C_air_CO2/C_sat_CO2*F_vent_ex-CO2_fix_sched)*(B499/3600)/(V_L_CO2+Vg_CO2)</f>
        <v>-0.185039723176</v>
      </c>
      <c r="H499" s="41">
        <f>(G499*E499+pool_b*D499)/(1-pool_ret*D499)</f>
        <v>22.597946006949</v>
      </c>
      <c r="I499" s="41">
        <f>MIN(C_sat_CO2,MAX(C_air_CO2,(pool_ret*H499+pool_b)*E499+G499*F499))</f>
        <v>22.849860045247</v>
      </c>
      <c r="J499" s="41">
        <f>IF(AND(I499&gt;=CO2_pH_hi_mt,I500&lt;CO2_pH_hi_mt),EXP(LN(A499)+(LN(A500)-LN(A499))*(I499-CO2_pH_hi_mt)/(I499-I500)),0)</f>
        <v>0.0</v>
      </c>
      <c r="L499" s="41">
        <f>k_eff_CO2_l*B499</f>
        <v>0.070185061994</v>
      </c>
      <c r="M499" s="41">
        <f>EXP(-L499)</f>
        <v>0.932221285212</v>
      </c>
      <c r="N499" s="41">
        <f>IF(L499&gt;0,(1-M499)/L499,1)</f>
        <v>0.96571425404</v>
      </c>
      <c r="O499" s="41">
        <f>IF(L499&gt;0,(L499-1+M499)/L499^2,1/2)</f>
        <v>0.488504889593</v>
      </c>
      <c r="P499" s="41">
        <f>(C_air_CO2/C_sat_CO2*F_vent_ex-CO2_fix_l)*(B499/3600)/(V_L_CO2+Vg_CO2)</f>
        <v>0.0001618585726571</v>
      </c>
      <c r="Q499" s="41">
        <f>(P499*N499+pool_b*M499)/(1-pool_ret*M499)</f>
        <v>15.711778279102</v>
      </c>
      <c r="R499" s="41">
        <f>MIN(C_sat_CO2,MAX(C_air_CO2,(pool_ret*Q499+pool_b)*N499+P499*O499))</f>
        <v>16.276190257301</v>
      </c>
      <c r="S499" s="41">
        <f>IF(AND(R499&gt;=CO2_pH_hi_mt,R500&lt;CO2_pH_hi_mt),EXP(LN(A499)+(LN(A500)-LN(A499))*(R499-CO2_pH_hi_mt)/(R499-R500)),0)</f>
        <v>0.0</v>
      </c>
    </row>
    <row r="500">
      <c r="A500" s="41">
        <f>A499*grid_ratio</f>
        <v>18.014100425769</v>
      </c>
      <c r="B500" s="41">
        <f>MAX(0,A500*60-spg_dur)</f>
        <v>1080.196025546147</v>
      </c>
      <c r="C500" s="41">
        <f>k_eff_CO2*B500</f>
        <v>0.015685414558</v>
      </c>
      <c r="D500" s="41">
        <f>EXP(-C500)</f>
        <v>0.984436960885</v>
      </c>
      <c r="E500" s="41">
        <f>IF(C500&gt;0,(1-D500)/C500,1)</f>
        <v>0.992198137799</v>
      </c>
      <c r="F500" s="41">
        <f>IF(C500&gt;0,(C500-1+D500)/C500^2,1/2)</f>
        <v>0.497395983508</v>
      </c>
      <c r="G500" s="41">
        <f>(C_air_CO2/C_sat_CO2*F_vent_ex-CO2_fix_sched)*(B500/3600)/(V_L_CO2+Vg_CO2)</f>
        <v>-0.207271404918</v>
      </c>
      <c r="H500" s="41">
        <f>(G500*E500+pool_b*D500)/(1-pool_ret*D500)</f>
        <v>22.033500516834</v>
      </c>
      <c r="I500" s="41">
        <f>MIN(C_sat_CO2,MAX(C_air_CO2,(pool_ret*H500+pool_b)*E500+G500*F500))</f>
        <v>22.311389547921</v>
      </c>
      <c r="J500" s="41">
        <f>IF(AND(I500&gt;=CO2_pH_hi_mt,I501&lt;CO2_pH_hi_mt),EXP(LN(A500)+(LN(A501)-LN(A500))*(I500-CO2_pH_hi_mt)/(I500-I501)),0)</f>
        <v>0.0</v>
      </c>
      <c r="L500" s="41">
        <f>k_eff_CO2_l*B500</f>
        <v>0.078617478205</v>
      </c>
      <c r="M500" s="41">
        <f>EXP(-L500)</f>
        <v>0.924393457469</v>
      </c>
      <c r="N500" s="41">
        <f>IF(L500&gt;0,(1-M500)/L500,1)</f>
        <v>0.961701446776</v>
      </c>
      <c r="O500" s="41">
        <f>IF(L500&gt;0,(L500-1+M500)/L500^2,1/2)</f>
        <v>0.487150619664</v>
      </c>
      <c r="P500" s="41">
        <f>(C_air_CO2/C_sat_CO2*F_vent_ex-CO2_fix_l)*(B500/3600)/(V_L_CO2+Vg_CO2)</f>
        <v>0.0001813051445215</v>
      </c>
      <c r="Q500" s="41">
        <f>(P500*N500+pool_b*M500)/(1-pool_ret*M500)</f>
        <v>14.8931650652</v>
      </c>
      <c r="R500" s="41">
        <f>MIN(C_sat_CO2,MAX(C_air_CO2,(pool_ret*Q500+pool_b)*N500+P500*O500))</f>
        <v>15.494151582372</v>
      </c>
      <c r="S500" s="41">
        <f>IF(AND(R500&gt;=CO2_pH_hi_mt,R501&lt;CO2_pH_hi_mt),EXP(LN(A500)+(LN(A501)-LN(A500))*(R500-CO2_pH_hi_mt)/(R500-R501)),0)</f>
        <v>0.0</v>
      </c>
    </row>
    <row r="501">
      <c r="A501" s="41">
        <f>A500*grid_ratio</f>
        <v>20.176954869771</v>
      </c>
      <c r="B501" s="41">
        <f>MAX(0,A501*60-spg_dur)</f>
        <v>1209.967292186248</v>
      </c>
      <c r="C501" s="41">
        <f>k_eff_CO2*B501</f>
        <v>0.017569809674</v>
      </c>
      <c r="D501" s="41">
        <f>EXP(-C501)</f>
        <v>0.982583639427</v>
      </c>
      <c r="E501" s="41">
        <f>IF(C501&gt;0,(1-D501)/C501,1)</f>
        <v>0.991266319666</v>
      </c>
      <c r="F501" s="41">
        <f>IF(C501&gt;0,(C501-1+D501)/C501^2,1/2)</f>
        <v>0.497084515747</v>
      </c>
      <c r="G501" s="41">
        <f>(C_air_CO2/C_sat_CO2*F_vent_ex-CO2_fix_sched)*(B501/3600)/(V_L_CO2+Vg_CO2)</f>
        <v>-0.232172323009</v>
      </c>
      <c r="H501" s="41">
        <f>(G501*E501+pool_b*D501)/(1-pool_ret*D501)</f>
        <v>21.42097157837</v>
      </c>
      <c r="I501" s="41">
        <f>MIN(C_sat_CO2,MAX(C_air_CO2,(pool_ret*H501+pool_b)*E501+G501*F501))</f>
        <v>21.727028764717</v>
      </c>
      <c r="J501" s="41">
        <f>IF(AND(I501&gt;=CO2_pH_hi_mt,I502&lt;CO2_pH_hi_mt),EXP(LN(A501)+(LN(A502)-LN(A501))*(I501-CO2_pH_hi_mt)/(I501-I502)),0)</f>
        <v>0.0</v>
      </c>
      <c r="L501" s="41">
        <f>k_eff_CO2_l*B501</f>
        <v>0.088062328477</v>
      </c>
      <c r="M501" s="41">
        <f>EXP(-L501)</f>
        <v>0.915703800521</v>
      </c>
      <c r="N501" s="41">
        <f>IF(L501&gt;0,(1-M501)/L501,1)</f>
        <v>0.957233370233</v>
      </c>
      <c r="O501" s="41">
        <f>IF(L501&gt;0,(L501-1+M501)/L501^2,1/2)</f>
        <v>0.485640460637</v>
      </c>
      <c r="P501" s="41">
        <f>(C_air_CO2/C_sat_CO2*F_vent_ex-CO2_fix_l)*(B501/3600)/(V_L_CO2+Vg_CO2)</f>
        <v>0.0002030865598355</v>
      </c>
      <c r="Q501" s="41">
        <f>(P501*N501+pool_b*M501)/(1-pool_ret*M501)</f>
        <v>14.065010546225</v>
      </c>
      <c r="R501" s="41">
        <f>MIN(C_sat_CO2,MAX(C_air_CO2,(pool_ret*Q501+pool_b)*N501+P501*O501))</f>
        <v>14.702791083418</v>
      </c>
      <c r="S501" s="41">
        <f>IF(AND(R501&gt;=CO2_pH_hi_mt,R502&lt;CO2_pH_hi_mt),EXP(LN(A501)+(LN(A502)-LN(A501))*(R501-CO2_pH_hi_mt)/(R501-R502)),0)</f>
        <v>0.0</v>
      </c>
    </row>
    <row r="502">
      <c r="A502" s="41">
        <f>A501*grid_ratio</f>
        <v>22.599491409207</v>
      </c>
      <c r="B502" s="41">
        <f>MAX(0,A502*60-spg_dur)</f>
        <v>1355.31948455244</v>
      </c>
      <c r="C502" s="41">
        <f>k_eff_CO2*B502</f>
        <v>0.019680453798</v>
      </c>
      <c r="D502" s="41">
        <f>EXP(-C502)</f>
        <v>0.980511942119</v>
      </c>
      <c r="E502" s="41">
        <f>IF(C502&gt;0,(1-D502)/C502,1)</f>
        <v>0.990224010114</v>
      </c>
      <c r="F502" s="41">
        <f>IF(C502&gt;0,(C502-1+D502)/C502^2,1/2)</f>
        <v>0.496735999397</v>
      </c>
      <c r="G502" s="41">
        <f>(C_air_CO2/C_sat_CO2*F_vent_ex-CO2_fix_sched)*(B502/3600)/(V_L_CO2+Vg_CO2)</f>
        <v>-0.260062958049</v>
      </c>
      <c r="H502" s="41">
        <f>(G502*E502+pool_b*D502)/(1-pool_ret*D502)</f>
        <v>20.758396391531</v>
      </c>
      <c r="I502" s="41">
        <f>MIN(C_sat_CO2,MAX(C_air_CO2,(pool_ret*H502+pool_b)*E502+G502*F502))</f>
        <v>21.094899084536</v>
      </c>
      <c r="J502" s="41">
        <f>IF(AND(I502&gt;=CO2_pH_hi_mt,I503&lt;CO2_pH_hi_mt),EXP(LN(A502)+(LN(A503)-LN(A502))*(I502-CO2_pH_hi_mt)/(I502-I503)),0)</f>
        <v>0.0</v>
      </c>
      <c r="L502" s="41">
        <f>k_eff_CO2_l*B502</f>
        <v>0.098641170229</v>
      </c>
      <c r="M502" s="41">
        <f>EXP(-L502)</f>
        <v>0.90606777379</v>
      </c>
      <c r="N502" s="41">
        <f>IF(L502&gt;0,(1-M502)/L502,1)</f>
        <v>0.952261880021</v>
      </c>
      <c r="O502" s="41">
        <f>IF(L502&gt;0,(L502-1+M502)/L502^2,1/2)</f>
        <v>0.483957356422</v>
      </c>
      <c r="P502" s="41">
        <f>(C_air_CO2/C_sat_CO2*F_vent_ex-CO2_fix_l)*(B502/3600)/(V_L_CO2+Vg_CO2)</f>
        <v>0.000227483150473</v>
      </c>
      <c r="Q502" s="41">
        <f>(P502*N502+pool_b*M502)/(1-pool_ret*M502)</f>
        <v>13.232572794503</v>
      </c>
      <c r="R502" s="41">
        <f>MIN(C_sat_CO2,MAX(C_air_CO2,(pool_ret*Q502+pool_b)*N502+P502*O502))</f>
        <v>13.907092250637</v>
      </c>
      <c r="S502" s="41">
        <f>IF(AND(R502&gt;=CO2_pH_hi_mt,R503&lt;CO2_pH_hi_mt),EXP(LN(A502)+(LN(A503)-LN(A502))*(R502-CO2_pH_hi_mt)/(R502-R503)),0)</f>
        <v>0.0</v>
      </c>
    </row>
    <row r="503">
      <c r="A503" s="41">
        <f>A502*grid_ratio</f>
        <v>25.312888651995</v>
      </c>
      <c r="B503" s="41">
        <f>MAX(0,A503*60-spg_dur)</f>
        <v>1518.123319119698</v>
      </c>
      <c r="C503" s="41">
        <f>k_eff_CO2*B503</f>
        <v>0.02204451141</v>
      </c>
      <c r="D503" s="41">
        <f>EXP(-C503)</f>
        <v>0.978196693168</v>
      </c>
      <c r="E503" s="41">
        <f>IF(C503&gt;0,(1-D503)/C503,1)</f>
        <v>0.989058293304</v>
      </c>
      <c r="F503" s="41">
        <f>IF(C503&gt;0,(C503-1+D503)/C503^2,1/2)</f>
        <v>0.496346074172</v>
      </c>
      <c r="G503" s="41">
        <f>(C_air_CO2/C_sat_CO2*F_vent_ex-CO2_fix_sched)*(B503/3600)/(V_L_CO2+Vg_CO2)</f>
        <v>-0.291302268987</v>
      </c>
      <c r="H503" s="41">
        <f>(G503*E503+pool_b*D503)/(1-pool_ret*D503)</f>
        <v>20.044173761915</v>
      </c>
      <c r="I503" s="41">
        <f>MIN(C_sat_CO2,MAX(C_air_CO2,(pool_ret*H503+pool_b)*E503+G503*F503))</f>
        <v>20.41346553154</v>
      </c>
      <c r="J503" s="41">
        <f>IF(AND(I503&gt;=CO2_pH_hi_mt,I504&lt;CO2_pH_hi_mt),EXP(LN(A503)+(LN(A504)-LN(A503))*(I503-CO2_pH_hi_mt)/(I503-I504)),0)</f>
        <v>0.0</v>
      </c>
      <c r="L503" s="41">
        <f>k_eff_CO2_l*B503</f>
        <v>0.110490155611</v>
      </c>
      <c r="M503" s="41">
        <f>EXP(-L503)</f>
        <v>0.895395144764</v>
      </c>
      <c r="N503" s="41">
        <f>IF(L503&gt;0,(1-M503)/L503,1)</f>
        <v>0.946734617734</v>
      </c>
      <c r="O503" s="41">
        <f>IF(L503&gt;0,(L503-1+M503)/L503^2,1/2)</f>
        <v>0.482082607008</v>
      </c>
      <c r="P503" s="41">
        <f>(C_air_CO2/C_sat_CO2*F_vent_ex-CO2_fix_l)*(B503/3600)/(V_L_CO2+Vg_CO2)</f>
        <v>0.0002548089062218</v>
      </c>
      <c r="Q503" s="41">
        <f>(P503*N503+pool_b*M503)/(1-pool_ret*M503)</f>
        <v>12.401229148279</v>
      </c>
      <c r="R503" s="41">
        <f>MIN(C_sat_CO2,MAX(C_air_CO2,(pool_ret*Q503+pool_b)*N503+P503*O503))</f>
        <v>13.11214898619</v>
      </c>
      <c r="S503" s="41">
        <f>IF(AND(R503&gt;=CO2_pH_hi_mt,R504&lt;CO2_pH_hi_mt),EXP(LN(A503)+(LN(A504)-LN(A503))*(R503-CO2_pH_hi_mt)/(R503-R504)),0)</f>
        <v>0.0</v>
      </c>
    </row>
    <row r="504">
      <c r="A504" s="41">
        <f>A503*grid_ratio</f>
        <v>28.352068650857</v>
      </c>
      <c r="B504" s="41">
        <f>MAX(0,A504*60-spg_dur)</f>
        <v>1700.474119051411</v>
      </c>
      <c r="C504" s="41">
        <f>k_eff_CO2*B504</f>
        <v>0.024692408481</v>
      </c>
      <c r="D504" s="41">
        <f>EXP(-C504)</f>
        <v>0.975609955229</v>
      </c>
      <c r="E504" s="41">
        <f>IF(C504&gt;0,(1-D504)/C504,1)</f>
        <v>0.987754790712</v>
      </c>
      <c r="F504" s="41">
        <f>IF(C504&gt;0,(C504-1+D504)/C504^2,1/2)</f>
        <v>0.495909878433</v>
      </c>
      <c r="G504" s="41">
        <f>(C_air_CO2/C_sat_CO2*F_vent_ex-CO2_fix_sched)*(B504/3600)/(V_L_CO2+Vg_CO2)</f>
        <v>-0.326292313012</v>
      </c>
      <c r="H504" s="41">
        <f>(G504*E504+pool_b*D504)/(1-pool_ret*D504)</f>
        <v>19.27715819484</v>
      </c>
      <c r="I504" s="41">
        <f>MIN(C_sat_CO2,MAX(C_air_CO2,(pool_ret*H504+pool_b)*E504+G504*F504))</f>
        <v>19.68162631944</v>
      </c>
      <c r="J504" s="41">
        <f>IF(AND(I504&gt;=CO2_pH_hi_mt,I505&lt;CO2_pH_hi_mt),EXP(LN(A504)+(LN(A505)-LN(A504))*(I504-CO2_pH_hi_mt)/(I504-I505)),0)</f>
        <v>0.0</v>
      </c>
      <c r="L504" s="41">
        <f>k_eff_CO2_l*B504</f>
        <v>0.123761783815</v>
      </c>
      <c r="M504" s="41">
        <f>EXP(-L504)</f>
        <v>0.883590301324</v>
      </c>
      <c r="N504" s="41">
        <f>IF(L504&gt;0,(1-M504)/L504,1)</f>
        <v>0.94059486771</v>
      </c>
      <c r="O504" s="41">
        <f>IF(L504&gt;0,(L504-1+M504)/L504^2,1/2)</f>
        <v>0.47999576653</v>
      </c>
      <c r="P504" s="41">
        <f>(C_air_CO2/C_sat_CO2*F_vent_ex-CO2_fix_l)*(B504/3600)/(V_L_CO2+Vg_CO2)</f>
        <v>0.000285415515905</v>
      </c>
      <c r="Q504" s="41">
        <f>(P504*N504+pool_b*M504)/(1-pool_ret*M504)</f>
        <v>11.576340524337</v>
      </c>
      <c r="R504" s="41">
        <f>MIN(C_sat_CO2,MAX(C_air_CO2,(pool_ret*Q504+pool_b)*N504+P504*O504))</f>
        <v>12.323035920163</v>
      </c>
      <c r="S504" s="41">
        <f>IF(AND(R504&gt;=CO2_pH_hi_mt,R505&lt;CO2_pH_hi_mt),EXP(LN(A504)+(LN(A505)-LN(A504))*(R504-CO2_pH_hi_mt)/(R504-R505)),0)</f>
        <v>0.0</v>
      </c>
    </row>
    <row r="505">
      <c r="A505" s="41">
        <f>A504*grid_ratio</f>
        <v>31.756146358252</v>
      </c>
      <c r="B505" s="41">
        <f>MAX(0,A505*60-spg_dur)</f>
        <v>1904.718781495146</v>
      </c>
      <c r="C505" s="41">
        <f>k_eff_CO2*B505</f>
        <v>0.027658224061</v>
      </c>
      <c r="D505" s="41">
        <f>EXP(-C505)</f>
        <v>0.972720762548</v>
      </c>
      <c r="E505" s="41">
        <f>IF(C505&gt;0,(1-D505)/C505,1)</f>
        <v>0.98629750747</v>
      </c>
      <c r="F505" s="41">
        <f>IF(C505&gt;0,(C505-1+D505)/C505^2,1/2)</f>
        <v>0.49542199454</v>
      </c>
      <c r="G505" s="41">
        <f>(C_air_CO2/C_sat_CO2*F_vent_ex-CO2_fix_sched)*(B505/3600)/(V_L_CO2+Vg_CO2)</f>
        <v>-0.365483420118</v>
      </c>
      <c r="H505" s="41">
        <f>(G505*E505+pool_b*D505)/(1-pool_ret*D505)</f>
        <v>18.456756634079</v>
      </c>
      <c r="I505" s="41">
        <f>MIN(C_sat_CO2,MAX(C_air_CO2,(pool_ret*H505+pool_b)*E505+G505*F505))</f>
        <v>18.898804912261</v>
      </c>
      <c r="J505" s="41">
        <f>IF(AND(I505&gt;=CO2_pH_hi_mt,I506&lt;CO2_pH_hi_mt),EXP(LN(A505)+(LN(A506)-LN(A505))*(I505-CO2_pH_hi_mt)/(I505-I506)),0)</f>
        <v>0.0</v>
      </c>
      <c r="L505" s="41">
        <f>k_eff_CO2_l*B505</f>
        <v>0.138626863781</v>
      </c>
      <c r="M505" s="41">
        <f>EXP(-L505)</f>
        <v>0.870552802643</v>
      </c>
      <c r="N505" s="41">
        <f>IF(L505&gt;0,(1-M505)/L505,1)</f>
        <v>0.93378147515</v>
      </c>
      <c r="O505" s="41">
        <f>IF(L505&gt;0,(L505-1+M505)/L505^2,1/2)</f>
        <v>0.477674550547</v>
      </c>
      <c r="P505" s="41">
        <f>(C_air_CO2/C_sat_CO2*F_vent_ex-CO2_fix_l)*(B505/3600)/(V_L_CO2+Vg_CO2)</f>
        <v>0.0003196968936979</v>
      </c>
      <c r="Q505" s="41">
        <f>(P505*N505+pool_b*M505)/(1-pool_ret*M505)</f>
        <v>10.763116863008</v>
      </c>
      <c r="R505" s="41">
        <f>MIN(C_sat_CO2,MAX(C_air_CO2,(pool_ret*Q505+pool_b)*N505+P505*O505))</f>
        <v>11.544679765623</v>
      </c>
      <c r="S505" s="41">
        <f>IF(AND(R505&gt;=CO2_pH_hi_mt,R506&lt;CO2_pH_hi_mt),EXP(LN(A505)+(LN(A506)-LN(A505))*(R505-CO2_pH_hi_mt)/(R505-R506)),0)</f>
        <v>0.0</v>
      </c>
    </row>
    <row r="506">
      <c r="A506" s="41">
        <f>A505*grid_ratio</f>
        <v>35.568933044901</v>
      </c>
      <c r="B506" s="41">
        <f>MAX(0,A506*60-spg_dur)</f>
        <v>2133.48598269403</v>
      </c>
      <c r="C506" s="41">
        <f>k_eff_CO2*B506</f>
        <v>0.030980128885</v>
      </c>
      <c r="D506" s="41">
        <f>EXP(-C506)</f>
        <v>0.969494837828</v>
      </c>
      <c r="E506" s="41">
        <f>IF(C506&gt;0,(1-D506)/C506,1)</f>
        <v>0.984668665686</v>
      </c>
      <c r="F506" s="41">
        <f>IF(C506&gt;0,(C506-1+D506)/C506^2,1/2)</f>
        <v>0.494876389028</v>
      </c>
      <c r="G506" s="41">
        <f>(C_air_CO2/C_sat_CO2*F_vent_ex-CO2_fix_sched)*(B506/3600)/(V_L_CO2+Vg_CO2)</f>
        <v>-0.409379988953</v>
      </c>
      <c r="H506" s="41">
        <f>(G506*E506+pool_b*D506)/(1-pool_ret*D506)</f>
        <v>17.583023750116</v>
      </c>
      <c r="I506" s="41">
        <f>MIN(C_sat_CO2,MAX(C_air_CO2,(pool_ret*H506+pool_b)*E506+G506*F506))</f>
        <v>18.065040687364</v>
      </c>
      <c r="J506" s="41">
        <f>IF(AND(I506&gt;=CO2_pH_hi_mt,I507&lt;CO2_pH_hi_mt),EXP(LN(A506)+(LN(A507)-LN(A506))*(I506-CO2_pH_hi_mt)/(I506-I507)),0)</f>
        <v>0.0</v>
      </c>
      <c r="L506" s="41">
        <f>k_eff_CO2_l*B506</f>
        <v>0.155276712539</v>
      </c>
      <c r="M506" s="41">
        <f>EXP(-L506)</f>
        <v>0.85617822945</v>
      </c>
      <c r="N506" s="41">
        <f>IF(L506&gt;0,(1-M506)/L506,1)</f>
        <v>0.92622884783</v>
      </c>
      <c r="O506" s="41">
        <f>IF(L506&gt;0,(L506-1+M506)/L506^2,1/2)</f>
        <v>0.475094758021</v>
      </c>
      <c r="P506" s="41">
        <f>(C_air_CO2/C_sat_CO2*F_vent_ex-CO2_fix_l)*(B506/3600)/(V_L_CO2+Vg_CO2)</f>
        <v>0.0003580942488947</v>
      </c>
      <c r="Q506" s="41">
        <f>(P506*N506+pool_b*M506)/(1-pool_ret*M506)</f>
        <v>9.966490910413</v>
      </c>
      <c r="R506" s="41">
        <f>MIN(C_sat_CO2,MAX(C_air_CO2,(pool_ret*Q506+pool_b)*N506+P506*O506))</f>
        <v>10.781738575932</v>
      </c>
      <c r="S506" s="41">
        <f>IF(AND(R506&gt;=CO2_pH_hi_mt,R507&lt;CO2_pH_hi_mt),EXP(LN(A506)+(LN(A507)-LN(A506))*(R506-CO2_pH_hi_mt)/(R506-R507)),0)</f>
        <v>0.0</v>
      </c>
    </row>
    <row r="507">
      <c r="A507" s="41">
        <f>A506*grid_ratio</f>
        <v>39.839500161009</v>
      </c>
      <c r="B507" s="41">
        <f>MAX(0,A507*60-spg_dur)</f>
        <v>2389.720009660524</v>
      </c>
      <c r="C507" s="41">
        <f>k_eff_CO2*B507</f>
        <v>0.034700876639</v>
      </c>
      <c r="D507" s="41">
        <f>EXP(-C507)</f>
        <v>0.965894294598</v>
      </c>
      <c r="E507" s="41">
        <f>IF(C507&gt;0,(1-D507)/C507,1)</f>
        <v>0.982848524455</v>
      </c>
      <c r="F507" s="41">
        <f>IF(C507&gt;0,(C507-1+D507)/C507^2,1/2)</f>
        <v>0.494266347307</v>
      </c>
      <c r="G507" s="41">
        <f>(C_air_CO2/C_sat_CO2*F_vent_ex-CO2_fix_sched)*(B507/3600)/(V_L_CO2+Vg_CO2)</f>
        <v>-0.458546978556</v>
      </c>
      <c r="H507" s="41">
        <f>(G507*E507+pool_b*D507)/(1-pool_ret*D507)</f>
        <v>16.656750770555</v>
      </c>
      <c r="I507" s="41">
        <f>MIN(C_sat_CO2,MAX(C_air_CO2,(pool_ret*H507+pool_b)*E507+G507*F507))</f>
        <v>17.18107342696</v>
      </c>
      <c r="J507" s="41">
        <f>IF(AND(I507&gt;=CO2_pH_hi_mt,I508&lt;CO2_pH_hi_mt),EXP(LN(A507)+(LN(A508)-LN(A507))*(I507-CO2_pH_hi_mt)/(I507-I508)),0)</f>
        <v>0.0</v>
      </c>
      <c r="L507" s="41">
        <f>k_eff_CO2_l*B507</f>
        <v>0.17392561751</v>
      </c>
      <c r="M507" s="41">
        <f>EXP(-L507)</f>
        <v>0.840359403359</v>
      </c>
      <c r="N507" s="41">
        <f>IF(L507&gt;0,(1-M507)/L507,1)</f>
        <v>0.917867068272</v>
      </c>
      <c r="O507" s="41">
        <f>IF(L507&gt;0,(L507-1+M507)/L507^2,1/2)</f>
        <v>0.472230214868</v>
      </c>
      <c r="P507" s="41">
        <f>(C_air_CO2/C_sat_CO2*F_vent_ex-CO2_fix_l)*(B507/3600)/(V_L_CO2+Vg_CO2)</f>
        <v>0.0004011017643751</v>
      </c>
      <c r="Q507" s="41">
        <f>(P507*N507+pool_b*M507)/(1-pool_ret*M507)</f>
        <v>9.191006791321</v>
      </c>
      <c r="R507" s="41">
        <f>MIN(C_sat_CO2,MAX(C_air_CO2,(pool_ret*Q507+pool_b)*N507+P507*O507))</f>
        <v>10.038495051729</v>
      </c>
      <c r="S507" s="41">
        <f>IF(AND(R507&gt;=CO2_pH_hi_mt,R508&lt;CO2_pH_hi_mt),EXP(LN(A507)+(LN(A508)-LN(A507))*(R507-CO2_pH_hi_mt)/(R507-R508)),0)</f>
        <v>0.0</v>
      </c>
    </row>
    <row r="508">
      <c r="A508" s="41">
        <f>A507*grid_ratio</f>
        <v>44.622810897235</v>
      </c>
      <c r="B508" s="41">
        <f>MAX(0,A508*60-spg_dur)</f>
        <v>2676.718653834111</v>
      </c>
      <c r="C508" s="41">
        <f>k_eff_CO2*B508</f>
        <v>0.038868354213</v>
      </c>
      <c r="D508" s="41">
        <f>EXP(-C508)</f>
        <v>0.96187732791</v>
      </c>
      <c r="E508" s="41">
        <f>IF(C508&gt;0,(1-D508)/C508,1)</f>
        <v>0.980815186604</v>
      </c>
      <c r="F508" s="41">
        <f>IF(C508&gt;0,(C508-1+D508)/C508^2,1/2)</f>
        <v>0.493584402654</v>
      </c>
      <c r="G508" s="41">
        <f>(C_air_CO2/C_sat_CO2*F_vent_ex-CO2_fix_sched)*(B508/3600)/(V_L_CO2+Vg_CO2)</f>
        <v>-0.513617179502</v>
      </c>
      <c r="H508" s="41">
        <f>(G508*E508+pool_b*D508)/(1-pool_ret*D508)</f>
        <v>15.679542118176</v>
      </c>
      <c r="I508" s="41">
        <f>MIN(C_sat_CO2,MAX(C_air_CO2,(pool_ret*H508+pool_b)*E508+G508*F508))</f>
        <v>16.248416171199</v>
      </c>
      <c r="J508" s="41">
        <f>IF(AND(I508&gt;=CO2_pH_hi_mt,I509&lt;CO2_pH_hi_mt),EXP(LN(A508)+(LN(A509)-LN(A508))*(I508-CO2_pH_hi_mt)/(I508-I509)),0)</f>
        <v>0.0</v>
      </c>
      <c r="L508" s="41">
        <f>k_eff_CO2_l*B508</f>
        <v>0.194813594432</v>
      </c>
      <c r="M508" s="41">
        <f>EXP(-L508)</f>
        <v>0.822988053314</v>
      </c>
      <c r="N508" s="41">
        <f>IF(L508&gt;0,(1-M508)/L508,1)</f>
        <v>0.908622148274</v>
      </c>
      <c r="O508" s="41">
        <f>IF(L508&gt;0,(L508-1+M508)/L508^2,1/2)</f>
        <v>0.469052747538</v>
      </c>
      <c r="P508" s="41">
        <f>(C_air_CO2/C_sat_CO2*F_vent_ex-CO2_fix_l)*(B508/3600)/(V_L_CO2+Vg_CO2)</f>
        <v>0.000449272956852</v>
      </c>
      <c r="Q508" s="41">
        <f>(P508*N508+pool_b*M508)/(1-pool_ret*M508)</f>
        <v>8.440728525394</v>
      </c>
      <c r="R508" s="41">
        <f>MIN(C_sat_CO2,MAX(C_air_CO2,(pool_ret*Q508+pool_b)*N508+P508*O508))</f>
        <v>9.318768806194</v>
      </c>
      <c r="S508" s="41">
        <f>IF(AND(R508&gt;=CO2_pH_hi_mt,R509&lt;CO2_pH_hi_mt),EXP(LN(A508)+(LN(A509)-LN(A508))*(R508-CO2_pH_hi_mt)/(R508-R509)),0)</f>
        <v>0.0</v>
      </c>
    </row>
    <row r="509">
      <c r="A509" s="41">
        <f>A508*grid_ratio</f>
        <v>49.980427573718</v>
      </c>
      <c r="B509" s="41">
        <f>MAX(0,A509*60-spg_dur)</f>
        <v>2998.175654423062</v>
      </c>
      <c r="C509" s="41">
        <f>k_eff_CO2*B509</f>
        <v>0.043536198009</v>
      </c>
      <c r="D509" s="41">
        <f>EXP(-C509)</f>
        <v>0.957397897566</v>
      </c>
      <c r="E509" s="41">
        <f>IF(C509&gt;0,(1-D509)/C509,1)</f>
        <v>0.978544392535</v>
      </c>
      <c r="F509" s="41">
        <f>IF(C509&gt;0,(C509-1+D509)/C509^2,1/2)</f>
        <v>0.492822259325</v>
      </c>
      <c r="G509" s="41">
        <f>(C_air_CO2/C_sat_CO2*F_vent_ex-CO2_fix_sched)*(B509/3600)/(V_L_CO2+Vg_CO2)</f>
        <v>-0.575299358067</v>
      </c>
      <c r="H509" s="41">
        <f>(G509*E509+pool_b*D509)/(1-pool_ret*D509)</f>
        <v>14.653873714966</v>
      </c>
      <c r="I509" s="41">
        <f>MIN(C_sat_CO2,MAX(C_air_CO2,(pool_ret*H509+pool_b)*E509+G509*F509))</f>
        <v>15.269410577666</v>
      </c>
      <c r="J509" s="41">
        <f>IF(AND(I509&gt;=CO2_pH_hi_mt,I510&lt;CO2_pH_hi_mt),EXP(LN(A509)+(LN(A510)-LN(A509))*(I509-CO2_pH_hi_mt)/(I509-I510)),0)</f>
        <v>0.0</v>
      </c>
      <c r="L509" s="41">
        <f>k_eff_CO2_l*B509</f>
        <v>0.21820947642</v>
      </c>
      <c r="M509" s="41">
        <f>EXP(-L509)</f>
        <v>0.803957013989</v>
      </c>
      <c r="N509" s="41">
        <f>IF(L509&gt;0,(1-M509)/L509,1)</f>
        <v>0.898416463057</v>
      </c>
      <c r="O509" s="41">
        <f>IF(L509&gt;0,(L509-1+M509)/L509^2,1/2)</f>
        <v>0.465532196904</v>
      </c>
      <c r="P509" s="41">
        <f>(C_air_CO2/C_sat_CO2*F_vent_ex-CO2_fix_l)*(B509/3600)/(V_L_CO2+Vg_CO2)</f>
        <v>0.0005032278007608</v>
      </c>
      <c r="Q509" s="41">
        <f>(P509*N509+pool_b*M509)/(1-pool_ret*M509)</f>
        <v>7.71917196138</v>
      </c>
      <c r="R509" s="41">
        <f>MIN(C_sat_CO2,MAX(C_air_CO2,(pool_ret*Q509+pool_b)*N509+P509*O509))</f>
        <v>8.625850898996</v>
      </c>
      <c r="S509" s="41">
        <f>IF(AND(R509&gt;=CO2_pH_hi_mt,R510&lt;CO2_pH_hi_mt),EXP(LN(A509)+(LN(A510)-LN(A509))*(R509-CO2_pH_hi_mt)/(R509-R510)),0)</f>
        <v>0.0</v>
      </c>
    </row>
    <row r="510">
      <c r="A510" s="41">
        <f>A509*grid_ratio</f>
        <v>55.981303961432</v>
      </c>
      <c r="B510" s="41">
        <f>MAX(0,A510*60-spg_dur)</f>
        <v>3358.228237685943</v>
      </c>
      <c r="C510" s="41">
        <f>k_eff_CO2*B510</f>
        <v>0.048764484263</v>
      </c>
      <c r="D510" s="41">
        <f>EXP(-C510)</f>
        <v>0.952405409749</v>
      </c>
      <c r="E510" s="41">
        <f>IF(C510&gt;0,(1-D510)/C510,1)</f>
        <v>0.976009302069</v>
      </c>
      <c r="F510" s="41">
        <f>IF(C510&gt;0,(C510-1+D510)/C510^2,1/2)</f>
        <v>0.491970709705</v>
      </c>
      <c r="G510" s="41">
        <f>(C_air_CO2/C_sat_CO2*F_vent_ex-CO2_fix_sched)*(B510/3600)/(V_L_CO2+Vg_CO2)</f>
        <v>-0.644387378215</v>
      </c>
      <c r="H510" s="41">
        <f>(G510*E510+pool_b*D510)/(1-pool_ret*D510)</f>
        <v>13.58312685676</v>
      </c>
      <c r="I510" s="41">
        <f>MIN(C_sat_CO2,MAX(C_air_CO2,(pool_ret*H510+pool_b)*E510+G510*F510))</f>
        <v>14.247258976031</v>
      </c>
      <c r="J510" s="41">
        <f>IF(AND(I510&gt;=CO2_pH_hi_mt,I511&lt;CO2_pH_hi_mt),EXP(LN(A510)+(LN(A511)-LN(A510))*(I510-CO2_pH_hi_mt)/(I510-I511)),0)</f>
        <v>0.0</v>
      </c>
      <c r="L510" s="41">
        <f>k_eff_CO2_l*B510</f>
        <v>0.244414373908</v>
      </c>
      <c r="M510" s="41">
        <f>EXP(-L510)</f>
        <v>0.783163044685</v>
      </c>
      <c r="N510" s="41">
        <f>IF(L510&gt;0,(1-M510)/L510,1)</f>
        <v>0.887169407623</v>
      </c>
      <c r="O510" s="41">
        <f>IF(L510&gt;0,(L510-1+M510)/L510^2,1/2)</f>
        <v>0.461636484681</v>
      </c>
      <c r="P510" s="41">
        <f>(C_air_CO2/C_sat_CO2*F_vent_ex-CO2_fix_l)*(B510/3600)/(V_L_CO2+Vg_CO2)</f>
        <v>0.000563660707474</v>
      </c>
      <c r="Q510" s="41">
        <f>(P510*N510+pool_b*M510)/(1-pool_ret*M510)</f>
        <v>7.029261757103</v>
      </c>
      <c r="R510" s="41">
        <f>MIN(C_sat_CO2,MAX(C_air_CO2,(pool_ret*Q510+pool_b)*N510+P510*O510))</f>
        <v>7.962462191252</v>
      </c>
      <c r="S510" s="41">
        <f>IF(AND(R510&gt;=CO2_pH_hi_mt,R511&lt;CO2_pH_hi_mt),EXP(LN(A510)+(LN(A511)-LN(A510))*(R510-CO2_pH_hi_mt)/(R510-R511)),0)</f>
        <v>0.0</v>
      </c>
    </row>
    <row r="511">
      <c r="A511" s="41">
        <f>A510*grid_ratio</f>
        <v>62.702672733241</v>
      </c>
      <c r="B511" s="41">
        <f>MAX(0,A511*60-spg_dur)</f>
        <v>3761.510363994471</v>
      </c>
      <c r="C511" s="41">
        <f>k_eff_CO2*B511</f>
        <v>0.054620502231</v>
      </c>
      <c r="D511" s="41">
        <f>EXP(-C511)</f>
        <v>0.94684440512</v>
      </c>
      <c r="E511" s="41">
        <f>IF(C511&gt;0,(1-D511)/C511,1)</f>
        <v>0.973180265816</v>
      </c>
      <c r="F511" s="41">
        <f>IF(C511&gt;0,(C511-1+D511)/C511^2,1/2)</f>
        <v>0.491019545574</v>
      </c>
      <c r="G511" s="41">
        <f>(C_air_CO2/C_sat_CO2*F_vent_ex-CO2_fix_sched)*(B511/3600)/(V_L_CO2+Vg_CO2)</f>
        <v>-0.721770418813</v>
      </c>
      <c r="H511" s="41">
        <f>(G511*E511+pool_b*D511)/(1-pool_ret*D511)</f>
        <v>12.471592172971</v>
      </c>
      <c r="I511" s="41">
        <f>MIN(C_sat_CO2,MAX(C_air_CO2,(pool_ret*H511+pool_b)*E511+G511*F511))</f>
        <v>13.186027887483</v>
      </c>
      <c r="J511" s="41">
        <f>IF(AND(I511&gt;=CO2_pH_hi_mt,I512&lt;CO2_pH_hi_mt),EXP(LN(A511)+(LN(A512)-LN(A511))*(I511-CO2_pH_hi_mt)/(I511-I512)),0)</f>
        <v>0.0</v>
      </c>
      <c r="L511" s="41">
        <f>k_eff_CO2_l*B511</f>
        <v>0.273765550015</v>
      </c>
      <c r="M511" s="41">
        <f>EXP(-L511)</f>
        <v>0.760510356003</v>
      </c>
      <c r="N511" s="41">
        <f>IF(L511&gt;0,(1-M511)/L511,1)</f>
        <v>0.874798322814</v>
      </c>
      <c r="O511" s="41">
        <f>IF(L511&gt;0,(L511-1+M511)/L511^2,1/2)</f>
        <v>0.457331746742</v>
      </c>
      <c r="P511" s="41">
        <f>(C_air_CO2/C_sat_CO2*F_vent_ex-CO2_fix_l)*(B511/3600)/(V_L_CO2+Vg_CO2)</f>
        <v>0.0006313494625371</v>
      </c>
      <c r="Q511" s="41">
        <f>(P511*N511+pool_b*M511)/(1-pool_ret*M511)</f>
        <v>6.373313229214</v>
      </c>
      <c r="R511" s="41">
        <f>MIN(C_sat_CO2,MAX(C_air_CO2,(pool_ret*Q511+pool_b)*N511+P511*O511))</f>
        <v>7.330735357357</v>
      </c>
      <c r="S511" s="41">
        <f>IF(AND(R511&gt;=CO2_pH_hi_mt,R512&lt;CO2_pH_hi_mt),EXP(LN(A511)+(LN(A512)-LN(A511))*(R511-CO2_pH_hi_mt)/(R511-R512)),0)</f>
        <v>0.0</v>
      </c>
    </row>
    <row r="512">
      <c r="A512" s="41">
        <f>A511*grid_ratio</f>
        <v>70.23103946633</v>
      </c>
      <c r="B512" s="41">
        <f>MAX(0,A512*60-spg_dur)</f>
        <v>4213.212367979772</v>
      </c>
      <c r="C512" s="41">
        <f>k_eff_CO2*B512</f>
        <v>0.061179620226</v>
      </c>
      <c r="D512" s="41">
        <f>EXP(-C512)</f>
        <v>0.940654264069</v>
      </c>
      <c r="E512" s="41">
        <f>IF(C512&gt;0,(1-D512)/C512,1)</f>
        <v>0.970024588442</v>
      </c>
      <c r="F512" s="41">
        <f>IF(C512&gt;0,(C512-1+D512)/C512^2,1/2)</f>
        <v>0.489957463732</v>
      </c>
      <c r="G512" s="41">
        <f>(C_air_CO2/C_sat_CO2*F_vent_ex-CO2_fix_sched)*(B512/3600)/(V_L_CO2+Vg_CO2)</f>
        <v>-0.808444417565</v>
      </c>
      <c r="H512" s="41">
        <f>(G512*E512+pool_b*D512)/(1-pool_ret*D512)</f>
        <v>11.324439419566</v>
      </c>
      <c r="I512" s="41">
        <f>MIN(C_sat_CO2,MAX(C_air_CO2,(pool_ret*H512+pool_b)*E512+G512*F512))</f>
        <v>12.090618954013</v>
      </c>
      <c r="J512" s="41">
        <f>IF(AND(I512&gt;=CO2_pH_hi_mt,I513&lt;CO2_pH_hi_mt),EXP(LN(A512)+(LN(A513)-LN(A512))*(I512-CO2_pH_hi_mt)/(I512-I513)),0)</f>
        <v>0.0</v>
      </c>
      <c r="L512" s="41">
        <f>k_eff_CO2_l*B512</f>
        <v>0.306640761193</v>
      </c>
      <c r="M512" s="41">
        <f>EXP(-L512)</f>
        <v>0.735914922626</v>
      </c>
      <c r="N512" s="41">
        <f>IF(L512&gt;0,(1-M512)/L512,1)</f>
        <v>0.861219742433</v>
      </c>
      <c r="O512" s="41">
        <f>IF(L512&gt;0,(L512-1+M512)/L512^2,1/2)</f>
        <v>0.45258254978</v>
      </c>
      <c r="P512" s="41">
        <f>(C_air_CO2/C_sat_CO2*F_vent_ex-CO2_fix_l)*(B512/3600)/(V_L_CO2+Vg_CO2)</f>
        <v>0.000707165235949</v>
      </c>
      <c r="Q512" s="41">
        <f>(P512*N512+pool_b*M512)/(1-pool_ret*M512)</f>
        <v>5.753037315975</v>
      </c>
      <c r="R512" s="41">
        <f>MIN(C_sat_CO2,MAX(C_air_CO2,(pool_ret*Q512+pool_b)*N512+P512*O512))</f>
        <v>6.732218887171</v>
      </c>
      <c r="S512" s="41">
        <f>IF(AND(R512&gt;=CO2_pH_hi_mt,R513&lt;CO2_pH_hi_mt),EXP(LN(A512)+(LN(A513)-LN(A512))*(R512-CO2_pH_hi_mt)/(R512-R513)),0)</f>
        <v>0.0</v>
      </c>
    </row>
    <row r="513">
      <c r="A513" s="41">
        <f>A512*grid_ratio</f>
        <v>78.663295989076</v>
      </c>
      <c r="B513" s="41">
        <f>MAX(0,A513*60-spg_dur)</f>
        <v>4719.147759344581</v>
      </c>
      <c r="C513" s="41">
        <f>k_eff_CO2*B513</f>
        <v>0.068526255619</v>
      </c>
      <c r="D513" s="41">
        <f>EXP(-C513)</f>
        <v>0.9337689431</v>
      </c>
      <c r="E513" s="41">
        <f>IF(C513&gt;0,(1-D513)/C513,1)</f>
        <v>0.966506287286</v>
      </c>
      <c r="F513" s="41">
        <f>IF(C513&gt;0,(C513-1+D513)/C513^2,1/2)</f>
        <v>0.488771966473</v>
      </c>
      <c r="G513" s="41">
        <f>(C_air_CO2/C_sat_CO2*F_vent_ex-CO2_fix_sched)*(B513/3600)/(V_L_CO2+Vg_CO2)</f>
        <v>-0.905524888966</v>
      </c>
      <c r="H513" s="41">
        <f>(G513*E513+pool_b*D513)/(1-pool_ret*D513)</f>
        <v>10.14765069776</v>
      </c>
      <c r="I513" s="41">
        <f>MIN(C_sat_CO2,MAX(C_air_CO2,(pool_ret*H513+pool_b)*E513+G513*F513))</f>
        <v>10.966704979907</v>
      </c>
      <c r="J513" s="41">
        <f>IF(AND(I513&gt;=CO2_pH_hi_mt,I514&lt;CO2_pH_hi_mt),EXP(LN(A513)+(LN(A514)-LN(A513))*(I513-CO2_pH_hi_mt)/(I513-I514)),0)</f>
        <v>0.0</v>
      </c>
      <c r="L513" s="41">
        <f>k_eff_CO2_l*B513</f>
        <v>0.343463119045</v>
      </c>
      <c r="M513" s="41">
        <f>EXP(-L513)</f>
        <v>0.709309640679</v>
      </c>
      <c r="N513" s="41">
        <f>IF(L513&gt;0,(1-M513)/L513,1)</f>
        <v>0.846351014715</v>
      </c>
      <c r="O513" s="41">
        <f>IF(L513&gt;0,(L513-1+M513)/L513^2,1/2)</f>
        <v>0.447352209786</v>
      </c>
      <c r="P513" s="41">
        <f>(C_air_CO2/C_sat_CO2*F_vent_ex-CO2_fix_l)*(B513/3600)/(V_L_CO2+Vg_CO2)</f>
        <v>0.0007920837943223</v>
      </c>
      <c r="Q513" s="41">
        <f>(P513*N513+pool_b*M513)/(1-pool_ret*M513)</f>
        <v>5.169565666682</v>
      </c>
      <c r="R513" s="41">
        <f>MIN(C_sat_CO2,MAX(C_air_CO2,(pool_ret*Q513+pool_b)*N513+P513*O513))</f>
        <v>6.167900245878</v>
      </c>
      <c r="S513" s="41">
        <f>IF(AND(R513&gt;=CO2_pH_hi_mt,R514&lt;CO2_pH_hi_mt),EXP(LN(A513)+(LN(A514)-LN(A513))*(R513-CO2_pH_hi_mt)/(R513-R514)),0)</f>
        <v>0.0</v>
      </c>
    </row>
    <row r="514">
      <c r="A514" s="41">
        <f>A513*grid_ratio</f>
        <v>88.107967401389</v>
      </c>
      <c r="B514" s="41">
        <f>MAX(0,A514*60-spg_dur)</f>
        <v>5285.828044083345</v>
      </c>
      <c r="C514" s="41">
        <f>k_eff_CO2*B514</f>
        <v>0.076754961315</v>
      </c>
      <c r="D514" s="41">
        <f>EXP(-C514)</f>
        <v>0.926116760238</v>
      </c>
      <c r="E514" s="41">
        <f>IF(C514&gt;0,(1-D514)/C514,1)</f>
        <v>0.96258585108</v>
      </c>
      <c r="F514" s="41">
        <f>IF(C514&gt;0,(C514-1+D514)/C514^2,1/2)</f>
        <v>0.48744925773</v>
      </c>
      <c r="G514" s="41">
        <f>(C_air_CO2/C_sat_CO2*F_vent_ex-CO2_fix_sched)*(B514/3600)/(V_L_CO2+Vg_CO2)</f>
        <v>-1.014261281231</v>
      </c>
      <c r="H514" s="41">
        <f>(G514*E514+pool_b*D514)/(1-pool_ret*D514)</f>
        <v>8.947917042744</v>
      </c>
      <c r="I514" s="41">
        <f>MIN(C_sat_CO2,MAX(C_air_CO2,(pool_ret*H514+pool_b)*E514+G514*F514))</f>
        <v>9.820631028831</v>
      </c>
      <c r="J514" s="41">
        <f>IF(AND(I514&gt;=CO2_pH_hi_mt,I515&lt;CO2_pH_hi_mt),EXP(LN(A514)+(LN(A515)-LN(A514))*(I514-CO2_pH_hi_mt)/(I514-I515)),0)</f>
        <v>0.0</v>
      </c>
      <c r="L514" s="41">
        <f>k_eff_CO2_l*B514</f>
        <v>0.38470653587</v>
      </c>
      <c r="M514" s="41">
        <f>EXP(-L514)</f>
        <v>0.680650353362</v>
      </c>
      <c r="N514" s="41">
        <f>IF(L514&gt;0,(1-M514)/L514,1)</f>
        <v>0.830112350225</v>
      </c>
      <c r="O514" s="41">
        <f>IF(L514&gt;0,(L514-1+M514)/L514^2,1/2)</f>
        <v>0.441603232424</v>
      </c>
      <c r="P514" s="41">
        <f>(C_air_CO2/C_sat_CO2*F_vent_ex-CO2_fix_l)*(B514/3600)/(V_L_CO2+Vg_CO2)</f>
        <v>0.0008871980592264</v>
      </c>
      <c r="Q514" s="41">
        <f>(P514*N514+pool_b*M514)/(1-pool_ret*M514)</f>
        <v>4.623492057054</v>
      </c>
      <c r="R514" s="41">
        <f>MIN(C_sat_CO2,MAX(C_air_CO2,(pool_ret*Q514+pool_b)*N514+P514*O514))</f>
        <v>5.638244590982</v>
      </c>
      <c r="S514" s="41">
        <f>IF(AND(R514&gt;=CO2_pH_hi_mt,R515&lt;CO2_pH_hi_mt),EXP(LN(A514)+(LN(A515)-LN(A514))*(R514-CO2_pH_hi_mt)/(R514-R515)),0)</f>
        <v>0.0</v>
      </c>
    </row>
    <row r="515">
      <c r="A515" s="41">
        <f>A514*grid_ratio</f>
        <v>98.686608817946</v>
      </c>
      <c r="B515" s="41">
        <f>MAX(0,A515*60-spg_dur)</f>
        <v>5920.546529076732</v>
      </c>
      <c r="C515" s="41">
        <f>k_eff_CO2*B515</f>
        <v>0.085971642667</v>
      </c>
      <c r="D515" s="41">
        <f>EXP(-C515)</f>
        <v>0.917620252115</v>
      </c>
      <c r="E515" s="41">
        <f>IF(C515&gt;0,(1-D515)/C515,1)</f>
        <v>0.958220005227</v>
      </c>
      <c r="F515" s="41">
        <f>IF(C515&gt;0,(C515-1+D515)/C515^2,1/2)</f>
        <v>0.485974136088</v>
      </c>
      <c r="G515" s="41">
        <f>(C_air_CO2/C_sat_CO2*F_vent_ex-CO2_fix_sched)*(B515/3600)/(V_L_CO2+Vg_CO2)</f>
        <v>-1.136053056984</v>
      </c>
      <c r="H515" s="41">
        <f>(G515*E515+pool_b*D515)/(1-pool_ret*D515)</f>
        <v>7.732500991017</v>
      </c>
      <c r="I515" s="41">
        <f>MIN(C_sat_CO2,MAX(C_air_CO2,(pool_ret*H515+pool_b)*E515+G515*F515))</f>
        <v>8.659283058545</v>
      </c>
      <c r="J515" s="41">
        <f>IF(AND(I515&gt;=CO2_pH_hi_mt,I516&lt;CO2_pH_hi_mt),EXP(LN(A515)+(LN(A516)-LN(A515))*(I515-CO2_pH_hi_mt)/(I515-I516)),0)</f>
        <v>0.0</v>
      </c>
      <c r="L515" s="41">
        <f>k_eff_CO2_l*B515</f>
        <v>0.430901824022</v>
      </c>
      <c r="M515" s="41">
        <f>EXP(-L515)</f>
        <v>0.649922714441</v>
      </c>
      <c r="N515" s="41">
        <f>IF(L515&gt;0,(1-M515)/L515,1)</f>
        <v>0.81242934247</v>
      </c>
      <c r="O515" s="41">
        <f>IF(L515&gt;0,(L515-1+M515)/L515^2,1/2)</f>
        <v>0.43529789635</v>
      </c>
      <c r="P515" s="41">
        <f>(C_air_CO2/C_sat_CO2*F_vent_ex-CO2_fix_l)*(B515/3600)/(V_L_CO2+Vg_CO2)</f>
        <v>0.0009937321733415</v>
      </c>
      <c r="Q515" s="41">
        <f>(P515*N515+pool_b*M515)/(1-pool_ret*M515)</f>
        <v>4.114925934965</v>
      </c>
      <c r="R515" s="41">
        <f>MIN(C_sat_CO2,MAX(C_air_CO2,(pool_ret*Q515+pool_b)*N515+P515*O515))</f>
        <v>5.143245080885</v>
      </c>
      <c r="S515" s="41">
        <f>IF(AND(R515&gt;=CO2_pH_hi_mt,R516&lt;CO2_pH_hi_mt),EXP(LN(A515)+(LN(A516)-LN(A515))*(R515-CO2_pH_hi_mt)/(R515-R516)),0)</f>
        <v>0.0</v>
      </c>
    </row>
    <row r="516">
      <c r="A516" s="41">
        <f>A515*grid_ratio</f>
        <v>110.535369810752</v>
      </c>
      <c r="B516" s="41">
        <f>MAX(0,A516*60-spg_dur)</f>
        <v>6631.472188645109</v>
      </c>
      <c r="C516" s="41">
        <f>k_eff_CO2*B516</f>
        <v>0.096294920504</v>
      </c>
      <c r="D516" s="41">
        <f>EXP(-C516)</f>
        <v>0.908196130908</v>
      </c>
      <c r="E516" s="41">
        <f>IF(C516&gt;0,(1-D516)/C516,1)</f>
        <v>0.953361492091</v>
      </c>
      <c r="F516" s="41">
        <f>IF(C516&gt;0,(C516-1+D516)/C516^2,1/2)</f>
        <v>0.48432988641</v>
      </c>
      <c r="G516" s="41">
        <f>(C_air_CO2/C_sat_CO2*F_vent_ex-CO2_fix_sched)*(B516/3600)/(V_L_CO2+Vg_CO2)</f>
        <v>-1.272467704664</v>
      </c>
      <c r="H516" s="41">
        <f>(G516*E516+pool_b*D516)/(1-pool_ret*D516)</f>
        <v>6.509070440471</v>
      </c>
      <c r="I516" s="41">
        <f>MIN(C_sat_CO2,MAX(C_air_CO2,(pool_ret*H516+pool_b)*E516+G516*F516))</f>
        <v>7.489929153458</v>
      </c>
      <c r="J516" s="41">
        <f>IF(AND(I516&gt;=CO2_pH_hi_mt,I517&lt;CO2_pH_hi_mt),EXP(LN(A516)+(LN(A517)-LN(A516))*(I516-CO2_pH_hi_mt)/(I516-I517)),0)</f>
        <v>0.0</v>
      </c>
      <c r="L516" s="41">
        <f>k_eff_CO2_l*B516</f>
        <v>0.482643527587</v>
      </c>
      <c r="M516" s="41">
        <f>EXP(-L516)</f>
        <v>0.617149781038</v>
      </c>
      <c r="N516" s="41">
        <f>IF(L516&gt;0,(1-M516)/L516,1)</f>
        <v>0.793235995261</v>
      </c>
      <c r="O516" s="41">
        <f>IF(L516&gt;0,(L516-1+M516)/L516^2,1/2)</f>
        <v>0.428399000341</v>
      </c>
      <c r="P516" s="41">
        <f>(C_air_CO2/C_sat_CO2*F_vent_ex-CO2_fix_l)*(B516/3600)/(V_L_CO2+Vg_CO2)</f>
        <v>0.001113057255</v>
      </c>
      <c r="Q516" s="41">
        <f>(P516*N516+pool_b*M516)/(1-pool_ret*M516)</f>
        <v>3.643553879668</v>
      </c>
      <c r="R516" s="41">
        <f>MIN(C_sat_CO2,MAX(C_air_CO2,(pool_ret*Q516+pool_b)*N516+P516*O516))</f>
        <v>4.68248080506</v>
      </c>
      <c r="S516" s="41">
        <f>IF(AND(R516&gt;=CO2_pH_hi_mt,R517&lt;CO2_pH_hi_mt),EXP(LN(A516)+(LN(A517)-LN(A516))*(R516-CO2_pH_hi_mt)/(R516-R517)),0)</f>
        <v>0.0</v>
      </c>
    </row>
    <row r="517">
      <c r="A517" s="41">
        <f>A516*grid_ratio</f>
        <v>123.806746685756</v>
      </c>
      <c r="B517" s="41">
        <f>MAX(0,A517*60-spg_dur)</f>
        <v>7427.75480114535</v>
      </c>
      <c r="C517" s="41">
        <f>k_eff_CO2*B517</f>
        <v>0.10785765781</v>
      </c>
      <c r="D517" s="41">
        <f>EXP(-C517)</f>
        <v>0.897755375803</v>
      </c>
      <c r="E517" s="41">
        <f>IF(C517&gt;0,(1-D517)/C517,1)</f>
        <v>0.947958877225</v>
      </c>
      <c r="F517" s="41">
        <f>IF(C517&gt;0,(C517-1+D517)/C517^2,1/2)</f>
        <v>0.48249817242</v>
      </c>
      <c r="G517" s="41">
        <f>(C_air_CO2/C_sat_CO2*F_vent_ex-CO2_fix_sched)*(B517/3600)/(V_L_CO2+Vg_CO2)</f>
        <v>-1.425260912472</v>
      </c>
      <c r="H517" s="41">
        <f>(G517*E517+pool_b*D517)/(1-pool_ret*D517)</f>
        <v>5.285511551942</v>
      </c>
      <c r="I517" s="41">
        <f>MIN(C_sat_CO2,MAX(C_air_CO2,(pool_ret*H517+pool_b)*E517+G517*F517))</f>
        <v>6.320040735058</v>
      </c>
      <c r="J517" s="41">
        <f>IF(AND(I517&gt;=CO2_pH_hi_mt,I518&lt;CO2_pH_hi_mt),EXP(LN(A517)+(LN(A518)-LN(A517))*(I517-CO2_pH_hi_mt)/(I517-I518)),0)</f>
        <v>0.0</v>
      </c>
      <c r="L517" s="41">
        <f>k_eff_CO2_l*B517</f>
        <v>0.540597574309</v>
      </c>
      <c r="M517" s="41">
        <f>EXP(-L517)</f>
        <v>0.582400121018</v>
      </c>
      <c r="N517" s="41">
        <f>IF(L517&gt;0,(1-M517)/L517,1)</f>
        <v>0.772478270027</v>
      </c>
      <c r="O517" s="41">
        <f>IF(L517&gt;0,(L517-1+M517)/L517^2,1/2)</f>
        <v>0.420870793333</v>
      </c>
      <c r="P517" s="41">
        <f>(C_air_CO2/C_sat_CO2*F_vent_ex-CO2_fix_l)*(B517/3600)/(V_L_CO2+Vg_CO2)</f>
        <v>0.001246709047</v>
      </c>
      <c r="Q517" s="41">
        <f>(P517*N517+pool_b*M517)/(1-pool_ret*M517)</f>
        <v>3.208705032252</v>
      </c>
      <c r="R517" s="41">
        <f>MIN(C_sat_CO2,MAX(C_air_CO2,(pool_ret*Q517+pool_b)*N517+P517*O517))</f>
        <v>4.25517864898</v>
      </c>
      <c r="S517" s="41">
        <f>IF(AND(R517&gt;=CO2_pH_hi_mt,R518&lt;CO2_pH_hi_mt),EXP(LN(A517)+(LN(A518)-LN(A517))*(R517-CO2_pH_hi_mt)/(R517-R518)),0)</f>
        <v>0.0</v>
      </c>
    </row>
    <row r="518">
      <c r="A518" s="41">
        <f>A517*grid_ratio</f>
        <v>138.671545145724</v>
      </c>
      <c r="B518" s="41">
        <f>MAX(0,A518*60-spg_dur)</f>
        <v>8319.642708743411</v>
      </c>
      <c r="C518" s="41">
        <f>k_eff_CO2*B518</f>
        <v>0.120808669699</v>
      </c>
      <c r="D518" s="41">
        <f>EXP(-C518)</f>
        <v>0.886203500956</v>
      </c>
      <c r="E518" s="41">
        <f>IF(C518&gt;0,(1-D518)/C518,1)</f>
        <v>0.941956395413</v>
      </c>
      <c r="F518" s="41">
        <f>IF(C518&gt;0,(C518-1+D518)/C518^2,1/2)</f>
        <v>0.480458933387</v>
      </c>
      <c r="G518" s="41">
        <f>(C_air_CO2/C_sat_CO2*F_vent_ex-CO2_fix_sched)*(B518/3600)/(V_L_CO2+Vg_CO2)</f>
        <v>-1.59639916448</v>
      </c>
      <c r="H518" s="41">
        <f>(G518*E518+pool_b*D518)/(1-pool_ret*D518)</f>
        <v>4.069730298742</v>
      </c>
      <c r="I518" s="41">
        <f>MIN(C_sat_CO2,MAX(C_air_CO2,(pool_ret*H518+pool_b)*E518+G518*F518))</f>
        <v>5.157102900591</v>
      </c>
      <c r="J518" s="41">
        <f>IF(AND(I518&gt;=CO2_pH_hi_mt,I519&lt;CO2_pH_hi_mt),EXP(LN(A518)+(LN(A519)-LN(A518))*(I518-CO2_pH_hi_mt)/(I518-I519)),0)</f>
        <v>0.0</v>
      </c>
      <c r="L518" s="41">
        <f>k_eff_CO2_l*B518</f>
        <v>0.605509846228</v>
      </c>
      <c r="M518" s="41">
        <f>EXP(-L518)</f>
        <v>0.545796083615</v>
      </c>
      <c r="N518" s="41">
        <f>IF(L518&gt;0,(1-M518)/L518,1)</f>
        <v>0.750118134683</v>
      </c>
      <c r="O518" s="41">
        <f>IF(L518&gt;0,(L518-1+M518)/L518^2,1/2)</f>
        <v>0.412680102353</v>
      </c>
      <c r="P518" s="41">
        <f>(C_air_CO2/C_sat_CO2*F_vent_ex-CO2_fix_l)*(B518/3600)/(V_L_CO2+Vg_CO2)</f>
        <v>0.001396407678</v>
      </c>
      <c r="Q518" s="41">
        <f>(P518*N518+pool_b*M518)/(1-pool_ret*M518)</f>
        <v>2.809417032271</v>
      </c>
      <c r="R518" s="41">
        <f>MIN(C_sat_CO2,MAX(C_air_CO2,(pool_ret*Q518+pool_b)*N518+P518*O518))</f>
        <v>3.860275890547</v>
      </c>
      <c r="S518" s="41">
        <f>IF(AND(R518&gt;=CO2_pH_hi_mt,R519&lt;CO2_pH_hi_mt),EXP(LN(A518)+(LN(A519)-LN(A518))*(R518-CO2_pH_hi_mt)/(R518-R519)),0)</f>
        <v>0.0</v>
      </c>
    </row>
    <row r="519">
      <c r="A519" s="41">
        <f>A518*grid_ratio</f>
        <v>155.321078599304</v>
      </c>
      <c r="B519" s="41">
        <f>MAX(0,A519*60-spg_dur)</f>
        <v>9318.614715958256</v>
      </c>
      <c r="C519" s="41">
        <f>k_eff_CO2*B519</f>
        <v>0.135314638703</v>
      </c>
      <c r="D519" s="41">
        <f>EXP(-C519)</f>
        <v>0.87344105009</v>
      </c>
      <c r="E519" s="41">
        <f>IF(C519&gt;0,(1-D519)/C519,1)</f>
        <v>0.935293853813</v>
      </c>
      <c r="F519" s="41">
        <f>IF(C519&gt;0,(C519-1+D519)/C519^2,1/2)</f>
        <v>0.478190288995</v>
      </c>
      <c r="G519" s="41">
        <f>(C_air_CO2/C_sat_CO2*F_vent_ex-CO2_fix_sched)*(B519/3600)/(V_L_CO2+Vg_CO2)</f>
        <v>-1.788085049738</v>
      </c>
      <c r="H519" s="41">
        <f>(G519*E519+pool_b*D519)/(1-pool_ret*D519)</f>
        <v>2.869453305677</v>
      </c>
      <c r="I519" s="41">
        <f>MIN(C_sat_CO2,MAX(C_air_CO2,(pool_ret*H519+pool_b)*E519+G519*F519))</f>
        <v>4.008424026644</v>
      </c>
      <c r="J519" s="41">
        <f>IF(AND(I519&gt;=CO2_pH_hi_mt,I520&lt;CO2_pH_hi_mt),EXP(LN(A519)+(LN(A520)-LN(A519))*(I519-CO2_pH_hi_mt)/(I519-I520)),0)</f>
        <v>0.0</v>
      </c>
      <c r="L519" s="41">
        <f>k_eff_CO2_l*B519</f>
        <v>0.678215779361</v>
      </c>
      <c r="M519" s="41">
        <f>EXP(-L519)</f>
        <v>0.507521715732</v>
      </c>
      <c r="N519" s="41">
        <f>IF(L519&gt;0,(1-M519)/L519,1)</f>
        <v>0.726138051125</v>
      </c>
      <c r="O519" s="41">
        <f>IF(L519&gt;0,(L519-1+M519)/L519^2,1/2)</f>
        <v>0.403797666184</v>
      </c>
      <c r="P519" s="41">
        <f>(C_air_CO2/C_sat_CO2*F_vent_ex-CO2_fix_l)*(B519/3600)/(V_L_CO2+Vg_CO2)</f>
        <v>0.001564079804</v>
      </c>
      <c r="Q519" s="41">
        <f>(P519*N519+pool_b*M519)/(1-pool_ret*M519)</f>
        <v>2.444499582179</v>
      </c>
      <c r="R519" s="41">
        <f>MIN(C_sat_CO2,MAX(C_air_CO2,(pool_ret*Q519+pool_b)*N519+P519*O519))</f>
        <v>3.49648092187</v>
      </c>
      <c r="S519" s="41">
        <f>IF(AND(R519&gt;=CO2_pH_hi_mt,R520&lt;CO2_pH_hi_mt),EXP(LN(A519)+(LN(A520)-LN(A519))*(R519-CO2_pH_hi_mt)/(R519-R520)),0)</f>
        <v>0.0</v>
      </c>
    </row>
    <row r="520">
      <c r="A520" s="41">
        <f>A519*grid_ratio</f>
        <v>173.969630409034</v>
      </c>
      <c r="B520" s="41">
        <f>MAX(0,A520*60-spg_dur)</f>
        <v>10437.52782454</v>
      </c>
      <c r="C520" s="41">
        <f>k_eff_CO2*B520</f>
        <v>0.151562260012</v>
      </c>
      <c r="D520" s="41">
        <f>EXP(-C520)</f>
        <v>0.859364376571</v>
      </c>
      <c r="E520" s="41">
        <f>IF(C520&gt;0,(1-D520)/C520,1)</f>
        <v>0.927906613546</v>
      </c>
      <c r="F520" s="41">
        <f>IF(C520&gt;0,(C520-1+D520)/C520^2,1/2)</f>
        <v>0.475668457626</v>
      </c>
      <c r="G520" s="41">
        <f>(C_air_CO2/C_sat_CO2*F_vent_ex-CO2_fix_sched)*(B520/3600)/(V_L_CO2+Vg_CO2)</f>
        <v>-2.00278561011</v>
      </c>
      <c r="H520" s="41">
        <f>(G520*E520+pool_b*D520)/(1-pool_ret*D520)</f>
        <v>1.692038689563</v>
      </c>
      <c r="I520" s="41">
        <f>MIN(C_sat_CO2,MAX(C_air_CO2,(pool_ret*H520+pool_b)*E520+G520*F520))</f>
        <v>2.88095484167</v>
      </c>
      <c r="J520" s="41">
        <f>IF(AND(I520&gt;=CO2_pH_hi_mt,I521&lt;CO2_pH_hi_mt),EXP(LN(A520)+(LN(A521)-LN(A520))*(I520-CO2_pH_hi_mt)/(I520-I521)),0)</f>
        <v>0.0</v>
      </c>
      <c r="L520" s="41">
        <f>k_eff_CO2_l*B520</f>
        <v>0.759651115954</v>
      </c>
      <c r="M520" s="41">
        <f>EXP(-L520)</f>
        <v>0.46782961683</v>
      </c>
      <c r="N520" s="41">
        <f>IF(L520&gt;0,(1-M520)/L520,1)</f>
        <v>0.700545779494</v>
      </c>
      <c r="O520" s="41">
        <f>IF(L520&gt;0,(L520-1+M520)/L520^2,1/2)</f>
        <v>0.394199671688</v>
      </c>
      <c r="P520" s="41">
        <f>(C_air_CO2/C_sat_CO2*F_vent_ex-CO2_fix_l)*(B520/3600)/(V_L_CO2+Vg_CO2)</f>
        <v>0.001751883404</v>
      </c>
      <c r="Q520" s="41">
        <f>(P520*N520+pool_b*M520)/(1-pool_ret*M520)</f>
        <v>2.112593375686</v>
      </c>
      <c r="R520" s="41">
        <f>MIN(C_sat_CO2,MAX(C_air_CO2,(pool_ret*Q520+pool_b)*N520+P520*O520))</f>
        <v>3.162330124552</v>
      </c>
      <c r="S520" s="41">
        <f>IF(AND(R520&gt;=CO2_pH_hi_mt,R521&lt;CO2_pH_hi_mt),EXP(LN(A520)+(LN(A521)-LN(A520))*(R520-CO2_pH_hi_mt)/(R520-R521)),0)</f>
        <v>0.0</v>
      </c>
    </row>
    <row r="521">
      <c r="A521" s="41">
        <f>A520*grid_ratio</f>
        <v>194.857211767982</v>
      </c>
      <c r="B521" s="41">
        <f>MAX(0,A521*60-spg_dur)</f>
        <v>11690.78270608</v>
      </c>
      <c r="C521" s="41">
        <f>k_eff_CO2*B521</f>
        <v>0.169760644286</v>
      </c>
      <c r="D521" s="41">
        <f>EXP(-C521)</f>
        <v>0.84386677676</v>
      </c>
      <c r="E521" s="41">
        <f>IF(C521&gt;0,(1-D521)/C521,1)</f>
        <v>0.919725675504</v>
      </c>
      <c r="F521" s="41">
        <f>IF(C521&gt;0,(C521-1+D521)/C521^2,1/2)</f>
        <v>0.472867694595</v>
      </c>
      <c r="G521" s="41">
        <f>(C_air_CO2/C_sat_CO2*F_vent_ex-CO2_fix_sched)*(B521/3600)/(V_L_CO2+Vg_CO2)</f>
        <v>-2.243264091676</v>
      </c>
      <c r="H521" s="41">
        <f>(G521*E521+pool_b*D521)/(1-pool_ret*D521)</f>
        <v>0.544306709581</v>
      </c>
      <c r="I521" s="41">
        <f>MIN(C_sat_CO2,MAX(C_air_CO2,(pool_ret*H521+pool_b)*E521+G521*F521))</f>
        <v>1.781126310687</v>
      </c>
      <c r="J521" s="41">
        <f>IF(AND(I521&gt;=CO2_pH_hi_mt,I522&lt;CO2_pH_hi_mt),EXP(LN(A521)+(LN(A522)-LN(A521))*(I521-CO2_pH_hi_mt)/(I521-I522)),0)</f>
        <v>212.486056390007</v>
      </c>
      <c r="L521" s="41">
        <f>k_eff_CO2_l*B521</f>
        <v>0.850863947703</v>
      </c>
      <c r="M521" s="41">
        <f>EXP(-L521)</f>
        <v>0.427045827266</v>
      </c>
      <c r="N521" s="41">
        <f>IF(L521&gt;0,(1-M521)/L521,1)</f>
        <v>0.673379303801</v>
      </c>
      <c r="O521" s="41">
        <f>IF(L521&gt;0,(L521-1+M521)/L521^2,1/2)</f>
        <v>0.383869474175</v>
      </c>
      <c r="P521" s="41">
        <f>(C_air_CO2/C_sat_CO2*F_vent_ex-CO2_fix_l)*(B521/3600)/(V_L_CO2+Vg_CO2)</f>
        <v>0.001962235555</v>
      </c>
      <c r="Q521" s="41">
        <f>(P521*N521+pool_b*M521)/(1-pool_ret*M521)</f>
        <v>1.812222704435</v>
      </c>
      <c r="R521" s="41">
        <f>MIN(C_sat_CO2,MAX(C_air_CO2,(pool_ret*Q521+pool_b)*N521+P521*O521))</f>
        <v>2.856239538437</v>
      </c>
      <c r="S521" s="41">
        <f>IF(AND(R521&gt;=CO2_pH_hi_mt,R522&lt;CO2_pH_hi_mt),EXP(LN(A521)+(LN(A522)-LN(A521))*(R521-CO2_pH_hi_mt)/(R521-R522)),0)</f>
        <v>0.0</v>
      </c>
    </row>
    <row r="522">
      <c r="A522" s="41">
        <f>A521*grid_ratio</f>
        <v>218.252650699547</v>
      </c>
      <c r="B522" s="41">
        <f>MAX(0,A522*60-spg_dur)</f>
        <v>13094.50904197</v>
      </c>
      <c r="C522" s="41">
        <f>k_eff_CO2*B522</f>
        <v>0.190144008956</v>
      </c>
      <c r="D522" s="41">
        <f>EXP(-C522)</f>
        <v>0.826840052996</v>
      </c>
      <c r="E522" s="41">
        <f>IF(C522&gt;0,(1-D522)/C522,1)</f>
        <v>0.910677901209</v>
      </c>
      <c r="F522" s="41">
        <f>IF(C522&gt;0,(C522-1+D522)/C522^2,1/2)</f>
        <v>0.469760258453</v>
      </c>
      <c r="G522" s="41">
        <f>(C_air_CO2/C_sat_CO2*F_vent_ex-CO2_fix_sched)*(B522/3600)/(V_L_CO2+Vg_CO2)</f>
        <v>-2.512615508345</v>
      </c>
      <c r="H522" s="41">
        <f>(G522*E522+pool_b*D522)/(1-pool_ret*D522)</f>
        <v>-0.567601718558</v>
      </c>
      <c r="I522" s="41">
        <f>MIN(C_sat_CO2,MAX(C_air_CO2,(pool_ret*H522+pool_b)*E522+G522*F522))</f>
        <v>0.714714004445</v>
      </c>
      <c r="J522" s="41">
        <f>IF(AND(I522&gt;=CO2_pH_hi_mt,I523&lt;CO2_pH_hi_mt),EXP(LN(A522)+(LN(A523)-LN(A522))*(I522-CO2_pH_hi_mt)/(I522-I523)),0)</f>
        <v>0.0</v>
      </c>
      <c r="L522" s="41">
        <f>k_eff_CO2_l*B522</f>
        <v>0.953028204938</v>
      </c>
      <c r="M522" s="41">
        <f>EXP(-L522)</f>
        <v>0.385571663802</v>
      </c>
      <c r="N522" s="41">
        <f>IF(L522&gt;0,(1-M522)/L522,1)</f>
        <v>0.644711597217</v>
      </c>
      <c r="O522" s="41">
        <f>IF(L522&gt;0,(L522-1+M522)/L522^2,1/2)</f>
        <v>0.372799462746</v>
      </c>
      <c r="P522" s="41">
        <f>(C_air_CO2/C_sat_CO2*F_vent_ex-CO2_fix_l)*(B522/3600)/(V_L_CO2+Vg_CO2)</f>
        <v>0.002197843538</v>
      </c>
      <c r="Q522" s="41">
        <f>(P522*N522+pool_b*M522)/(1-pool_ret*M522)</f>
        <v>1.541840556721</v>
      </c>
      <c r="R522" s="41">
        <f>MIN(C_sat_CO2,MAX(C_air_CO2,(pool_ret*Q522+pool_b)*N522+P522*O522))</f>
        <v>2.576550511661</v>
      </c>
      <c r="S522" s="41">
        <f>IF(AND(R522&gt;=CO2_pH_hi_mt,R523&lt;CO2_pH_hi_mt),EXP(LN(A522)+(LN(A523)-LN(A522))*(R522-CO2_pH_hi_mt)/(R522-R523)),0)</f>
        <v>0.0</v>
      </c>
    </row>
    <row r="523">
      <c r="A523" s="41">
        <f>A522*grid_ratio</f>
        <v>244.457051936558</v>
      </c>
      <c r="B523" s="41">
        <f>MAX(0,A523*60-spg_dur)</f>
        <v>14666.77311619</v>
      </c>
      <c r="C523" s="41">
        <f>k_eff_CO2*B523</f>
        <v>0.212974692661</v>
      </c>
      <c r="D523" s="41">
        <f>EXP(-C523)</f>
        <v>0.808176589756</v>
      </c>
      <c r="E523" s="41">
        <f>IF(C523&gt;0,(1-D523)/C523,1)</f>
        <v>0.900686404787</v>
      </c>
      <c r="F523" s="41">
        <f>IF(C523&gt;0,(C523-1+D523)/C523^2,1/2)</f>
        <v>0.466316415216</v>
      </c>
      <c r="G523" s="41">
        <f>(C_air_CO2/C_sat_CO2*F_vent_ex-CO2_fix_sched)*(B523/3600)/(V_L_CO2+Vg_CO2)</f>
        <v>-2.814306475409</v>
      </c>
      <c r="H523" s="41">
        <f>(G523*E523+pool_b*D523)/(1-pool_ret*D523)</f>
        <v>-1.638332962118</v>
      </c>
      <c r="I523" s="41">
        <f>MIN(C_sat_CO2,MAX(C_air_CO2,(pool_ret*H523+pool_b)*E523+G523*F523))</f>
        <v>0.011558836641</v>
      </c>
      <c r="J523" s="41">
        <f>IF(AND(I523&gt;=CO2_pH_hi_mt,I524&lt;CO2_pH_hi_mt),EXP(LN(A523)+(LN(A524)-LN(A523))*(I523-CO2_pH_hi_mt)/(I523-I524)),0)</f>
        <v>0.0</v>
      </c>
      <c r="L523" s="41">
        <f>k_eff_CO2_l*B523</f>
        <v>1.067458765376</v>
      </c>
      <c r="M523" s="41">
        <f>EXP(-L523)</f>
        <v>0.343881291031</v>
      </c>
      <c r="N523" s="41">
        <f>IF(L523&gt;0,(1-M523)/L523,1)</f>
        <v>0.614654851551</v>
      </c>
      <c r="O523" s="41">
        <f>IF(L523&gt;0,(L523-1+M523)/L523^2,1/2)</f>
        <v>0.360993005958</v>
      </c>
      <c r="P523" s="41">
        <f>(C_air_CO2/C_sat_CO2*F_vent_ex-CO2_fix_l)*(B523/3600)/(V_L_CO2+Vg_CO2)</f>
        <v>0.002461739681</v>
      </c>
      <c r="Q523" s="41">
        <f>(P523*N523+pool_b*M523)/(1-pool_ret*M523)</f>
        <v>1.299865421143</v>
      </c>
      <c r="R523" s="41">
        <f>MIN(C_sat_CO2,MAX(C_air_CO2,(pool_ret*Q523+pool_b)*N523+P523*O523))</f>
        <v>2.321568979937</v>
      </c>
      <c r="S523" s="41">
        <f>IF(AND(R523&gt;=CO2_pH_hi_mt,R524&lt;CO2_pH_hi_mt),EXP(LN(A523)+(LN(A524)-LN(A523))*(R523-CO2_pH_hi_mt)/(R523-R524)),0)</f>
        <v>0.0</v>
      </c>
    </row>
    <row r="524">
      <c r="A524" s="41">
        <f>A523*grid_ratio</f>
        <v>273.807672209119</v>
      </c>
      <c r="B524" s="41">
        <f>MAX(0,A524*60-spg_dur)</f>
        <v>16427.81033255</v>
      </c>
      <c r="C524" s="41">
        <f>k_eff_CO2*B524</f>
        <v>0.238546531603</v>
      </c>
      <c r="D524" s="41">
        <f>EXP(-C524)</f>
        <v>0.787772031109</v>
      </c>
      <c r="E524" s="41">
        <f>IF(C524&gt;0,(1-D524)/C524,1)</f>
        <v>0.88967115751</v>
      </c>
      <c r="F524" s="41">
        <f>IF(C524&gt;0,(C524-1+D524)/C524^2,1/2)</f>
        <v>0.462504492306</v>
      </c>
      <c r="G524" s="41">
        <f>(C_air_CO2/C_sat_CO2*F_vent_ex-CO2_fix_sched)*(B524/3600)/(V_L_CO2+Vg_CO2)</f>
        <v>-3.152219825684</v>
      </c>
      <c r="H524" s="41">
        <f>(G524*E524+pool_b*D524)/(1-pool_ret*D524)</f>
        <v>-2.663392070583</v>
      </c>
      <c r="I524" s="41">
        <f>MIN(C_sat_CO2,MAX(C_air_CO2,(pool_ret*H524+pool_b)*E524+G524*F524))</f>
        <v>0.011558836641</v>
      </c>
      <c r="J524" s="41">
        <f>IF(AND(I524&gt;=CO2_pH_hi_mt,I525&lt;CO2_pH_hi_mt),EXP(LN(A524)+(LN(A525)-LN(A524))*(I524-CO2_pH_hi_mt)/(I524-I525)),0)</f>
        <v>0.0</v>
      </c>
      <c r="L524" s="41">
        <f>k_eff_CO2_l*B524</f>
        <v>1.19562837691</v>
      </c>
      <c r="M524" s="41">
        <f>EXP(-L524)</f>
        <v>0.302513801757</v>
      </c>
      <c r="N524" s="41">
        <f>IF(L524&gt;0,(1-M524)/L524,1)</f>
        <v>0.583363703734</v>
      </c>
      <c r="O524" s="41">
        <f>IF(L524&gt;0,(L524-1+M524)/L524^2,1/2)</f>
        <v>0.348466383295</v>
      </c>
      <c r="P524" s="41">
        <f>(C_air_CO2/C_sat_CO2*F_vent_ex-CO2_fix_l)*(B524/3600)/(V_L_CO2+Vg_CO2)</f>
        <v>0.00275732039</v>
      </c>
      <c r="Q524" s="41">
        <f>(P524*N524+pool_b*M524)/(1-pool_ret*M524)</f>
        <v>1.084709307322</v>
      </c>
      <c r="R524" s="41">
        <f>MIN(C_sat_CO2,MAX(C_air_CO2,(pool_ret*Q524+pool_b)*N524+P524*O524))</f>
        <v>2.089598385765</v>
      </c>
      <c r="S524" s="41">
        <f>IF(AND(R524&gt;=CO2_pH_hi_mt,R525&lt;CO2_pH_hi_mt),EXP(LN(A524)+(LN(A525)-LN(A524))*(R524-CO2_pH_hi_mt)/(R524-R525)),0)</f>
        <v>0.0</v>
      </c>
    </row>
    <row r="525">
      <c r="A525" s="41">
        <f>A524*grid_ratio</f>
        <v>306.682260817057</v>
      </c>
      <c r="B525" s="41">
        <f>MAX(0,A525*60-spg_dur)</f>
        <v>18400.28564902</v>
      </c>
      <c r="C525" s="41">
        <f>k_eff_CO2*B525</f>
        <v>0.267188641287</v>
      </c>
      <c r="D525" s="41">
        <f>EXP(-C525)</f>
        <v>0.765528647534</v>
      </c>
      <c r="E525" s="41">
        <f>IF(C525&gt;0,(1-D525)/C525,1)</f>
        <v>0.877549851432</v>
      </c>
      <c r="F525" s="41">
        <f>IF(C525&gt;0,(C525-1+D525)/C525^2,1/2)</f>
        <v>0.458290996123</v>
      </c>
      <c r="G525" s="41">
        <f>(C_air_CO2/C_sat_CO2*F_vent_ex-CO2_fix_sched)*(B525/3600)/(V_L_CO2+Vg_CO2)</f>
        <v>-3.530704582472</v>
      </c>
      <c r="H525" s="41">
        <f>(G525*E525+pool_b*D525)/(1-pool_ret*D525)</f>
        <v>-3.639177332218</v>
      </c>
      <c r="I525" s="41">
        <f>MIN(C_sat_CO2,MAX(C_air_CO2,(pool_ret*H525+pool_b)*E525+G525*F525))</f>
        <v>0.011558836641</v>
      </c>
      <c r="J525" s="41">
        <f>IF(AND(I525&gt;=CO2_pH_hi_mt,I526&lt;CO2_pH_hi_mt),EXP(LN(A525)+(LN(A526)-LN(A525))*(I525-CO2_pH_hi_mt)/(I525-I526)),0)</f>
        <v>0.0</v>
      </c>
      <c r="L525" s="41">
        <f>k_eff_CO2_l*B525</f>
        <v>1.339186612206</v>
      </c>
      <c r="M525" s="41">
        <f>EXP(-L525)</f>
        <v>0.262058737293</v>
      </c>
      <c r="N525" s="41">
        <f>IF(L525&gt;0,(1-M525)/L525,1)</f>
        <v>0.55103691747</v>
      </c>
      <c r="O525" s="41">
        <f>IF(L525&gt;0,(L525-1+M525)/L525^2,1/2)</f>
        <v>0.335250575564</v>
      </c>
      <c r="P525" s="41">
        <f>(C_air_CO2/C_sat_CO2*F_vent_ex-CO2_fix_l)*(B525/3600)/(V_L_CO2+Vg_CO2)</f>
        <v>0.003088389857</v>
      </c>
      <c r="Q525" s="41">
        <f>(P525*N525+pool_b*M525)/(1-pool_ret*M525)</f>
        <v>0.894796717084</v>
      </c>
      <c r="R525" s="41">
        <f>MIN(C_sat_CO2,MAX(C_air_CO2,(pool_ret*Q525+pool_b)*N525+P525*O525))</f>
        <v>1.878966515222</v>
      </c>
      <c r="S525" s="41">
        <f>IF(AND(R525&gt;=CO2_pH_hi_mt,R526&lt;CO2_pH_hi_mt),EXP(LN(A525)+(LN(A526)-LN(A525))*(R525-CO2_pH_hi_mt)/(R525-R526)),0)</f>
        <v>0.0</v>
      </c>
    </row>
    <row r="526">
      <c r="A526" s="41">
        <f>A525*grid_ratio</f>
        <v>343.503921351145</v>
      </c>
      <c r="B526" s="41">
        <f>MAX(0,A526*60-spg_dur)</f>
        <v>20609.58528107</v>
      </c>
      <c r="C526" s="41">
        <f>k_eff_CO2*B526</f>
        <v>0.299269652318</v>
      </c>
      <c r="D526" s="41">
        <f>EXP(-C526)</f>
        <v>0.741359473179</v>
      </c>
      <c r="E526" s="41">
        <f>IF(C526&gt;0,(1-D526)/C526,1)</f>
        <v>0.864239072748</v>
      </c>
      <c r="F526" s="41">
        <f>IF(C526&gt;0,(C526-1+D526)/C526^2,1/2)</f>
        <v>0.453640809219</v>
      </c>
      <c r="G526" s="41">
        <f>(C_air_CO2/C_sat_CO2*F_vent_ex-CO2_fix_sched)*(B526/3600)/(V_L_CO2+Vg_CO2)</f>
        <v>-3.954631932498</v>
      </c>
      <c r="H526" s="41">
        <f>(G526*E526+pool_b*D526)/(1-pool_ret*D526)</f>
        <v>-4.56298010098</v>
      </c>
      <c r="I526" s="41">
        <f>MIN(C_sat_CO2,MAX(C_air_CO2,(pool_ret*H526+pool_b)*E526+G526*F526))</f>
        <v>0.011558836641</v>
      </c>
      <c r="J526" s="41">
        <f>IF(AND(I526&gt;=CO2_pH_hi_mt,I527&lt;CO2_pH_hi_mt),EXP(LN(A526)+(LN(A527)-LN(A526))*(I526-CO2_pH_hi_mt)/(I526-I527)),0)</f>
        <v>0.0</v>
      </c>
      <c r="L526" s="41">
        <f>k_eff_CO2_l*B526</f>
        <v>1.499981099098</v>
      </c>
      <c r="M526" s="41">
        <f>EXP(-L526)</f>
        <v>0.22313437755</v>
      </c>
      <c r="N526" s="41">
        <f>IF(L526&gt;0,(1-M526)/L526,1)</f>
        <v>0.517916941032</v>
      </c>
      <c r="O526" s="41">
        <f>IF(L526&gt;0,(L526-1+M526)/L526^2,1/2)</f>
        <v>0.321392755721</v>
      </c>
      <c r="P526" s="41">
        <f>(C_air_CO2/C_sat_CO2*F_vent_ex-CO2_fix_l)*(B526/3600)/(V_L_CO2+Vg_CO2)</f>
        <v>0.003459209023</v>
      </c>
      <c r="Q526" s="41">
        <f>(P526*N526+pool_b*M526)/(1-pool_ret*M526)</f>
        <v>0.728574487869</v>
      </c>
      <c r="R526" s="41">
        <f>MIN(C_sat_CO2,MAX(C_air_CO2,(pool_ret*Q526+pool_b)*N526+P526*O526))</f>
        <v>1.688046709667</v>
      </c>
      <c r="S526" s="41">
        <f>IF(AND(R526&gt;=CO2_pH_hi_mt,R527&lt;CO2_pH_hi_mt),EXP(LN(A526)+(LN(A527)-LN(A526))*(R526-CO2_pH_hi_mt)/(R526-R527)),0)</f>
        <v>0.0</v>
      </c>
    </row>
    <row r="527">
      <c r="A527" s="41">
        <f>A526*grid_ratio</f>
        <v>384.746557134586</v>
      </c>
      <c r="B527" s="41">
        <f>MAX(0,A527*60-spg_dur)</f>
        <v>23084.14342808</v>
      </c>
      <c r="C527" s="41">
        <f>k_eff_CO2*B527</f>
        <v>0.335202454759</v>
      </c>
      <c r="D527" s="41">
        <f>EXP(-C527)</f>
        <v>0.715193277412</v>
      </c>
      <c r="E527" s="41">
        <f>IF(C527&gt;0,(1-D527)/C527,1)</f>
        <v>0.849655837971</v>
      </c>
      <c r="F527" s="41">
        <f>IF(C527&gt;0,(C527-1+D527)/C527^2,1/2)</f>
        <v>0.448517485163</v>
      </c>
      <c r="G527" s="41">
        <f>(C_air_CO2/C_sat_CO2*F_vent_ex-CO2_fix_sched)*(B527/3600)/(V_L_CO2+Vg_CO2)</f>
        <v>-4.429457919218</v>
      </c>
      <c r="H527" s="41">
        <f>(G527*E527+pool_b*D527)/(1-pool_ret*D527)</f>
        <v>-5.432953939697</v>
      </c>
      <c r="I527" s="41">
        <f>MIN(C_sat_CO2,MAX(C_air_CO2,(pool_ret*H527+pool_b)*E527+G527*F527))</f>
        <v>0.011558836641</v>
      </c>
      <c r="J527" s="41">
        <f>IF(AND(I527&gt;=CO2_pH_hi_mt,I528&lt;CO2_pH_hi_mt),EXP(LN(A527)+(LN(A528)-LN(A527))*(I527-CO2_pH_hi_mt)/(I527-I528)),0)</f>
        <v>0.0</v>
      </c>
      <c r="L527" s="41">
        <f>k_eff_CO2_l*B527</f>
        <v>1.680081299976</v>
      </c>
      <c r="M527" s="41">
        <f>EXP(-L527)</f>
        <v>0.186358824456</v>
      </c>
      <c r="N527" s="41">
        <f>IF(L527&gt;0,(1-M527)/L527,1)</f>
        <v>0.484286787524</v>
      </c>
      <c r="O527" s="41">
        <f>IF(L527&gt;0,(L527-1+M527)/L527^2,1/2)</f>
        <v>0.306957295747</v>
      </c>
      <c r="P527" s="41">
        <f>(C_air_CO2/C_sat_CO2*F_vent_ex-CO2_fix_l)*(B527/3600)/(V_L_CO2+Vg_CO2)</f>
        <v>0.003874550416</v>
      </c>
      <c r="Q527" s="41">
        <f>(P527*N527+pool_b*M527)/(1-pool_ret*M527)</f>
        <v>0.584512655602</v>
      </c>
      <c r="R527" s="41">
        <f>MIN(C_sat_CO2,MAX(C_air_CO2,(pool_ret*Q527+pool_b)*N527+P527*O527))</f>
        <v>1.515274015154</v>
      </c>
      <c r="S527" s="41">
        <f>IF(AND(R527&gt;=CO2_pH_hi_mt,R528&lt;CO2_pH_hi_mt),EXP(LN(A527)+(LN(A528)-LN(A527))*(R527-CO2_pH_hi_mt)/(R527-R528)),0)</f>
        <v>0.0</v>
      </c>
    </row>
    <row r="528">
      <c r="A528" s="41">
        <f>A527*grid_ratio</f>
        <v>430.940970468848</v>
      </c>
      <c r="B528" s="41">
        <f>MAX(0,A528*60-spg_dur)</f>
        <v>25855.80822813</v>
      </c>
      <c r="C528" s="41">
        <f>k_eff_CO2*B528</f>
        <v>0.375449512123</v>
      </c>
      <c r="D528" s="41">
        <f>EXP(-C528)</f>
        <v>0.686980403355</v>
      </c>
      <c r="E528" s="41">
        <f>IF(C528&gt;0,(1-D528)/C528,1)</f>
        <v>0.833719545606</v>
      </c>
      <c r="F528" s="41">
        <f>IF(C528&gt;0,(C528-1+D528)/C528^2,1/2)</f>
        <v>0.442883660853</v>
      </c>
      <c r="G528" s="41">
        <f>(C_air_CO2/C_sat_CO2*F_vent_ex-CO2_fix_sched)*(B528/3600)/(V_L_CO2+Vg_CO2)</f>
        <v>-4.961293663363</v>
      </c>
      <c r="H528" s="41">
        <f>(G528*E528+pool_b*D528)/(1-pool_ret*D528)</f>
        <v>-6.248058460054</v>
      </c>
      <c r="I528" s="41">
        <f>MIN(C_sat_CO2,MAX(C_air_CO2,(pool_ret*H528+pool_b)*E528+G528*F528))</f>
        <v>0.011558836641</v>
      </c>
      <c r="J528" s="41">
        <f>IF(AND(I528&gt;=CO2_pH_hi_mt,I529&lt;CO2_pH_hi_mt),EXP(LN(A528)+(LN(A529)-LN(A528))*(I528-CO2_pH_hi_mt)/(I528-I529)),0)</f>
        <v>0.0</v>
      </c>
      <c r="L528" s="41">
        <f>k_eff_CO2_l*B528</f>
        <v>1.881805146255</v>
      </c>
      <c r="M528" s="41">
        <f>EXP(-L528)</f>
        <v>0.152314906761</v>
      </c>
      <c r="N528" s="41">
        <f>IF(L528&gt;0,(1-M528)/L528,1)</f>
        <v>0.450463797979</v>
      </c>
      <c r="O528" s="41">
        <f>IF(L528&gt;0,(L528-1+M528)/L528^2,1/2)</f>
        <v>0.292026091604</v>
      </c>
      <c r="P528" s="41">
        <f>(C_air_CO2/C_sat_CO2*F_vent_ex-CO2_fix_l)*(B528/3600)/(V_L_CO2+Vg_CO2)</f>
        <v>0.004339759578</v>
      </c>
      <c r="Q528" s="41">
        <f>(P528*N528+pool_b*M528)/(1-pool_ret*M528)</f>
        <v>0.461096842072</v>
      </c>
      <c r="R528" s="41">
        <f>MIN(C_sat_CO2,MAX(C_air_CO2,(pool_ret*Q528+pool_b)*N528+P528*O528))</f>
        <v>1.359156878109</v>
      </c>
      <c r="S528" s="41">
        <f>IF(AND(R528&gt;=CO2_pH_hi_mt,R529&lt;CO2_pH_hi_mt),EXP(LN(A528)+(LN(A529)-LN(A528))*(R528-CO2_pH_hi_mt)/(R528-R529)),0)</f>
        <v>0.0</v>
      </c>
    </row>
    <row r="529">
      <c r="A529" s="41">
        <f>A528*grid_ratio</f>
        <v>482.681694182569</v>
      </c>
      <c r="B529" s="41">
        <f>MAX(0,A529*60-spg_dur)</f>
        <v>28960.25165095</v>
      </c>
      <c r="C529" s="41">
        <f>k_eff_CO2*B529</f>
        <v>0.420528813386</v>
      </c>
      <c r="D529" s="41">
        <f>EXP(-C529)</f>
        <v>0.656699456515</v>
      </c>
      <c r="E529" s="41">
        <f>IF(C529&gt;0,(1-D529)/C529,1)</f>
        <v>0.816354391322</v>
      </c>
      <c r="F529" s="41">
        <f>IF(C529&gt;0,(C529-1+D529)/C529^2,1/2)</f>
        <v>0.436701607196</v>
      </c>
      <c r="G529" s="41">
        <f>(C_air_CO2/C_sat_CO2*F_vent_ex-CO2_fix_sched)*(B529/3600)/(V_L_CO2+Vg_CO2)</f>
        <v>-5.556984014484</v>
      </c>
      <c r="H529" s="41">
        <f>(G529*E529+pool_b*D529)/(1-pool_ret*D529)</f>
        <v>-7.007983952381</v>
      </c>
      <c r="I529" s="41">
        <f>MIN(C_sat_CO2,MAX(C_air_CO2,(pool_ret*H529+pool_b)*E529+G529*F529))</f>
        <v>0.011558836641</v>
      </c>
      <c r="J529" s="41">
        <f>IF(AND(I529&gt;=CO2_pH_hi_mt,I530&lt;CO2_pH_hi_mt),EXP(LN(A529)+(LN(A530)-LN(A529))*(I529-CO2_pH_hi_mt)/(I529-I530)),0)</f>
        <v>0.0</v>
      </c>
      <c r="L529" s="41">
        <f>k_eff_CO2_l*B529</f>
        <v>2.107748870689</v>
      </c>
      <c r="M529" s="41">
        <f>EXP(-L529)</f>
        <v>0.121511196196</v>
      </c>
      <c r="N529" s="41">
        <f>IF(L529&gt;0,(1-M529)/L529,1)</f>
        <v>0.41679007211</v>
      </c>
      <c r="O529" s="41">
        <f>IF(L529&gt;0,(L529-1+M529)/L529^2,1/2)</f>
        <v>0.276698014645</v>
      </c>
      <c r="P529" s="41">
        <f>(C_air_CO2/C_sat_CO2*F_vent_ex-CO2_fix_l)*(B529/3600)/(V_L_CO2+Vg_CO2)</f>
        <v>0.004860823857</v>
      </c>
      <c r="Q529" s="41">
        <f>(P529*N529+pool_b*M529)/(1-pool_ret*M529)</f>
        <v>0.356813273892</v>
      </c>
      <c r="R529" s="41">
        <f>MIN(C_sat_CO2,MAX(C_air_CO2,(pool_ret*Q529+pool_b)*N529+P529*O529))</f>
        <v>1.218284997392</v>
      </c>
      <c r="S529" s="41">
        <f>IF(AND(R529&gt;=CO2_pH_hi_mt,R530&lt;CO2_pH_hi_mt),EXP(LN(A529)+(LN(A530)-LN(A529))*(R529-CO2_pH_hi_mt)/(R529-R530)),0)</f>
        <v>0.0</v>
      </c>
    </row>
    <row r="530">
      <c r="A530" s="41">
        <f>A529*grid_ratio</f>
        <v>540.634643407146</v>
      </c>
      <c r="B530" s="41">
        <f>MAX(0,A530*60-spg_dur)</f>
        <v>32437.42860443</v>
      </c>
      <c r="C530" s="41">
        <f>k_eff_CO2*B530</f>
        <v>0.471020539625</v>
      </c>
      <c r="D530" s="41">
        <f>EXP(-C530)</f>
        <v>0.624364754062</v>
      </c>
      <c r="E530" s="41">
        <f>IF(C530&gt;0,(1-D530)/C530,1)</f>
        <v>0.797492283961</v>
      </c>
      <c r="F530" s="41">
        <f>IF(C530&gt;0,(C530-1+D530)/C530^2,1/2)</f>
        <v>0.429933939187</v>
      </c>
      <c r="G530" s="41">
        <f>(C_air_CO2/C_sat_CO2*F_vent_ex-CO2_fix_sched)*(B530/3600)/(V_L_CO2+Vg_CO2)</f>
        <v>-6.224195645753</v>
      </c>
      <c r="H530" s="41">
        <f>(G530*E530+pool_b*D530)/(1-pool_ret*D530)</f>
        <v>-7.713063041303</v>
      </c>
      <c r="I530" s="41">
        <f>MIN(C_sat_CO2,MAX(C_air_CO2,(pool_ret*H530+pool_b)*E530+G530*F530))</f>
        <v>0.011558836641</v>
      </c>
      <c r="J530" s="41">
        <f>IF(AND(I530&gt;=CO2_pH_hi_mt,I531&lt;CO2_pH_hi_mt),EXP(LN(A530)+(LN(A531)-LN(A530))*(I530-CO2_pH_hi_mt)/(I530-I531)),0)</f>
        <v>0.0</v>
      </c>
      <c r="L530" s="41">
        <f>k_eff_CO2_l*B530</f>
        <v>2.360820421489</v>
      </c>
      <c r="M530" s="41">
        <f>EXP(-L530)</f>
        <v>0.094342790584</v>
      </c>
      <c r="N530" s="41">
        <f>IF(L530&gt;0,(1-M530)/L530,1)</f>
        <v>0.383619694735</v>
      </c>
      <c r="O530" s="41">
        <f>IF(L530&gt;0,(L530-1+M530)/L530^2,1/2)</f>
        <v>0.261087332037</v>
      </c>
      <c r="P530" s="41">
        <f>(C_air_CO2/C_sat_CO2*F_vent_ex-CO2_fix_l)*(B530/3600)/(V_L_CO2+Vg_CO2)</f>
        <v>0.005444449472</v>
      </c>
      <c r="Q530" s="41">
        <f>(P530*N530+pool_b*M530)/(1-pool_ret*M530)</f>
        <v>0.270128488436</v>
      </c>
      <c r="R530" s="41">
        <f>MIN(C_sat_CO2,MAX(C_air_CO2,(pool_ret*Q530+pool_b)*N530+P530*O530))</f>
        <v>1.091333915162</v>
      </c>
      <c r="S530" s="41">
        <f>IF(AND(R530&gt;=CO2_pH_hi_mt,R531&lt;CO2_pH_hi_mt),EXP(LN(A530)+(LN(A531)-LN(A530))*(R530-CO2_pH_hi_mt)/(R530-R531)),0)</f>
        <v>0.0</v>
      </c>
    </row>
    <row r="531">
      <c r="A531" s="41">
        <f>A530*grid_ratio</f>
        <v>605.54568605914</v>
      </c>
      <c r="B531" s="41">
        <f>MAX(0,A531*60-spg_dur)</f>
        <v>36332.09116355</v>
      </c>
      <c r="C531" s="41">
        <f>k_eff_CO2*B531</f>
        <v>0.527574531084</v>
      </c>
      <c r="D531" s="41">
        <f>EXP(-C531)</f>
        <v>0.590034345489</v>
      </c>
      <c r="E531" s="41">
        <f>IF(C531&gt;0,(1-D531)/C531,1)</f>
        <v>0.777076280898</v>
      </c>
      <c r="F531" s="41">
        <f>IF(C531&gt;0,(C531-1+D531)/C531^2,1/2)</f>
        <v>0.422544505027</v>
      </c>
      <c r="G531" s="41">
        <f>(C_air_CO2/C_sat_CO2*F_vent_ex-CO2_fix_sched)*(B531/3600)/(V_L_CO2+Vg_CO2)</f>
        <v>-6.971515725829</v>
      </c>
      <c r="H531" s="41">
        <f>(G531*E531+pool_b*D531)/(1-pool_ret*D531)</f>
        <v>-8.364175283562</v>
      </c>
      <c r="I531" s="41">
        <f>MIN(C_sat_CO2,MAX(C_air_CO2,(pool_ret*H531+pool_b)*E531+G531*F531))</f>
        <v>0.011558836641</v>
      </c>
      <c r="J531" s="41">
        <f>IF(AND(I531&gt;=CO2_pH_hi_mt,I532&lt;CO2_pH_hi_mt),EXP(LN(A531)+(LN(A532)-LN(A531))*(I531-CO2_pH_hi_mt)/(I531-I532)),0)</f>
        <v>0.0</v>
      </c>
      <c r="L531" s="41">
        <f>k_eff_CO2_l*B531</f>
        <v>2.644276888292</v>
      </c>
      <c r="M531" s="41">
        <f>EXP(-L531)</f>
        <v>0.071056717111</v>
      </c>
      <c r="N531" s="41">
        <f>IF(L531&gt;0,(1-M531)/L531,1)</f>
        <v>0.351303332492</v>
      </c>
      <c r="O531" s="41">
        <f>IF(L531&gt;0,(L531-1+M531)/L531^2,1/2)</f>
        <v>0.245321006427</v>
      </c>
      <c r="P531" s="41">
        <f>(C_air_CO2/C_sat_CO2*F_vent_ex-CO2_fix_l)*(B531/3600)/(V_L_CO2+Vg_CO2)</f>
        <v>0.006098147821</v>
      </c>
      <c r="Q531" s="41">
        <f>(P531*N531+pool_b*M531)/(1-pool_ret*M531)</f>
        <v>0.199467112259</v>
      </c>
      <c r="R531" s="41">
        <f>MIN(C_sat_CO2,MAX(C_air_CO2,(pool_ret*Q531+pool_b)*N531+P531*O531))</f>
        <v>0.977066886729</v>
      </c>
      <c r="S531" s="41">
        <f>IF(AND(R531&gt;=CO2_pH_hi_mt,R532&lt;CO2_pH_hi_mt),EXP(LN(A531)+(LN(A532)-LN(A531))*(R531-CO2_pH_hi_mt)/(R531-R532)),0)</f>
        <v>612.612318746651</v>
      </c>
    </row>
    <row r="532">
      <c r="A532" s="41">
        <f>A531*grid_ratio</f>
        <v>678.250242333597</v>
      </c>
      <c r="B532" s="41">
        <f>MAX(0,A532*60-spg_dur)</f>
        <v>40694.36454002</v>
      </c>
      <c r="C532" s="41">
        <f>k_eff_CO2*B532</f>
        <v>0.590918650769</v>
      </c>
      <c r="D532" s="41">
        <f>EXP(-C532)</f>
        <v>0.55381828538</v>
      </c>
      <c r="E532" s="41">
        <f>IF(C532&gt;0,(1-D532)/C532,1)</f>
        <v>0.755064532215</v>
      </c>
      <c r="F532" s="41">
        <f>IF(C532&gt;0,(C532-1+D532)/C532^2,1/2)</f>
        <v>0.414499470387</v>
      </c>
      <c r="G532" s="41">
        <f>(C_air_CO2/C_sat_CO2*F_vent_ex-CO2_fix_sched)*(B532/3600)/(V_L_CO2+Vg_CO2)</f>
        <v>-7.808562437716</v>
      </c>
      <c r="H532" s="41">
        <f>(G532*E532+pool_b*D532)/(1-pool_ret*D532)</f>
        <v>-8.962649975935</v>
      </c>
      <c r="I532" s="41">
        <f>MIN(C_sat_CO2,MAX(C_air_CO2,(pool_ret*H532+pool_b)*E532+G532*F532))</f>
        <v>0.011558836641</v>
      </c>
      <c r="J532" s="41">
        <f>IF(AND(I532&gt;=CO2_pH_hi_mt,I533&lt;CO2_pH_hi_mt),EXP(LN(A532)+(LN(A533)-LN(A532))*(I532-CO2_pH_hi_mt)/(I532-I533)),0)</f>
        <v>0.0</v>
      </c>
      <c r="L532" s="41">
        <f>k_eff_CO2_l*B532</f>
        <v>2.96176642166</v>
      </c>
      <c r="M532" s="41">
        <f>EXP(-L532)</f>
        <v>0.051727463911</v>
      </c>
      <c r="N532" s="41">
        <f>IF(L532&gt;0,(1-M532)/L532,1)</f>
        <v>0.320171276558</v>
      </c>
      <c r="O532" s="41">
        <f>IF(L532&gt;0,(L532-1+M532)/L532^2,1/2)</f>
        <v>0.229534887853</v>
      </c>
      <c r="P532" s="41">
        <f>(C_air_CO2/C_sat_CO2*F_vent_ex-CO2_fix_l)*(B532/3600)/(V_L_CO2+Vg_CO2)</f>
        <v>0.006830332152</v>
      </c>
      <c r="Q532" s="41">
        <f>(P532*N532+pool_b*M532)/(1-pool_ret*M532)</f>
        <v>0.143192683639</v>
      </c>
      <c r="R532" s="41">
        <f>MIN(C_sat_CO2,MAX(C_air_CO2,(pool_ret*Q532+pool_b)*N532+P532*O532))</f>
        <v>0.874334526665</v>
      </c>
      <c r="S532" s="41">
        <f>IF(AND(R532&gt;=CO2_pH_hi_mt,R533&lt;CO2_pH_hi_mt),EXP(LN(A532)+(LN(A533)-LN(A532))*(R532-CO2_pH_hi_mt)/(R532-R533)),0)</f>
        <v>0.0</v>
      </c>
    </row>
    <row r="533">
      <c r="A533" s="41">
        <f>A532*grid_ratio</f>
        <v>759.68403675599</v>
      </c>
      <c r="B533" s="41">
        <f>MAX(0,A533*60-spg_dur)</f>
        <v>45580.39220536</v>
      </c>
      <c r="C533" s="41">
        <f>k_eff_CO2*B533</f>
        <v>0.661868152211</v>
      </c>
      <c r="D533" s="41">
        <f>EXP(-C533)</f>
        <v>0.515886678871</v>
      </c>
      <c r="E533" s="41">
        <f>IF(C533&gt;0,(1-D533)/C533,1)</f>
        <v>0.731434681533</v>
      </c>
      <c r="F533" s="41">
        <f>IF(C533&gt;0,(C533-1+D533)/C533^2,1/2)</f>
        <v>0.405768607494</v>
      </c>
      <c r="G533" s="41">
        <f>(C_air_CO2/C_sat_CO2*F_vent_ex-CO2_fix_sched)*(B533/3600)/(V_L_CO2+Vg_CO2)</f>
        <v>-8.746108767005</v>
      </c>
      <c r="H533" s="41">
        <f>(G533*E533+pool_b*D533)/(1-pool_ret*D533)</f>
        <v>-9.510171602629</v>
      </c>
      <c r="I533" s="41">
        <f>MIN(C_sat_CO2,MAX(C_air_CO2,(pool_ret*H533+pool_b)*E533+G533*F533))</f>
        <v>0.011558836641</v>
      </c>
      <c r="J533" s="41">
        <f>IF(AND(I533&gt;=CO2_pH_hi_mt,I534&lt;CO2_pH_hi_mt),EXP(LN(A533)+(LN(A534)-LN(A533))*(I533-CO2_pH_hi_mt)/(I533-I534)),0)</f>
        <v>0.0</v>
      </c>
      <c r="L533" s="41">
        <f>k_eff_CO2_l*B533</f>
        <v>3.317375185628</v>
      </c>
      <c r="M533" s="41">
        <f>EXP(-L533)</f>
        <v>0.036247850876</v>
      </c>
      <c r="N533" s="41">
        <f>IF(L533&gt;0,(1-M533)/L533,1)</f>
        <v>0.290516476189</v>
      </c>
      <c r="O533" s="41">
        <f>IF(L533&gt;0,(L533-1+M533)/L533^2,1/2)</f>
        <v>0.213868942797</v>
      </c>
      <c r="P533" s="41">
        <f>(C_air_CO2/C_sat_CO2*F_vent_ex-CO2_fix_l)*(B533/3600)/(V_L_CO2+Vg_CO2)</f>
        <v>0.007650425849</v>
      </c>
      <c r="Q533" s="41">
        <f>(P533*N533+pool_b*M533)/(1-pool_ret*M533)</f>
        <v>0.099597933753</v>
      </c>
      <c r="R533" s="41">
        <f>MIN(C_sat_CO2,MAX(C_air_CO2,(pool_ret*Q533+pool_b)*N533+P533*O533))</f>
        <v>0.782072696564</v>
      </c>
      <c r="S533" s="41">
        <f>IF(AND(R533&gt;=CO2_pH_hi_mt,R534&lt;CO2_pH_hi_mt),EXP(LN(A533)+(LN(A534)-LN(A533))*(R533-CO2_pH_hi_mt)/(R533-R534)),0)</f>
        <v>0.0</v>
      </c>
    </row>
    <row r="534">
      <c r="A534" s="41">
        <f>A533*grid_ratio</f>
        <v>850.895141174193</v>
      </c>
      <c r="B534" s="41">
        <f>MAX(0,A534*60-spg_dur)</f>
        <v>51053.05847045</v>
      </c>
      <c r="C534" s="41">
        <f>k_eff_CO2*B534</f>
        <v>0.741336171973</v>
      </c>
      <c r="D534" s="41">
        <f>EXP(-C534)</f>
        <v>0.476476834998</v>
      </c>
      <c r="E534" s="41">
        <f>IF(C534&gt;0,(1-D534)/C534,1)</f>
        <v>0.706188615629</v>
      </c>
      <c r="F534" s="41">
        <f>IF(C534&gt;0,(C534-1+D534)/C534^2,1/2)</f>
        <v>0.396326788681</v>
      </c>
      <c r="G534" s="41">
        <f>(C_air_CO2/C_sat_CO2*F_vent_ex-CO2_fix_sched)*(B534/3600)/(V_L_CO2+Vg_CO2)</f>
        <v>-9.796221152707</v>
      </c>
      <c r="H534" s="41">
        <f>(G534*E534+pool_b*D534)/(1-pool_ret*D534)</f>
        <v>-10.008691447985</v>
      </c>
      <c r="I534" s="41">
        <f>MIN(C_sat_CO2,MAX(C_air_CO2,(pool_ret*H534+pool_b)*E534+G534*F534))</f>
        <v>0.011558836641</v>
      </c>
      <c r="J534" s="41">
        <f>IF(AND(I534&gt;=CO2_pH_hi_mt,I535&lt;CO2_pH_hi_mt),EXP(LN(A534)+(LN(A535)-LN(A534))*(I534-CO2_pH_hi_mt)/(I534-I535)),0)</f>
        <v>0.0</v>
      </c>
      <c r="L534" s="41">
        <f>k_eff_CO2_l*B534</f>
        <v>3.71567994758</v>
      </c>
      <c r="M534" s="41">
        <f>EXP(-L534)</f>
        <v>0.024338886321</v>
      </c>
      <c r="N534" s="41">
        <f>IF(L534&gt;0,(1-M534)/L534,1)</f>
        <v>0.262579427573</v>
      </c>
      <c r="O534" s="41">
        <f>IF(L534&gt;0,(L534-1+M534)/L534^2,1/2)</f>
        <v>0.198461811251</v>
      </c>
      <c r="P534" s="41">
        <f>(C_air_CO2/C_sat_CO2*F_vent_ex-CO2_fix_l)*(B534/3600)/(V_L_CO2+Vg_CO2)</f>
        <v>0.008568983708</v>
      </c>
      <c r="Q534" s="41">
        <f>(P534*N534+pool_b*M534)/(1-pool_ret*M534)</f>
        <v>0.066911501477</v>
      </c>
      <c r="R534" s="41">
        <f>MIN(C_sat_CO2,MAX(C_air_CO2,(pool_ret*Q534+pool_b)*N534+P534*O534))</f>
        <v>0.699299085505</v>
      </c>
      <c r="S534" s="41">
        <f>IF(AND(R534&gt;=CO2_pH_hi_mt,R535&lt;CO2_pH_hi_mt),EXP(LN(A534)+(LN(A535)-LN(A534))*(R534-CO2_pH_hi_mt)/(R534-R535)),0)</f>
        <v>0.0</v>
      </c>
    </row>
    <row r="535">
      <c r="A535" s="41">
        <f>A534*grid_ratio</f>
        <v>953.057463686584</v>
      </c>
      <c r="B535" s="41">
        <f>MAX(0,A535*60-spg_dur)</f>
        <v>57182.7978212</v>
      </c>
      <c r="C535" s="41">
        <f>k_eff_CO2*B535</f>
        <v>0.830345481927</v>
      </c>
      <c r="D535" s="41">
        <f>EXP(-C535)</f>
        <v>0.435898665194</v>
      </c>
      <c r="E535" s="41">
        <f>IF(C535&gt;0,(1-D535)/C535,1)</f>
        <v>0.679357384467</v>
      </c>
      <c r="F535" s="41">
        <f>IF(C535&gt;0,(C535-1+D535)/C535^2,1/2)</f>
        <v>0.386155669552</v>
      </c>
      <c r="G535" s="41">
        <f>(C_air_CO2/C_sat_CO2*F_vent_ex-CO2_fix_sched)*(B535/3600)/(V_L_CO2+Vg_CO2)</f>
        <v>-10.972414785124</v>
      </c>
      <c r="H535" s="41">
        <f>(G535*E535+pool_b*D535)/(1-pool_ret*D535)</f>
        <v>-10.460348031796</v>
      </c>
      <c r="I535" s="41">
        <f>MIN(C_sat_CO2,MAX(C_air_CO2,(pool_ret*H535+pool_b)*E535+G535*F535))</f>
        <v>0.011558836641</v>
      </c>
      <c r="J535" s="41">
        <f>IF(AND(I535&gt;=CO2_pH_hi_mt,I536&lt;CO2_pH_hi_mt),EXP(LN(A535)+(LN(A536)-LN(A535))*(I535-CO2_pH_hi_mt)/(I535-I536)),0)</f>
        <v>0.0</v>
      </c>
      <c r="L535" s="41">
        <f>k_eff_CO2_l*B535</f>
        <v>4.161806982313</v>
      </c>
      <c r="M535" s="41">
        <f>EXP(-L535)</f>
        <v>0.015579380804</v>
      </c>
      <c r="N535" s="41">
        <f>IF(L535&gt;0,(1-M535)/L535,1)</f>
        <v>0.236536827243</v>
      </c>
      <c r="O535" s="41">
        <f>IF(L535&gt;0,(L535-1+M535)/L535^2,1/2)</f>
        <v>0.18344511795</v>
      </c>
      <c r="P535" s="41">
        <f>(C_air_CO2/C_sat_CO2*F_vent_ex-CO2_fix_l)*(B535/3600)/(V_L_CO2+Vg_CO2)</f>
        <v>0.009597827781</v>
      </c>
      <c r="Q535" s="41">
        <f>(P535*N535+pool_b*M535)/(1-pool_ret*M535)</f>
        <v>0.04332676369</v>
      </c>
      <c r="R535" s="41">
        <f>MIN(C_sat_CO2,MAX(C_air_CO2,(pool_ret*Q535+pool_b)*N535+P535*O535))</f>
        <v>0.625108934548</v>
      </c>
      <c r="S535" s="41">
        <f>IF(AND(R535&gt;=CO2_pH_hi_mt,R536&lt;CO2_pH_hi_mt),EXP(LN(A535)+(LN(A536)-LN(A535))*(R535-CO2_pH_hi_mt)/(R535-R536)),0)</f>
        <v>0.0</v>
      </c>
    </row>
    <row r="536">
      <c r="A536" s="41">
        <f>A535*grid_ratio</f>
        <v>1067.485857111924</v>
      </c>
      <c r="B536" s="41">
        <f>MAX(0,A536*60-spg_dur)</f>
        <v>64048.50142672</v>
      </c>
      <c r="C536" s="41">
        <f>k_eff_CO2*B536</f>
        <v>0.930041652564</v>
      </c>
      <c r="D536" s="41">
        <f>EXP(-C536)</f>
        <v>0.39453727654</v>
      </c>
      <c r="E536" s="41">
        <f>IF(C536&gt;0,(1-D536)/C536,1)</f>
        <v>0.651006029451</v>
      </c>
      <c r="F536" s="41">
        <f>IF(C536&gt;0,(C536-1+D536)/C536^2,1/2)</f>
        <v>0.375245527538</v>
      </c>
      <c r="G536" s="41">
        <f>(C_air_CO2/C_sat_CO2*F_vent_ex-CO2_fix_sched)*(B536/3600)/(V_L_CO2+Vg_CO2)</f>
        <v>-12.289827549484</v>
      </c>
      <c r="H536" s="41">
        <f>(G536*E536+pool_b*D536)/(1-pool_ret*D536)</f>
        <v>-10.867398261194</v>
      </c>
      <c r="I536" s="41">
        <f>MIN(C_sat_CO2,MAX(C_air_CO2,(pool_ret*H536+pool_b)*E536+G536*F536))</f>
        <v>0.011558836641</v>
      </c>
      <c r="J536" s="41">
        <f>IF(AND(I536&gt;=CO2_pH_hi_mt,I537&lt;CO2_pH_hi_mt),EXP(LN(A536)+(LN(A537)-LN(A536))*(I536-CO2_pH_hi_mt)/(I536-I537)),0)</f>
        <v>0.0</v>
      </c>
      <c r="L536" s="41">
        <f>k_eff_CO2_l*B536</f>
        <v>4.661498048379</v>
      </c>
      <c r="M536" s="41">
        <f>EXP(-L536)</f>
        <v>0.0094522918</v>
      </c>
      <c r="N536" s="41">
        <f>IF(L536&gt;0,(1-M536)/L536,1)</f>
        <v>0.21249557501</v>
      </c>
      <c r="O536" s="41">
        <f>IF(L536&gt;0,(L536-1+M536)/L536^2,1/2)</f>
        <v>0.168938057426</v>
      </c>
      <c r="P536" s="41">
        <f>(C_air_CO2/C_sat_CO2*F_vent_ex-CO2_fix_l)*(B536/3600)/(V_L_CO2+Vg_CO2)</f>
        <v>0.010750199531</v>
      </c>
      <c r="Q536" s="41">
        <f>(P536*N536+pool_b*M536)/(1-pool_ret*M536)</f>
        <v>0.027054526763</v>
      </c>
      <c r="R536" s="41">
        <f>MIN(C_sat_CO2,MAX(C_air_CO2,(pool_ret*Q536+pool_b)*N536+P536*O536))</f>
        <v>0.558670355068</v>
      </c>
      <c r="S536" s="41">
        <f>IF(AND(R536&gt;=CO2_pH_hi_mt,R537&lt;CO2_pH_hi_mt),EXP(LN(A536)+(LN(A537)-LN(A536))*(R536-CO2_pH_hi_mt)/(R536-R537)),0)</f>
        <v>0.0</v>
      </c>
    </row>
    <row r="537">
      <c r="A537" s="41">
        <f>A536*grid_ratio</f>
        <v>1195.653041450516</v>
      </c>
      <c r="B537" s="41">
        <f>MAX(0,A537*60-spg_dur)</f>
        <v>71738.53248703</v>
      </c>
      <c r="C537" s="41">
        <f>k_eff_CO2*B537</f>
        <v>1.041707796756</v>
      </c>
      <c r="D537" s="41">
        <f>EXP(-C537)</f>
        <v>0.352851568344</v>
      </c>
      <c r="E537" s="41">
        <f>IF(C537&gt;0,(1-D537)/C537,1)</f>
        <v>0.62123796488</v>
      </c>
      <c r="F537" s="41">
        <f>IF(C537&gt;0,(C537-1+D537)/C537^2,1/2)</f>
        <v>0.363597197122</v>
      </c>
      <c r="G537" s="41">
        <f>(C_air_CO2/C_sat_CO2*F_vent_ex-CO2_fix_sched)*(B537/3600)/(V_L_CO2+Vg_CO2)</f>
        <v>-13.765414854046</v>
      </c>
      <c r="H537" s="41">
        <f>(G537*E537+pool_b*D537)/(1-pool_ret*D537)</f>
        <v>-11.232160572788</v>
      </c>
      <c r="I537" s="41">
        <f>MIN(C_sat_CO2,MAX(C_air_CO2,(pool_ret*H537+pool_b)*E537+G537*F537))</f>
        <v>0.011558836641</v>
      </c>
      <c r="J537" s="41">
        <f>IF(AND(I537&gt;=CO2_pH_hi_mt,I538&lt;CO2_pH_hi_mt),EXP(LN(A537)+(LN(A538)-LN(A537))*(I537-CO2_pH_hi_mt)/(I537-I538)),0)</f>
        <v>0.0</v>
      </c>
      <c r="L537" s="41">
        <f>k_eff_CO2_l*B537</f>
        <v>5.221184285857</v>
      </c>
      <c r="M537" s="41">
        <f>EXP(-L537)</f>
        <v>0.005400929094</v>
      </c>
      <c r="N537" s="41">
        <f>IF(L537&gt;0,(1-M537)/L537,1)</f>
        <v>0.19049300244</v>
      </c>
      <c r="O537" s="41">
        <f>IF(L537&gt;0,(L537-1+M537)/L537^2,1/2)</f>
        <v>0.155042793596</v>
      </c>
      <c r="P537" s="41">
        <f>(C_air_CO2/C_sat_CO2*F_vent_ex-CO2_fix_l)*(B537/3600)/(V_L_CO2+Vg_CO2)</f>
        <v>0.01204093025</v>
      </c>
      <c r="Q537" s="41">
        <f>(P537*N537+pool_b*M537)/(1-pool_ret*M537)</f>
        <v>0.016394846184</v>
      </c>
      <c r="R537" s="41">
        <f>MIN(C_sat_CO2,MAX(C_air_CO2,(pool_ret*Q537+pool_b)*N537+P537*O537))</f>
        <v>0.499219659328</v>
      </c>
      <c r="S537" s="41">
        <f>IF(AND(R537&gt;=CO2_pH_hi_mt,R538&lt;CO2_pH_hi_mt),EXP(LN(A537)+(LN(A538)-LN(A537))*(R537-CO2_pH_hi_mt)/(R537-R538)),0)</f>
        <v>0.0</v>
      </c>
    </row>
    <row r="538">
      <c r="A538" s="41">
        <f>A537*grid_ratio</f>
        <v>1339.208558132662</v>
      </c>
      <c r="B538" s="41">
        <f>MAX(0,A538*60-spg_dur)</f>
        <v>80351.86348796</v>
      </c>
      <c r="C538" s="41">
        <f>k_eff_CO2*B538</f>
        <v>1.166781083714</v>
      </c>
      <c r="D538" s="41">
        <f>EXP(-C538)</f>
        <v>0.311367596115</v>
      </c>
      <c r="E538" s="41">
        <f>IF(C538&gt;0,(1-D538)/C538,1)</f>
        <v>0.590198464388</v>
      </c>
      <c r="F538" s="41">
        <f>IF(C538&gt;0,(C538-1+D538)/C538^2,1/2)</f>
        <v>0.351224013941</v>
      </c>
      <c r="G538" s="41">
        <f>(C_air_CO2/C_sat_CO2*F_vent_ex-CO2_fix_sched)*(B538/3600)/(V_L_CO2+Vg_CO2)</f>
        <v>-15.418167850135</v>
      </c>
      <c r="H538" s="41">
        <f>(G538*E538+pool_b*D538)/(1-pool_ret*D538)</f>
        <v>-11.556970868165</v>
      </c>
      <c r="I538" s="41">
        <f>MIN(C_sat_CO2,MAX(C_air_CO2,(pool_ret*H538+pool_b)*E538+G538*F538))</f>
        <v>0.011558836641</v>
      </c>
      <c r="J538" s="41">
        <f>IF(AND(I538&gt;=CO2_pH_hi_mt,I539&lt;CO2_pH_hi_mt),EXP(LN(A538)+(LN(A539)-LN(A538))*(I538-CO2_pH_hi_mt)/(I538-I539)),0)</f>
        <v>0.0</v>
      </c>
      <c r="L538" s="41">
        <f>k_eff_CO2_l*B538</f>
        <v>5.848068986615</v>
      </c>
      <c r="M538" s="41">
        <f>EXP(-L538)</f>
        <v>0.002885465655</v>
      </c>
      <c r="N538" s="41">
        <f>IF(L538&gt;0,(1-M538)/L538,1)</f>
        <v>0.17050320997</v>
      </c>
      <c r="O538" s="41">
        <f>IF(L538&gt;0,(L538-1+M538)/L538^2,1/2)</f>
        <v>0.141841143107</v>
      </c>
      <c r="P538" s="41">
        <f>(C_air_CO2/C_sat_CO2*F_vent_ex-CO2_fix_l)*(B538/3600)/(V_L_CO2+Vg_CO2)</f>
        <v>0.013486631942</v>
      </c>
      <c r="Q538" s="41">
        <f>(P538*N538+pool_b*M538)/(1-pool_ret*M538)</f>
        <v>0.009815867939</v>
      </c>
      <c r="R538" s="41">
        <f>MIN(C_sat_CO2,MAX(C_air_CO2,(pool_ret*Q538+pool_b)*N538+P538*O538))</f>
        <v>0.446057031952</v>
      </c>
      <c r="S538" s="41">
        <f>IF(AND(R538&gt;=CO2_pH_hi_mt,R539&lt;CO2_pH_hi_mt),EXP(LN(A538)+(LN(A539)-LN(A538))*(R538-CO2_pH_hi_mt)/(R538-R539)),0)</f>
        <v>0.0</v>
      </c>
    </row>
    <row r="539">
      <c r="A539" s="41">
        <f>A538*grid_ratio</f>
        <v>1499.999999999992</v>
      </c>
      <c r="B539" s="41">
        <f>MAX(0,A539*60-spg_dur)</f>
        <v>89999.35</v>
      </c>
      <c r="C539" s="41">
        <f>k_eff_CO2*B539</f>
        <v>1.306871235691</v>
      </c>
      <c r="D539" s="41">
        <f>EXP(-C539)</f>
        <v>0.270665581782</v>
      </c>
      <c r="E539" s="41">
        <f>IF(C539&gt;0,(1-D539)/C539,1)</f>
        <v>0.55807672424</v>
      </c>
      <c r="F539" s="41">
        <f>IF(C539&gt;0,(C539-1+D539)/C539^2,1/2)</f>
        <v>0.338153647958</v>
      </c>
      <c r="G539" s="41">
        <f>(C_air_CO2/C_sat_CO2*F_vent_ex-CO2_fix_sched)*(B539/3600)/(V_L_CO2+Vg_CO2)</f>
        <v>-17.269357852677</v>
      </c>
      <c r="H539" s="41">
        <f>(G539*E539+pool_b*D539)/(1-pool_ret*D539)</f>
        <v>-11.844151699632</v>
      </c>
      <c r="I539" s="41">
        <f>MIN(C_sat_CO2,MAX(C_air_CO2,(pool_ret*H539+pool_b)*E539+G539*F539))</f>
        <v>0.011558836641</v>
      </c>
      <c r="J539" s="41">
        <f>0</f>
        <v>0.0</v>
      </c>
      <c r="L539" s="41">
        <f>k_eff_CO2_l*B539</f>
        <v>6.550220302351</v>
      </c>
      <c r="M539" s="41">
        <f>EXP(-L539)</f>
        <v>0.001429800575</v>
      </c>
      <c r="N539" s="41">
        <f>IF(L539&gt;0,(1-M539)/L539,1)</f>
        <v>0.152448338122</v>
      </c>
      <c r="O539" s="41">
        <f>IF(L539&gt;0,(L539-1+M539)/L539^2,1/2)</f>
        <v>0.129392848295</v>
      </c>
      <c r="P539" s="41">
        <f>(C_air_CO2/C_sat_CO2*F_vent_ex-CO2_fix_l)*(B539/3600)/(V_L_CO2+Vg_CO2)</f>
        <v>0.015105911124</v>
      </c>
      <c r="Q539" s="41">
        <f>(P539*N539+pool_b*M539)/(1-pool_ret*M539)</f>
        <v>0.006022438775</v>
      </c>
      <c r="R539" s="41">
        <f>MIN(C_sat_CO2,MAX(C_air_CO2,(pool_ret*Q539+pool_b)*N539+P539*O539))</f>
        <v>0.398542714502</v>
      </c>
      <c r="S539" s="41">
        <f>0</f>
        <v>0.0</v>
      </c>
    </row>
    <row r="541">
      <c r="A541" s="6" t="inlineStr">
        <is>
          <t xml:space="preserve">START-UP (LAG-PHASE) SCHEDULE — shown beside the growth one (owner, T4: both)</t>
        </is>
      </c>
    </row>
    <row r="542">
      <c r="A542" s="18" t="inlineStr">
        <is>
          <t xml:space="preserve">Headspace O₂ fraction allowed — lag</t>
        </is>
      </c>
      <c r="B542" s="19" t="inlineStr">
        <is>
          <t xml:space="preserve">y_O2_star_l</t>
        </is>
      </c>
      <c r="C542" s="20" t="inlineStr">
        <is>
          <t xml:space="preserve">-</t>
        </is>
      </c>
      <c r="D542" s="41" t="e">
        <f>IF(DO_target-DO_surf_excess_lag&gt;0,(DO_target-DO_surf_excess_lag)/(H_O2_T*P_dry),NA())</f>
        <v>#N/A</v>
      </c>
      <c r="E542" s="51" t="inlineStr">
        <is>
          <t xml:space="preserve">As D183 on the lag source (D181). #N/A = the surface cannot carry the lag O₂ flux at the target DO.</t>
        </is>
      </c>
    </row>
    <row r="543">
      <c r="A543" s="18" t="inlineStr">
        <is>
          <t xml:space="preserve">Duty needed to hold it — lag</t>
        </is>
      </c>
      <c r="B543" s="19" t="inlineStr">
        <is>
          <t xml:space="preserve">duty_DO_l</t>
        </is>
      </c>
      <c r="C543" s="20" t="inlineStr">
        <is>
          <t xml:space="preserve">-</t>
        </is>
      </c>
      <c r="D543" s="41" t="e">
        <f>IF(ISNUMBER(y_O2_star_l),MAX(0,((O2_src_l+y_O2_air*F_vent_ex)*saw_factor/y_O2_star_l-F_dil-O2_src_l-H2_src_l+CO2_fix_l)/CO2_rate_full),NA())</f>
        <v>#N/A</v>
      </c>
      <c r="E543" s="51" t="inlineStr">
        <is>
          <t xml:space="preserve">As D184 on the lag sources (D310, D314, D316).</t>
        </is>
      </c>
    </row>
    <row r="544">
      <c r="A544" s="18" t="inlineStr">
        <is>
          <t xml:space="preserve">DO-limited interval — lag</t>
        </is>
      </c>
      <c r="B544" s="19" t="inlineStr">
        <is>
          <t xml:space="preserve">spg_int_DO_l</t>
        </is>
      </c>
      <c r="C544" s="20" t="inlineStr">
        <is>
          <t xml:space="preserve">min</t>
        </is>
      </c>
      <c r="D544" s="41" t="str">
        <f>IF(ISNUMBER(duty_DO_l),IF(duty_DO_l&gt;0,spg_dur_eq_opt/(60*duty_DO_l),spg_int_carbon),"lag DO target unreachable at this surface kLa")</f>
        <v>lag DO target unreachable at this surface kLa</v>
      </c>
      <c r="E544" s="51" t="inlineStr">
        <is>
          <t xml:space="preserve">As D185 on the lag source; text when the lag target is unreachable (then the legacy guard D89 applies).</t>
        </is>
      </c>
    </row>
    <row r="545">
      <c r="A545" s="18" t="inlineStr">
        <is>
          <t xml:space="preserve">(import) Interval clearing the lag H₂ flammability screen</t>
        </is>
      </c>
      <c r="B545" s="19" t="inlineStr">
        <is>
          <t xml:space="preserve">spg_int_H2safe_mt</t>
        </is>
      </c>
      <c r="C545" s="20" t="inlineStr">
        <is>
          <t xml:space="preserve">min</t>
        </is>
      </c>
      <c r="D545" s="41">
        <f>Biology!spg_int_H2safe_saw</f>
        <v>2.312402310074</v>
      </c>
      <c r="E545" s="140" t="inlineStr">
        <is>
          <t xml:space="preserve">Import from Biology!D92 (on the pulse in use; "any interval" when nothing is needed).</t>
        </is>
      </c>
    </row>
    <row r="546">
      <c r="A546" s="18" t="inlineStr">
        <is>
          <t xml:space="preserve">Start-up interval (optimal-pulse basis)</t>
        </is>
      </c>
      <c r="B546" s="19" t="inlineStr">
        <is>
          <t xml:space="preserve">spg_int_su_opt</t>
        </is>
      </c>
      <c r="C546" s="20" t="inlineStr">
        <is>
          <t xml:space="preserve">min</t>
        </is>
      </c>
      <c r="D546" s="41">
        <f>IF(ph_unreach_l,NA(),MIN(spg_int_carbon,IF(ISNUMBER(spg_int_DO_l),spg_int_DO_l,spg_int_max),IF(ISNUMBER(spg_int_H2safe_opt),spg_int_H2safe_opt,spg_int_carbon),IF(ISNUMBER(spg_int_pH_l),spg_int_pH_l*spg_dur_eq_opt/spg_dur_eq,spg_int_carbon)))</f>
        <v>1.255063076022</v>
      </c>
      <c r="E546" s="51" t="inlineStr">
        <is>
          <t xml:space="preserve">The shortest of the carbon bound, the lag O₂ bound (or the legacy guard D89 when the lag DO target is unreachable), the H₂-screen interval (D563) and the lag pH ceiling (D561), on the basis of D91. #N/A when no interval holds the lag pH under the ceiling. Equals D91 when Summary D12 is Lag.</t>
        </is>
      </c>
    </row>
    <row r="547">
      <c r="A547" s="18" t="inlineStr">
        <is>
          <t xml:space="preserve">Start-up interval (as run)</t>
        </is>
      </c>
      <c r="B547" s="19" t="inlineStr">
        <is>
          <t xml:space="preserve">spg_int_su_run</t>
        </is>
      </c>
      <c r="C547" s="20" t="inlineStr">
        <is>
          <t xml:space="preserve">min</t>
        </is>
      </c>
      <c r="D547" s="41">
        <f>IF(FLOOR(spg_int_su_opt*spg_dur_eq/spg_dur_eq_opt,interval_res)*60&gt;spg_dur,FLOOR(spg_int_su_opt*spg_dur_eq/spg_dur_eq_opt,interval_res),NA())</f>
        <v>1.21</v>
      </c>
      <c r="E547" s="51" t="inlineStr">
        <is>
          <t xml:space="preserve">Rounded down to the command resolution for the pulse in use, as D420; #N/A if no gap is left.</t>
        </is>
      </c>
    </row>
    <row r="548">
      <c r="A548" s="18" t="inlineStr">
        <is>
          <t xml:space="preserve">Start-up binding constraint</t>
        </is>
      </c>
      <c r="B548" s="19" t="inlineStr">
        <is>
          <t xml:space="preserve">su_binding</t>
        </is>
      </c>
      <c r="C548" s="20" t="inlineStr">
        <is>
          <t xml:space="preserve">-</t>
        </is>
      </c>
      <c r="D548" s="41" t="str">
        <f>IF(ph_unreach_l,"pH ceiling unreachable in lag",IF(spg_int_su_opt=IF(ISNUMBER(spg_int_H2safe_opt),spg_int_H2safe_opt,spg_int_carbon),"the H₂ flammability screen (Biology D92)",IF(spg_int_su_opt=IF(ISNUMBER(spg_int_pH_l),spg_int_pH_l*spg_dur_eq_opt/spg_dur_eq,spg_int_carbon),"the pH ceiling (lag)",IF(spg_int_su_opt=spg_int_carbon,"carbon supply",IF(ISNUMBER(spg_int_DO_l),"lag O₂ dilution","the legacy O₂ flush guard (lag DO target unreachable)")))))</f>
        <v>the legacy O₂ flush guard (lag DO target unreachable)</v>
      </c>
      <c r="E548" s="51" t="inlineStr">
        <is>
          <t xml:space="preserve">Which bound sets the start-up interval.</t>
        </is>
      </c>
    </row>
    <row r="549">
      <c r="A549" s="18" t="inlineStr">
        <is>
          <t xml:space="preserve">Gap between pulses — start-up</t>
        </is>
      </c>
      <c r="B549" s="19" t="inlineStr">
        <is>
          <t xml:space="preserve">t_gap_su_h</t>
        </is>
      </c>
      <c r="C549" s="20" t="inlineStr">
        <is>
          <t xml:space="preserve">h</t>
        </is>
      </c>
      <c r="D549" s="41">
        <f>MAX(0,spg_int_su_run*60-spg_dur)/3600</f>
        <v>0.019986111111</v>
      </c>
      <c r="E549" s="51" t="inlineStr">
        <is>
          <t xml:space="preserve">As D325 at the start-up interval.</t>
        </is>
      </c>
    </row>
    <row r="550">
      <c r="A550" s="18" t="inlineStr">
        <is>
          <t xml:space="preserve">Headspace turnovers per gap — start-up</t>
        </is>
      </c>
      <c r="B550" s="19" t="inlineStr">
        <is>
          <t xml:space="preserve">x_su</t>
        </is>
      </c>
      <c r="C550" s="20" t="inlineStr">
        <is>
          <t xml:space="preserve">-</t>
        </is>
      </c>
      <c r="D550" s="41">
        <f>F_gap_l*t_gap_su_h/n_hs_gas</f>
        <v>0.036016292273</v>
      </c>
      <c r="E550" s="51" t="inlineStr">
        <is>
          <t xml:space="preserve">As D354.</t>
        </is>
      </c>
    </row>
    <row r="551">
      <c r="A551" s="18" t="inlineStr">
        <is>
          <t xml:space="preserve">Φ(x) — start-up</t>
        </is>
      </c>
      <c r="B551" s="19" t="inlineStr">
        <is>
          <t xml:space="preserve">phi_su</t>
        </is>
      </c>
      <c r="C551" s="20" t="inlineStr">
        <is>
          <t xml:space="preserve">-</t>
        </is>
      </c>
      <c r="D551" s="41">
        <f>IF(x_su&gt;0,(1-EXP(-x_su))/x_su,1)</f>
        <v>0.982206116713</v>
      </c>
      <c r="E551" s="51" t="inlineStr">
        <is>
          <t xml:space="preserve">As D355.</t>
        </is>
      </c>
    </row>
    <row r="552">
      <c r="A552" s="18" t="inlineStr">
        <is>
          <t xml:space="preserve">Ψ(x) — start-up</t>
        </is>
      </c>
      <c r="B552" s="19" t="inlineStr">
        <is>
          <t xml:space="preserve">psi_su</t>
        </is>
      </c>
      <c r="C552" s="20" t="inlineStr">
        <is>
          <t xml:space="preserve">-</t>
        </is>
      </c>
      <c r="D552" s="41">
        <f>IF(x_su&gt;0,(x_su-1+EXP(-x_su))/x_su^2,1/2)</f>
        <v>0.494050946506</v>
      </c>
      <c r="E552" s="51" t="inlineStr">
        <is>
          <t xml:space="preserve">As D356.</t>
        </is>
      </c>
    </row>
    <row r="553">
      <c r="A553" s="18" t="inlineStr">
        <is>
          <t xml:space="preserve">O₂ rise per gap, undiluted — start-up</t>
        </is>
      </c>
      <c r="B553" s="19" t="inlineStr">
        <is>
          <t xml:space="preserve">dy_O2_su</t>
        </is>
      </c>
      <c r="C553" s="20" t="inlineStr">
        <is>
          <t xml:space="preserve">-</t>
        </is>
      </c>
      <c r="D553" s="41">
        <f>S_O2_l*t_gap_su_h/n_hs_gas</f>
        <v>0.011115587615</v>
      </c>
      <c r="E553" s="51" t="inlineStr">
        <is>
          <t xml:space="preserve">As D357.</t>
        </is>
      </c>
    </row>
    <row r="554">
      <c r="A554" s="18" t="inlineStr">
        <is>
          <t xml:space="preserve">Headspace O₂ just before a pulse — start-up</t>
        </is>
      </c>
      <c r="B554" s="19" t="inlineStr">
        <is>
          <t xml:space="preserve">y_O2_end_su</t>
        </is>
      </c>
      <c r="C554" s="20" t="inlineStr">
        <is>
          <t xml:space="preserve">-</t>
        </is>
      </c>
      <c r="D554" s="41">
        <f>dy_O2_su*phi_su/(1-flush_ret*EXP(-x_su))</f>
        <v>0.016815548393</v>
      </c>
      <c r="E554" s="51" t="inlineStr">
        <is>
          <t xml:space="preserve">As D358.</t>
        </is>
      </c>
    </row>
    <row r="555">
      <c r="A555" s="18" t="inlineStr">
        <is>
          <t xml:space="preserve">Time-mean headspace O₂ — start-up</t>
        </is>
      </c>
      <c r="B555" s="19" t="inlineStr">
        <is>
          <t xml:space="preserve">y_O2_avg_su</t>
        </is>
      </c>
      <c r="C555" s="20" t="inlineStr">
        <is>
          <t xml:space="preserve">-</t>
        </is>
      </c>
      <c r="D555" s="41">
        <f>y_O2_end_su*flush_ret*phi_su+dy_O2_su*psi_su</f>
        <v>0.011496911008</v>
      </c>
      <c r="E555" s="51" t="inlineStr">
        <is>
          <t xml:space="preserve">As D360.</t>
        </is>
      </c>
    </row>
    <row r="556">
      <c r="A556" s="18" t="inlineStr">
        <is>
          <t xml:space="preserve">Cycle-mean DO — start-up (mg/L)</t>
        </is>
      </c>
      <c r="B556" s="19" t="inlineStr">
        <is>
          <t xml:space="preserve">DO_avg_su_mgL</t>
        </is>
      </c>
      <c r="C556" s="20" t="inlineStr">
        <is>
          <t xml:space="preserve">mg/L</t>
        </is>
      </c>
      <c r="D556" s="41">
        <f>(DO_surf_excess_lag+H_O2_T*P_dry*y_O2_avg_su)*M_O2</f>
        <v>4.122375525019</v>
      </c>
      <c r="E556" s="51" t="inlineStr">
        <is>
          <t xml:space="preserve">As D364 at the start-up interval.</t>
        </is>
      </c>
    </row>
    <row r="557">
      <c r="A557" s="18" t="inlineStr">
        <is>
          <t xml:space="preserve">Peak DO — start-up (mg/L)</t>
        </is>
      </c>
      <c r="B557" s="19" t="inlineStr">
        <is>
          <t xml:space="preserve">DO_peak_su_mgL</t>
        </is>
      </c>
      <c r="C557" s="20" t="inlineStr">
        <is>
          <t xml:space="preserve">mg/L</t>
        </is>
      </c>
      <c r="D557" s="41">
        <f>(DO_surf_excess_lag+H_O2_T*P_dry*MAX(y_O2_avg_su,y_O2_end_su-(S_O2_l-F_gap_l*y_O2_end_su)/n_hs_gas*tau_L_h))*M_O2</f>
        <v>4.122375525019</v>
      </c>
      <c r="E557" s="51" t="inlineStr">
        <is>
          <t xml:space="preserve">As D365 at the start-up interval.</t>
        </is>
      </c>
    </row>
    <row r="558">
      <c r="A558" s="18" t="inlineStr">
        <is>
          <t xml:space="preserve">Headspace H₂ just before a pulse — start-up</t>
        </is>
      </c>
      <c r="B558" s="19" t="inlineStr">
        <is>
          <t xml:space="preserve">y_H2_end_su</t>
        </is>
      </c>
      <c r="C558" s="20" t="inlineStr">
        <is>
          <t xml:space="preserve">-</t>
        </is>
      </c>
      <c r="D558" s="41">
        <f>H2_src_l*t_gap_su_h/n_hs_gas*phi_su/(1-flush_ret*EXP(-x_su))</f>
        <v>0.029076305025</v>
      </c>
      <c r="E558" s="51" t="inlineStr">
        <is>
          <t xml:space="preserve">As D388 at the start-up interval.</t>
        </is>
      </c>
    </row>
    <row r="560">
      <c r="A560" s="18" t="inlineStr">
        <is>
          <t xml:space="preserve">Pool decay rate through the vent — lag</t>
        </is>
      </c>
      <c r="B560" s="19" t="inlineStr">
        <is>
          <t xml:space="preserve">k_eff_CO2_l</t>
        </is>
      </c>
      <c r="C560" s="20" t="inlineStr">
        <is>
          <t xml:space="preserve">1/s</t>
        </is>
      </c>
      <c r="D560" s="41">
        <f>F_gap_l/3600/n_hs_gas*Vg_CO2/(V_L_CO2+Vg_CO2)</f>
        <v>7.278075122043e-05</v>
      </c>
      <c r="E560" s="51" t="inlineStr">
        <is>
          <t xml:space="preserve">As D195 on the lag gas flow (F_gap_l, D353), for the lag columns L–S of the interval grid.</t>
        </is>
      </c>
    </row>
    <row r="561">
      <c r="A561" s="18" t="inlineStr">
        <is>
          <t xml:space="preserve">pH-ceiling interval — lag (pulse in use)</t>
        </is>
      </c>
      <c r="B561" s="19" t="inlineStr">
        <is>
          <t xml:space="preserve">spg_int_pH_l</t>
        </is>
      </c>
      <c r="C561" s="20" t="inlineStr">
        <is>
          <t xml:space="preserve">min</t>
        </is>
      </c>
      <c r="D561" s="41">
        <f>IF(CO2_pH_hi_mt&lt;=0,"no pH bound",IF(INDEX(pHg_C_l,1)&lt;CO2_pH_hi_mt,"pH above the band ceiling at any interval in lag",IF(MAX(pHg_x_l)&gt;0,MAX(pHg_x_l),"no pH bound")))</f>
        <v>612.612318746651</v>
      </c>
      <c r="E561" s="51" t="inlineStr">
        <is>
          <t xml:space="preserve">As D432 on the lag phase (no fixation, lag gas flow).</t>
        </is>
      </c>
    </row>
    <row r="562">
      <c r="A562" s="18" t="inlineStr">
        <is>
          <t xml:space="preserve">pH ceiling unreachable in lag?</t>
        </is>
      </c>
      <c r="B562" s="19" t="inlineStr">
        <is>
          <t xml:space="preserve">ph_unreach_l</t>
        </is>
      </c>
      <c r="C562" s="20" t="inlineStr">
        <is>
          <t xml:space="preserve">-</t>
        </is>
      </c>
      <c r="D562" s="41" t="b">
        <f>AND(CO2_pH_hi_mt&gt;0,INDEX(pHg_C_l,1)&lt;CO2_pH_hi_mt)</f>
        <v>0</v>
      </c>
      <c r="E562" s="51" t="inlineStr">
        <is>
          <t xml:space="preserve">As D434 on the lag phase; TRUE = no executable start-up schedule.</t>
        </is>
      </c>
    </row>
    <row r="563">
      <c r="A563" s="18" t="inlineStr">
        <is>
          <t xml:space="preserve">H₂-screen interval on the optimal-pulse basis</t>
        </is>
      </c>
      <c r="B563" s="19" t="inlineStr">
        <is>
          <t xml:space="preserve">spg_int_H2safe_opt</t>
        </is>
      </c>
      <c r="C563" s="20" t="inlineStr">
        <is>
          <t xml:space="preserve">min</t>
        </is>
      </c>
      <c r="D563" s="41">
        <f>IF(ISNUMBER(spg_int_H2safe_mt),spg_int_H2safe_mt*spg_dur_eq_opt/spg_dur_eq,"any interval")</f>
        <v>2.385360196994</v>
      </c>
      <c r="E563" s="51" t="inlineStr">
        <is>
          <t xml:space="preserve">D545 restated on the basis of D91, so D420 and D547 come back to it for the pulse in use.</t>
        </is>
      </c>
    </row>
    <row r="564">
      <c r="A564" s="18" t="inlineStr">
        <is>
          <t xml:space="preserve">Time-mean headspace H₂ — lag</t>
        </is>
      </c>
      <c r="B564" s="19" t="inlineStr">
        <is>
          <t xml:space="preserve">y_H2_avg_l</t>
        </is>
      </c>
      <c r="C564" s="20" t="inlineStr">
        <is>
          <t xml:space="preserve">-</t>
        </is>
      </c>
      <c r="D564" s="41">
        <f>y_H2_end_l*flush_ret*phi_hs_l+H2_src_l*t_gap_h/n_hs_gas*psi_hs_l</f>
        <v>0.10150141388</v>
      </c>
      <c r="E564" s="51" t="inlineStr">
        <is>
          <t xml:space="preserve">Exact time average of the lag H₂ sawtooth at the schedule in use (as D360 for O₂): the figure a time-weighted headspace measurement compares with. The mean-field fraction (D352) is the flux-weighted one.</t>
        </is>
      </c>
    </row>
    <row r="565">
      <c r="A565" s="18" t="inlineStr">
        <is>
          <t xml:space="preserve">Inhibition ceiling for this organism</t>
        </is>
      </c>
      <c r="B565" s="19" t="inlineStr">
        <is>
          <t xml:space="preserve">O2_ceil_org</t>
        </is>
      </c>
      <c r="C565" s="20" t="inlineStr">
        <is>
          <t xml:space="preserve">mol/m³</t>
        </is>
      </c>
      <c r="D565" s="41">
        <f>IF(ISNUMBER(DO_toxic),MIN(O2_ceil_C,DO_toxic/M_O2),O2_ceil_C)</f>
        <v>0.314742903798</v>
      </c>
      <c r="E565" s="51" t="inlineStr">
        <is>
          <t xml:space="preserve">The organism’s own toxic DO (Biology D48, measured or tabled) when it has one, never above the generic 0.30 atm Henry ceiling (D6); otherwise that generic ceiling. Used by the DO target, the legacy guard and the peak checks.</t>
        </is>
      </c>
    </row>
  </sheetData>
  <conditionalFormatting sqref="D32">
    <cfRule type="colorScale" priority="9">
      <colorScale>
        <cfvo type="num" val="0.1"/>
        <cfvo type="num" val="1"/>
        <cfvo type="num" val="2"/>
        <color rgb="FFF8696B"/>
        <color rgb="FFFFEB84"/>
        <color rgb="FF63BE7B"/>
      </colorScale>
    </cfRule>
  </conditionalFormatting>
  <conditionalFormatting sqref="D39">
    <cfRule type="colorScale" priority="12">
      <colorScale>
        <cfvo type="num" val="0"/>
        <cfvo type="num" val="2"/>
        <cfvo type="num" val="4"/>
        <color rgb="FF63BE7B"/>
        <color rgb="FFFFEB84"/>
        <color rgb="FFF8696B"/>
      </colorScale>
    </cfRule>
  </conditionalFormatting>
  <conditionalFormatting sqref="D41">
    <cfRule type="colorScale" priority="10">
      <colorScale>
        <cfvo type="num" val="5"/>
        <cfvo type="num" val="15"/>
        <cfvo type="num" val="60"/>
        <color rgb="FFF8696B"/>
        <color rgb="FFFFEB84"/>
        <color rgb="FF63BE7B"/>
      </colorScale>
    </cfRule>
  </conditionalFormatting>
  <conditionalFormatting sqref="D51">
    <cfRule type="colorScale" priority="8">
      <colorScale>
        <cfvo type="num" val="0.5"/>
        <cfvo type="num" val="1"/>
        <cfvo type="num" val="3"/>
        <color rgb="FFF8696B"/>
        <color rgb="FFFFEB84"/>
        <color rgb="FF63BE7B"/>
      </colorScale>
    </cfRule>
  </conditionalFormatting>
  <conditionalFormatting sqref="D55">
    <cfRule type="colorScale" priority="7">
      <colorScale>
        <cfvo type="num" val="0.5"/>
        <cfvo type="num" val="1"/>
        <cfvo type="num" val="3"/>
        <color rgb="FFF8696B"/>
        <color rgb="FFFFEB84"/>
        <color rgb="FF63BE7B"/>
      </colorScale>
    </cfRule>
  </conditionalFormatting>
  <conditionalFormatting sqref="D56">
    <cfRule type="colorScale" priority="11">
      <colorScale>
        <cfvo type="num" val="5"/>
        <cfvo type="num" val="15"/>
        <cfvo type="num" val="60"/>
        <color rgb="FFF8696B"/>
        <color rgb="FFFFEB84"/>
        <color rgb="FF63BE7B"/>
      </colorScale>
    </cfRule>
  </conditionalFormatting>
  <conditionalFormatting sqref="D59">
    <cfRule type="cellIs" dxfId="6" priority="1" operator="equal">
      <formula>"OK"</formula>
    </cfRule>
    <cfRule type="cellIs" dxfId="5" priority="2" operator="equal">
      <formula>"RISK"</formula>
    </cfRule>
  </conditionalFormatting>
  <conditionalFormatting sqref="D64">
    <cfRule type="expression" dxfId="4" priority="16">
      <formula>ISNUMBER(SEARCH("OOR",D64))</formula>
    </cfRule>
  </conditionalFormatting>
  <conditionalFormatting sqref="D95">
    <cfRule type="cellIs" dxfId="3" priority="5" operator="equal">
      <formula>"OK"</formula>
    </cfRule>
    <cfRule type="cellIs" dxfId="2" priority="6" operator="equal">
      <formula>"TIGHT"</formula>
    </cfRule>
  </conditionalFormatting>
  <conditionalFormatting sqref="D110:D112">
    <cfRule type="expression" dxfId="1" priority="14">
      <formula>OR(ISNUMBER(SEARCH("RISK",D110)),ISNUMBER(SEARCH("OVER",D110)),ISNUMBER(SEARCH("BELOW",D110)),ISNUMBER(SEARCH("EXCEED",D110)),ISNUMBER(SEARCH("NO CALIB",D110)),ISNUMBER(SEARCH("NEAREST",D110)),ISNUMBER(SEARCH("EXPLOSIVE",D110)),ISNUMBER(SEARCH("LOW",D110)),ISNUMBER(SEARCH("TIGHT",D110)),ISNUMBER(SEARCH("insufficient",D110)))</formula>
    </cfRule>
    <cfRule type="expression" dxfId="0" priority="15">
      <formula>OR(ISNUMBER(SEARCH("OK",D110)),ISNUMBER(SEARCH("calibrated",D110)),ISNUMBER(SEARCH("under optimum",D110)),ISNUMBER(SEARCH("above min",D110)),ISNUMBER(SEARCH("exact",D110)))</formula>
    </cfRule>
  </conditionalFormatting>
  <dataValidations count="1">
    <dataValidation type="list" allowBlank="1" showErrorMessage="1" errorTitle="Invalid value" error="Choose Optimal or Manual." sqref="D81" xr:uid="{00000000-0002-0000-0500-000000000000}">
      <formula1>"Optimal,Manual"</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Q76"/>
  <sheetViews>
    <sheetView workbookViewId="0"/>
  </sheetViews>
  <sheetFormatPr baseColWidth="10" defaultRowHeight="15" x14ac:dyDescent="0.2"/>
  <cols>
    <col min="1" max="9" width="15" customWidth="1"/>
    <col min="10" max="10" width="14.33203125" bestFit="1" customWidth="1"/>
    <col min="12" max="12" width="62.1640625" bestFit="1" customWidth="1"/>
  </cols>
  <sheetData>
    <row r="1" spans="1:17" ht="16" customHeight="1" x14ac:dyDescent="0.2">
      <c r="A1" s="5" t="s">
        <v>0</v>
      </c>
      <c r="B1" s="4"/>
      <c r="C1" s="4"/>
      <c r="D1" s="4"/>
      <c r="E1" s="4"/>
      <c r="F1" s="4"/>
      <c r="G1" s="4"/>
      <c r="H1" s="4"/>
      <c r="I1" s="4"/>
      <c r="J1" s="4"/>
      <c r="K1" s="4"/>
      <c r="L1" s="4"/>
      <c r="M1" s="4"/>
      <c r="N1" s="4"/>
      <c r="O1" s="4"/>
      <c r="P1" s="4"/>
      <c r="Q1" s="4"/>
    </row>
    <row r="2" spans="1:17" x14ac:dyDescent="0.2">
      <c r="A2" s="6" t="s">
        <v>1</v>
      </c>
      <c r="B2" s="6" t="s">
        <v>2</v>
      </c>
      <c r="C2" s="6" t="s">
        <v>3</v>
      </c>
      <c r="D2" s="6" t="s">
        <v>4</v>
      </c>
      <c r="E2" s="6" t="s">
        <v>5</v>
      </c>
      <c r="F2" s="6" t="s">
        <v>6</v>
      </c>
      <c r="G2" s="6" t="s">
        <v>7</v>
      </c>
      <c r="H2" s="6" t="s">
        <v>8</v>
      </c>
      <c r="I2" s="6" t="s">
        <v>9</v>
      </c>
      <c r="J2" s="6" t="s">
        <v>10</v>
      </c>
      <c r="K2" s="4"/>
      <c r="L2" s="8" t="s">
        <v>11</v>
      </c>
      <c r="M2" s="6" t="s">
        <v>2630</v>
      </c>
      <c r="N2" s="6" t="s">
        <v>2631</v>
      </c>
      <c r="O2" s="4"/>
      <c r="P2" s="4"/>
      <c r="Q2" s="4"/>
    </row>
    <row r="3" spans="1:17" x14ac:dyDescent="0.2">
      <c r="A3" s="6"/>
      <c r="B3" s="6"/>
      <c r="C3" s="6" t="s">
        <v>52</v>
      </c>
      <c r="D3" s="6" t="s">
        <v>52</v>
      </c>
      <c r="E3" s="6" t="s">
        <v>52</v>
      </c>
      <c r="F3" s="6" t="s">
        <v>12</v>
      </c>
      <c r="G3" s="6" t="s">
        <v>1286</v>
      </c>
      <c r="H3" s="6" t="s">
        <v>1286</v>
      </c>
      <c r="I3" s="6" t="s">
        <v>12</v>
      </c>
      <c r="J3" s="6" t="s">
        <v>1286</v>
      </c>
      <c r="K3" s="4"/>
      <c r="L3" s="9" t="s">
        <v>13</v>
      </c>
      <c r="M3" s="6" t="s">
        <v>1286</v>
      </c>
      <c r="N3" s="6" t="s">
        <v>2632</v>
      </c>
      <c r="O3" s="7"/>
      <c r="P3" s="7"/>
      <c r="Q3" s="7"/>
    </row>
    <row r="4" spans="1:17" x14ac:dyDescent="0.2">
      <c r="A4" s="4" t="s">
        <v>14</v>
      </c>
      <c r="B4" s="163">
        <v>46190</v>
      </c>
      <c r="C4" s="164">
        <v>50</v>
      </c>
      <c r="D4" s="164">
        <v>0</v>
      </c>
      <c r="E4" s="4"/>
      <c r="F4" s="4"/>
      <c r="G4" s="4"/>
      <c r="H4" s="4"/>
      <c r="I4" s="164">
        <v>0.25</v>
      </c>
      <c r="J4" s="164">
        <v>3.33</v>
      </c>
      <c r="K4" s="4"/>
      <c r="L4" s="11" t="s">
        <v>15</v>
      </c>
      <c r="M4" s="4"/>
      <c r="N4" s="4"/>
      <c r="O4" s="12"/>
      <c r="P4" s="13"/>
      <c r="Q4" s="4"/>
    </row>
    <row r="5" spans="1:17" x14ac:dyDescent="0.2">
      <c r="A5" s="4" t="s">
        <v>14</v>
      </c>
      <c r="B5" s="163">
        <v>46190</v>
      </c>
      <c r="C5" s="164">
        <v>50</v>
      </c>
      <c r="D5" s="164">
        <v>50</v>
      </c>
      <c r="E5" s="165">
        <f>D5-D4</f>
        <v>50.0</v>
      </c>
      <c r="F5" s="166">
        <v>15</v>
      </c>
      <c r="G5" s="167">
        <f>E5/F5</f>
        <v>3.333333333333</v>
      </c>
      <c r="H5" s="167">
        <f>AVERAGE(G5)</f>
        <v>3.333333333333</v>
      </c>
      <c r="I5" s="4"/>
      <c r="J5" s="4"/>
      <c r="K5" s="4"/>
      <c r="L5" s="4"/>
      <c r="M5" s="4"/>
      <c r="N5" s="14"/>
      <c r="O5" s="4"/>
      <c r="P5" s="4"/>
      <c r="Q5" s="4"/>
    </row>
    <row r="6" spans="1:17" x14ac:dyDescent="0.2">
      <c r="A6" s="4" t="s">
        <v>14</v>
      </c>
      <c r="B6" s="163">
        <v>46190</v>
      </c>
      <c r="C6" s="164">
        <v>50</v>
      </c>
      <c r="D6" s="164">
        <v>0</v>
      </c>
      <c r="E6" s="4"/>
      <c r="F6" s="4"/>
      <c r="G6" s="4"/>
      <c r="H6" s="4"/>
      <c r="I6" s="4"/>
      <c r="J6" s="4"/>
      <c r="K6" s="8" t="s">
        <v>16</v>
      </c>
      <c r="L6" s="8" t="s">
        <v>17</v>
      </c>
      <c r="M6" s="4"/>
      <c r="N6" s="4"/>
      <c r="O6" s="4"/>
      <c r="P6" s="4"/>
      <c r="Q6" s="4"/>
    </row>
    <row r="7" spans="1:17" x14ac:dyDescent="0.2">
      <c r="A7" s="4" t="s">
        <v>14</v>
      </c>
      <c r="B7" s="163">
        <v>46190</v>
      </c>
      <c r="C7" s="164">
        <v>50</v>
      </c>
      <c r="D7" s="164">
        <v>12</v>
      </c>
      <c r="E7" s="167">
        <f>D7-D6</f>
        <v>12.0</v>
      </c>
      <c r="F7" s="164">
        <v>4</v>
      </c>
      <c r="G7" s="167">
        <f>E7/F7</f>
        <v>3.0</v>
      </c>
      <c r="H7" s="167">
        <f>AVERAGE(G7:G9)</f>
        <v>3.333333333333</v>
      </c>
      <c r="I7" s="4"/>
      <c r="J7" s="4"/>
      <c r="K7" s="4" t="s">
        <v>18</v>
      </c>
      <c r="L7" s="4" t="s">
        <v>2633</v>
      </c>
      <c r="M7" s="4"/>
      <c r="N7" s="7"/>
      <c r="O7" s="4"/>
      <c r="P7" s="4"/>
      <c r="Q7" s="4"/>
    </row>
    <row r="8" spans="1:17" x14ac:dyDescent="0.2">
      <c r="A8" s="4" t="s">
        <v>14</v>
      </c>
      <c r="B8" s="163">
        <v>46190</v>
      </c>
      <c r="C8" s="164">
        <v>50</v>
      </c>
      <c r="D8" s="164">
        <v>26</v>
      </c>
      <c r="E8" s="167">
        <f>D8-D7</f>
        <v>14.0</v>
      </c>
      <c r="F8" s="164">
        <v>4</v>
      </c>
      <c r="G8" s="167">
        <f>E8/F8</f>
        <v>3.5</v>
      </c>
      <c r="H8" s="4"/>
      <c r="I8" s="4"/>
      <c r="J8" s="4"/>
      <c r="K8" s="163">
        <v>46190</v>
      </c>
      <c r="L8" s="4" t="s">
        <v>19</v>
      </c>
      <c r="M8" s="4"/>
      <c r="N8" s="4"/>
      <c r="O8" s="4"/>
      <c r="P8" s="4"/>
      <c r="Q8" s="4"/>
    </row>
    <row r="9" spans="1:17" x14ac:dyDescent="0.2">
      <c r="A9" s="4" t="s">
        <v>14</v>
      </c>
      <c r="B9" s="163">
        <v>46190</v>
      </c>
      <c r="C9" s="164">
        <v>50</v>
      </c>
      <c r="D9" s="164">
        <v>40</v>
      </c>
      <c r="E9" s="167">
        <f>D9-D8</f>
        <v>14.0</v>
      </c>
      <c r="F9" s="164">
        <v>4</v>
      </c>
      <c r="G9" s="167">
        <f>E9/F9</f>
        <v>3.5</v>
      </c>
      <c r="H9" s="4"/>
      <c r="I9" s="4"/>
      <c r="J9" s="4"/>
      <c r="K9" s="163">
        <v>46190</v>
      </c>
      <c r="L9" s="4" t="s">
        <v>2634</v>
      </c>
      <c r="M9" s="4"/>
      <c r="N9" s="4"/>
      <c r="O9" s="4"/>
      <c r="P9" s="4"/>
      <c r="Q9" s="4"/>
    </row>
    <row r="10" spans="1:17" x14ac:dyDescent="0.2">
      <c r="A10" s="4" t="s">
        <v>14</v>
      </c>
      <c r="B10" s="163">
        <v>46190</v>
      </c>
      <c r="C10" s="164">
        <v>50</v>
      </c>
      <c r="D10" s="164">
        <v>0</v>
      </c>
      <c r="E10" s="4"/>
      <c r="F10" s="4"/>
      <c r="G10" s="4"/>
      <c r="H10" s="4"/>
      <c r="I10" s="4"/>
      <c r="J10" s="4"/>
      <c r="K10" s="4"/>
      <c r="L10" s="4" t="s">
        <v>2635</v>
      </c>
      <c r="M10" s="4"/>
      <c r="N10" s="4"/>
      <c r="O10" s="4"/>
      <c r="P10" s="4"/>
      <c r="Q10" s="4"/>
    </row>
    <row r="11" spans="1:17" x14ac:dyDescent="0.2">
      <c r="A11" s="4" t="s">
        <v>14</v>
      </c>
      <c r="B11" s="163">
        <v>46190</v>
      </c>
      <c r="C11" s="164">
        <v>50</v>
      </c>
      <c r="D11" s="164">
        <v>6</v>
      </c>
      <c r="E11" s="167">
        <f t="shared" ref="E11:E16" si="0">D11-D10</f>
        <v>6.0</v>
      </c>
      <c r="F11" s="164">
        <v>2</v>
      </c>
      <c r="G11" s="167">
        <f t="shared" ref="G11:G16" si="1">E11/F11</f>
        <v>3.0</v>
      </c>
      <c r="H11" s="167">
        <f>AVERAGE(G11:G16)</f>
        <v>3.75</v>
      </c>
      <c r="I11" s="4"/>
      <c r="J11" s="4"/>
      <c r="K11" s="4"/>
      <c r="L11" s="4" t="s">
        <v>2636</v>
      </c>
      <c r="M11" s="4"/>
      <c r="N11" s="4"/>
      <c r="O11" s="4"/>
      <c r="P11" s="4"/>
      <c r="Q11" s="4"/>
    </row>
    <row r="12" spans="1:17" x14ac:dyDescent="0.2">
      <c r="A12" s="4" t="s">
        <v>14</v>
      </c>
      <c r="B12" s="163">
        <v>46190</v>
      </c>
      <c r="C12" s="164">
        <v>50</v>
      </c>
      <c r="D12" s="164">
        <v>15</v>
      </c>
      <c r="E12" s="167">
        <f t="shared" si="0"/>
        <v>9.0</v>
      </c>
      <c r="F12" s="164">
        <v>2</v>
      </c>
      <c r="G12" s="167">
        <f t="shared" si="1"/>
        <v>4.5</v>
      </c>
      <c r="H12" s="4"/>
      <c r="I12" s="4"/>
      <c r="J12" s="4"/>
      <c r="K12" s="4"/>
      <c r="L12" s="4"/>
      <c r="M12" s="4"/>
      <c r="N12" s="4"/>
      <c r="O12" s="4"/>
      <c r="P12" s="4"/>
      <c r="Q12" s="4"/>
    </row>
    <row r="13" spans="1:17" x14ac:dyDescent="0.2">
      <c r="A13" s="4" t="s">
        <v>14</v>
      </c>
      <c r="B13" s="163">
        <v>46190</v>
      </c>
      <c r="C13" s="164">
        <v>50</v>
      </c>
      <c r="D13" s="164">
        <v>21</v>
      </c>
      <c r="E13" s="167">
        <f t="shared" si="0"/>
        <v>6.0</v>
      </c>
      <c r="F13" s="164">
        <v>2</v>
      </c>
      <c r="G13" s="167">
        <f t="shared" si="1"/>
        <v>3.0</v>
      </c>
      <c r="H13" s="4"/>
      <c r="I13" s="4"/>
      <c r="J13" s="4"/>
      <c r="K13" s="4"/>
      <c r="L13" s="4"/>
      <c r="M13" s="4"/>
      <c r="N13" s="4"/>
      <c r="O13" s="4"/>
      <c r="P13" s="4"/>
      <c r="Q13" s="4"/>
    </row>
    <row r="14" spans="1:17" x14ac:dyDescent="0.2">
      <c r="A14" s="4" t="s">
        <v>14</v>
      </c>
      <c r="B14" s="163">
        <v>46190</v>
      </c>
      <c r="C14" s="164">
        <v>50</v>
      </c>
      <c r="D14" s="164">
        <v>29</v>
      </c>
      <c r="E14" s="167">
        <f t="shared" si="0"/>
        <v>8.0</v>
      </c>
      <c r="F14" s="164">
        <v>2</v>
      </c>
      <c r="G14" s="167">
        <f t="shared" si="1"/>
        <v>4.0</v>
      </c>
      <c r="H14" s="4"/>
      <c r="I14" s="4"/>
      <c r="J14" s="4"/>
      <c r="K14" s="4"/>
      <c r="L14" s="4"/>
      <c r="M14" s="4"/>
      <c r="N14" s="4"/>
      <c r="O14" s="4"/>
      <c r="P14" s="4"/>
      <c r="Q14" s="4"/>
    </row>
    <row r="15" spans="1:17" x14ac:dyDescent="0.2">
      <c r="A15" s="4" t="s">
        <v>14</v>
      </c>
      <c r="B15" s="163">
        <v>46190</v>
      </c>
      <c r="C15" s="164">
        <v>50</v>
      </c>
      <c r="D15" s="164">
        <v>35</v>
      </c>
      <c r="E15" s="167">
        <f t="shared" si="0"/>
        <v>6.0</v>
      </c>
      <c r="F15" s="164">
        <v>2</v>
      </c>
      <c r="G15" s="167">
        <f t="shared" si="1"/>
        <v>3.0</v>
      </c>
      <c r="H15" s="4"/>
      <c r="I15" s="4"/>
      <c r="J15" s="4"/>
      <c r="K15" s="4"/>
      <c r="L15" s="4"/>
      <c r="M15" s="4"/>
      <c r="N15" s="4"/>
      <c r="O15" s="4"/>
      <c r="P15" s="4"/>
      <c r="Q15" s="4"/>
    </row>
    <row r="16" spans="1:17" x14ac:dyDescent="0.2">
      <c r="A16" s="4" t="s">
        <v>14</v>
      </c>
      <c r="B16" s="163">
        <v>46190</v>
      </c>
      <c r="C16" s="164">
        <v>50</v>
      </c>
      <c r="D16" s="164">
        <v>45</v>
      </c>
      <c r="E16" s="167">
        <f t="shared" si="0"/>
        <v>10.0</v>
      </c>
      <c r="F16" s="164">
        <v>2</v>
      </c>
      <c r="G16" s="167">
        <f t="shared" si="1"/>
        <v>5.0</v>
      </c>
      <c r="H16" s="4"/>
      <c r="I16" s="4"/>
      <c r="J16" s="4"/>
      <c r="K16" s="4"/>
      <c r="L16" s="4"/>
      <c r="M16" s="4"/>
      <c r="N16" s="4"/>
      <c r="O16" s="4"/>
      <c r="P16" s="4"/>
      <c r="Q16" s="4"/>
    </row>
    <row r="17" spans="1:17" x14ac:dyDescent="0.2">
      <c r="A17" s="4" t="s">
        <v>14</v>
      </c>
      <c r="B17" s="163">
        <v>46190</v>
      </c>
      <c r="C17" s="164">
        <v>50</v>
      </c>
      <c r="D17" s="164">
        <v>0</v>
      </c>
      <c r="E17" s="4"/>
      <c r="F17" s="4"/>
      <c r="G17" s="4"/>
      <c r="H17" s="4"/>
      <c r="I17" s="4"/>
      <c r="J17" s="4"/>
      <c r="K17" s="4"/>
      <c r="L17" s="4"/>
      <c r="M17" s="4"/>
      <c r="N17" s="4"/>
      <c r="O17" s="4"/>
      <c r="P17" s="4"/>
      <c r="Q17" s="4"/>
    </row>
    <row r="18" spans="1:17" x14ac:dyDescent="0.2">
      <c r="A18" s="4" t="s">
        <v>14</v>
      </c>
      <c r="B18" s="163">
        <v>46190</v>
      </c>
      <c r="C18" s="164">
        <v>50</v>
      </c>
      <c r="D18" s="164">
        <v>4</v>
      </c>
      <c r="E18" s="167">
        <f t="shared" ref="E18:E23" si="2">D18-D17</f>
        <v>4.0</v>
      </c>
      <c r="F18" s="164">
        <v>1</v>
      </c>
      <c r="G18" s="167">
        <f t="shared" ref="G18:G23" si="3">E18/F18</f>
        <v>4.0</v>
      </c>
      <c r="H18" s="167">
        <f>AVERAGE(G18:G23)</f>
        <v>3.833333333333</v>
      </c>
      <c r="I18" s="4"/>
      <c r="J18" s="4"/>
      <c r="K18" s="4"/>
      <c r="L18" s="4"/>
      <c r="M18" s="4"/>
      <c r="N18" s="4"/>
      <c r="O18" s="4"/>
      <c r="P18" s="4"/>
      <c r="Q18" s="4"/>
    </row>
    <row r="19" spans="1:17" x14ac:dyDescent="0.2">
      <c r="A19" s="4" t="s">
        <v>14</v>
      </c>
      <c r="B19" s="163">
        <v>46190</v>
      </c>
      <c r="C19" s="164">
        <v>50</v>
      </c>
      <c r="D19" s="164">
        <v>8</v>
      </c>
      <c r="E19" s="167">
        <f t="shared" si="2"/>
        <v>4.0</v>
      </c>
      <c r="F19" s="164">
        <v>1</v>
      </c>
      <c r="G19" s="167">
        <f t="shared" si="3"/>
        <v>4.0</v>
      </c>
      <c r="H19" s="4"/>
      <c r="I19" s="4"/>
      <c r="J19" s="4"/>
      <c r="K19" s="4"/>
      <c r="L19" s="4"/>
      <c r="M19" s="4"/>
      <c r="N19" s="4"/>
      <c r="O19" s="4"/>
      <c r="P19" s="4"/>
      <c r="Q19" s="4"/>
    </row>
    <row r="20" spans="1:17" x14ac:dyDescent="0.2">
      <c r="A20" s="4" t="s">
        <v>14</v>
      </c>
      <c r="B20" s="163">
        <v>46190</v>
      </c>
      <c r="C20" s="164">
        <v>50</v>
      </c>
      <c r="D20" s="164">
        <v>11</v>
      </c>
      <c r="E20" s="167">
        <f t="shared" si="2"/>
        <v>3.0</v>
      </c>
      <c r="F20" s="164">
        <v>1</v>
      </c>
      <c r="G20" s="167">
        <f t="shared" si="3"/>
        <v>3.0</v>
      </c>
      <c r="H20" s="4"/>
      <c r="I20" s="4"/>
      <c r="J20" s="4"/>
      <c r="K20" s="4"/>
      <c r="L20" s="4"/>
      <c r="M20" s="4"/>
      <c r="N20" s="4"/>
      <c r="O20" s="4"/>
      <c r="P20" s="4"/>
      <c r="Q20" s="4"/>
    </row>
    <row r="21" spans="1:17" x14ac:dyDescent="0.2">
      <c r="A21" s="4" t="s">
        <v>14</v>
      </c>
      <c r="B21" s="163">
        <v>46190</v>
      </c>
      <c r="C21" s="164">
        <v>50</v>
      </c>
      <c r="D21" s="164">
        <v>15</v>
      </c>
      <c r="E21" s="167">
        <f t="shared" si="2"/>
        <v>4.0</v>
      </c>
      <c r="F21" s="164">
        <v>1</v>
      </c>
      <c r="G21" s="167">
        <f t="shared" si="3"/>
        <v>4.0</v>
      </c>
      <c r="H21" s="4"/>
      <c r="I21" s="4"/>
      <c r="J21" s="4"/>
      <c r="K21" s="4"/>
      <c r="L21" s="4"/>
      <c r="M21" s="4"/>
      <c r="N21" s="4"/>
      <c r="O21" s="4"/>
      <c r="P21" s="4"/>
      <c r="Q21" s="4"/>
    </row>
    <row r="22" spans="1:17" x14ac:dyDescent="0.2">
      <c r="A22" s="4" t="s">
        <v>14</v>
      </c>
      <c r="B22" s="163">
        <v>46190</v>
      </c>
      <c r="C22" s="164">
        <v>50</v>
      </c>
      <c r="D22" s="164">
        <v>19</v>
      </c>
      <c r="E22" s="167">
        <f t="shared" si="2"/>
        <v>4.0</v>
      </c>
      <c r="F22" s="164">
        <v>1</v>
      </c>
      <c r="G22" s="167">
        <f t="shared" si="3"/>
        <v>4.0</v>
      </c>
      <c r="H22" s="4"/>
      <c r="I22" s="4"/>
      <c r="J22" s="4"/>
      <c r="K22" s="4"/>
      <c r="L22" s="4"/>
      <c r="M22" s="4"/>
      <c r="N22" s="4"/>
      <c r="O22" s="4"/>
      <c r="P22" s="4"/>
      <c r="Q22" s="4"/>
    </row>
    <row r="23" spans="1:17" x14ac:dyDescent="0.2">
      <c r="A23" s="4" t="s">
        <v>14</v>
      </c>
      <c r="B23" s="163">
        <v>46190</v>
      </c>
      <c r="C23" s="164">
        <v>50</v>
      </c>
      <c r="D23" s="164">
        <v>23</v>
      </c>
      <c r="E23" s="167">
        <f t="shared" si="2"/>
        <v>4.0</v>
      </c>
      <c r="F23" s="164">
        <v>1</v>
      </c>
      <c r="G23" s="167">
        <f t="shared" si="3"/>
        <v>4.0</v>
      </c>
      <c r="H23" s="4"/>
      <c r="I23" s="4"/>
      <c r="J23" s="4"/>
      <c r="K23" s="4"/>
      <c r="L23" s="4"/>
      <c r="M23" s="4"/>
      <c r="N23" s="4"/>
      <c r="O23" s="4"/>
      <c r="P23" s="4"/>
      <c r="Q23" s="4"/>
    </row>
    <row r="24" spans="1:17" x14ac:dyDescent="0.2">
      <c r="A24" s="4" t="s">
        <v>14</v>
      </c>
      <c r="B24" s="163">
        <v>46190</v>
      </c>
      <c r="C24" s="164">
        <v>50</v>
      </c>
      <c r="D24" s="164">
        <v>31</v>
      </c>
      <c r="E24" s="4"/>
      <c r="F24" s="4"/>
      <c r="G24" s="4"/>
      <c r="H24" s="4"/>
      <c r="I24" s="4"/>
      <c r="J24" s="4"/>
      <c r="K24" s="4"/>
      <c r="L24" s="4"/>
      <c r="M24" s="4"/>
      <c r="N24" s="4"/>
      <c r="O24" s="4"/>
      <c r="P24" s="4"/>
      <c r="Q24" s="4"/>
    </row>
    <row r="25" spans="1:17" x14ac:dyDescent="0.2">
      <c r="A25" s="4" t="s">
        <v>14</v>
      </c>
      <c r="B25" s="163">
        <v>46190</v>
      </c>
      <c r="C25" s="164">
        <v>50</v>
      </c>
      <c r="D25" s="164">
        <v>33</v>
      </c>
      <c r="E25" s="167">
        <f t="shared" ref="E25:E39" si="4">D25-D24</f>
        <v>2.0</v>
      </c>
      <c r="F25" s="164">
        <v>0.5</v>
      </c>
      <c r="G25" s="167">
        <f t="shared" ref="G25:G34" si="5">E25/F25</f>
        <v>4.0</v>
      </c>
      <c r="H25" s="167">
        <f>AVERAGE(G25:G29)</f>
        <v>4.0</v>
      </c>
      <c r="I25" s="4"/>
      <c r="J25" s="4"/>
      <c r="K25" s="4"/>
      <c r="L25" s="4"/>
      <c r="M25" s="4"/>
      <c r="N25" s="4"/>
      <c r="O25" s="4"/>
      <c r="P25" s="4"/>
      <c r="Q25" s="4"/>
    </row>
    <row r="26" spans="1:17" x14ac:dyDescent="0.2">
      <c r="A26" s="4" t="s">
        <v>14</v>
      </c>
      <c r="B26" s="163">
        <v>46190</v>
      </c>
      <c r="C26" s="164">
        <v>50</v>
      </c>
      <c r="D26" s="164">
        <v>35</v>
      </c>
      <c r="E26" s="167">
        <f t="shared" si="4"/>
        <v>2.0</v>
      </c>
      <c r="F26" s="164">
        <v>0.5</v>
      </c>
      <c r="G26" s="167">
        <f t="shared" si="5"/>
        <v>4.0</v>
      </c>
      <c r="H26" s="4"/>
      <c r="I26" s="4"/>
      <c r="J26" s="4"/>
      <c r="K26" s="4"/>
      <c r="L26" s="4"/>
      <c r="M26" s="4"/>
      <c r="N26" s="4"/>
      <c r="O26" s="4"/>
      <c r="P26" s="4"/>
      <c r="Q26" s="4"/>
    </row>
    <row r="27" spans="1:17" x14ac:dyDescent="0.2">
      <c r="A27" s="4" t="s">
        <v>14</v>
      </c>
      <c r="B27" s="163">
        <v>46190</v>
      </c>
      <c r="C27" s="164">
        <v>50</v>
      </c>
      <c r="D27" s="164">
        <v>37</v>
      </c>
      <c r="E27" s="167">
        <f t="shared" si="4"/>
        <v>2.0</v>
      </c>
      <c r="F27" s="164">
        <v>0.5</v>
      </c>
      <c r="G27" s="167">
        <f t="shared" si="5"/>
        <v>4.0</v>
      </c>
      <c r="H27" s="4"/>
      <c r="I27" s="4"/>
      <c r="J27" s="4"/>
      <c r="K27" s="4"/>
      <c r="L27" s="4"/>
      <c r="M27" s="4"/>
      <c r="N27" s="4"/>
      <c r="O27" s="4"/>
      <c r="P27" s="4"/>
      <c r="Q27" s="4"/>
    </row>
    <row r="28" spans="1:17" x14ac:dyDescent="0.2">
      <c r="A28" s="4" t="s">
        <v>14</v>
      </c>
      <c r="B28" s="163">
        <v>46190</v>
      </c>
      <c r="C28" s="164">
        <v>50</v>
      </c>
      <c r="D28" s="164">
        <v>39</v>
      </c>
      <c r="E28" s="167">
        <f t="shared" si="4"/>
        <v>2.0</v>
      </c>
      <c r="F28" s="164">
        <v>0.5</v>
      </c>
      <c r="G28" s="167">
        <f t="shared" si="5"/>
        <v>4.0</v>
      </c>
      <c r="H28" s="4"/>
      <c r="I28" s="4"/>
      <c r="J28" s="4"/>
      <c r="K28" s="4"/>
      <c r="L28" s="4"/>
      <c r="M28" s="4"/>
      <c r="N28" s="4"/>
      <c r="O28" s="4"/>
      <c r="P28" s="4"/>
      <c r="Q28" s="4"/>
    </row>
    <row r="29" spans="1:17" x14ac:dyDescent="0.2">
      <c r="A29" s="4" t="s">
        <v>14</v>
      </c>
      <c r="B29" s="163">
        <v>46190</v>
      </c>
      <c r="C29" s="164">
        <v>50</v>
      </c>
      <c r="D29" s="164">
        <v>41</v>
      </c>
      <c r="E29" s="167">
        <f t="shared" si="4"/>
        <v>2.0</v>
      </c>
      <c r="F29" s="164">
        <v>0.5</v>
      </c>
      <c r="G29" s="167">
        <f t="shared" si="5"/>
        <v>4.0</v>
      </c>
      <c r="H29" s="4"/>
      <c r="I29" s="4"/>
      <c r="J29" s="4"/>
      <c r="K29" s="4"/>
      <c r="L29" s="4"/>
      <c r="M29" s="4"/>
      <c r="N29" s="4"/>
      <c r="O29" s="4"/>
      <c r="P29" s="4"/>
      <c r="Q29" s="4"/>
    </row>
    <row r="30" spans="1:17" x14ac:dyDescent="0.2">
      <c r="A30" s="4" t="s">
        <v>14</v>
      </c>
      <c r="B30" s="163">
        <v>46190</v>
      </c>
      <c r="C30" s="164">
        <v>50</v>
      </c>
      <c r="D30" s="164">
        <v>42</v>
      </c>
      <c r="E30" s="167">
        <f t="shared" si="4"/>
        <v>1.0</v>
      </c>
      <c r="F30" s="164">
        <v>0.25</v>
      </c>
      <c r="G30" s="167">
        <f t="shared" si="5"/>
        <v>4.0</v>
      </c>
      <c r="H30" s="167">
        <f>AVERAGE(G30:G34)</f>
        <v>4.0</v>
      </c>
      <c r="I30" s="4"/>
      <c r="J30" s="4"/>
      <c r="K30" s="4"/>
      <c r="L30" s="4"/>
      <c r="M30" s="4"/>
      <c r="N30" s="4"/>
      <c r="O30" s="4"/>
      <c r="P30" s="4"/>
      <c r="Q30" s="4"/>
    </row>
    <row r="31" spans="1:17" x14ac:dyDescent="0.2">
      <c r="A31" s="4" t="s">
        <v>14</v>
      </c>
      <c r="B31" s="163">
        <v>46190</v>
      </c>
      <c r="C31" s="164">
        <v>50</v>
      </c>
      <c r="D31" s="164">
        <v>43</v>
      </c>
      <c r="E31" s="167">
        <f t="shared" si="4"/>
        <v>1.0</v>
      </c>
      <c r="F31" s="164">
        <v>0.25</v>
      </c>
      <c r="G31" s="167">
        <f t="shared" si="5"/>
        <v>4.0</v>
      </c>
      <c r="H31" s="4"/>
      <c r="I31" s="4"/>
      <c r="J31" s="4"/>
      <c r="K31" s="4"/>
      <c r="L31" s="4"/>
      <c r="M31" s="4"/>
      <c r="N31" s="4"/>
      <c r="O31" s="4"/>
      <c r="P31" s="4"/>
      <c r="Q31" s="4"/>
    </row>
    <row r="32" spans="1:17" x14ac:dyDescent="0.2">
      <c r="A32" s="4" t="s">
        <v>14</v>
      </c>
      <c r="B32" s="163">
        <v>46190</v>
      </c>
      <c r="C32" s="164">
        <v>50</v>
      </c>
      <c r="D32" s="164">
        <v>44</v>
      </c>
      <c r="E32" s="167">
        <f t="shared" si="4"/>
        <v>1.0</v>
      </c>
      <c r="F32" s="164">
        <v>0.25</v>
      </c>
      <c r="G32" s="167">
        <f t="shared" si="5"/>
        <v>4.0</v>
      </c>
      <c r="H32" s="4"/>
      <c r="I32" s="4"/>
      <c r="J32" s="4"/>
      <c r="K32" s="4"/>
      <c r="L32" s="4"/>
      <c r="M32" s="4"/>
      <c r="N32" s="4"/>
      <c r="O32" s="4"/>
      <c r="P32" s="4"/>
      <c r="Q32" s="4"/>
    </row>
    <row r="33" spans="1:17" x14ac:dyDescent="0.2">
      <c r="A33" s="4" t="s">
        <v>14</v>
      </c>
      <c r="B33" s="163">
        <v>46190</v>
      </c>
      <c r="C33" s="164">
        <v>50</v>
      </c>
      <c r="D33" s="164">
        <v>45</v>
      </c>
      <c r="E33" s="167">
        <f t="shared" si="4"/>
        <v>1.0</v>
      </c>
      <c r="F33" s="164">
        <v>0.25</v>
      </c>
      <c r="G33" s="167">
        <f t="shared" si="5"/>
        <v>4.0</v>
      </c>
      <c r="H33" s="4"/>
      <c r="I33" s="4"/>
      <c r="J33" s="4"/>
      <c r="K33" s="4"/>
      <c r="L33" s="4"/>
      <c r="M33" s="4"/>
      <c r="N33" s="4"/>
      <c r="O33" s="4"/>
      <c r="P33" s="4"/>
      <c r="Q33" s="4"/>
    </row>
    <row r="34" spans="1:17" x14ac:dyDescent="0.2">
      <c r="A34" s="4" t="s">
        <v>14</v>
      </c>
      <c r="B34" s="163">
        <v>46190</v>
      </c>
      <c r="C34" s="164">
        <v>50</v>
      </c>
      <c r="D34" s="164">
        <v>46</v>
      </c>
      <c r="E34" s="167">
        <f t="shared" si="4"/>
        <v>1.0</v>
      </c>
      <c r="F34" s="164">
        <v>0.25</v>
      </c>
      <c r="G34" s="167">
        <f t="shared" si="5"/>
        <v>4.0</v>
      </c>
      <c r="H34" s="4"/>
      <c r="I34" s="4"/>
      <c r="J34" s="4"/>
      <c r="K34" s="4"/>
      <c r="L34" s="4"/>
      <c r="M34" s="4"/>
      <c r="N34" s="4"/>
      <c r="O34" s="4"/>
      <c r="P34" s="4"/>
      <c r="Q34" s="4"/>
    </row>
    <row r="35" spans="1:17" x14ac:dyDescent="0.2">
      <c r="A35" s="4" t="s">
        <v>14</v>
      </c>
      <c r="B35" s="163">
        <v>46190</v>
      </c>
      <c r="C35" s="164">
        <v>10</v>
      </c>
      <c r="D35" s="164">
        <v>0</v>
      </c>
      <c r="E35" s="167">
        <f t="shared" si="4"/>
        <v>-46.0</v>
      </c>
      <c r="F35" s="4"/>
      <c r="G35" s="4"/>
      <c r="H35" s="4"/>
      <c r="I35" s="4"/>
      <c r="J35" s="4"/>
      <c r="K35" s="4"/>
      <c r="L35" s="4"/>
      <c r="M35" s="4"/>
      <c r="N35" s="4"/>
      <c r="O35" s="4"/>
      <c r="P35" s="4"/>
      <c r="Q35" s="4"/>
    </row>
    <row r="36" spans="1:17" x14ac:dyDescent="0.2">
      <c r="A36" s="4" t="s">
        <v>14</v>
      </c>
      <c r="B36" s="163">
        <v>46190</v>
      </c>
      <c r="C36" s="164">
        <v>10</v>
      </c>
      <c r="D36" s="164">
        <v>0.4</v>
      </c>
      <c r="E36" s="167">
        <f t="shared" si="4"/>
        <v>0.4</v>
      </c>
      <c r="F36" s="164">
        <v>0.2</v>
      </c>
      <c r="G36" s="168">
        <f>E36/F36</f>
        <v>2.0</v>
      </c>
      <c r="H36" s="4"/>
      <c r="I36" s="4"/>
      <c r="J36" s="4"/>
      <c r="K36" s="4"/>
      <c r="L36" s="4"/>
      <c r="M36" s="4"/>
      <c r="N36" s="164">
        <v>1</v>
      </c>
      <c r="O36" s="4"/>
      <c r="P36" s="4"/>
      <c r="Q36" s="4"/>
    </row>
    <row r="37" spans="1:17" x14ac:dyDescent="0.2">
      <c r="A37" s="4" t="s">
        <v>14</v>
      </c>
      <c r="B37" s="163">
        <v>46190</v>
      </c>
      <c r="C37" s="164">
        <v>10</v>
      </c>
      <c r="D37" s="164">
        <v>1.2</v>
      </c>
      <c r="E37" s="167">
        <f t="shared" si="4"/>
        <v>0.8</v>
      </c>
      <c r="F37" s="164">
        <v>0.2</v>
      </c>
      <c r="G37" s="167">
        <f>E37/F37</f>
        <v>4.0</v>
      </c>
      <c r="H37" s="167">
        <f>AVERAGE(G37:G39)</f>
        <v>4.333333333333</v>
      </c>
      <c r="I37" s="4"/>
      <c r="J37" s="4"/>
      <c r="K37" s="4"/>
      <c r="L37" s="4"/>
      <c r="M37" s="4"/>
      <c r="N37" s="4"/>
      <c r="O37" s="4"/>
      <c r="P37" s="4"/>
      <c r="Q37" s="4"/>
    </row>
    <row r="38" spans="1:17" x14ac:dyDescent="0.2">
      <c r="A38" s="4" t="s">
        <v>14</v>
      </c>
      <c r="B38" s="163">
        <v>46190</v>
      </c>
      <c r="C38" s="164">
        <v>10</v>
      </c>
      <c r="D38" s="164">
        <v>2.2000000000000002</v>
      </c>
      <c r="E38" s="167">
        <f t="shared" si="4"/>
        <v>1.0</v>
      </c>
      <c r="F38" s="164">
        <v>0.2</v>
      </c>
      <c r="G38" s="167">
        <f>E38/F38</f>
        <v>5.0</v>
      </c>
      <c r="H38" s="4"/>
      <c r="I38" s="4"/>
      <c r="J38" s="4"/>
      <c r="K38" s="4"/>
      <c r="L38" s="4"/>
      <c r="M38" s="4"/>
      <c r="N38" s="4"/>
      <c r="O38" s="4"/>
      <c r="P38" s="4"/>
      <c r="Q38" s="4"/>
    </row>
    <row r="39" spans="1:17" x14ac:dyDescent="0.2">
      <c r="A39" s="4" t="s">
        <v>14</v>
      </c>
      <c r="B39" s="163">
        <v>46190</v>
      </c>
      <c r="C39" s="164">
        <v>10</v>
      </c>
      <c r="D39" s="164">
        <v>3</v>
      </c>
      <c r="E39" s="167">
        <f t="shared" si="4"/>
        <v>0.8</v>
      </c>
      <c r="F39" s="164">
        <v>0.2</v>
      </c>
      <c r="G39" s="167">
        <f>E39/F39</f>
        <v>4.0</v>
      </c>
      <c r="H39" s="4"/>
      <c r="I39" s="4"/>
      <c r="J39" s="4"/>
      <c r="K39" s="4"/>
      <c r="L39" s="4"/>
      <c r="M39" s="4"/>
      <c r="N39" s="4"/>
      <c r="O39" s="4"/>
      <c r="P39" s="4"/>
      <c r="Q39" s="4"/>
    </row>
    <row r="40" spans="1:17" x14ac:dyDescent="0.2">
      <c r="A40" s="4" t="s">
        <v>14</v>
      </c>
      <c r="B40" s="163">
        <v>46190</v>
      </c>
      <c r="C40" s="164">
        <v>10</v>
      </c>
      <c r="D40" s="164">
        <v>0</v>
      </c>
      <c r="E40" s="4"/>
      <c r="F40" s="4"/>
      <c r="G40" s="4"/>
      <c r="H40" s="4"/>
      <c r="I40" s="4"/>
      <c r="J40" s="4"/>
      <c r="K40" s="4"/>
      <c r="L40" s="4"/>
      <c r="M40" s="4"/>
      <c r="N40" s="4"/>
      <c r="O40" s="4"/>
      <c r="P40" s="4"/>
      <c r="Q40" s="4"/>
    </row>
    <row r="41" spans="1:17" x14ac:dyDescent="0.2">
      <c r="A41" s="4" t="s">
        <v>14</v>
      </c>
      <c r="B41" s="163">
        <v>46190</v>
      </c>
      <c r="C41" s="164">
        <v>10</v>
      </c>
      <c r="D41" s="164">
        <v>0.4</v>
      </c>
      <c r="E41" s="167">
        <f t="shared" ref="E41:E46" si="6">D41-D40</f>
        <v>0.4</v>
      </c>
      <c r="F41" s="164">
        <v>0.1</v>
      </c>
      <c r="G41" s="167">
        <f t="shared" ref="G41:G46" si="7">E41/F41</f>
        <v>4.0</v>
      </c>
      <c r="H41" s="167">
        <f>AVERAGE(G41:G45)</f>
        <v>5.2</v>
      </c>
      <c r="I41" s="4"/>
      <c r="J41" s="4"/>
      <c r="K41" s="4"/>
      <c r="L41" s="4"/>
      <c r="M41" s="4"/>
      <c r="N41" s="4"/>
      <c r="O41" s="4"/>
      <c r="P41" s="4"/>
      <c r="Q41" s="4"/>
    </row>
    <row r="42" spans="1:17" x14ac:dyDescent="0.2">
      <c r="A42" s="4" t="s">
        <v>14</v>
      </c>
      <c r="B42" s="163">
        <v>46190</v>
      </c>
      <c r="C42" s="164">
        <v>10</v>
      </c>
      <c r="D42" s="164">
        <v>0.8</v>
      </c>
      <c r="E42" s="167">
        <f t="shared" si="6"/>
        <v>0.4</v>
      </c>
      <c r="F42" s="164">
        <v>0.1</v>
      </c>
      <c r="G42" s="167">
        <f t="shared" si="7"/>
        <v>4.0</v>
      </c>
      <c r="H42" s="4"/>
      <c r="I42" s="4"/>
      <c r="J42" s="4"/>
      <c r="K42" s="4"/>
      <c r="L42" s="4"/>
      <c r="M42" s="4"/>
      <c r="N42" s="4"/>
      <c r="O42" s="4"/>
      <c r="P42" s="4"/>
      <c r="Q42" s="4"/>
    </row>
    <row r="43" spans="1:17" x14ac:dyDescent="0.2">
      <c r="A43" s="4" t="s">
        <v>14</v>
      </c>
      <c r="B43" s="163">
        <v>46190</v>
      </c>
      <c r="C43" s="164">
        <v>10</v>
      </c>
      <c r="D43" s="164">
        <v>1.4</v>
      </c>
      <c r="E43" s="167">
        <f t="shared" si="6"/>
        <v>0.6</v>
      </c>
      <c r="F43" s="164">
        <v>0.1</v>
      </c>
      <c r="G43" s="167">
        <f t="shared" si="7"/>
        <v>6.0</v>
      </c>
      <c r="H43" s="4"/>
      <c r="I43" s="4"/>
      <c r="J43" s="4"/>
      <c r="K43" s="4"/>
      <c r="L43" s="4"/>
      <c r="M43" s="4"/>
      <c r="N43" s="4"/>
      <c r="O43" s="4"/>
      <c r="P43" s="4"/>
      <c r="Q43" s="4"/>
    </row>
    <row r="44" spans="1:17" x14ac:dyDescent="0.2">
      <c r="A44" s="4" t="s">
        <v>14</v>
      </c>
      <c r="B44" s="163">
        <v>46190</v>
      </c>
      <c r="C44" s="164">
        <v>10</v>
      </c>
      <c r="D44" s="164">
        <v>2</v>
      </c>
      <c r="E44" s="167">
        <f t="shared" si="6"/>
        <v>0.6</v>
      </c>
      <c r="F44" s="164">
        <v>0.1</v>
      </c>
      <c r="G44" s="167">
        <f t="shared" si="7"/>
        <v>6.0</v>
      </c>
      <c r="H44" s="4"/>
      <c r="I44" s="4"/>
      <c r="J44" s="4"/>
      <c r="K44" s="4"/>
      <c r="L44" s="4"/>
      <c r="M44" s="4"/>
      <c r="N44" s="4"/>
      <c r="O44" s="4"/>
      <c r="P44" s="4"/>
      <c r="Q44" s="4"/>
    </row>
    <row r="45" spans="1:17" x14ac:dyDescent="0.2">
      <c r="A45" s="4" t="s">
        <v>14</v>
      </c>
      <c r="B45" s="163">
        <v>46190</v>
      </c>
      <c r="C45" s="164">
        <v>10</v>
      </c>
      <c r="D45" s="164">
        <v>2.6</v>
      </c>
      <c r="E45" s="167">
        <f t="shared" si="6"/>
        <v>0.6</v>
      </c>
      <c r="F45" s="164">
        <v>0.1</v>
      </c>
      <c r="G45" s="167">
        <f t="shared" si="7"/>
        <v>6.0</v>
      </c>
      <c r="H45" s="4"/>
      <c r="I45" s="4"/>
      <c r="J45" s="4"/>
      <c r="K45" s="4"/>
      <c r="L45" s="4"/>
      <c r="M45" s="4"/>
      <c r="N45" s="4"/>
      <c r="O45" s="4"/>
      <c r="P45" s="4"/>
      <c r="Q45" s="4"/>
    </row>
    <row r="46" spans="1:17" x14ac:dyDescent="0.2">
      <c r="A46" s="4" t="s">
        <v>14</v>
      </c>
      <c r="B46" s="163">
        <v>46190</v>
      </c>
      <c r="C46" s="164">
        <v>10</v>
      </c>
      <c r="D46" s="164">
        <v>2.8</v>
      </c>
      <c r="E46" s="167">
        <f t="shared" si="6"/>
        <v>0.2</v>
      </c>
      <c r="F46" s="164">
        <v>0.1</v>
      </c>
      <c r="G46" s="168">
        <f t="shared" si="7"/>
        <v>2.0</v>
      </c>
      <c r="H46" s="4"/>
      <c r="I46" s="4"/>
      <c r="J46" s="4"/>
      <c r="K46" s="4"/>
      <c r="L46" s="4"/>
      <c r="M46" s="4"/>
      <c r="N46" s="164">
        <v>1</v>
      </c>
      <c r="O46" s="4"/>
      <c r="P46" s="4"/>
      <c r="Q46" s="4"/>
    </row>
    <row r="47" spans="1:17" x14ac:dyDescent="0.2">
      <c r="A47" s="4"/>
      <c r="B47" s="10"/>
      <c r="C47" s="4"/>
      <c r="D47" s="4"/>
      <c r="E47" s="4"/>
      <c r="F47" s="4"/>
      <c r="G47" s="4"/>
      <c r="H47" s="4"/>
      <c r="I47" s="4"/>
      <c r="J47" s="4"/>
      <c r="K47" s="4"/>
      <c r="L47" s="4"/>
      <c r="M47" s="4"/>
      <c r="N47" s="4"/>
      <c r="O47" s="4"/>
      <c r="P47" s="4"/>
      <c r="Q47" s="4"/>
    </row>
    <row r="48" spans="1:17" x14ac:dyDescent="0.2">
      <c r="A48" s="4"/>
      <c r="B48" s="4"/>
      <c r="C48" s="4"/>
      <c r="D48" s="4"/>
      <c r="E48" s="4"/>
      <c r="F48" s="4"/>
      <c r="G48" s="4"/>
      <c r="H48" s="4"/>
      <c r="I48" s="4"/>
      <c r="J48" s="4"/>
      <c r="K48" s="4"/>
      <c r="L48" s="4"/>
      <c r="M48" s="4"/>
      <c r="N48" s="4"/>
      <c r="O48" s="4"/>
      <c r="P48" s="4"/>
      <c r="Q48" s="4"/>
    </row>
    <row r="49" spans="1:17" x14ac:dyDescent="0.2">
      <c r="A49" s="15"/>
      <c r="B49" s="4"/>
      <c r="C49" s="4"/>
      <c r="D49" s="4"/>
      <c r="E49" s="4"/>
      <c r="F49" s="4"/>
      <c r="G49" s="4"/>
      <c r="H49" s="4"/>
      <c r="I49" s="4"/>
      <c r="J49" s="4"/>
      <c r="K49" s="4"/>
      <c r="L49" s="4"/>
      <c r="M49" s="4"/>
      <c r="N49" s="4"/>
      <c r="O49" s="4"/>
      <c r="P49" s="4"/>
      <c r="Q49" s="4"/>
    </row>
    <row r="50" spans="1:17" x14ac:dyDescent="0.2">
      <c r="A50" s="7"/>
      <c r="B50" s="7"/>
      <c r="C50" s="7"/>
      <c r="D50" s="7"/>
      <c r="E50" s="7"/>
      <c r="F50" s="4"/>
      <c r="G50" s="4"/>
      <c r="H50" s="4"/>
      <c r="I50" s="4"/>
      <c r="J50" s="4"/>
      <c r="K50" s="4"/>
      <c r="L50" s="4"/>
      <c r="M50" s="4"/>
      <c r="N50" s="4"/>
      <c r="O50" s="4"/>
      <c r="P50" s="4"/>
      <c r="Q50" s="4"/>
    </row>
    <row r="51" spans="1:17" x14ac:dyDescent="0.2">
      <c r="A51" s="4"/>
      <c r="B51" s="12"/>
      <c r="C51" s="4"/>
      <c r="D51" s="4"/>
      <c r="E51" s="4"/>
      <c r="F51" s="4"/>
      <c r="G51" s="4"/>
      <c r="H51" s="4"/>
      <c r="I51" s="4"/>
      <c r="J51" s="4"/>
      <c r="K51" s="4"/>
      <c r="L51" s="4"/>
      <c r="M51" s="4"/>
      <c r="N51" s="4"/>
      <c r="O51" s="4"/>
      <c r="P51" s="4"/>
      <c r="Q51" s="4"/>
    </row>
    <row r="52" spans="1:17" x14ac:dyDescent="0.2">
      <c r="A52" s="14"/>
      <c r="B52" s="4"/>
      <c r="C52" s="4"/>
      <c r="D52" s="4"/>
      <c r="E52" s="4"/>
      <c r="F52" s="4"/>
      <c r="G52" s="4"/>
      <c r="H52" s="4"/>
      <c r="I52" s="4"/>
      <c r="J52" s="4"/>
      <c r="K52" s="4"/>
      <c r="L52" s="4"/>
      <c r="M52" s="4"/>
      <c r="N52" s="4"/>
      <c r="O52" s="4"/>
      <c r="P52" s="4"/>
      <c r="Q52" s="4"/>
    </row>
    <row r="53" spans="1:17" x14ac:dyDescent="0.2">
      <c r="A53" s="4"/>
      <c r="B53" s="4"/>
      <c r="C53" s="4"/>
      <c r="D53" s="4"/>
      <c r="E53" s="4"/>
      <c r="F53" s="4"/>
      <c r="G53" s="4"/>
      <c r="H53" s="4"/>
      <c r="I53" s="4"/>
      <c r="J53" s="4"/>
      <c r="K53" s="4"/>
      <c r="L53" s="4"/>
      <c r="M53" s="4"/>
      <c r="N53" s="4"/>
      <c r="O53" s="4"/>
      <c r="P53" s="4"/>
      <c r="Q53" s="4"/>
    </row>
    <row r="54" spans="1:17" x14ac:dyDescent="0.2">
      <c r="A54" s="15"/>
      <c r="B54" s="4"/>
      <c r="C54" s="4"/>
      <c r="D54" s="4"/>
      <c r="E54" s="4"/>
      <c r="F54" s="4"/>
      <c r="G54" s="4"/>
      <c r="H54" s="4"/>
      <c r="I54" s="4"/>
      <c r="J54" s="4"/>
      <c r="K54" s="4"/>
      <c r="L54" s="4"/>
      <c r="M54" s="4"/>
      <c r="N54" s="4"/>
      <c r="O54" s="4"/>
      <c r="P54" s="4"/>
      <c r="Q54" s="4"/>
    </row>
    <row r="55" spans="1:17" x14ac:dyDescent="0.2">
      <c r="A55" s="4"/>
      <c r="B55" s="4"/>
      <c r="C55" s="4"/>
      <c r="D55" s="4"/>
      <c r="E55" s="4"/>
      <c r="F55" s="4"/>
      <c r="G55" s="4"/>
      <c r="H55" s="4"/>
      <c r="I55" s="4"/>
      <c r="J55" s="4"/>
      <c r="K55" s="4"/>
      <c r="L55" s="4"/>
      <c r="M55" s="4"/>
      <c r="N55" s="4"/>
      <c r="O55" s="4"/>
      <c r="P55" s="4"/>
      <c r="Q55" s="4"/>
    </row>
    <row r="56" spans="1:17" x14ac:dyDescent="0.2">
      <c r="A56" s="4"/>
      <c r="B56" s="4"/>
      <c r="C56" s="4"/>
      <c r="D56" s="4"/>
      <c r="E56" s="4"/>
      <c r="F56" s="4"/>
      <c r="G56" s="4"/>
      <c r="H56" s="4"/>
      <c r="I56" s="4"/>
      <c r="J56" s="4"/>
      <c r="K56" s="4"/>
      <c r="L56" s="4"/>
      <c r="M56" s="4"/>
      <c r="N56" s="4"/>
      <c r="O56" s="4"/>
      <c r="P56" s="4"/>
      <c r="Q56" s="4"/>
    </row>
    <row r="57" spans="1:17" x14ac:dyDescent="0.2">
      <c r="A57" s="4"/>
      <c r="B57" s="4"/>
      <c r="C57" s="4"/>
      <c r="D57" s="4"/>
      <c r="E57" s="4"/>
      <c r="F57" s="4"/>
      <c r="G57" s="4"/>
      <c r="H57" s="4"/>
      <c r="I57" s="4"/>
      <c r="J57" s="4"/>
      <c r="K57" s="4"/>
      <c r="L57" s="4"/>
      <c r="M57" s="4"/>
      <c r="N57" s="4"/>
      <c r="O57" s="4"/>
      <c r="P57" s="4"/>
      <c r="Q57" s="4"/>
    </row>
    <row r="58" spans="1:17" x14ac:dyDescent="0.2">
      <c r="A58" s="4"/>
      <c r="B58" s="4"/>
      <c r="C58" s="4"/>
      <c r="D58" s="4"/>
      <c r="E58" s="4"/>
      <c r="F58" s="4"/>
      <c r="G58" s="4"/>
      <c r="H58" s="4"/>
      <c r="I58" s="4"/>
      <c r="J58" s="4"/>
      <c r="K58" s="4"/>
      <c r="L58" s="4"/>
      <c r="M58" s="4"/>
      <c r="N58" s="4"/>
      <c r="O58" s="4"/>
      <c r="P58" s="4"/>
      <c r="Q58" s="4"/>
    </row>
    <row r="59" spans="1:17" x14ac:dyDescent="0.2">
      <c r="A59" s="4"/>
      <c r="B59" s="4"/>
      <c r="C59" s="4"/>
      <c r="D59" s="4"/>
      <c r="E59" s="4"/>
      <c r="F59" s="4"/>
      <c r="G59" s="4"/>
      <c r="H59" s="4"/>
      <c r="I59" s="4"/>
      <c r="J59" s="4"/>
      <c r="K59" s="4"/>
      <c r="L59" s="4"/>
      <c r="M59" s="4"/>
      <c r="N59" s="4"/>
      <c r="O59" s="4"/>
      <c r="P59" s="4"/>
      <c r="Q59" s="4"/>
    </row>
    <row r="60" spans="1:17" x14ac:dyDescent="0.2">
      <c r="A60" s="4"/>
      <c r="B60" s="4"/>
      <c r="C60" s="4"/>
      <c r="D60" s="4"/>
      <c r="E60" s="4"/>
      <c r="F60" s="4"/>
      <c r="G60" s="4"/>
      <c r="H60" s="4"/>
      <c r="I60" s="4"/>
      <c r="J60" s="4"/>
      <c r="K60" s="4"/>
      <c r="L60" s="4"/>
      <c r="M60" s="4"/>
      <c r="N60" s="4"/>
      <c r="O60" s="4"/>
      <c r="P60" s="4"/>
      <c r="Q60" s="4"/>
    </row>
    <row r="61" spans="1:17" x14ac:dyDescent="0.2">
      <c r="A61" s="4"/>
      <c r="B61" s="4"/>
      <c r="C61" s="4"/>
      <c r="D61" s="4"/>
      <c r="E61" s="4"/>
      <c r="F61" s="4"/>
      <c r="G61" s="4"/>
      <c r="H61" s="4"/>
      <c r="I61" s="4"/>
      <c r="J61" s="4"/>
      <c r="K61" s="4"/>
      <c r="L61" s="4"/>
      <c r="M61" s="4"/>
      <c r="N61" s="4"/>
      <c r="O61" s="4"/>
      <c r="P61" s="4"/>
      <c r="Q61" s="4"/>
    </row>
    <row r="62" spans="1:17" x14ac:dyDescent="0.2">
      <c r="A62" s="4"/>
      <c r="B62" s="4"/>
      <c r="C62" s="4"/>
      <c r="D62" s="4"/>
      <c r="E62" s="4"/>
      <c r="F62" s="4"/>
      <c r="G62" s="4"/>
      <c r="H62" s="4"/>
      <c r="I62" s="4"/>
      <c r="J62" s="4"/>
      <c r="K62" s="4"/>
      <c r="L62" s="4"/>
      <c r="M62" s="4"/>
      <c r="N62" s="4"/>
      <c r="O62" s="4"/>
      <c r="P62" s="4"/>
      <c r="Q62" s="4"/>
    </row>
    <row r="63" spans="1:17" x14ac:dyDescent="0.2">
      <c r="A63" s="4"/>
      <c r="B63" s="4"/>
      <c r="C63" s="4"/>
      <c r="D63" s="4"/>
      <c r="E63" s="4"/>
      <c r="F63" s="4"/>
      <c r="G63" s="4"/>
      <c r="H63" s="4"/>
      <c r="I63" s="4"/>
      <c r="J63" s="4"/>
      <c r="K63" s="4"/>
      <c r="L63" s="4"/>
      <c r="M63" s="4"/>
      <c r="N63" s="4"/>
      <c r="O63" s="4"/>
      <c r="P63" s="4"/>
      <c r="Q63" s="4"/>
    </row>
    <row r="64" spans="1:17" x14ac:dyDescent="0.2">
      <c r="A64" s="4"/>
      <c r="B64" s="4"/>
      <c r="C64" s="4"/>
      <c r="D64" s="4"/>
      <c r="E64" s="4"/>
      <c r="F64" s="4"/>
      <c r="G64" s="4"/>
      <c r="H64" s="4"/>
      <c r="I64" s="4"/>
      <c r="J64" s="4"/>
      <c r="K64" s="4"/>
      <c r="L64" s="4"/>
      <c r="M64" s="4"/>
      <c r="N64" s="4"/>
      <c r="O64" s="4"/>
      <c r="P64" s="4"/>
      <c r="Q64" s="4"/>
    </row>
    <row r="65" spans="1:17" x14ac:dyDescent="0.2">
      <c r="A65" s="4"/>
      <c r="B65" s="4"/>
      <c r="C65" s="4"/>
      <c r="D65" s="4"/>
      <c r="E65" s="4"/>
      <c r="F65" s="4"/>
      <c r="G65" s="4"/>
      <c r="H65" s="4"/>
      <c r="I65" s="4"/>
      <c r="J65" s="4"/>
      <c r="K65" s="4"/>
      <c r="L65" s="4"/>
      <c r="M65" s="4"/>
      <c r="N65" s="4"/>
      <c r="O65" s="4"/>
      <c r="P65" s="4"/>
      <c r="Q65" s="4"/>
    </row>
    <row r="66" spans="1:17" x14ac:dyDescent="0.2">
      <c r="A66" s="4"/>
      <c r="B66" s="4"/>
      <c r="C66" s="4"/>
      <c r="D66" s="4"/>
      <c r="E66" s="4"/>
      <c r="F66" s="4"/>
      <c r="G66" s="4"/>
      <c r="H66" s="4"/>
      <c r="I66" s="4"/>
      <c r="J66" s="4"/>
      <c r="K66" s="4"/>
      <c r="L66" s="4"/>
      <c r="M66" s="4"/>
      <c r="N66" s="4"/>
      <c r="O66" s="4"/>
      <c r="P66" s="4"/>
      <c r="Q66" s="4"/>
    </row>
    <row r="67" spans="1:17" x14ac:dyDescent="0.2">
      <c r="A67" s="4"/>
      <c r="B67" s="4"/>
      <c r="C67" s="4"/>
      <c r="D67" s="4"/>
      <c r="E67" s="4"/>
      <c r="F67" s="4"/>
      <c r="G67" s="4"/>
      <c r="H67" s="4"/>
      <c r="I67" s="4"/>
      <c r="J67" s="4"/>
      <c r="K67" s="4"/>
      <c r="L67" s="4"/>
      <c r="M67" s="4"/>
      <c r="N67" s="4"/>
      <c r="O67" s="4"/>
      <c r="P67" s="4"/>
      <c r="Q67" s="4"/>
    </row>
    <row r="68" spans="1:17" x14ac:dyDescent="0.2">
      <c r="A68" s="4"/>
      <c r="B68" s="4"/>
      <c r="C68" s="4"/>
      <c r="D68" s="4"/>
      <c r="E68" s="4"/>
      <c r="F68" s="4"/>
      <c r="G68" s="4"/>
      <c r="H68" s="4"/>
      <c r="I68" s="4"/>
      <c r="J68" s="4"/>
      <c r="K68" s="4"/>
      <c r="L68" s="4"/>
      <c r="M68" s="4"/>
      <c r="N68" s="4"/>
      <c r="O68" s="4"/>
      <c r="P68" s="4"/>
      <c r="Q68" s="4"/>
    </row>
    <row r="69" spans="1:17" x14ac:dyDescent="0.2">
      <c r="A69" s="4"/>
      <c r="B69" s="4"/>
      <c r="C69" s="4"/>
      <c r="D69" s="4"/>
      <c r="E69" s="4"/>
      <c r="F69" s="4"/>
      <c r="G69" s="4"/>
      <c r="H69" s="4"/>
      <c r="I69" s="4"/>
      <c r="J69" s="4"/>
      <c r="K69" s="4"/>
      <c r="L69" s="4"/>
      <c r="M69" s="4"/>
      <c r="N69" s="4"/>
      <c r="O69" s="4"/>
      <c r="P69" s="4"/>
      <c r="Q69" s="4"/>
    </row>
    <row r="70" spans="1:17" x14ac:dyDescent="0.2">
      <c r="A70" s="4"/>
      <c r="B70" s="4"/>
      <c r="C70" s="4"/>
      <c r="D70" s="4"/>
      <c r="E70" s="4"/>
      <c r="F70" s="4"/>
      <c r="G70" s="4"/>
      <c r="H70" s="4"/>
      <c r="I70" s="4"/>
      <c r="J70" s="4"/>
      <c r="K70" s="4"/>
      <c r="L70" s="4"/>
      <c r="M70" s="4"/>
      <c r="N70" s="4"/>
      <c r="O70" s="4"/>
      <c r="P70" s="4"/>
      <c r="Q70" s="4"/>
    </row>
    <row r="71" spans="1:17" x14ac:dyDescent="0.2">
      <c r="A71" s="4"/>
      <c r="B71" s="4"/>
      <c r="C71" s="4"/>
      <c r="D71" s="4"/>
      <c r="E71" s="4"/>
      <c r="F71" s="4"/>
      <c r="G71" s="4"/>
      <c r="H71" s="4"/>
      <c r="I71" s="4"/>
      <c r="J71" s="4"/>
      <c r="K71" s="4"/>
      <c r="L71" s="4"/>
      <c r="M71" s="4"/>
      <c r="N71" s="4"/>
      <c r="O71" s="4"/>
      <c r="P71" s="4"/>
      <c r="Q71" s="4"/>
    </row>
    <row r="72" spans="1:17" x14ac:dyDescent="0.2">
      <c r="A72" s="14"/>
      <c r="B72" s="4"/>
      <c r="C72" s="4"/>
      <c r="D72" s="4"/>
      <c r="E72" s="4"/>
      <c r="F72" s="4"/>
      <c r="G72" s="4"/>
      <c r="H72" s="4"/>
      <c r="I72" s="4"/>
      <c r="J72" s="4"/>
      <c r="K72" s="4"/>
      <c r="L72" s="4"/>
      <c r="M72" s="4"/>
      <c r="N72" s="4"/>
      <c r="O72" s="4"/>
      <c r="P72" s="4"/>
      <c r="Q72" s="4"/>
    </row>
    <row r="73" spans="1:17" x14ac:dyDescent="0.2">
      <c r="A73" s="14"/>
      <c r="B73" s="4"/>
      <c r="C73" s="4"/>
      <c r="D73" s="4"/>
      <c r="E73" s="4"/>
      <c r="F73" s="4"/>
      <c r="G73" s="4"/>
      <c r="H73" s="4"/>
      <c r="I73" s="4"/>
      <c r="J73" s="4"/>
      <c r="K73" s="4"/>
      <c r="L73" s="4"/>
      <c r="M73" s="4"/>
      <c r="N73" s="4"/>
      <c r="O73" s="4"/>
      <c r="P73" s="4"/>
      <c r="Q73" s="4"/>
    </row>
    <row r="74" spans="1:17" x14ac:dyDescent="0.2">
      <c r="A74" s="4"/>
      <c r="B74" s="4"/>
      <c r="C74" s="4"/>
      <c r="D74" s="4"/>
      <c r="E74" s="4"/>
      <c r="F74" s="4"/>
      <c r="G74" s="4"/>
      <c r="H74" s="4"/>
      <c r="I74" s="4"/>
      <c r="J74" s="4"/>
      <c r="K74" s="4"/>
      <c r="L74" s="4"/>
      <c r="M74" s="4"/>
      <c r="N74" s="4"/>
      <c r="O74" s="4"/>
      <c r="P74" s="4"/>
      <c r="Q74" s="4"/>
    </row>
    <row r="75" spans="1:17" x14ac:dyDescent="0.2">
      <c r="A75" s="15"/>
      <c r="B75" s="4"/>
      <c r="C75" s="4"/>
      <c r="D75" s="4"/>
      <c r="E75" s="4"/>
      <c r="F75" s="4"/>
      <c r="G75" s="4"/>
      <c r="H75" s="4"/>
      <c r="I75" s="4"/>
      <c r="J75" s="4"/>
      <c r="K75" s="4"/>
      <c r="L75" s="4"/>
      <c r="M75" s="4"/>
      <c r="N75" s="4"/>
      <c r="O75" s="4"/>
      <c r="P75" s="4"/>
      <c r="Q75" s="4"/>
    </row>
    <row r="76" spans="1:17" x14ac:dyDescent="0.2">
      <c r="A76" s="2"/>
    </row>
  </sheetData>
  <conditionalFormatting sqref="G5:G47 I5:I48">
    <cfRule type="dataBar" priority="21">
      <dataBar>
        <cfvo type="min"/>
        <cfvo type="max"/>
        <color rgb="FF638EC6"/>
      </dataBar>
    </cfRule>
  </conditionalFormatting>
  <conditionalFormatting sqref="H5:H47">
    <cfRule type="dataBar" priority="25">
      <dataBar>
        <cfvo type="min"/>
        <cfvo type="max"/>
        <color rgb="FF638EC6"/>
      </dataBar>
    </cfRule>
  </conditionalFormatting>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202"/>
  <sheetViews>
    <sheetView workbookViewId="0">
      <selection activeCell="H130" sqref="H130"/>
    </sheetView>
  </sheetViews>
  <sheetFormatPr baseColWidth="10" defaultColWidth="8.83203125" defaultRowHeight="15" x14ac:dyDescent="0.2"/>
  <cols>
    <col min="1" max="16" width="12" customWidth="1"/>
  </cols>
  <sheetData>
    <row r="1" spans="1:8" ht="16" x14ac:dyDescent="0.2">
      <c r="A1" s="5" t="s">
        <v>1259</v>
      </c>
    </row>
    <row r="2" spans="1:8" x14ac:dyDescent="0.2">
      <c r="A2" t="s">
        <v>1260</v>
      </c>
    </row>
    <row r="3" spans="1:8" x14ac:dyDescent="0.2">
      <c r="A3" t="s">
        <v>1261</v>
      </c>
    </row>
    <row r="5" spans="1:8" ht="16" x14ac:dyDescent="0.2">
      <c r="A5" s="5" t="str">
        <f>HYPERLINK("https://github.com/amy-bo/electroPioreactor/blob/AEP02/Media/protocols/gerrit-current.md","ELECTROLYSIS CURRENT")</f>
        <v>ELECTROLYSIS CURRENT</v>
      </c>
    </row>
    <row r="6" spans="1:8" x14ac:dyDescent="0.2">
      <c r="A6" t="inlineStr">
        <is>
          <t xml:space="preserve">Value in use: one least-squares fit of current against intensity over every included point for the active reactor (pooled, so a run with more points weighs more).</t>
        </is>
      </c>
    </row>
    <row r="7" spans="1:8" x14ac:dyDescent="0.2">
      <c r="A7" s="17" t="s">
        <v>1263</v>
      </c>
      <c r="B7" s="17" t="s">
        <v>1264</v>
      </c>
      <c r="C7" s="17" t="s">
        <v>1</v>
      </c>
      <c r="D7" s="17" t="s">
        <v>1265</v>
      </c>
      <c r="E7" s="17" t="s">
        <v>1266</v>
      </c>
      <c r="F7" s="17" t="s">
        <v>1267</v>
      </c>
      <c r="G7" s="17" t="s">
        <v>1268</v>
      </c>
      <c r="H7" s="17" t="s">
        <v>1269</v>
      </c>
    </row>
    <row r="8" spans="1:8" x14ac:dyDescent="0.2">
      <c r="A8" s="93"/>
      <c r="B8" s="94"/>
      <c r="C8" s="93"/>
      <c r="D8" s="94"/>
      <c r="E8" s="94"/>
      <c r="F8" s="100" t="str">
        <f t="shared" ref="F8:F15" si="0">IFERROR(INDEX(ReactorTypeList,MATCH(C8,ReactorList,0)),"")</f>
        <v/>
      </c>
      <c r="G8" s="93"/>
      <c r="H8" s="93"/>
    </row>
    <row r="9" spans="1:8" x14ac:dyDescent="0.2">
      <c r="A9" s="93"/>
      <c r="B9" s="94"/>
      <c r="C9" s="93"/>
      <c r="D9" s="94"/>
      <c r="E9" s="94"/>
      <c r="F9" s="100" t="str">
        <f t="shared" si="0"/>
        <v/>
      </c>
      <c r="G9" s="93"/>
      <c r="H9" s="93"/>
    </row>
    <row r="10" spans="1:8" x14ac:dyDescent="0.2">
      <c r="A10" s="93"/>
      <c r="B10" s="94"/>
      <c r="C10" s="93"/>
      <c r="D10" s="94"/>
      <c r="E10" s="94"/>
      <c r="F10" s="100" t="str">
        <f t="shared" si="0"/>
        <v/>
      </c>
      <c r="G10" s="93"/>
      <c r="H10" s="93"/>
    </row>
    <row r="11" spans="1:8" x14ac:dyDescent="0.2">
      <c r="A11" s="93"/>
      <c r="B11" s="94"/>
      <c r="C11" s="93"/>
      <c r="D11" s="94"/>
      <c r="E11" s="94"/>
      <c r="F11" s="100" t="str">
        <f t="shared" si="0"/>
        <v/>
      </c>
      <c r="G11" s="93"/>
      <c r="H11" s="93"/>
    </row>
    <row r="12" spans="1:8" x14ac:dyDescent="0.2">
      <c r="A12" s="93"/>
      <c r="B12" s="94"/>
      <c r="C12" s="93"/>
      <c r="D12" s="94"/>
      <c r="E12" s="94"/>
      <c r="F12" s="100" t="str">
        <f t="shared" si="0"/>
        <v/>
      </c>
      <c r="G12" s="93"/>
      <c r="H12" s="93"/>
    </row>
    <row r="13" spans="1:8" x14ac:dyDescent="0.2">
      <c r="A13" s="93"/>
      <c r="B13" s="94"/>
      <c r="C13" s="93"/>
      <c r="D13" s="94"/>
      <c r="E13" s="94"/>
      <c r="F13" s="100" t="str">
        <f t="shared" si="0"/>
        <v/>
      </c>
      <c r="G13" s="93"/>
      <c r="H13" s="93"/>
    </row>
    <row r="14" spans="1:8" x14ac:dyDescent="0.2">
      <c r="A14" s="93"/>
      <c r="B14" s="94"/>
      <c r="C14" s="93"/>
      <c r="D14" s="94"/>
      <c r="E14" s="94"/>
      <c r="F14" s="100" t="str">
        <f t="shared" si="0"/>
        <v/>
      </c>
      <c r="G14" s="93"/>
      <c r="H14" s="93"/>
    </row>
    <row r="15" spans="1:8" x14ac:dyDescent="0.2">
      <c r="A15" s="93"/>
      <c r="B15" s="94"/>
      <c r="C15" s="93"/>
      <c r="D15" s="94"/>
      <c r="E15" s="94"/>
      <c r="F15" s="100" t="str">
        <f t="shared" si="0"/>
        <v/>
      </c>
      <c r="G15" s="93"/>
      <c r="H15" s="93"/>
    </row>
    <row r="16" spans="1:8" x14ac:dyDescent="0.2">
      <c r="A16" s="18" t="s">
        <v>1270</v>
      </c>
      <c r="C16" s="20" t="s">
        <v>274</v>
      </c>
      <c r="D16" s="41" t="str">
        <f>IFERROR((COUNTIFS(C8:C15,Reactor_sel,G8:G15,"y")*SUMPRODUCT((C8:C15=Reactor_sel)*(G8:G15="y")*D8:D15*E8:E15)-SUMIFS(D8:D15,C8:C15,Reactor_sel,G8:G15,"y")*SUMIFS(E8:E15,C8:C15,Reactor_sel,G8:G15,"y"))/(COUNTIFS(C8:C15,Reactor_sel,G8:G15,"y")*SUMPRODUCT((C8:C15=Reactor_sel)*(G8:G15="y")*D8:D15*D8:D15)-SUMIFS(D8:D15,C8:C15,Reactor_sel,G8:G15,"y")*SUMIFS(D8:D15,C8:C15,Reactor_sel,G8:G15,"y")),"no included runs — model uses its default")</f>
        <v>no included runs — model uses its default</v>
      </c>
    </row>
    <row r="17" spans="1:13" x14ac:dyDescent="0.2">
      <c r="A17" s="18" t="s">
        <v>1271</v>
      </c>
      <c r="C17" s="20" t="s">
        <v>278</v>
      </c>
      <c r="D17" s="41" t="str">
        <f>IFERROR((SUMIFS(E8:E15,C8:C15,Reactor_sel,G8:G15,"y")-((COUNTIFS(C8:C15,Reactor_sel,G8:G15,"y")*SUMPRODUCT((C8:C15=Reactor_sel)*(G8:G15="y")*D8:D15*E8:E15)-SUMIFS(D8:D15,C8:C15,Reactor_sel,G8:G15,"y")*SUMIFS(E8:E15,C8:C15,Reactor_sel,G8:G15,"y"))/(COUNTIFS(C8:C15,Reactor_sel,G8:G15,"y")*SUMPRODUCT((C8:C15=Reactor_sel)*(G8:G15="y")*D8:D15*D8:D15)-SUMIFS(D8:D15,C8:C15,Reactor_sel,G8:G15,"y")*SUMIFS(D8:D15,C8:C15,Reactor_sel,G8:G15,"y")))*SUMIFS(D8:D15,C8:C15,Reactor_sel,G8:G15,"y"))/COUNTIFS(C8:C15,Reactor_sel,G8:G15,"y"),"no included runs — model uses its default")</f>
        <v>no included runs — model uses its default</v>
      </c>
    </row>
    <row r="20" spans="1:13" ht="16" x14ac:dyDescent="0.2">
      <c r="A20" s="5" t="str">
        <f>HYPERLINK("https://github.com/amy-bo/electroPioreactor/blob/AEP02/Media/protocols/faradaic-efficiency.md","FARADAIC EFFICIENCY  (cathodic etaF, anodic etaF_OER)")</f>
        <v>FARADAIC EFFICIENCY  (cathodic etaF, anodic etaF_OER)</v>
      </c>
    </row>
    <row r="21" spans="1:13" x14ac:dyDescent="0.2">
      <c r="A21" t="s">
        <v>1706</v>
      </c>
    </row>
    <row r="22" spans="1:13" x14ac:dyDescent="0.2">
      <c r="A22" s="17" t="s">
        <v>1263</v>
      </c>
      <c r="B22" s="17" t="s">
        <v>1264</v>
      </c>
      <c r="C22" s="17" t="s">
        <v>1</v>
      </c>
      <c r="D22" s="17" t="s">
        <v>1272</v>
      </c>
      <c r="E22" s="17" t="s">
        <v>1273</v>
      </c>
      <c r="F22" s="17" t="s">
        <v>1274</v>
      </c>
      <c r="G22" s="17" t="s">
        <v>1275</v>
      </c>
      <c r="H22" s="17" t="s">
        <v>29</v>
      </c>
      <c r="I22" s="17" t="s">
        <v>1276</v>
      </c>
      <c r="J22" s="17" t="s">
        <v>1267</v>
      </c>
      <c r="K22" s="17" t="s">
        <v>1268</v>
      </c>
      <c r="L22" s="17" t="s">
        <v>1269</v>
      </c>
    </row>
    <row r="23" spans="1:13" x14ac:dyDescent="0.2">
      <c r="A23" s="93"/>
      <c r="B23" s="94"/>
      <c r="C23" s="93"/>
      <c r="D23" s="94"/>
      <c r="E23" s="94"/>
      <c r="F23" s="94"/>
      <c r="G23" s="94"/>
      <c r="H23" s="94"/>
      <c r="I23" s="100" t="str">
        <f t="shared" ref="I23:I30" si="1">IFERROR(((G23-pw_A*EXP(pw_B*F23/(F23+pw_C)))*(E23/1000000)/(R_gas*(F23+T_zero_C)))/(D23/(IF(H23="H2",z_e_H2,IF(H23="O2",z_e_O2,NA()))*F_const)),"")</f>
        <v/>
      </c>
      <c r="J23" s="100" t="str">
        <f t="shared" ref="J23:J30" si="2">IFERROR(INDEX(ReactorTypeList,MATCH(C23,ReactorList,0)),"")</f>
        <v/>
      </c>
      <c r="K23" s="93"/>
      <c r="L23" s="93"/>
      <c r="M23" s="72"/>
    </row>
    <row r="24" spans="1:13" x14ac:dyDescent="0.2">
      <c r="A24" s="93"/>
      <c r="B24" s="94"/>
      <c r="C24" s="93"/>
      <c r="D24" s="94"/>
      <c r="E24" s="94"/>
      <c r="F24" s="94"/>
      <c r="G24" s="94"/>
      <c r="H24" s="94"/>
      <c r="I24" s="100" t="str">
        <f t="shared" si="1"/>
        <v/>
      </c>
      <c r="J24" s="100" t="str">
        <f t="shared" si="2"/>
        <v/>
      </c>
      <c r="K24" s="93"/>
      <c r="L24" s="93"/>
      <c r="M24" s="72"/>
    </row>
    <row r="25" spans="1:13" x14ac:dyDescent="0.2">
      <c r="A25" s="93"/>
      <c r="B25" s="94"/>
      <c r="C25" s="93"/>
      <c r="D25" s="94"/>
      <c r="E25" s="94"/>
      <c r="F25" s="94"/>
      <c r="G25" s="94"/>
      <c r="H25" s="94"/>
      <c r="I25" s="100" t="str">
        <f t="shared" si="1"/>
        <v/>
      </c>
      <c r="J25" s="100" t="str">
        <f t="shared" si="2"/>
        <v/>
      </c>
      <c r="K25" s="93"/>
      <c r="L25" s="93"/>
      <c r="M25" s="72"/>
    </row>
    <row r="26" spans="1:13" x14ac:dyDescent="0.2">
      <c r="A26" s="93"/>
      <c r="B26" s="94"/>
      <c r="C26" s="93"/>
      <c r="D26" s="94"/>
      <c r="E26" s="94"/>
      <c r="F26" s="94"/>
      <c r="G26" s="94"/>
      <c r="H26" s="94"/>
      <c r="I26" s="100" t="str">
        <f t="shared" si="1"/>
        <v/>
      </c>
      <c r="J26" s="100" t="str">
        <f t="shared" si="2"/>
        <v/>
      </c>
      <c r="K26" s="93"/>
      <c r="L26" s="93"/>
      <c r="M26" s="72"/>
    </row>
    <row r="27" spans="1:13" x14ac:dyDescent="0.2">
      <c r="A27" s="93"/>
      <c r="B27" s="94"/>
      <c r="C27" s="93"/>
      <c r="D27" s="94"/>
      <c r="E27" s="94"/>
      <c r="F27" s="94"/>
      <c r="G27" s="94"/>
      <c r="H27" s="94"/>
      <c r="I27" s="100" t="str">
        <f t="shared" si="1"/>
        <v/>
      </c>
      <c r="J27" s="100" t="str">
        <f t="shared" si="2"/>
        <v/>
      </c>
      <c r="K27" s="93"/>
      <c r="L27" s="93"/>
      <c r="M27" s="72"/>
    </row>
    <row r="28" spans="1:13" x14ac:dyDescent="0.2">
      <c r="A28" s="93"/>
      <c r="B28" s="94"/>
      <c r="C28" s="93"/>
      <c r="D28" s="94"/>
      <c r="E28" s="94"/>
      <c r="F28" s="94"/>
      <c r="G28" s="94"/>
      <c r="H28" s="94"/>
      <c r="I28" s="100" t="str">
        <f t="shared" si="1"/>
        <v/>
      </c>
      <c r="J28" s="100" t="str">
        <f t="shared" si="2"/>
        <v/>
      </c>
      <c r="K28" s="93"/>
      <c r="L28" s="93"/>
      <c r="M28" s="72"/>
    </row>
    <row r="29" spans="1:13" x14ac:dyDescent="0.2">
      <c r="A29" s="93"/>
      <c r="B29" s="94"/>
      <c r="C29" s="93"/>
      <c r="D29" s="94"/>
      <c r="E29" s="94"/>
      <c r="F29" s="94"/>
      <c r="G29" s="94"/>
      <c r="H29" s="94"/>
      <c r="I29" s="100" t="str">
        <f t="shared" si="1"/>
        <v/>
      </c>
      <c r="J29" s="100" t="str">
        <f t="shared" si="2"/>
        <v/>
      </c>
      <c r="K29" s="93"/>
      <c r="L29" s="93"/>
      <c r="M29" s="72"/>
    </row>
    <row r="30" spans="1:13" x14ac:dyDescent="0.2">
      <c r="A30" s="93"/>
      <c r="B30" s="94"/>
      <c r="C30" s="93"/>
      <c r="D30" s="94"/>
      <c r="E30" s="94"/>
      <c r="F30" s="94"/>
      <c r="G30" s="94"/>
      <c r="H30" s="94"/>
      <c r="I30" s="100" t="str">
        <f t="shared" si="1"/>
        <v/>
      </c>
      <c r="J30" s="100" t="str">
        <f t="shared" si="2"/>
        <v/>
      </c>
      <c r="K30" s="93"/>
      <c r="L30" s="93"/>
      <c r="M30" s="72"/>
    </row>
    <row r="31" spans="1:13" x14ac:dyDescent="0.2">
      <c r="A31" s="96" t="s">
        <v>1277</v>
      </c>
      <c r="B31" s="72"/>
      <c r="C31" s="97" t="s">
        <v>111</v>
      </c>
      <c r="D31" s="95" t="str">
        <f>IFERROR(AVERAGEIFS(I23:I30,C23:C30,Reactor_sel,K23:K30,"y",H23:H30,"H2"),"no included runs — model uses its default")</f>
        <v>no included runs — model uses its default</v>
      </c>
      <c r="E31" s="72"/>
      <c r="F31" s="72"/>
      <c r="G31" s="72"/>
      <c r="H31" s="72"/>
      <c r="I31" s="72"/>
      <c r="J31" s="72"/>
      <c r="K31" s="72"/>
      <c r="L31" s="72"/>
      <c r="M31" s="72"/>
    </row>
    <row r="32" spans="1:13" x14ac:dyDescent="0.2">
      <c r="A32" s="96" t="s">
        <v>1278</v>
      </c>
      <c r="B32" s="72"/>
      <c r="C32" s="97" t="s">
        <v>111</v>
      </c>
      <c r="D32" s="95" t="str">
        <f>IFERROR(AVERAGEIFS(I23:I30,C23:C30,Reactor_sel,K23:K30,"y",H23:H30,"O2"),"no included runs — model uses its default")</f>
        <v>no included runs — model uses its default</v>
      </c>
      <c r="E32" s="72"/>
      <c r="F32" s="72"/>
      <c r="G32" s="72"/>
      <c r="H32" s="72"/>
      <c r="I32" s="72"/>
      <c r="J32" s="72"/>
      <c r="K32" s="72"/>
      <c r="L32" s="72"/>
      <c r="M32" s="72"/>
    </row>
    <row r="33" spans="1:13" x14ac:dyDescent="0.2">
      <c r="A33" s="72"/>
      <c r="B33" s="72"/>
      <c r="C33" s="72"/>
      <c r="D33" s="72"/>
      <c r="E33" s="72"/>
      <c r="F33" s="72"/>
      <c r="G33" s="72"/>
      <c r="H33" s="72"/>
      <c r="I33" s="72"/>
      <c r="J33" s="72"/>
      <c r="K33" s="72"/>
      <c r="L33" s="72"/>
      <c r="M33" s="72"/>
    </row>
    <row r="34" spans="1:13" x14ac:dyDescent="0.2">
      <c r="A34" s="72"/>
      <c r="B34" s="72"/>
      <c r="C34" s="72"/>
      <c r="D34" s="72"/>
      <c r="E34" s="72"/>
      <c r="F34" s="72"/>
      <c r="G34" s="72"/>
      <c r="H34" s="72"/>
      <c r="I34" s="72"/>
      <c r="J34" s="72"/>
      <c r="K34" s="72"/>
      <c r="L34" s="72"/>
      <c r="M34" s="72"/>
    </row>
    <row r="35" spans="1:13" ht="16" x14ac:dyDescent="0.2">
      <c r="A35" s="98" t="str">
        <f>HYPERLINK("https://github.com/amy-bo/electroPioreactor/blob/AEP02/Media/protocols/surface-kla.md","SURFACE kLa  (oxygen surface transfer)")</f>
        <v>SURFACE kLa  (oxygen surface transfer)</v>
      </c>
      <c r="B35" s="72"/>
      <c r="C35" s="72"/>
      <c r="D35" s="72"/>
      <c r="E35" s="72"/>
      <c r="F35" s="72"/>
      <c r="G35" s="72"/>
      <c r="H35" s="72"/>
      <c r="I35" s="72"/>
      <c r="J35" s="72"/>
      <c r="K35" s="72"/>
      <c r="L35" s="72"/>
      <c r="M35" s="72"/>
    </row>
    <row r="36" spans="1:13" x14ac:dyDescent="0.2">
      <c r="A36" s="72" t="s">
        <v>1279</v>
      </c>
      <c r="B36" s="72"/>
      <c r="C36" s="72"/>
      <c r="D36" s="72"/>
      <c r="E36" s="72"/>
      <c r="F36" s="72"/>
      <c r="G36" s="72"/>
      <c r="H36" s="72"/>
      <c r="I36" s="72"/>
      <c r="J36" s="72"/>
      <c r="K36" s="72"/>
      <c r="L36" s="72"/>
      <c r="M36" s="72"/>
    </row>
    <row r="37" spans="1:13" x14ac:dyDescent="0.2">
      <c r="A37" s="99" t="s">
        <v>1263</v>
      </c>
      <c r="B37" s="99" t="s">
        <v>1264</v>
      </c>
      <c r="C37" s="99" t="s">
        <v>1</v>
      </c>
      <c r="D37" s="99" t="s">
        <v>1280</v>
      </c>
      <c r="E37" s="99" t="s">
        <v>1267</v>
      </c>
      <c r="F37" s="99" t="s">
        <v>1268</v>
      </c>
      <c r="G37" s="99" t="s">
        <v>1269</v>
      </c>
      <c r="H37" s="72"/>
      <c r="I37" s="72"/>
      <c r="J37" s="72"/>
      <c r="K37" s="72"/>
      <c r="L37" s="72"/>
      <c r="M37" s="72"/>
    </row>
    <row r="38" spans="1:13" x14ac:dyDescent="0.2">
      <c r="A38" s="93"/>
      <c r="B38" s="94"/>
      <c r="C38" s="93"/>
      <c r="D38" s="94"/>
      <c r="E38" s="100" t="str">
        <f t="shared" ref="E38:E45" si="3">IFERROR(INDEX(ReactorTypeList,MATCH(C38,ReactorList,0)),"")</f>
        <v/>
      </c>
      <c r="F38" s="93"/>
      <c r="G38" s="93"/>
      <c r="H38" s="72"/>
      <c r="I38" s="72"/>
      <c r="J38" s="72"/>
      <c r="K38" s="72"/>
      <c r="L38" s="72"/>
      <c r="M38" s="72"/>
    </row>
    <row r="39" spans="1:13" x14ac:dyDescent="0.2">
      <c r="A39" s="93"/>
      <c r="B39" s="94"/>
      <c r="C39" s="93"/>
      <c r="D39" s="94"/>
      <c r="E39" s="100" t="str">
        <f t="shared" si="3"/>
        <v/>
      </c>
      <c r="F39" s="93"/>
      <c r="G39" s="93"/>
      <c r="H39" s="72"/>
      <c r="I39" s="72"/>
      <c r="J39" s="72"/>
      <c r="K39" s="72"/>
      <c r="L39" s="72"/>
      <c r="M39" s="72"/>
    </row>
    <row r="40" spans="1:13" x14ac:dyDescent="0.2">
      <c r="A40" s="93"/>
      <c r="B40" s="94"/>
      <c r="C40" s="93"/>
      <c r="D40" s="94"/>
      <c r="E40" s="100" t="str">
        <f t="shared" si="3"/>
        <v/>
      </c>
      <c r="F40" s="93"/>
      <c r="G40" s="93"/>
      <c r="H40" s="72"/>
      <c r="I40" s="72"/>
      <c r="J40" s="72"/>
      <c r="K40" s="72"/>
      <c r="L40" s="72"/>
      <c r="M40" s="72"/>
    </row>
    <row r="41" spans="1:13" x14ac:dyDescent="0.2">
      <c r="A41" s="93"/>
      <c r="B41" s="94"/>
      <c r="C41" s="93"/>
      <c r="D41" s="94"/>
      <c r="E41" s="100" t="str">
        <f t="shared" si="3"/>
        <v/>
      </c>
      <c r="F41" s="93"/>
      <c r="G41" s="93"/>
      <c r="H41" s="72"/>
      <c r="I41" s="72"/>
      <c r="J41" s="72"/>
      <c r="K41" s="72"/>
      <c r="L41" s="72"/>
      <c r="M41" s="72"/>
    </row>
    <row r="42" spans="1:13" x14ac:dyDescent="0.2">
      <c r="A42" s="93"/>
      <c r="B42" s="94"/>
      <c r="C42" s="93"/>
      <c r="D42" s="94"/>
      <c r="E42" s="100" t="str">
        <f t="shared" si="3"/>
        <v/>
      </c>
      <c r="F42" s="93"/>
      <c r="G42" s="93"/>
      <c r="H42" s="72"/>
      <c r="I42" s="72"/>
      <c r="J42" s="72"/>
      <c r="K42" s="72"/>
      <c r="L42" s="72"/>
      <c r="M42" s="72"/>
    </row>
    <row r="43" spans="1:13" x14ac:dyDescent="0.2">
      <c r="A43" s="93"/>
      <c r="B43" s="94"/>
      <c r="C43" s="93"/>
      <c r="D43" s="94"/>
      <c r="E43" s="100" t="str">
        <f t="shared" si="3"/>
        <v/>
      </c>
      <c r="F43" s="93"/>
      <c r="G43" s="93"/>
      <c r="H43" s="72"/>
      <c r="I43" s="72"/>
      <c r="J43" s="72"/>
      <c r="K43" s="72"/>
      <c r="L43" s="72"/>
      <c r="M43" s="72"/>
    </row>
    <row r="44" spans="1:13" x14ac:dyDescent="0.2">
      <c r="A44" s="93"/>
      <c r="B44" s="94"/>
      <c r="C44" s="93"/>
      <c r="D44" s="94"/>
      <c r="E44" s="100" t="str">
        <f t="shared" si="3"/>
        <v/>
      </c>
      <c r="F44" s="93"/>
      <c r="G44" s="93"/>
      <c r="H44" s="72"/>
      <c r="I44" s="72"/>
      <c r="J44" s="72"/>
      <c r="K44" s="72"/>
      <c r="L44" s="72"/>
      <c r="M44" s="72"/>
    </row>
    <row r="45" spans="1:13" x14ac:dyDescent="0.2">
      <c r="A45" s="93"/>
      <c r="B45" s="94"/>
      <c r="C45" s="93"/>
      <c r="D45" s="94"/>
      <c r="E45" s="100" t="str">
        <f t="shared" si="3"/>
        <v/>
      </c>
      <c r="F45" s="93"/>
      <c r="G45" s="93"/>
      <c r="H45" s="72"/>
      <c r="I45" s="72"/>
      <c r="J45" s="72"/>
      <c r="K45" s="72"/>
      <c r="L45" s="72"/>
      <c r="M45" s="72"/>
    </row>
    <row r="46" spans="1:13" x14ac:dyDescent="0.2">
      <c r="A46" s="96" t="s">
        <v>1281</v>
      </c>
      <c r="B46" s="72"/>
      <c r="C46" s="97" t="s">
        <v>449</v>
      </c>
      <c r="D46" s="95" t="str">
        <f>IFERROR(AVERAGEIFS(D38:D45,C38:C45,Reactor_sel,F38:F45,"y"),"no included runs — model uses its default")</f>
        <v>no included runs — model uses its default</v>
      </c>
      <c r="E46" s="72"/>
      <c r="F46" s="72"/>
      <c r="G46" s="72"/>
      <c r="H46" s="72"/>
      <c r="I46" s="72"/>
      <c r="J46" s="72"/>
      <c r="K46" s="72"/>
      <c r="L46" s="72"/>
      <c r="M46" s="72"/>
    </row>
    <row r="47" spans="1:13" x14ac:dyDescent="0.2">
      <c r="A47" s="72"/>
      <c r="B47" s="72"/>
      <c r="C47" s="72"/>
      <c r="D47" s="72"/>
      <c r="E47" s="72"/>
      <c r="F47" s="72"/>
      <c r="G47" s="72"/>
      <c r="H47" s="72"/>
      <c r="I47" s="72"/>
      <c r="J47" s="72"/>
      <c r="K47" s="72"/>
      <c r="L47" s="72"/>
      <c r="M47" s="72"/>
    </row>
    <row r="48" spans="1:13" x14ac:dyDescent="0.2">
      <c r="A48" s="72"/>
      <c r="B48" s="72"/>
      <c r="C48" s="72"/>
      <c r="D48" s="72"/>
      <c r="E48" s="72"/>
      <c r="F48" s="72"/>
      <c r="G48" s="72"/>
      <c r="H48" s="72"/>
      <c r="I48" s="72"/>
      <c r="J48" s="72"/>
      <c r="K48" s="72"/>
      <c r="L48" s="72"/>
      <c r="M48" s="72"/>
    </row>
    <row r="49" spans="1:13" ht="16" x14ac:dyDescent="0.2">
      <c r="A49" s="98" t="str">
        <f>HYPERLINK("https://github.com/amy-bo/electroPioreactor/blob/AEP02/Media/protocols/flow-calibration.md","CO2 FLOW  (dosing flow rate)")</f>
        <v>CO2 FLOW  (dosing flow rate)</v>
      </c>
      <c r="B49" s="72"/>
      <c r="C49" s="72"/>
      <c r="D49" s="72"/>
      <c r="E49" s="72"/>
      <c r="F49" s="72"/>
      <c r="G49" s="72"/>
      <c r="H49" s="72"/>
      <c r="I49" s="72"/>
      <c r="J49" s="72"/>
      <c r="K49" s="72"/>
      <c r="L49" s="72"/>
      <c r="M49" s="72"/>
    </row>
    <row r="50" spans="1:13" x14ac:dyDescent="0.2">
      <c r="A50" s="72" t="s">
        <v>2637</v>
      </c>
      <c r="B50" s="72"/>
      <c r="C50" s="72"/>
      <c r="D50" s="72"/>
      <c r="E50" s="72"/>
      <c r="F50" s="72"/>
      <c r="G50" s="72"/>
      <c r="H50" s="72"/>
      <c r="I50" s="72"/>
      <c r="J50" s="72"/>
      <c r="K50" s="72"/>
      <c r="L50" s="72"/>
      <c r="M50" s="72"/>
    </row>
    <row r="51" spans="1:13" x14ac:dyDescent="0.2">
      <c r="A51" s="99" t="s">
        <v>1263</v>
      </c>
      <c r="B51" s="99" t="s">
        <v>1264</v>
      </c>
      <c r="C51" s="99" t="s">
        <v>1</v>
      </c>
      <c r="D51" s="99" t="s">
        <v>1282</v>
      </c>
      <c r="E51" s="99" t="s">
        <v>1283</v>
      </c>
      <c r="F51" s="99" t="s">
        <v>1284</v>
      </c>
      <c r="G51" s="99" t="s">
        <v>1267</v>
      </c>
      <c r="H51" s="99" t="s">
        <v>1268</v>
      </c>
      <c r="I51" s="99" t="s">
        <v>1269</v>
      </c>
      <c r="J51" s="99" t="s">
        <v>2638</v>
      </c>
      <c r="K51" s="72"/>
      <c r="L51" s="72"/>
      <c r="M51" s="72"/>
    </row>
    <row r="52" spans="1:13" x14ac:dyDescent="0.2">
      <c r="A52" s="93"/>
      <c r="B52" s="94"/>
      <c r="C52" s="93"/>
      <c r="D52" s="94"/>
      <c r="E52" s="94"/>
      <c r="F52" s="100" t="str">
        <f t="shared" ref="F52:F59" si="4">IFERROR(D52/E52,"")</f>
        <v/>
      </c>
      <c r="G52" s="100" t="str">
        <f t="shared" ref="G52:G59" si="5">IFERROR(INDEX(ReactorTypeList,MATCH(C52,ReactorList,0)),"")</f>
        <v/>
      </c>
      <c r="H52" s="93"/>
      <c r="I52" s="93"/>
      <c r="J52" s="94"/>
      <c r="K52" s="72"/>
      <c r="L52" s="72"/>
      <c r="M52" s="72"/>
    </row>
    <row r="53" spans="1:13" x14ac:dyDescent="0.2">
      <c r="A53" s="93"/>
      <c r="B53" s="94"/>
      <c r="C53" s="93"/>
      <c r="D53" s="94"/>
      <c r="E53" s="94"/>
      <c r="F53" s="100" t="str">
        <f t="shared" si="4"/>
        <v/>
      </c>
      <c r="G53" s="100" t="str">
        <f t="shared" si="5"/>
        <v/>
      </c>
      <c r="H53" s="93"/>
      <c r="I53" s="93"/>
      <c r="J53" s="94"/>
      <c r="K53" s="72"/>
      <c r="L53" s="72"/>
      <c r="M53" s="72"/>
    </row>
    <row r="54" spans="1:13" x14ac:dyDescent="0.2">
      <c r="A54" s="93"/>
      <c r="B54" s="94"/>
      <c r="C54" s="93"/>
      <c r="D54" s="94"/>
      <c r="E54" s="94"/>
      <c r="F54" s="100" t="str">
        <f t="shared" si="4"/>
        <v/>
      </c>
      <c r="G54" s="100" t="str">
        <f t="shared" si="5"/>
        <v/>
      </c>
      <c r="H54" s="93"/>
      <c r="I54" s="93"/>
      <c r="J54" s="94"/>
      <c r="K54" s="72"/>
      <c r="L54" s="72"/>
      <c r="M54" s="72"/>
    </row>
    <row r="55" spans="1:13" x14ac:dyDescent="0.2">
      <c r="A55" s="93"/>
      <c r="B55" s="94"/>
      <c r="C55" s="93"/>
      <c r="D55" s="94"/>
      <c r="E55" s="94"/>
      <c r="F55" s="100" t="str">
        <f t="shared" si="4"/>
        <v/>
      </c>
      <c r="G55" s="100" t="str">
        <f t="shared" si="5"/>
        <v/>
      </c>
      <c r="H55" s="93"/>
      <c r="I55" s="93"/>
      <c r="J55" s="94"/>
      <c r="K55" s="72"/>
      <c r="L55" s="72"/>
      <c r="M55" s="72"/>
    </row>
    <row r="56" spans="1:13" x14ac:dyDescent="0.2">
      <c r="A56" s="93"/>
      <c r="B56" s="94"/>
      <c r="C56" s="93"/>
      <c r="D56" s="94"/>
      <c r="E56" s="94"/>
      <c r="F56" s="100" t="str">
        <f t="shared" si="4"/>
        <v/>
      </c>
      <c r="G56" s="100" t="str">
        <f t="shared" si="5"/>
        <v/>
      </c>
      <c r="H56" s="93"/>
      <c r="I56" s="93"/>
      <c r="J56" s="94"/>
      <c r="K56" s="72"/>
      <c r="L56" s="72"/>
      <c r="M56" s="72"/>
    </row>
    <row r="57" spans="1:13" x14ac:dyDescent="0.2">
      <c r="A57" s="93"/>
      <c r="B57" s="94"/>
      <c r="C57" s="93"/>
      <c r="D57" s="94"/>
      <c r="E57" s="94"/>
      <c r="F57" s="100" t="str">
        <f t="shared" si="4"/>
        <v/>
      </c>
      <c r="G57" s="100" t="str">
        <f t="shared" si="5"/>
        <v/>
      </c>
      <c r="H57" s="93"/>
      <c r="I57" s="93"/>
      <c r="J57" s="94"/>
      <c r="K57" s="72"/>
      <c r="L57" s="72"/>
      <c r="M57" s="72"/>
    </row>
    <row r="58" spans="1:13" x14ac:dyDescent="0.2">
      <c r="A58" s="93"/>
      <c r="B58" s="94"/>
      <c r="C58" s="93"/>
      <c r="D58" s="94"/>
      <c r="E58" s="94"/>
      <c r="F58" s="100" t="str">
        <f t="shared" si="4"/>
        <v/>
      </c>
      <c r="G58" s="100" t="str">
        <f t="shared" si="5"/>
        <v/>
      </c>
      <c r="H58" s="93"/>
      <c r="I58" s="93"/>
      <c r="J58" s="94"/>
      <c r="K58" s="72"/>
      <c r="L58" s="72"/>
      <c r="M58" s="72"/>
    </row>
    <row r="59" spans="1:13" x14ac:dyDescent="0.2">
      <c r="A59" s="93"/>
      <c r="B59" s="94"/>
      <c r="C59" s="93"/>
      <c r="D59" s="94"/>
      <c r="E59" s="94"/>
      <c r="F59" s="100" t="str">
        <f t="shared" si="4"/>
        <v/>
      </c>
      <c r="G59" s="100" t="str">
        <f t="shared" si="5"/>
        <v/>
      </c>
      <c r="H59" s="93"/>
      <c r="I59" s="93"/>
      <c r="J59" s="94"/>
      <c r="K59" s="72"/>
      <c r="L59" s="72"/>
      <c r="M59" s="72"/>
    </row>
    <row r="60" spans="1:13" x14ac:dyDescent="0.2">
      <c r="A60" s="96" t="s">
        <v>1285</v>
      </c>
      <c r="B60" s="72"/>
      <c r="C60" s="97" t="s">
        <v>1286</v>
      </c>
      <c r="D60" s="95" t="str">
        <f>IFERROR(AVERAGEIFS(F52:F59,C52:C59,Reactor_sel,H52:H59,"y",B52:B59,SUMPRODUCT(MAX((C52:C59=Reactor_sel)*(H52:H59="y")*B52:B59))),"no included runs — model uses its default")</f>
        <v>no included runs — model uses its default</v>
      </c>
      <c r="E60" s="72"/>
      <c r="F60" s="72"/>
      <c r="G60" s="72"/>
      <c r="H60" s="72"/>
      <c r="I60" s="72"/>
      <c r="J60" s="72"/>
      <c r="K60" s="72"/>
      <c r="L60" s="72"/>
      <c r="M60" s="72"/>
    </row>
    <row r="61" spans="1:13" x14ac:dyDescent="0.2">
      <c r="A61" s="96" t="s">
        <v>2639</v>
      </c>
      <c r="B61" s="72"/>
      <c r="C61" s="97" t="s">
        <v>12</v>
      </c>
      <c r="D61" s="95" t="str">
        <f>IFERROR(AVERAGEIFS(J52:J59,C52:C59,Reactor_sel,H52:H59,"y",J52:J59,"&gt;0",B52:B59,SUMPRODUCT(MAX((C52:C59=Reactor_sel)*(H52:H59="y")*(J52:J59&gt;0)*B52:B59))),"no included runs — model uses its default")</f>
        <v>no included runs — model uses its default</v>
      </c>
      <c r="E61" s="72"/>
      <c r="F61" s="72"/>
      <c r="G61" s="72"/>
      <c r="H61" s="72"/>
      <c r="I61" s="72"/>
      <c r="J61" s="72"/>
      <c r="K61" s="72"/>
      <c r="L61" s="72"/>
      <c r="M61" s="72"/>
    </row>
    <row r="62" spans="1:13" x14ac:dyDescent="0.2">
      <c r="A62" s="72"/>
      <c r="B62" s="72"/>
      <c r="C62" s="72"/>
      <c r="D62" s="72"/>
      <c r="E62" s="72"/>
      <c r="F62" s="72"/>
      <c r="G62" s="72"/>
      <c r="H62" s="72"/>
      <c r="I62" s="72"/>
      <c r="J62" s="72"/>
      <c r="K62" s="72"/>
      <c r="L62" s="72"/>
      <c r="M62" s="72"/>
    </row>
    <row r="63" spans="1:13" ht="16" x14ac:dyDescent="0.2">
      <c r="A63" s="98" t="str">
        <f>HYPERLINK("https://github.com/amy-bo/electroPioreactor/blob/AEP02/Media/protocols/vial-geometry.md","VIAL GEOMETRY  (true volume &amp; bore depth)")</f>
        <v>VIAL GEOMETRY  (true volume &amp; bore depth)</v>
      </c>
      <c r="B63" s="72"/>
      <c r="C63" s="72"/>
      <c r="D63" s="72"/>
      <c r="E63" s="72"/>
      <c r="F63" s="72"/>
      <c r="G63" s="72"/>
      <c r="H63" s="72"/>
      <c r="I63" s="72"/>
      <c r="J63" s="72"/>
      <c r="K63" s="72"/>
      <c r="L63" s="72"/>
      <c r="M63" s="72"/>
    </row>
    <row r="64" spans="1:13" x14ac:dyDescent="0.2">
      <c r="A64" s="72" t="inlineStr">
        <is>
          <t xml:space="preserve">Value in use: average across included vials of the active reactor type (all vials of a type are nominally identical). Headspace and total volume feed the model; the volume-equivalent depth (D75) is reported for the geometry check only, because a tapered vial’s equivalent depth is not its physical depth.</t>
        </is>
      </c>
      <c r="B64" s="72"/>
      <c r="C64" s="72"/>
      <c r="D64" s="72"/>
      <c r="E64" s="72"/>
      <c r="F64" s="72"/>
      <c r="G64" s="72"/>
      <c r="H64" s="72"/>
      <c r="I64" s="72"/>
      <c r="J64" s="72"/>
      <c r="K64" s="72"/>
      <c r="L64" s="72"/>
      <c r="M64" s="72"/>
    </row>
    <row r="65" spans="1:14" x14ac:dyDescent="0.2">
      <c r="A65" s="99" t="s">
        <v>1263</v>
      </c>
      <c r="B65" s="99" t="s">
        <v>1264</v>
      </c>
      <c r="C65" s="99" t="s">
        <v>1</v>
      </c>
      <c r="D65" s="99" t="s">
        <v>1288</v>
      </c>
      <c r="E65" s="99" t="s">
        <v>1289</v>
      </c>
      <c r="F65" s="99" t="s">
        <v>1274</v>
      </c>
      <c r="G65" s="99" t="s">
        <v>1290</v>
      </c>
      <c r="H65" s="99" t="inlineStr">
        <is>
          <t xml:space="preserve">Volume-equivalent depth (computed)</t>
        </is>
      </c>
      <c r="I65" s="99" t="s">
        <v>1267</v>
      </c>
      <c r="J65" s="99" t="s">
        <v>1268</v>
      </c>
      <c r="K65" s="99" t="s">
        <v>1269</v>
      </c>
      <c r="L65" s="99" t="s">
        <v>2640</v>
      </c>
      <c r="M65" s="99" t="s">
        <v>2641</v>
      </c>
      <c r="N65" s="99" t="s">
        <v>2642</v>
      </c>
    </row>
    <row r="66" spans="1:14" x14ac:dyDescent="0.2">
      <c r="A66" s="93"/>
      <c r="B66" s="94"/>
      <c r="C66" s="93"/>
      <c r="D66" s="94"/>
      <c r="E66" s="94"/>
      <c r="F66" s="94"/>
      <c r="G66" s="100" t="str">
        <f t="shared" ref="G66:G73" si="6">IF(E66="","",IFERROR(E66/((ca_rho_0+ca_rho_k*F66)/1000),""))</f>
        <v/>
      </c>
      <c r="H66" s="100" t="str">
        <f t="shared" ref="H66:H73" si="7">IF(E66="","",IFERROR((E66/((ca_rho_0+ca_rho_k*F66)/1000))*1000/A_x,""))</f>
        <v/>
      </c>
      <c r="I66" s="100" t="str">
        <f t="shared" ref="I66:I73" si="8">IFERROR(INDEX(ReactorTypeList,MATCH(C66,ReactorList,0)),"")</f>
        <v/>
      </c>
      <c r="J66" s="93"/>
      <c r="K66" s="93"/>
      <c r="L66" s="100" t="str">
        <f t="shared" ref="L66:L73" si="9">IF(D66="","",IFERROR(D66/((ca_rho_0+ca_rho_k*F66)/1000),""))</f>
        <v/>
      </c>
      <c r="M66" s="94"/>
      <c r="N66" s="100" t="str">
        <f t="shared" ref="N66:N73" si="10">IF(M66="","",IFERROR(M66/((ca_rho_0+ca_rho_k*F66)/1000),""))</f>
        <v/>
      </c>
    </row>
    <row r="67" spans="1:14" x14ac:dyDescent="0.2">
      <c r="A67" s="93"/>
      <c r="B67" s="94"/>
      <c r="C67" s="93"/>
      <c r="D67" s="94"/>
      <c r="E67" s="94"/>
      <c r="F67" s="94"/>
      <c r="G67" s="100" t="str">
        <f t="shared" si="6"/>
        <v/>
      </c>
      <c r="H67" s="100" t="str">
        <f t="shared" si="7"/>
        <v/>
      </c>
      <c r="I67" s="100" t="str">
        <f t="shared" si="8"/>
        <v/>
      </c>
      <c r="J67" s="93"/>
      <c r="K67" s="93"/>
      <c r="L67" s="100" t="str">
        <f t="shared" si="9"/>
        <v/>
      </c>
      <c r="M67" s="94"/>
      <c r="N67" s="100" t="str">
        <f t="shared" si="10"/>
        <v/>
      </c>
    </row>
    <row r="68" spans="1:14" x14ac:dyDescent="0.2">
      <c r="A68" s="93"/>
      <c r="B68" s="94"/>
      <c r="C68" s="93"/>
      <c r="D68" s="94"/>
      <c r="E68" s="94"/>
      <c r="F68" s="94"/>
      <c r="G68" s="100" t="str">
        <f t="shared" si="6"/>
        <v/>
      </c>
      <c r="H68" s="100" t="str">
        <f t="shared" si="7"/>
        <v/>
      </c>
      <c r="I68" s="100" t="str">
        <f t="shared" si="8"/>
        <v/>
      </c>
      <c r="J68" s="93"/>
      <c r="K68" s="93"/>
      <c r="L68" s="100" t="str">
        <f t="shared" si="9"/>
        <v/>
      </c>
      <c r="M68" s="94"/>
      <c r="N68" s="100" t="str">
        <f t="shared" si="10"/>
        <v/>
      </c>
    </row>
    <row r="69" spans="1:14" x14ac:dyDescent="0.2">
      <c r="A69" s="93"/>
      <c r="B69" s="94"/>
      <c r="C69" s="93"/>
      <c r="D69" s="94"/>
      <c r="E69" s="94"/>
      <c r="F69" s="94"/>
      <c r="G69" s="100" t="str">
        <f t="shared" si="6"/>
        <v/>
      </c>
      <c r="H69" s="100" t="str">
        <f t="shared" si="7"/>
        <v/>
      </c>
      <c r="I69" s="100" t="str">
        <f t="shared" si="8"/>
        <v/>
      </c>
      <c r="J69" s="93"/>
      <c r="K69" s="93"/>
      <c r="L69" s="100" t="str">
        <f t="shared" si="9"/>
        <v/>
      </c>
      <c r="M69" s="94"/>
      <c r="N69" s="100" t="str">
        <f t="shared" si="10"/>
        <v/>
      </c>
    </row>
    <row r="70" spans="1:14" x14ac:dyDescent="0.2">
      <c r="A70" s="93"/>
      <c r="B70" s="94"/>
      <c r="C70" s="93"/>
      <c r="D70" s="94"/>
      <c r="E70" s="94"/>
      <c r="F70" s="94"/>
      <c r="G70" s="100" t="str">
        <f t="shared" si="6"/>
        <v/>
      </c>
      <c r="H70" s="100" t="str">
        <f t="shared" si="7"/>
        <v/>
      </c>
      <c r="I70" s="100" t="str">
        <f t="shared" si="8"/>
        <v/>
      </c>
      <c r="J70" s="93"/>
      <c r="K70" s="93"/>
      <c r="L70" s="100" t="str">
        <f t="shared" si="9"/>
        <v/>
      </c>
      <c r="M70" s="94"/>
      <c r="N70" s="100" t="str">
        <f t="shared" si="10"/>
        <v/>
      </c>
    </row>
    <row r="71" spans="1:14" x14ac:dyDescent="0.2">
      <c r="A71" s="93"/>
      <c r="B71" s="94"/>
      <c r="C71" s="93"/>
      <c r="D71" s="94"/>
      <c r="E71" s="94"/>
      <c r="F71" s="94"/>
      <c r="G71" s="100" t="str">
        <f t="shared" si="6"/>
        <v/>
      </c>
      <c r="H71" s="100" t="str">
        <f t="shared" si="7"/>
        <v/>
      </c>
      <c r="I71" s="100" t="str">
        <f t="shared" si="8"/>
        <v/>
      </c>
      <c r="J71" s="93"/>
      <c r="K71" s="93"/>
      <c r="L71" s="100" t="str">
        <f t="shared" si="9"/>
        <v/>
      </c>
      <c r="M71" s="94"/>
      <c r="N71" s="100" t="str">
        <f t="shared" si="10"/>
        <v/>
      </c>
    </row>
    <row r="72" spans="1:14" x14ac:dyDescent="0.2">
      <c r="A72" s="93"/>
      <c r="B72" s="94"/>
      <c r="C72" s="93"/>
      <c r="D72" s="94"/>
      <c r="E72" s="94"/>
      <c r="F72" s="94"/>
      <c r="G72" s="100" t="str">
        <f t="shared" si="6"/>
        <v/>
      </c>
      <c r="H72" s="100" t="str">
        <f t="shared" si="7"/>
        <v/>
      </c>
      <c r="I72" s="100" t="str">
        <f t="shared" si="8"/>
        <v/>
      </c>
      <c r="J72" s="93"/>
      <c r="K72" s="93"/>
      <c r="L72" s="100" t="str">
        <f t="shared" si="9"/>
        <v/>
      </c>
      <c r="M72" s="94"/>
      <c r="N72" s="100" t="str">
        <f t="shared" si="10"/>
        <v/>
      </c>
    </row>
    <row r="73" spans="1:14" x14ac:dyDescent="0.2">
      <c r="A73" s="93"/>
      <c r="B73" s="94"/>
      <c r="C73" s="93"/>
      <c r="D73" s="94"/>
      <c r="E73" s="94"/>
      <c r="F73" s="94"/>
      <c r="G73" s="100" t="str">
        <f t="shared" si="6"/>
        <v/>
      </c>
      <c r="H73" s="100" t="str">
        <f t="shared" si="7"/>
        <v/>
      </c>
      <c r="I73" s="100" t="str">
        <f t="shared" si="8"/>
        <v/>
      </c>
      <c r="J73" s="93"/>
      <c r="K73" s="93"/>
      <c r="L73" s="100" t="str">
        <f t="shared" si="9"/>
        <v/>
      </c>
      <c r="M73" s="94"/>
      <c r="N73" s="100" t="str">
        <f t="shared" si="10"/>
        <v/>
      </c>
    </row>
    <row r="74" spans="1:14" x14ac:dyDescent="0.2">
      <c r="A74" s="96" t="s">
        <v>1292</v>
      </c>
      <c r="B74" s="72"/>
      <c r="C74" s="97" t="s">
        <v>52</v>
      </c>
      <c r="D74" s="95" t="str">
        <f>IFERROR(AVERAGEIFS(G66:G73,I66:I73,rx_ver,J66:J73,"y"),"no included runs — model uses its default")</f>
        <v>no included runs — model uses its default</v>
      </c>
      <c r="E74" s="72"/>
      <c r="F74" s="72"/>
      <c r="G74" s="72"/>
      <c r="H74" s="72"/>
      <c r="I74" s="72"/>
      <c r="J74" s="72"/>
      <c r="K74" s="72"/>
      <c r="L74" s="72"/>
      <c r="M74" s="72"/>
    </row>
    <row r="75" spans="1:14" x14ac:dyDescent="0.2">
      <c r="A75" s="96" t="inlineStr">
        <is>
          <t xml:space="preserve">Value in use - volume-equivalent depth (body volume ÷ A_x; not the physical depth)</t>
        </is>
      </c>
      <c r="B75" s="72"/>
      <c r="C75" s="97" t="s">
        <v>115</v>
      </c>
      <c r="D75" s="95" t="str">
        <f>IFERROR(AVERAGEIFS(H66:H73,I66:I73,rx_ver,J66:J73,"y"),"no included runs — model uses its default")</f>
        <v>no included runs — model uses its default</v>
      </c>
      <c r="E75" s="72"/>
      <c r="F75" s="72"/>
      <c r="G75" s="72"/>
      <c r="H75" s="72"/>
      <c r="I75" s="72"/>
      <c r="J75" s="72"/>
      <c r="K75" s="72"/>
      <c r="L75" s="72"/>
      <c r="M75" s="72"/>
    </row>
    <row r="76" spans="1:14" x14ac:dyDescent="0.2">
      <c r="A76" s="96" t="s">
        <v>2643</v>
      </c>
      <c r="B76" s="72"/>
      <c r="C76" s="97" t="s">
        <v>52</v>
      </c>
      <c r="D76" s="95" t="str">
        <f>IFERROR(AVERAGEIFS(L66:L73,I66:I73,rx_ver,J66:J73,"y"),"no included runs — model uses its default")</f>
        <v>no included runs — model uses its default</v>
      </c>
      <c r="E76" s="72"/>
      <c r="F76" s="72"/>
      <c r="G76" s="72"/>
      <c r="H76" s="72"/>
      <c r="I76" s="72"/>
      <c r="J76" s="72"/>
      <c r="K76" s="72"/>
      <c r="L76" s="72"/>
      <c r="M76" s="72"/>
    </row>
    <row r="77" spans="1:14" x14ac:dyDescent="0.2">
      <c r="A77" s="96" t="s">
        <v>2644</v>
      </c>
      <c r="B77" s="72"/>
      <c r="C77" s="97" t="s">
        <v>52</v>
      </c>
      <c r="D77" s="95" t="str">
        <f>IFERROR(AVERAGEIFS(N66:N73,I66:I73,rx_ver,J66:J73,"y"),"no included runs — model uses its default")</f>
        <v>no included runs — model uses its default</v>
      </c>
      <c r="E77" s="72"/>
      <c r="F77" s="72"/>
      <c r="G77" s="72"/>
      <c r="H77" s="72"/>
      <c r="I77" s="72"/>
      <c r="J77" s="72"/>
      <c r="K77" s="72"/>
      <c r="L77" s="72"/>
      <c r="M77" s="72"/>
    </row>
    <row r="78" spans="1:14" ht="16" x14ac:dyDescent="0.2">
      <c r="A78" s="98" t="str">
        <f>HYPERLINK("https://github.com/amy-bo/electroPioreactor/blob/AEP02/Media/protocols/sinter-porosity.md","SINTER POROSITY  (sparger frit grade)")</f>
        <v>SINTER POROSITY  (sparger frit grade)</v>
      </c>
      <c r="B78" s="72"/>
      <c r="C78" s="72"/>
      <c r="D78" s="72"/>
      <c r="E78" s="72"/>
      <c r="F78" s="72"/>
      <c r="G78" s="72"/>
      <c r="H78" s="72"/>
      <c r="I78" s="72"/>
      <c r="J78" s="72"/>
      <c r="K78" s="72"/>
      <c r="L78" s="72"/>
      <c r="M78" s="72"/>
    </row>
    <row r="79" spans="1:14" x14ac:dyDescent="0.2">
      <c r="A79" s="72" t="inlineStr">
        <is>
          <t xml:space="preserve">Value in use: the bubble points of the most recent included runs for the active reactor are averaged first (D90) and then graded once (D89), so conflicting runs never average into a fractional grade; a pore size outside the listed DURAN classes is reported and the model keeps its default.</t>
        </is>
      </c>
      <c r="B79" s="72"/>
      <c r="C79" s="72"/>
      <c r="D79" s="72"/>
      <c r="E79" s="72"/>
      <c r="F79" s="94"/>
      <c r="G79" s="72"/>
      <c r="H79" s="72"/>
      <c r="I79" s="72"/>
      <c r="J79" s="72"/>
      <c r="K79" s="72"/>
      <c r="L79" s="72"/>
      <c r="M79" s="72"/>
    </row>
    <row r="80" spans="1:14" x14ac:dyDescent="0.2">
      <c r="A80" s="99" t="s">
        <v>1263</v>
      </c>
      <c r="B80" s="99" t="s">
        <v>1264</v>
      </c>
      <c r="C80" s="99" t="s">
        <v>1</v>
      </c>
      <c r="D80" s="99" t="s">
        <v>1295</v>
      </c>
      <c r="E80" s="99" t="s">
        <v>1296</v>
      </c>
      <c r="F80" s="99" t="s">
        <v>1267</v>
      </c>
      <c r="G80" s="99" t="s">
        <v>1268</v>
      </c>
      <c r="H80" s="99" t="s">
        <v>1269</v>
      </c>
      <c r="I80" s="72"/>
      <c r="J80" s="72"/>
      <c r="K80" s="72"/>
      <c r="L80" s="72"/>
      <c r="M80" s="72"/>
    </row>
    <row r="81" spans="1:13" x14ac:dyDescent="0.2">
      <c r="A81" s="93"/>
      <c r="B81" s="94"/>
      <c r="C81" s="93"/>
      <c r="D81" s="94"/>
      <c r="E81" s="100" t="str">
        <f>IF(D81="","",IFERROR(IF((bp_const/D81)&gt;por_p0_hi,"above P0 – not a listed grade",IF((bp_const/D81)&gt;por_break_1,0,IF((bp_const/D81)&gt;por_break_2,1,IF((bp_const/D81)&gt;por_break_3,2,IF((bp_const/D81)&gt;por_break_4,3,IF((bp_const/D81)&gt;=por_break_5,4,IF(AND((bp_const/D81)&gt;=por_p5_lo,(bp_const/D81)&lt;=por_p5_hi),5,"between or below the listed grades – not used"))))))),""))</f>
        <v/>
      </c>
      <c r="F81" s="100" t="str">
        <f t="shared" ref="F81:F88" si="12">IFERROR(INDEX(ReactorTypeList,MATCH(C81,ReactorList,0)),"")</f>
        <v/>
      </c>
      <c r="G81" s="93"/>
      <c r="H81" s="93"/>
      <c r="I81" s="72"/>
      <c r="J81" s="72"/>
      <c r="K81" s="72"/>
      <c r="L81" s="72"/>
      <c r="M81" s="72"/>
    </row>
    <row r="82" spans="1:13" x14ac:dyDescent="0.2">
      <c r="A82" s="93"/>
      <c r="B82" s="94"/>
      <c r="C82" s="93"/>
      <c r="D82" s="94"/>
      <c r="E82" s="100" t="str">
        <f>IF(D82="","",IFERROR(IF((bp_const/D82)&gt;por_p0_hi,"above P0 – not a listed grade",IF((bp_const/D82)&gt;por_break_1,0,IF((bp_const/D82)&gt;por_break_2,1,IF((bp_const/D82)&gt;por_break_3,2,IF((bp_const/D82)&gt;por_break_4,3,IF((bp_const/D82)&gt;=por_break_5,4,IF(AND((bp_const/D82)&gt;=por_p5_lo,(bp_const/D82)&lt;=por_p5_hi),5,"between or below the listed grades – not used"))))))),""))</f>
        <v/>
      </c>
      <c r="F82" s="169" t="str">
        <f t="shared" si="12"/>
        <v/>
      </c>
      <c r="G82" s="93"/>
      <c r="H82" s="93"/>
      <c r="I82" s="72"/>
      <c r="J82" s="72"/>
      <c r="K82" s="72"/>
      <c r="L82" s="72"/>
      <c r="M82" s="72"/>
    </row>
    <row r="83" spans="1:13" x14ac:dyDescent="0.2">
      <c r="A83" s="93"/>
      <c r="B83" s="94"/>
      <c r="C83" s="93"/>
      <c r="D83" s="94"/>
      <c r="E83" s="100" t="str">
        <f>IF(D83="","",IFERROR(IF((bp_const/D83)&gt;por_p0_hi,"above P0 – not a listed grade",IF((bp_const/D83)&gt;por_break_1,0,IF((bp_const/D83)&gt;por_break_2,1,IF((bp_const/D83)&gt;por_break_3,2,IF((bp_const/D83)&gt;por_break_4,3,IF((bp_const/D83)&gt;=por_break_5,4,IF(AND((bp_const/D83)&gt;=por_p5_lo,(bp_const/D83)&lt;=por_p5_hi),5,"between or below the listed grades – not used"))))))),""))</f>
        <v/>
      </c>
      <c r="F83" s="169" t="str">
        <f t="shared" si="12"/>
        <v/>
      </c>
      <c r="G83" s="93"/>
      <c r="H83" s="93"/>
      <c r="I83" s="72"/>
      <c r="J83" s="72"/>
      <c r="K83" s="72"/>
      <c r="L83" s="72"/>
      <c r="M83" s="72"/>
    </row>
    <row r="84" spans="1:13" x14ac:dyDescent="0.2">
      <c r="A84" s="93"/>
      <c r="B84" s="94"/>
      <c r="C84" s="93"/>
      <c r="D84" s="94"/>
      <c r="E84" s="100" t="str">
        <f>IF(D84="","",IFERROR(IF((bp_const/D84)&gt;por_p0_hi,"above P0 – not a listed grade",IF((bp_const/D84)&gt;por_break_1,0,IF((bp_const/D84)&gt;por_break_2,1,IF((bp_const/D84)&gt;por_break_3,2,IF((bp_const/D84)&gt;por_break_4,3,IF((bp_const/D84)&gt;=por_break_5,4,IF(AND((bp_const/D84)&gt;=por_p5_lo,(bp_const/D84)&lt;=por_p5_hi),5,"between or below the listed grades – not used"))))))),""))</f>
        <v/>
      </c>
      <c r="F84" s="169" t="str">
        <f t="shared" si="12"/>
        <v/>
      </c>
      <c r="G84" s="93"/>
      <c r="H84" s="93"/>
      <c r="I84" s="72"/>
      <c r="J84" s="72"/>
      <c r="K84" s="72"/>
      <c r="L84" s="72"/>
      <c r="M84" s="72"/>
    </row>
    <row r="85" spans="1:13" x14ac:dyDescent="0.2">
      <c r="A85" s="93"/>
      <c r="B85" s="94"/>
      <c r="C85" s="93"/>
      <c r="D85" s="94"/>
      <c r="E85" s="100" t="str">
        <f>IF(D85="","",IFERROR(IF((bp_const/D85)&gt;por_p0_hi,"above P0 – not a listed grade",IF((bp_const/D85)&gt;por_break_1,0,IF((bp_const/D85)&gt;por_break_2,1,IF((bp_const/D85)&gt;por_break_3,2,IF((bp_const/D85)&gt;por_break_4,3,IF((bp_const/D85)&gt;=por_break_5,4,IF(AND((bp_const/D85)&gt;=por_p5_lo,(bp_const/D85)&lt;=por_p5_hi),5,"between or below the listed grades – not used"))))))),""))</f>
        <v/>
      </c>
      <c r="F85" s="169" t="str">
        <f t="shared" si="12"/>
        <v/>
      </c>
      <c r="G85" s="93"/>
      <c r="H85" s="93"/>
      <c r="I85" s="72"/>
      <c r="J85" s="72"/>
      <c r="K85" s="72"/>
      <c r="L85" s="72"/>
      <c r="M85" s="72"/>
    </row>
    <row r="86" spans="1:13" x14ac:dyDescent="0.2">
      <c r="A86" s="93"/>
      <c r="B86" s="94"/>
      <c r="C86" s="93"/>
      <c r="D86" s="94"/>
      <c r="E86" s="100" t="str">
        <f>IF(D86="","",IFERROR(IF((bp_const/D86)&gt;por_p0_hi,"above P0 – not a listed grade",IF((bp_const/D86)&gt;por_break_1,0,IF((bp_const/D86)&gt;por_break_2,1,IF((bp_const/D86)&gt;por_break_3,2,IF((bp_const/D86)&gt;por_break_4,3,IF((bp_const/D86)&gt;=por_break_5,4,IF(AND((bp_const/D86)&gt;=por_p5_lo,(bp_const/D86)&lt;=por_p5_hi),5,"between or below the listed grades – not used"))))))),""))</f>
        <v/>
      </c>
      <c r="F86" s="100" t="str">
        <f t="shared" si="12"/>
        <v/>
      </c>
      <c r="G86" s="93"/>
      <c r="H86" s="93"/>
      <c r="I86" s="72"/>
      <c r="J86" s="72"/>
      <c r="K86" s="72"/>
      <c r="L86" s="72"/>
      <c r="M86" s="72"/>
    </row>
    <row r="87" spans="1:13" x14ac:dyDescent="0.2">
      <c r="A87" s="93"/>
      <c r="B87" s="94"/>
      <c r="C87" s="93"/>
      <c r="D87" s="94"/>
      <c r="E87" s="100" t="str">
        <f>IF(D87="","",IFERROR(IF((bp_const/D87)&gt;por_p0_hi,"above P0 – not a listed grade",IF((bp_const/D87)&gt;por_break_1,0,IF((bp_const/D87)&gt;por_break_2,1,IF((bp_const/D87)&gt;por_break_3,2,IF((bp_const/D87)&gt;por_break_4,3,IF((bp_const/D87)&gt;=por_break_5,4,IF(AND((bp_const/D87)&gt;=por_p5_lo,(bp_const/D87)&lt;=por_p5_hi),5,"between or below the listed grades – not used"))))))),""))</f>
        <v/>
      </c>
      <c r="F87" s="100" t="str">
        <f t="shared" si="12"/>
        <v/>
      </c>
      <c r="G87" s="93"/>
      <c r="H87" s="93"/>
      <c r="I87" s="72"/>
      <c r="J87" s="72"/>
      <c r="K87" s="72"/>
      <c r="L87" s="72"/>
      <c r="M87" s="72"/>
    </row>
    <row r="88" spans="1:13" x14ac:dyDescent="0.2">
      <c r="A88" s="93"/>
      <c r="B88" s="94"/>
      <c r="C88" s="93"/>
      <c r="D88" s="94"/>
      <c r="E88" s="100" t="str">
        <f>IF(D88="","",IFERROR(IF((bp_const/D88)&gt;por_p0_hi,"above P0 – not a listed grade",IF((bp_const/D88)&gt;por_break_1,0,IF((bp_const/D88)&gt;por_break_2,1,IF((bp_const/D88)&gt;por_break_3,2,IF((bp_const/D88)&gt;por_break_4,3,IF((bp_const/D88)&gt;=por_break_5,4,IF(AND((bp_const/D88)&gt;=por_p5_lo,(bp_const/D88)&lt;=por_p5_hi),5,"between or below the listed grades – not used"))))))),""))</f>
        <v/>
      </c>
      <c r="F88" s="100" t="str">
        <f t="shared" si="12"/>
        <v/>
      </c>
      <c r="G88" s="93"/>
      <c r="H88" s="93"/>
      <c r="I88" s="72"/>
      <c r="J88" s="72"/>
      <c r="K88" s="72"/>
      <c r="L88" s="72"/>
      <c r="M88" s="72"/>
    </row>
    <row r="89" spans="1:13" x14ac:dyDescent="0.2">
      <c r="A89" s="96" t="s">
        <v>1297</v>
      </c>
      <c r="B89" s="72"/>
      <c r="C89" s="97" t="s">
        <v>491</v>
      </c>
      <c r="D89" s="95" t="str">
        <f>IF(NOT(ISNUMBER(cal_bp)),"no included runs — model uses its default",IF((bp_const/cal_bp)&gt;por_p0_hi,"above P0 – not a listed grade; model uses its default",IF((bp_const/cal_bp)&gt;por_break_1,0,IF((bp_const/cal_bp)&gt;por_break_2,1,IF((bp_const/cal_bp)&gt;por_break_3,2,IF((bp_const/cal_bp)&gt;por_break_4,3,IF((bp_const/cal_bp)&gt;=por_break_5,4,IF(AND((bp_const/cal_bp)&gt;=por_p5_lo,(bp_const/cal_bp)&lt;=por_p5_hi),5,"between or below the listed grades; model uses its default"))))))))</f>
        <v>no included runs — model uses its default</v>
      </c>
      <c r="E89" s="72"/>
      <c r="F89" s="72"/>
      <c r="G89" s="72"/>
      <c r="H89" s="72"/>
      <c r="I89" s="72"/>
      <c r="J89" s="72"/>
      <c r="K89" s="72"/>
      <c r="L89" s="72"/>
      <c r="M89" s="72"/>
    </row>
    <row r="90" spans="1:13" x14ac:dyDescent="0.2">
      <c r="A90" s="96" t="inlineStr">
        <is>
          <t xml:space="preserve">Value in use - bubble point (mean of the latest included runs)</t>
        </is>
      </c>
      <c r="B90" s="72"/>
      <c r="C90" s="97" t="inlineStr">
        <is>
          <t xml:space="preserve">kPa</t>
        </is>
      </c>
      <c r="D90" s="95" t="str">
        <f>IFERROR(AVERAGEIFS(D81:D88,C81:C88,Reactor_sel,G81:G88,"y",B81:B88,SUMPRODUCT(MAX((C81:C88=Reactor_sel)*(G81:G88="y")*B81:B88))),"no included runs — model uses its default")</f>
        <v>no included runs — model uses its default</v>
      </c>
      <c r="E90" s="72"/>
      <c r="F90" s="72"/>
      <c r="G90" s="72"/>
      <c r="H90" s="72"/>
      <c r="I90" s="72"/>
      <c r="J90" s="72"/>
      <c r="K90" s="72"/>
      <c r="L90" s="72"/>
      <c r="M90" s="72"/>
    </row>
    <row r="91" spans="1:13" x14ac:dyDescent="0.2">
      <c r="A91" s="72"/>
      <c r="B91" s="72"/>
      <c r="C91" s="72"/>
      <c r="D91" s="72"/>
      <c r="E91" s="72"/>
      <c r="F91" s="72"/>
      <c r="G91" s="72"/>
      <c r="H91" s="72"/>
      <c r="I91" s="72"/>
      <c r="J91" s="72"/>
      <c r="K91" s="72"/>
      <c r="L91" s="72"/>
      <c r="M91" s="72"/>
    </row>
    <row r="92" spans="1:13" ht="16" x14ac:dyDescent="0.2">
      <c r="A92" s="98" t="str">
        <f>HYPERLINK("https://github.com/amy-bo/electroPioreactor/blob/AEP02/Media/protocols/dissolved-oxygen.md","DISSOLVED-OXYGEN THRESHOLDS  (per organism)")</f>
        <v>DISSOLVED-OXYGEN THRESHOLDS  (per organism)</v>
      </c>
      <c r="B92" s="72"/>
      <c r="C92" s="72"/>
      <c r="D92" s="72"/>
      <c r="E92" s="72"/>
      <c r="F92" s="72"/>
      <c r="G92" s="72"/>
      <c r="H92" s="72"/>
      <c r="I92" s="72"/>
      <c r="J92" s="72"/>
      <c r="K92" s="72"/>
      <c r="L92" s="72"/>
      <c r="M92" s="72"/>
    </row>
    <row r="93" spans="1:13" x14ac:dyDescent="0.2">
      <c r="A93" s="72" t="s">
        <v>1298</v>
      </c>
      <c r="B93" s="72"/>
      <c r="C93" s="72"/>
      <c r="D93" s="72"/>
      <c r="E93" s="72"/>
      <c r="F93" s="72"/>
      <c r="G93" s="72"/>
      <c r="H93" s="72"/>
      <c r="I93" s="72"/>
      <c r="J93" s="72"/>
      <c r="K93" s="72"/>
      <c r="L93" s="72"/>
      <c r="M93" s="72"/>
    </row>
    <row r="94" spans="1:13" x14ac:dyDescent="0.2">
      <c r="A94" s="99" t="s">
        <v>1263</v>
      </c>
      <c r="B94" s="99" t="s">
        <v>1264</v>
      </c>
      <c r="C94" s="99" t="s">
        <v>461</v>
      </c>
      <c r="D94" s="99" t="s">
        <v>1299</v>
      </c>
      <c r="E94" s="99" t="s">
        <v>1300</v>
      </c>
      <c r="F94" s="99" t="s">
        <v>1301</v>
      </c>
      <c r="G94" s="99" t="s">
        <v>1302</v>
      </c>
      <c r="H94" s="99" t="s">
        <v>1268</v>
      </c>
      <c r="I94" s="99" t="s">
        <v>1269</v>
      </c>
      <c r="J94" s="72"/>
      <c r="K94" s="72"/>
      <c r="L94" s="72"/>
      <c r="M94" s="72"/>
    </row>
    <row r="95" spans="1:13" x14ac:dyDescent="0.2">
      <c r="A95" s="93"/>
      <c r="B95" s="94"/>
      <c r="C95" s="93"/>
      <c r="D95" s="94"/>
      <c r="E95" s="94"/>
      <c r="F95" s="94"/>
      <c r="G95" s="94"/>
      <c r="H95" s="93"/>
      <c r="I95" s="93"/>
      <c r="J95" s="72"/>
      <c r="K95" s="72"/>
      <c r="L95" s="72"/>
      <c r="M95" s="72"/>
    </row>
    <row r="96" spans="1:13" x14ac:dyDescent="0.2">
      <c r="A96" s="93"/>
      <c r="B96" s="94"/>
      <c r="C96" s="93"/>
      <c r="D96" s="94"/>
      <c r="E96" s="94"/>
      <c r="F96" s="94"/>
      <c r="G96" s="94"/>
      <c r="H96" s="93"/>
      <c r="I96" s="93"/>
      <c r="J96" s="72"/>
      <c r="K96" s="72"/>
      <c r="L96" s="72"/>
      <c r="M96" s="72"/>
    </row>
    <row r="97" spans="1:13" x14ac:dyDescent="0.2">
      <c r="A97" s="93"/>
      <c r="B97" s="94"/>
      <c r="C97" s="93"/>
      <c r="D97" s="94"/>
      <c r="E97" s="94"/>
      <c r="F97" s="94"/>
      <c r="G97" s="94"/>
      <c r="H97" s="93"/>
      <c r="I97" s="93"/>
      <c r="J97" s="72"/>
      <c r="K97" s="72"/>
      <c r="L97" s="72"/>
      <c r="M97" s="72"/>
    </row>
    <row r="98" spans="1:13" x14ac:dyDescent="0.2">
      <c r="A98" s="93"/>
      <c r="B98" s="94"/>
      <c r="C98" s="93"/>
      <c r="D98" s="94"/>
      <c r="E98" s="94"/>
      <c r="F98" s="94"/>
      <c r="G98" s="94"/>
      <c r="H98" s="93"/>
      <c r="I98" s="93"/>
      <c r="J98" s="72"/>
      <c r="K98" s="72"/>
      <c r="L98" s="72"/>
      <c r="M98" s="72"/>
    </row>
    <row r="99" spans="1:13" x14ac:dyDescent="0.2">
      <c r="A99" s="93"/>
      <c r="B99" s="94"/>
      <c r="C99" s="93"/>
      <c r="D99" s="94"/>
      <c r="E99" s="94"/>
      <c r="F99" s="94"/>
      <c r="G99" s="94"/>
      <c r="H99" s="93"/>
      <c r="I99" s="93"/>
      <c r="J99" s="72"/>
      <c r="K99" s="72"/>
      <c r="L99" s="72"/>
      <c r="M99" s="72"/>
    </row>
    <row r="100" spans="1:13" x14ac:dyDescent="0.2">
      <c r="A100" s="93"/>
      <c r="B100" s="94"/>
      <c r="C100" s="93"/>
      <c r="D100" s="94"/>
      <c r="E100" s="94"/>
      <c r="F100" s="94"/>
      <c r="G100" s="94"/>
      <c r="H100" s="93"/>
      <c r="I100" s="93"/>
      <c r="J100" s="72"/>
      <c r="K100" s="72"/>
      <c r="L100" s="72"/>
      <c r="M100" s="72"/>
    </row>
    <row r="101" spans="1:13" x14ac:dyDescent="0.2">
      <c r="A101" s="93"/>
      <c r="B101" s="94"/>
      <c r="C101" s="93"/>
      <c r="D101" s="94"/>
      <c r="E101" s="94"/>
      <c r="F101" s="94"/>
      <c r="G101" s="94"/>
      <c r="H101" s="93"/>
      <c r="I101" s="93"/>
      <c r="J101" s="72"/>
      <c r="K101" s="72"/>
      <c r="L101" s="72"/>
      <c r="M101" s="72"/>
    </row>
    <row r="102" spans="1:13" x14ac:dyDescent="0.2">
      <c r="A102" s="93"/>
      <c r="B102" s="94"/>
      <c r="C102" s="93"/>
      <c r="D102" s="94"/>
      <c r="E102" s="94"/>
      <c r="F102" s="94"/>
      <c r="G102" s="94"/>
      <c r="H102" s="93"/>
      <c r="I102" s="93"/>
      <c r="J102" s="72"/>
      <c r="K102" s="72"/>
      <c r="L102" s="72"/>
      <c r="M102" s="72"/>
    </row>
    <row r="103" spans="1:13" x14ac:dyDescent="0.2">
      <c r="A103" s="96" t="s">
        <v>1303</v>
      </c>
      <c r="B103" s="72"/>
      <c r="C103" s="97" t="s">
        <v>83</v>
      </c>
      <c r="D103" s="95" t="str">
        <f>IFERROR(AVERAGEIFS(D95:D102,C95:C102,organism_sel,H95:H102,"y"),"no included runs — model uses its default")</f>
        <v>no included runs — model uses its default</v>
      </c>
      <c r="E103" s="72"/>
      <c r="F103" s="72"/>
      <c r="G103" s="72"/>
      <c r="H103" s="72"/>
      <c r="I103" s="72"/>
      <c r="J103" s="72"/>
      <c r="K103" s="72"/>
      <c r="L103" s="72"/>
      <c r="M103" s="72"/>
    </row>
    <row r="104" spans="1:13" x14ac:dyDescent="0.2">
      <c r="A104" s="96" t="s">
        <v>1304</v>
      </c>
      <c r="B104" s="72"/>
      <c r="C104" s="97" t="s">
        <v>83</v>
      </c>
      <c r="D104" s="95" t="str">
        <f>IFERROR(AVERAGEIFS(E95:E102,C95:C102,organism_sel,H95:H102,"y"),"no included runs — model uses its default")</f>
        <v>no included runs — model uses its default</v>
      </c>
      <c r="E104" s="72"/>
      <c r="F104" s="72"/>
      <c r="G104" s="72"/>
      <c r="H104" s="72"/>
      <c r="I104" s="72"/>
      <c r="J104" s="72"/>
      <c r="K104" s="72"/>
      <c r="L104" s="72"/>
      <c r="M104" s="72"/>
    </row>
    <row r="105" spans="1:13" x14ac:dyDescent="0.2">
      <c r="A105" s="96" t="s">
        <v>1305</v>
      </c>
      <c r="B105" s="72"/>
      <c r="C105" s="97" t="s">
        <v>83</v>
      </c>
      <c r="D105" s="95" t="str">
        <f>IFERROR(AVERAGEIFS(F95:F102,C95:C102,organism_sel,H95:H102,"y"),"no included runs — model uses its default")</f>
        <v>no included runs — model uses its default</v>
      </c>
      <c r="E105" s="72"/>
      <c r="F105" s="72"/>
      <c r="G105" s="72"/>
      <c r="H105" s="72"/>
      <c r="I105" s="72"/>
      <c r="J105" s="72"/>
      <c r="K105" s="72"/>
      <c r="L105" s="72"/>
      <c r="M105" s="72"/>
    </row>
    <row r="106" spans="1:13" x14ac:dyDescent="0.2">
      <c r="A106" s="96" t="s">
        <v>1306</v>
      </c>
      <c r="B106" s="72"/>
      <c r="C106" s="97" t="s">
        <v>83</v>
      </c>
      <c r="D106" s="95" t="str">
        <f>IFERROR(AVERAGEIFS(G95:G102,C95:C102,organism_sel,H95:H102,"y"),"no included runs — model uses its default")</f>
        <v>no included runs — model uses its default</v>
      </c>
      <c r="E106" s="72"/>
      <c r="F106" s="72"/>
      <c r="G106" s="72"/>
      <c r="H106" s="72"/>
      <c r="I106" s="72"/>
      <c r="J106" s="72"/>
      <c r="K106" s="72"/>
      <c r="L106" s="72"/>
      <c r="M106" s="72"/>
    </row>
    <row r="107" spans="1:13" x14ac:dyDescent="0.2">
      <c r="A107" s="72"/>
      <c r="B107" s="72"/>
      <c r="C107" s="72"/>
      <c r="D107" s="72"/>
      <c r="E107" s="72"/>
      <c r="F107" s="72"/>
      <c r="G107" s="72"/>
      <c r="H107" s="72"/>
      <c r="I107" s="72"/>
      <c r="J107" s="72"/>
      <c r="K107" s="72"/>
      <c r="L107" s="72"/>
      <c r="M107" s="72"/>
    </row>
    <row r="108" spans="1:13" x14ac:dyDescent="0.2">
      <c r="A108" s="72"/>
      <c r="B108" s="72"/>
      <c r="C108" s="72"/>
      <c r="D108" s="72"/>
      <c r="E108" s="72"/>
      <c r="F108" s="72"/>
      <c r="G108" s="72"/>
      <c r="H108" s="72"/>
      <c r="I108" s="72"/>
      <c r="J108" s="72"/>
      <c r="K108" s="72"/>
      <c r="L108" s="72"/>
      <c r="M108" s="72"/>
    </row>
    <row r="109" spans="1:13" ht="16" x14ac:dyDescent="0.2">
      <c r="A109" s="98" t="str">
        <f>HYPERLINK("https://github.com/amy-bo/electroPioreactor/blob/AEP02/Media/protocols/knallgas-stoichiometry.md","KNALLGAS UPTAKE RATIO  (per organism)")</f>
        <v>KNALLGAS UPTAKE RATIO  (per organism)</v>
      </c>
      <c r="B109" s="72"/>
      <c r="C109" s="72"/>
      <c r="D109" s="72"/>
      <c r="E109" s="72"/>
      <c r="F109" s="72"/>
      <c r="G109" s="72"/>
      <c r="H109" s="72"/>
      <c r="I109" s="72"/>
      <c r="J109" s="72"/>
      <c r="K109" s="72"/>
      <c r="L109" s="72"/>
      <c r="M109" s="72"/>
    </row>
    <row r="110" spans="1:13" x14ac:dyDescent="0.2">
      <c r="A110" s="72" t="inlineStr">
        <is>
          <t xml:space="preserve">Value in use: each included run is reduced to O₂ per H₂ and CO₂ per H₂ (columns I–J), the ratios are averaged over the included runs for the active organism, and the model takes them on an H₂ basis of knall_H2_basis (D199), so a run’s size does not weight the result.</t>
        </is>
      </c>
      <c r="B110" s="72"/>
      <c r="C110" s="72"/>
      <c r="D110" s="72"/>
      <c r="E110" s="72"/>
      <c r="F110" s="72"/>
      <c r="G110" s="72"/>
      <c r="H110" s="72"/>
      <c r="I110" s="72"/>
      <c r="J110" s="72"/>
      <c r="K110" s="72"/>
      <c r="L110" s="72"/>
      <c r="M110" s="72"/>
    </row>
    <row r="111" spans="1:13" x14ac:dyDescent="0.2">
      <c r="A111" s="99" t="s">
        <v>1263</v>
      </c>
      <c r="B111" s="99" t="s">
        <v>1264</v>
      </c>
      <c r="C111" s="99" t="s">
        <v>461</v>
      </c>
      <c r="D111" s="99" t="s">
        <v>1308</v>
      </c>
      <c r="E111" s="99" t="s">
        <v>1309</v>
      </c>
      <c r="F111" s="99" t="s">
        <v>1310</v>
      </c>
      <c r="G111" s="99" t="s">
        <v>1268</v>
      </c>
      <c r="H111" s="99" t="s">
        <v>1269</v>
      </c>
      <c r="I111" s="99" t="inlineStr">
        <is>
          <t xml:space="preserve">O₂ per H₂ (computed)</t>
        </is>
      </c>
      <c r="J111" s="99" t="inlineStr">
        <is>
          <t xml:space="preserve">CO₂ per H₂ (computed)</t>
        </is>
      </c>
      <c r="K111" s="72"/>
      <c r="L111" s="72"/>
      <c r="M111" s="72"/>
    </row>
    <row r="112" spans="1:13" x14ac:dyDescent="0.2">
      <c r="A112" s="93"/>
      <c r="B112" s="94"/>
      <c r="C112" s="93"/>
      <c r="D112" s="94"/>
      <c r="E112" s="94"/>
      <c r="F112" s="94"/>
      <c r="G112" s="93"/>
      <c r="H112" s="93"/>
      <c r="I112" s="94" t="str">
        <f>IF(OR(D112="",E112=""),"",IFERROR(IF(D112&gt;0,E112/D112,""),""))</f>
        <v/>
      </c>
      <c r="J112" s="94" t="str">
        <f>IF(OR(D112="",F112=""),"",IFERROR(IF(D112&gt;0,F112/D112,""),""))</f>
        <v/>
      </c>
      <c r="K112" s="72"/>
      <c r="L112" s="72"/>
      <c r="M112" s="72"/>
    </row>
    <row r="113" spans="1:13" x14ac:dyDescent="0.2">
      <c r="A113" s="93"/>
      <c r="B113" s="94"/>
      <c r="C113" s="93"/>
      <c r="D113" s="94"/>
      <c r="E113" s="94"/>
      <c r="F113" s="94"/>
      <c r="G113" s="93"/>
      <c r="H113" s="93"/>
      <c r="I113" s="94" t="str">
        <f>IF(OR(D113="",E113=""),"",IFERROR(IF(D113&gt;0,E113/D113,""),""))</f>
        <v/>
      </c>
      <c r="J113" s="94" t="str">
        <f>IF(OR(D113="",F113=""),"",IFERROR(IF(D113&gt;0,F113/D113,""),""))</f>
        <v/>
      </c>
      <c r="K113" s="72"/>
      <c r="L113" s="72"/>
      <c r="M113" s="72"/>
    </row>
    <row r="114" spans="1:13" x14ac:dyDescent="0.2">
      <c r="A114" s="93"/>
      <c r="B114" s="94"/>
      <c r="C114" s="93"/>
      <c r="D114" s="94"/>
      <c r="E114" s="94"/>
      <c r="F114" s="94"/>
      <c r="G114" s="93"/>
      <c r="H114" s="93"/>
      <c r="I114" s="94" t="str">
        <f>IF(OR(D114="",E114=""),"",IFERROR(IF(D114&gt;0,E114/D114,""),""))</f>
        <v/>
      </c>
      <c r="J114" s="94" t="str">
        <f>IF(OR(D114="",F114=""),"",IFERROR(IF(D114&gt;0,F114/D114,""),""))</f>
        <v/>
      </c>
      <c r="K114" s="72"/>
      <c r="L114" s="72"/>
      <c r="M114" s="72"/>
    </row>
    <row r="115" spans="1:13" x14ac:dyDescent="0.2">
      <c r="A115" s="93"/>
      <c r="B115" s="94"/>
      <c r="C115" s="93"/>
      <c r="D115" s="94"/>
      <c r="E115" s="94"/>
      <c r="F115" s="94"/>
      <c r="G115" s="93"/>
      <c r="H115" s="93"/>
      <c r="I115" s="94" t="str">
        <f>IF(OR(D115="",E115=""),"",IFERROR(IF(D115&gt;0,E115/D115,""),""))</f>
        <v/>
      </c>
      <c r="J115" s="94" t="str">
        <f>IF(OR(D115="",F115=""),"",IFERROR(IF(D115&gt;0,F115/D115,""),""))</f>
        <v/>
      </c>
      <c r="K115" s="72"/>
      <c r="L115" s="72"/>
      <c r="M115" s="72"/>
    </row>
    <row r="116" spans="1:13" x14ac:dyDescent="0.2">
      <c r="A116" s="93"/>
      <c r="B116" s="94"/>
      <c r="C116" s="93"/>
      <c r="D116" s="94"/>
      <c r="E116" s="94"/>
      <c r="F116" s="94"/>
      <c r="G116" s="93"/>
      <c r="H116" s="93"/>
      <c r="I116" s="94" t="str">
        <f>IF(OR(D116="",E116=""),"",IFERROR(IF(D116&gt;0,E116/D116,""),""))</f>
        <v/>
      </c>
      <c r="J116" s="94" t="str">
        <f>IF(OR(D116="",F116=""),"",IFERROR(IF(D116&gt;0,F116/D116,""),""))</f>
        <v/>
      </c>
      <c r="K116" s="72"/>
      <c r="L116" s="72"/>
      <c r="M116" s="72"/>
    </row>
    <row r="117" spans="1:13" x14ac:dyDescent="0.2">
      <c r="A117" s="93"/>
      <c r="B117" s="94"/>
      <c r="C117" s="93"/>
      <c r="D117" s="94"/>
      <c r="E117" s="94"/>
      <c r="F117" s="94"/>
      <c r="G117" s="93"/>
      <c r="H117" s="93"/>
      <c r="I117" s="94" t="str">
        <f>IF(OR(D117="",E117=""),"",IFERROR(IF(D117&gt;0,E117/D117,""),""))</f>
        <v/>
      </c>
      <c r="J117" s="94" t="str">
        <f>IF(OR(D117="",F117=""),"",IFERROR(IF(D117&gt;0,F117/D117,""),""))</f>
        <v/>
      </c>
      <c r="K117" s="72"/>
      <c r="L117" s="72"/>
      <c r="M117" s="72"/>
    </row>
    <row r="118" spans="1:13" x14ac:dyDescent="0.2">
      <c r="A118" s="93"/>
      <c r="B118" s="94"/>
      <c r="C118" s="93"/>
      <c r="D118" s="94"/>
      <c r="E118" s="94"/>
      <c r="F118" s="94"/>
      <c r="G118" s="93"/>
      <c r="H118" s="93"/>
      <c r="I118" s="94" t="str">
        <f>IF(OR(D118="",E118=""),"",IFERROR(IF(D118&gt;0,E118/D118,""),""))</f>
        <v/>
      </c>
      <c r="J118" s="94" t="str">
        <f>IF(OR(D118="",F118=""),"",IFERROR(IF(D118&gt;0,F118/D118,""),""))</f>
        <v/>
      </c>
      <c r="K118" s="72"/>
      <c r="L118" s="72"/>
      <c r="M118" s="72"/>
    </row>
    <row r="119" spans="1:13" x14ac:dyDescent="0.2">
      <c r="A119" s="93"/>
      <c r="B119" s="94"/>
      <c r="C119" s="93"/>
      <c r="D119" s="94"/>
      <c r="E119" s="94"/>
      <c r="F119" s="94"/>
      <c r="G119" s="93"/>
      <c r="H119" s="93"/>
      <c r="I119" s="94" t="str">
        <f>IF(OR(D119="",E119=""),"",IFERROR(IF(D119&gt;0,E119/D119,""),""))</f>
        <v/>
      </c>
      <c r="J119" s="94" t="str">
        <f>IF(OR(D119="",F119=""),"",IFERROR(IF(D119&gt;0,F119/D119,""),""))</f>
        <v/>
      </c>
      <c r="K119" s="72"/>
      <c r="L119" s="72"/>
      <c r="M119" s="72"/>
    </row>
    <row r="120" spans="1:13" x14ac:dyDescent="0.2">
      <c r="A120" s="96" t="s">
        <v>1311</v>
      </c>
      <c r="B120" s="72"/>
      <c r="C120" s="97" t="s">
        <v>1312</v>
      </c>
      <c r="D120" s="95" t="str">
        <f>IF(AND(ISNUMBER(cal_knall_O2),ISNUMBER(cal_knall_CO2)),knall_H2_basis,"no included runs — model uses its default")</f>
        <v>no included runs — model uses its default</v>
      </c>
      <c r="E120" s="72"/>
      <c r="F120" s="72"/>
      <c r="G120" s="72"/>
      <c r="H120" s="72"/>
      <c r="I120" s="72"/>
      <c r="J120" s="72"/>
      <c r="K120" s="72"/>
      <c r="L120" s="72"/>
      <c r="M120" s="72"/>
    </row>
    <row r="121" spans="1:13" x14ac:dyDescent="0.2">
      <c r="A121" s="96" t="s">
        <v>1313</v>
      </c>
      <c r="B121" s="72"/>
      <c r="C121" s="97" t="s">
        <v>1312</v>
      </c>
      <c r="D121" s="95" t="str">
        <f>IFERROR(knall_H2_basis*AVERAGEIFS(I112:I119,C112:C119,organism_sel,G112:G119,"y"),"no included runs — model uses its default")</f>
        <v>no included runs — model uses its default</v>
      </c>
      <c r="E121" s="72"/>
      <c r="F121" s="72"/>
      <c r="G121" s="72"/>
      <c r="H121" s="72"/>
      <c r="I121" s="72"/>
      <c r="J121" s="72"/>
      <c r="K121" s="72"/>
      <c r="L121" s="72"/>
      <c r="M121" s="72"/>
    </row>
    <row r="122" spans="1:13" x14ac:dyDescent="0.2">
      <c r="A122" s="96" t="s">
        <v>1314</v>
      </c>
      <c r="B122" s="72"/>
      <c r="C122" s="97" t="s">
        <v>1312</v>
      </c>
      <c r="D122" s="95" t="str">
        <f>IFERROR(knall_H2_basis*AVERAGEIFS(J112:J119,C112:C119,organism_sel,G112:G119,"y"),"no included runs — model uses its default")</f>
        <v>no included runs — model uses its default</v>
      </c>
      <c r="E122" s="72"/>
      <c r="F122" s="72"/>
      <c r="G122" s="72"/>
      <c r="H122" s="72"/>
      <c r="I122" s="72"/>
      <c r="J122" s="72"/>
      <c r="K122" s="72"/>
      <c r="L122" s="72"/>
      <c r="M122" s="72"/>
    </row>
    <row r="123" spans="1:13" x14ac:dyDescent="0.2">
      <c r="A123" s="72"/>
      <c r="B123" s="72"/>
      <c r="C123" s="72"/>
      <c r="D123" s="72"/>
      <c r="E123" s="72"/>
      <c r="F123" s="72"/>
      <c r="G123" s="72"/>
      <c r="H123" s="72"/>
      <c r="I123" s="72"/>
      <c r="J123" s="72"/>
      <c r="K123" s="72"/>
      <c r="L123" s="72"/>
      <c r="M123" s="72"/>
    </row>
    <row r="124" spans="1:13" x14ac:dyDescent="0.2">
      <c r="A124" s="72"/>
      <c r="B124" s="72"/>
      <c r="C124" s="72"/>
      <c r="D124" s="72"/>
      <c r="E124" s="72"/>
      <c r="F124" s="72"/>
      <c r="G124" s="72"/>
      <c r="H124" s="72"/>
      <c r="I124" s="72"/>
      <c r="J124" s="72"/>
      <c r="K124" s="72"/>
      <c r="L124" s="72"/>
      <c r="M124" s="72"/>
    </row>
    <row r="125" spans="1:13" ht="16" x14ac:dyDescent="0.2">
      <c r="A125" s="98" t="str">
        <f>HYPERLINK("https://github.com/amy-bo/electroPioreactor/blob/AEP02/Media/protocols/current-density-screen.md","CURRENT-DENSITY TOLERANCE  (per organism)")</f>
        <v>CURRENT-DENSITY TOLERANCE  (per organism)</v>
      </c>
      <c r="B125" s="72"/>
      <c r="C125" s="72"/>
      <c r="D125" s="72"/>
      <c r="E125" s="72"/>
      <c r="F125" s="72"/>
      <c r="G125" s="72"/>
      <c r="H125" s="72"/>
      <c r="I125" s="72"/>
      <c r="J125" s="72"/>
      <c r="K125" s="72"/>
      <c r="L125" s="72"/>
      <c r="M125" s="72"/>
    </row>
    <row r="126" spans="1:13" x14ac:dyDescent="0.2">
      <c r="A126" s="72" t="s">
        <v>1315</v>
      </c>
      <c r="B126" s="72"/>
      <c r="C126" s="72"/>
      <c r="D126" s="72"/>
      <c r="E126" s="72"/>
      <c r="F126" s="72"/>
      <c r="G126" s="72"/>
      <c r="H126" s="72"/>
      <c r="I126" s="72"/>
      <c r="J126" s="72"/>
      <c r="K126" s="72"/>
      <c r="L126" s="72"/>
      <c r="M126" s="72"/>
    </row>
    <row r="127" spans="1:13" x14ac:dyDescent="0.2">
      <c r="A127" s="99" t="s">
        <v>1263</v>
      </c>
      <c r="B127" s="99" t="s">
        <v>1264</v>
      </c>
      <c r="C127" s="99" t="s">
        <v>461</v>
      </c>
      <c r="D127" s="99" t="s">
        <v>1316</v>
      </c>
      <c r="E127" s="99" t="s">
        <v>1317</v>
      </c>
      <c r="F127" s="99" t="s">
        <v>1268</v>
      </c>
      <c r="G127" s="99" t="s">
        <v>1269</v>
      </c>
      <c r="H127" s="72"/>
      <c r="I127" s="72"/>
      <c r="J127" s="72"/>
      <c r="K127" s="72"/>
      <c r="L127" s="72"/>
      <c r="M127" s="72"/>
    </row>
    <row r="128" spans="1:13" x14ac:dyDescent="0.2">
      <c r="A128" s="93"/>
      <c r="B128" s="94"/>
      <c r="C128" s="93"/>
      <c r="D128" s="94"/>
      <c r="E128" s="94"/>
      <c r="F128" s="93"/>
      <c r="G128" s="93"/>
      <c r="H128" s="72"/>
      <c r="I128" s="72"/>
      <c r="J128" s="72"/>
      <c r="K128" s="72"/>
      <c r="L128" s="72"/>
      <c r="M128" s="72"/>
    </row>
    <row r="129" spans="1:13" x14ac:dyDescent="0.2">
      <c r="A129" s="93"/>
      <c r="B129" s="94"/>
      <c r="C129" s="93"/>
      <c r="D129" s="94"/>
      <c r="E129" s="94"/>
      <c r="F129" s="93"/>
      <c r="G129" s="93"/>
      <c r="H129" s="72"/>
      <c r="I129" s="72"/>
      <c r="J129" s="72"/>
      <c r="K129" s="72"/>
      <c r="L129" s="72"/>
      <c r="M129" s="72"/>
    </row>
    <row r="130" spans="1:13" x14ac:dyDescent="0.2">
      <c r="A130" s="93"/>
      <c r="B130" s="94"/>
      <c r="C130" s="93"/>
      <c r="D130" s="94"/>
      <c r="E130" s="94"/>
      <c r="F130" s="93"/>
      <c r="G130" s="93"/>
      <c r="H130" s="72"/>
      <c r="I130" s="72"/>
      <c r="J130" s="72"/>
      <c r="K130" s="72"/>
      <c r="L130" s="72"/>
      <c r="M130" s="72"/>
    </row>
    <row r="131" spans="1:13" x14ac:dyDescent="0.2">
      <c r="A131" s="93"/>
      <c r="B131" s="94"/>
      <c r="C131" s="93"/>
      <c r="D131" s="94"/>
      <c r="E131" s="94"/>
      <c r="F131" s="93"/>
      <c r="G131" s="93"/>
      <c r="H131" s="72"/>
      <c r="I131" s="72"/>
      <c r="J131" s="72"/>
      <c r="K131" s="72"/>
      <c r="L131" s="72"/>
      <c r="M131" s="72"/>
    </row>
    <row r="132" spans="1:13" x14ac:dyDescent="0.2">
      <c r="A132" s="93"/>
      <c r="B132" s="94"/>
      <c r="C132" s="93"/>
      <c r="D132" s="94"/>
      <c r="E132" s="94"/>
      <c r="F132" s="93"/>
      <c r="G132" s="93"/>
      <c r="H132" s="72"/>
      <c r="I132" s="72"/>
      <c r="J132" s="72"/>
      <c r="K132" s="72"/>
      <c r="L132" s="72"/>
      <c r="M132" s="72"/>
    </row>
    <row r="133" spans="1:13" x14ac:dyDescent="0.2">
      <c r="A133" s="93"/>
      <c r="B133" s="94"/>
      <c r="C133" s="93"/>
      <c r="D133" s="94"/>
      <c r="E133" s="94"/>
      <c r="F133" s="93"/>
      <c r="G133" s="93"/>
      <c r="H133" s="72"/>
      <c r="I133" s="72"/>
      <c r="J133" s="72"/>
      <c r="K133" s="72"/>
      <c r="L133" s="72"/>
      <c r="M133" s="72"/>
    </row>
    <row r="134" spans="1:13" x14ac:dyDescent="0.2">
      <c r="A134" s="93"/>
      <c r="B134" s="94"/>
      <c r="C134" s="93"/>
      <c r="D134" s="94"/>
      <c r="E134" s="94"/>
      <c r="F134" s="93"/>
      <c r="G134" s="93"/>
      <c r="H134" s="72"/>
      <c r="I134" s="72"/>
      <c r="J134" s="72"/>
      <c r="K134" s="72"/>
      <c r="L134" s="72"/>
      <c r="M134" s="72"/>
    </row>
    <row r="135" spans="1:13" x14ac:dyDescent="0.2">
      <c r="A135" s="93"/>
      <c r="B135" s="94"/>
      <c r="C135" s="93"/>
      <c r="D135" s="94"/>
      <c r="E135" s="94"/>
      <c r="F135" s="93"/>
      <c r="G135" s="93"/>
      <c r="H135" s="72"/>
      <c r="I135" s="72"/>
      <c r="J135" s="72"/>
      <c r="K135" s="72"/>
      <c r="L135" s="72"/>
      <c r="M135" s="72"/>
    </row>
    <row r="136" spans="1:13" x14ac:dyDescent="0.2">
      <c r="A136" s="96" t="s">
        <v>1318</v>
      </c>
      <c r="B136" s="72"/>
      <c r="C136" s="97" t="s">
        <v>1148</v>
      </c>
      <c r="D136" s="95" t="str">
        <f>IFERROR(AVERAGEIFS(D128:D135,C128:C135,organism_sel,F128:F135,"y"),"no included runs — model uses its default")</f>
        <v>no included runs — model uses its default</v>
      </c>
      <c r="E136" s="72"/>
      <c r="F136" s="72"/>
      <c r="G136" s="72"/>
      <c r="H136" s="72"/>
      <c r="I136" s="72"/>
      <c r="J136" s="72"/>
      <c r="K136" s="72"/>
      <c r="L136" s="72"/>
      <c r="M136" s="72"/>
    </row>
    <row r="137" spans="1:13" x14ac:dyDescent="0.2">
      <c r="A137" s="96" t="s">
        <v>1319</v>
      </c>
      <c r="B137" s="72"/>
      <c r="C137" s="97" t="s">
        <v>1148</v>
      </c>
      <c r="D137" s="95" t="str">
        <f>IFERROR(AVERAGEIFS(E128:E135,C128:C135,organism_sel,F128:F135,"y"),"no included runs — model uses its default")</f>
        <v>no included runs — model uses its default</v>
      </c>
      <c r="E137" s="72"/>
      <c r="F137" s="72"/>
      <c r="G137" s="72"/>
      <c r="H137" s="72"/>
      <c r="I137" s="72"/>
      <c r="J137" s="72"/>
      <c r="K137" s="72"/>
      <c r="L137" s="72"/>
      <c r="M137" s="72"/>
    </row>
    <row r="138" spans="1:13" x14ac:dyDescent="0.2">
      <c r="A138" s="72"/>
      <c r="B138" s="72"/>
      <c r="C138" s="72"/>
      <c r="D138" s="72"/>
      <c r="E138" s="72"/>
      <c r="F138" s="72"/>
      <c r="G138" s="72"/>
      <c r="H138" s="72"/>
      <c r="I138" s="72"/>
      <c r="J138" s="72"/>
      <c r="K138" s="72"/>
      <c r="L138" s="72"/>
      <c r="M138" s="72"/>
    </row>
    <row r="139">
      <c r="A139" s="98" t="str">
        <f>HYPERLINK("https://github.com/amy-bo/electroPioreactor/blob/AEP02/Media/protocols/electrode-mass-transfer.md","ELECTRODE MASS TRANSFER  (ferricyanide limiting current)")</f>
        <v>ELECTRODE MASS TRANSFER  (ferricyanide limiting current)</v>
      </c>
    </row>
    <row r="140">
      <c r="A140" s="72" t="inlineStr">
        <is>
          <t xml:space="preserve">Value in use: average O₂-scaled k_m of the included runs for the active reactor and electrode, at the Summary stirrer rate and within the temperature tolerance (D191) of the Summary temperature; other runs are kept but not used. One k_m serves both electrodes in the model. Feeds Electrochemistry km_O2 (D83).</t>
        </is>
      </c>
    </row>
    <row r="141">
      <c r="A141" s="99" t="inlineStr">
        <is>
          <t xml:space="preserve">Researcher</t>
        </is>
      </c>
      <c r="B141" s="99" t="inlineStr">
        <is>
          <t xml:space="preserve">Date</t>
        </is>
      </c>
      <c r="C141" s="99" t="inlineStr">
        <is>
          <t xml:space="preserve">Reactor</t>
        </is>
      </c>
      <c r="D141" s="99" t="inlineStr">
        <is>
          <t xml:space="preserve">Electrode (Summary D3 list)</t>
        </is>
      </c>
      <c r="E141" s="99" t="inlineStr">
        <is>
          <t xml:space="preserve">Stir rate (rpm)</t>
        </is>
      </c>
      <c r="F141" s="99" t="inlineStr">
        <is>
          <t xml:space="preserve">Temp (°C)</t>
        </is>
      </c>
      <c r="G141" s="99" t="inlineStr">
        <is>
          <t xml:space="preserve">Limiting current (mA)</t>
        </is>
      </c>
      <c r="H141" s="99" t="inlineStr">
        <is>
          <t xml:space="preserve">Electrode area (cm²)</t>
        </is>
      </c>
      <c r="I141" s="99" t="inlineStr">
        <is>
          <t xml:space="preserve">Ferricyanide (mM)</t>
        </is>
      </c>
      <c r="J141" s="99" t="inlineStr">
        <is>
          <t xml:space="preserve">D ferricyanide (m²/s)</t>
        </is>
      </c>
      <c r="K141" s="99" t="inlineStr">
        <is>
          <t xml:space="preserve">k_m ferricyanide (computed, cm/s)</t>
        </is>
      </c>
      <c r="L141" s="99" t="inlineStr">
        <is>
          <t xml:space="preserve">k_m O₂ (computed, cm/s)</t>
        </is>
      </c>
      <c r="M141" s="99" t="inlineStr">
        <is>
          <t xml:space="preserve">Type (auto)</t>
        </is>
      </c>
      <c r="N141" s="99" t="inlineStr">
        <is>
          <t xml:space="preserve">Include?</t>
        </is>
      </c>
      <c r="O141" s="99" t="inlineStr">
        <is>
          <t xml:space="preserve">Notes</t>
        </is>
      </c>
    </row>
    <row r="142">
      <c r="A142" s="93"/>
      <c r="B142" s="94"/>
      <c r="C142" s="93"/>
      <c r="D142" s="93"/>
      <c r="E142" s="94"/>
      <c r="F142" s="94"/>
      <c r="G142" s="94"/>
      <c r="H142" s="94"/>
      <c r="I142" s="94"/>
      <c r="J142" s="94"/>
      <c r="K142" s="100" t="str">
        <f>IF(OR(G142="",H142="",I142=""),"",IFERROR((G142/1000)/(n_e_fcn*F_const*(H142/10000)*I142)*100,""))</f>
        <v/>
      </c>
      <c r="L142" s="100" t="str">
        <f>IF(OR(K142="",J142=""),"",IFERROR(K142*(D_O2/J142)^km_exp,""))</f>
        <v/>
      </c>
      <c r="M142" s="100" t="str">
        <f>IFERROR(INDEX(ReactorTypeList,MATCH(C142,ReactorList,0)),"")</f>
        <v/>
      </c>
      <c r="N142" s="93"/>
      <c r="O142" s="93"/>
    </row>
    <row r="143">
      <c r="A143" s="93"/>
      <c r="B143" s="94"/>
      <c r="C143" s="93"/>
      <c r="D143" s="93"/>
      <c r="E143" s="94"/>
      <c r="F143" s="94"/>
      <c r="G143" s="94"/>
      <c r="H143" s="94"/>
      <c r="I143" s="94"/>
      <c r="J143" s="94"/>
      <c r="K143" s="100" t="str">
        <f>IF(OR(G143="",H143="",I143=""),"",IFERROR((G143/1000)/(n_e_fcn*F_const*(H143/10000)*I143)*100,""))</f>
        <v/>
      </c>
      <c r="L143" s="100" t="str">
        <f>IF(OR(K143="",J143=""),"",IFERROR(K143*(D_O2/J143)^km_exp,""))</f>
        <v/>
      </c>
      <c r="M143" s="100" t="str">
        <f>IFERROR(INDEX(ReactorTypeList,MATCH(C143,ReactorList,0)),"")</f>
        <v/>
      </c>
      <c r="N143" s="93"/>
      <c r="O143" s="93"/>
    </row>
    <row r="144">
      <c r="A144" s="93"/>
      <c r="B144" s="94"/>
      <c r="C144" s="93"/>
      <c r="D144" s="93"/>
      <c r="E144" s="94"/>
      <c r="F144" s="94"/>
      <c r="G144" s="94"/>
      <c r="H144" s="94"/>
      <c r="I144" s="94"/>
      <c r="J144" s="94"/>
      <c r="K144" s="100" t="str">
        <f>IF(OR(G144="",H144="",I144=""),"",IFERROR((G144/1000)/(n_e_fcn*F_const*(H144/10000)*I144)*100,""))</f>
        <v/>
      </c>
      <c r="L144" s="100" t="str">
        <f>IF(OR(K144="",J144=""),"",IFERROR(K144*(D_O2/J144)^km_exp,""))</f>
        <v/>
      </c>
      <c r="M144" s="100" t="str">
        <f>IFERROR(INDEX(ReactorTypeList,MATCH(C144,ReactorList,0)),"")</f>
        <v/>
      </c>
      <c r="N144" s="93"/>
      <c r="O144" s="93"/>
    </row>
    <row r="145">
      <c r="A145" s="93"/>
      <c r="B145" s="94"/>
      <c r="C145" s="93"/>
      <c r="D145" s="93"/>
      <c r="E145" s="94"/>
      <c r="F145" s="94"/>
      <c r="G145" s="94"/>
      <c r="H145" s="94"/>
      <c r="I145" s="94"/>
      <c r="J145" s="94"/>
      <c r="K145" s="100" t="str">
        <f>IF(OR(G145="",H145="",I145=""),"",IFERROR((G145/1000)/(n_e_fcn*F_const*(H145/10000)*I145)*100,""))</f>
        <v/>
      </c>
      <c r="L145" s="100" t="str">
        <f>IF(OR(K145="",J145=""),"",IFERROR(K145*(D_O2/J145)^km_exp,""))</f>
        <v/>
      </c>
      <c r="M145" s="100" t="str">
        <f>IFERROR(INDEX(ReactorTypeList,MATCH(C145,ReactorList,0)),"")</f>
        <v/>
      </c>
      <c r="N145" s="93"/>
      <c r="O145" s="93"/>
    </row>
    <row r="146">
      <c r="A146" s="93"/>
      <c r="B146" s="94"/>
      <c r="C146" s="93"/>
      <c r="D146" s="93"/>
      <c r="E146" s="94"/>
      <c r="F146" s="94"/>
      <c r="G146" s="94"/>
      <c r="H146" s="94"/>
      <c r="I146" s="94"/>
      <c r="J146" s="94"/>
      <c r="K146" s="100" t="str">
        <f>IF(OR(G146="",H146="",I146=""),"",IFERROR((G146/1000)/(n_e_fcn*F_const*(H146/10000)*I146)*100,""))</f>
        <v/>
      </c>
      <c r="L146" s="100" t="str">
        <f>IF(OR(K146="",J146=""),"",IFERROR(K146*(D_O2/J146)^km_exp,""))</f>
        <v/>
      </c>
      <c r="M146" s="100" t="str">
        <f>IFERROR(INDEX(ReactorTypeList,MATCH(C146,ReactorList,0)),"")</f>
        <v/>
      </c>
      <c r="N146" s="93"/>
      <c r="O146" s="93"/>
    </row>
    <row r="147">
      <c r="A147" s="93"/>
      <c r="B147" s="94"/>
      <c r="C147" s="93"/>
      <c r="D147" s="93"/>
      <c r="E147" s="94"/>
      <c r="F147" s="94"/>
      <c r="G147" s="94"/>
      <c r="H147" s="94"/>
      <c r="I147" s="94"/>
      <c r="J147" s="94"/>
      <c r="K147" s="100" t="str">
        <f>IF(OR(G147="",H147="",I147=""),"",IFERROR((G147/1000)/(n_e_fcn*F_const*(H147/10000)*I147)*100,""))</f>
        <v/>
      </c>
      <c r="L147" s="100" t="str">
        <f>IF(OR(K147="",J147=""),"",IFERROR(K147*(D_O2/J147)^km_exp,""))</f>
        <v/>
      </c>
      <c r="M147" s="100" t="str">
        <f>IFERROR(INDEX(ReactorTypeList,MATCH(C147,ReactorList,0)),"")</f>
        <v/>
      </c>
      <c r="N147" s="93"/>
      <c r="O147" s="93"/>
    </row>
    <row r="148">
      <c r="A148" s="93"/>
      <c r="B148" s="94"/>
      <c r="C148" s="93"/>
      <c r="D148" s="93"/>
      <c r="E148" s="94"/>
      <c r="F148" s="94"/>
      <c r="G148" s="94"/>
      <c r="H148" s="94"/>
      <c r="I148" s="94"/>
      <c r="J148" s="94"/>
      <c r="K148" s="100" t="str">
        <f>IF(OR(G148="",H148="",I148=""),"",IFERROR((G148/1000)/(n_e_fcn*F_const*(H148/10000)*I148)*100,""))</f>
        <v/>
      </c>
      <c r="L148" s="100" t="str">
        <f>IF(OR(K148="",J148=""),"",IFERROR(K148*(D_O2/J148)^km_exp,""))</f>
        <v/>
      </c>
      <c r="M148" s="100" t="str">
        <f>IFERROR(INDEX(ReactorTypeList,MATCH(C148,ReactorList,0)),"")</f>
        <v/>
      </c>
      <c r="N148" s="93"/>
      <c r="O148" s="93"/>
    </row>
    <row r="149">
      <c r="A149" s="93"/>
      <c r="B149" s="94"/>
      <c r="C149" s="93"/>
      <c r="D149" s="93"/>
      <c r="E149" s="94"/>
      <c r="F149" s="94"/>
      <c r="G149" s="94"/>
      <c r="H149" s="94"/>
      <c r="I149" s="94"/>
      <c r="J149" s="94"/>
      <c r="K149" s="100" t="str">
        <f>IF(OR(G149="",H149="",I149=""),"",IFERROR((G149/1000)/(n_e_fcn*F_const*(H149/10000)*I149)*100,""))</f>
        <v/>
      </c>
      <c r="L149" s="100" t="str">
        <f>IF(OR(K149="",J149=""),"",IFERROR(K149*(D_O2/J149)^km_exp,""))</f>
        <v/>
      </c>
      <c r="M149" s="100" t="str">
        <f>IFERROR(INDEX(ReactorTypeList,MATCH(C149,ReactorList,0)),"")</f>
        <v/>
      </c>
      <c r="N149" s="93"/>
      <c r="O149" s="93"/>
    </row>
    <row r="150">
      <c r="A150" s="96" t="inlineStr">
        <is>
          <t xml:space="preserve">Value in use - k_m O₂</t>
        </is>
      </c>
      <c r="C150" s="97" t="inlineStr">
        <is>
          <t xml:space="preserve">cm/s</t>
        </is>
      </c>
      <c r="D150" s="95" t="str">
        <f>IFERROR(AVERAGEIFS(L142:L149,C142:C149,Reactor_sel,D142:D149,electrode_sel,N142:N149,"y",E142:E149,stir_rpm_set,F142:F149,"&gt;="&amp;(temp_C-km_T_tol),F142:F149,"&lt;="&amp;(temp_C+km_T_tol)),"no included runs — model uses its default")</f>
        <v>no included runs — model uses its default</v>
      </c>
    </row>
    <row r="152">
      <c r="A152" s="98" t="str">
        <f>HYPERLINK("https://github.com/amy-bo/electroPioreactor/blob/AEP02/Media/protocols/chlorine-species.md","MONOCHLORAMINE LIFETIME  (DPD combined chlorine at plateau)")</f>
        <v>MONOCHLORAMINE LIFETIME  (DPD combined chlorine at plateau)</v>
      </c>
    </row>
    <row r="153">
      <c r="A153" s="72" t="inlineStr">
        <is>
          <t xml:space="preserve">Value in use: average of the included runs for the active reactor and medium. Inverts the model’s own steady state B = min(C·kτ/(1+kτ), P·τ): τ = max(B/(k(C−B)), B/P), with k, C and P read from Chemistry D271, D47 and D315 at the run settings (none depends on τ). Feeds Chemistry tau_NH2Cl (D142).</t>
        </is>
      </c>
    </row>
    <row r="154">
      <c r="A154" s="99" t="inlineStr">
        <is>
          <t xml:space="preserve">Researcher</t>
        </is>
      </c>
      <c r="B154" s="99" t="inlineStr">
        <is>
          <t xml:space="preserve">Date</t>
        </is>
      </c>
      <c r="C154" s="99" t="inlineStr">
        <is>
          <t xml:space="preserve">Reactor</t>
        </is>
      </c>
      <c r="D154" s="99" t="inlineStr">
        <is>
          <t xml:space="preserve">Medium</t>
        </is>
      </c>
      <c r="E154" s="99" t="inlineStr">
        <is>
          <t xml:space="preserve">Combined chlorine plateau (mg/L as Cl₂)</t>
        </is>
      </c>
      <c r="F154" s="99" t="inlineStr">
        <is>
          <t xml:space="preserve">Chloride turnover k (1/s, Chemistry D271)</t>
        </is>
      </c>
      <c r="G154" s="99" t="inlineStr">
        <is>
          <t xml:space="preserve">Chloride pool C (mol/L, Chemistry D47)</t>
        </is>
      </c>
      <c r="H154" s="99" t="inlineStr">
        <is>
          <t xml:space="preserve">Max production P (mol/L/s, Chemistry D315)</t>
        </is>
      </c>
      <c r="I154" s="99" t="inlineStr">
        <is>
          <t xml:space="preserve">Lifetime (computed, h)</t>
        </is>
      </c>
      <c r="J154" s="99" t="inlineStr">
        <is>
          <t xml:space="preserve">Type (auto)</t>
        </is>
      </c>
      <c r="K154" s="99" t="inlineStr">
        <is>
          <t xml:space="preserve">Include?</t>
        </is>
      </c>
      <c r="L154" s="99" t="inlineStr">
        <is>
          <t xml:space="preserve">Notes</t>
        </is>
      </c>
    </row>
    <row r="155">
      <c r="A155" s="93"/>
      <c r="B155" s="94"/>
      <c r="C155" s="93"/>
      <c r="D155" s="93"/>
      <c r="E155" s="94"/>
      <c r="F155" s="94"/>
      <c r="G155" s="94"/>
      <c r="H155" s="94"/>
      <c r="I155" s="100" t="str">
        <f>IF(OR(E155="",F155="",G155="",H155=""),"",IF(E155/M_Cl2&gt;=G155,"not invertible: plateau at or above the chloride pool",IFERROR(MAX(E155/M_Cl2/(F155*(G155-E155/M_Cl2)),E155/M_Cl2/H155)/3600,"")))</f>
        <v/>
      </c>
      <c r="J155" s="100" t="str">
        <f>IFERROR(INDEX(ReactorTypeList,MATCH(C155,ReactorList,0)),"")</f>
        <v/>
      </c>
      <c r="K155" s="93"/>
      <c r="L155" s="93"/>
    </row>
    <row r="156">
      <c r="A156" s="93"/>
      <c r="B156" s="94"/>
      <c r="C156" s="93"/>
      <c r="D156" s="93"/>
      <c r="E156" s="94"/>
      <c r="F156" s="94"/>
      <c r="G156" s="94"/>
      <c r="H156" s="94"/>
      <c r="I156" s="100" t="str">
        <f>IF(OR(E156="",F156="",G156="",H156=""),"",IF(E156/M_Cl2&gt;=G156,"not invertible: plateau at or above the chloride pool",IFERROR(MAX(E156/M_Cl2/(F156*(G156-E156/M_Cl2)),E156/M_Cl2/H156)/3600,"")))</f>
        <v/>
      </c>
      <c r="J156" s="100" t="str">
        <f>IFERROR(INDEX(ReactorTypeList,MATCH(C156,ReactorList,0)),"")</f>
        <v/>
      </c>
      <c r="K156" s="93"/>
      <c r="L156" s="93"/>
    </row>
    <row r="157">
      <c r="A157" s="93"/>
      <c r="B157" s="94"/>
      <c r="C157" s="93"/>
      <c r="D157" s="93"/>
      <c r="E157" s="94"/>
      <c r="F157" s="94"/>
      <c r="G157" s="94"/>
      <c r="H157" s="94"/>
      <c r="I157" s="100" t="str">
        <f>IF(OR(E157="",F157="",G157="",H157=""),"",IF(E157/M_Cl2&gt;=G157,"not invertible: plateau at or above the chloride pool",IFERROR(MAX(E157/M_Cl2/(F157*(G157-E157/M_Cl2)),E157/M_Cl2/H157)/3600,"")))</f>
        <v/>
      </c>
      <c r="J157" s="100" t="str">
        <f>IFERROR(INDEX(ReactorTypeList,MATCH(C157,ReactorList,0)),"")</f>
        <v/>
      </c>
      <c r="K157" s="93"/>
      <c r="L157" s="93"/>
    </row>
    <row r="158">
      <c r="A158" s="93"/>
      <c r="B158" s="94"/>
      <c r="C158" s="93"/>
      <c r="D158" s="93"/>
      <c r="E158" s="94"/>
      <c r="F158" s="94"/>
      <c r="G158" s="94"/>
      <c r="H158" s="94"/>
      <c r="I158" s="100" t="str">
        <f>IF(OR(E158="",F158="",G158="",H158=""),"",IF(E158/M_Cl2&gt;=G158,"not invertible: plateau at or above the chloride pool",IFERROR(MAX(E158/M_Cl2/(F158*(G158-E158/M_Cl2)),E158/M_Cl2/H158)/3600,"")))</f>
        <v/>
      </c>
      <c r="J158" s="100" t="str">
        <f>IFERROR(INDEX(ReactorTypeList,MATCH(C158,ReactorList,0)),"")</f>
        <v/>
      </c>
      <c r="K158" s="93"/>
      <c r="L158" s="93"/>
    </row>
    <row r="159">
      <c r="A159" s="93"/>
      <c r="B159" s="94"/>
      <c r="C159" s="93"/>
      <c r="D159" s="93"/>
      <c r="E159" s="94"/>
      <c r="F159" s="94"/>
      <c r="G159" s="94"/>
      <c r="H159" s="94"/>
      <c r="I159" s="100" t="str">
        <f>IF(OR(E159="",F159="",G159="",H159=""),"",IF(E159/M_Cl2&gt;=G159,"not invertible: plateau at or above the chloride pool",IFERROR(MAX(E159/M_Cl2/(F159*(G159-E159/M_Cl2)),E159/M_Cl2/H159)/3600,"")))</f>
        <v/>
      </c>
      <c r="J159" s="100" t="str">
        <f>IFERROR(INDEX(ReactorTypeList,MATCH(C159,ReactorList,0)),"")</f>
        <v/>
      </c>
      <c r="K159" s="93"/>
      <c r="L159" s="93"/>
    </row>
    <row r="160">
      <c r="A160" s="93"/>
      <c r="B160" s="94"/>
      <c r="C160" s="93"/>
      <c r="D160" s="93"/>
      <c r="E160" s="94"/>
      <c r="F160" s="94"/>
      <c r="G160" s="94"/>
      <c r="H160" s="94"/>
      <c r="I160" s="100" t="str">
        <f>IF(OR(E160="",F160="",G160="",H160=""),"",IF(E160/M_Cl2&gt;=G160,"not invertible: plateau at or above the chloride pool",IFERROR(MAX(E160/M_Cl2/(F160*(G160-E160/M_Cl2)),E160/M_Cl2/H160)/3600,"")))</f>
        <v/>
      </c>
      <c r="J160" s="100" t="str">
        <f>IFERROR(INDEX(ReactorTypeList,MATCH(C160,ReactorList,0)),"")</f>
        <v/>
      </c>
      <c r="K160" s="93"/>
      <c r="L160" s="93"/>
    </row>
    <row r="161">
      <c r="A161" s="93"/>
      <c r="B161" s="94"/>
      <c r="C161" s="93"/>
      <c r="D161" s="93"/>
      <c r="E161" s="94"/>
      <c r="F161" s="94"/>
      <c r="G161" s="94"/>
      <c r="H161" s="94"/>
      <c r="I161" s="100" t="str">
        <f>IF(OR(E161="",F161="",G161="",H161=""),"",IF(E161/M_Cl2&gt;=G161,"not invertible: plateau at or above the chloride pool",IFERROR(MAX(E161/M_Cl2/(F161*(G161-E161/M_Cl2)),E161/M_Cl2/H161)/3600,"")))</f>
        <v/>
      </c>
      <c r="J161" s="100" t="str">
        <f>IFERROR(INDEX(ReactorTypeList,MATCH(C161,ReactorList,0)),"")</f>
        <v/>
      </c>
      <c r="K161" s="93"/>
      <c r="L161" s="93"/>
    </row>
    <row r="162">
      <c r="A162" s="93"/>
      <c r="B162" s="94"/>
      <c r="C162" s="93"/>
      <c r="D162" s="93"/>
      <c r="E162" s="94"/>
      <c r="F162" s="94"/>
      <c r="G162" s="94"/>
      <c r="H162" s="94"/>
      <c r="I162" s="100" t="str">
        <f>IF(OR(E162="",F162="",G162="",H162=""),"",IF(E162/M_Cl2&gt;=G162,"not invertible: plateau at or above the chloride pool",IFERROR(MAX(E162/M_Cl2/(F162*(G162-E162/M_Cl2)),E162/M_Cl2/H162)/3600,"")))</f>
        <v/>
      </c>
      <c r="J162" s="100" t="str">
        <f>IFERROR(INDEX(ReactorTypeList,MATCH(C162,ReactorList,0)),"")</f>
        <v/>
      </c>
      <c r="K162" s="93"/>
      <c r="L162" s="93"/>
    </row>
    <row r="163">
      <c r="A163" s="96" t="inlineStr">
        <is>
          <t xml:space="preserve">Value in use - monochloramine lifetime</t>
        </is>
      </c>
      <c r="C163" s="97" t="inlineStr">
        <is>
          <t xml:space="preserve">h</t>
        </is>
      </c>
      <c r="D163" s="95" t="str">
        <f>IFERROR(AVERAGEIFS(I155:I162,C155:C162,Reactor_sel,D155:D162,media_sel,K155:K162,"y"),"no included runs — model uses its default")</f>
        <v>no included runs — model uses its default</v>
      </c>
    </row>
    <row r="164" spans="1:5" x14ac:dyDescent="0.2">
      <c r="A164" s="18"/>
      <c r="B164" s="72"/>
      <c r="C164" s="20"/>
      <c r="D164" s="133"/>
      <c r="E164" s="134"/>
    </row>
    <row r="165" spans="1:13" ht="16" x14ac:dyDescent="0.2">
      <c r="A165" s="5" t="s">
        <v>2645</v>
      </c>
      <c r="B165" s="72"/>
      <c r="C165" s="72"/>
      <c r="D165" s="72"/>
      <c r="E165" s="72"/>
      <c r="F165" s="72"/>
      <c r="G165" s="72"/>
      <c r="H165" s="72"/>
      <c r="I165" s="72"/>
      <c r="J165" s="72"/>
      <c r="K165" s="72"/>
      <c r="L165" s="72"/>
      <c r="M165" s="72"/>
    </row>
    <row r="166" spans="1:13" x14ac:dyDescent="0.2">
      <c r="A166" s="18" t="s">
        <v>2646</v>
      </c>
      <c r="B166" s="72" t="s">
        <v>2647</v>
      </c>
      <c r="C166" s="20" t="s">
        <v>2648</v>
      </c>
      <c r="D166" s="132">
        <v>291.2</v>
      </c>
      <c r="E166" s="72" t="s">
        <v>2649</v>
      </c>
    </row>
    <row r="167" spans="1:13" x14ac:dyDescent="0.2">
      <c r="A167" s="18" t="s">
        <v>2650</v>
      </c>
      <c r="B167" s="72" t="s">
        <v>2651</v>
      </c>
      <c r="C167" s="20" t="s">
        <v>518</v>
      </c>
      <c r="D167" s="132">
        <v>160</v>
      </c>
      <c r="E167" s="72" t="s">
        <v>2652</v>
      </c>
    </row>
    <row r="168" spans="1:13" x14ac:dyDescent="0.2">
      <c r="A168" s="18" t="s">
        <v>2653</v>
      </c>
      <c r="B168" s="72" t="s">
        <v>2654</v>
      </c>
      <c r="C168" s="20" t="s">
        <v>518</v>
      </c>
      <c r="D168" s="132">
        <v>100</v>
      </c>
      <c r="E168" s="72" t="s">
        <v>2655</v>
      </c>
    </row>
    <row r="169" spans="1:13" x14ac:dyDescent="0.2">
      <c r="A169" s="18" t="s">
        <v>2656</v>
      </c>
      <c r="B169" s="72" t="s">
        <v>2657</v>
      </c>
      <c r="C169" s="20" t="s">
        <v>518</v>
      </c>
      <c r="D169" s="132">
        <v>40</v>
      </c>
      <c r="E169" s="72" t="s">
        <v>2658</v>
      </c>
    </row>
    <row r="170" spans="1:13" x14ac:dyDescent="0.2">
      <c r="A170" s="18" t="s">
        <v>2659</v>
      </c>
      <c r="B170" s="72" t="s">
        <v>2660</v>
      </c>
      <c r="C170" s="20" t="s">
        <v>518</v>
      </c>
      <c r="D170" s="132">
        <v>16</v>
      </c>
      <c r="E170" s="72" t="s">
        <v>2661</v>
      </c>
    </row>
    <row r="171" spans="1:5" x14ac:dyDescent="0.2">
      <c r="A171" s="18" t="s">
        <v>2662</v>
      </c>
      <c r="B171" s="72" t="s">
        <v>2663</v>
      </c>
      <c r="C171" s="20" t="s">
        <v>518</v>
      </c>
      <c r="D171" s="132">
        <v>10</v>
      </c>
      <c r="E171" s="72" t="s">
        <v>2664</v>
      </c>
    </row>
    <row r="172" spans="1:5" x14ac:dyDescent="0.2">
      <c r="A172" s="18" t="s">
        <v>2665</v>
      </c>
      <c r="B172" s="72" t="s">
        <v>291</v>
      </c>
      <c r="C172" s="20" t="s">
        <v>111</v>
      </c>
      <c r="D172" s="133">
        <f>Electrochemistry!z_e_H2</f>
        <v>2.0</v>
      </c>
      <c r="E172" s="134" t="s">
        <v>2666</v>
      </c>
    </row>
    <row r="173" spans="1:5" x14ac:dyDescent="0.2">
      <c r="A173" s="18" t="s">
        <v>2667</v>
      </c>
      <c r="B173" s="72" t="s">
        <v>294</v>
      </c>
      <c r="C173" s="20" t="s">
        <v>111</v>
      </c>
      <c r="D173" s="133">
        <f>Electrochemistry!z_e_O2</f>
        <v>4.0</v>
      </c>
      <c r="E173" s="134" t="s">
        <v>2668</v>
      </c>
    </row>
    <row r="174" spans="1:5" x14ac:dyDescent="0.2">
      <c r="A174" s="18" t="s">
        <v>2288</v>
      </c>
      <c r="B174" s="72" t="s">
        <v>2122</v>
      </c>
      <c r="C174" s="20" t="s">
        <v>262</v>
      </c>
      <c r="D174" s="133">
        <f>Biology!T_zero_C</f>
        <v>273.15</v>
      </c>
      <c r="E174" s="134" t="s">
        <v>2289</v>
      </c>
    </row>
    <row r="175" spans="1:5" x14ac:dyDescent="0.2">
      <c r="A175" s="18" t="s">
        <v>2669</v>
      </c>
      <c r="B175" s="72" t="s">
        <v>1698</v>
      </c>
      <c r="C175" s="20" t="s">
        <v>57</v>
      </c>
      <c r="D175" s="133">
        <f>'Mass Transfer'!pw_A</f>
        <v>610.94</v>
      </c>
      <c r="E175" s="134" t="s">
        <v>2670</v>
      </c>
    </row>
    <row r="176" spans="1:5" x14ac:dyDescent="0.2">
      <c r="A176" s="18" t="s">
        <v>2671</v>
      </c>
      <c r="B176" s="72" t="s">
        <v>1701</v>
      </c>
      <c r="C176" s="20" t="s">
        <v>111</v>
      </c>
      <c r="D176" s="133">
        <f>'Mass Transfer'!pw_B</f>
        <v>17.625</v>
      </c>
      <c r="E176" s="134" t="s">
        <v>2672</v>
      </c>
    </row>
    <row r="177" spans="1:5" x14ac:dyDescent="0.2">
      <c r="A177" s="18" t="s">
        <v>2673</v>
      </c>
      <c r="B177" s="72" t="s">
        <v>1703</v>
      </c>
      <c r="C177" s="20" t="s">
        <v>48</v>
      </c>
      <c r="D177" s="133">
        <f>'Mass Transfer'!pw_C</f>
        <v>243.04</v>
      </c>
      <c r="E177" s="134" t="s">
        <v>2674</v>
      </c>
    </row>
    <row r="181" spans="1:5" x14ac:dyDescent="0.2">
      <c r="A181" s="18" t="s">
        <v>2675</v>
      </c>
      <c r="B181" s="72" t="s">
        <v>2676</v>
      </c>
      <c r="C181" s="20" t="s">
        <v>508</v>
      </c>
      <c r="D181" s="133">
        <f>'Mass Transfer'!rho_0</f>
        <v>1003.33</v>
      </c>
      <c r="E181" s="134" t="s">
        <v>2677</v>
      </c>
    </row>
    <row r="182" spans="1:5" x14ac:dyDescent="0.2">
      <c r="A182" s="18" t="s">
        <v>2678</v>
      </c>
      <c r="B182" s="72" t="s">
        <v>2679</v>
      </c>
      <c r="C182" s="20" t="s">
        <v>1595</v>
      </c>
      <c r="D182" s="133">
        <f>'Mass Transfer'!rho_k</f>
        <v>-0.2556</v>
      </c>
      <c r="E182" s="134" t="s">
        <v>2680</v>
      </c>
    </row>
    <row r="183" spans="1:5" x14ac:dyDescent="0.2">
      <c r="A183" s="18" t="s">
        <v>2681</v>
      </c>
      <c r="B183" s="72" t="s">
        <v>26</v>
      </c>
      <c r="C183" s="20" t="s">
        <v>111</v>
      </c>
      <c r="D183" s="133" t="str">
        <f>Summary!Reactor_sel</f>
        <v>ed04</v>
      </c>
      <c r="E183" s="134" t="s">
        <v>2682</v>
      </c>
    </row>
    <row r="184" spans="1:5" x14ac:dyDescent="0.2">
      <c r="A184" s="18" t="s">
        <v>2683</v>
      </c>
      <c r="B184" s="72" t="s">
        <v>33</v>
      </c>
      <c r="C184" s="20" t="s">
        <v>111</v>
      </c>
      <c r="D184" s="133" t="str">
        <f>Summary!organism_sel</f>
        <v>Xanthobacter tagetidis</v>
      </c>
      <c r="E184" s="134" t="s">
        <v>2684</v>
      </c>
    </row>
    <row r="185" spans="1:5" x14ac:dyDescent="0.2">
      <c r="A185" s="18" t="s">
        <v>2685</v>
      </c>
      <c r="B185" s="72" t="s">
        <v>212</v>
      </c>
      <c r="C185" s="20" t="s">
        <v>111</v>
      </c>
      <c r="D185" s="133" t="str">
        <f>Geometry!rx_ver</f>
        <v>MEP0.3</v>
      </c>
      <c r="E185" s="134" t="s">
        <v>2686</v>
      </c>
    </row>
    <row r="186" spans="1:5" x14ac:dyDescent="0.2">
      <c r="A186" s="18" t="s">
        <v>486</v>
      </c>
      <c r="B186" s="72" t="s">
        <v>126</v>
      </c>
      <c r="C186" s="20" t="s">
        <v>127</v>
      </c>
      <c r="D186" s="133">
        <f>Geometry!A_x</f>
        <v>501.93100162698</v>
      </c>
      <c r="E186" s="134" t="s">
        <v>2687</v>
      </c>
    </row>
    <row r="187" spans="1:5" x14ac:dyDescent="0.2">
      <c r="A187" s="18" t="s">
        <v>2688</v>
      </c>
      <c r="B187" s="72" t="s">
        <v>266</v>
      </c>
      <c r="C187" s="20" t="s">
        <v>267</v>
      </c>
      <c r="D187" s="133">
        <f>'Mass Transfer'!R_gas</f>
        <v>8.314462618</v>
      </c>
      <c r="E187" s="134" t="s">
        <v>2689</v>
      </c>
    </row>
    <row r="188" spans="1:5" x14ac:dyDescent="0.2">
      <c r="A188" s="18" t="s">
        <v>767</v>
      </c>
      <c r="B188" s="72" t="s">
        <v>287</v>
      </c>
      <c r="C188" s="20" t="s">
        <v>288</v>
      </c>
      <c r="D188" s="133">
        <f>Electrochemistry!F_const</f>
        <v>96485.33212</v>
      </c>
      <c r="E188" s="134" t="s">
        <v>2690</v>
      </c>
    </row>
    <row r="189">
      <c r="A189" s="5" t="inlineStr">
        <is>
          <t xml:space="preserve">NAMED CONSTANTS AND IMPORTS (electrode mass transfer, monochloramine lifetime)</t>
        </is>
      </c>
    </row>
    <row r="190">
      <c r="A190" s="18" t="inlineStr">
        <is>
          <t xml:space="preserve">Electrons per ferricyanide reduced</t>
        </is>
      </c>
      <c r="B190" s="72" t="inlineStr">
        <is>
          <t xml:space="preserve">n_e_fcn</t>
        </is>
      </c>
      <c r="C190" s="20" t="inlineStr">
        <is>
          <t xml:space="preserve">-</t>
        </is>
      </c>
      <c r="D190" s="132">
        <v>1</v>
      </c>
      <c r="E190" s="134" t="inlineStr">
        <is>
          <t xml:space="preserve">Fe(CN)₆³⁻ + e⁻ → Fe(CN)₆⁴⁻: a one-electron couple (protocols/electrode-mass-transfer.md).</t>
        </is>
      </c>
    </row>
    <row r="191">
      <c r="A191" s="18" t="inlineStr">
        <is>
          <t xml:space="preserve">Temperature tolerance for a k_m run</t>
        </is>
      </c>
      <c r="B191" s="72" t="inlineStr">
        <is>
          <t xml:space="preserve">km_T_tol</t>
        </is>
      </c>
      <c r="C191" s="20" t="inlineStr">
        <is>
          <t xml:space="preserve">°C</t>
        </is>
      </c>
      <c r="D191" s="132">
        <v>1</v>
      </c>
      <c r="E191" s="34" t="inlineStr">
        <is>
          <t xml:space="preserve">Design assumption: diffusivity and viscosity move ~2 %/K, so a run within ±1 °C of the Summary temperature is used as measured; others need a separate temperature correction.</t>
        </is>
      </c>
    </row>
    <row r="192">
      <c r="A192" s="18" t="inlineStr">
        <is>
          <t xml:space="preserve">(import) Stirrer rate on Summary</t>
        </is>
      </c>
      <c r="B192" s="72" t="inlineStr">
        <is>
          <t xml:space="preserve">stir_rpm_set</t>
        </is>
      </c>
      <c r="C192" s="20" t="inlineStr">
        <is>
          <t xml:space="preserve">rpm</t>
        </is>
      </c>
      <c r="D192" s="133">
        <f>Summary!stir_rpm_set</f>
        <v>1000.0</v>
      </c>
      <c r="E192" s="134" t="inlineStr">
        <is>
          <t xml:space="preserve">Import from Summary!D7 (stir_rpm_set)</t>
        </is>
      </c>
    </row>
    <row r="193">
      <c r="A193" s="18" t="inlineStr">
        <is>
          <t xml:space="preserve">(import) Temperature setpoint on Summary</t>
        </is>
      </c>
      <c r="B193" s="72" t="inlineStr">
        <is>
          <t xml:space="preserve">temp_C</t>
        </is>
      </c>
      <c r="C193" s="20" t="inlineStr">
        <is>
          <t xml:space="preserve">°C</t>
        </is>
      </c>
      <c r="D193" s="133">
        <f>Summary!temp_C</f>
        <v>30.0</v>
      </c>
      <c r="E193" s="134" t="inlineStr">
        <is>
          <t xml:space="preserve">Import from Summary!D8 (temp_C)</t>
        </is>
      </c>
    </row>
    <row r="194">
      <c r="A194" s="18" t="inlineStr">
        <is>
          <t xml:space="preserve">(import) Medium selected on Summary</t>
        </is>
      </c>
      <c r="B194" s="72" t="inlineStr">
        <is>
          <t xml:space="preserve">media_sel</t>
        </is>
      </c>
      <c r="C194" s="20" t="inlineStr">
        <is>
          <t xml:space="preserve">-</t>
        </is>
      </c>
      <c r="D194" s="133" t="str">
        <f>Summary!media_sel</f>
        <v>AMYBO03</v>
      </c>
      <c r="E194" s="134" t="inlineStr">
        <is>
          <t xml:space="preserve">Import from Summary!D5 (media_sel)</t>
        </is>
      </c>
    </row>
    <row r="195">
      <c r="A195" s="18" t="inlineStr">
        <is>
          <t xml:space="preserve">(import) Electrode selected on Summary</t>
        </is>
      </c>
      <c r="B195" s="72" t="inlineStr">
        <is>
          <t xml:space="preserve">electrode_sel</t>
        </is>
      </c>
      <c r="C195" s="20" t="inlineStr">
        <is>
          <t xml:space="preserve">-</t>
        </is>
      </c>
      <c r="D195" s="133" t="str">
        <f>Summary!electrode_sel</f>
        <v>MMO tube</v>
      </c>
      <c r="E195" s="134" t="inlineStr">
        <is>
          <t xml:space="preserve">Import from Summary!D3 (electrode_sel)</t>
        </is>
      </c>
    </row>
    <row r="196">
      <c r="A196" s="18" t="inlineStr">
        <is>
          <t xml:space="preserve">(import) O₂ diffusivity at reactor T</t>
        </is>
      </c>
      <c r="B196" s="72" t="inlineStr">
        <is>
          <t xml:space="preserve">D_O2</t>
        </is>
      </c>
      <c r="C196" s="20" t="inlineStr">
        <is>
          <t xml:space="preserve">m²/s</t>
        </is>
      </c>
      <c r="D196" s="133">
        <f>'Mass Transfer'!D_O2</f>
        <v>2.249544435762e-09</v>
      </c>
      <c r="E196" s="134" t="inlineStr">
        <is>
          <t xml:space="preserve">Import from Mass Transfer!D32 (D_O2)</t>
        </is>
      </c>
    </row>
    <row r="197">
      <c r="A197" s="18" t="inlineStr">
        <is>
          <t xml:space="preserve">(import) Diffusivity exponent for k_m scaling</t>
        </is>
      </c>
      <c r="B197" s="72" t="inlineStr">
        <is>
          <t xml:space="preserve">km_exp</t>
        </is>
      </c>
      <c r="C197" s="20" t="inlineStr">
        <is>
          <t xml:space="preserve">-</t>
        </is>
      </c>
      <c r="D197" s="133">
        <f>Electrochemistry!km_exp</f>
        <v>0.644</v>
      </c>
      <c r="E197" s="134" t="inlineStr">
        <is>
          <t xml:space="preserve">Import from Electrochemistry!D84 (km_exp): the same Eisenberg scaling the model uses for every species.</t>
        </is>
      </c>
    </row>
    <row r="198">
      <c r="A198" s="18" t="inlineStr">
        <is>
          <t xml:space="preserve">(import) Cl₂ molar mass</t>
        </is>
      </c>
      <c r="B198" s="72" t="inlineStr">
        <is>
          <t xml:space="preserve">M_Cl2</t>
        </is>
      </c>
      <c r="C198" s="20" t="inlineStr">
        <is>
          <t xml:space="preserve">mg/mol</t>
        </is>
      </c>
      <c r="D198" s="133">
        <f>Chemistry!M_Cl2</f>
        <v>70906.0</v>
      </c>
      <c r="E198" s="134" t="inlineStr">
        <is>
          <t xml:space="preserve">Import from Chemistry!D223 (M_Cl2): DPD results are mg/L as Cl₂.</t>
        </is>
      </c>
    </row>
    <row r="199">
      <c r="A199" s="18" t="inlineStr">
        <is>
          <t xml:space="preserve">(import) H₂ basis of the uptake ratio</t>
        </is>
      </c>
      <c r="B199" s="72" t="inlineStr">
        <is>
          <t xml:space="preserve">knall_H2_basis</t>
        </is>
      </c>
      <c r="C199" s="20" t="inlineStr">
        <is>
          <t xml:space="preserve">parts</t>
        </is>
      </c>
      <c r="D199" s="133">
        <f>Biology!knall_H2_default</f>
        <v>6.0</v>
      </c>
      <c r="E199" s="134" t="inlineStr">
        <is>
          <t xml:space="preserve">Import from Biology!D63 (knall_H2_default): the H₂ term of the default 6:2:1, so a measured ratio reads on the same scale.</t>
        </is>
      </c>
    </row>
    <row r="200">
      <c r="A200" s="18" t="inlineStr">
        <is>
          <t xml:space="preserve">Sinter grade P0 upper bound</t>
        </is>
      </c>
      <c r="B200" s="72" t="inlineStr">
        <is>
          <t xml:space="preserve">por_p0_hi</t>
        </is>
      </c>
      <c r="C200" s="20" t="inlineStr">
        <is>
          <t xml:space="preserve">µm</t>
        </is>
      </c>
      <c r="D200" s="132">
        <v>250</v>
      </c>
      <c r="E200" s="72" t="inlineStr">
        <is>
          <t xml:space="preserve">DURAN P0 160–250 µm (Mass Transfer E33): above this the frit is coarser than any listed grade.</t>
        </is>
      </c>
    </row>
    <row r="201">
      <c r="A201" s="18" t="inlineStr">
        <is>
          <t xml:space="preserve">Sinter grade P5 upper bound</t>
        </is>
      </c>
      <c r="B201" s="72" t="inlineStr">
        <is>
          <t xml:space="preserve">por_p5_hi</t>
        </is>
      </c>
      <c r="C201" s="20" t="inlineStr">
        <is>
          <t xml:space="preserve">µm</t>
        </is>
      </c>
      <c r="D201" s="132">
        <v>1.6</v>
      </c>
      <c r="E201" s="72" t="inlineStr">
        <is>
          <t xml:space="preserve">DURAN P5 1.0–1.6 µm (Mass Transfer E38); 1.6–10 µm falls between P5 and P4 and is not a listed grade.</t>
        </is>
      </c>
    </row>
    <row r="202">
      <c r="A202" s="18" t="inlineStr">
        <is>
          <t xml:space="preserve">Sinter grade P5 lower bound</t>
        </is>
      </c>
      <c r="B202" s="72" t="inlineStr">
        <is>
          <t xml:space="preserve">por_p5_lo</t>
        </is>
      </c>
      <c r="C202" s="20" t="inlineStr">
        <is>
          <t xml:space="preserve">µm</t>
        </is>
      </c>
      <c r="D202" s="132">
        <v>1</v>
      </c>
      <c r="E202" s="72" t="inlineStr">
        <is>
          <t xml:space="preserve">DURAN P5 1.0–1.6 µm (Mass Transfer E38).</t>
        </is>
      </c>
    </row>
  </sheetData>
  <dataValidations count="8">
    <dataValidation type="list" allowBlank="1" showInputMessage="1" showErrorMessage="1" sqref="C8:C15 C23:C30 C38:C45 C52:C59 C66:C73 C81:C88" xr:uid="{00000000-0002-0000-0700-000000000000}">
      <formula1>ReactorList</formula1>
    </dataValidation>
    <dataValidation type="list" allowBlank="1" showInputMessage="1" showErrorMessage="1" sqref="F38:F45 F128:F135 G8:G15 G81:G88 G112:G119 H52:H59 H95:H102 J66:J73 K23:K30" xr:uid="{00000000-0002-0000-0700-000001000000}">
      <formula1>"y,n"</formula1>
    </dataValidation>
    <dataValidation type="list" allowBlank="1" showInputMessage="1" showErrorMessage="1" sqref="H23:H30" xr:uid="{00000000-0002-0000-0700-000004000000}">
      <formula1>"H2,O2"</formula1>
    </dataValidation>
    <dataValidation type="list" allowBlank="1" showInputMessage="1" showErrorMessage="1" sqref="C95:C102 C112:C119 C128:C135" xr:uid="{00000000-0002-0000-0700-00000D000000}">
      <formula1>OrganismList</formula1>
    </dataValidation>
    <dataValidation type="list" allowBlank="1" showErrorMessage="1" errorTitle="Invalid value" error="Choose a reactor from the list." sqref="C142:C149 C155:C162">
      <formula1>ReactorList</formula1>
    </dataValidation>
    <dataValidation type="list" allowBlank="1" showErrorMessage="1" errorTitle="Invalid value" error="y or n." sqref="K155:K162 N142:N149">
      <formula1>"y,n"</formula1>
    </dataValidation>
    <dataValidation type="list" allowBlank="1" showErrorMessage="1" errorTitle="Invalid value" error="Choose an electrode from the list." sqref="D142:D149">
      <formula1>ElectrodeList</formula1>
    </dataValidation>
    <dataValidation type="list" allowBlank="1" showErrorMessage="1" errorTitle="Invalid value" error="Choose a medium from the list." sqref="D155:D162">
      <formula1>MediaList</formula1>
    </dataValidation>
  </dataValidations>
  <pageMargins left="0.75" right="0.75" top="1" bottom="1" header="0.5" footer="0.5"/>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35"/>
  <sheetViews>
    <sheetView showGridLines="0" workbookViewId="0">
      <pane ySplit="5" topLeftCell="A6" activePane="bottomLeft" state="frozen"/>
      <selection pane="bottomLeft"/>
    </sheetView>
  </sheetViews>
  <sheetFormatPr baseColWidth="10" defaultColWidth="8.83203125" defaultRowHeight="15" x14ac:dyDescent="0.2"/>
  <cols>
    <col min="1" max="1" width="43" customWidth="1"/>
    <col min="2" max="2" width="23" customWidth="1"/>
    <col min="3" max="8" width="17" customWidth="1"/>
    <col min="9" max="9" width="18" customWidth="1"/>
  </cols>
  <sheetData>
    <row r="2" spans="1:9" ht="18" x14ac:dyDescent="0.2">
      <c r="A2" s="145" t="s">
        <v>2747</v>
      </c>
      <c r="B2" s="143"/>
      <c r="C2" s="143"/>
      <c r="D2" s="143"/>
      <c r="E2" s="143"/>
      <c r="F2" s="143"/>
      <c r="G2" s="143"/>
      <c r="H2" s="143"/>
      <c r="I2" s="143"/>
    </row>
    <row r="3" spans="1:9" ht="30" customHeight="1" x14ac:dyDescent="0.2">
      <c r="A3" s="1" t="s">
        <v>2748</v>
      </c>
      <c r="B3" s="1"/>
      <c r="C3" s="1"/>
      <c r="D3" s="1"/>
      <c r="E3" s="1"/>
      <c r="F3" s="1"/>
      <c r="G3" s="1"/>
      <c r="H3" s="1"/>
      <c r="I3" s="143"/>
    </row>
    <row r="4" spans="1:9" x14ac:dyDescent="0.2">
      <c r="A4" s="143"/>
      <c r="B4" s="143"/>
      <c r="C4" s="143"/>
      <c r="D4" s="143"/>
      <c r="E4" s="143"/>
      <c r="F4" s="143"/>
      <c r="G4" s="143"/>
      <c r="H4" s="143"/>
      <c r="I4" s="143"/>
    </row>
    <row r="5" spans="1:9" ht="32" customHeight="1" x14ac:dyDescent="0.2">
      <c r="A5" s="147" t="s">
        <v>2749</v>
      </c>
      <c r="B5" s="147" t="s">
        <v>2750</v>
      </c>
      <c r="C5" s="147" t="s">
        <v>2751</v>
      </c>
      <c r="D5" s="147" t="s">
        <v>800</v>
      </c>
      <c r="E5" s="147" t="s">
        <v>2752</v>
      </c>
      <c r="F5" s="147" t="s">
        <v>2753</v>
      </c>
      <c r="G5" s="147"/>
      <c r="H5" s="147"/>
      <c r="I5" s="147"/>
    </row>
    <row r="6" spans="1:9" ht="24" customHeight="1" x14ac:dyDescent="0.2">
      <c r="A6" s="143" t="s">
        <v>2754</v>
      </c>
      <c r="B6" s="143" t="s">
        <v>2755</v>
      </c>
      <c r="C6" s="111">
        <f>amy_Na2HPO4_gL</f>
        <v>4.26</v>
      </c>
      <c r="D6" s="111">
        <f>amy_Na2HPO4_MW</f>
        <v>141.96</v>
      </c>
      <c r="E6" s="111">
        <f>amy_Na2HPO4_gL/amy_Na2HPO4_MW*1000</f>
        <v>30.008453085376</v>
      </c>
      <c r="F6" s="111">
        <f>amy_Na2HPO4_thesis_mM</f>
        <v>30.0</v>
      </c>
      <c r="G6" s="149"/>
      <c r="H6" s="149"/>
      <c r="I6" s="143"/>
    </row>
    <row r="7" spans="1:9" ht="24" customHeight="1" x14ac:dyDescent="0.2">
      <c r="A7" s="143" t="s">
        <v>2756</v>
      </c>
      <c r="B7" s="143" t="s">
        <v>2757</v>
      </c>
      <c r="C7" s="111">
        <f>amy_NaH2PO4_gL</f>
        <v>4.68</v>
      </c>
      <c r="D7" s="111">
        <f>amy_NaH2PO4_MW</f>
        <v>156.01</v>
      </c>
      <c r="E7" s="111">
        <f>amy_NaH2PO4_gL/amy_NaH2PO4_MW*1000</f>
        <v>29.998077046343</v>
      </c>
      <c r="F7" s="111">
        <f>amy_NaH2PO4_thesis_mM</f>
        <v>30.0</v>
      </c>
      <c r="G7" s="149"/>
      <c r="H7" s="149"/>
      <c r="I7" s="143"/>
    </row>
    <row r="8" spans="1:9" ht="24" customHeight="1" x14ac:dyDescent="0.2">
      <c r="A8" s="143" t="s">
        <v>2758</v>
      </c>
      <c r="B8" s="143" t="s">
        <v>2759</v>
      </c>
      <c r="C8" s="111">
        <f>amy_K2SO4_gL</f>
        <v>0.17</v>
      </c>
      <c r="D8" s="111">
        <f>amy_K2SO4_MW</f>
        <v>174.26</v>
      </c>
      <c r="E8" s="111">
        <f>amy_K2SO4_gL/amy_K2SO4_MW*1000</f>
        <v>0.975553770228</v>
      </c>
      <c r="F8" s="111">
        <f>amy_K2SO4_thesis_mM</f>
        <v>0.98</v>
      </c>
      <c r="G8" s="149"/>
      <c r="H8" s="149"/>
      <c r="I8" s="143"/>
    </row>
    <row r="9" spans="1:9" ht="24" customHeight="1" x14ac:dyDescent="0.2">
      <c r="A9" s="143" t="s">
        <v>2760</v>
      </c>
      <c r="B9" s="143" t="s">
        <v>2761</v>
      </c>
      <c r="C9" s="111">
        <f>amy_CaSO4_gL</f>
        <v>0.097</v>
      </c>
      <c r="D9" s="111">
        <f>amy_CaSO4_MW</f>
        <v>172.17</v>
      </c>
      <c r="E9" s="111">
        <f>amy_CaSO4_gL/amy_CaSO4_MW*1000</f>
        <v>0.563396642853</v>
      </c>
      <c r="F9" s="111">
        <f>amy_CaSO4_thesis_mM</f>
        <v>0.56</v>
      </c>
      <c r="G9" s="149"/>
      <c r="H9" s="149"/>
      <c r="I9" s="143"/>
    </row>
    <row r="10" spans="1:9" ht="24" customHeight="1" x14ac:dyDescent="0.2">
      <c r="A10" s="143" t="s">
        <v>2762</v>
      </c>
      <c r="B10" s="143" t="s">
        <v>2763</v>
      </c>
      <c r="C10" s="111">
        <f>amy_MgSO4_gL</f>
        <v>0.8</v>
      </c>
      <c r="D10" s="111">
        <f>amy_MgSO4_MW</f>
        <v>246.48</v>
      </c>
      <c r="E10" s="111">
        <f>amy_MgSO4_gL/amy_MgSO4_MW*1000</f>
        <v>3.245699448231</v>
      </c>
      <c r="F10" s="111">
        <f>amy_MgSO4_thesis_mM</f>
        <v>3.25</v>
      </c>
      <c r="G10" s="149"/>
      <c r="H10" s="149"/>
      <c r="I10" s="143"/>
    </row>
    <row r="11" spans="1:9" ht="24" customHeight="1" x14ac:dyDescent="0.2">
      <c r="A11" s="143" t="s">
        <v>2764</v>
      </c>
      <c r="B11" s="143" t="s">
        <v>2765</v>
      </c>
      <c r="C11" s="111">
        <f>amy_NH4SO4_gL</f>
        <v>0.943</v>
      </c>
      <c r="D11" s="111">
        <f>amy_NH4SO4_MW</f>
        <v>132.14</v>
      </c>
      <c r="E11" s="111">
        <f>amy_NH4SO4_gL/amy_NH4SO4_MW*1000</f>
        <v>7.136370516119</v>
      </c>
      <c r="F11" s="111">
        <f>amy_NH4SO4_thesis_mM</f>
        <v>7.14</v>
      </c>
      <c r="G11" s="149"/>
      <c r="H11" s="149"/>
      <c r="I11" s="143"/>
    </row>
    <row r="12" spans="1:9" ht="24" customHeight="1" x14ac:dyDescent="0.2">
      <c r="A12" s="143" t="s">
        <v>2766</v>
      </c>
      <c r="B12" s="143" t="s">
        <v>2767</v>
      </c>
      <c r="C12" s="111">
        <f>amy_NaHCO3_gL</f>
        <v>3.36</v>
      </c>
      <c r="D12" s="111">
        <f>amy_NaHCO3_MW</f>
        <v>84.007</v>
      </c>
      <c r="E12" s="111">
        <f>amy_NaHCO3_gL/amy_NaHCO3_MW*1000</f>
        <v>39.996666944421</v>
      </c>
      <c r="F12" s="111">
        <f>amy_NaHCO3_thesis_mM</f>
        <v>40.0</v>
      </c>
      <c r="G12" s="149"/>
      <c r="H12" s="149"/>
      <c r="I12" s="143"/>
    </row>
    <row r="13" spans="1:9" ht="24" customHeight="1" x14ac:dyDescent="0.2">
      <c r="A13" s="143"/>
      <c r="B13" s="143"/>
      <c r="C13" s="149"/>
      <c r="D13" s="149"/>
      <c r="E13" s="149"/>
      <c r="F13" s="149"/>
      <c r="G13" s="149"/>
      <c r="H13" s="149"/>
      <c r="I13" s="143"/>
    </row>
    <row r="14" spans="1:9" ht="24" customHeight="1" x14ac:dyDescent="0.2">
      <c r="A14" s="146" t="s">
        <v>2768</v>
      </c>
      <c r="B14" s="146" t="s">
        <v>2769</v>
      </c>
      <c r="C14" s="150" t="s">
        <v>2770</v>
      </c>
      <c r="D14" s="149"/>
      <c r="E14" s="149"/>
      <c r="F14" s="149"/>
      <c r="G14" s="149"/>
      <c r="H14" s="149"/>
      <c r="I14" s="143"/>
    </row>
    <row r="15" spans="1:9" ht="24" customHeight="1" x14ac:dyDescent="0.2">
      <c r="A15" s="143" t="s">
        <v>2771</v>
      </c>
      <c r="B15" s="111">
        <f>amy_Fe_dose</f>
        <v>0.68</v>
      </c>
      <c r="C15" s="149" t="s">
        <v>2772</v>
      </c>
      <c r="D15" s="149"/>
      <c r="E15" s="149"/>
      <c r="F15" s="149"/>
      <c r="G15" s="149"/>
      <c r="H15" s="149"/>
      <c r="I15" s="143"/>
    </row>
    <row r="16" spans="1:9" ht="24" customHeight="1" x14ac:dyDescent="0.2">
      <c r="A16" s="143" t="s">
        <v>2773</v>
      </c>
      <c r="B16" s="111">
        <f>amy_TM_dose</f>
        <v>0.05</v>
      </c>
      <c r="C16" s="149" t="s">
        <v>2772</v>
      </c>
      <c r="D16" s="149"/>
      <c r="E16" s="149"/>
      <c r="F16" s="149"/>
      <c r="G16" s="149"/>
      <c r="H16" s="149"/>
      <c r="I16" s="143"/>
    </row>
    <row r="17" spans="1:9" ht="24" customHeight="1" x14ac:dyDescent="0.2">
      <c r="A17" s="143" t="s">
        <v>2774</v>
      </c>
      <c r="B17" s="111">
        <f>amy_gluconate_stock_dose</f>
        <v>50.0</v>
      </c>
      <c r="C17" s="149" t="s">
        <v>2775</v>
      </c>
      <c r="D17" s="149"/>
      <c r="E17" s="149"/>
      <c r="F17" s="149"/>
      <c r="G17" s="149"/>
      <c r="H17" s="149"/>
      <c r="I17" s="143"/>
    </row>
    <row r="18" spans="1:9" ht="24" customHeight="1" x14ac:dyDescent="0.2">
      <c r="A18" s="143" t="s">
        <v>2776</v>
      </c>
      <c r="B18" s="111">
        <f>amy_organic_C_used</f>
        <v>0.0</v>
      </c>
      <c r="C18" s="149" t="s">
        <v>2777</v>
      </c>
      <c r="D18" s="149"/>
      <c r="E18" s="149"/>
      <c r="F18" s="149"/>
      <c r="G18" s="149"/>
      <c r="H18" s="149"/>
      <c r="I18" s="143"/>
    </row>
    <row r="19" spans="1:9" ht="24" customHeight="1" x14ac:dyDescent="0.2">
      <c r="A19" s="143"/>
      <c r="B19" s="143"/>
      <c r="C19" s="149"/>
      <c r="D19" s="149"/>
      <c r="E19" s="149"/>
      <c r="F19" s="149"/>
      <c r="G19" s="149"/>
      <c r="H19" s="149"/>
      <c r="I19" s="143"/>
    </row>
    <row r="20" spans="1:9" ht="24" customHeight="1" x14ac:dyDescent="0.2">
      <c r="A20" s="147" t="s">
        <v>2778</v>
      </c>
      <c r="B20" s="147" t="s">
        <v>2750</v>
      </c>
      <c r="C20" s="151" t="s">
        <v>2751</v>
      </c>
      <c r="D20" s="151" t="s">
        <v>800</v>
      </c>
      <c r="E20" s="151" t="s">
        <v>2779</v>
      </c>
      <c r="F20" s="151" t="s">
        <v>2780</v>
      </c>
      <c r="G20" s="151" t="s">
        <v>2781</v>
      </c>
      <c r="H20" s="151" t="s">
        <v>2782</v>
      </c>
      <c r="I20" s="148" t="s">
        <v>2783</v>
      </c>
    </row>
    <row r="21" spans="1:9" ht="24" customHeight="1" x14ac:dyDescent="0.2">
      <c r="A21" s="143" t="s">
        <v>2784</v>
      </c>
      <c r="B21" s="143" t="s">
        <v>2785</v>
      </c>
      <c r="C21" s="111">
        <f>amy_FeSO4_gL</f>
        <v>15.0</v>
      </c>
      <c r="D21" s="111">
        <f>amy_FeSO4_MW</f>
        <v>278.01</v>
      </c>
      <c r="E21" s="111">
        <f>amy_FeSO4_gL/amy_FeSO4_MW*1000</f>
        <v>53.954893708859</v>
      </c>
      <c r="F21" s="111">
        <f>amy_Fe_dose</f>
        <v>0.68</v>
      </c>
      <c r="G21" s="111">
        <f>amy_FeSO4_mM*amy_FeSO4_dose</f>
        <v>36.689327722024</v>
      </c>
      <c r="H21" s="111">
        <f>amy_FeSO4_thesis_final</f>
        <v>36.7</v>
      </c>
      <c r="I21" s="111">
        <f>amy_FeSO4_thesis_stock</f>
        <v>54.0</v>
      </c>
    </row>
    <row r="22" spans="1:9" ht="24" customHeight="1" x14ac:dyDescent="0.2">
      <c r="A22" s="143" t="s">
        <v>2786</v>
      </c>
      <c r="B22" s="143" t="s">
        <v>2787</v>
      </c>
      <c r="C22" s="149"/>
      <c r="D22" s="111">
        <f>amy_Fe_acid_MW</f>
        <v>98.079</v>
      </c>
      <c r="E22" s="111">
        <f>amy_Fe_acid_mM</f>
        <v>200.0</v>
      </c>
      <c r="F22" s="111">
        <f>amy_Fe_dose</f>
        <v>0.68</v>
      </c>
      <c r="G22" s="111">
        <f>amy_Fe_acid_mM*amy_Fe_acid_dose</f>
        <v>136.0</v>
      </c>
      <c r="H22" s="111">
        <f>amy_Fe_acid_thesis_final</f>
        <v>140.0</v>
      </c>
      <c r="I22" s="111">
        <f>amy_Fe_acid_thesis_stock</f>
        <v>200.0</v>
      </c>
    </row>
    <row r="23" spans="1:9" ht="24" customHeight="1" x14ac:dyDescent="0.2">
      <c r="A23" s="143"/>
      <c r="B23" s="143"/>
      <c r="C23" s="149"/>
      <c r="D23" s="149"/>
      <c r="E23" s="149"/>
      <c r="F23" s="149"/>
      <c r="G23" s="149"/>
      <c r="H23" s="149"/>
      <c r="I23" s="144"/>
    </row>
    <row r="24" spans="1:9" ht="24" customHeight="1" x14ac:dyDescent="0.2">
      <c r="A24" s="147" t="s">
        <v>2788</v>
      </c>
      <c r="B24" s="147" t="s">
        <v>2750</v>
      </c>
      <c r="C24" s="151" t="s">
        <v>2751</v>
      </c>
      <c r="D24" s="151" t="s">
        <v>800</v>
      </c>
      <c r="E24" s="151" t="s">
        <v>2779</v>
      </c>
      <c r="F24" s="151" t="s">
        <v>2780</v>
      </c>
      <c r="G24" s="151" t="s">
        <v>2781</v>
      </c>
      <c r="H24" s="151" t="s">
        <v>2782</v>
      </c>
      <c r="I24" s="148" t="s">
        <v>2783</v>
      </c>
    </row>
    <row r="25" spans="1:9" ht="24" customHeight="1" x14ac:dyDescent="0.2">
      <c r="A25" s="143" t="s">
        <v>2789</v>
      </c>
      <c r="B25" s="143" t="s">
        <v>2790</v>
      </c>
      <c r="C25" s="111">
        <f>amy_Na2MoO4_gL</f>
        <v>1.8</v>
      </c>
      <c r="D25" s="111">
        <f>amy_Na2MoO4_MW</f>
        <v>241.95</v>
      </c>
      <c r="E25" s="111">
        <f>amy_Na2MoO4_gL/amy_Na2MoO4_MW*1000</f>
        <v>7.439553626782</v>
      </c>
      <c r="F25" s="111">
        <f>amy_TM_dose</f>
        <v>0.05</v>
      </c>
      <c r="G25" s="111">
        <f>amy_Na2MoO4_mM*amy_Na2MoO4_dose</f>
        <v>0.371977681339</v>
      </c>
      <c r="H25" s="111">
        <f>amy_Na2MoO4_thesis_final</f>
        <v>0.37</v>
      </c>
      <c r="I25" s="111">
        <f>amy_Na2MoO4_thesis_stock</f>
        <v>7.44</v>
      </c>
    </row>
    <row r="26" spans="1:9" ht="24" customHeight="1" x14ac:dyDescent="0.2">
      <c r="A26" s="143" t="s">
        <v>2791</v>
      </c>
      <c r="B26" s="143" t="s">
        <v>2792</v>
      </c>
      <c r="C26" s="111">
        <f>amy_ZnSO4_gL</f>
        <v>2.4</v>
      </c>
      <c r="D26" s="111">
        <f>amy_ZnSO4_MW</f>
        <v>287.54</v>
      </c>
      <c r="E26" s="111">
        <f>amy_ZnSO4_gL/amy_ZnSO4_MW*1000</f>
        <v>8.346664811852</v>
      </c>
      <c r="F26" s="111">
        <f>amy_TM_dose</f>
        <v>0.05</v>
      </c>
      <c r="G26" s="111">
        <f>amy_ZnSO4_mM*amy_ZnSO4_dose</f>
        <v>0.417333240593</v>
      </c>
      <c r="H26" s="111">
        <f>amy_ZnSO4_thesis_final</f>
        <v>0.42</v>
      </c>
      <c r="I26" s="111">
        <f>amy_ZnSO4_thesis_stock</f>
        <v>8.35</v>
      </c>
    </row>
    <row r="27" spans="1:9" ht="24" customHeight="1" x14ac:dyDescent="0.2">
      <c r="A27" s="143" t="s">
        <v>2793</v>
      </c>
      <c r="B27" s="143" t="s">
        <v>2794</v>
      </c>
      <c r="C27" s="111">
        <f>amy_MnSO4_gL</f>
        <v>2.4</v>
      </c>
      <c r="D27" s="111">
        <f>amy_MnSO4_MW</f>
        <v>169.02</v>
      </c>
      <c r="E27" s="111">
        <f>amy_MnSO4_gL/amy_MnSO4_MW*1000</f>
        <v>14.199503017394</v>
      </c>
      <c r="F27" s="111">
        <f>amy_TM_dose</f>
        <v>0.05</v>
      </c>
      <c r="G27" s="111">
        <f>amy_MnSO4_mM*amy_MnSO4_dose</f>
        <v>0.70997515087</v>
      </c>
      <c r="H27" s="111">
        <f>amy_MnSO4_thesis_final</f>
        <v>0.71</v>
      </c>
      <c r="I27" s="111">
        <f>amy_MnSO4_thesis_stock</f>
        <v>14.2</v>
      </c>
    </row>
    <row r="28" spans="1:9" ht="24" customHeight="1" x14ac:dyDescent="0.2">
      <c r="A28" s="143" t="s">
        <v>2795</v>
      </c>
      <c r="B28" s="143" t="s">
        <v>2796</v>
      </c>
      <c r="C28" s="111">
        <f>amy_CuSO4_gL</f>
        <v>0.48</v>
      </c>
      <c r="D28" s="111">
        <f>amy_CuSO4_MW</f>
        <v>249.68</v>
      </c>
      <c r="E28" s="111">
        <f>amy_CuSO4_gL/amy_CuSO4_MW*1000</f>
        <v>1.92246074976</v>
      </c>
      <c r="F28" s="111">
        <f>amy_TM_dose</f>
        <v>0.05</v>
      </c>
      <c r="G28" s="111">
        <f>amy_CuSO4_mM*amy_CuSO4_dose</f>
        <v>0.096123037488</v>
      </c>
      <c r="H28" s="111">
        <f>amy_CuSO4_thesis_final</f>
        <v>0.096</v>
      </c>
      <c r="I28" s="111">
        <f>amy_CuSO4_thesis_stock</f>
        <v>1.92</v>
      </c>
    </row>
    <row r="29" spans="1:9" ht="24" customHeight="1" x14ac:dyDescent="0.2">
      <c r="A29" s="143" t="s">
        <v>2797</v>
      </c>
      <c r="B29" s="143" t="s">
        <v>2798</v>
      </c>
      <c r="C29" s="111">
        <f>amy_NiSO4_gL</f>
        <v>1.5</v>
      </c>
      <c r="D29" s="111">
        <f>amy_NiSO4_MW</f>
        <v>262.85</v>
      </c>
      <c r="E29" s="111">
        <f>amy_NiSO4_gL/amy_NiSO4_MW*1000</f>
        <v>5.70667681187</v>
      </c>
      <c r="F29" s="111">
        <f>amy_TM_dose</f>
        <v>0.05</v>
      </c>
      <c r="G29" s="111">
        <f>amy_NiSO4_mM*amy_NiSO4_dose</f>
        <v>0.285333840593</v>
      </c>
      <c r="H29" s="111">
        <f>amy_NiSO4_thesis_final</f>
        <v>0.29</v>
      </c>
      <c r="I29" s="111">
        <f>amy_NiSO4_thesis_stock</f>
        <v>5.71</v>
      </c>
    </row>
    <row r="30" spans="1:9" ht="24" customHeight="1" x14ac:dyDescent="0.2">
      <c r="A30" s="143" t="s">
        <v>2799</v>
      </c>
      <c r="B30" s="143" t="s">
        <v>2800</v>
      </c>
      <c r="C30" s="111">
        <f>amy_CoSO4_gL</f>
        <v>0.0402</v>
      </c>
      <c r="D30" s="111">
        <f>amy_CoSO4_MW</f>
        <v>281.1</v>
      </c>
      <c r="E30" s="111">
        <f>amy_CoSO4_gL/amy_CoSO4_MW*1000</f>
        <v>0.143009605123</v>
      </c>
      <c r="F30" s="111">
        <f>amy_TM_dose</f>
        <v>0.05</v>
      </c>
      <c r="G30" s="111">
        <f>amy_CoSO4_mM*amy_CoSO4_dose</f>
        <v>0.007150480256</v>
      </c>
      <c r="H30" s="111">
        <f>amy_CoSO4_thesis_final</f>
        <v>0.0072</v>
      </c>
      <c r="I30" s="111">
        <f>amy_CoSO4_thesis_stock</f>
        <v>0.143</v>
      </c>
    </row>
    <row r="31" spans="1:9" ht="24" customHeight="1" x14ac:dyDescent="0.2">
      <c r="A31" s="143" t="s">
        <v>2786</v>
      </c>
      <c r="B31" s="143" t="s">
        <v>2787</v>
      </c>
      <c r="C31" s="149"/>
      <c r="D31" s="111">
        <f>amy_TM_acid_MW</f>
        <v>98.079</v>
      </c>
      <c r="E31" s="111">
        <f>amy_TM_acid_mM</f>
        <v>200.0</v>
      </c>
      <c r="F31" s="111">
        <f>amy_TM_dose</f>
        <v>0.05</v>
      </c>
      <c r="G31" s="111">
        <f>amy_TM_acid_mM*amy_TM_acid_dose</f>
        <v>10.0</v>
      </c>
      <c r="H31" s="111">
        <f>amy_TM_acid_thesis_final</f>
        <v>10.0</v>
      </c>
      <c r="I31" s="111">
        <f>amy_TM_acid_thesis_stock</f>
        <v>200.0</v>
      </c>
    </row>
    <row r="32" spans="1:9" ht="24" customHeight="1" x14ac:dyDescent="0.2">
      <c r="A32" s="143"/>
      <c r="B32" s="143"/>
      <c r="C32" s="149"/>
      <c r="D32" s="149"/>
      <c r="E32" s="149"/>
      <c r="F32" s="149"/>
      <c r="G32" s="149"/>
      <c r="H32" s="149"/>
      <c r="I32" s="144"/>
    </row>
    <row r="33" spans="1:9" ht="24" customHeight="1" x14ac:dyDescent="0.2">
      <c r="A33" s="147" t="s">
        <v>2801</v>
      </c>
      <c r="B33" s="147" t="s">
        <v>2750</v>
      </c>
      <c r="C33" s="151" t="s">
        <v>2751</v>
      </c>
      <c r="D33" s="151" t="s">
        <v>800</v>
      </c>
      <c r="E33" s="151" t="s">
        <v>2779</v>
      </c>
      <c r="F33" s="151" t="s">
        <v>2780</v>
      </c>
      <c r="G33" s="151" t="s">
        <v>2802</v>
      </c>
      <c r="H33" s="151" t="s">
        <v>2803</v>
      </c>
      <c r="I33" s="148" t="s">
        <v>2783</v>
      </c>
    </row>
    <row r="34" spans="1:9" ht="24" customHeight="1" x14ac:dyDescent="0.2">
      <c r="A34" s="143" t="s">
        <v>2804</v>
      </c>
      <c r="B34" s="143" t="s">
        <v>2805</v>
      </c>
      <c r="C34" s="111">
        <f>amy_gluconate_gL</f>
        <v>100.0</v>
      </c>
      <c r="D34" s="111">
        <f>amy_gluconate_MW</f>
        <v>218.14</v>
      </c>
      <c r="E34" s="111">
        <f>amy_gluconate_gL/amy_gluconate_MW*1000</f>
        <v>458.421197396168</v>
      </c>
      <c r="F34" s="111">
        <f>amy_gluconate_stock_dose</f>
        <v>50.0</v>
      </c>
      <c r="G34" s="111">
        <f>amy_gluconate_mM*amy_gluconate_dose/1000</f>
        <v>22.921059869808</v>
      </c>
      <c r="H34" s="111">
        <f>amy_gluconate_thesis_final</f>
        <v>23.0</v>
      </c>
      <c r="I34" s="111">
        <f>amy_gluconate_thesis_stock</f>
        <v>460.0</v>
      </c>
    </row>
    <row r="35" spans="1:9" x14ac:dyDescent="0.2">
      <c r="A35" s="143"/>
      <c r="B35" s="143"/>
      <c r="C35" s="143"/>
      <c r="D35" s="143"/>
      <c r="E35" s="143"/>
      <c r="F35" s="143"/>
      <c r="G35" s="143"/>
      <c r="H35" s="143"/>
      <c r="I35" s="143"/>
    </row>
    <row r="36" spans="1:9" x14ac:dyDescent="0.2">
      <c r="A36" s="153" t="s">
        <v>2806</v>
      </c>
      <c r="B36" s="143"/>
      <c r="C36" s="143"/>
      <c r="D36" s="143"/>
      <c r="E36" s="143"/>
      <c r="F36" s="143"/>
      <c r="G36" s="143"/>
      <c r="H36" s="143"/>
      <c r="I36" s="143"/>
    </row>
    <row r="37" spans="1:9" ht="30" customHeight="1" x14ac:dyDescent="0.2">
      <c r="A37" s="1" t="s">
        <v>2807</v>
      </c>
      <c r="B37" s="1"/>
      <c r="C37" s="1"/>
      <c r="D37" s="1"/>
      <c r="E37" s="1"/>
      <c r="F37" s="1"/>
      <c r="G37" s="1"/>
      <c r="H37" s="1"/>
      <c r="I37" s="143"/>
    </row>
    <row r="38" spans="1:9" ht="30" customHeight="1" x14ac:dyDescent="0.2">
      <c r="A38" s="1" t="s">
        <v>2808</v>
      </c>
      <c r="B38" s="1"/>
      <c r="C38" s="1"/>
      <c r="D38" s="1"/>
      <c r="E38" s="1"/>
      <c r="F38" s="1"/>
      <c r="G38" s="1"/>
      <c r="H38" s="1"/>
      <c r="I38" s="143"/>
    </row>
    <row r="39" spans="1:9" ht="30" customHeight="1" x14ac:dyDescent="0.2">
      <c r="A39" s="1" t="s">
        <v>2809</v>
      </c>
      <c r="B39" s="1"/>
      <c r="C39" s="1"/>
      <c r="D39" s="1"/>
      <c r="E39" s="1"/>
      <c r="F39" s="1"/>
      <c r="G39" s="1"/>
      <c r="H39" s="1"/>
      <c r="I39" s="143"/>
    </row>
    <row r="40" spans="1:9" ht="30" customHeight="1" x14ac:dyDescent="0.2">
      <c r="A40" s="1" t="s">
        <v>2810</v>
      </c>
      <c r="B40" s="1"/>
      <c r="C40" s="1"/>
      <c r="D40" s="1"/>
      <c r="E40" s="1"/>
      <c r="F40" s="1"/>
      <c r="G40" s="1"/>
      <c r="H40" s="1"/>
      <c r="I40" s="143"/>
    </row>
    <row r="41" spans="1:9" ht="30" customHeight="1" x14ac:dyDescent="0.2">
      <c r="A41" s="1" t="s">
        <v>2811</v>
      </c>
      <c r="B41" s="1"/>
      <c r="C41" s="1"/>
      <c r="D41" s="1"/>
      <c r="E41" s="1"/>
      <c r="F41" s="1"/>
      <c r="G41" s="1"/>
      <c r="H41" s="1"/>
      <c r="I41" s="143"/>
    </row>
    <row r="42" spans="1:9" ht="30" customHeight="1" x14ac:dyDescent="0.2">
      <c r="A42" s="1" t="s">
        <v>2812</v>
      </c>
      <c r="B42" s="1"/>
      <c r="C42" s="1"/>
      <c r="D42" s="1"/>
      <c r="E42" s="1"/>
      <c r="F42" s="1"/>
      <c r="G42" s="1"/>
      <c r="H42" s="1"/>
      <c r="I42" s="143"/>
    </row>
    <row r="43" spans="1:9" ht="30" customHeight="1" x14ac:dyDescent="0.2">
      <c r="A43" s="1" t="s">
        <v>2813</v>
      </c>
      <c r="B43" s="1"/>
      <c r="C43" s="1"/>
      <c r="D43" s="1"/>
      <c r="E43" s="1"/>
      <c r="F43" s="1"/>
      <c r="G43" s="1"/>
      <c r="H43" s="1"/>
      <c r="I43" s="143"/>
    </row>
    <row r="44" spans="1:9" ht="30" customHeight="1" x14ac:dyDescent="0.2">
      <c r="A44" s="1" t="s">
        <v>2814</v>
      </c>
      <c r="B44" s="1"/>
      <c r="C44" s="1"/>
      <c r="D44" s="1"/>
      <c r="E44" s="1"/>
      <c r="F44" s="1"/>
      <c r="G44" s="1"/>
      <c r="H44" s="1"/>
      <c r="I44" s="143"/>
    </row>
    <row r="45" spans="1:9" ht="30" customHeight="1" x14ac:dyDescent="0.2">
      <c r="A45" s="1" t="s">
        <v>2815</v>
      </c>
      <c r="B45" s="1"/>
      <c r="C45" s="1"/>
      <c r="D45" s="1"/>
      <c r="E45" s="1"/>
      <c r="F45" s="1"/>
      <c r="G45" s="1"/>
      <c r="H45" s="1"/>
      <c r="I45" s="143"/>
    </row>
    <row r="46" spans="1:9" ht="30" customHeight="1" x14ac:dyDescent="0.2">
      <c r="A46" s="1" t="s">
        <v>2816</v>
      </c>
      <c r="B46" s="1"/>
      <c r="C46" s="1"/>
      <c r="D46" s="1"/>
      <c r="E46" s="1"/>
      <c r="F46" s="1"/>
      <c r="G46" s="1"/>
      <c r="H46" s="1"/>
      <c r="I46" s="143"/>
    </row>
    <row r="47" spans="1:9" ht="30" customHeight="1" x14ac:dyDescent="0.2">
      <c r="A47" s="1" t="s">
        <v>2817</v>
      </c>
      <c r="B47" s="1"/>
      <c r="C47" s="1"/>
      <c r="D47" s="1"/>
      <c r="E47" s="1"/>
      <c r="F47" s="1"/>
      <c r="G47" s="1"/>
      <c r="H47" s="1"/>
      <c r="I47" s="143"/>
    </row>
    <row r="48" spans="1:9" ht="30" customHeight="1" x14ac:dyDescent="0.2">
      <c r="A48" s="1" t="s">
        <v>2818</v>
      </c>
      <c r="B48" s="1"/>
      <c r="C48" s="1"/>
      <c r="D48" s="1"/>
      <c r="E48" s="1"/>
      <c r="F48" s="1"/>
      <c r="G48" s="1"/>
      <c r="H48" s="1"/>
      <c r="I48" s="143"/>
    </row>
    <row r="49" spans="1:9" ht="30" customHeight="1" x14ac:dyDescent="0.2">
      <c r="A49" s="1" t="s">
        <v>2819</v>
      </c>
      <c r="B49" s="1"/>
      <c r="C49" s="1"/>
      <c r="D49" s="1"/>
      <c r="E49" s="1"/>
      <c r="F49" s="1"/>
      <c r="G49" s="1"/>
      <c r="H49" s="1"/>
      <c r="I49" s="143"/>
    </row>
    <row r="50" spans="1:9" ht="30" customHeight="1" x14ac:dyDescent="0.2">
      <c r="A50" s="1" t="s">
        <v>2820</v>
      </c>
      <c r="B50" s="1"/>
      <c r="C50" s="1"/>
      <c r="D50" s="1"/>
      <c r="E50" s="1"/>
      <c r="F50" s="1"/>
      <c r="G50" s="1"/>
      <c r="H50" s="1"/>
      <c r="I50" s="143"/>
    </row>
    <row r="51" spans="1:9" x14ac:dyDescent="0.2">
      <c r="A51" s="143"/>
      <c r="B51" s="143"/>
      <c r="C51" s="143"/>
      <c r="D51" s="143"/>
      <c r="E51" s="143"/>
      <c r="F51" s="143"/>
      <c r="G51" s="143"/>
      <c r="H51" s="143"/>
      <c r="I51" s="143"/>
    </row>
    <row r="52" spans="1:9" x14ac:dyDescent="0.2">
      <c r="A52" s="143"/>
      <c r="B52" s="143"/>
      <c r="C52" s="143"/>
      <c r="D52" s="143"/>
      <c r="E52" s="143"/>
      <c r="F52" s="143"/>
      <c r="G52" s="143"/>
      <c r="H52" s="143"/>
      <c r="I52" s="143"/>
    </row>
    <row r="53" spans="1:9" ht="32" customHeight="1" x14ac:dyDescent="0.2">
      <c r="A53" s="147" t="s">
        <v>2821</v>
      </c>
      <c r="B53" s="147" t="s">
        <v>2822</v>
      </c>
      <c r="C53" s="147" t="s">
        <v>2823</v>
      </c>
      <c r="D53" s="147" t="s">
        <v>23</v>
      </c>
      <c r="E53" s="147"/>
      <c r="F53" s="147"/>
      <c r="G53" s="147"/>
      <c r="H53" s="147"/>
      <c r="I53" s="147"/>
    </row>
    <row r="54" spans="1:9" x14ac:dyDescent="0.2" ht="42" customHeight="1">
      <c r="A54" s="143" t="s">
        <v>2824</v>
      </c>
      <c r="B54" s="143" t="s">
        <v>2825</v>
      </c>
      <c r="C54" s="143" t="s">
        <v>429</v>
      </c>
      <c r="D54" s="111">
        <f>SUM(amy_Na2HPO4_mM,amy_NaH2PO4_mM)/1000</f>
        <v>0.060006530132</v>
      </c>
      <c r="E54" s="138" t="inlineStr">
        <is>
          <t xml:space="preserve">Total analytical phosphate from the two weighed salts.</t>
        </is>
      </c>
      <c r="F54" s="143"/>
      <c r="G54" s="143"/>
      <c r="H54" s="143"/>
      <c r="I54" s="143"/>
    </row>
    <row r="55" spans="1:9" x14ac:dyDescent="0.2" ht="42" customHeight="1">
      <c r="A55" s="143" t="s">
        <v>2826</v>
      </c>
      <c r="B55" s="143" t="s">
        <v>2827</v>
      </c>
      <c r="C55" s="143" t="s">
        <v>429</v>
      </c>
      <c r="D55" s="111">
        <f>(2*amy_Na2HPO4_mM+amy_NaH2PO4_mM+amy_NaHCO3_mM+2*amy_K2SO4_mM+2*amy_CaSO4_mM+2*amy_MgSO4_mM)/1000-2*(amy_K2SO4_mM+amy_CaSO4_mM+amy_MgSO4_mM+amy_NH4SO4_mM)/1000-2*(amy_Fe_acid_final_uM+amy_TM_acid_final_uM)/1000000</f>
        <v>0.115446909129</v>
      </c>
      <c r="E55" s="138" t="inlineStr">
        <is>
          <t xml:space="preserve">Strong cations minus sulfate; NH4 handled separately. Stock acid removes two equivalents per mole.</t>
        </is>
      </c>
      <c r="F55" s="143"/>
      <c r="G55" s="143"/>
      <c r="H55" s="143"/>
      <c r="I55" s="143"/>
    </row>
    <row r="56" spans="1:9" x14ac:dyDescent="0.2" ht="42" customHeight="1">
      <c r="A56" s="143" t="s">
        <v>2828</v>
      </c>
      <c r="B56" s="143" t="s">
        <v>2829</v>
      </c>
      <c r="C56" s="143" t="s">
        <v>429</v>
      </c>
      <c r="D56" s="111">
        <f>2*amy_NH4SO4_mM/1000</f>
        <v>0.014272741032</v>
      </c>
      <c r="E56" s="138" t="inlineStr">
        <is>
          <t xml:space="preserve">Two ammonium ions per mole of ammonium sulfate.</t>
        </is>
      </c>
      <c r="F56" s="143"/>
      <c r="G56" s="143"/>
      <c r="H56" s="143"/>
      <c r="I56" s="143"/>
    </row>
    <row r="57" spans="1:9" x14ac:dyDescent="0.2" ht="42" customHeight="1">
      <c r="A57" s="143" t="s">
        <v>2830</v>
      </c>
      <c r="B57" s="143" t="s">
        <v>2831</v>
      </c>
      <c r="C57" s="143" t="s">
        <v>429</v>
      </c>
      <c r="D57" s="116">
        <v>0</v>
      </c>
      <c r="E57" s="138" t="inlineStr">
        <is>
          <t xml:space="preserve">No chloride-bearing ingredient in the stated carbon-free recipe.</t>
        </is>
      </c>
      <c r="F57" s="143"/>
      <c r="G57" s="143"/>
      <c r="H57" s="143"/>
      <c r="I57" s="143"/>
    </row>
    <row r="58" spans="1:9" x14ac:dyDescent="0.2" ht="42" customHeight="1">
      <c r="A58" s="143" t="s">
        <v>2832</v>
      </c>
      <c r="B58" s="143" t="s">
        <v>2833</v>
      </c>
      <c r="C58" s="143" t="s">
        <v>1359</v>
      </c>
      <c r="D58" s="111">
        <f>((2*amy_Na2HPO4_mM+amy_NaH2PO4_mM+amy_NaHCO3_mM)/1000*Chemistry!lam_Na+2*amy_K2SO4_mM/1000*Chemistry!lam_K+2*amy_NH4SO4_mM/1000*Chemistry!lam_NH4+amy_MgSO4_mM/1000*Chemistry!lam_Mg+amy_CaSO4_mM/1000*Chemistry!lam_Ca+amy_Na2HPO4_mM/1000*Chemistry!lam_HPO4+amy_NaH2PO4_mM/1000*Chemistry!lam_H2PO4+((SUM(amy_K2SO4_mM,amy_CaSO4_mM,amy_MgSO4_mM,amy_NH4SO4_mM)/1000)+(amy_FeSO4_final_uM+amy_Fe_acid_final_uM+SUM(amy_ZnSO4_final_uM,amy_MnSO4_final_uM,amy_CuSO4_final_uM,amy_NiSO4_final_uM,amy_CoSO4_final_uM,amy_TM_acid_final_uM))/1000000)*Chemistry!lam_SO4+amy_NaHCO3_mM/1000*Chemistry!lam_HCO3)/10</f>
        <v>1.633203403002</v>
      </c>
      <c r="E58" s="57" t="inlineStr">
        <is>
          <t xml:space="preserve">Major-ion conductivity approximation; trace sulfate retained, trace cation mobilities/complexation omitted. Measure conductivity.</t>
        </is>
      </c>
      <c r="F58" s="143"/>
      <c r="G58" s="143"/>
      <c r="H58" s="143"/>
      <c r="I58" s="143"/>
    </row>
    <row r="59" spans="1:9" x14ac:dyDescent="0.2" ht="42" customHeight="1">
      <c r="A59" s="143" t="s">
        <v>2834</v>
      </c>
      <c r="B59" s="143" t="s">
        <v>2835</v>
      </c>
      <c r="C59" s="143" t="s">
        <v>429</v>
      </c>
      <c r="D59" s="111">
        <f>3*amy_Na2HPO4_mM/1000+amy_NaH2PO4_mM/1000+3*amy_K2SO4_mM/1000+4*(amy_CaSO4_mM+amy_MgSO4_mM)/1000+3*amy_NH4SO4_mM/1000+amy_NaHCO3_mM/1000+4*(amy_FeSO4_final_uM+SUM(amy_ZnSO4_final_uM,amy_MnSO4_final_uM,amy_CuSO4_final_uM,amy_NiSO4_final_uM,amy_CoSO4_final_uM))/1000000+3*amy_Na2MoO4_final_uM/1000000+3*(amy_Fe_acid_final_uM+amy_TM_acid_final_uM)/1000000</f>
        <v>0.200184197377</v>
      </c>
      <c r="E59" s="57" t="inlineStr">
        <is>
          <t xml:space="preserve">As-weighed analytical ionic strength, not solved speciation. Includes complete trace salts and stock acid on this convention.</t>
        </is>
      </c>
      <c r="F59" s="143"/>
      <c r="G59" s="143"/>
      <c r="H59" s="143"/>
      <c r="I59" s="143"/>
    </row>
    <row r="60" spans="1:9" x14ac:dyDescent="0.2">
      <c r="A60" s="143"/>
      <c r="B60" s="143"/>
      <c r="C60" s="143"/>
      <c r="D60" s="143"/>
      <c r="E60" s="143"/>
      <c r="F60" s="143"/>
      <c r="G60" s="143"/>
      <c r="H60" s="143"/>
      <c r="I60" s="143"/>
    </row>
    <row r="61" spans="1:9" ht="30" customHeight="1" x14ac:dyDescent="0.2">
      <c r="A61" s="1" t="inlineStr">
        <is>
          <t xml:space="preserve">SID = strong cations (Na⁺, K⁺, Mg²⁺, Ca²⁺) − strong anions (all sulfate), as MC02 (Chemistry D36); NH₄⁺ enters through NT. Sulfuric acid removes two equivalents per mole. Trace metal sulfates and molybdate cancel.</t>
        </is>
      </c>
      <c r="B61" s="1"/>
      <c r="C61" s="1"/>
      <c r="D61" s="1"/>
      <c r="E61" s="1"/>
      <c r="F61" s="1"/>
      <c r="G61" s="1"/>
      <c r="H61" s="1"/>
      <c r="I61" s="143"/>
    </row>
    <row r="62" spans="1:9" ht="30" customHeight="1" x14ac:dyDescent="0.2">
      <c r="A62" s="1" t="s">
        <v>2837</v>
      </c>
      <c r="B62" s="1"/>
      <c r="C62" s="1"/>
      <c r="D62" s="1"/>
      <c r="E62" s="1"/>
      <c r="F62" s="1"/>
      <c r="G62" s="1"/>
      <c r="H62" s="1"/>
      <c r="I62" s="143"/>
    </row>
    <row r="64">
      <c r="A64" t="inlineStr">
        <is>
          <t xml:space="preserve">Recipe tables above are calculated views. Edit the blue named inputs below; chemistry exports remain in rows 54–59.</t>
        </is>
      </c>
    </row>
    <row r="70">
      <c r="A70" s="78" t="inlineStr">
        <is>
          <t xml:space="preserve">Parameter</t>
        </is>
      </c>
      <c r="B70" t="inlineStr">
        <is>
          <t xml:space="preserve">Defined name</t>
        </is>
      </c>
      <c r="C70" t="inlineStr">
        <is>
          <t xml:space="preserve">Unit</t>
        </is>
      </c>
      <c r="D70" t="inlineStr">
        <is>
          <t xml:space="preserve">Value</t>
        </is>
      </c>
      <c r="E70" t="inlineStr">
        <is>
          <t xml:space="preserve">Source / confidence</t>
        </is>
      </c>
    </row>
    <row r="71" ht="42" customHeight="1">
      <c r="A71" t="inlineStr">
        <is>
          <t xml:space="preserve">Disodium hydrogen phosphate – weighed concentration</t>
        </is>
      </c>
      <c r="B71" s="19" t="inlineStr">
        <is>
          <t xml:space="preserve">amy_Na2HPO4_gL</t>
        </is>
      </c>
      <c r="C71" s="20" t="inlineStr">
        <is>
          <t xml:space="preserve">g/L</t>
        </is>
      </c>
      <c r="D71" s="116">
        <v>4.26</v>
      </c>
      <c r="E71" s="138" t="inlineStr">
        <is>
          <t xml:space="preserve">Teo Reid, MRes Thesis, Table 2 / Medium section (PDF p10); nominal per litre of base. Rounded thesis values retained for comparison.</t>
        </is>
      </c>
    </row>
    <row r="72" ht="42" customHeight="1">
      <c r="A72" t="inlineStr">
        <is>
          <t xml:space="preserve">Disodium hydrogen phosphate – molar mass</t>
        </is>
      </c>
      <c r="B72" s="19" t="inlineStr">
        <is>
          <t xml:space="preserve">amy_Na2HPO4_MW</t>
        </is>
      </c>
      <c r="C72" s="20" t="inlineStr">
        <is>
          <t xml:space="preserve">g/mol</t>
        </is>
      </c>
      <c r="D72" s="116">
        <v>141.96</v>
      </c>
      <c r="E72" s="138" t="inlineStr">
        <is>
          <t xml:space="preserve">Formula molar mass, g/mol; hydrate state as stated in Teo Reid Table 2.</t>
        </is>
      </c>
    </row>
    <row r="73" ht="42" customHeight="1">
      <c r="A73" t="inlineStr">
        <is>
          <t xml:space="preserve">Disodium hydrogen phosphate – thesis concentration</t>
        </is>
      </c>
      <c r="B73" s="19" t="inlineStr">
        <is>
          <t xml:space="preserve">amy_Na2HPO4_thesis_mM</t>
        </is>
      </c>
      <c r="C73" s="20" t="inlineStr">
        <is>
          <t xml:space="preserve">mmol/L</t>
        </is>
      </c>
      <c r="D73" s="116">
        <v>30</v>
      </c>
      <c r="E73" s="138" t="inlineStr">
        <is>
          <t xml:space="preserve">Teo Reid, MRes Thesis, Table 2 / Medium section (PDF p10); nominal per litre of base. Rounded thesis values retained for comparison.</t>
        </is>
      </c>
    </row>
    <row r="74" ht="42" customHeight="1">
      <c r="A74" t="inlineStr">
        <is>
          <t xml:space="preserve">Sodium dihydrogen phosphate dihydrate – weighed concentration</t>
        </is>
      </c>
      <c r="B74" s="19" t="inlineStr">
        <is>
          <t xml:space="preserve">amy_NaH2PO4_gL</t>
        </is>
      </c>
      <c r="C74" s="20" t="inlineStr">
        <is>
          <t xml:space="preserve">g/L</t>
        </is>
      </c>
      <c r="D74" s="116">
        <v>4.68</v>
      </c>
      <c r="E74" s="138" t="inlineStr">
        <is>
          <t xml:space="preserve">Teo Reid, MRes Thesis, Table 2 / Medium section (PDF p10); nominal per litre of base. Rounded thesis values retained for comparison.</t>
        </is>
      </c>
    </row>
    <row r="75" ht="42" customHeight="1">
      <c r="A75" t="inlineStr">
        <is>
          <t xml:space="preserve">Sodium dihydrogen phosphate dihydrate – molar mass</t>
        </is>
      </c>
      <c r="B75" s="19" t="inlineStr">
        <is>
          <t xml:space="preserve">amy_NaH2PO4_MW</t>
        </is>
      </c>
      <c r="C75" s="20" t="inlineStr">
        <is>
          <t xml:space="preserve">g/mol</t>
        </is>
      </c>
      <c r="D75" s="116">
        <v>156.01</v>
      </c>
      <c r="E75" s="138" t="inlineStr">
        <is>
          <t xml:space="preserve">Formula molar mass, g/mol; hydrate state as stated in Teo Reid Table 2.</t>
        </is>
      </c>
    </row>
    <row r="76" ht="42" customHeight="1">
      <c r="A76" t="inlineStr">
        <is>
          <t xml:space="preserve">Sodium dihydrogen phosphate dihydrate – thesis concentration</t>
        </is>
      </c>
      <c r="B76" s="19" t="inlineStr">
        <is>
          <t xml:space="preserve">amy_NaH2PO4_thesis_mM</t>
        </is>
      </c>
      <c r="C76" s="20" t="inlineStr">
        <is>
          <t xml:space="preserve">mmol/L</t>
        </is>
      </c>
      <c r="D76" s="116">
        <v>30</v>
      </c>
      <c r="E76" s="138" t="inlineStr">
        <is>
          <t xml:space="preserve">Teo Reid, MRes Thesis, Table 2 / Medium section (PDF p10); nominal per litre of base. Rounded thesis values retained for comparison.</t>
        </is>
      </c>
    </row>
    <row r="77" ht="42" customHeight="1">
      <c r="A77" t="inlineStr">
        <is>
          <t xml:space="preserve">Potassium sulfate – weighed concentration</t>
        </is>
      </c>
      <c r="B77" s="19" t="inlineStr">
        <is>
          <t xml:space="preserve">amy_K2SO4_gL</t>
        </is>
      </c>
      <c r="C77" s="20" t="inlineStr">
        <is>
          <t xml:space="preserve">g/L</t>
        </is>
      </c>
      <c r="D77" s="116">
        <v>0.17</v>
      </c>
      <c r="E77" s="138" t="inlineStr">
        <is>
          <t xml:space="preserve">Teo Reid, MRes Thesis, Table 2 / Medium section (PDF p10); nominal per litre of base. Rounded thesis values retained for comparison.</t>
        </is>
      </c>
    </row>
    <row r="78" ht="42" customHeight="1">
      <c r="A78" t="inlineStr">
        <is>
          <t xml:space="preserve">Potassium sulfate – molar mass</t>
        </is>
      </c>
      <c r="B78" s="19" t="inlineStr">
        <is>
          <t xml:space="preserve">amy_K2SO4_MW</t>
        </is>
      </c>
      <c r="C78" s="20" t="inlineStr">
        <is>
          <t xml:space="preserve">g/mol</t>
        </is>
      </c>
      <c r="D78" s="116">
        <v>174.26</v>
      </c>
      <c r="E78" s="138" t="inlineStr">
        <is>
          <t xml:space="preserve">Formula molar mass, g/mol; hydrate state as stated in Teo Reid Table 2.</t>
        </is>
      </c>
    </row>
    <row r="79" ht="42" customHeight="1">
      <c r="A79" t="inlineStr">
        <is>
          <t xml:space="preserve">Potassium sulfate – thesis concentration</t>
        </is>
      </c>
      <c r="B79" s="19" t="inlineStr">
        <is>
          <t xml:space="preserve">amy_K2SO4_thesis_mM</t>
        </is>
      </c>
      <c r="C79" s="20" t="inlineStr">
        <is>
          <t xml:space="preserve">mmol/L</t>
        </is>
      </c>
      <c r="D79" s="116">
        <v>0.98</v>
      </c>
      <c r="E79" s="138" t="inlineStr">
        <is>
          <t xml:space="preserve">Teo Reid, MRes Thesis, Table 2 / Medium section (PDF p10); nominal per litre of base. Rounded thesis values retained for comparison.</t>
        </is>
      </c>
    </row>
    <row r="80" ht="42" customHeight="1">
      <c r="A80" t="inlineStr">
        <is>
          <t xml:space="preserve">Calcium sulfate dihydrate – weighed concentration</t>
        </is>
      </c>
      <c r="B80" s="19" t="inlineStr">
        <is>
          <t xml:space="preserve">amy_CaSO4_gL</t>
        </is>
      </c>
      <c r="C80" s="20" t="inlineStr">
        <is>
          <t xml:space="preserve">g/L</t>
        </is>
      </c>
      <c r="D80" s="116">
        <v>0.097</v>
      </c>
      <c r="E80" s="138" t="inlineStr">
        <is>
          <t xml:space="preserve">Teo Reid, MRes Thesis, Table 2 / Medium section (PDF p10); nominal per litre of base. Rounded thesis values retained for comparison.</t>
        </is>
      </c>
    </row>
    <row r="81" ht="42" customHeight="1">
      <c r="A81" t="inlineStr">
        <is>
          <t xml:space="preserve">Calcium sulfate dihydrate – molar mass</t>
        </is>
      </c>
      <c r="B81" s="19" t="inlineStr">
        <is>
          <t xml:space="preserve">amy_CaSO4_MW</t>
        </is>
      </c>
      <c r="C81" s="20" t="inlineStr">
        <is>
          <t xml:space="preserve">g/mol</t>
        </is>
      </c>
      <c r="D81" s="116">
        <v>172.17</v>
      </c>
      <c r="E81" s="138" t="inlineStr">
        <is>
          <t xml:space="preserve">Formula molar mass, g/mol; hydrate state as stated in Teo Reid Table 2.</t>
        </is>
      </c>
    </row>
    <row r="82" ht="42" customHeight="1">
      <c r="A82" t="inlineStr">
        <is>
          <t xml:space="preserve">Calcium sulfate dihydrate – thesis concentration</t>
        </is>
      </c>
      <c r="B82" s="19" t="inlineStr">
        <is>
          <t xml:space="preserve">amy_CaSO4_thesis_mM</t>
        </is>
      </c>
      <c r="C82" s="20" t="inlineStr">
        <is>
          <t xml:space="preserve">mmol/L</t>
        </is>
      </c>
      <c r="D82" s="116">
        <v>0.56</v>
      </c>
      <c r="E82" s="138" t="inlineStr">
        <is>
          <t xml:space="preserve">Teo Reid, MRes Thesis, Table 2 / Medium section (PDF p10); nominal per litre of base. Rounded thesis values retained for comparison.</t>
        </is>
      </c>
    </row>
    <row r="83" ht="42" customHeight="1">
      <c r="A83" t="inlineStr">
        <is>
          <t xml:space="preserve">Magnesium sulfate heptahydrate – weighed concentration</t>
        </is>
      </c>
      <c r="B83" s="19" t="inlineStr">
        <is>
          <t xml:space="preserve">amy_MgSO4_gL</t>
        </is>
      </c>
      <c r="C83" s="20" t="inlineStr">
        <is>
          <t xml:space="preserve">g/L</t>
        </is>
      </c>
      <c r="D83" s="116">
        <v>0.8</v>
      </c>
      <c r="E83" s="138" t="inlineStr">
        <is>
          <t xml:space="preserve">Teo Reid, MRes Thesis, Table 2 / Medium section (PDF p10); nominal per litre of base. Rounded thesis values retained for comparison.</t>
        </is>
      </c>
    </row>
    <row r="84" ht="42" customHeight="1">
      <c r="A84" t="inlineStr">
        <is>
          <t xml:space="preserve">Magnesium sulfate heptahydrate – molar mass</t>
        </is>
      </c>
      <c r="B84" s="19" t="inlineStr">
        <is>
          <t xml:space="preserve">amy_MgSO4_MW</t>
        </is>
      </c>
      <c r="C84" s="20" t="inlineStr">
        <is>
          <t xml:space="preserve">g/mol</t>
        </is>
      </c>
      <c r="D84" s="116">
        <v>246.48</v>
      </c>
      <c r="E84" s="138" t="inlineStr">
        <is>
          <t xml:space="preserve">Formula molar mass, g/mol; hydrate state as stated in Teo Reid Table 2.</t>
        </is>
      </c>
    </row>
    <row r="85" ht="42" customHeight="1">
      <c r="A85" t="inlineStr">
        <is>
          <t xml:space="preserve">Magnesium sulfate heptahydrate – thesis concentration</t>
        </is>
      </c>
      <c r="B85" s="19" t="inlineStr">
        <is>
          <t xml:space="preserve">amy_MgSO4_thesis_mM</t>
        </is>
      </c>
      <c r="C85" s="20" t="inlineStr">
        <is>
          <t xml:space="preserve">mmol/L</t>
        </is>
      </c>
      <c r="D85" s="116">
        <v>3.25</v>
      </c>
      <c r="E85" s="138" t="inlineStr">
        <is>
          <t xml:space="preserve">Teo Reid, MRes Thesis, Table 2 / Medium section (PDF p10); nominal per litre of base. Rounded thesis values retained for comparison.</t>
        </is>
      </c>
    </row>
    <row r="86" ht="42" customHeight="1">
      <c r="A86" t="inlineStr">
        <is>
          <t xml:space="preserve">Ammonium sulfate – weighed concentration</t>
        </is>
      </c>
      <c r="B86" s="19" t="inlineStr">
        <is>
          <t xml:space="preserve">amy_NH4SO4_gL</t>
        </is>
      </c>
      <c r="C86" s="20" t="inlineStr">
        <is>
          <t xml:space="preserve">g/L</t>
        </is>
      </c>
      <c r="D86" s="116">
        <v>0.943</v>
      </c>
      <c r="E86" s="138" t="inlineStr">
        <is>
          <t xml:space="preserve">Teo Reid, MRes Thesis, Table 2 / Medium section (PDF p10); nominal per litre of base. Rounded thesis values retained for comparison.</t>
        </is>
      </c>
    </row>
    <row r="87" ht="42" customHeight="1">
      <c r="A87" t="inlineStr">
        <is>
          <t xml:space="preserve">Ammonium sulfate – molar mass</t>
        </is>
      </c>
      <c r="B87" s="19" t="inlineStr">
        <is>
          <t xml:space="preserve">amy_NH4SO4_MW</t>
        </is>
      </c>
      <c r="C87" s="20" t="inlineStr">
        <is>
          <t xml:space="preserve">g/mol</t>
        </is>
      </c>
      <c r="D87" s="116">
        <v>132.14</v>
      </c>
      <c r="E87" s="138" t="inlineStr">
        <is>
          <t xml:space="preserve">Formula molar mass, g/mol; hydrate state as stated in Teo Reid Table 2.</t>
        </is>
      </c>
    </row>
    <row r="88" ht="42" customHeight="1">
      <c r="A88" t="inlineStr">
        <is>
          <t xml:space="preserve">Ammonium sulfate – thesis concentration</t>
        </is>
      </c>
      <c r="B88" s="19" t="inlineStr">
        <is>
          <t xml:space="preserve">amy_NH4SO4_thesis_mM</t>
        </is>
      </c>
      <c r="C88" s="20" t="inlineStr">
        <is>
          <t xml:space="preserve">mmol/L</t>
        </is>
      </c>
      <c r="D88" s="116">
        <v>7.14</v>
      </c>
      <c r="E88" s="138" t="inlineStr">
        <is>
          <t xml:space="preserve">Teo Reid, MRes Thesis, Table 2 / Medium section (PDF p10); nominal per litre of base. Rounded thesis values retained for comparison.</t>
        </is>
      </c>
    </row>
    <row r="89" ht="42" customHeight="1">
      <c r="A89" t="inlineStr">
        <is>
          <t xml:space="preserve">Sodium bicarbonate – weighed concentration</t>
        </is>
      </c>
      <c r="B89" s="19" t="inlineStr">
        <is>
          <t xml:space="preserve">amy_NaHCO3_gL</t>
        </is>
      </c>
      <c r="C89" s="20" t="inlineStr">
        <is>
          <t xml:space="preserve">g/L</t>
        </is>
      </c>
      <c r="D89" s="116">
        <v>3.36</v>
      </c>
      <c r="E89" s="138" t="inlineStr">
        <is>
          <t xml:space="preserve">Teo Reid, MRes Thesis, Table 2 / Medium section (PDF p10); nominal per litre of base. Rounded thesis values retained for comparison.</t>
        </is>
      </c>
    </row>
    <row r="90" ht="42" customHeight="1">
      <c r="A90" t="inlineStr">
        <is>
          <t xml:space="preserve">Sodium bicarbonate – molar mass</t>
        </is>
      </c>
      <c r="B90" s="19" t="inlineStr">
        <is>
          <t xml:space="preserve">amy_NaHCO3_MW</t>
        </is>
      </c>
      <c r="C90" s="20" t="inlineStr">
        <is>
          <t xml:space="preserve">g/mol</t>
        </is>
      </c>
      <c r="D90" s="116">
        <v>84.007</v>
      </c>
      <c r="E90" s="138" t="inlineStr">
        <is>
          <t xml:space="preserve">Formula molar mass, g/mol; hydrate state as stated in Teo Reid Table 2.</t>
        </is>
      </c>
    </row>
    <row r="91" ht="42" customHeight="1">
      <c r="A91" t="inlineStr">
        <is>
          <t xml:space="preserve">Sodium bicarbonate – thesis concentration</t>
        </is>
      </c>
      <c r="B91" s="19" t="inlineStr">
        <is>
          <t xml:space="preserve">amy_NaHCO3_thesis_mM</t>
        </is>
      </c>
      <c r="C91" s="20" t="inlineStr">
        <is>
          <t xml:space="preserve">mmol/L</t>
        </is>
      </c>
      <c r="D91" s="116">
        <v>40</v>
      </c>
      <c r="E91" s="138" t="inlineStr">
        <is>
          <t xml:space="preserve">Teo Reid, MRes Thesis, Table 2 / Medium section (PDF p10); nominal per litre of base. Rounded thesis values retained for comparison.</t>
        </is>
      </c>
    </row>
    <row r="92" ht="42" customHeight="1">
      <c r="A92" t="inlineStr">
        <is>
          <t xml:space="preserve">Iron solution – dose / basis</t>
        </is>
      </c>
      <c r="B92" s="19" t="inlineStr">
        <is>
          <t xml:space="preserve">amy_Fe_dose</t>
        </is>
      </c>
      <c r="C92" s="20" t="inlineStr">
        <is>
          <t xml:space="preserve">mL/L</t>
        </is>
      </c>
      <c r="D92" s="116">
        <v>0.68</v>
      </c>
      <c r="E92" s="138" t="inlineStr">
        <is>
          <t xml:space="preserve">Teo Reid, MRes Thesis, Table 2 / Medium section (PDF p10); nominal per litre of base. Rounded thesis values retained for comparison.</t>
        </is>
      </c>
    </row>
    <row r="93" ht="42" customHeight="1">
      <c r="A93" t="inlineStr">
        <is>
          <t xml:space="preserve">Trace mineral solution – dose / basis</t>
        </is>
      </c>
      <c r="B93" s="19" t="inlineStr">
        <is>
          <t xml:space="preserve">amy_TM_dose</t>
        </is>
      </c>
      <c r="C93" s="20" t="inlineStr">
        <is>
          <t xml:space="preserve">mL/L</t>
        </is>
      </c>
      <c r="D93" s="116">
        <v>0.05</v>
      </c>
      <c r="E93" s="138" t="inlineStr">
        <is>
          <t xml:space="preserve">Teo Reid, MRes Thesis, Table 2 / Medium section (PDF p10); nominal per litre of base. Rounded thesis values retained for comparison.</t>
        </is>
      </c>
    </row>
    <row r="94" ht="42" customHeight="1">
      <c r="A94" t="inlineStr">
        <is>
          <t xml:space="preserve">Sodium gluconate solution – dose / basis</t>
        </is>
      </c>
      <c r="B94" s="19" t="inlineStr">
        <is>
          <t xml:space="preserve">amy_gluconate_stock_dose</t>
        </is>
      </c>
      <c r="C94" s="20" t="inlineStr">
        <is>
          <t xml:space="preserve">mL/L</t>
        </is>
      </c>
      <c r="D94" s="116">
        <v>50</v>
      </c>
      <c r="E94" s="138" t="inlineStr">
        <is>
          <t xml:space="preserve">Teo Reid, MRes Thesis, Table 2 / Medium section (PDF p10); nominal per litre of base. Rounded thesis values retained for comparison.</t>
        </is>
      </c>
    </row>
    <row r="95" ht="42" customHeight="1">
      <c r="A95" t="inlineStr">
        <is>
          <t xml:space="preserve">Model basis – dose / basis</t>
        </is>
      </c>
      <c r="B95" s="19" t="inlineStr">
        <is>
          <t xml:space="preserve">amy_organic_C_used</t>
        </is>
      </c>
      <c r="C95" s="20" t="inlineStr">
        <is>
          <t xml:space="preserve">mL/L</t>
        </is>
      </c>
      <c r="D95" s="116">
        <v>0</v>
      </c>
      <c r="E95" s="138" t="inlineStr">
        <is>
          <t xml:space="preserve">Teo Reid, MRes Thesis, Table 2 / Medium section (PDF p10); nominal per litre of base. Rounded thesis values retained for comparison.</t>
        </is>
      </c>
    </row>
    <row r="96" ht="42" customHeight="1">
      <c r="A96" t="inlineStr">
        <is>
          <t xml:space="preserve">Iron(II) sulfate heptahydrate – weighed concentration</t>
        </is>
      </c>
      <c r="B96" s="19" t="inlineStr">
        <is>
          <t xml:space="preserve">amy_FeSO4_gL</t>
        </is>
      </c>
      <c r="C96" s="20" t="inlineStr">
        <is>
          <t xml:space="preserve">g/L</t>
        </is>
      </c>
      <c r="D96" s="116">
        <v>15</v>
      </c>
      <c r="E96" s="138" t="inlineStr">
        <is>
          <t xml:space="preserve">Teo Reid, MRes Thesis, Table 2 / Medium section (PDF p10); nominal per litre of base. Rounded thesis values retained for comparison.</t>
        </is>
      </c>
    </row>
    <row r="97" ht="42" customHeight="1">
      <c r="A97" t="inlineStr">
        <is>
          <t xml:space="preserve">Iron(II) sulfate heptahydrate – molar mass</t>
        </is>
      </c>
      <c r="B97" s="19" t="inlineStr">
        <is>
          <t xml:space="preserve">amy_FeSO4_MW</t>
        </is>
      </c>
      <c r="C97" s="20" t="inlineStr">
        <is>
          <t xml:space="preserve">g/mol</t>
        </is>
      </c>
      <c r="D97" s="116">
        <v>278.01</v>
      </c>
      <c r="E97" s="138" t="inlineStr">
        <is>
          <t xml:space="preserve">Formula molar mass, g/mol; hydrate state as stated in Teo Reid Table 2.</t>
        </is>
      </c>
    </row>
    <row r="98" ht="42" customHeight="1">
      <c r="A98" t="inlineStr">
        <is>
          <t xml:space="preserve">Iron(II) sulfate heptahydrate – thesis final concentration</t>
        </is>
      </c>
      <c r="B98" s="19" t="inlineStr">
        <is>
          <t xml:space="preserve">amy_FeSO4_thesis_final</t>
        </is>
      </c>
      <c r="C98" s="20" t="inlineStr">
        <is>
          <t xml:space="preserve">µmol/L</t>
        </is>
      </c>
      <c r="D98" s="116">
        <v>36.7</v>
      </c>
      <c r="E98" s="138" t="inlineStr">
        <is>
          <t xml:space="preserve">Teo Reid, MRes Thesis, Table 2 / Medium section (PDF p10); nominal per litre of base. Rounded thesis values retained for comparison.</t>
        </is>
      </c>
    </row>
    <row r="99" ht="42" customHeight="1">
      <c r="A99" t="inlineStr">
        <is>
          <t xml:space="preserve">Iron(II) sulfate heptahydrate – thesis stock concentration</t>
        </is>
      </c>
      <c r="B99" s="19" t="inlineStr">
        <is>
          <t xml:space="preserve">amy_FeSO4_thesis_stock</t>
        </is>
      </c>
      <c r="C99" s="20" t="inlineStr">
        <is>
          <t xml:space="preserve">mmol/L</t>
        </is>
      </c>
      <c r="D99" s="116">
        <v>54</v>
      </c>
      <c r="E99" s="138" t="inlineStr">
        <is>
          <t xml:space="preserve">Teo Reid, MRes Thesis, Table 2 / Medium section (PDF p10); nominal per litre of base. Rounded thesis values retained for comparison.</t>
        </is>
      </c>
    </row>
    <row r="100" ht="42" customHeight="1">
      <c r="A100" t="inlineStr">
        <is>
          <t xml:space="preserve">Sulfuric acid – molar mass</t>
        </is>
      </c>
      <c r="B100" s="19" t="inlineStr">
        <is>
          <t xml:space="preserve">amy_Fe_acid_MW</t>
        </is>
      </c>
      <c r="C100" s="20" t="inlineStr">
        <is>
          <t xml:space="preserve">g/mol</t>
        </is>
      </c>
      <c r="D100" s="116">
        <v>98.079</v>
      </c>
      <c r="E100" s="138" t="inlineStr">
        <is>
          <t xml:space="preserve">Formula molar mass, g/mol; hydrate state as stated in Teo Reid Table 2.</t>
        </is>
      </c>
    </row>
    <row r="101" ht="42" customHeight="1">
      <c r="A101" t="inlineStr">
        <is>
          <t xml:space="preserve">Sulfuric acid – stock concentration</t>
        </is>
      </c>
      <c r="B101" s="19" t="inlineStr">
        <is>
          <t xml:space="preserve">amy_Fe_acid_mM</t>
        </is>
      </c>
      <c r="C101" s="20" t="inlineStr">
        <is>
          <t xml:space="preserve">mmol/L</t>
        </is>
      </c>
      <c r="D101" s="116">
        <v>200</v>
      </c>
      <c r="E101" s="138" t="inlineStr">
        <is>
          <t xml:space="preserve">Teo Reid, MRes Thesis, Table 2 / Medium section (PDF p10); nominal per litre of base. Rounded thesis values retained for comparison.</t>
        </is>
      </c>
    </row>
    <row r="102" ht="42" customHeight="1">
      <c r="A102" t="inlineStr">
        <is>
          <t xml:space="preserve">Sulfuric acid – thesis final concentration</t>
        </is>
      </c>
      <c r="B102" s="19" t="inlineStr">
        <is>
          <t xml:space="preserve">amy_Fe_acid_thesis_final</t>
        </is>
      </c>
      <c r="C102" s="20" t="inlineStr">
        <is>
          <t xml:space="preserve">µmol/L</t>
        </is>
      </c>
      <c r="D102" s="116">
        <v>140</v>
      </c>
      <c r="E102" s="138" t="inlineStr">
        <is>
          <t xml:space="preserve">Teo Reid, MRes Thesis, Table 2 / Medium section (PDF p10); nominal per litre of base. Rounded thesis values retained for comparison.</t>
        </is>
      </c>
    </row>
    <row r="103" ht="42" customHeight="1">
      <c r="A103" t="inlineStr">
        <is>
          <t xml:space="preserve">Sulfuric acid – thesis stock concentration</t>
        </is>
      </c>
      <c r="B103" s="19" t="inlineStr">
        <is>
          <t xml:space="preserve">amy_Fe_acid_thesis_stock</t>
        </is>
      </c>
      <c r="C103" s="20" t="inlineStr">
        <is>
          <t xml:space="preserve">mmol/L</t>
        </is>
      </c>
      <c r="D103" s="116">
        <v>200</v>
      </c>
      <c r="E103" s="138" t="inlineStr">
        <is>
          <t xml:space="preserve">Teo Reid, MRes Thesis, Table 2 / Medium section (PDF p10); nominal per litre of base. Rounded thesis values retained for comparison.</t>
        </is>
      </c>
    </row>
    <row r="104" ht="42" customHeight="1">
      <c r="A104" t="inlineStr">
        <is>
          <t xml:space="preserve">Sodium molybdate dihydrate – weighed concentration</t>
        </is>
      </c>
      <c r="B104" s="19" t="inlineStr">
        <is>
          <t xml:space="preserve">amy_Na2MoO4_gL</t>
        </is>
      </c>
      <c r="C104" s="20" t="inlineStr">
        <is>
          <t xml:space="preserve">g/L</t>
        </is>
      </c>
      <c r="D104" s="116">
        <v>1.8</v>
      </c>
      <c r="E104" s="138" t="inlineStr">
        <is>
          <t xml:space="preserve">Teo Reid, MRes Thesis, Table 2 / Medium section (PDF p10); nominal per litre of base. Rounded thesis values retained for comparison.</t>
        </is>
      </c>
    </row>
    <row r="105" ht="42" customHeight="1">
      <c r="A105" t="inlineStr">
        <is>
          <t xml:space="preserve">Sodium molybdate dihydrate – molar mass</t>
        </is>
      </c>
      <c r="B105" s="19" t="inlineStr">
        <is>
          <t xml:space="preserve">amy_Na2MoO4_MW</t>
        </is>
      </c>
      <c r="C105" s="20" t="inlineStr">
        <is>
          <t xml:space="preserve">g/mol</t>
        </is>
      </c>
      <c r="D105" s="116">
        <v>241.95</v>
      </c>
      <c r="E105" s="138" t="inlineStr">
        <is>
          <t xml:space="preserve">Formula molar mass, g/mol; hydrate state as stated in Teo Reid Table 2.</t>
        </is>
      </c>
    </row>
    <row r="106" ht="42" customHeight="1">
      <c r="A106" t="inlineStr">
        <is>
          <t xml:space="preserve">Sodium molybdate dihydrate – thesis final concentration</t>
        </is>
      </c>
      <c r="B106" s="19" t="inlineStr">
        <is>
          <t xml:space="preserve">amy_Na2MoO4_thesis_final</t>
        </is>
      </c>
      <c r="C106" s="20" t="inlineStr">
        <is>
          <t xml:space="preserve">µmol/L</t>
        </is>
      </c>
      <c r="D106" s="116">
        <v>0.37</v>
      </c>
      <c r="E106" s="138" t="inlineStr">
        <is>
          <t xml:space="preserve">Teo Reid, MRes Thesis, Table 2 / Medium section (PDF p10); nominal per litre of base. Rounded thesis values retained for comparison.</t>
        </is>
      </c>
    </row>
    <row r="107" ht="42" customHeight="1">
      <c r="A107" t="inlineStr">
        <is>
          <t xml:space="preserve">Sodium molybdate dihydrate – thesis stock concentration</t>
        </is>
      </c>
      <c r="B107" s="19" t="inlineStr">
        <is>
          <t xml:space="preserve">amy_Na2MoO4_thesis_stock</t>
        </is>
      </c>
      <c r="C107" s="20" t="inlineStr">
        <is>
          <t xml:space="preserve">mmol/L</t>
        </is>
      </c>
      <c r="D107" s="116">
        <v>7.44</v>
      </c>
      <c r="E107" s="138" t="inlineStr">
        <is>
          <t xml:space="preserve">Teo Reid, MRes Thesis, Table 2 / Medium section (PDF p10); nominal per litre of base. Rounded thesis values retained for comparison.</t>
        </is>
      </c>
    </row>
    <row r="108" ht="42" customHeight="1">
      <c r="A108" t="inlineStr">
        <is>
          <t xml:space="preserve">Zinc sulfate heptahydrate – weighed concentration</t>
        </is>
      </c>
      <c r="B108" s="19" t="inlineStr">
        <is>
          <t xml:space="preserve">amy_ZnSO4_gL</t>
        </is>
      </c>
      <c r="C108" s="20" t="inlineStr">
        <is>
          <t xml:space="preserve">g/L</t>
        </is>
      </c>
      <c r="D108" s="116">
        <v>2.4</v>
      </c>
      <c r="E108" s="138" t="inlineStr">
        <is>
          <t xml:space="preserve">Teo Reid, MRes Thesis, Table 2 / Medium section (PDF p10); nominal per litre of base. Rounded thesis values retained for comparison.</t>
        </is>
      </c>
    </row>
    <row r="109" ht="42" customHeight="1">
      <c r="A109" t="inlineStr">
        <is>
          <t xml:space="preserve">Zinc sulfate heptahydrate – molar mass</t>
        </is>
      </c>
      <c r="B109" s="19" t="inlineStr">
        <is>
          <t xml:space="preserve">amy_ZnSO4_MW</t>
        </is>
      </c>
      <c r="C109" s="20" t="inlineStr">
        <is>
          <t xml:space="preserve">g/mol</t>
        </is>
      </c>
      <c r="D109" s="116">
        <v>287.54</v>
      </c>
      <c r="E109" s="138" t="inlineStr">
        <is>
          <t xml:space="preserve">Formula molar mass, g/mol; hydrate state as stated in Teo Reid Table 2.</t>
        </is>
      </c>
    </row>
    <row r="110" ht="42" customHeight="1">
      <c r="A110" t="inlineStr">
        <is>
          <t xml:space="preserve">Zinc sulfate heptahydrate – thesis final concentration</t>
        </is>
      </c>
      <c r="B110" s="19" t="inlineStr">
        <is>
          <t xml:space="preserve">amy_ZnSO4_thesis_final</t>
        </is>
      </c>
      <c r="C110" s="20" t="inlineStr">
        <is>
          <t xml:space="preserve">µmol/L</t>
        </is>
      </c>
      <c r="D110" s="116">
        <v>0.42</v>
      </c>
      <c r="E110" s="138" t="inlineStr">
        <is>
          <t xml:space="preserve">Teo Reid, MRes Thesis, Table 2 / Medium section (PDF p10); nominal per litre of base. Rounded thesis values retained for comparison.</t>
        </is>
      </c>
    </row>
    <row r="111" ht="42" customHeight="1">
      <c r="A111" t="inlineStr">
        <is>
          <t xml:space="preserve">Zinc sulfate heptahydrate – thesis stock concentration</t>
        </is>
      </c>
      <c r="B111" s="19" t="inlineStr">
        <is>
          <t xml:space="preserve">amy_ZnSO4_thesis_stock</t>
        </is>
      </c>
      <c r="C111" s="20" t="inlineStr">
        <is>
          <t xml:space="preserve">mmol/L</t>
        </is>
      </c>
      <c r="D111" s="116">
        <v>8.35</v>
      </c>
      <c r="E111" s="138" t="inlineStr">
        <is>
          <t xml:space="preserve">Teo Reid, MRes Thesis, Table 2 / Medium section (PDF p10); nominal per litre of base. Rounded thesis values retained for comparison.</t>
        </is>
      </c>
    </row>
    <row r="112" ht="42" customHeight="1">
      <c r="A112" t="inlineStr">
        <is>
          <t xml:space="preserve">Manganese(II) sulfate monohydrate – weighed concentration</t>
        </is>
      </c>
      <c r="B112" s="19" t="inlineStr">
        <is>
          <t xml:space="preserve">amy_MnSO4_gL</t>
        </is>
      </c>
      <c r="C112" s="20" t="inlineStr">
        <is>
          <t xml:space="preserve">g/L</t>
        </is>
      </c>
      <c r="D112" s="116">
        <v>2.4</v>
      </c>
      <c r="E112" s="138" t="inlineStr">
        <is>
          <t xml:space="preserve">Teo Reid, MRes Thesis, Table 2 / Medium section (PDF p10); nominal per litre of base. Rounded thesis values retained for comparison.</t>
        </is>
      </c>
    </row>
    <row r="113" ht="42" customHeight="1">
      <c r="A113" t="inlineStr">
        <is>
          <t xml:space="preserve">Manganese(II) sulfate monohydrate – molar mass</t>
        </is>
      </c>
      <c r="B113" s="19" t="inlineStr">
        <is>
          <t xml:space="preserve">amy_MnSO4_MW</t>
        </is>
      </c>
      <c r="C113" s="20" t="inlineStr">
        <is>
          <t xml:space="preserve">g/mol</t>
        </is>
      </c>
      <c r="D113" s="116">
        <v>169.02</v>
      </c>
      <c r="E113" s="138" t="inlineStr">
        <is>
          <t xml:space="preserve">Formula molar mass, g/mol; hydrate state as stated in Teo Reid Table 2.</t>
        </is>
      </c>
    </row>
    <row r="114" ht="42" customHeight="1">
      <c r="A114" t="inlineStr">
        <is>
          <t xml:space="preserve">Manganese(II) sulfate monohydrate – thesis final concentration</t>
        </is>
      </c>
      <c r="B114" s="19" t="inlineStr">
        <is>
          <t xml:space="preserve">amy_MnSO4_thesis_final</t>
        </is>
      </c>
      <c r="C114" s="20" t="inlineStr">
        <is>
          <t xml:space="preserve">µmol/L</t>
        </is>
      </c>
      <c r="D114" s="116">
        <v>0.71</v>
      </c>
      <c r="E114" s="138" t="inlineStr">
        <is>
          <t xml:space="preserve">Teo Reid, MRes Thesis, Table 2 / Medium section (PDF p10); nominal per litre of base. Rounded thesis values retained for comparison.</t>
        </is>
      </c>
    </row>
    <row r="115" ht="42" customHeight="1">
      <c r="A115" t="inlineStr">
        <is>
          <t xml:space="preserve">Manganese(II) sulfate monohydrate – thesis stock concentration</t>
        </is>
      </c>
      <c r="B115" s="19" t="inlineStr">
        <is>
          <t xml:space="preserve">amy_MnSO4_thesis_stock</t>
        </is>
      </c>
      <c r="C115" s="20" t="inlineStr">
        <is>
          <t xml:space="preserve">mmol/L</t>
        </is>
      </c>
      <c r="D115" s="116">
        <v>14.2</v>
      </c>
      <c r="E115" s="138" t="inlineStr">
        <is>
          <t xml:space="preserve">Teo Reid, MRes Thesis, Table 2 / Medium section (PDF p10); nominal per litre of base. Rounded thesis values retained for comparison.</t>
        </is>
      </c>
    </row>
    <row r="116" ht="42" customHeight="1">
      <c r="A116" t="inlineStr">
        <is>
          <t xml:space="preserve">Copper(II) sulfate pentahydrate – weighed concentration</t>
        </is>
      </c>
      <c r="B116" s="19" t="inlineStr">
        <is>
          <t xml:space="preserve">amy_CuSO4_gL</t>
        </is>
      </c>
      <c r="C116" s="20" t="inlineStr">
        <is>
          <t xml:space="preserve">g/L</t>
        </is>
      </c>
      <c r="D116" s="116">
        <v>0.48</v>
      </c>
      <c r="E116" s="138" t="inlineStr">
        <is>
          <t xml:space="preserve">Teo Reid, MRes Thesis, Table 2 / Medium section (PDF p10); nominal per litre of base. Rounded thesis values retained for comparison.</t>
        </is>
      </c>
    </row>
    <row r="117" ht="42" customHeight="1">
      <c r="A117" t="inlineStr">
        <is>
          <t xml:space="preserve">Copper(II) sulfate pentahydrate – molar mass</t>
        </is>
      </c>
      <c r="B117" s="19" t="inlineStr">
        <is>
          <t xml:space="preserve">amy_CuSO4_MW</t>
        </is>
      </c>
      <c r="C117" s="20" t="inlineStr">
        <is>
          <t xml:space="preserve">g/mol</t>
        </is>
      </c>
      <c r="D117" s="116">
        <v>249.68</v>
      </c>
      <c r="E117" s="138" t="inlineStr">
        <is>
          <t xml:space="preserve">Formula molar mass, g/mol; hydrate state as stated in Teo Reid Table 2.</t>
        </is>
      </c>
    </row>
    <row r="118" ht="42" customHeight="1">
      <c r="A118" t="inlineStr">
        <is>
          <t xml:space="preserve">Copper(II) sulfate pentahydrate – thesis final concentration</t>
        </is>
      </c>
      <c r="B118" s="19" t="inlineStr">
        <is>
          <t xml:space="preserve">amy_CuSO4_thesis_final</t>
        </is>
      </c>
      <c r="C118" s="20" t="inlineStr">
        <is>
          <t xml:space="preserve">µmol/L</t>
        </is>
      </c>
      <c r="D118" s="116">
        <v>0.096</v>
      </c>
      <c r="E118" s="138" t="inlineStr">
        <is>
          <t xml:space="preserve">Teo Reid, MRes Thesis, Table 2 / Medium section (PDF p10); nominal per litre of base. Rounded thesis values retained for comparison.</t>
        </is>
      </c>
    </row>
    <row r="119" ht="42" customHeight="1">
      <c r="A119" t="inlineStr">
        <is>
          <t xml:space="preserve">Copper(II) sulfate pentahydrate – thesis stock concentration</t>
        </is>
      </c>
      <c r="B119" s="19" t="inlineStr">
        <is>
          <t xml:space="preserve">amy_CuSO4_thesis_stock</t>
        </is>
      </c>
      <c r="C119" s="20" t="inlineStr">
        <is>
          <t xml:space="preserve">mmol/L</t>
        </is>
      </c>
      <c r="D119" s="116">
        <v>1.92</v>
      </c>
      <c r="E119" s="138" t="inlineStr">
        <is>
          <t xml:space="preserve">Teo Reid, MRes Thesis, Table 2 / Medium section (PDF p10); nominal per litre of base. Rounded thesis values retained for comparison.</t>
        </is>
      </c>
    </row>
    <row r="120" ht="42" customHeight="1">
      <c r="A120" t="inlineStr">
        <is>
          <t xml:space="preserve">Nickel(II) sulfate hexahydrate – weighed concentration</t>
        </is>
      </c>
      <c r="B120" s="19" t="inlineStr">
        <is>
          <t xml:space="preserve">amy_NiSO4_gL</t>
        </is>
      </c>
      <c r="C120" s="20" t="inlineStr">
        <is>
          <t xml:space="preserve">g/L</t>
        </is>
      </c>
      <c r="D120" s="116">
        <v>1.5</v>
      </c>
      <c r="E120" s="138" t="inlineStr">
        <is>
          <t xml:space="preserve">Teo Reid, MRes Thesis, Table 2 / Medium section (PDF p10); nominal per litre of base. Rounded thesis values retained for comparison.</t>
        </is>
      </c>
    </row>
    <row r="121" ht="42" customHeight="1">
      <c r="A121" t="inlineStr">
        <is>
          <t xml:space="preserve">Nickel(II) sulfate hexahydrate – molar mass</t>
        </is>
      </c>
      <c r="B121" s="19" t="inlineStr">
        <is>
          <t xml:space="preserve">amy_NiSO4_MW</t>
        </is>
      </c>
      <c r="C121" s="20" t="inlineStr">
        <is>
          <t xml:space="preserve">g/mol</t>
        </is>
      </c>
      <c r="D121" s="116">
        <v>262.85</v>
      </c>
      <c r="E121" s="138" t="inlineStr">
        <is>
          <t xml:space="preserve">Formula molar mass, g/mol; hydrate state as stated in Teo Reid Table 2.</t>
        </is>
      </c>
    </row>
    <row r="122" ht="42" customHeight="1">
      <c r="A122" t="inlineStr">
        <is>
          <t xml:space="preserve">Nickel(II) sulfate hexahydrate – thesis final concentration</t>
        </is>
      </c>
      <c r="B122" s="19" t="inlineStr">
        <is>
          <t xml:space="preserve">amy_NiSO4_thesis_final</t>
        </is>
      </c>
      <c r="C122" s="20" t="inlineStr">
        <is>
          <t xml:space="preserve">µmol/L</t>
        </is>
      </c>
      <c r="D122" s="116">
        <v>0.29</v>
      </c>
      <c r="E122" s="138" t="inlineStr">
        <is>
          <t xml:space="preserve">Teo Reid, MRes Thesis, Table 2 / Medium section (PDF p10); nominal per litre of base. Rounded thesis values retained for comparison.</t>
        </is>
      </c>
    </row>
    <row r="123" ht="42" customHeight="1">
      <c r="A123" t="inlineStr">
        <is>
          <t xml:space="preserve">Nickel(II) sulfate hexahydrate – thesis stock concentration</t>
        </is>
      </c>
      <c r="B123" s="19" t="inlineStr">
        <is>
          <t xml:space="preserve">amy_NiSO4_thesis_stock</t>
        </is>
      </c>
      <c r="C123" s="20" t="inlineStr">
        <is>
          <t xml:space="preserve">mmol/L</t>
        </is>
      </c>
      <c r="D123" s="116">
        <v>5.71</v>
      </c>
      <c r="E123" s="138" t="inlineStr">
        <is>
          <t xml:space="preserve">Teo Reid, MRes Thesis, Table 2 / Medium section (PDF p10); nominal per litre of base. Rounded thesis values retained for comparison.</t>
        </is>
      </c>
    </row>
    <row r="124" ht="42" customHeight="1">
      <c r="A124" t="inlineStr">
        <is>
          <t xml:space="preserve">Cobalt(II) sulfate heptahydrate – weighed concentration</t>
        </is>
      </c>
      <c r="B124" s="19" t="inlineStr">
        <is>
          <t xml:space="preserve">amy_CoSO4_gL</t>
        </is>
      </c>
      <c r="C124" s="20" t="inlineStr">
        <is>
          <t xml:space="preserve">g/L</t>
        </is>
      </c>
      <c r="D124" s="116">
        <v>0.0402</v>
      </c>
      <c r="E124" s="138" t="inlineStr">
        <is>
          <t xml:space="preserve">Teo Reid, MRes Thesis, Table 2 / Medium section (PDF p10); nominal per litre of base. Rounded thesis values retained for comparison.</t>
        </is>
      </c>
    </row>
    <row r="125" ht="42" customHeight="1">
      <c r="A125" t="inlineStr">
        <is>
          <t xml:space="preserve">Cobalt(II) sulfate heptahydrate – molar mass</t>
        </is>
      </c>
      <c r="B125" s="19" t="inlineStr">
        <is>
          <t xml:space="preserve">amy_CoSO4_MW</t>
        </is>
      </c>
      <c r="C125" s="20" t="inlineStr">
        <is>
          <t xml:space="preserve">g/mol</t>
        </is>
      </c>
      <c r="D125" s="116">
        <v>281.1</v>
      </c>
      <c r="E125" s="138" t="inlineStr">
        <is>
          <t xml:space="preserve">Formula molar mass, g/mol; hydrate state as stated in Teo Reid Table 2.</t>
        </is>
      </c>
    </row>
    <row r="126" ht="42" customHeight="1">
      <c r="A126" t="inlineStr">
        <is>
          <t xml:space="preserve">Cobalt(II) sulfate heptahydrate – thesis final concentration</t>
        </is>
      </c>
      <c r="B126" s="19" t="inlineStr">
        <is>
          <t xml:space="preserve">amy_CoSO4_thesis_final</t>
        </is>
      </c>
      <c r="C126" s="20" t="inlineStr">
        <is>
          <t xml:space="preserve">µmol/L</t>
        </is>
      </c>
      <c r="D126" s="116">
        <v>0.0072</v>
      </c>
      <c r="E126" s="138" t="inlineStr">
        <is>
          <t xml:space="preserve">Teo Reid, MRes Thesis, Table 2 / Medium section (PDF p10); nominal per litre of base. Rounded thesis values retained for comparison.</t>
        </is>
      </c>
    </row>
    <row r="127" ht="42" customHeight="1">
      <c r="A127" t="inlineStr">
        <is>
          <t xml:space="preserve">Cobalt(II) sulfate heptahydrate – thesis stock concentration</t>
        </is>
      </c>
      <c r="B127" s="19" t="inlineStr">
        <is>
          <t xml:space="preserve">amy_CoSO4_thesis_stock</t>
        </is>
      </c>
      <c r="C127" s="20" t="inlineStr">
        <is>
          <t xml:space="preserve">mmol/L</t>
        </is>
      </c>
      <c r="D127" s="116">
        <v>0.143</v>
      </c>
      <c r="E127" s="138" t="inlineStr">
        <is>
          <t xml:space="preserve">Teo Reid, MRes Thesis, Table 2 / Medium section (PDF p10); nominal per litre of base. Rounded thesis values retained for comparison.</t>
        </is>
      </c>
    </row>
    <row r="128" ht="42" customHeight="1">
      <c r="A128" t="inlineStr">
        <is>
          <t xml:space="preserve">Sulfuric acid – molar mass</t>
        </is>
      </c>
      <c r="B128" s="19" t="inlineStr">
        <is>
          <t xml:space="preserve">amy_TM_acid_MW</t>
        </is>
      </c>
      <c r="C128" s="20" t="inlineStr">
        <is>
          <t xml:space="preserve">g/mol</t>
        </is>
      </c>
      <c r="D128" s="116">
        <v>98.079</v>
      </c>
      <c r="E128" s="138" t="inlineStr">
        <is>
          <t xml:space="preserve">Formula molar mass, g/mol; hydrate state as stated in Teo Reid Table 2.</t>
        </is>
      </c>
    </row>
    <row r="129" ht="42" customHeight="1">
      <c r="A129" t="inlineStr">
        <is>
          <t xml:space="preserve">Sulfuric acid – stock concentration</t>
        </is>
      </c>
      <c r="B129" s="19" t="inlineStr">
        <is>
          <t xml:space="preserve">amy_TM_acid_mM</t>
        </is>
      </c>
      <c r="C129" s="20" t="inlineStr">
        <is>
          <t xml:space="preserve">mmol/L</t>
        </is>
      </c>
      <c r="D129" s="116">
        <v>200</v>
      </c>
      <c r="E129" s="138" t="inlineStr">
        <is>
          <t xml:space="preserve">Teo Reid, MRes Thesis, Table 2 / Medium section (PDF p10); nominal per litre of base. Rounded thesis values retained for comparison.</t>
        </is>
      </c>
    </row>
    <row r="130" ht="42" customHeight="1">
      <c r="A130" t="inlineStr">
        <is>
          <t xml:space="preserve">Sulfuric acid – thesis final concentration</t>
        </is>
      </c>
      <c r="B130" s="19" t="inlineStr">
        <is>
          <t xml:space="preserve">amy_TM_acid_thesis_final</t>
        </is>
      </c>
      <c r="C130" s="20" t="inlineStr">
        <is>
          <t xml:space="preserve">µmol/L</t>
        </is>
      </c>
      <c r="D130" s="116">
        <v>10</v>
      </c>
      <c r="E130" s="138" t="inlineStr">
        <is>
          <t xml:space="preserve">Teo Reid, MRes Thesis, Table 2 / Medium section (PDF p10); nominal per litre of base. Rounded thesis values retained for comparison.</t>
        </is>
      </c>
    </row>
    <row r="131" ht="42" customHeight="1">
      <c r="A131" t="inlineStr">
        <is>
          <t xml:space="preserve">Sulfuric acid – thesis stock concentration</t>
        </is>
      </c>
      <c r="B131" s="19" t="inlineStr">
        <is>
          <t xml:space="preserve">amy_TM_acid_thesis_stock</t>
        </is>
      </c>
      <c r="C131" s="20" t="inlineStr">
        <is>
          <t xml:space="preserve">mmol/L</t>
        </is>
      </c>
      <c r="D131" s="116">
        <v>200</v>
      </c>
      <c r="E131" s="138" t="inlineStr">
        <is>
          <t xml:space="preserve">Teo Reid, MRes Thesis, Table 2 / Medium section (PDF p10); nominal per litre of base. Rounded thesis values retained for comparison.</t>
        </is>
      </c>
    </row>
    <row r="132" ht="42" customHeight="1">
      <c r="A132" t="inlineStr">
        <is>
          <t xml:space="preserve">Sodium gluconate – weighed concentration</t>
        </is>
      </c>
      <c r="B132" s="19" t="inlineStr">
        <is>
          <t xml:space="preserve">amy_gluconate_gL</t>
        </is>
      </c>
      <c r="C132" s="20" t="inlineStr">
        <is>
          <t xml:space="preserve">g/L</t>
        </is>
      </c>
      <c r="D132" s="116">
        <v>100</v>
      </c>
      <c r="E132" s="138" t="inlineStr">
        <is>
          <t xml:space="preserve">Teo Reid, MRes Thesis, Table 2 / Medium section (PDF p10); nominal per litre of base. Rounded thesis values retained for comparison.</t>
        </is>
      </c>
    </row>
    <row r="133" ht="42" customHeight="1">
      <c r="A133" t="inlineStr">
        <is>
          <t xml:space="preserve">Sodium gluconate – molar mass</t>
        </is>
      </c>
      <c r="B133" s="19" t="inlineStr">
        <is>
          <t xml:space="preserve">amy_gluconate_MW</t>
        </is>
      </c>
      <c r="C133" s="20" t="inlineStr">
        <is>
          <t xml:space="preserve">g/mol</t>
        </is>
      </c>
      <c r="D133" s="116">
        <v>218.14</v>
      </c>
      <c r="E133" s="138" t="inlineStr">
        <is>
          <t xml:space="preserve">Formula molar mass, g/mol; hydrate state as stated in Teo Reid Table 2.</t>
        </is>
      </c>
    </row>
    <row r="134" ht="42" customHeight="1">
      <c r="A134" t="inlineStr">
        <is>
          <t xml:space="preserve">Sodium gluconate – thesis final concentration</t>
        </is>
      </c>
      <c r="B134" s="19" t="inlineStr">
        <is>
          <t xml:space="preserve">amy_gluconate_thesis_final</t>
        </is>
      </c>
      <c r="C134" s="20" t="inlineStr">
        <is>
          <t xml:space="preserve">mmol/L</t>
        </is>
      </c>
      <c r="D134" s="116">
        <v>23</v>
      </c>
      <c r="E134" s="138" t="inlineStr">
        <is>
          <t xml:space="preserve">Teo Reid, MRes Thesis, Table 2 / Medium section (PDF p10); nominal per litre of base. Rounded thesis values retained for comparison.</t>
        </is>
      </c>
    </row>
    <row r="135" ht="42" customHeight="1">
      <c r="A135" t="inlineStr">
        <is>
          <t xml:space="preserve">Sodium gluconate – thesis stock concentration</t>
        </is>
      </c>
      <c r="B135" s="19" t="inlineStr">
        <is>
          <t xml:space="preserve">amy_gluconate_thesis_stock</t>
        </is>
      </c>
      <c r="C135" s="20" t="inlineStr">
        <is>
          <t xml:space="preserve">mmol/L</t>
        </is>
      </c>
      <c r="D135" s="116">
        <v>460</v>
      </c>
      <c r="E135" s="138" t="inlineStr">
        <is>
          <t xml:space="preserve">Teo Reid, MRes Thesis, Table 2 / Medium section (PDF p10); nominal per litre of base. Rounded thesis values retained for comparison.</t>
        </is>
      </c>
    </row>
  </sheetData>
  <mergeCells count="90">
    <mergeCell ref="A61:H61"/>
    <mergeCell ref="A62:H62"/>
    <mergeCell ref="A46:H46"/>
    <mergeCell ref="A47:H47"/>
    <mergeCell ref="A48:H48"/>
    <mergeCell ref="A49:H49"/>
    <mergeCell ref="A50:H50"/>
    <mergeCell ref="A41:H41"/>
    <mergeCell ref="A42:H42"/>
    <mergeCell ref="A43:H43"/>
    <mergeCell ref="A44:H44"/>
    <mergeCell ref="A45:H45"/>
    <mergeCell ref="A3:H3"/>
    <mergeCell ref="A37:H37"/>
    <mergeCell ref="A38:H38"/>
    <mergeCell ref="A39:H39"/>
    <mergeCell ref="A40:H40"/>
    <mergeCell ref="A64:I64"/>
    <mergeCell ref="E70:I70"/>
    <mergeCell ref="E54:I54"/>
    <mergeCell ref="E55:I55"/>
    <mergeCell ref="E56:I56"/>
    <mergeCell ref="E57:I57"/>
    <mergeCell ref="E58:I58"/>
    <mergeCell ref="E59:I59"/>
    <mergeCell ref="E71:I71"/>
    <mergeCell ref="E72:I72"/>
    <mergeCell ref="E73:I73"/>
    <mergeCell ref="E74:I74"/>
    <mergeCell ref="E75:I75"/>
    <mergeCell ref="E76:I76"/>
    <mergeCell ref="E77:I77"/>
    <mergeCell ref="E78:I78"/>
    <mergeCell ref="E79:I79"/>
    <mergeCell ref="E80:I80"/>
    <mergeCell ref="E81:I81"/>
    <mergeCell ref="E82:I82"/>
    <mergeCell ref="E83:I83"/>
    <mergeCell ref="E84:I84"/>
    <mergeCell ref="E85:I85"/>
    <mergeCell ref="E86:I86"/>
    <mergeCell ref="E87:I87"/>
    <mergeCell ref="E88:I88"/>
    <mergeCell ref="E89:I89"/>
    <mergeCell ref="E90:I90"/>
    <mergeCell ref="E91:I91"/>
    <mergeCell ref="E92:I92"/>
    <mergeCell ref="E93:I93"/>
    <mergeCell ref="E94:I94"/>
    <mergeCell ref="E95:I95"/>
    <mergeCell ref="E96:I96"/>
    <mergeCell ref="E97:I97"/>
    <mergeCell ref="E98:I98"/>
    <mergeCell ref="E99:I99"/>
    <mergeCell ref="E100:I100"/>
    <mergeCell ref="E101:I101"/>
    <mergeCell ref="E102:I102"/>
    <mergeCell ref="E103:I103"/>
    <mergeCell ref="E104:I104"/>
    <mergeCell ref="E105:I105"/>
    <mergeCell ref="E106:I106"/>
    <mergeCell ref="E107:I107"/>
    <mergeCell ref="E108:I108"/>
    <mergeCell ref="E109:I109"/>
    <mergeCell ref="E110:I110"/>
    <mergeCell ref="E111:I111"/>
    <mergeCell ref="E112:I112"/>
    <mergeCell ref="E113:I113"/>
    <mergeCell ref="E114:I114"/>
    <mergeCell ref="E115:I115"/>
    <mergeCell ref="E116:I116"/>
    <mergeCell ref="E117:I117"/>
    <mergeCell ref="E118:I118"/>
    <mergeCell ref="E119:I119"/>
    <mergeCell ref="E120:I120"/>
    <mergeCell ref="E121:I121"/>
    <mergeCell ref="E122:I122"/>
    <mergeCell ref="E123:I123"/>
    <mergeCell ref="E124:I124"/>
    <mergeCell ref="E125:I125"/>
    <mergeCell ref="E126:I126"/>
    <mergeCell ref="E127:I127"/>
    <mergeCell ref="E128:I128"/>
    <mergeCell ref="E129:I129"/>
    <mergeCell ref="E130:I130"/>
    <mergeCell ref="E131:I131"/>
    <mergeCell ref="E132:I132"/>
    <mergeCell ref="E133:I133"/>
    <mergeCell ref="E134:I134"/>
    <mergeCell ref="E135:I1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843</vt:i4>
      </vt:variant>
    </vt:vector>
  </HeadingPairs>
  <TitlesOfParts>
    <vt:vector size="852" baseType="lpstr">
      <vt:lpstr>Summary</vt:lpstr>
      <vt:lpstr>Geometry</vt:lpstr>
      <vt:lpstr>Electrochemistry</vt:lpstr>
      <vt:lpstr>Chemistry</vt:lpstr>
      <vt:lpstr>Biology</vt:lpstr>
      <vt:lpstr>Mass Transfer</vt:lpstr>
      <vt:lpstr>CO2 flows</vt:lpstr>
      <vt:lpstr>Calibrations</vt:lpstr>
      <vt:lpstr>AMYBO03</vt:lpstr>
      <vt:lpstr>Chemistry!A_anode</vt:lpstr>
      <vt:lpstr>Electrochemistry!A_anode_wet</vt:lpstr>
      <vt:lpstr>Electrochemistry!A_cath_wet</vt:lpstr>
      <vt:lpstr>Chemistry!A_DH</vt:lpstr>
      <vt:lpstr>'Mass Transfer'!a_int</vt:lpstr>
      <vt:lpstr>'Mass Transfer'!a_surf</vt:lpstr>
      <vt:lpstr>Calibrations!A_x</vt:lpstr>
      <vt:lpstr>Geometry!A_x</vt:lpstr>
      <vt:lpstr>'Mass Transfer'!A_x</vt:lpstr>
      <vt:lpstr>Chemistry!alk_NaHCO3_gL</vt:lpstr>
      <vt:lpstr>Chemistry!alk_needed</vt:lpstr>
      <vt:lpstr>Chemistry!alk_pH_target</vt:lpstr>
      <vt:lpstr>Chemistry!alk_pH_target_c</vt:lpstr>
      <vt:lpstr>Chemistry!alk_resid_t</vt:lpstr>
      <vt:lpstr>Electrochemistry!anode_dia</vt:lpstr>
      <vt:lpstr>Electrochemistry!anode_j_cont</vt:lpstr>
      <vt:lpstr>Electrochemistry!anode_j_max</vt:lpstr>
      <vt:lpstr>Electrochemistry!anode_material</vt:lpstr>
      <vt:lpstr>Electrochemistry!anode_shape</vt:lpstr>
      <vt:lpstr>Electrochemistry!b_anode</vt:lpstr>
      <vt:lpstr>Electrochemistry!b_cath</vt:lpstr>
      <vt:lpstr>Chemistry!beta_nonC</vt:lpstr>
      <vt:lpstr>Biology!bio_CO2</vt:lpstr>
      <vt:lpstr>Biology!bio_H2</vt:lpstr>
      <vt:lpstr>Biology!bio_O2</vt:lpstr>
      <vt:lpstr>Chemistry!bleach_flag</vt:lpstr>
      <vt:lpstr>Chemistry!bleach_rate</vt:lpstr>
      <vt:lpstr>Chemistry!bleach_t1ppm</vt:lpstr>
      <vt:lpstr>Calibrations!bp_const</vt:lpstr>
      <vt:lpstr>'Mass Transfer'!bubble_regime</vt:lpstr>
      <vt:lpstr>Chemistry!buffer_caution_frac</vt:lpstr>
      <vt:lpstr>Chemistry!buffer_flag</vt:lpstr>
      <vt:lpstr>'Mass Transfer'!C_air_CO2</vt:lpstr>
      <vt:lpstr>'Mass Transfer'!C_CO2_mf</vt:lpstr>
      <vt:lpstr>'Mass Transfer'!C_cycle_peak</vt:lpstr>
      <vt:lpstr>'Mass Transfer'!C_cycle_start</vt:lpstr>
      <vt:lpstr>Biology!C_cycle_start_b</vt:lpstr>
      <vt:lpstr>Chemistry!C_eff</vt:lpstr>
      <vt:lpstr>Chemistry!C_eff_Cl2</vt:lpstr>
      <vt:lpstr>Chemistry!C_eff_hi</vt:lpstr>
      <vt:lpstr>Chemistry!C_eff_hi_Cl2</vt:lpstr>
      <vt:lpstr>Chemistry!C_eff_lo</vt:lpstr>
      <vt:lpstr>Chemistry!C_eff_lo_Cl2</vt:lpstr>
      <vt:lpstr>Biology!C_H2_sat</vt:lpstr>
      <vt:lpstr>'Mass Transfer'!C_sat_CO2</vt:lpstr>
      <vt:lpstr>Calibrations!ca_rho_0</vt:lpstr>
      <vt:lpstr>Calibrations!ca_rho_k</vt:lpstr>
      <vt:lpstr>cal_Dint</vt:lpstr>
      <vt:lpstr>cal_DO_impair</vt:lpstr>
      <vt:lpstr>cal_DO_min</vt:lpstr>
      <vt:lpstr>cal_DO_opt</vt:lpstr>
      <vt:lpstr>cal_DO_toxic</vt:lpstr>
      <vt:lpstr>cal_etaF</vt:lpstr>
      <vt:lpstr>cal_etaF_OER</vt:lpstr>
      <vt:lpstr>cal_flow</vt:lpstr>
      <vt:lpstr>cal_gerrit_int</vt:lpstr>
      <vt:lpstr>cal_gerrit_slope</vt:lpstr>
      <vt:lpstr>cal_hs</vt:lpstr>
      <vt:lpstr>cal_hs_fill</vt:lpstr>
      <vt:lpstr>cal_j_ceiling</vt:lpstr>
      <vt:lpstr>cal_j_opt</vt:lpstr>
      <vt:lpstr>cal_kLa</vt:lpstr>
      <vt:lpstr>cal_knall_CO2</vt:lpstr>
      <vt:lpstr>cal_knall_H2</vt:lpstr>
      <vt:lpstr>cal_knall_O2</vt:lpstr>
      <vt:lpstr>cal_pulse_floor</vt:lpstr>
      <vt:lpstr>cal_sinter</vt:lpstr>
      <vt:lpstr>cal_Vtot</vt:lpstr>
      <vt:lpstr>'Mass Transfer'!cal_warning</vt:lpstr>
      <vt:lpstr>'Mass Transfer'!carbon_margin_min</vt:lpstr>
      <vt:lpstr>'Mass Transfer'!carry_flag</vt:lpstr>
      <vt:lpstr>'Mass Transfer'!carry_flag_usg</vt:lpstr>
      <vt:lpstr>'Mass Transfer'!carry_n</vt:lpstr>
      <vt:lpstr>Electrochemistry!cath_j_cont</vt:lpstr>
      <vt:lpstr>Electrochemistry!cath_j_max</vt:lpstr>
      <vt:lpstr>Electrochemistry!cathode_dia</vt:lpstr>
      <vt:lpstr>Electrochemistry!cathode_shape</vt:lpstr>
      <vt:lpstr>Summary!cf_Cl_kill</vt:lpstr>
      <vt:lpstr>Summary!cf_Cl_onset</vt:lpstr>
      <vt:lpstr>Summary!cf_pH_hi</vt:lpstr>
      <vt:lpstr>Summary!cf_pH_lo</vt:lpstr>
      <vt:lpstr>Summary!cf_pH_red_hi</vt:lpstr>
      <vt:lpstr>Summary!cf_pH_red_lo</vt:lpstr>
      <vt:lpstr>Summary!chk_bubble</vt:lpstr>
      <vt:lpstr>Summary!chk_cal</vt:lpstr>
      <vt:lpstr>Summary!chk_carry_usg</vt:lpstr>
      <vt:lpstr>Summary!chk_carryover</vt:lpstr>
      <vt:lpstr>Summary!chk_CO2_supply</vt:lpstr>
      <vt:lpstr>Summary!chk_DO_data</vt:lpstr>
      <vt:lpstr>Summary!chk_DO_min</vt:lpstr>
      <vt:lpstr>Summary!chk_DO_opt</vt:lpstr>
      <vt:lpstr>Summary!chk_geom</vt:lpstr>
      <vt:lpstr>Summary!chk_H2</vt:lpstr>
      <vt:lpstr>Summary!chk_led_law</vt:lpstr>
      <vt:lpstr>Summary!chk_level</vt:lpstr>
      <vt:lpstr>Summary!chk_media_vol</vt:lpstr>
      <vt:lpstr>Summary!chk_od_window</vt:lpstr>
      <vt:lpstr>Summary!chk_pulse_floor</vt:lpstr>
      <vt:lpstr>Summary!chk_relax</vt:lpstr>
      <vt:lpstr>Summary!chk_tip</vt:lpstr>
      <vt:lpstr>Chemistry!Cl_floor_molL</vt:lpstr>
      <vt:lpstr>Chemistry!Cl_free_frac</vt:lpstr>
      <vt:lpstr>Chemistry!Cl_kill</vt:lpstr>
      <vt:lpstr>Chemistry!Cl_mc02</vt:lpstr>
      <vt:lpstr>Chemistry!Cl_onset</vt:lpstr>
      <vt:lpstr>Chemistry!cl_per_N</vt:lpstr>
      <vt:lpstr>Chemistry!Cl_pool_mgL</vt:lpstr>
      <vt:lpstr>Chemistry!Cl_udg</vt:lpstr>
      <vt:lpstr>'Mass Transfer'!cleared_min</vt:lpstr>
      <vt:lpstr>Biology!CO2_carbon_margin</vt:lpstr>
      <vt:lpstr>Biology!CO2_cons</vt:lpstr>
      <vt:lpstr>'Mass Transfer'!CO2_cons</vt:lpstr>
      <vt:lpstr>'Mass Transfer'!CO2_cyc_avg_new</vt:lpstr>
      <vt:lpstr>Biology!CO2_diss</vt:lpstr>
      <vt:lpstr>'Mass Transfer'!CO2_fix_g</vt:lpstr>
      <vt:lpstr>'Mass Transfer'!CO2_fix_l</vt:lpstr>
      <vt:lpstr>'Mass Transfer'!CO2_fix_sched</vt:lpstr>
      <vt:lpstr>Biology!CO2_margin_trough</vt:lpstr>
      <vt:lpstr>'Mass Transfer'!CO2_pulse</vt:lpstr>
      <vt:lpstr>'Mass Transfer'!CO2_rate_full</vt:lpstr>
      <vt:lpstr>Biology!CO2_rate_full_b</vt:lpstr>
      <vt:lpstr>'Mass Transfer'!CO2_sd_ratio</vt:lpstr>
      <vt:lpstr>'Mass Transfer'!CO2_supply</vt:lpstr>
      <vt:lpstr>Biology!CO2_supply_b</vt:lpstr>
      <vt:lpstr>'Mass Transfer'!CO2_uptake_ratio</vt:lpstr>
      <vt:lpstr>Chemistry!CO2aqc</vt:lpstr>
      <vt:lpstr>'Mass Transfer'!CO2aqc_ss</vt:lpstr>
      <vt:lpstr>Chemistry!corr_I_frac</vt:lpstr>
      <vt:lpstr>'Mass Transfer'!d_bubble</vt:lpstr>
      <vt:lpstr>'Mass Transfer'!d_bubble_min_m</vt:lpstr>
      <vt:lpstr>'Mass Transfer'!d_bubble_mm</vt:lpstr>
      <vt:lpstr>Chemistry!D_Cl</vt:lpstr>
      <vt:lpstr>'Mass Transfer'!D_CO2</vt:lpstr>
      <vt:lpstr>'Mass Transfer'!D_CO2_ref</vt:lpstr>
      <vt:lpstr>Chemistry!D_HCO3</vt:lpstr>
      <vt:lpstr>Chemistry!D_HPO4</vt:lpstr>
      <vt:lpstr>Geometry!D_int</vt:lpstr>
      <vt:lpstr>'Mass Transfer'!D_O2</vt:lpstr>
      <vt:lpstr>Chemistry!D_O2_c</vt:lpstr>
      <vt:lpstr>'Mass Transfer'!d_orifice</vt:lpstr>
      <vt:lpstr>Chemistry!davies_c</vt:lpstr>
      <vt:lpstr>Chemistry!delta_diff</vt:lpstr>
      <vt:lpstr>Geometry!depth_warn</vt:lpstr>
      <vt:lpstr>Chemistry!DH_const</vt:lpstr>
      <vt:lpstr>Chemistry!DIC_cap</vt:lpstr>
      <vt:lpstr>'Mass Transfer'!DIC_cap_mt</vt:lpstr>
      <vt:lpstr>Geometry!disp_tot</vt:lpstr>
      <vt:lpstr>'Mass Transfer'!DO_at_carbon</vt:lpstr>
      <vt:lpstr>'Mass Transfer'!DO_avg_g</vt:lpstr>
      <vt:lpstr>'Mass Transfer'!DO_avg_g_mgL</vt:lpstr>
      <vt:lpstr>'Mass Transfer'!DO_avg_l</vt:lpstr>
      <vt:lpstr>'Mass Transfer'!DO_avg_l_mgL</vt:lpstr>
      <vt:lpstr>'Mass Transfer'!DO_avg_sched</vt:lpstr>
      <vt:lpstr>'Mass Transfer'!DO_feas_g</vt:lpstr>
      <vt:lpstr>'Mass Transfer'!DO_feas_l</vt:lpstr>
      <vt:lpstr>Biology!DO_frac_fallback</vt:lpstr>
      <vt:lpstr>Biology!DO_frac_target</vt:lpstr>
      <vt:lpstr>'Mass Transfer'!DO_hs_floor</vt:lpstr>
      <vt:lpstr>Biology!DO_impair</vt:lpstr>
      <vt:lpstr>'Mass Transfer'!DO_impair</vt:lpstr>
      <vt:lpstr>Electrochemistry!DO_lag_ref</vt:lpstr>
      <vt:lpstr>Electrochemistry!DO_lag_ref_chk</vt:lpstr>
      <vt:lpstr>Electrochemistry!DO_lag_tol</vt:lpstr>
      <vt:lpstr>'Mass Transfer'!DO_mf_g</vt:lpstr>
      <vt:lpstr>'Mass Transfer'!DO_mf_l</vt:lpstr>
      <vt:lpstr>Biology!DO_min</vt:lpstr>
      <vt:lpstr>'Mass Transfer'!DO_min</vt:lpstr>
      <vt:lpstr>Biology!DO_opt</vt:lpstr>
      <vt:lpstr>'Mass Transfer'!DO_opt</vt:lpstr>
      <vt:lpstr>'Mass Transfer'!DO_peak_band</vt:lpstr>
      <vt:lpstr>'Mass Transfer'!DO_peak_chk_g</vt:lpstr>
      <vt:lpstr>'Mass Transfer'!DO_peak_chk_l</vt:lpstr>
      <vt:lpstr>'Mass Transfer'!DO_peak_g</vt:lpstr>
      <vt:lpstr>'Mass Transfer'!DO_peak_g_mgL</vt:lpstr>
      <vt:lpstr>'Mass Transfer'!DO_peak_l</vt:lpstr>
      <vt:lpstr>'Mass Transfer'!DO_peak_l_mgL</vt:lpstr>
      <vt:lpstr>'Mass Transfer'!DO_peak_sched</vt:lpstr>
      <vt:lpstr>'Mass Transfer'!DO_ss</vt:lpstr>
      <vt:lpstr>'Mass Transfer'!DO_ss_sawtooth</vt:lpstr>
      <vt:lpstr>'Mass Transfer'!DO_ss_sawtooth_lag</vt:lpstr>
      <vt:lpstr>'Mass Transfer'!DO_ss_vs_min</vt:lpstr>
      <vt:lpstr>'Mass Transfer'!DO_surf_excess</vt:lpstr>
      <vt:lpstr>'Mass Transfer'!DO_surf_excess_g</vt:lpstr>
      <vt:lpstr>'Mass Transfer'!DO_surf_excess_lag</vt:lpstr>
      <vt:lpstr>'Mass Transfer'!DO_target</vt:lpstr>
      <vt:lpstr>Biology!DO_toxic</vt:lpstr>
      <vt:lpstr>'Mass Transfer'!DO_toxic</vt:lpstr>
      <vt:lpstr>'Mass Transfer'!dur_ok</vt:lpstr>
      <vt:lpstr>'Mass Transfer'!duty</vt:lpstr>
      <vt:lpstr>'Mass Transfer'!duty_actual</vt:lpstr>
      <vt:lpstr>'Mass Transfer'!duty_carbon</vt:lpstr>
      <vt:lpstr>'Mass Transfer'!duty_DO</vt:lpstr>
      <vt:lpstr>Biology!duty_H2safe</vt:lpstr>
      <vt:lpstr>'Mass Transfer'!duty_O2vent</vt:lpstr>
      <vt:lpstr>'Mass Transfer'!duty_opt</vt:lpstr>
      <vt:lpstr>'Mass Transfer'!dy_O2_g</vt:lpstr>
      <vt:lpstr>'Mass Transfer'!dy_O2_l</vt:lpstr>
      <vt:lpstr>Chemistry!E_anode_op</vt:lpstr>
      <vt:lpstr>Chemistry!E_Cl_margin</vt:lpstr>
      <vt:lpstr>Chemistry!E_Cl2</vt:lpstr>
      <vt:lpstr>Chemistry!E_Cu_margin</vt:lpstr>
      <vt:lpstr>Chemistry!E_HER</vt:lpstr>
      <vt:lpstr>Chemistry!E_HOCl_Cl</vt:lpstr>
      <vt:lpstr>Chemistry!E_OER</vt:lpstr>
      <vt:lpstr>Chemistry!E_ORR2</vt:lpstr>
      <vt:lpstr>Chemistry!E0_Cl2</vt:lpstr>
      <vt:lpstr>Chemistry!E0_Cu</vt:lpstr>
      <vt:lpstr>Chemistry!E0_HER</vt:lpstr>
      <vt:lpstr>Chemistry!E0_HOCl</vt:lpstr>
      <vt:lpstr>Chemistry!E0_OER</vt:lpstr>
      <vt:lpstr>Chemistry!E0_ORR2</vt:lpstr>
      <vt:lpstr>'Mass Transfer'!Ea_D_CO2</vt:lpstr>
      <vt:lpstr>Electrochemistry!ec_C_H2_sat</vt:lpstr>
      <vt:lpstr>Electrochemistry!ec_corr_I</vt:lpstr>
      <vt:lpstr>Electrochemistry!ec_D_O2</vt:lpstr>
      <vt:lpstr>Electrochemistry!ec_DO_design</vt:lpstr>
      <vt:lpstr>Electrochemistry!ec_DO_lag</vt:lpstr>
      <vt:lpstr>Electrochemistry!ec_E_rev</vt:lpstr>
      <vt:lpstr>Electrochemistry!ec_gap</vt:lpstr>
      <vt:lpstr>Electrochemistry!ec_I_Cl</vt:lpstr>
      <vt:lpstr>Electrochemistry!ec_jbuf_ratio</vt:lpstr>
      <vt:lpstr>Electrochemistry!ec_kappa</vt:lpstr>
      <vt:lpstr>Electrochemistry!ec_O2_ceil</vt:lpstr>
      <vt:lpstr>Electrochemistry!ec_V_L</vt:lpstr>
      <vt:lpstr>Geometry!eff_disp</vt:lpstr>
      <vt:lpstr>Geometry!eff_ID</vt:lpstr>
      <vt:lpstr>Geometry!eff_OD</vt:lpstr>
      <vt:lpstr>Geometry!eff_sub_L</vt:lpstr>
      <vt:lpstr>Geometry!elec_clear</vt:lpstr>
      <vt:lpstr>Geometry!elec_disp</vt:lpstr>
      <vt:lpstr>Geometry!elec_gap</vt:lpstr>
      <vt:lpstr>Geometry!elec_ins</vt:lpstr>
      <vt:lpstr>Geometry!elec_sub_L</vt:lpstr>
      <vt:lpstr>Geometry!elec_sub_L_act</vt:lpstr>
      <vt:lpstr>Electrochemistry!electrode_sel</vt:lpstr>
      <vt:lpstr>Summary!electrode_sel</vt:lpstr>
      <vt:lpstr>ElectrodeList</vt:lpstr>
      <vt:lpstr>Chemistry!eps_T_exp</vt:lpstr>
      <vt:lpstr>Chemistry!eps_water_298</vt:lpstr>
      <vt:lpstr>Electrochemistry!eta_anode</vt:lpstr>
      <vt:lpstr>Chemistry!eta_anode_c</vt:lpstr>
      <vt:lpstr>Electrochemistry!eta_cath</vt:lpstr>
      <vt:lpstr>Electrochemistry!etaF</vt:lpstr>
      <vt:lpstr>Electrochemistry!etaF_calc</vt:lpstr>
      <vt:lpstr>Electrochemistry!etaF_calc_min</vt:lpstr>
      <vt:lpstr>Electrochemistry!etaF_OER</vt:lpstr>
      <vt:lpstr>Electrochemistry!etaF_OER_calc</vt:lpstr>
      <vt:lpstr>Electrochemistry!f_Cl_anode</vt:lpstr>
      <vt:lpstr>Calibrations!F_const</vt:lpstr>
      <vt:lpstr>Electrochemistry!F_const</vt:lpstr>
      <vt:lpstr>'Mass Transfer'!F_gap_g</vt:lpstr>
      <vt:lpstr>'Mass Transfer'!F_gap_l</vt:lpstr>
      <vt:lpstr>Biology!F_gap_l_b</vt:lpstr>
      <vt:lpstr>'Mass Transfer'!F_gap_sched</vt:lpstr>
      <vt:lpstr>Electrochemistry!f_HOOH</vt:lpstr>
      <vt:lpstr>Electrochemistry!f_HOR_anode</vt:lpstr>
      <vt:lpstr>Electrochemistry!f_HOR_lim</vt:lpstr>
      <vt:lpstr>'Mass Transfer'!F_hs_net_g</vt:lpstr>
      <vt:lpstr>'Mass Transfer'!F_hs_net_l</vt:lpstr>
      <vt:lpstr>Chemistry!f_local</vt:lpstr>
      <vt:lpstr>Biology!f_salt_O2</vt:lpstr>
      <vt:lpstr>'Mass Transfer'!F_vent_ex</vt:lpstr>
      <vt:lpstr>Biology!F_vent_ex_b</vt:lpstr>
      <vt:lpstr>Chemistry!Fcc</vt:lpstr>
      <vt:lpstr>Chemistry!FE_CER</vt:lpstr>
      <vt:lpstr>'Mass Transfer'!fit_n</vt:lpstr>
      <vt:lpstr>'Mass Transfer'!fit_n_min</vt:lpstr>
      <vt:lpstr>'Mass Transfer'!fit_St</vt:lpstr>
      <vt:lpstr>'Mass Transfer'!fit_Stt</vt:lpstr>
      <vt:lpstr>'Mass Transfer'!fit_StV</vt:lpstr>
      <vt:lpstr>'Mass Transfer'!fit_SV</vt:lpstr>
      <vt:lpstr>'Mass Transfer'!flowrate_cal</vt:lpstr>
      <vt:lpstr>'Mass Transfer'!flush_factor</vt:lpstr>
      <vt:lpstr>'Mass Transfer'!flush_ret</vt:lpstr>
      <vt:lpstr>'Mass Transfer'!flush_ret_opt</vt:lpstr>
      <vt:lpstr>Biology!flush_ret_opt_b</vt:lpstr>
      <vt:lpstr>'Mass Transfer'!flush_vol</vt:lpstr>
      <vt:lpstr>'Mass Transfer'!flush_vol_opt</vt:lpstr>
      <vt:lpstr>'Mass Transfer'!g_const</vt:lpstr>
      <vt:lpstr>Chemistry!gamma_1</vt:lpstr>
      <vt:lpstr>Chemistry!gamma_2</vt:lpstr>
      <vt:lpstr>Chemistry!gamma_3</vt:lpstr>
      <vt:lpstr>Geometry!geom_check</vt:lpstr>
      <vt:lpstr>Geometry!geom_tol_mL</vt:lpstr>
      <vt:lpstr>Electrochemistry!gerrit_int</vt:lpstr>
      <vt:lpstr>Electrochemistry!gerrit_int_default</vt:lpstr>
      <vt:lpstr>Electrochemistry!gerrit_max</vt:lpstr>
      <vt:lpstr>Electrochemistry!gerrit_min</vt:lpstr>
      <vt:lpstr>Electrochemistry!gerrit_slope</vt:lpstr>
      <vt:lpstr>Electrochemistry!gerrit_slope_default</vt:lpstr>
      <vt:lpstr>Geometry!h_actual</vt:lpstr>
      <vt:lpstr>Biology!H_CO2_T</vt:lpstr>
      <vt:lpstr>Biology!H_CO2ref</vt:lpstr>
      <vt:lpstr>Biology!H_CO2T</vt:lpstr>
      <vt:lpstr>Geometry!h_datum</vt:lpstr>
      <vt:lpstr>Biology!H_H2_T</vt:lpstr>
      <vt:lpstr>Biology!H_H2ref</vt:lpstr>
      <vt:lpstr>Biology!H_H2T</vt:lpstr>
      <vt:lpstr>Biology!H_O2_T</vt:lpstr>
      <vt:lpstr>'Mass Transfer'!H_O2_T</vt:lpstr>
      <vt:lpstr>Biology!H_O2ref</vt:lpstr>
      <vt:lpstr>Biology!H_O2T</vt:lpstr>
      <vt:lpstr>Chemistry!h_ref_DIC</vt:lpstr>
      <vt:lpstr>Biology!H2_cons</vt:lpstr>
      <vt:lpstr>'Mass Transfer'!H2_cons</vt:lpstr>
      <vt:lpstr>Biology!H2_HOR_b</vt:lpstr>
      <vt:lpstr>'Mass Transfer'!H2_HOR_mt</vt:lpstr>
      <vt:lpstr>Biology!H2_LFL</vt:lpstr>
      <vt:lpstr>Biology!H2_safety</vt:lpstr>
      <vt:lpstr>'Mass Transfer'!H2_src_g</vt:lpstr>
      <vt:lpstr>'Mass Transfer'!H2_src_l</vt:lpstr>
      <vt:lpstr>Biology!H2_src_l_b</vt:lpstr>
      <vt:lpstr>'Mass Transfer'!H2_src_sched</vt:lpstr>
      <vt:lpstr>Biology!H2_turnover</vt:lpstr>
      <vt:lpstr>Electrochemistry!H2O2_flag</vt:lpstr>
      <vt:lpstr>Electrochemistry!H2O2_lag_1h</vt:lpstr>
      <vt:lpstr>Electrochemistry!H2O2_ss</vt:lpstr>
      <vt:lpstr>Electrochemistry!H2O2_thresh</vt:lpstr>
      <vt:lpstr>'Mass Transfer'!has_cal</vt:lpstr>
      <vt:lpstr>'Mass Transfer'!HB_a</vt:lpstr>
      <vt:lpstr>'Mass Transfer'!HB_b</vt:lpstr>
      <vt:lpstr>'Mass Transfer'!HB_c</vt:lpstr>
      <vt:lpstr>Chemistry!HCO3_op</vt:lpstr>
      <vt:lpstr>Chemistry!HCO3_ref</vt:lpstr>
      <vt:lpstr>Geometry!headspace_V</vt:lpstr>
      <vt:lpstr>'Mass Transfer'!headspace_V</vt:lpstr>
      <vt:lpstr>'Mass Transfer'!headspace_V_m3</vt:lpstr>
      <vt:lpstr>Chemistry!HOCl_max</vt:lpstr>
      <vt:lpstr>Chemistry!HOCl_ss</vt:lpstr>
      <vt:lpstr>Chemistry!HOCl_ss_mgL</vt:lpstr>
      <vt:lpstr>'Mass Transfer'!holdup</vt:lpstr>
      <vt:lpstr>Chemistry!HPO4_op</vt:lpstr>
      <vt:lpstr>'Mass Transfer'!hs_flush_time</vt:lpstr>
      <vt:lpstr>'Mass Transfer'!hs_H_CO2</vt:lpstr>
      <vt:lpstr>'Mass Transfer'!hs_O2_allow</vt:lpstr>
      <vt:lpstr>'Mass Transfer'!hs_sag</vt:lpstr>
      <vt:lpstr>'Mass Transfer'!hs_sag_chk</vt:lpstr>
      <vt:lpstr>'Mass Transfer'!hs_sag_max</vt:lpstr>
      <vt:lpstr>Electrochemistry!I_app</vt:lpstr>
      <vt:lpstr>Electrochemistry!I_at_gerrit_max</vt:lpstr>
      <vt:lpstr>Chemistry!I_Cl</vt:lpstr>
      <vt:lpstr>Chemistry!I_Cl_FE</vt:lpstr>
      <vt:lpstr>Chemistry!I_Cl_mt</vt:lpstr>
      <vt:lpstr>Electrochemistry!i_HOR_lim</vt:lpstr>
      <vt:lpstr>Chemistry!I_ionic</vt:lpstr>
      <vt:lpstr>Biology!I_ionic_b</vt:lpstr>
      <vt:lpstr>Electrochemistry!I_max</vt:lpstr>
      <vt:lpstr>Chemistry!I_mc02</vt:lpstr>
      <vt:lpstr>Electrochemistry!i_ORR_ceiling</vt:lpstr>
      <vt:lpstr>Electrochemistry!i_ORR_design</vt:lpstr>
      <vt:lpstr>Chemistry!I_udg</vt:lpstr>
      <vt:lpstr>Electrochemistry!I_valid</vt:lpstr>
      <vt:lpstr>Chemistry!Iappc</vt:lpstr>
      <vt:lpstr>Electrochemistry!intensity</vt:lpstr>
      <vt:lpstr>Geometry!interface_A</vt:lpstr>
      <vt:lpstr>'Mass Transfer'!interface_A</vt:lpstr>
      <vt:lpstr>Electrochemistry!j_anode</vt:lpstr>
      <vt:lpstr>Chemistry!j_anode_c</vt:lpstr>
      <vt:lpstr>Electrochemistry!j_anode_max</vt:lpstr>
      <vt:lpstr>Electrochemistry!j_bio_flag</vt:lpstr>
      <vt:lpstr>Chemistry!j_buffer_lim</vt:lpstr>
      <vt:lpstr>Chemistry!j_buffer_ratio</vt:lpstr>
      <vt:lpstr>Electrochemistry!j_cath_flag</vt:lpstr>
      <vt:lpstr>Electrochemistry!j_cathode</vt:lpstr>
      <vt:lpstr>Electrochemistry!j_ceiling_default</vt:lpstr>
      <vt:lpstr>Electrochemistry!j_ceiling_strain</vt:lpstr>
      <vt:lpstr>Electrochemistry!j_flag</vt:lpstr>
      <vt:lpstr>Electrochemistry!j_flag_max</vt:lpstr>
      <vt:lpstr>Electrochemistry!j_mat_flag</vt:lpstr>
      <vt:lpstr>Electrochemistry!j_opt_default</vt:lpstr>
      <vt:lpstr>Electrochemistry!j_opt_strain</vt:lpstr>
      <vt:lpstr>Electrochemistry!j_strain_conf</vt:lpstr>
      <vt:lpstr>Electrochemistry!j0_anode</vt:lpstr>
      <vt:lpstr>Electrochemistry!j0_cath</vt:lpstr>
      <vt:lpstr>Electrochemistry!k_cat_cells</vt:lpstr>
      <vt:lpstr>Chemistry!k_Cl_turn</vt:lpstr>
      <vt:lpstr>'Mass Transfer'!k_eff_CO2</vt:lpstr>
      <vt:lpstr>Electrochemistry!k_geom</vt:lpstr>
      <vt:lpstr>Electrochemistry!k_H2O2_anode</vt:lpstr>
      <vt:lpstr>'Mass Transfer'!k_vent</vt:lpstr>
      <vt:lpstr>Chemistry!k1_NH2Cl</vt:lpstr>
      <vt:lpstr>Chemistry!Ka_HOCl</vt:lpstr>
      <vt:lpstr>Chemistry!Ka_NH4</vt:lpstr>
      <vt:lpstr>Biology!Ka1_carb</vt:lpstr>
      <vt:lpstr>Chemistry!Ka1c</vt:lpstr>
      <vt:lpstr>Chemistry!Ka1c_c</vt:lpstr>
      <vt:lpstr>Chemistry!Ka1p</vt:lpstr>
      <vt:lpstr>Chemistry!Ka1p_c</vt:lpstr>
      <vt:lpstr>Chemistry!Ka2c</vt:lpstr>
      <vt:lpstr>Chemistry!Ka2c_c</vt:lpstr>
      <vt:lpstr>Chemistry!Ka2p</vt:lpstr>
      <vt:lpstr>Chemistry!Ka2p_c</vt:lpstr>
      <vt:lpstr>Chemistry!Ka3p</vt:lpstr>
      <vt:lpstr>Chemistry!Ka3p_c</vt:lpstr>
      <vt:lpstr>Chemistry!KaHOCl_c</vt:lpstr>
      <vt:lpstr>Chemistry!KaN_c</vt:lpstr>
      <vt:lpstr>Chemistry!kappa_fI</vt:lpstr>
      <vt:lpstr>Chemistry!kappa_med</vt:lpstr>
      <vt:lpstr>Chemistry!kappa_TC</vt:lpstr>
      <vt:lpstr>Chemistry!kappa0_mc02</vt:lpstr>
      <vt:lpstr>Chemistry!kappa0_udg</vt:lpstr>
      <vt:lpstr>'Mass Transfer'!kinetic_caveat</vt:lpstr>
      <vt:lpstr>'Mass Transfer'!kL</vt:lpstr>
      <vt:lpstr>'Mass Transfer'!kL_surf</vt:lpstr>
      <vt:lpstr>'Mass Transfer'!kL_surf_crit</vt:lpstr>
      <vt:lpstr>'Mass Transfer'!kLa_avg</vt:lpstr>
      <vt:lpstr>'Mass Transfer'!kLa_CO2_off</vt:lpstr>
      <vt:lpstr>'Mass Transfer'!kLa_margin_g</vt:lpstr>
      <vt:lpstr>'Mass Transfer'!kLa_margin_l</vt:lpstr>
      <vt:lpstr>'Mass Transfer'!kLa_meas</vt:lpstr>
      <vt:lpstr>'Mass Transfer'!kLa_req</vt:lpstr>
      <vt:lpstr>'Mass Transfer'!kLa_sparge</vt:lpstr>
      <vt:lpstr>'Mass Transfer'!kLa_surf</vt:lpstr>
      <vt:lpstr>'Mass Transfer'!kLa_surf_req</vt:lpstr>
      <vt:lpstr>'Mass Transfer'!kLa_surf_req_g</vt:lpstr>
      <vt:lpstr>'Mass Transfer'!kLa_surf_req_l</vt:lpstr>
      <vt:lpstr>'Mass Transfer'!kLa_surf_used</vt:lpstr>
      <vt:lpstr>Chemistry!km_Cl</vt:lpstr>
      <vt:lpstr>Biology!Km_CO2</vt:lpstr>
      <vt:lpstr>Electrochemistry!km_exp</vt:lpstr>
      <vt:lpstr>Chemistry!km_exp_c</vt:lpstr>
      <vt:lpstr>Chemistry!km_HCO3</vt:lpstr>
      <vt:lpstr>Chemistry!km_HPO4</vt:lpstr>
      <vt:lpstr>Electrochemistry!km_O2</vt:lpstr>
      <vt:lpstr>Chemistry!km_O2_c</vt:lpstr>
      <vt:lpstr>Biology!knall_CO2_default</vt:lpstr>
      <vt:lpstr>Biology!knall_H2_default</vt:lpstr>
      <vt:lpstr>Biology!knall_O2_default</vt:lpstr>
      <vt:lpstr>Biology!ks_O2</vt:lpstr>
      <vt:lpstr>Chemistry!Kw_c</vt:lpstr>
      <vt:lpstr>Chemistry!Kw_w</vt:lpstr>
      <vt:lpstr>Electrochemistry!L_sub</vt:lpstr>
      <vt:lpstr>Chemistry!lam_Ca</vt:lpstr>
      <vt:lpstr>Chemistry!lam_Cl</vt:lpstr>
      <vt:lpstr>Chemistry!lam_H2PO4</vt:lpstr>
      <vt:lpstr>Chemistry!lam_HCO3</vt:lpstr>
      <vt:lpstr>Chemistry!lam_HPO4</vt:lpstr>
      <vt:lpstr>Chemistry!lam_K</vt:lpstr>
      <vt:lpstr>Chemistry!lam_Mg</vt:lpstr>
      <vt:lpstr>Chemistry!lam_Na</vt:lpstr>
      <vt:lpstr>Chemistry!lam_NH4</vt:lpstr>
      <vt:lpstr>Chemistry!lam_SO4</vt:lpstr>
      <vt:lpstr>'Mass Transfer'!latest_date</vt:lpstr>
      <vt:lpstr>Summary!led_intensity</vt:lpstr>
      <vt:lpstr>Biology!LOC_margin</vt:lpstr>
      <vt:lpstr>Chemistry!M_Cl2</vt:lpstr>
      <vt:lpstr>'Mass Transfer'!M_CO2</vt:lpstr>
      <vt:lpstr>Electrochemistry!M_H2O2</vt:lpstr>
      <vt:lpstr>Chemistry!M_HOCl</vt:lpstr>
      <vt:lpstr>Chemistry!M_NaHCO3</vt:lpstr>
      <vt:lpstr>'Mass Transfer'!M_O2</vt:lpstr>
      <vt:lpstr>Chemistry!mc_CaSO4_2H2O</vt:lpstr>
      <vt:lpstr>Chemistry!mc_K2SO4</vt:lpstr>
      <vt:lpstr>Chemistry!mc_MgSO4_7H2O</vt:lpstr>
      <vt:lpstr>Chemistry!mc_Na2HPO4</vt:lpstr>
      <vt:lpstr>Chemistry!mc_NaH2PO4_2H2O</vt:lpstr>
      <vt:lpstr>Chemistry!mc_NH42SO4</vt:lpstr>
      <vt:lpstr>Chemistry!media_sel</vt:lpstr>
      <vt:lpstr>Summary!media_sel</vt:lpstr>
      <vt:lpstr>Geometry!media_vol_warn</vt:lpstr>
      <vt:lpstr>Geometry!media_volume</vt:lpstr>
      <vt:lpstr>Summary!media_volume</vt:lpstr>
      <vt:lpstr>MediaList</vt:lpstr>
      <vt:lpstr>'Mass Transfer'!mend_a</vt:lpstr>
      <vt:lpstr>'Mass Transfer'!mend_b</vt:lpstr>
      <vt:lpstr>Chemistry!metal_flag</vt:lpstr>
      <vt:lpstr>Chemistry!metal_leach_rate</vt:lpstr>
      <vt:lpstr>Chemistry!metal_MW</vt:lpstr>
      <vt:lpstr>Chemistry!metal_tox_thresh</vt:lpstr>
      <vt:lpstr>Chemistry!metal_z</vt:lpstr>
      <vt:lpstr>'Mass Transfer'!min_sparge_cal</vt:lpstr>
      <vt:lpstr>Chemistry!MW_CaCl2</vt:lpstr>
      <vt:lpstr>Chemistry!MW_CaSO4_2H2O</vt:lpstr>
      <vt:lpstr>Chemistry!MW_K2SO4</vt:lpstr>
      <vt:lpstr>Chemistry!MW_KH2PO4</vt:lpstr>
      <vt:lpstr>Chemistry!MW_MgSO4_7H2O</vt:lpstr>
      <vt:lpstr>Chemistry!MW_N</vt:lpstr>
      <vt:lpstr>Chemistry!MW_Na2HPO4</vt:lpstr>
      <vt:lpstr>Chemistry!MW_NaH2PO4_2H2O</vt:lpstr>
      <vt:lpstr>Chemistry!MW_NaHCO3</vt:lpstr>
      <vt:lpstr>Chemistry!MW_NH42SO4</vt:lpstr>
      <vt:lpstr>Chemistry!n_cross</vt:lpstr>
      <vt:lpstr>Chemistry!n_e_Cl</vt:lpstr>
      <vt:lpstr>Biology!n_flamm_src</vt:lpstr>
      <vt:lpstr>'Mass Transfer'!n_hs_gas</vt:lpstr>
      <vt:lpstr>Biology!n_hs_gas_b</vt:lpstr>
      <vt:lpstr>Electrochemistry!n_ORR_eff</vt:lpstr>
      <vt:lpstr>'Mass Transfer'!n_pores_active</vt:lpstr>
      <vt:lpstr>Biology!N2_sweep_H2safe</vt:lpstr>
      <vt:lpstr>'Mass Transfer'!nCO2_rate</vt:lpstr>
      <vt:lpstr>Chemistry!nernst_slope</vt:lpstr>
      <vt:lpstr>Chemistry!NH2Cl_hi</vt:lpstr>
      <vt:lpstr>Chemistry!NH2Cl_lo</vt:lpstr>
      <vt:lpstr>Chemistry!NH2Cl_mgL</vt:lpstr>
      <vt:lpstr>Chemistry!NH3_free</vt:lpstr>
      <vt:lpstr>Chemistry!NH3_N</vt:lpstr>
      <vt:lpstr>Chemistry!NT_mc02</vt:lpstr>
      <vt:lpstr>Chemistry!NT_udg</vt:lpstr>
      <vt:lpstr>'Mass Transfer'!O2_accum</vt:lpstr>
      <vt:lpstr>Electrochemistry!O2_cathode_ORR</vt:lpstr>
      <vt:lpstr>Biology!O2_ceil_atm</vt:lpstr>
      <vt:lpstr>Biology!O2_ceil_C</vt:lpstr>
      <vt:lpstr>'Mass Transfer'!O2_ceil_C</vt:lpstr>
      <vt:lpstr>Biology!O2_ceil_Pa</vt:lpstr>
      <vt:lpstr>'Mass Transfer'!O2_ceil_Pa</vt:lpstr>
      <vt:lpstr>Biology!O2_ceil_uM</vt:lpstr>
      <vt:lpstr>Biology!O2_cons</vt:lpstr>
      <vt:lpstr>Biology!O2_excess</vt:lpstr>
      <vt:lpstr>'Mass Transfer'!O2_excess</vt:lpstr>
      <vt:lpstr>Biology!O2_LOC_H2</vt:lpstr>
      <vt:lpstr>Biology!O2_net_gen</vt:lpstr>
      <vt:lpstr>Electrochemistry!O2_net_gen</vt:lpstr>
      <vt:lpstr>'Mass Transfer'!O2_net_gen</vt:lpstr>
      <vt:lpstr>Electrochemistry!O2_net_lag</vt:lpstr>
      <vt:lpstr>'Mass Transfer'!O2_net_lag_mt</vt:lpstr>
      <vt:lpstr>Electrochemistry!O2_ORR_lag</vt:lpstr>
      <vt:lpstr>Summary!O2_phase_sel</vt:lpstr>
      <vt:lpstr>'Mass Transfer'!O2_removal_ratio</vt:lpstr>
      <vt:lpstr>'Mass Transfer'!O2_sizing_phase</vt:lpstr>
      <vt:lpstr>'Mass Transfer'!O2_src_g</vt:lpstr>
      <vt:lpstr>'Mass Transfer'!O2_src_guard</vt:lpstr>
      <vt:lpstr>'Mass Transfer'!O2_src_l</vt:lpstr>
      <vt:lpstr>Biology!O2_src_l_b</vt:lpstr>
      <vt:lpstr>'Mass Transfer'!O2_src_sched</vt:lpstr>
      <vt:lpstr>'Mass Transfer'!O2_strip_pulse</vt:lpstr>
      <vt:lpstr>'Mass Transfer'!od_gap_min_s</vt:lpstr>
      <vt:lpstr>'Mass Transfer'!od_ok</vt:lpstr>
      <vt:lpstr>'Mass Transfer'!opt_binding</vt:lpstr>
      <vt:lpstr>Biology!organism_sel</vt:lpstr>
      <vt:lpstr>Calibrations!organism_sel</vt:lpstr>
      <vt:lpstr>Electrochemistry!organism_sel</vt:lpstr>
      <vt:lpstr>Summary!organism_sel</vt:lpstr>
      <vt:lpstr>OrganismList</vt:lpstr>
      <vt:lpstr>'Mass Transfer'!override_spg_dur_s</vt:lpstr>
      <vt:lpstr>Summary!override_spg_dur_s</vt:lpstr>
      <vt:lpstr>'Mass Transfer'!override_spg_int_min</vt:lpstr>
      <vt:lpstr>Summary!override_spg_int_min</vt:lpstr>
      <vt:lpstr>Biology!P_atm</vt:lpstr>
      <vt:lpstr>Electrochemistry!P_atm</vt:lpstr>
      <vt:lpstr>'Mass Transfer'!P_atm</vt:lpstr>
      <vt:lpstr>Biology!P_atm_set</vt:lpstr>
      <vt:lpstr>Summary!P_atm_set</vt:lpstr>
      <vt:lpstr>Biology!p_CO2_sparge</vt:lpstr>
      <vt:lpstr>'Mass Transfer'!P_dry</vt:lpstr>
      <vt:lpstr>Chemistry!P_HOCl</vt:lpstr>
      <vt:lpstr>'Mass Transfer'!p_sat_w</vt:lpstr>
      <vt:lpstr>Biology!Pa_per_atm</vt:lpstr>
      <vt:lpstr>Electrochemistry!pcet_credit</vt:lpstr>
      <vt:lpstr>Chemistry!pcet_credit_c</vt:lpstr>
      <vt:lpstr>Electrochemistry!pcet_credit_gmax</vt:lpstr>
      <vt:lpstr>Electrochemistry!pcet_credit_op</vt:lpstr>
      <vt:lpstr>'Mass Transfer'!pCO2_air</vt:lpstr>
      <vt:lpstr>Chemistry!pH_band_flag</vt:lpstr>
      <vt:lpstr>Chemistry!pH_band_hi</vt:lpstr>
      <vt:lpstr>Chemistry!pH_band_lo</vt:lpstr>
      <vt:lpstr>Chemistry!pH_Cl</vt:lpstr>
      <vt:lpstr>Biology!pH_CO2_unbuf</vt:lpstr>
      <vt:lpstr>Chemistry!pH_fHOCl</vt:lpstr>
      <vt:lpstr>Chemistry!pH_meas</vt:lpstr>
      <vt:lpstr>Chemistry!pH_NT</vt:lpstr>
      <vt:lpstr>Chemistry!pH_op</vt:lpstr>
      <vt:lpstr>Chemistry!pH_PT</vt:lpstr>
      <vt:lpstr>Chemistry!pH_red_hi</vt:lpstr>
      <vt:lpstr>Chemistry!pH_red_lo</vt:lpstr>
      <vt:lpstr>Chemistry!pH_ref_DIC</vt:lpstr>
      <vt:lpstr>Chemistry!pH_SID</vt:lpstr>
      <vt:lpstr>Chemistry!pH_step</vt:lpstr>
      <vt:lpstr>'Mass Transfer'!phase_name_1</vt:lpstr>
      <vt:lpstr>'Mass Transfer'!phase_name_2</vt:lpstr>
      <vt:lpstr>'Mass Transfer'!phi_hs_g</vt:lpstr>
      <vt:lpstr>'Mass Transfer'!phi_hs_l</vt:lpstr>
      <vt:lpstr>Chemistry!pKa_HOCl</vt:lpstr>
      <vt:lpstr>Chemistry!pKa_NH4</vt:lpstr>
      <vt:lpstr>'Mass Transfer'!pool_a</vt:lpstr>
      <vt:lpstr>'Mass Transfer'!pool_b</vt:lpstr>
      <vt:lpstr>'Mass Transfer'!pool_beta_ratio</vt:lpstr>
      <vt:lpstr>'Mass Transfer'!pool_D_gap</vt:lpstr>
      <vt:lpstr>'Mass Transfer'!pool_D_raw</vt:lpstr>
      <vt:lpstr>'Mass Transfer'!pool_e</vt:lpstr>
      <vt:lpstr>'Mass Transfer'!pool_phi</vt:lpstr>
      <vt:lpstr>'Mass Transfer'!pool_psi</vt:lpstr>
      <vt:lpstr>'Mass Transfer'!pool_ret</vt:lpstr>
      <vt:lpstr>'Mass Transfer'!pool_x</vt:lpstr>
      <vt:lpstr>Calibrations!por_break_1</vt:lpstr>
      <vt:lpstr>Calibrations!por_break_2</vt:lpstr>
      <vt:lpstr>Calibrations!por_break_3</vt:lpstr>
      <vt:lpstr>Calibrations!por_break_4</vt:lpstr>
      <vt:lpstr>Calibrations!por_break_5</vt:lpstr>
      <vt:lpstr>'Mass Transfer'!por_grade</vt:lpstr>
      <vt:lpstr>Electrochemistry!por_grade_e</vt:lpstr>
      <vt:lpstr>'Mass Transfer'!por_pore</vt:lpstr>
      <vt:lpstr>'Mass Transfer'!por0_um</vt:lpstr>
      <vt:lpstr>'Mass Transfer'!por1_um</vt:lpstr>
      <vt:lpstr>'Mass Transfer'!por2_um</vt:lpstr>
      <vt:lpstr>'Mass Transfer'!por3_um</vt:lpstr>
      <vt:lpstr>'Mass Transfer'!por4_um</vt:lpstr>
      <vt:lpstr>'Mass Transfer'!por5_um</vt:lpstr>
      <vt:lpstr>Electrochemistry!power_max</vt:lpstr>
      <vt:lpstr>'Mass Transfer'!psi_hs_g</vt:lpstr>
      <vt:lpstr>'Mass Transfer'!psi_hs_l</vt:lpstr>
      <vt:lpstr>Chemistry!PT_mc02</vt:lpstr>
      <vt:lpstr>Chemistry!PT_udg</vt:lpstr>
      <vt:lpstr>'Mass Transfer'!pulse_floor</vt:lpstr>
      <vt:lpstr>'Mass Transfer'!pulse_floor_default</vt:lpstr>
      <vt:lpstr>'Mass Transfer'!pulse_res</vt:lpstr>
      <vt:lpstr>'Mass Transfer'!pulse_V0</vt:lpstr>
      <vt:lpstr>'Mass Transfer'!pulses_d</vt:lpstr>
      <vt:lpstr>'Mass Transfer'!pulses_h</vt:lpstr>
      <vt:lpstr>Calibrations!pw_A</vt:lpstr>
      <vt:lpstr>'Mass Transfer'!pw_A</vt:lpstr>
      <vt:lpstr>Calibrations!pw_B</vt:lpstr>
      <vt:lpstr>'Mass Transfer'!pw_B</vt:lpstr>
      <vt:lpstr>Calibrations!pw_C</vt:lpstr>
      <vt:lpstr>'Mass Transfer'!pw_C</vt:lpstr>
      <vt:lpstr>'Mass Transfer'!Q_backdraw</vt:lpstr>
      <vt:lpstr>'Mass Transfer'!Q_carry_max</vt:lpstr>
      <vt:lpstr>'Mass Transfer'!Q_CO2</vt:lpstr>
      <vt:lpstr>'Mass Transfer'!Q_CO2_fit</vt:lpstr>
      <vt:lpstr>'Mass Transfer'!Q_vent</vt:lpstr>
      <vt:lpstr>'Mass Transfer'!Q_vent_used</vt:lpstr>
      <vt:lpstr>Electrochemistry!R_cell</vt:lpstr>
      <vt:lpstr>Chemistry!R_chloramine</vt:lpstr>
      <vt:lpstr>Chemistry!R_chloramine_hi</vt:lpstr>
      <vt:lpstr>Chemistry!R_chloramine_lo</vt:lpstr>
      <vt:lpstr>Calibrations!R_gas</vt:lpstr>
      <vt:lpstr>Chemistry!R_gas</vt:lpstr>
      <vt:lpstr>Electrochemistry!R_gas</vt:lpstr>
      <vt:lpstr>'Mass Transfer'!R_gas</vt:lpstr>
      <vt:lpstr>Biology!R_gas_b</vt:lpstr>
      <vt:lpstr>Electrochemistry!r_H2_HOR</vt:lpstr>
      <vt:lpstr>Electrochemistry!r_H2O2</vt:lpstr>
      <vt:lpstr>Electrochemistry!r_H2O2_lag</vt:lpstr>
      <vt:lpstr>Chemistry!r_HCO3_ref</vt:lpstr>
      <vt:lpstr>'Mass Transfer'!Reactor</vt:lpstr>
      <vt:lpstr>Calibrations!Reactor_sel</vt:lpstr>
      <vt:lpstr>Geometry!reactor_sel</vt:lpstr>
      <vt:lpstr>Summary!Reactor_sel</vt:lpstr>
      <vt:lpstr>ReactorList</vt:lpstr>
      <vt:lpstr>ReactorTypeList</vt:lpstr>
      <vt:lpstr>Summary!res_buffer_flag</vt:lpstr>
      <vt:lpstr>Summary!res_carbon_margin</vt:lpstr>
      <vt:lpstr>Summary!res_Cl2</vt:lpstr>
      <vt:lpstr>Summary!res_CO2_uptake</vt:lpstr>
      <vt:lpstr>Summary!res_DO_ss</vt:lpstr>
      <vt:lpstr>Summary!res_E_Cl_margin</vt:lpstr>
      <vt:lpstr>Summary!res_E_Cu_margin</vt:lpstr>
      <vt:lpstr>Summary!res_etaF</vt:lpstr>
      <vt:lpstr>Summary!res_H2O2_flag</vt:lpstr>
      <vt:lpstr>Summary!res_I_mA</vt:lpstr>
      <vt:lpstr>Summary!res_I_max</vt:lpstr>
      <vt:lpstr>Summary!res_j_anode</vt:lpstr>
      <vt:lpstr>Summary!res_j_anode_max</vt:lpstr>
      <vt:lpstr>Summary!res_j_status</vt:lpstr>
      <vt:lpstr>Summary!res_j_status_max</vt:lpstr>
      <vt:lpstr>Summary!res_kLa_req</vt:lpstr>
      <vt:lpstr>Summary!res_pH</vt:lpstr>
      <vt:lpstr>Summary!res_pH_probe</vt:lpstr>
      <vt:lpstr>Summary!res_power_max</vt:lpstr>
      <vt:lpstr>Summary!res_spg_dur</vt:lpstr>
      <vt:lpstr>Summary!res_spg_dur_run</vt:lpstr>
      <vt:lpstr>Summary!res_spg_int</vt:lpstr>
      <vt:lpstr>Summary!res_spg_int_carbon</vt:lpstr>
      <vt:lpstr>Summary!res_spg_int_run</vt:lpstr>
      <vt:lpstr>Summary!res_tip_speed</vt:lpstr>
      <vt:lpstr>Summary!res_V_cell</vt:lpstr>
      <vt:lpstr>Summary!res_V_flag</vt:lpstr>
      <vt:lpstr>Biology!rH2_gen</vt:lpstr>
      <vt:lpstr>Electrochemistry!rH2_gen</vt:lpstr>
      <vt:lpstr>'Mass Transfer'!rH2_gen</vt:lpstr>
      <vt:lpstr>Electrochemistry!rH2_lag</vt:lpstr>
      <vt:lpstr>'Mass Transfer'!rH2_lag_mt</vt:lpstr>
      <vt:lpstr>'Mass Transfer'!rho_0</vt:lpstr>
      <vt:lpstr>'Mass Transfer'!rho_CO2</vt:lpstr>
      <vt:lpstr>'Mass Transfer'!rho_k</vt:lpstr>
      <vt:lpstr>'Mass Transfer'!rho_L</vt:lpstr>
      <vt:lpstr>Electrochemistry!rO2_gen</vt:lpstr>
      <vt:lpstr>Geometry!rod_d</vt:lpstr>
      <vt:lpstr>Geometry!rod_n</vt:lpstr>
      <vt:lpstr>Calibrations!rx_ver</vt:lpstr>
      <vt:lpstr>Geometry!rx_ver</vt:lpstr>
      <vt:lpstr>'Mass Transfer'!S_O2_g</vt:lpstr>
      <vt:lpstr>'Mass Transfer'!S_O2_l</vt:lpstr>
      <vt:lpstr>'Mass Transfer'!s_renew</vt:lpstr>
      <vt:lpstr>'Mass Transfer'!saw_factor</vt:lpstr>
      <vt:lpstr>'Mass Transfer'!sched_bal</vt:lpstr>
      <vt:lpstr>'Mass Transfer'!sched_mode</vt:lpstr>
      <vt:lpstr>'Mass Transfer'!sched_regime</vt:lpstr>
      <vt:lpstr>'Mass Transfer'!sched_valid</vt:lpstr>
      <vt:lpstr>Chemistry!SID_mc02</vt:lpstr>
      <vt:lpstr>Chemistry!SID_udg</vt:lpstr>
      <vt:lpstr>'Mass Transfer'!sigma</vt:lpstr>
      <vt:lpstr>'Mass Transfer'!sigma_0</vt:lpstr>
      <vt:lpstr>'Mass Transfer'!sigma_k</vt:lpstr>
      <vt:lpstr>Geometry!sparge_depth</vt:lpstr>
      <vt:lpstr>'Mass Transfer'!sparger</vt:lpstr>
      <vt:lpstr>Electrochemistry!sparger_e</vt:lpstr>
      <vt:lpstr>Geometry!spg_disp</vt:lpstr>
      <vt:lpstr>'Mass Transfer'!spg_dur</vt:lpstr>
      <vt:lpstr>Biology!spg_dur_b</vt:lpstr>
      <vt:lpstr>'Mass Transfer'!spg_dur_eq</vt:lpstr>
      <vt:lpstr>'Mass Transfer'!spg_dur_eq_opt</vt:lpstr>
      <vt:lpstr>'Mass Transfer'!spg_dur_man</vt:lpstr>
      <vt:lpstr>'Mass Transfer'!spg_dur_opt</vt:lpstr>
      <vt:lpstr>Biology!spg_dur_opt_b</vt:lpstr>
      <vt:lpstr>'Mass Transfer'!spg_dur_run</vt:lpstr>
      <vt:lpstr>Geometry!spg_ID</vt:lpstr>
      <vt:lpstr>'Mass Transfer'!spg_ID</vt:lpstr>
      <vt:lpstr>'Mass Transfer'!spg_int</vt:lpstr>
      <vt:lpstr>'Mass Transfer'!spg_int_carbon</vt:lpstr>
      <vt:lpstr>'Mass Transfer'!spg_int_DO</vt:lpstr>
      <vt:lpstr>Biology!spg_int_H2safe</vt:lpstr>
      <vt:lpstr>Biology!spg_int_H2safe_saw</vt:lpstr>
      <vt:lpstr>'Mass Transfer'!spg_int_man</vt:lpstr>
      <vt:lpstr>'Mass Transfer'!spg_int_max</vt:lpstr>
      <vt:lpstr>'Mass Transfer'!spg_int_opt</vt:lpstr>
      <vt:lpstr>'Mass Transfer'!spg_int_opt_s</vt:lpstr>
      <vt:lpstr>'Mass Transfer'!spg_int_regime</vt:lpstr>
      <vt:lpstr>Geometry!spg_len</vt:lpstr>
      <vt:lpstr>'Mass Transfer'!spg_name_1</vt:lpstr>
      <vt:lpstr>'Mass Transfer'!spg_name_2</vt:lpstr>
      <vt:lpstr>Geometry!spg_OD</vt:lpstr>
      <vt:lpstr>Geometry!spg_tip_h</vt:lpstr>
      <vt:lpstr>'Mass Transfer'!sqrtD_CO2</vt:lpstr>
      <vt:lpstr>Geometry!stir_bar_L</vt:lpstr>
      <vt:lpstr>'Mass Transfer'!stir_len</vt:lpstr>
      <vt:lpstr>'Mass Transfer'!stir_rpm</vt:lpstr>
      <vt:lpstr>Summary!stir_rpm_set</vt:lpstr>
      <vt:lpstr>'Mass Transfer'!strip_avg</vt:lpstr>
      <vt:lpstr>'Mass Transfer'!strip_ratio</vt:lpstr>
      <vt:lpstr>'Mass Transfer'!strip_sparge</vt:lpstr>
      <vt:lpstr>'Mass Transfer'!surf_ratio</vt:lpstr>
      <vt:lpstr>'Mass Transfer'!surf_strip</vt:lpstr>
      <vt:lpstr>Biology!T_C</vt:lpstr>
      <vt:lpstr>'Mass Transfer'!t_contact</vt:lpstr>
      <vt:lpstr>'Mass Transfer'!t_gap_h</vt:lpstr>
      <vt:lpstr>Biology!t_gap_H2_LFL</vt:lpstr>
      <vt:lpstr>Biology!t_gap_O2_LOC</vt:lpstr>
      <vt:lpstr>Biology!t_H2_sat</vt:lpstr>
      <vt:lpstr>Electrochemistry!t_H2O2_thresh</vt:lpstr>
      <vt:lpstr>Biology!T_K</vt:lpstr>
      <vt:lpstr>Electrochemistry!T_K</vt:lpstr>
      <vt:lpstr>'Mass Transfer'!T_K</vt:lpstr>
      <vt:lpstr>'Mass Transfer'!t_O2_ceiling</vt:lpstr>
      <vt:lpstr>'Mass Transfer'!t_O2_ceiling_lag</vt:lpstr>
      <vt:lpstr>'Mass Transfer'!t_O2_ceiling_rem</vt:lpstr>
      <vt:lpstr>'Mass Transfer'!t_O2_ceiling_strip</vt:lpstr>
      <vt:lpstr>'Mass Transfer'!t_off_CO2</vt:lpstr>
      <vt:lpstr>'Mass Transfer'!t_on_CO2</vt:lpstr>
      <vt:lpstr>Biology!T_ref</vt:lpstr>
      <vt:lpstr>Chemistry!T_ref</vt:lpstr>
      <vt:lpstr>'Mass Transfer'!T_ref</vt:lpstr>
      <vt:lpstr>Biology!T_zero_C</vt:lpstr>
      <vt:lpstr>Calibrations!T_zero_C</vt:lpstr>
      <vt:lpstr>'Mass Transfer'!T_zero_C</vt:lpstr>
      <vt:lpstr>'Mass Transfer'!target_DO_frac</vt:lpstr>
      <vt:lpstr>'Mass Transfer'!tau_hs</vt:lpstr>
      <vt:lpstr>'Mass Transfer'!tau_L_h</vt:lpstr>
      <vt:lpstr>Chemistry!tau_NH2Cl</vt:lpstr>
      <vt:lpstr>Chemistry!tau_NH2Cl_hi</vt:lpstr>
      <vt:lpstr>Chemistry!tau_NH2Cl_lo</vt:lpstr>
      <vt:lpstr>'Mass Transfer'!tau_surf_floor</vt:lpstr>
      <vt:lpstr>Summary!temp_C</vt:lpstr>
      <vt:lpstr>'Mass Transfer'!tip_speed</vt:lpstr>
      <vt:lpstr>'Mass Transfer'!tip_speed_max</vt:lpstr>
      <vt:lpstr>'Mass Transfer'!tip_warn</vt:lpstr>
      <vt:lpstr>Chemistry!TKc</vt:lpstr>
      <vt:lpstr>'Mass Transfer'!tube_d_m</vt:lpstr>
      <vt:lpstr>'Mass Transfer'!u_g_max</vt:lpstr>
      <vt:lpstr>'Mass Transfer'!u_rise</vt:lpstr>
      <vt:lpstr>'Mass Transfer'!u_sg</vt:lpstr>
      <vt:lpstr>Chemistry!udg_CaCl2</vt:lpstr>
      <vt:lpstr>Chemistry!udg_KH2PO4</vt:lpstr>
      <vt:lpstr>Chemistry!udg_MgSO4_7H2O</vt:lpstr>
      <vt:lpstr>Chemistry!udg_Na2HPO4</vt:lpstr>
      <vt:lpstr>Chemistry!udg_NaHCO3</vt:lpstr>
      <vt:lpstr>Chemistry!udg_NH42SO4</vt:lpstr>
      <vt:lpstr>Electrochemistry!V_at_gerrit_max</vt:lpstr>
      <vt:lpstr>Electrochemistry!V_cell_est</vt:lpstr>
      <vt:lpstr>Biology!V_charge</vt:lpstr>
      <vt:lpstr>Chemistry!V_charge</vt:lpstr>
      <vt:lpstr>Electrochemistry!V_charge</vt:lpstr>
      <vt:lpstr>Geometry!V_charge</vt:lpstr>
      <vt:lpstr>'Mass Transfer'!V_charge</vt:lpstr>
      <vt:lpstr>Electrochemistry!V_flag</vt:lpstr>
      <vt:lpstr>Electrochemistry!V_gas_total</vt:lpstr>
      <vt:lpstr>Electrochemistry!V_gerrit_flag</vt:lpstr>
      <vt:lpstr>Electrochemistry!V_H2_gen</vt:lpstr>
      <vt:lpstr>Electrochemistry!V_headroom</vt:lpstr>
      <vt:lpstr>Electrochemistry!V_headroom_min</vt:lpstr>
      <vt:lpstr>Geometry!V_inserts</vt:lpstr>
      <vt:lpstr>Electrochemistry!V_IR</vt:lpstr>
      <vt:lpstr>'Mass Transfer'!V_L_CO2</vt:lpstr>
      <vt:lpstr>'Mass Transfer'!V_L_m3</vt:lpstr>
      <vt:lpstr>Geometry!V_max</vt:lpstr>
      <vt:lpstr>Electrochemistry!V_O2_gen</vt:lpstr>
      <vt:lpstr>'Mass Transfer'!v_orifice</vt:lpstr>
      <vt:lpstr>'Mass Transfer'!V_pulse</vt:lpstr>
      <vt:lpstr>Electrochemistry!V_rail</vt:lpstr>
      <vt:lpstr>Geometry!V_vial_total</vt:lpstr>
      <vt:lpstr>'Mass Transfer'!vent_floor_chk</vt:lpstr>
      <vt:lpstr>'Mass Transfer'!vent_model</vt:lpstr>
      <vt:lpstr>Summary!vent_model_sel</vt:lpstr>
      <vt:lpstr>'Mass Transfer'!vent_name_1</vt:lpstr>
      <vt:lpstr>'Mass Transfer'!vent_name_2</vt:lpstr>
      <vt:lpstr>'Mass Transfer'!vent_name_3</vt:lpstr>
      <vt:lpstr>'Mass Transfer'!Vg_CO2</vt:lpstr>
      <vt:lpstr>Geometry!vial_ID</vt:lpstr>
      <vt:lpstr>'Mass Transfer'!vial_ID</vt:lpstr>
      <vt:lpstr>Geometry!vial_OD</vt:lpstr>
      <vt:lpstr>Geometry!vial_wall</vt:lpstr>
      <vt:lpstr>Chemistry!VLc</vt:lpstr>
      <vt:lpstr>'Mass Transfer'!We_orifice</vt:lpstr>
      <vt:lpstr>'Mass Transfer'!We_static_max</vt:lpstr>
      <vt:lpstr>'Mass Transfer'!x_hs_g</vt:lpstr>
      <vt:lpstr>'Mass Transfer'!x_hs_l</vt:lpstr>
      <vt:lpstr>Geometry!xtube_n</vt:lpstr>
      <vt:lpstr>Geometry!xtube_OD</vt:lpstr>
      <vt:lpstr>Geometry!xtube_pro</vt:lpstr>
      <vt:lpstr>'Mass Transfer'!y_CO2_mf</vt:lpstr>
      <vt:lpstr>Biology!y_H2_end_b</vt:lpstr>
      <vt:lpstr>'Mass Transfer'!y_H2_end_l</vt:lpstr>
      <vt:lpstr>Biology!y_H2_hs_lag</vt:lpstr>
      <vt:lpstr>'Mass Transfer'!y_H2_mf_g</vt:lpstr>
      <vt:lpstr>'Mass Transfer'!y_H2_mf_l</vt:lpstr>
      <vt:lpstr>'Mass Transfer'!y_O2_actual</vt:lpstr>
      <vt:lpstr>'Mass Transfer'!y_O2_air</vt:lpstr>
      <vt:lpstr>Biology!y_O2_air_b</vt:lpstr>
      <vt:lpstr>'Mass Transfer'!y_O2_avg_g</vt:lpstr>
      <vt:lpstr>'Mass Transfer'!y_O2_avg_l</vt:lpstr>
      <vt:lpstr>Biology!y_O2_end_b</vt:lpstr>
      <vt:lpstr>'Mass Transfer'!y_O2_end_g</vt:lpstr>
      <vt:lpstr>'Mass Transfer'!y_O2_end_l</vt:lpstr>
      <vt:lpstr>Biology!y_O2_hs_lag</vt:lpstr>
      <vt:lpstr>'Mass Transfer'!y_O2_mf_g</vt:lpstr>
      <vt:lpstr>'Mass Transfer'!y_O2_mf_l</vt:lpstr>
      <vt:lpstr>'Mass Transfer'!y_O2_post_g</vt:lpstr>
      <vt:lpstr>'Mass Transfer'!y_O2_post_l</vt:lpstr>
      <vt:lpstr>'Mass Transfer'!y_O2_star</vt:lpstr>
      <vt:lpstr>Calibrations!z_e_H2</vt:lpstr>
      <vt:lpstr>Electrochemistry!z_e_H2</vt:lpstr>
      <vt:lpstr>Calibrations!z_e_O2</vt:lpstr>
      <vt:lpstr>Electrochemistry!z_e_O2</vt:lpstr>
      <vt:lpstr>Electrochemistry!z_e_ORR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Martin Currie</cp:lastModifiedBy>
  <cp:revision>0</cp:revision>
  <dcterms:created xsi:type="dcterms:W3CDTF">2026-06-05T08:40:06Z</dcterms:created>
  <dcterms:modified xsi:type="dcterms:W3CDTF">2026-10-21T09:23:14Z</dcterms:modified>
  <dc:language>en-US</dc:language>
</cp:coreProperties>
</file>