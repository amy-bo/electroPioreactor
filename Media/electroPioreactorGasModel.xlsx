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BFE8A6AA-1BC9-A14E-9E7B-6C6F3FEBE8B5}" xr6:coauthVersionLast="47" xr6:coauthVersionMax="47" xr10:uidLastSave="{00000000-0000-0000-0000-000000000000}"/>
  <bookViews>
    <workbookView xWindow="2780" yWindow="60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eff" localSheetId="3">Chemistry!$D$145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au_NH2Cl" localSheetId="3">Chemistry!$D$142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Mode="auto"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<sst xmlns="http://schemas.openxmlformats.org/spreadsheetml/2006/main" count="1607" uniqueCount="1174">
  <si>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</si>
  <si>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</si>
  <si>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</si>
  <si>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</si>
  <si>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</si>
  <si>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</si>
  <si>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</si>
  <si>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</si>
  <si>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</si>
  <si>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</si>
  <si>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</si>
  <si>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</si>
  <si>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</si>
  <si>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</si>
  <si>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</si>
  <si>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</si>
  <si>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</si>
  <si>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</si>
  <si>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</si>
  <si>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</si>
  <si>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</si>
  <si>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</si>
  <si>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</si>
  <si>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</si>
  <si>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</si>
  <si>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</si>
  <si>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</si>
  <si>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</si>
  <si>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</si>
  <si>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</si>
  <si>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</si>
  <si>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</si>
  <si>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</si>
  <si>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</si>
  <si>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</si>
  <si>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</si>
  <si>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</si>
  <si>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</si>
  <si>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</si>
  <si>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</si>
  <si>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</si>
  <si>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</si>
  <si>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</si>
  <si>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</si>
  <si>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</si>
  <si>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</si>
  <si>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</si>
  <si>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</si>
  <si>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</si>
  <si>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</si>
  <si>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</si>
  <si>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</si>
  <si>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</si>
  <si>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</si>
  <si>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</si>
  <si>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</si>
  <si>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</si>
  <si>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</si>
  <si>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</si>
  <si>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</si>
  <si>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</si>
  <si>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</si>
  <si>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</si>
  <si>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</si>
  <si>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</si>
  <si>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</si>
  <si>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</si>
  <si>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</si>
  <si>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</si>
  <si>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</si>
  <si>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</si>
  <si>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</si>
  <si>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</si>
  <si>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</si>
  <si>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</si>
  <si>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</si>
  <si>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</si>
  <si>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</si>
  <si>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</si>
  <si>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</si>
  <si>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</si>
  <si>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</si>
  <si>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</si>
  <si>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</si>
  <si>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</si>
  <si>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</si>
  <si>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</si>
  <si>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</si>
  <si>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</si>
  <si>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</si>
  <si>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</si>
  <si>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</si>
  <si>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</si>
  <si>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</si>
  <si>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</si>
  <si>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</si>
  <si>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</si>
  <si>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</si>
  <si>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</si>
  <si>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</si>
  <si>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</si>
  <si>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</si>
  <si>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</si>
  <si>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</si>
  <si>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</si>
  <si>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</si>
  <si>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</si>
  <si>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</si>
  <si>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</si>
  <si>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</si>
  <si>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</si>
  <si>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</si>
  <si>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</si>
  <si>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</si>
  <si>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</si>
  <si>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</si>
  <si>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</si>
  <si>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</si>
  <si>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</si>
  <si>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</si>
  <si>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</si>
  <si>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</si>
  <si>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</si>
  <si>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</si>
  <si>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</si>
  <si>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</si>
  <si>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</si>
  <si>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</si>
  <si>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</si>
  <si>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</si>
  <si>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</si>
  <si>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</si>
  <si>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</si>
  <si>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</si>
  <si>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</si>
  <si>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</si>
  <si>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</si>
  <si>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</si>
  <si>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</si>
  <si>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</si>
  <si>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</si>
  <si>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</si>
  <si>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</si>
  <si>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</si>
  <si>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</si>
  <si>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</si>
  <si>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</si>
  <si>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</si>
  <si>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</si>
  <si>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</si>
  <si>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</si>
  <si>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</si>
  <si>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</si>
  <si>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</si>
  <si>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</si>
  <si>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</si>
  <si>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</si>
  <si>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</si>
  <si>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</si>
  <si>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</si>
  <si>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</si>
  <si>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</si>
  <si>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</si>
  <si>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</si>
  <si>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</si>
  <si>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</si>
  <si>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</si>
  <si>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</si>
  <si>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</si>
  <si>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</si>
  <si>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</si>
  <si>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</si>
  <si>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</si>
  <si>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</si>
  <si>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</si>
  <si>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</si>
  <si>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</si>
  <si>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</si>
  <si>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</si>
  <si>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</si>
  <si>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</si>
  <si>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</si>
  <si>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</si>
  <si>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</si>
  <si>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</si>
  <si>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</si>
  <si>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</si>
  <si>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</si>
  <si>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</si>
  <si>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</si>
  <si>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</si>
  <si>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</si>
  <si>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</si>
  <si>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</si>
  <si>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</si>
  <si>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</si>
  <si>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</si>
  <si>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</si>
  <si>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</si>
  <si>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</si>
  <si>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</si>
  <si>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</si>
  <si>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</si>
  <si>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</si>
  <si>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</si>
  <si>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</si>
  <si>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</si>
  <si>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</si>
  <si>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</si>
  <si>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</si>
  <si>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</si>
  <si>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</si>
  <si>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</si>
  <si>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</si>
  <si>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</si>
  <si>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</si>
  <si>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</si>
  <si>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</si>
  <si>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</si>
  <si>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</si>
  <si>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</si>
  <si>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</si>
  <si>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</si>
  <si>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</si>
  <si>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</si>
  <si>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</si>
  <si>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</si>
  <si>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</si>
  <si>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</si>
  <si>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</si>
  <si>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</si>
  <si>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</si>
  <si>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</si>
  <si>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</si>
  <si>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</si>
  <si>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</si>
  <si>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</si>
  <si>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</si>
  <si>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</si>
  <si>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</si>
  <si>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</si>
  <si>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</si>
  <si>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</si>
  <si>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</si>
  <si>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</si>
  <si>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</si>
  <si>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</si>
  <si>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</si>
  <si>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</si>
  <si>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</si>
  <si>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</si>
  <si>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</si>
  <si>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</si>
  <si>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</si>
  <si>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</si>
  <si>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</si>
  <si>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</si>
  <si>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</si>
  <si>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</si>
  <si>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</si>
  <si>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</si>
  <si>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</si>
  <si>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</si>
  <si>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</si>
  <si>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</si>
  <si>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</si>
  <si>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</si>
  <si>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</si>
  <si>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</si>
  <si>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</si>
  <si>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</si>
  <si>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</si>
  <si>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</si>
  <si>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</si>
  <si>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</si>
  <si>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</si>
  <si>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</si>
  <si>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</si>
  <si>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</si>
  <si>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</si>
  <si>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</si>
  <si>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</si>
  <si>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</si>
  <si>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</si>
  <si>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</si>
  <si>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</si>
  <si>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</si>
  <si>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</si>
  <si>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</si>
  <si>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</si>
  <si>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</si>
  <si>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</si>
  <si>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</si>
  <si>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</si>
  <si>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</si>
  <si>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</si>
  <si>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</si>
  <si>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</si>
  <si>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</si>
  <si>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</si>
  <si>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</si>
  <si>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</si>
  <si>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</si>
  <si>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</si>
  <si>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</si>
  <si>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</si>
  <si>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</si>
  <si>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</si>
  <si>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</si>
  <si>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</si>
  <si>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</si>
  <si>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</si>
  <si>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</si>
  <si>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</si>
  <si>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</si>
  <si>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</si>
  <si>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</si>
  <si>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</si>
  <si>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</si>
  <si>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</si>
  <si>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</si>
  <si>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</si>
  <si>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</si>
  <si>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</si>
  <si>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</si>
  <si>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</si>
  <si>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</si>
  <si>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</si>
  <si>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</si>
  <si>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</si>
  <si>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</si>
  <si>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</si>
  <si>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</si>
  <si>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</si>
  <si>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</si>
  <si>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</si>
  <si>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</si>
  <si>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</si>
  <si>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</si>
  <si>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</si>
  <si>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</si>
  <si>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</si>
  <si>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</si>
  <si>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</si>
  <si>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</si>
  <si>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</si>
  <si>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</si>
  <si>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</si>
  <si>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</si>
  <si>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</si>
  <si>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</si>
  <si>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</si>
  <si>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</si>
  <si>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</si>
  <si>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</si>
  <si>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</si>
  <si>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</si>
  <si>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</si>
  <si>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</si>
  <si>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</si>
  <si>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</si>
  <si>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</si>
  <si>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</si>
  <si>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</si>
  <si>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</si>
  <si>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</si>
  <si>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</si>
  <si>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</si>
  <si>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</si>
  <si>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</si>
  <si>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</si>
  <si>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</si>
  <si>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</si>
  <si>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</si>
  <si>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</si>
  <si>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</si>
  <si>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</si>
  <si>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</si>
  <si>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</si>
  <si>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</si>
  <si>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</si>
  <si>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</si>
  <si>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</si>
  <si>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</si>
  <si>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</si>
  <si>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</si>
  <si>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</si>
  <si>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</si>
  <si>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</si>
  <si>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</si>
  <si>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</si>
  <si>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</si>
  <si>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</si>
  <si>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</si>
  <si>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</si>
  <si>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</si>
  <si>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</si>
  <si>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</si>
  <si>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</si>
  <si>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</si>
  <si>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</si>
  <si>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</si>
  <si>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</si>
  <si>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</si>
  <si>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</si>
  <si>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</si>
  <si>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</si>
  <si>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</si>
  <si>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</si>
  <si>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</si>
  <si>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</si>
  <si>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</si>
  <si>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</si>
  <si>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</si>
  <si>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</si>
  <si>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</si>
  <si>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</si>
  <si>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</si>
  <si>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</si>
  <si>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</si>
  <si>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</si>
  <si>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</si>
  <si>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</si>
  <si>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</si>
  <si>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</si>
  <si>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</si>
  <si>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</si>
  <si>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</si>
  <si>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</si>
  <si>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</si>
  <si>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</si>
  <si>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</si>
  <si>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</si>
  <si>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</si>
  <si>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</si>
  <si>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</si>
  <si>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</si>
  <si>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</si>
  <si>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</si>
  <si>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</si>
  <si>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</si>
  <si>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</si>
  <si>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</si>
  <si>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</si>
  <si>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</si>
  <si>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</si>
  <si>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</si>
  <si>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</si>
  <si>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</si>
  <si>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</si>
  <si>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</si>
  <si>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</si>
  <si>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</si>
  <si>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</si>
  <si>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</si>
  <si>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</si>
  <si>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</si>
  <si>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</si>
  <si>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</si>
  <si>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</si>
  <si>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</si>
  <si>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</si>
  <si>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</si>
  <si>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</si>
  <si>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</si>
  <si>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</si>
  <si>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</si>
  <si>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</si>
  <si>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</si>
  <si>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</si>
  <si>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</si>
  <si>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</si>
  <si>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</si>
  <si>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</si>
  <si>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</si>
  <si>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</si>
  <si>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</si>
  <si>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</si>
  <si>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</si>
  <si>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</si>
  <si>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</si>
  <si>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</si>
  <si>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</si>
  <si>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</si>
  <si>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</si>
  <si>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</si>
  <si>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</si>
  <si>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</si>
  <si>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</si>
  <si>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</si>
  <si>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</si>
  <si>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</si>
  <si>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</si>
  <si>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</si>
  <si>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</si>
  <si>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</si>
  <si>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</si>
  <si>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</si>
  <si>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</si>
  <si>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</si>
  <si>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</si>
  <si>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</si>
  <si>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</si>
  <si>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</si>
  <si>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</si>
  <si>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</si>
  <si>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</si>
  <si>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</si>
  <si>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</si>
  <si>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</si>
  <si>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</si>
  <si>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</si>
  <si>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</si>
  <si>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</si>
  <si>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</si>
  <si>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</si>
  <si>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</si>
  <si>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</si>
  <si>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</si>
  <si>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</si>
  <si>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</si>
  <si>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</si>
  <si>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</si>
  <si>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</si>
  <si>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</si>
  <si>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</si>
  <si>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</si>
  <si>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</si>
  <si>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</si>
  <si>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</si>
  <si>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</si>
  <si>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</si>
  <si>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</si>
  <si>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</si>
  <si>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</si>
  <si>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</si>
  <si>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</si>
  <si>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</si>
  <si>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</si>
  <si>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</si>
  <si>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</si>
  <si>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</si>
  <si>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</si>
  <si>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</si>
  <si>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</si>
  <si>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</si>
  <si>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</si>
  <si>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</si>
  <si>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</si>
  <si>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</si>
  <si>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</si>
  <si>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</si>
  <si>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</si>
  <si>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</si>
  <si>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</si>
  <si>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</si>
  <si>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</si>
  <si>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</si>
  <si>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</si>
  <si>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</si>
  <si>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</si>
  <si>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</si>
  <si>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</si>
  <si>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</si>
  <si>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</si>
  <si>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</si>
  <si>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</si>
  <si>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</si>
  <si>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</si>
  <si>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</si>
  <si>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</si>
  <si>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</si>
  <si>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</si>
  <si>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</si>
  <si>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</si>
  <si>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</si>
  <si>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</si>
  <si>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</si>
  <si>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</si>
  <si>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</si>
  <si>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</si>
  <si>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</si>
  <si>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</si>
  <si>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</si>
  <si>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</si>
  <si>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</si>
  <si>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</si>
  <si>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</si>
  <si>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</si>
  <si>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</si>
  <si>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</si>
  <si>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</si>
  <si>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</si>
  <si>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</si>
  <si>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</si>
  <si>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</si>
  <si>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</si>
  <si>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</si>
  <si>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</si>
  <si>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</si>
  <si>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</si>
  <si>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</si>
  <si>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</si>
  <si>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</si>
  <si>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</si>
  <si>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</si>
  <si>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</si>
  <si>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</si>
  <si>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</si>
  <si>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</si>
  <si>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</si>
  <si>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</si>
  <si>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</si>
  <si>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</si>
  <si>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</si>
  <si>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</si>
  <si>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</si>
  <si>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</si>
  <si>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</si>
  <si>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</si>
  <si>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</si>
  <si>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</si>
  <si>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</si>
  <si>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</si>
  <si>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</si>
  <si>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</si>
  <si>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</si>
  <si>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</si>
  <si>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</si>
  <si>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</si>
  <si>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</si>
  <si>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</si>
  <si>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</si>
  <si>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</si>
  <si>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</si>
  <si>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</si>
  <si>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</si>
  <si>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</si>
  <si>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</si>
  <si>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</si>
  <si>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</si>
  <si>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</si>
  <si>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</si>
  <si>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</si>
  <si>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</si>
  <si>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</si>
  <si>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</si>
  <si>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</si>
  <si>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</si>
  <si>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</si>
  <si>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</si>
  <si>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</si>
  <si>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</si>
  <si>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</si>
  <si>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</si>
  <si>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</si>
  <si>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</si>
  <si>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</si>
  <si>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</si>
  <si>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</si>
  <si>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</si>
  <si>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</si>
  <si>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</si>
  <si>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</si>
  <si>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</si>
  <si>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</si>
  <si>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</si>
  <si>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</si>
  <si>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</si>
  <si>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</si>
  <si>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</si>
  <si>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</si>
  <si>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</si>
  <si>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</si>
  <si>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</si>
  <si>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</si>
  <si>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</si>
  <si>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</si>
  <si>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</si>
  <si>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</si>
  <si>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</si>
  <si>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</si>
  <si>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</si>
  <si>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</si>
  <si>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</si>
  <si>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</si>
  <si>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</si>
  <si>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</si>
  <si>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</si>
  <si>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</si>
  <si>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</si>
  <si>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</si>
  <si>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</si>
  <si>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</si>
  <si>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</si>
  <si>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</si>
  <si>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</si>
  <si>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</si>
  <si>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</si>
  <si>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</si>
  <si>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</si>
  <si>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</si>
  <si>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</si>
  <si>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</si>
  <si>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</si>
  <si>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</si>
  <si>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</si>
  <si>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</si>
  <si>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</si>
  <si>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</si>
  <si>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</si>
  <si>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</si>
  <si>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</si>
  <si>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</si>
  <si>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</si>
  <si>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</si>
  <si>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</si>
  <si>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</si>
  <si>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</si>
  <si>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</si>
  <si>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</si>
  <si>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</si>
  <si>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</si>
  <si>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</si>
  <si>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</si>
  <si>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</si>
  <si>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</si>
  <si>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</si>
  <si>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</si>
  <si>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</si>
  <si>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</si>
  <si>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</si>
  <si>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</si>
  <si>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</si>
  <si>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</si>
  <si>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</si>
  <si>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</si>
  <si>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</si>
  <si>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</si>
  <si>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</si>
  <si>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</si>
  <si>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</si>
  <si>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</si>
  <si>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</si>
  <si>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</si>
  <si>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</si>
  <si>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</si>
  <si>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</si>
  <si>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</si>
  <si>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</si>
  <si>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</si>
  <si>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</si>
  <si>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</si>
  <si>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</si>
  <si>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</si>
  <si>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</si>
  <si>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</si>
  <si>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</si>
  <si>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</si>
  <si>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</si>
  <si>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</si>
  <si>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</si>
  <si>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</si>
  <si>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</si>
  <si>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</si>
  <si>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</si>
  <si>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</si>
  <si>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</si>
  <si>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</si>
  <si>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</si>
  <si>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</si>
  <si>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</si>
  <si>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</si>
  <si>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</si>
  <si>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</si>
  <si>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</si>
  <si>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</si>
  <si>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</si>
  <si>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</si>
  <si>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</si>
  <si>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</si>
  <si>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</si>
  <si>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</si>
  <si>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</si>
  <si>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</si>
  <si>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</si>
  <si>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</si>
  <si>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</si>
  <si>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</si>
  <si>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</si>
  <si>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</si>
  <si>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</si>
  <si>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</si>
  <si>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</si>
  <si>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</si>
  <si>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</si>
  <si>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</si>
  <si>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</si>
  <si>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</si>
  <si>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</si>
  <si>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</si>
  <si>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</si>
  <si>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</si>
  <si>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</si>
  <si>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</si>
  <si>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</si>
  <si>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</si>
  <si>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</si>
  <si>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</si>
  <si>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</si>
  <si>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</si>
  <si>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</si>
  <si>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</si>
  <si>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</si>
  <si>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</si>
  <si>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</si>
  <si>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</si>
  <si>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</si>
  <si>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</si>
  <si>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</si>
  <si>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</si>
  <si>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</si>
  <si>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</si>
  <si>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</si>
  <si>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</si>
  <si>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</si>
  <si>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</si>
  <si>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</si>
  <si>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</si>
  <si>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</si>
  <si>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</si>
  <si>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</si>
  <si>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</si>
  <si>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</si>
  <si>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</si>
  <si>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</si>
  <si>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</si>
  <si>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</si>
  <si>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</si>
  <si>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</si>
  <si>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</si>
  <si>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</si>
  <si>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</si>
  <si>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</si>
  <si>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</si>
  <si>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</si>
  <si>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</si>
  <si>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</si>
  <si>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</si>
  <si>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</si>
  <si>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</si>
  <si>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</si>
  <si>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</si>
  <si>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</si>
  <si>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</si>
  <si>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</si>
  <si>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</si>
  <si>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</si>
  <si>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</si>
  <si>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</si>
  <si>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</si>
  <si>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</si>
  <si>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</si>
  <si>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</si>
  <si>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</si>
  <si>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</si>
  <si>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</si>
  <si>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</si>
  <si>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</si>
  <si>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</si>
  <si>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</si>
  <si>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</si>
  <si>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</si>
  <si>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</si>
  <si>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</si>
  <si>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</si>
  <si>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</si>
  <si>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</si>
  <si>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</si>
  <si>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</si>
  <si>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</si>
  <si>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</si>
  <si>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</si>
  <si>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</si>
  <si>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</si>
  <si>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</si>
  <si>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</si>
  <si>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</si>
  <si>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</si>
  <si>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</si>
  <si>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</si>
  <si>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</si>
  <si>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</si>
  <si>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</si>
  <si>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</si>
  <si>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</si>
  <si>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</si>
  <si>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</si>
  <si>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</si>
  <si>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</si>
  <si>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</si>
  <si>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</si>
  <si>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</si>
  <si>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</si>
  <si>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</si>
  <si>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</si>
  <si>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</si>
  <si>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</si>
  <si>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</si>
  <si>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</si>
  <si>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</si>
  <si>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</si>
  <si>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</si>
  <si>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</si>
  <si>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</si>
  <si>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</si>
  <si>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</si>
  <si>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</si>
  <si>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</si>
  <si>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</si>
  <si>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</si>
  <si>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</si>
  <si>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</si>
  <si>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</si>
  <si>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</si>
  <si>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</si>
  <si>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</si>
  <si>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</si>
  <si>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</si>
  <si>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</si>
  <si>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</si>
  <si>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</si>
  <si>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</si>
  <si>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</si>
  <si>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</si>
  <si>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</si>
  <si>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</si>
  <si>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</si>
  <si>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</si>
  <si>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</si>
  <si>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</si>
  <si>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</si>
  <si>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</si>
  <si>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</si>
  <si>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</si>
  <si>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</si>
  <si>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</si>
  <si>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</si>
  <si>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</si>
  <si>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</si>
  <si>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</si>
  <si>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</si>
  <si>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</si>
  <si>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</si>
  <si>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</si>
  <si>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</si>
  <si>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</si>
  <si>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</si>
  <si>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</si>
  <si>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</si>
  <si>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</si>
  <si>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</si>
  <si>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</si>
  <si>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</si>
  <si>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</si>
  <si>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</si>
  <si>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</si>
  <si>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</si>
  <si>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</si>
  <si>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</si>
  <si>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</si>
  <si>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</si>
  <si>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</si>
  <si>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</si>
  <si>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</si>
  <si>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</si>
  <si>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</si>
  <si>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</si>
  <si>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</si>
  <si>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</si>
  <si>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</si>
  <si>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</si>
  <si>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</si>
  <si>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</si>
  <si>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</si>
  <si>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</si>
  <si>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</si>
  <si>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</si>
  <si>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</si>
  <si>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</si>
  <si>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</si>
  <si>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</si>
  <si>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</si>
  <si>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</si>
  <si>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</si>
  <si>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</si>
  <si>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</si>
  <si>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</si>
  <si>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</si>
  <si>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</si>
  <si>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</si>
  <si>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</si>
  <si>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</si>
  <si>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</si>
  <si>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</si>
  <si>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</si>
  <si>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</si>
  <si>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</si>
  <si>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</si>
  <si>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</si>
  <si>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</si>
  <si>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</si>
  <si>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</si>
  <si>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</si>
  <si>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</si>
  <si>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</si>
  <si>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</si>
  <si>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</si>
  <si>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</si>
  <si>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</si>
  <si>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</si>
  <si>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</si>
  <si>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</si>
  <si>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</si>
  <si>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</si>
  <si>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</si>
  <si>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</si>
  <si>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</si>
  <si>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</si>
  <si>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</si>
  <si>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</si>
  <si>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</si>
  <si>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</si>
  <si>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</si>
  <si>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</si>
  <si>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</si>
  <si>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</si>
  <si>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</si>
  <si>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</si>
  <si>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</si>
  <si>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</si>
  <si>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</si>
  <si>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</si>
  <si>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</si>
  <si>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</si>
  <si>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</si>
  <si>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</si>
  <si>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</si>
  <si>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</si>
  <si>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</si>
  <si>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</si>
  <si>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</si>
  <si>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</si>
  <si>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</si>
  <si>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</si>
  <si>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</si>
  <si>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</si>
  <si>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</si>
  <si>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</si>
  <si>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</si>
  <si>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</si>
  <si>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</si>
  <si>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</si>
  <si>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</si>
  <si>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</si>
  <si>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</si>
  <si>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</si>
  <si>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</si>
  <si>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</si>
  <si>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</si>
  <si>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</si>
  <si>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</si>
  <si>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</si>
  <si>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</si>
  <si>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</si>
  <si>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</si>
  <si>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</si>
  <si>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</si>
  <si>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</si>
  <si>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</si>
  <si>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</si>
  <si>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</si>
  <si>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</si>
  <si>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</si>
  <si>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</si>
  <si>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</si>
  <si>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</si>
  <si>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</si>
  <si>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</si>
  <si>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</si>
  <si>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</si>
  <si>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</si>
  <si>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</si>
  <si>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</si>
  <si>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</si>
  <si>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</si>
  <si>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</si>
  <si>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</si>
  <si>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</si>
  <si>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</si>
  <si>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</si>
  <si>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</si>
  <si>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</si>
  <si>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</si>
  <si>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</si>
  <si>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</si>
  <si>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</si>
  <si>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</si>
  <si>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</si>
  <si>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</si>
  <si>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</si>
  <si>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</si>
  <si>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</si>
  <si>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</si>
  <si>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</si>
  <si>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</si>
  <si>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</si>
  <si>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</si>
  <si>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</si>
  <si>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</si>
  <si>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</si>
  <si>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</si>
  <si>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</si>
  <si>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</si>
  <si>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</si>
  <si>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</si>
  <si>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</si>
  <si>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</si>
  <si>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</si>
  <si>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</si>
  <si>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</si>
  <si>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</si>
  <si>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</si>
  <si>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</si>
  <si>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</si>
  <si>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</si>
  <si>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</si>
  <si>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</si>
  <si>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</si>
  <si>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</si>
  <si>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</si>
  <si>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</si>
  <si>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</si>
  <si>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</si>
  <si>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</si>
  <si>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</si>
  <si>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</si>
  <si>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</si>
  <si>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</si>
  <si>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</si>
  <si>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</si>
  <si>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</si>
  <si>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</si>
  <si>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</si>
  <si>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</si>
  <si>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</si>
  <si>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</si>
  <si>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</si>
  <si>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</si>
  <si>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</si>
  <si>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</si>
  <si>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</si>
  <si>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</si>
  <si>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</si>
  <si>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</si>
  <si>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</si>
  <si>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</si>
  <si>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</si>
  <si>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</si>
  <si>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Your setting (blank → recommended)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</si>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</sst>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0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D16" sqref="D16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995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1087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6"/>
    </row>
    <row r="14" spans="1:7" s="3" customFormat="1" ht="16" customHeight="1" thickBot="1" x14ac:dyDescent="0.25">
      <c r="A14" s="28" t="s">
        <v>1088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06"/>
    </row>
    <row r="16" spans="1:7" x14ac:dyDescent="0.2">
      <c r="A16" s="28" t="s">
        <v>1086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1005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1006</v>
      </c>
    </row>
    <row r="35" spans="1:6" ht="16" thickBot="1" x14ac:dyDescent="0.25">
      <c r="A35" s="90" t="s">
        <v>1007</v>
      </c>
      <c r="C35" s="20"/>
      <c r="D35" s="129">
        <f>Chemistry!$D$103</f>
        <v>6.0708472792648696</v>
      </c>
      <c r="E35" s="23" t="str">
        <f>HYPERLINK("#Chemistry!D103","→ Chemistry")</f>
        <v>→ Chemistry</v>
      </c>
      <c r="F35" s="21" t="s">
        <v>1008</v>
      </c>
    </row>
    <row r="36" spans="1:6" ht="16" thickBot="1" x14ac:dyDescent="0.25">
      <c r="A36" s="90" t="s">
        <v>1168</v>
      </c>
      <c r="C36" s="20" t="s">
        <v>104</v>
      </c>
      <c r="D36" s="129">
        <f>Chemistry!$D$145</f>
        <v>0</v>
      </c>
      <c r="E36" s="23" t="str">
        <f>HYPERLINK("#Chemistry!D139","→ Chemistry")</f>
        <v>→ Chemistry</v>
      </c>
      <c r="F36" s="21" t="s">
        <v>1009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1039</v>
      </c>
      <c r="B58" s="20" t="s">
        <v>1040</v>
      </c>
      <c r="C58" s="20" t="s">
        <v>1041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1042</v>
      </c>
    </row>
    <row r="59" spans="1:6" x14ac:dyDescent="0.2">
      <c r="A59" s="20" t="s">
        <v>1043</v>
      </c>
      <c r="B59" s="20" t="s">
        <v>1044</v>
      </c>
      <c r="C59" s="20" t="s">
        <v>1045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1046</v>
      </c>
    </row>
    <row r="60" spans="1:6" x14ac:dyDescent="0.2">
      <c r="A60" s="20" t="s">
        <v>1047</v>
      </c>
      <c r="B60" s="20" t="s">
        <v>1048</v>
      </c>
      <c r="C60" s="20" t="s">
        <v>1049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1050</v>
      </c>
    </row>
    <row r="61" spans="1:6" x14ac:dyDescent="0.2">
      <c r="A61" s="20" t="s">
        <v>1051</v>
      </c>
      <c r="B61" s="20" t="s">
        <v>1052</v>
      </c>
      <c r="C61" s="20" t="s">
        <v>1053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1054</v>
      </c>
    </row>
    <row r="62" spans="1:6" x14ac:dyDescent="0.2">
      <c r="A62" s="20" t="s">
        <v>1055</v>
      </c>
      <c r="B62" s="20" t="s">
        <v>1056</v>
      </c>
      <c r="C62" s="20" t="s">
        <v>1057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1058</v>
      </c>
    </row>
    <row r="63" spans="1:6" x14ac:dyDescent="0.2">
      <c r="A63" s="20" t="s">
        <v>1059</v>
      </c>
      <c r="B63" s="20" t="s">
        <v>1060</v>
      </c>
      <c r="C63" s="20" t="s">
        <v>1061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1062</v>
      </c>
    </row>
    <row r="64" spans="1:6" x14ac:dyDescent="0.2">
      <c r="A64" s="20" t="s">
        <v>1063</v>
      </c>
      <c r="B64" s="20" t="s">
        <v>1064</v>
      </c>
      <c r="C64" s="20" t="s">
        <v>1065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1066</v>
      </c>
    </row>
    <row r="65" spans="1:6" x14ac:dyDescent="0.2">
      <c r="A65" s="20" t="s">
        <v>1067</v>
      </c>
      <c r="B65" s="20" t="s">
        <v>1068</v>
      </c>
      <c r="C65" s="20" t="s">
        <v>1069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1070</v>
      </c>
    </row>
    <row r="66" spans="1:6" x14ac:dyDescent="0.2">
      <c r="A66" s="20" t="s">
        <v>1071</v>
      </c>
      <c r="B66" s="20" t="s">
        <v>1072</v>
      </c>
      <c r="C66" s="20" t="s">
        <v>1073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1074</v>
      </c>
    </row>
    <row r="67" spans="1:6" x14ac:dyDescent="0.2">
      <c r="A67" s="20" t="s">
        <v>1075</v>
      </c>
      <c r="B67" s="20" t="s">
        <v>1076</v>
      </c>
      <c r="C67" s="20" t="s">
        <v>1077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1078</v>
      </c>
    </row>
    <row r="68" spans="1:6" x14ac:dyDescent="0.2">
      <c r="A68" s="20" t="s">
        <v>1079</v>
      </c>
      <c r="B68" s="20" t="s">
        <v>1080</v>
      </c>
      <c r="C68" s="20" t="s">
        <v>1081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1082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x14ac:dyDescent="0.2">
      <c r="A5" s="17" t="s">
        <v>858</v>
      </c>
      <c r="B5" s="18" t="s">
        <v>859</v>
      </c>
      <c r="C5" s="19" t="s">
        <v>860</v>
      </c>
      <c r="D5" s="64">
        <f>Biology!$D$33/1000</f>
        <v>3.3437250000000002E-2</v>
      </c>
      <c r="E5" s="51" t="s">
        <v>861</v>
      </c>
    </row>
    <row r="6" spans="1:6" x14ac:dyDescent="0.2">
      <c r="A6" s="17" t="s">
        <v>862</v>
      </c>
      <c r="B6" s="18" t="s">
        <v>863</v>
      </c>
      <c r="C6" s="19" t="s">
        <v>864</v>
      </c>
      <c r="D6" s="64">
        <f>Electrochemistry!$D$19</f>
        <v>5.6899999999999997E-3</v>
      </c>
      <c r="E6" s="51" t="s">
        <v>865</v>
      </c>
    </row>
    <row r="7" spans="1:6" x14ac:dyDescent="0.2">
      <c r="A7" s="17" t="s">
        <v>866</v>
      </c>
      <c r="B7" s="18" t="s">
        <v>867</v>
      </c>
      <c r="C7" s="19" t="s">
        <v>868</v>
      </c>
      <c r="D7" s="64">
        <f>Electrochemistry!$D$15</f>
        <v>96485.332120000006</v>
      </c>
      <c r="E7" s="51" t="s">
        <v>869</v>
      </c>
    </row>
    <row r="8" spans="1:6" x14ac:dyDescent="0.2">
      <c r="A8" s="17" t="s">
        <v>870</v>
      </c>
      <c r="B8" s="18" t="s">
        <v>871</v>
      </c>
      <c r="C8" s="19" t="s">
        <v>872</v>
      </c>
      <c r="D8" s="64">
        <f>Biology!$D$6/1000</f>
        <v>1.4999999999999999E-2</v>
      </c>
      <c r="E8" s="51" t="s">
        <v>873</v>
      </c>
    </row>
    <row r="9" spans="1:6" x14ac:dyDescent="0.2">
      <c r="A9" s="17" t="s">
        <v>874</v>
      </c>
      <c r="B9" s="18" t="s">
        <v>875</v>
      </c>
      <c r="C9" s="19" t="s">
        <v>876</v>
      </c>
      <c r="D9" s="52">
        <v>8.3140000000000001</v>
      </c>
      <c r="E9" s="85" t="s">
        <v>877</v>
      </c>
    </row>
    <row r="11" spans="1:6" ht="16" x14ac:dyDescent="0.2">
      <c r="A11" s="110" t="s">
        <v>878</v>
      </c>
      <c r="F11" s="107" t="s">
        <v>879</v>
      </c>
    </row>
    <row r="12" spans="1:6" x14ac:dyDescent="0.2">
      <c r="A12" s="16" t="s">
        <v>880</v>
      </c>
      <c r="B12" s="16" t="s">
        <v>881</v>
      </c>
      <c r="C12" s="16" t="s">
        <v>882</v>
      </c>
      <c r="D12" s="16" t="s">
        <v>883</v>
      </c>
      <c r="E12" s="16" t="s">
        <v>884</v>
      </c>
    </row>
    <row r="13" spans="1:6" x14ac:dyDescent="0.2">
      <c r="A13" s="17" t="s">
        <v>886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885</v>
      </c>
    </row>
    <row r="14" spans="1:6" x14ac:dyDescent="0.2">
      <c r="A14" s="17" t="s">
        <v>887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885</v>
      </c>
    </row>
    <row r="15" spans="1:6" x14ac:dyDescent="0.2">
      <c r="A15" s="17" t="s">
        <v>888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885</v>
      </c>
    </row>
    <row r="16" spans="1:6" x14ac:dyDescent="0.2">
      <c r="A16" s="17" t="s">
        <v>889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885</v>
      </c>
    </row>
    <row r="17" spans="1:6" x14ac:dyDescent="0.2">
      <c r="A17" s="17" t="s">
        <v>1033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885</v>
      </c>
    </row>
    <row r="18" spans="1:6" x14ac:dyDescent="0.2">
      <c r="A18" s="17" t="s">
        <v>890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885</v>
      </c>
    </row>
    <row r="19" spans="1:6" x14ac:dyDescent="0.2">
      <c r="A19" s="17" t="s">
        <v>891</v>
      </c>
      <c r="B19" s="52">
        <v>1E-14</v>
      </c>
      <c r="C19" s="52">
        <v>55.8</v>
      </c>
      <c r="D19" s="64">
        <f t="shared" si="0"/>
        <v>1E-14</v>
      </c>
      <c r="E19" s="85" t="s">
        <v>885</v>
      </c>
    </row>
    <row r="20" spans="1:6" x14ac:dyDescent="0.2">
      <c r="A20" s="17" t="s">
        <v>892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885</v>
      </c>
    </row>
    <row r="21" spans="1:6" x14ac:dyDescent="0.2">
      <c r="A21" s="17" t="s">
        <v>893</v>
      </c>
      <c r="B21" s="18" t="s">
        <v>894</v>
      </c>
      <c r="C21" s="19" t="s">
        <v>895</v>
      </c>
      <c r="D21" s="62">
        <f>-LOG10(Ka_HOCl)</f>
        <v>7.54</v>
      </c>
      <c r="E21" s="51" t="s">
        <v>896</v>
      </c>
    </row>
    <row r="23" spans="1:6" ht="16" x14ac:dyDescent="0.2">
      <c r="A23" s="110" t="s">
        <v>897</v>
      </c>
      <c r="F23" s="107" t="s">
        <v>898</v>
      </c>
    </row>
    <row r="24" spans="1:6" x14ac:dyDescent="0.2">
      <c r="A24" s="16" t="s">
        <v>901</v>
      </c>
      <c r="B24" s="16" t="s">
        <v>902</v>
      </c>
      <c r="C24" s="16" t="s">
        <v>903</v>
      </c>
      <c r="D24" s="16" t="s">
        <v>904</v>
      </c>
      <c r="E24" s="16" t="s">
        <v>905</v>
      </c>
    </row>
    <row r="25" spans="1:6" x14ac:dyDescent="0.2">
      <c r="A25" s="17" t="s">
        <v>906</v>
      </c>
      <c r="B25" s="52">
        <v>136.08600000000001</v>
      </c>
      <c r="C25" s="20">
        <v>0</v>
      </c>
      <c r="D25" s="52">
        <v>2.2999999999999998</v>
      </c>
      <c r="E25" s="51" t="s">
        <v>899</v>
      </c>
    </row>
    <row r="26" spans="1:6" x14ac:dyDescent="0.2">
      <c r="A26" s="17" t="s">
        <v>907</v>
      </c>
      <c r="B26" s="52">
        <v>141.96</v>
      </c>
      <c r="C26" s="52">
        <v>2.895</v>
      </c>
      <c r="D26" s="52">
        <v>2.9</v>
      </c>
      <c r="E26" s="51" t="s">
        <v>900</v>
      </c>
    </row>
    <row r="27" spans="1:6" x14ac:dyDescent="0.2">
      <c r="A27" s="17" t="s">
        <v>908</v>
      </c>
      <c r="B27" s="52">
        <v>156.01</v>
      </c>
      <c r="C27" s="52">
        <v>3.06</v>
      </c>
      <c r="D27" s="20">
        <v>0</v>
      </c>
      <c r="E27" s="51" t="s">
        <v>900</v>
      </c>
    </row>
    <row r="28" spans="1:6" x14ac:dyDescent="0.2">
      <c r="A28" s="17" t="s">
        <v>909</v>
      </c>
      <c r="B28" s="52">
        <v>84.007000000000005</v>
      </c>
      <c r="C28" s="20">
        <v>0</v>
      </c>
      <c r="D28" s="52">
        <v>1.05</v>
      </c>
      <c r="E28" s="51" t="s">
        <v>899</v>
      </c>
    </row>
    <row r="29" spans="1:6" x14ac:dyDescent="0.2">
      <c r="A29" s="17" t="s">
        <v>910</v>
      </c>
      <c r="B29" s="52">
        <v>174.26</v>
      </c>
      <c r="C29" s="52">
        <v>0.17</v>
      </c>
      <c r="D29" s="20">
        <v>0</v>
      </c>
      <c r="E29" s="51" t="s">
        <v>900</v>
      </c>
    </row>
    <row r="30" spans="1:6" x14ac:dyDescent="0.2">
      <c r="A30" s="17" t="s">
        <v>911</v>
      </c>
      <c r="B30" s="52">
        <v>172.17</v>
      </c>
      <c r="C30" s="52">
        <v>9.7000000000000003E-2</v>
      </c>
      <c r="D30" s="20">
        <v>0</v>
      </c>
      <c r="E30" s="51" t="s">
        <v>900</v>
      </c>
    </row>
    <row r="31" spans="1:6" x14ac:dyDescent="0.2">
      <c r="A31" s="17" t="s">
        <v>912</v>
      </c>
      <c r="B31" s="52">
        <v>246.48</v>
      </c>
      <c r="C31" s="52">
        <v>0.8</v>
      </c>
      <c r="D31" s="52">
        <v>0.5</v>
      </c>
      <c r="E31" s="51" t="s">
        <v>900</v>
      </c>
    </row>
    <row r="32" spans="1:6" x14ac:dyDescent="0.2">
      <c r="A32" s="17" t="s">
        <v>913</v>
      </c>
      <c r="B32" s="52">
        <v>132.13999999999999</v>
      </c>
      <c r="C32" s="52">
        <v>0.94299999999999995</v>
      </c>
      <c r="D32" s="52">
        <v>0.47</v>
      </c>
      <c r="E32" s="51" t="s">
        <v>900</v>
      </c>
    </row>
    <row r="33" spans="1:5" ht="24" x14ac:dyDescent="0.2">
      <c r="A33" s="17" t="s">
        <v>914</v>
      </c>
      <c r="B33" s="52">
        <v>110.98</v>
      </c>
      <c r="C33" s="20">
        <v>0</v>
      </c>
      <c r="D33" s="52">
        <v>0.01</v>
      </c>
      <c r="E33" s="51" t="s">
        <v>1093</v>
      </c>
    </row>
    <row r="35" spans="1:5" x14ac:dyDescent="0.2">
      <c r="A35" s="17" t="s">
        <v>915</v>
      </c>
      <c r="B35" s="18" t="s">
        <v>916</v>
      </c>
      <c r="C35" s="19" t="s">
        <v>917</v>
      </c>
      <c r="D35" s="62">
        <f>mc_Na2HPO4/MW_Na2HPO4+mc_NaH2PO4_2H2O/MW_NaH2PO4_2H2O</f>
        <v>4.0007195769523628E-2</v>
      </c>
      <c r="E35" s="51" t="s">
        <v>918</v>
      </c>
    </row>
    <row r="36" spans="1:5" x14ac:dyDescent="0.2">
      <c r="A36" s="17" t="s">
        <v>919</v>
      </c>
      <c r="B36" s="18" t="s">
        <v>920</v>
      </c>
      <c r="C36" s="19" t="s">
        <v>921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922</v>
      </c>
    </row>
    <row r="37" spans="1:5" x14ac:dyDescent="0.2">
      <c r="A37" s="17" t="s">
        <v>923</v>
      </c>
      <c r="B37" s="18" t="s">
        <v>924</v>
      </c>
      <c r="C37" s="19" t="s">
        <v>925</v>
      </c>
      <c r="D37" s="62">
        <f>2*mc_NH42SO4/MW_NH42SO4</f>
        <v>1.4272741032238535E-2</v>
      </c>
      <c r="E37" s="51" t="s">
        <v>926</v>
      </c>
    </row>
    <row r="38" spans="1:5" x14ac:dyDescent="0.2">
      <c r="A38" s="17" t="s">
        <v>927</v>
      </c>
      <c r="B38" s="18" t="s">
        <v>928</v>
      </c>
      <c r="C38" s="19" t="s">
        <v>929</v>
      </c>
      <c r="D38" s="62">
        <f>0</f>
        <v>0</v>
      </c>
      <c r="E38" s="51" t="s">
        <v>930</v>
      </c>
    </row>
    <row r="39" spans="1:5" x14ac:dyDescent="0.2">
      <c r="A39" s="17" t="s">
        <v>931</v>
      </c>
      <c r="B39" s="18" t="s">
        <v>932</v>
      </c>
      <c r="C39" s="19" t="s">
        <v>933</v>
      </c>
      <c r="D39" s="62">
        <f>udg_KH2PO4/MW_KH2PO4+udg_Na2HPO4/MW_Na2HPO4</f>
        <v>3.7329366919026843E-2</v>
      </c>
      <c r="E39" s="51" t="s">
        <v>934</v>
      </c>
    </row>
    <row r="40" spans="1:5" x14ac:dyDescent="0.2">
      <c r="A40" s="17" t="s">
        <v>935</v>
      </c>
      <c r="B40" s="18" t="s">
        <v>936</v>
      </c>
      <c r="C40" s="19" t="s">
        <v>937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938</v>
      </c>
    </row>
    <row r="41" spans="1:5" x14ac:dyDescent="0.2">
      <c r="A41" s="17" t="s">
        <v>939</v>
      </c>
      <c r="B41" s="18" t="s">
        <v>940</v>
      </c>
      <c r="C41" s="19" t="s">
        <v>941</v>
      </c>
      <c r="D41" s="62">
        <f>2*udg_NH42SO4/MW_NH42SO4</f>
        <v>7.1136673225367037E-3</v>
      </c>
      <c r="E41" s="51" t="s">
        <v>942</v>
      </c>
    </row>
    <row r="42" spans="1:5" x14ac:dyDescent="0.2">
      <c r="A42" s="17" t="s">
        <v>943</v>
      </c>
      <c r="B42" s="18" t="s">
        <v>944</v>
      </c>
      <c r="C42" s="19" t="s">
        <v>945</v>
      </c>
      <c r="D42" s="62">
        <f>2*udg_CaCl2/MW_CaCl2</f>
        <v>1.8021265092809516E-4</v>
      </c>
      <c r="E42" s="51" t="s">
        <v>946</v>
      </c>
    </row>
    <row r="44" spans="1:5" x14ac:dyDescent="0.2">
      <c r="A44" s="17" t="s">
        <v>947</v>
      </c>
      <c r="B44" s="18" t="s">
        <v>948</v>
      </c>
      <c r="C44" s="19" t="s">
        <v>949</v>
      </c>
      <c r="D44" s="62">
        <f>IF(Summary!$D$5="MC02",SID_mc02,IF(Summary!$D$5="UdG phosphate",SID_udg,NA()))</f>
        <v>4.6127523207276644E-2</v>
      </c>
      <c r="E44" s="51" t="s">
        <v>950</v>
      </c>
    </row>
    <row r="45" spans="1:5" x14ac:dyDescent="0.2">
      <c r="A45" s="17" t="s">
        <v>951</v>
      </c>
      <c r="B45" s="18" t="s">
        <v>952</v>
      </c>
      <c r="C45" s="19" t="s">
        <v>953</v>
      </c>
      <c r="D45" s="62">
        <f>IF(Summary!$D$5="MC02",PT_mc02,IF(Summary!$D$5="UdG phosphate",PT_udg,NA()))</f>
        <v>4.0007195769523628E-2</v>
      </c>
      <c r="E45" s="51" t="s">
        <v>954</v>
      </c>
    </row>
    <row r="46" spans="1:5" x14ac:dyDescent="0.2">
      <c r="A46" s="17" t="s">
        <v>955</v>
      </c>
      <c r="B46" s="18" t="s">
        <v>956</v>
      </c>
      <c r="C46" s="19" t="s">
        <v>957</v>
      </c>
      <c r="D46" s="62">
        <f>IF(Summary!$D$5="MC02",NT_mc02,IF(Summary!$D$5="UdG phosphate",NT_udg,NA()))</f>
        <v>1.4272741032238535E-2</v>
      </c>
      <c r="E46" s="51" t="s">
        <v>958</v>
      </c>
    </row>
    <row r="47" spans="1:5" x14ac:dyDescent="0.2">
      <c r="A47" s="17" t="s">
        <v>959</v>
      </c>
      <c r="B47" s="18" t="s">
        <v>960</v>
      </c>
      <c r="C47" s="19" t="s">
        <v>961</v>
      </c>
      <c r="D47" s="62">
        <f>IF(Summary!$D$5="MC02",Cl_mc02,IF(Summary!$D$5="UdG phosphate",Cl_udg,NA()))</f>
        <v>0</v>
      </c>
      <c r="E47" s="51" t="s">
        <v>962</v>
      </c>
    </row>
    <row r="49" spans="1:3" x14ac:dyDescent="0.2">
      <c r="A49" s="16" t="s">
        <v>963</v>
      </c>
      <c r="B49" s="16" t="s">
        <v>964</v>
      </c>
      <c r="C49" s="16" t="s">
        <v>965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2.0874624062048423E-2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2.0695962665004713E-2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2.0532645631821684E-2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2.0376266518924033E-2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2.0218684833030565E-2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2.0051631281345267E-2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1.9866292996637152E-2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1.9652861766555167E-2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1.9400024781889909E-2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1.9094373482848061E-2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1.8719701369951561E-2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1.8256155845531651E-2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1.767920197321712E-2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1.6958347204622286E-2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1.6055565345378109E-2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1.4923345039105761E-2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1.3502272558642855E-2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1.1718040406093968E-2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9.4777517382294597E-3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6.6653652728653565E-3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3.1360947436589025E-3</v>
      </c>
      <c r="C70" s="64">
        <f t="shared" si="2"/>
        <v>6.0708472792648696</v>
      </c>
    </row>
    <row r="71" spans="1:3" x14ac:dyDescent="0.2">
      <c r="A71" s="20">
        <v>6.1</v>
      </c>
      <c r="B71" s="64">
        <f t="shared" si="1"/>
        <v>-1.2904616127740953E-3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-6.8387380621257963E-3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-1.3787516718870499E-2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-2.2482608132766504E-2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-3.3352543005210851E-2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-4.692819424853182E-2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-6.386764531861687E-2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-8.4988153413295311E-2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-0.11130770165306031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-0.14409932493270913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-0.18496204030404337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-0.23591277205629452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-0.29950422994063303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-0.37897455836011895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-0.47843613536450541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-0.60311355724869076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-0.75964486243394314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-0.95646560365632072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-1.2043027611486459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-1.5168153664416366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-1.9114323371204927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-2.4104574606330629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-3.0425398421007839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-3.8446501768470562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-4.8647661482019897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-6.1655652619170853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-7.8295679374291032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-9.9663949721734042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-12.723144417541558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-16.29942083120859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966</v>
      </c>
      <c r="B103" s="18" t="s">
        <v>967</v>
      </c>
      <c r="C103" s="19" t="s">
        <v>968</v>
      </c>
      <c r="D103" s="62">
        <f>IF(n_cross=1,SUM(C50:C100),NA())</f>
        <v>6.0708472792648696</v>
      </c>
      <c r="E103" s="51" t="s">
        <v>969</v>
      </c>
      <c r="F103" s="107" t="s">
        <v>970</v>
      </c>
    </row>
    <row r="104" spans="1:7" x14ac:dyDescent="0.2">
      <c r="A104" s="17" t="s">
        <v>971</v>
      </c>
      <c r="B104" s="18" t="s">
        <v>972</v>
      </c>
      <c r="C104" s="19" t="s">
        <v>973</v>
      </c>
      <c r="D104" s="62">
        <f>1/(1+10^(pH_op-pKa_HOCl))</f>
        <v>0.96716420803891789</v>
      </c>
      <c r="E104" s="51" t="s">
        <v>974</v>
      </c>
    </row>
    <row r="105" spans="1:7" ht="36" x14ac:dyDescent="0.2">
      <c r="A105" s="17" t="s">
        <v>1029</v>
      </c>
      <c r="B105" s="18" t="s">
        <v>1030</v>
      </c>
      <c r="C105" s="19" t="s">
        <v>1031</v>
      </c>
      <c r="D105" s="62">
        <f>SUMPRODUCT((B50:B99&gt;=0)*(B51:B100&lt;0))</f>
        <v>1</v>
      </c>
      <c r="E105" s="51" t="s">
        <v>1032</v>
      </c>
      <c r="F105" s="20"/>
    </row>
    <row r="106" spans="1:7" ht="48" x14ac:dyDescent="0.2">
      <c r="A106" s="110" t="s">
        <v>975</v>
      </c>
      <c r="G106" s="69" t="s">
        <v>1034</v>
      </c>
    </row>
    <row r="107" spans="1:7" ht="328" x14ac:dyDescent="0.2">
      <c r="A107" s="17" t="s">
        <v>1089</v>
      </c>
      <c r="B107" s="18" t="s">
        <v>976</v>
      </c>
      <c r="C107" s="19" t="s">
        <v>977</v>
      </c>
      <c r="D107" s="62">
        <f>Iappc/(2*Fcc)*52460*3600/VLc</f>
        <v>371.24490544791416</v>
      </c>
      <c r="E107" s="51" t="s">
        <v>1091</v>
      </c>
      <c r="G107" s="69" t="s">
        <v>1035</v>
      </c>
    </row>
    <row r="108" spans="1:7" ht="284" x14ac:dyDescent="0.2">
      <c r="A108" s="17" t="s">
        <v>978</v>
      </c>
      <c r="B108" s="18" t="s">
        <v>979</v>
      </c>
      <c r="C108" s="19" t="s">
        <v>980</v>
      </c>
      <c r="D108" s="62">
        <f>1/(bleach_rate)*60</f>
        <v>0.16161837945657148</v>
      </c>
      <c r="E108" s="51" t="s">
        <v>981</v>
      </c>
      <c r="G108" s="69" t="s">
        <v>1036</v>
      </c>
    </row>
    <row r="109" spans="1:7" ht="204" x14ac:dyDescent="0.2">
      <c r="A109" s="17" t="s">
        <v>982</v>
      </c>
      <c r="B109" s="18" t="s">
        <v>983</v>
      </c>
      <c r="C109" s="19" t="s">
        <v>984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negligible free chlorine (0.00 mg/L &lt; onset)</v>
      </c>
      <c r="E109" s="51" t="s">
        <v>1167</v>
      </c>
      <c r="G109" s="69" t="s">
        <v>1037</v>
      </c>
    </row>
    <row r="110" spans="1:7" ht="328" x14ac:dyDescent="0.2">
      <c r="A110" s="17" t="s">
        <v>985</v>
      </c>
      <c r="B110" s="18" t="s">
        <v>986</v>
      </c>
      <c r="C110" s="19" t="s">
        <v>987</v>
      </c>
      <c r="D110" s="64" t="str">
        <f>IF(pH_op&lt;6.5,"pH BELOW HOB optimum (&lt;6.5) — reduce CO₂ dose",IF(pH_op&gt;7.5,"pH above optimum (&gt;7.5)","pH in HOB band 6.5–7.5"))</f>
        <v>pH BELOW HOB optimum (&lt;6.5) — reduce CO₂ dose</v>
      </c>
      <c r="E110" s="51" t="s">
        <v>988</v>
      </c>
      <c r="G110" s="69" t="s">
        <v>1038</v>
      </c>
    </row>
    <row r="112" spans="1:7" ht="16" x14ac:dyDescent="0.2">
      <c r="A112" s="110" t="s">
        <v>989</v>
      </c>
    </row>
    <row r="113" spans="1:5" x14ac:dyDescent="0.2">
      <c r="A113" s="16" t="s">
        <v>990</v>
      </c>
      <c r="B113" s="16" t="s">
        <v>991</v>
      </c>
      <c r="C113" s="16" t="s">
        <v>992</v>
      </c>
      <c r="D113" s="16" t="s">
        <v>993</v>
      </c>
      <c r="E113" s="16" t="s">
        <v>994</v>
      </c>
    </row>
    <row r="114" spans="1:5" x14ac:dyDescent="0.2">
      <c r="A114" s="20" t="s">
        <v>995</v>
      </c>
      <c r="B114" s="20" t="s">
        <v>996</v>
      </c>
      <c r="C114" s="62">
        <f>PT_mc02*1000</f>
        <v>40.007195769523626</v>
      </c>
      <c r="D114" s="20" t="s">
        <v>997</v>
      </c>
      <c r="E114" s="20" t="s">
        <v>998</v>
      </c>
    </row>
    <row r="115" spans="1:5" x14ac:dyDescent="0.2">
      <c r="A115" s="20" t="s">
        <v>999</v>
      </c>
      <c r="B115" s="20" t="s">
        <v>1000</v>
      </c>
      <c r="C115" s="62">
        <f>PT_udg*1000</f>
        <v>37.329366919026846</v>
      </c>
      <c r="D115" s="20" t="s">
        <v>1001</v>
      </c>
      <c r="E115" s="20" t="s">
        <v>1002</v>
      </c>
    </row>
    <row r="123" spans="1:5" ht="16" x14ac:dyDescent="0.2">
      <c r="A123" s="110"/>
    </row>
    <row r="125" spans="1:5" ht="36" x14ac:dyDescent="0.2">
      <c r="A125" s="17" t="s">
        <v>1090</v>
      </c>
      <c r="B125" s="18" t="s">
        <v>1003</v>
      </c>
      <c r="C125" s="19" t="s">
        <v>1004</v>
      </c>
      <c r="D125" s="62">
        <f>pH_Cl*pH_fHOCl*52460</f>
        <v>0</v>
      </c>
      <c r="E125" s="51" t="s">
        <v>1092</v>
      </c>
    </row>
    <row r="127" spans="1:5" ht="16" x14ac:dyDescent="0.2">
      <c r="A127" s="110" t="s">
        <v>1097</v>
      </c>
    </row>
    <row r="128" spans="1:5" ht="48" x14ac:dyDescent="0.2">
      <c r="A128" s="17" t="s">
        <v>1098</v>
      </c>
      <c r="B128" s="18" t="s">
        <v>1099</v>
      </c>
      <c r="C128" s="19" t="s">
        <v>1100</v>
      </c>
      <c r="D128" s="52">
        <v>0.5</v>
      </c>
      <c r="E128" s="51" t="s">
        <v>1101</v>
      </c>
    </row>
    <row r="129" spans="1:5" ht="24" x14ac:dyDescent="0.2">
      <c r="A129" s="17" t="s">
        <v>1102</v>
      </c>
      <c r="B129" s="18" t="s">
        <v>1103</v>
      </c>
      <c r="C129" s="19" t="s">
        <v>1104</v>
      </c>
      <c r="D129" s="52">
        <v>3.0000000000000001E-3</v>
      </c>
      <c r="E129" s="51" t="s">
        <v>1105</v>
      </c>
    </row>
    <row r="130" spans="1:5" ht="24" x14ac:dyDescent="0.2">
      <c r="A130" s="17" t="s">
        <v>1106</v>
      </c>
      <c r="B130" s="18" t="s">
        <v>1107</v>
      </c>
      <c r="C130" s="19" t="s">
        <v>1108</v>
      </c>
      <c r="D130" s="52">
        <v>5</v>
      </c>
      <c r="E130" s="51" t="s">
        <v>1109</v>
      </c>
    </row>
    <row r="131" spans="1:5" x14ac:dyDescent="0.2">
      <c r="A131" s="17" t="s">
        <v>1110</v>
      </c>
      <c r="B131" s="18" t="s">
        <v>1111</v>
      </c>
      <c r="C131" s="19" t="s">
        <v>1112</v>
      </c>
      <c r="D131" s="62">
        <f>Iappc*FE_CER</f>
        <v>2.8449999999999999E-3</v>
      </c>
      <c r="E131" s="51" t="s">
        <v>1113</v>
      </c>
    </row>
    <row r="132" spans="1:5" ht="36" x14ac:dyDescent="0.2">
      <c r="A132" s="17" t="s">
        <v>1114</v>
      </c>
      <c r="B132" s="18" t="s">
        <v>1115</v>
      </c>
      <c r="C132" s="19" t="s">
        <v>1112</v>
      </c>
      <c r="D132" s="62">
        <f>Fcc*km_Cl*(pH_Cl/1000)*A_anode</f>
        <v>0</v>
      </c>
      <c r="E132" s="51" t="s">
        <v>1116</v>
      </c>
    </row>
    <row r="133" spans="1:5" x14ac:dyDescent="0.2">
      <c r="A133" s="17" t="s">
        <v>1117</v>
      </c>
      <c r="B133" s="18" t="s">
        <v>1118</v>
      </c>
      <c r="C133" s="19" t="s">
        <v>1112</v>
      </c>
      <c r="D133" s="62">
        <f>MIN(I_Cl_FE,I_Cl_mt)</f>
        <v>0</v>
      </c>
      <c r="E133" s="51" t="s">
        <v>1119</v>
      </c>
    </row>
    <row r="134" spans="1:5" x14ac:dyDescent="0.2">
      <c r="A134" s="17" t="s">
        <v>1120</v>
      </c>
      <c r="B134" s="18" t="s">
        <v>1121</v>
      </c>
      <c r="C134" s="19" t="s">
        <v>1122</v>
      </c>
      <c r="D134" s="62">
        <f>I_Cl/(2*Fcc*VLc)</f>
        <v>0</v>
      </c>
      <c r="E134" s="51" t="s">
        <v>1123</v>
      </c>
    </row>
    <row r="135" spans="1:5" x14ac:dyDescent="0.2">
      <c r="A135" s="17" t="s">
        <v>1124</v>
      </c>
      <c r="B135" s="18" t="s">
        <v>1125</v>
      </c>
      <c r="C135" s="19" t="s">
        <v>1126</v>
      </c>
      <c r="D135" s="62">
        <f>pH_NT*14007</f>
        <v>199.91828363856516</v>
      </c>
      <c r="E135" s="51" t="s">
        <v>1127</v>
      </c>
    </row>
    <row r="136" spans="1:5" ht="36" x14ac:dyDescent="0.2">
      <c r="A136" s="17" t="s">
        <v>1128</v>
      </c>
      <c r="B136" s="18" t="s">
        <v>1129</v>
      </c>
      <c r="C136" s="19" t="s">
        <v>1130</v>
      </c>
      <c r="D136" s="52">
        <v>4200000</v>
      </c>
      <c r="E136" s="51" t="s">
        <v>1131</v>
      </c>
    </row>
    <row r="137" spans="1:5" ht="36" x14ac:dyDescent="0.2">
      <c r="A137" s="17" t="s">
        <v>1132</v>
      </c>
      <c r="B137" s="18" t="s">
        <v>1133</v>
      </c>
      <c r="C137" s="19" t="s">
        <v>1100</v>
      </c>
      <c r="D137" s="52">
        <v>9.25</v>
      </c>
      <c r="E137" s="51" t="s">
        <v>1134</v>
      </c>
    </row>
    <row r="138" spans="1:5" ht="24" x14ac:dyDescent="0.2">
      <c r="A138" s="17" t="s">
        <v>1135</v>
      </c>
      <c r="B138" s="18" t="s">
        <v>1136</v>
      </c>
      <c r="C138" s="19" t="s">
        <v>1137</v>
      </c>
      <c r="D138" s="62">
        <f>pH_NT/(1+10^(pKa_NH4-pH_op))</f>
        <v>9.4420710576766854E-6</v>
      </c>
      <c r="E138" s="51" t="s">
        <v>1138</v>
      </c>
    </row>
    <row r="139" spans="1:5" ht="24" x14ac:dyDescent="0.2">
      <c r="A139" s="17" t="s">
        <v>1139</v>
      </c>
      <c r="B139" s="18" t="s">
        <v>1140</v>
      </c>
      <c r="C139" s="19" t="s">
        <v>1137</v>
      </c>
      <c r="D139" s="62">
        <f>P_HOCl/(k1_NH2Cl*NH3_free)</f>
        <v>0</v>
      </c>
      <c r="E139" s="51" t="s">
        <v>1141</v>
      </c>
    </row>
    <row r="140" spans="1:5" ht="24" x14ac:dyDescent="0.2">
      <c r="A140" s="17" t="s">
        <v>1142</v>
      </c>
      <c r="B140" s="18" t="s">
        <v>1143</v>
      </c>
      <c r="C140" s="19" t="s">
        <v>1126</v>
      </c>
      <c r="D140" s="62">
        <f>HOCl_ss*52460</f>
        <v>0</v>
      </c>
      <c r="E140" s="51" t="s">
        <v>1144</v>
      </c>
    </row>
    <row r="141" spans="1:5" ht="48" x14ac:dyDescent="0.2">
      <c r="A141" s="17" t="s">
        <v>1145</v>
      </c>
      <c r="B141" s="18" t="s">
        <v>1146</v>
      </c>
      <c r="C141" s="19" t="s">
        <v>1100</v>
      </c>
      <c r="D141" s="52">
        <v>10</v>
      </c>
      <c r="E141" s="51" t="s">
        <v>1147</v>
      </c>
    </row>
    <row r="142" spans="1:5" ht="36" x14ac:dyDescent="0.2">
      <c r="A142" s="17" t="s">
        <v>1148</v>
      </c>
      <c r="B142" s="18" t="s">
        <v>1149</v>
      </c>
      <c r="C142" s="19" t="s">
        <v>1150</v>
      </c>
      <c r="D142" s="52">
        <v>1</v>
      </c>
      <c r="E142" s="51" t="s">
        <v>1151</v>
      </c>
    </row>
    <row r="143" spans="1:5" ht="36" x14ac:dyDescent="0.2">
      <c r="A143" s="17" t="s">
        <v>1152</v>
      </c>
      <c r="B143" s="18" t="s">
        <v>1153</v>
      </c>
      <c r="C143" s="19" t="s">
        <v>1126</v>
      </c>
      <c r="D143" s="62">
        <f>MIN(P_HOCl*tau_NH2Cl*3600*52460,5.06*NH3_N)</f>
        <v>0</v>
      </c>
      <c r="E143" s="51" t="s">
        <v>1154</v>
      </c>
    </row>
    <row r="144" spans="1:5" ht="36" x14ac:dyDescent="0.2">
      <c r="A144" s="17" t="s">
        <v>1155</v>
      </c>
      <c r="B144" s="18" t="s">
        <v>1156</v>
      </c>
      <c r="C144" s="19" t="s">
        <v>1100</v>
      </c>
      <c r="D144" s="52">
        <v>25</v>
      </c>
      <c r="E144" s="51" t="s">
        <v>1157</v>
      </c>
    </row>
    <row r="145" spans="1:5" ht="36" x14ac:dyDescent="0.2">
      <c r="A145" s="17" t="s">
        <v>1158</v>
      </c>
      <c r="B145" s="18" t="s">
        <v>1159</v>
      </c>
      <c r="C145" s="19" t="s">
        <v>1126</v>
      </c>
      <c r="D145" s="62">
        <f>f_local*pH_fHOCl*HOCl_ss_mgL+NH2Cl_mgL/R_chloramine</f>
        <v>0</v>
      </c>
      <c r="E145" s="51" t="s">
        <v>1160</v>
      </c>
    </row>
    <row r="146" spans="1:5" ht="36" x14ac:dyDescent="0.2">
      <c r="A146" s="17" t="s">
        <v>1161</v>
      </c>
      <c r="B146" s="18" t="s">
        <v>1162</v>
      </c>
      <c r="C146" s="19" t="s">
        <v>1126</v>
      </c>
      <c r="D146" s="52">
        <v>0.1</v>
      </c>
      <c r="E146" s="51" t="s">
        <v>1163</v>
      </c>
    </row>
    <row r="147" spans="1:5" ht="24" x14ac:dyDescent="0.2">
      <c r="A147" s="17" t="s">
        <v>1164</v>
      </c>
      <c r="B147" s="18" t="s">
        <v>1165</v>
      </c>
      <c r="C147" s="19" t="s">
        <v>1126</v>
      </c>
      <c r="D147" s="52">
        <v>2</v>
      </c>
      <c r="E147" s="51" t="s">
        <v>1166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1083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1084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1085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1026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1027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1170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1171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1172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1096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1028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1095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1094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1173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1010</v>
      </c>
      <c r="B132" s="18" t="s">
        <v>1011</v>
      </c>
      <c r="C132" s="19" t="s">
        <v>1012</v>
      </c>
      <c r="D132" s="28">
        <f>O2_net_gen</f>
        <v>5.3075424911539388E-5</v>
      </c>
      <c r="E132" s="69" t="s">
        <v>1013</v>
      </c>
      <c r="F132" s="20"/>
    </row>
    <row r="133" spans="1:6" ht="24" x14ac:dyDescent="0.2">
      <c r="A133" s="17" t="s">
        <v>1014</v>
      </c>
      <c r="B133" s="18" t="s">
        <v>1015</v>
      </c>
      <c r="C133" s="19" t="s">
        <v>1016</v>
      </c>
      <c r="D133" s="28">
        <f>O2_excess/(kLa_surf_used*3600*(V_charge/1000000))</f>
        <v>4.2885167873123194E-2</v>
      </c>
      <c r="E133" s="69" t="s">
        <v>1017</v>
      </c>
      <c r="F133" s="20"/>
    </row>
    <row r="134" spans="1:6" ht="24" x14ac:dyDescent="0.2">
      <c r="A134" s="20" t="s">
        <v>1018</v>
      </c>
      <c r="B134" s="20" t="s">
        <v>1019</v>
      </c>
      <c r="C134" s="20" t="s">
        <v>1020</v>
      </c>
      <c r="D134" s="28" t="str">
        <f>IF(DO_ss_sawtooth&lt;target_DO_frac*O2_ceil_C,"SURFACE-HELD","SPARGE-NEEDED")</f>
        <v>SURFACE-HELD</v>
      </c>
      <c r="E134" s="69" t="s">
        <v>1021</v>
      </c>
      <c r="F134" s="20"/>
    </row>
    <row r="135" spans="1:6" ht="36" x14ac:dyDescent="0.2">
      <c r="A135" s="20" t="s">
        <v>1022</v>
      </c>
      <c r="B135" s="20" t="s">
        <v>1023</v>
      </c>
      <c r="C135" s="20" t="s">
        <v>1024</v>
      </c>
      <c r="D135" s="28">
        <f>O2_net_gen/(kLa_surf_used*3600*(V_charge/1000000))</f>
        <v>0.12865550361936959</v>
      </c>
      <c r="E135" s="69" t="s">
        <v>1025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332</vt:i4>
      </vt:variant>
    </vt:vector>
  </HeadingPairs>
  <TitlesOfParts>
    <vt:vector size="33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Chemistry!C_eff</vt:lpstr>
      <vt:lpstr>Biology!C_H2_sat</vt:lpstr>
      <vt:lpstr>'Mass Transfer'!cal_warning</vt:lpstr>
      <vt:lpstr>'Mass Transfer'!carbon_margin_min</vt:lpstr>
      <vt:lpstr>'Mass Transfer'!carry_flag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Chemistry!tau_NH2Cl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2026-06-26T15:20:20Z</dcterms:modified>
  <dc:language>en-US</dc:language>
</cp:coreProperties>
</file>