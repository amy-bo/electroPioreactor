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xr:revisionPtr revIDLastSave="0" documentId="13_ncr:1_{96CC8FD1-785B-AC4D-8121-CAB29CA67389}" xr6:coauthVersionLast="47" xr6:coauthVersionMax="47" xr10:uidLastSave="{00000000-0000-0000-0000-000000000000}"/>
  <bookViews>
    <workbookView xWindow="4720" yWindow="9920" windowWidth="25160" windowHeight="18060" tabRatio="500" xr2:uid="{00000000-000D-0000-FFFF-FFFF00000000}"/>
  </bookViews>
  <sheets>
    <sheet name="Summary" sheetId="1" r:id="rId1"/>
    <sheet name="Geometry" sheetId="2" r:id="rId2"/>
    <sheet name="Electrochemistry" sheetId="3" r:id="rId3"/>
    <sheet name="Chemistry" sheetId="7" r:id="rId4"/>
    <sheet name="Biology" sheetId="4" r:id="rId5"/>
    <sheet name="Mass Transfer" sheetId="5" r:id="rId6"/>
    <sheet name="CO2 flows" sheetId="6" r:id="rId7"/>
    <sheet name="Calibrations" sheetId="8" r:id="rId8"/>
  </sheets>
  <definedNames>
    <definedName name="A_anode" localSheetId="3">Chemistry!$D$130</definedName>
    <definedName name="A_anode_wet" localSheetId="2">Electrochemistry!$D$46</definedName>
    <definedName name="A_cath_wet" localSheetId="2">Electrochemistry!$D$47</definedName>
    <definedName name="A_DH" localSheetId="3">Chemistry!$D$186</definedName>
    <definedName name="a_int" localSheetId="5">'Mass Transfer'!$D$49</definedName>
    <definedName name="a_surf" localSheetId="5">'Mass Transfer'!$D$71</definedName>
    <definedName name="A_x" localSheetId="1">Geometry!$D$21</definedName>
    <definedName name="A_x" localSheetId="5">'Mass Transfer'!$D$17</definedName>
    <definedName name="anode_dia" localSheetId="2">Electrochemistry!$D$42</definedName>
    <definedName name="anode_j_cont" localSheetId="2">Electrochemistry!$D$50</definedName>
    <definedName name="anode_j_max" localSheetId="2">Electrochemistry!$D$51</definedName>
    <definedName name="anode_material" localSheetId="2">Electrochemistry!$D$63</definedName>
    <definedName name="anode_shape" localSheetId="2">Electrochemistry!$D$41</definedName>
    <definedName name="b_anode" localSheetId="2">Electrochemistry!$D$107</definedName>
    <definedName name="b_cath" localSheetId="2">Electrochemistry!$D$109</definedName>
    <definedName name="bio_CO2" localSheetId="4">Biology!$D$12</definedName>
    <definedName name="bio_H2" localSheetId="4">Biology!$D$10</definedName>
    <definedName name="bio_O2" localSheetId="4">Biology!$D$11</definedName>
    <definedName name="bleach_flag" localSheetId="3">Chemistry!$D$109</definedName>
    <definedName name="bleach_rate" localSheetId="3">Chemistry!$D$107</definedName>
    <definedName name="bleach_t1ppm" localSheetId="3">Chemistry!$D$108</definedName>
    <definedName name="bubble_regime" localSheetId="5">'Mass Transfer'!$D$64</definedName>
    <definedName name="buffer_flag" localSheetId="3">Chemistry!$D$219</definedName>
    <definedName name="C_air_CO2" localSheetId="5">'Mass Transfer'!$D$146</definedName>
    <definedName name="C_cycle_peak" localSheetId="5">'Mass Transfer'!$D$199</definedName>
    <definedName name="C_cycle_start" localSheetId="5">'Mass Transfer'!$D$198</definedName>
    <definedName name="C_eff" localSheetId="3">Chemistry!$D$145</definedName>
    <definedName name="C_eff_Cl2" localSheetId="3">Chemistry!$D$226</definedName>
    <definedName name="C_eff_hi" localSheetId="3">Chemistry!$D$157</definedName>
    <definedName name="C_eff_lo" localSheetId="3">Chemistry!$D$156</definedName>
    <definedName name="C_H2_sat" localSheetId="4">Biology!$D$41</definedName>
    <definedName name="C_sat_CO2" localSheetId="5">'Mass Transfer'!$D$145</definedName>
    <definedName name="cal_Dint">Calibrations!$D$75</definedName>
    <definedName name="cal_DO_impair">Calibrations!$D$105</definedName>
    <definedName name="cal_DO_min">Calibrations!$D$103</definedName>
    <definedName name="cal_DO_opt">Calibrations!$D$104</definedName>
    <definedName name="cal_DO_toxic">Calibrations!$D$106</definedName>
    <definedName name="cal_etaF">Calibrations!$D$31</definedName>
    <definedName name="cal_etaF_OER">Calibrations!$D$32</definedName>
    <definedName name="cal_flow">Calibrations!$D$60</definedName>
    <definedName name="cal_gerrit_int">Calibrations!$D$17</definedName>
    <definedName name="cal_gerrit_slope">Calibrations!$D$16</definedName>
    <definedName name="cal_j_ceiling">Calibrations!$D$137</definedName>
    <definedName name="cal_j_opt">Calibrations!$D$136</definedName>
    <definedName name="cal_kLa">Calibrations!$D$46</definedName>
    <definedName name="cal_knall_CO2">Calibrations!$D$122</definedName>
    <definedName name="cal_knall_H2">Calibrations!$D$120</definedName>
    <definedName name="cal_knall_O2">Calibrations!$D$121</definedName>
    <definedName name="cal_sinter">Calibrations!$D$89</definedName>
    <definedName name="cal_Vtot">Calibrations!$D$74</definedName>
    <definedName name="cal_warning" localSheetId="5">'Mass Transfer'!$D$120</definedName>
    <definedName name="carbon_margin_min" localSheetId="5">'Mass Transfer'!$D$85</definedName>
    <definedName name="carry_flag" localSheetId="5">'Mass Transfer'!$D$59</definedName>
    <definedName name="cath_j_cont" localSheetId="2">Electrochemistry!$D$52</definedName>
    <definedName name="cath_j_max" localSheetId="2">Electrochemistry!$D$53</definedName>
    <definedName name="cathode_dia" localSheetId="2">Electrochemistry!$D$44</definedName>
    <definedName name="cathode_shape" localSheetId="2">Electrochemistry!$D$43</definedName>
    <definedName name="Cl_kill" localSheetId="3">Chemistry!$D$147</definedName>
    <definedName name="Cl_mc02" localSheetId="3">Chemistry!$D$38</definedName>
    <definedName name="Cl_onset" localSheetId="3">Chemistry!$D$146</definedName>
    <definedName name="cl_per_N" localSheetId="3">Chemistry!$D$224</definedName>
    <definedName name="Cl_pool_mgL" localSheetId="3">Chemistry!$D$149</definedName>
    <definedName name="Cl_udg" localSheetId="3">Chemistry!$D$42</definedName>
    <definedName name="CO2_carbon_margin" localSheetId="4">Biology!$D$35</definedName>
    <definedName name="CO2_cons" localSheetId="4">Biology!$D$15</definedName>
    <definedName name="CO2_cons" localSheetId="5">'Mass Transfer'!$D$10</definedName>
    <definedName name="CO2_cyc_avg_new" localSheetId="5">'Mass Transfer'!$D$200</definedName>
    <definedName name="CO2_diss" localSheetId="4">Biology!$D$33</definedName>
    <definedName name="CO2_pulse" localSheetId="5">'Mass Transfer'!$D$123</definedName>
    <definedName name="CO2_rate_full" localSheetId="5">'Mass Transfer'!$D$178</definedName>
    <definedName name="CO2_sd_ratio" localSheetId="5">'Mass Transfer'!$D$126</definedName>
    <definedName name="CO2_supply" localSheetId="5">'Mass Transfer'!$D$100</definedName>
    <definedName name="CO2aqc" localSheetId="3">Chemistry!$D$5</definedName>
    <definedName name="CO2aqc_ss" localSheetId="5">'Mass Transfer'!$D$162</definedName>
    <definedName name="corr_I_frac" localSheetId="3">Chemistry!$D$158</definedName>
    <definedName name="d_bubble" localSheetId="5">'Mass Transfer'!$D$42</definedName>
    <definedName name="d_bubble_mm" localSheetId="5">'Mass Transfer'!$D$43</definedName>
    <definedName name="D_CO2" localSheetId="5">'Mass Transfer'!$D$138</definedName>
    <definedName name="D_CO2_ref" localSheetId="5">'Mass Transfer'!$D$174</definedName>
    <definedName name="D_HPO4" localSheetId="3">Chemistry!$D$214</definedName>
    <definedName name="D_int" localSheetId="1">Geometry!$D$22</definedName>
    <definedName name="D_O2" localSheetId="5">'Mass Transfer'!$D$32</definedName>
    <definedName name="d_orifice" localSheetId="5">'Mass Transfer'!$D$41</definedName>
    <definedName name="delta_diff" localSheetId="3">Chemistry!$D$215</definedName>
    <definedName name="depth_warn" localSheetId="1">Geometry!$D$55</definedName>
    <definedName name="disp_tot" localSheetId="1">Geometry!$D$40</definedName>
    <definedName name="DO_frac_fallback" localSheetId="4">Biology!$D$61</definedName>
    <definedName name="DO_frac_target" localSheetId="4">Biology!$D$60</definedName>
    <definedName name="DO_hs_floor" localSheetId="5">'Mass Transfer'!$D$188</definedName>
    <definedName name="DO_impair" localSheetId="4">Biology!$D$47</definedName>
    <definedName name="DO_impair" localSheetId="5">'Mass Transfer'!$D$23</definedName>
    <definedName name="DO_min" localSheetId="4">Biology!$D$45</definedName>
    <definedName name="DO_min" localSheetId="5">'Mass Transfer'!$D$25</definedName>
    <definedName name="DO_opt" localSheetId="4">Biology!$D$46</definedName>
    <definedName name="DO_opt" localSheetId="5">'Mass Transfer'!$D$22</definedName>
    <definedName name="DO_ss" localSheetId="5">'Mass Transfer'!$D$108</definedName>
    <definedName name="DO_ss_sawtooth" localSheetId="5">'Mass Transfer'!$D$133</definedName>
    <definedName name="DO_ss_sawtooth_lag" localSheetId="5">'Mass Transfer'!$D$135</definedName>
    <definedName name="DO_ss_vs_min" localSheetId="5">'Mass Transfer'!$D$110</definedName>
    <definedName name="DO_surf_excess" localSheetId="5">'Mass Transfer'!$D$180</definedName>
    <definedName name="DO_surf_excess_lag" localSheetId="5">'Mass Transfer'!$D$181</definedName>
    <definedName name="DO_target" localSheetId="5">'Mass Transfer'!$D$179</definedName>
    <definedName name="DO_toxic" localSheetId="4">Biology!$D$48</definedName>
    <definedName name="DO_toxic" localSheetId="5">'Mass Transfer'!$D$24</definedName>
    <definedName name="dur_ok" localSheetId="5">'Mass Transfer'!$D$130</definedName>
    <definedName name="duty" localSheetId="5">'Mass Transfer'!$D$105</definedName>
    <definedName name="duty_actual" localSheetId="5">'Mass Transfer'!$D$93</definedName>
    <definedName name="duty_carbon" localSheetId="5">'Mass Transfer'!$D$86</definedName>
    <definedName name="duty_DO" localSheetId="5">'Mass Transfer'!$D$184</definedName>
    <definedName name="duty_O2vent" localSheetId="5">'Mass Transfer'!$D$87</definedName>
    <definedName name="duty_opt" localSheetId="5">'Mass Transfer'!$D$88</definedName>
    <definedName name="E_Cl_margin" localSheetId="3">Chemistry!$D$209</definedName>
    <definedName name="E_Cl2" localSheetId="3">Chemistry!$D$208</definedName>
    <definedName name="E_Cu_margin" localSheetId="3">Chemistry!$D$211</definedName>
    <definedName name="E_HER" localSheetId="3">Chemistry!$D$207</definedName>
    <definedName name="E_OER" localSheetId="3">Chemistry!$D$206</definedName>
    <definedName name="E_ORR2" localSheetId="3">Chemistry!$D$210</definedName>
    <definedName name="E0_Cl2" localSheetId="3">Chemistry!$D$203</definedName>
    <definedName name="E0_Cu" localSheetId="3">Chemistry!$D$205</definedName>
    <definedName name="E0_HER" localSheetId="3">Chemistry!$D$202</definedName>
    <definedName name="E0_OER" localSheetId="3">Chemistry!$D$201</definedName>
    <definedName name="E0_ORR2" localSheetId="3">Chemistry!$D$204</definedName>
    <definedName name="Ea_D_CO2" localSheetId="5">'Mass Transfer'!$D$175</definedName>
    <definedName name="ec_corr_I" localSheetId="2">Electrochemistry!$D$102</definedName>
    <definedName name="ec_D_O2" localSheetId="2">Electrochemistry!$D$81</definedName>
    <definedName name="ec_DO_design" localSheetId="2">Electrochemistry!$D$85</definedName>
    <definedName name="ec_DO_frac" localSheetId="2">Electrochemistry!$D$79</definedName>
    <definedName name="ec_E_rev" localSheetId="2">Electrochemistry!$D$106</definedName>
    <definedName name="ec_gap" localSheetId="2">Electrochemistry!$D$115</definedName>
    <definedName name="ec_I_Cl" localSheetId="2">Electrochemistry!$D$101</definedName>
    <definedName name="ec_kappa" localSheetId="2">Electrochemistry!$D$114</definedName>
    <definedName name="ec_O2_ceil" localSheetId="2">Electrochemistry!$D$80</definedName>
    <definedName name="ec_V_L" localSheetId="2">Electrochemistry!$D$82</definedName>
    <definedName name="eff_disp" localSheetId="1">Geometry!$D$39</definedName>
    <definedName name="eff_ID" localSheetId="1">Geometry!$D$34</definedName>
    <definedName name="eff_OD" localSheetId="1">Geometry!$D$33</definedName>
    <definedName name="eff_sub_L" localSheetId="1">Geometry!$D$38</definedName>
    <definedName name="elec_clear" localSheetId="1">Geometry!$D$28</definedName>
    <definedName name="elec_disp" localSheetId="1">Geometry!$D$36</definedName>
    <definedName name="elec_gap" localSheetId="1">Geometry!$D$92</definedName>
    <definedName name="elec_ins" localSheetId="1">Geometry!$D$29</definedName>
    <definedName name="elec_sub_L" localSheetId="1">Geometry!$D$35</definedName>
    <definedName name="elec_sub_L_act" localSheetId="1">Geometry!$D$93</definedName>
    <definedName name="electrode_sel" localSheetId="2">Electrochemistry!$D$8</definedName>
    <definedName name="electrode_sel" localSheetId="0">Summary!$D$3</definedName>
    <definedName name="ElectrodeList">Electrochemistry!$A$35:$A$38</definedName>
    <definedName name="eta_anode" localSheetId="2">Electrochemistry!$D$111</definedName>
    <definedName name="eta_cath" localSheetId="2">Electrochemistry!$D$112</definedName>
    <definedName name="etaF" localSheetId="2">Electrochemistry!$D$18</definedName>
    <definedName name="etaF_calc" localSheetId="2">Electrochemistry!$D$88</definedName>
    <definedName name="etaF_calc_min" localSheetId="2">Electrochemistry!$D$89</definedName>
    <definedName name="etaF_OER" localSheetId="2">Electrochemistry!$D$26</definedName>
    <definedName name="etaF_OER_calc" localSheetId="2">Electrochemistry!$D$104</definedName>
    <definedName name="f_Cl_anode" localSheetId="2">Electrochemistry!$D$103</definedName>
    <definedName name="F_const" localSheetId="2">Electrochemistry!$D$15</definedName>
    <definedName name="f_HOOH" localSheetId="2">Electrochemistry!$D$91</definedName>
    <definedName name="f_local" localSheetId="3">Chemistry!$D$141</definedName>
    <definedName name="Fcc" localSheetId="3">Chemistry!$D$7</definedName>
    <definedName name="FE_CER" localSheetId="3">Chemistry!$D$128</definedName>
    <definedName name="flowrate_cal" localSheetId="5">'Mass Transfer'!$D$117</definedName>
    <definedName name="flush_factor" localSheetId="5">'Mass Transfer'!$D$106</definedName>
    <definedName name="g_const" localSheetId="5">'Mass Transfer'!$D$31</definedName>
    <definedName name="gamma_1" localSheetId="3">Chemistry!$D$187</definedName>
    <definedName name="gamma_2" localSheetId="3">Chemistry!$D$188</definedName>
    <definedName name="gamma_3" localSheetId="3">Chemistry!$D$189</definedName>
    <definedName name="geom_check" localSheetId="1">Geometry!$D$90</definedName>
    <definedName name="gerrit_int" localSheetId="2">Electrochemistry!$D$12</definedName>
    <definedName name="gerrit_max" localSheetId="2">Electrochemistry!$D$14</definedName>
    <definedName name="gerrit_min" localSheetId="2">Electrochemistry!$D$13</definedName>
    <definedName name="gerrit_slope" localSheetId="2">Electrochemistry!$D$11</definedName>
    <definedName name="h_actual" localSheetId="1">Geometry!$D$42</definedName>
    <definedName name="H_CO2_T" localSheetId="4">Biology!$D$31</definedName>
    <definedName name="H_CO2ref" localSheetId="4">Biology!$D$29</definedName>
    <definedName name="H_CO2T" localSheetId="4">Biology!$D$30</definedName>
    <definedName name="h_datum" localSheetId="1">Geometry!$D$25</definedName>
    <definedName name="H_H2_T" localSheetId="4">Biology!$D$40</definedName>
    <definedName name="H_H2ref" localSheetId="4">Biology!$D$38</definedName>
    <definedName name="H_H2T" localSheetId="4">Biology!$D$39</definedName>
    <definedName name="H_O2_T" localSheetId="4">Biology!$D$24</definedName>
    <definedName name="H_O2_T" localSheetId="5">'Mass Transfer'!$D$12</definedName>
    <definedName name="H_O2ref" localSheetId="4">Biology!$D$21</definedName>
    <definedName name="H_O2T" localSheetId="4">Biology!$D$22</definedName>
    <definedName name="H2_cons" localSheetId="4">Biology!$D$13</definedName>
    <definedName name="H2_safety" localSheetId="4">Biology!$D$44</definedName>
    <definedName name="H2_turnover" localSheetId="4">Biology!$D$43</definedName>
    <definedName name="H2O2_flag" localSheetId="2">Electrochemistry!$D$99</definedName>
    <definedName name="H2O2_lag_1h" localSheetId="2">Electrochemistry!$D$96</definedName>
    <definedName name="H2O2_ss" localSheetId="2">Electrochemistry!$D$95</definedName>
    <definedName name="H2O2_thresh" localSheetId="2">Electrochemistry!$D$97</definedName>
    <definedName name="has_cal" localSheetId="5">'Mass Transfer'!$D$119</definedName>
    <definedName name="HB_a" localSheetId="5">'Mass Transfer'!$D$171</definedName>
    <definedName name="HB_b" localSheetId="5">'Mass Transfer'!$D$172</definedName>
    <definedName name="HB_c" localSheetId="5">'Mass Transfer'!$D$173</definedName>
    <definedName name="headspace_V" localSheetId="1">Geometry!$D$49</definedName>
    <definedName name="headspace_V" localSheetId="5">'Mass Transfer'!$D$19</definedName>
    <definedName name="headspace_V_m3" localSheetId="5">'Mass Transfer'!$D$140</definedName>
    <definedName name="HOCl_max" localSheetId="3">Chemistry!$D$125</definedName>
    <definedName name="HOCl_ss" localSheetId="3">Chemistry!$D$139</definedName>
    <definedName name="HOCl_ss_mgL" localSheetId="3">Chemistry!$D$140</definedName>
    <definedName name="holdup" localSheetId="5">'Mass Transfer'!$D$48</definedName>
    <definedName name="hs_flush_time" localSheetId="5">'Mass Transfer'!$D$77</definedName>
    <definedName name="hs_H_CO2" localSheetId="5">'Mass Transfer'!$D$191</definedName>
    <definedName name="hs_O2_allow" localSheetId="5">'Mass Transfer'!$D$182</definedName>
    <definedName name="I_app" localSheetId="2">Electrochemistry!$D$19</definedName>
    <definedName name="I_Cl" localSheetId="3">Chemistry!$D$133</definedName>
    <definedName name="I_Cl_FE" localSheetId="3">Chemistry!$D$131</definedName>
    <definedName name="I_Cl_mt" localSheetId="3">Chemistry!$D$132</definedName>
    <definedName name="I_ionic" localSheetId="3">Chemistry!$D$185</definedName>
    <definedName name="I_max" localSheetId="2">Electrochemistry!$D$74</definedName>
    <definedName name="I_mc02" localSheetId="3">Chemistry!$D$183</definedName>
    <definedName name="i_ORR_ceiling" localSheetId="2">Electrochemistry!$D$87</definedName>
    <definedName name="i_ORR_design" localSheetId="2">Electrochemistry!$D$86</definedName>
    <definedName name="I_udg" localSheetId="3">Chemistry!$D$184</definedName>
    <definedName name="I_valid" localSheetId="2">Electrochemistry!$D$20</definedName>
    <definedName name="Iappc" localSheetId="3">Chemistry!$D$6</definedName>
    <definedName name="intensity" localSheetId="2">Electrochemistry!$D$10</definedName>
    <definedName name="interface_A" localSheetId="1">Geometry!$D$44</definedName>
    <definedName name="interface_A" localSheetId="5">'Mass Transfer'!$D$14</definedName>
    <definedName name="j_anode" localSheetId="2">Electrochemistry!$D$48</definedName>
    <definedName name="j_anode_c" localSheetId="3">Chemistry!$D$217</definedName>
    <definedName name="j_anode_max" localSheetId="2">Electrochemistry!$D$75</definedName>
    <definedName name="j_bio_flag" localSheetId="2">Electrochemistry!$D$59</definedName>
    <definedName name="j_buffer_lim" localSheetId="3">Chemistry!$D$216</definedName>
    <definedName name="j_buffer_ratio" localSheetId="3">Chemistry!$D$218</definedName>
    <definedName name="j_cath_flag" localSheetId="2">Electrochemistry!$D$61</definedName>
    <definedName name="j_cathode" localSheetId="2">Electrochemistry!$D$49</definedName>
    <definedName name="j_ceiling_default" localSheetId="2">Electrochemistry!$D$55</definedName>
    <definedName name="j_ceiling_strain" localSheetId="2">Electrochemistry!$D$57</definedName>
    <definedName name="j_flag" localSheetId="2">Electrochemistry!$D$62</definedName>
    <definedName name="j_flag_max" localSheetId="2">Electrochemistry!$D$76</definedName>
    <definedName name="j_mat_flag" localSheetId="2">Electrochemistry!$D$60</definedName>
    <definedName name="j_opt_default" localSheetId="2">Electrochemistry!$D$54</definedName>
    <definedName name="j_opt_strain" localSheetId="2">Electrochemistry!$D$56</definedName>
    <definedName name="j_strain_conf" localSheetId="2">Electrochemistry!$D$58</definedName>
    <definedName name="j0_anode" localSheetId="2">Electrochemistry!$D$108</definedName>
    <definedName name="j0_cath" localSheetId="2">Electrochemistry!$D$110</definedName>
    <definedName name="k_cat_cells" localSheetId="2">Electrochemistry!$D$94</definedName>
    <definedName name="k_eff_CO2" localSheetId="5">'Mass Transfer'!$D$195</definedName>
    <definedName name="k_geom" localSheetId="2">Electrochemistry!$D$116</definedName>
    <definedName name="k_vent" localSheetId="5">'Mass Transfer'!$D$143</definedName>
    <definedName name="k1_NH2Cl" localSheetId="3">Chemistry!$D$136</definedName>
    <definedName name="Ka_HOCl" localSheetId="3">Chemistry!$D$20</definedName>
    <definedName name="Ka_NH4" localSheetId="3">Chemistry!$D$18</definedName>
    <definedName name="Ka1_carb" localSheetId="4">Biology!$D$36</definedName>
    <definedName name="Ka1c" localSheetId="3">Chemistry!$D$13</definedName>
    <definedName name="Ka1c_c" localSheetId="3">Chemistry!$D$190</definedName>
    <definedName name="Ka1p" localSheetId="3">Chemistry!$D$15</definedName>
    <definedName name="Ka1p_c" localSheetId="3">Chemistry!$D$192</definedName>
    <definedName name="Ka2c" localSheetId="3">Chemistry!$D$14</definedName>
    <definedName name="Ka2c_c" localSheetId="3">Chemistry!$D$191</definedName>
    <definedName name="Ka2p" localSheetId="3">Chemistry!$D$16</definedName>
    <definedName name="Ka2p_c" localSheetId="3">Chemistry!$D$193</definedName>
    <definedName name="Ka3p" localSheetId="3">Chemistry!$D$17</definedName>
    <definedName name="Ka3p_c" localSheetId="3">Chemistry!$D$194</definedName>
    <definedName name="KaHOCl_c" localSheetId="3">Chemistry!$D$196</definedName>
    <definedName name="KaN_c" localSheetId="3">Chemistry!$D$197</definedName>
    <definedName name="kappa_fI" localSheetId="3">Chemistry!$D$178</definedName>
    <definedName name="kappa_med" localSheetId="3">Chemistry!$D$180</definedName>
    <definedName name="kappa_TC" localSheetId="3">Chemistry!$D$179</definedName>
    <definedName name="kappa0_mc02" localSheetId="3">Chemistry!$D$176</definedName>
    <definedName name="kappa0_udg" localSheetId="3">Chemistry!$D$177</definedName>
    <definedName name="kinetic_caveat" localSheetId="5">'Mass Transfer'!$D$96</definedName>
    <definedName name="kL" localSheetId="5">'Mass Transfer'!$D$51</definedName>
    <definedName name="kL_surf" localSheetId="5">'Mass Transfer'!$D$70</definedName>
    <definedName name="kL_surf_crit" localSheetId="5">'Mass Transfer'!$D$131</definedName>
    <definedName name="kLa_avg" localSheetId="5">'Mass Transfer'!$D$53</definedName>
    <definedName name="kLa_CO2_off" localSheetId="5">'Mass Transfer'!$D$148</definedName>
    <definedName name="kLa_meas" localSheetId="5">'Mass Transfer'!$D$97</definedName>
    <definedName name="kLa_req" localSheetId="5">'Mass Transfer'!$D$57</definedName>
    <definedName name="kLa_sparge" localSheetId="5">'Mass Transfer'!$D$52</definedName>
    <definedName name="kLa_surf" localSheetId="5">'Mass Transfer'!$D$72</definedName>
    <definedName name="kLa_surf_req" localSheetId="5">'Mass Transfer'!$D$186</definedName>
    <definedName name="kLa_surf_used" localSheetId="5">'Mass Transfer'!$D$98</definedName>
    <definedName name="km_Cl" localSheetId="3">Chemistry!$D$129</definedName>
    <definedName name="Km_CO2" localSheetId="4">Biology!$D$34</definedName>
    <definedName name="km_exp" localSheetId="2">Electrochemistry!$D$84</definedName>
    <definedName name="km_O2" localSheetId="2">Electrochemistry!$D$83</definedName>
    <definedName name="Kw_c" localSheetId="3">Chemistry!$D$195</definedName>
    <definedName name="Kw_w" localSheetId="3">Chemistry!$D$19</definedName>
    <definedName name="L_sub" localSheetId="2">Electrochemistry!$D$45</definedName>
    <definedName name="lam_Ca" localSheetId="3">Chemistry!$D$170</definedName>
    <definedName name="lam_Cl" localSheetId="3">Chemistry!$D$175</definedName>
    <definedName name="lam_H2PO4" localSheetId="3">Chemistry!$D$171</definedName>
    <definedName name="lam_HCO3" localSheetId="3">Chemistry!$D$174</definedName>
    <definedName name="lam_HPO4" localSheetId="3">Chemistry!$D$172</definedName>
    <definedName name="lam_K" localSheetId="3">Chemistry!$D$167</definedName>
    <definedName name="lam_Mg" localSheetId="3">Chemistry!$D$169</definedName>
    <definedName name="lam_Na" localSheetId="3">Chemistry!$D$166</definedName>
    <definedName name="lam_NH4" localSheetId="3">Chemistry!$D$168</definedName>
    <definedName name="lam_SO4" localSheetId="3">Chemistry!$D$173</definedName>
    <definedName name="latest_date" localSheetId="5">'Mass Transfer'!$D$116</definedName>
    <definedName name="led_intensity" localSheetId="0">Summary!$D$6</definedName>
    <definedName name="M_Cl2" localSheetId="3">Chemistry!$D$223</definedName>
    <definedName name="M_CO2" localSheetId="5">'Mass Transfer'!$D$103</definedName>
    <definedName name="M_H2O2" localSheetId="2">Electrochemistry!$D$92</definedName>
    <definedName name="M_HOCl" localSheetId="3">Chemistry!$D$222</definedName>
    <definedName name="mc_CaSO4_2H2O" localSheetId="3">Chemistry!$C$30</definedName>
    <definedName name="mc_K2SO4" localSheetId="3">Chemistry!$C$29</definedName>
    <definedName name="mc_MgSO4_7H2O" localSheetId="3">Chemistry!$C$31</definedName>
    <definedName name="mc_Na2HPO4" localSheetId="3">Chemistry!$C$26</definedName>
    <definedName name="mc_NaH2PO4_2H2O" localSheetId="3">Chemistry!$C$27</definedName>
    <definedName name="mc_NH42SO4" localSheetId="3">Chemistry!$C$32</definedName>
    <definedName name="media_sel" localSheetId="0">Summary!$D$5</definedName>
    <definedName name="media_vol_warn" localSheetId="1">Geometry!$D$54</definedName>
    <definedName name="media_volume" localSheetId="1">Geometry!$D$6</definedName>
    <definedName name="media_volume" localSheetId="0">Summary!$D$9</definedName>
    <definedName name="MediaList">Chemistry!$A$114:$A$115</definedName>
    <definedName name="mend_a" localSheetId="5">'Mass Transfer'!$D$44</definedName>
    <definedName name="mend_b" localSheetId="5">'Mass Transfer'!$D$45</definedName>
    <definedName name="metal_flag" localSheetId="3">Chemistry!$D$163</definedName>
    <definedName name="metal_leach_rate" localSheetId="3">Chemistry!$D$161</definedName>
    <definedName name="metal_MW" localSheetId="3">Chemistry!$D$159</definedName>
    <definedName name="metal_tox_thresh" localSheetId="3">Chemistry!$D$162</definedName>
    <definedName name="metal_z" localSheetId="3">Chemistry!$D$160</definedName>
    <definedName name="min_sparge_cal" localSheetId="5">'Mass Transfer'!$D$118</definedName>
    <definedName name="MW_CaCl2" localSheetId="3">Chemistry!$B$33</definedName>
    <definedName name="MW_CaSO4_2H2O" localSheetId="3">Chemistry!$B$30</definedName>
    <definedName name="MW_K2SO4" localSheetId="3">Chemistry!$B$29</definedName>
    <definedName name="MW_KH2PO4" localSheetId="3">Chemistry!$B$25</definedName>
    <definedName name="MW_MgSO4_7H2O" localSheetId="3">Chemistry!$B$31</definedName>
    <definedName name="MW_N" localSheetId="3">Chemistry!$D$225</definedName>
    <definedName name="MW_Na2HPO4" localSheetId="3">Chemistry!$B$26</definedName>
    <definedName name="MW_NaH2PO4_2H2O" localSheetId="3">Chemistry!$B$27</definedName>
    <definedName name="MW_NaHCO3" localSheetId="3">Chemistry!$B$28</definedName>
    <definedName name="MW_NH42SO4" localSheetId="3">Chemistry!$B$32</definedName>
    <definedName name="n_cross" localSheetId="3">Chemistry!$D$105</definedName>
    <definedName name="n_e_Cl" localSheetId="3">Chemistry!$D$148</definedName>
    <definedName name="n_hs_gas" localSheetId="5">'Mass Transfer'!$D$150</definedName>
    <definedName name="n_pores_active" localSheetId="5">'Mass Transfer'!$D$61</definedName>
    <definedName name="nCO2_rate" localSheetId="5">'Mass Transfer'!$D$104</definedName>
    <definedName name="nernst_slope" localSheetId="3">Chemistry!$D$200</definedName>
    <definedName name="NH2Cl_hi" localSheetId="3">Chemistry!$D$155</definedName>
    <definedName name="NH2Cl_lo" localSheetId="3">Chemistry!$D$154</definedName>
    <definedName name="NH2Cl_mgL" localSheetId="3">Chemistry!$D$143</definedName>
    <definedName name="NH3_free" localSheetId="3">Chemistry!$D$138</definedName>
    <definedName name="NH3_N" localSheetId="3">Chemistry!$D$135</definedName>
    <definedName name="NT_mc02" localSheetId="3">Chemistry!$D$37</definedName>
    <definedName name="NT_udg" localSheetId="3">Chemistry!$D$41</definedName>
    <definedName name="O2_accum" localSheetId="5">'Mass Transfer'!$D$127</definedName>
    <definedName name="O2_cathode_ORR" localSheetId="2">Electrochemistry!$D$28</definedName>
    <definedName name="O2_ceil_atm" localSheetId="4">Biology!$D$25</definedName>
    <definedName name="O2_ceil_C" localSheetId="4">Biology!$D$27</definedName>
    <definedName name="O2_ceil_C" localSheetId="5">'Mass Transfer'!$D$6</definedName>
    <definedName name="O2_ceil_Pa" localSheetId="4">Biology!$D$26</definedName>
    <definedName name="O2_ceil_Pa" localSheetId="5">'Mass Transfer'!$D$7</definedName>
    <definedName name="O2_ceil_uM" localSheetId="4">Biology!$D$28</definedName>
    <definedName name="O2_cons" localSheetId="4">Biology!$D$14</definedName>
    <definedName name="O2_excess" localSheetId="4">Biology!$D$16</definedName>
    <definedName name="O2_excess" localSheetId="5">'Mass Transfer'!$D$11</definedName>
    <definedName name="O2_net_gen" localSheetId="4">Biology!$D$5</definedName>
    <definedName name="O2_net_gen" localSheetId="2">Electrochemistry!$D$29</definedName>
    <definedName name="O2_net_gen" localSheetId="5">'Mass Transfer'!$D$13</definedName>
    <definedName name="O2_removal_ratio" localSheetId="5">'Mass Transfer'!$D$78</definedName>
    <definedName name="O2_src_guard" localSheetId="5">'Mass Transfer'!$D$132</definedName>
    <definedName name="O2_strip_pulse" localSheetId="5">'Mass Transfer'!$D$128</definedName>
    <definedName name="od_ok" localSheetId="5">'Mass Transfer'!$D$95</definedName>
    <definedName name="opt_binding" localSheetId="5">'Mass Transfer'!$D$94</definedName>
    <definedName name="organism_sel" localSheetId="4">Biology!$D$7</definedName>
    <definedName name="organism_sel" localSheetId="0">Summary!$D$4</definedName>
    <definedName name="OrganismList">Biology!$A$52:$A$57</definedName>
    <definedName name="P_atm" localSheetId="4">Biology!$D$19</definedName>
    <definedName name="P_atm" localSheetId="2">Electrochemistry!$D$6</definedName>
    <definedName name="P_atm" localSheetId="5">'Mass Transfer'!$D$9</definedName>
    <definedName name="P_atm_set" localSheetId="0">Summary!$D$10</definedName>
    <definedName name="p_CO2_sparge" localSheetId="4">Biology!$D$32</definedName>
    <definedName name="P_HOCl" localSheetId="3">Chemistry!$D$134</definedName>
    <definedName name="p_sat_w" localSheetId="5">'Mass Transfer'!$D$206</definedName>
    <definedName name="Pa_per_atm" localSheetId="4">Biology!$D$20</definedName>
    <definedName name="pcet_credit" localSheetId="2">Electrochemistry!$D$113</definedName>
    <definedName name="pCO2_air" localSheetId="5">'Mass Transfer'!$D$139</definedName>
    <definedName name="pH_band_flag" localSheetId="3">Chemistry!$D$110</definedName>
    <definedName name="pH_Cl" localSheetId="3">Chemistry!$D$47</definedName>
    <definedName name="pH_CO2_unbuf" localSheetId="4">Biology!$D$37</definedName>
    <definedName name="pH_fHOCl" localSheetId="3">Chemistry!$D$104</definedName>
    <definedName name="pH_meas" localSheetId="3">Chemistry!$D$220</definedName>
    <definedName name="pH_NT" localSheetId="3">Chemistry!$D$46</definedName>
    <definedName name="pH_op" localSheetId="3">Chemistry!$D$103</definedName>
    <definedName name="pH_PT" localSheetId="3">Chemistry!$D$45</definedName>
    <definedName name="pH_SID" localSheetId="3">Chemistry!$D$44</definedName>
    <definedName name="pKa_HOCl" localSheetId="3">Chemistry!$D$21</definedName>
    <definedName name="pKa_NH4" localSheetId="3">Chemistry!$D$137</definedName>
    <definedName name="pool_a" localSheetId="5">'Mass Transfer'!$D$193</definedName>
    <definedName name="pool_b" localSheetId="5">'Mass Transfer'!$D$194</definedName>
    <definedName name="pool_beta_ratio" localSheetId="5">'Mass Transfer'!$D$196</definedName>
    <definedName name="pool_e" localSheetId="5">'Mass Transfer'!$D$197</definedName>
    <definedName name="por_grade" localSheetId="5">'Mass Transfer'!$D$20</definedName>
    <definedName name="por_grade_e" localSheetId="2">Electrochemistry!$D$32</definedName>
    <definedName name="por_pore" localSheetId="5">'Mass Transfer'!$D$39</definedName>
    <definedName name="por0_um" localSheetId="5">'Mass Transfer'!$D$33</definedName>
    <definedName name="por1_um" localSheetId="5">'Mass Transfer'!$D$34</definedName>
    <definedName name="por2_um" localSheetId="5">'Mass Transfer'!$D$35</definedName>
    <definedName name="por3_um" localSheetId="5">'Mass Transfer'!$D$36</definedName>
    <definedName name="por4_um" localSheetId="5">'Mass Transfer'!$D$37</definedName>
    <definedName name="por5_um" localSheetId="5">'Mass Transfer'!$D$38</definedName>
    <definedName name="power_max" localSheetId="2">Electrochemistry!$D$73</definedName>
    <definedName name="PT_mc02" localSheetId="3">Chemistry!$D$35</definedName>
    <definedName name="PT_udg" localSheetId="3">Chemistry!$D$39</definedName>
    <definedName name="pulse_floor" localSheetId="5">'Mass Transfer'!$D$99</definedName>
    <definedName name="pulses_d" localSheetId="5">'Mass Transfer'!$D$125</definedName>
    <definedName name="pulses_h" localSheetId="5">'Mass Transfer'!$D$124</definedName>
    <definedName name="pw_A" localSheetId="5">'Mass Transfer'!$D$203</definedName>
    <definedName name="pw_B" localSheetId="5">'Mass Transfer'!$D$204</definedName>
    <definedName name="pw_C" localSheetId="5">'Mass Transfer'!$D$205</definedName>
    <definedName name="Q_CO2" localSheetId="5">'Mass Transfer'!$D$102</definedName>
    <definedName name="Q_vent" localSheetId="5">'Mass Transfer'!$D$142</definedName>
    <definedName name="R_cell" localSheetId="2">Electrochemistry!$D$117</definedName>
    <definedName name="R_chloramine" localSheetId="3">Chemistry!$D$144</definedName>
    <definedName name="R_chloramine_hi" localSheetId="3">Chemistry!$D$153</definedName>
    <definedName name="R_chloramine_lo" localSheetId="3">Chemistry!$D$152</definedName>
    <definedName name="R_gas" localSheetId="3">Chemistry!$D$9</definedName>
    <definedName name="R_gas" localSheetId="2">Electrochemistry!$D$7</definedName>
    <definedName name="R_gas" localSheetId="5">'Mass Transfer'!$D$101</definedName>
    <definedName name="r_H2O2" localSheetId="2">Electrochemistry!$D$93</definedName>
    <definedName name="Reactor" localSheetId="5">'Mass Transfer'!$D$115</definedName>
    <definedName name="reactor_sel" localSheetId="1">Geometry!$D$5</definedName>
    <definedName name="Reactor_sel" localSheetId="0">Summary!$D$2</definedName>
    <definedName name="ReactorList">Geometry!$A$59:$A$80</definedName>
    <definedName name="rH2_gen" localSheetId="4">Biology!$D$4</definedName>
    <definedName name="rH2_gen" localSheetId="2">Electrochemistry!$D$21</definedName>
    <definedName name="rho_0" localSheetId="5">'Mass Transfer'!$D$169</definedName>
    <definedName name="rho_CO2" localSheetId="5">'Mass Transfer'!$D$60</definedName>
    <definedName name="rho_k" localSheetId="5">'Mass Transfer'!$D$170</definedName>
    <definedName name="rho_L" localSheetId="5">'Mass Transfer'!$D$30</definedName>
    <definedName name="rO2_gen" localSheetId="2">Electrochemistry!$D$22</definedName>
    <definedName name="rod_d" localSheetId="1">Geometry!$D$26</definedName>
    <definedName name="rod_n" localSheetId="1">Geometry!$D$27</definedName>
    <definedName name="rx_ver" localSheetId="1">Geometry!$D$51</definedName>
    <definedName name="s_renew" localSheetId="5">'Mass Transfer'!$D$69</definedName>
    <definedName name="sched_bal" localSheetId="5">'Mass Transfer'!$D$129</definedName>
    <definedName name="sched_mode" localSheetId="5">'Mass Transfer'!$D$81</definedName>
    <definedName name="sched_regime" localSheetId="5">'Mass Transfer'!$D$113</definedName>
    <definedName name="sched_valid" localSheetId="5">'Mass Transfer'!$D$164</definedName>
    <definedName name="SID_mc02" localSheetId="3">Chemistry!$D$36</definedName>
    <definedName name="SID_udg" localSheetId="3">Chemistry!$D$40</definedName>
    <definedName name="sigma" localSheetId="5">'Mass Transfer'!$D$29</definedName>
    <definedName name="sigma_0" localSheetId="5">'Mass Transfer'!$D$167</definedName>
    <definedName name="sigma_k" localSheetId="5">'Mass Transfer'!$D$168</definedName>
    <definedName name="sparge_depth" localSheetId="1">Geometry!$D$43</definedName>
    <definedName name="sparger" localSheetId="5">'Mass Transfer'!$D$21</definedName>
    <definedName name="sparger_e" localSheetId="2">Electrochemistry!$D$31</definedName>
    <definedName name="spg_disp" localSheetId="1">Geometry!$D$37</definedName>
    <definedName name="spg_dur" localSheetId="5">'Mass Transfer'!$D$121</definedName>
    <definedName name="spg_dur_man" localSheetId="5">'Mass Transfer'!$D$82</definedName>
    <definedName name="spg_dur_opt" localSheetId="5">'Mass Transfer'!$D$90</definedName>
    <definedName name="spg_ID" localSheetId="1">Geometry!$D$31</definedName>
    <definedName name="spg_ID" localSheetId="5">'Mass Transfer'!$D$18</definedName>
    <definedName name="spg_int" localSheetId="5">'Mass Transfer'!$D$122</definedName>
    <definedName name="spg_int_carbon" localSheetId="5">'Mass Transfer'!$D$112</definedName>
    <definedName name="spg_int_DO" localSheetId="5">'Mass Transfer'!$D$185</definedName>
    <definedName name="spg_int_man" localSheetId="5">'Mass Transfer'!$D$83</definedName>
    <definedName name="spg_int_max" localSheetId="5">'Mass Transfer'!$D$89</definedName>
    <definedName name="spg_int_opt" localSheetId="5">'Mass Transfer'!$D$91</definedName>
    <definedName name="spg_int_opt_s" localSheetId="5">'Mass Transfer'!$D$92</definedName>
    <definedName name="spg_int_regime" localSheetId="5">'Mass Transfer'!$D$134</definedName>
    <definedName name="spg_len" localSheetId="1">Geometry!$D$50</definedName>
    <definedName name="spg_name_1" localSheetId="5">'Mass Transfer'!$D$27</definedName>
    <definedName name="spg_name_2" localSheetId="5">'Mass Transfer'!$D$28</definedName>
    <definedName name="spg_OD" localSheetId="1">Geometry!$D$30</definedName>
    <definedName name="spg_tip_h" localSheetId="1">Geometry!$D$32</definedName>
    <definedName name="sqrtD_CO2" localSheetId="5">'Mass Transfer'!$D$147</definedName>
    <definedName name="stir_bar_L" localSheetId="1">Geometry!$D$52</definedName>
    <definedName name="stir_len" localSheetId="5">'Mass Transfer'!$D$5</definedName>
    <definedName name="stir_rpm" localSheetId="5">'Mass Transfer'!$D$67</definedName>
    <definedName name="stir_rpm_set" localSheetId="0">Summary!$D$7</definedName>
    <definedName name="strip_avg" localSheetId="5">'Mass Transfer'!$D$55</definedName>
    <definedName name="strip_ratio" localSheetId="5">'Mass Transfer'!$D$56</definedName>
    <definedName name="strip_sparge" localSheetId="5">'Mass Transfer'!$D$54</definedName>
    <definedName name="surf_ratio" localSheetId="5">'Mass Transfer'!$D$74</definedName>
    <definedName name="surf_strip" localSheetId="5">'Mass Transfer'!$D$73</definedName>
    <definedName name="T_C" localSheetId="4">Biology!$D$17</definedName>
    <definedName name="t_contact" localSheetId="5">'Mass Transfer'!$D$50</definedName>
    <definedName name="t_H2_sat" localSheetId="4">Biology!$D$42</definedName>
    <definedName name="t_H2O2_thresh" localSheetId="2">Electrochemistry!$D$98</definedName>
    <definedName name="T_K" localSheetId="4">Biology!$D$18</definedName>
    <definedName name="T_K" localSheetId="2">Electrochemistry!$D$5</definedName>
    <definedName name="T_K" localSheetId="5">'Mass Transfer'!$D$8</definedName>
    <definedName name="t_O2_ceiling" localSheetId="5">'Mass Transfer'!$D$65</definedName>
    <definedName name="t_O2_ceiling_lag" localSheetId="5">'Mass Transfer'!$D$79</definedName>
    <definedName name="t_O2_ceiling_rem" localSheetId="5">'Mass Transfer'!$D$80</definedName>
    <definedName name="t_O2_ceiling_strip" localSheetId="5">'Mass Transfer'!$D$66</definedName>
    <definedName name="t_off_CO2" localSheetId="5">'Mass Transfer'!$D$152</definedName>
    <definedName name="t_on_CO2" localSheetId="5">'Mass Transfer'!$D$151</definedName>
    <definedName name="T_ref" localSheetId="4">Biology!$D$23</definedName>
    <definedName name="target_DO_frac" localSheetId="5">'Mass Transfer'!$D$84</definedName>
    <definedName name="tau_hs" localSheetId="5">'Mass Transfer'!$D$144</definedName>
    <definedName name="tau_NH2Cl" localSheetId="3">Chemistry!$D$142</definedName>
    <definedName name="tau_NH2Cl_hi" localSheetId="3">Chemistry!$D$151</definedName>
    <definedName name="tau_NH2Cl_lo" localSheetId="3">Chemistry!$D$150</definedName>
    <definedName name="tau_surf_floor" localSheetId="5">'Mass Transfer'!$D$149</definedName>
    <definedName name="temp_C" localSheetId="0">Summary!$D$8</definedName>
    <definedName name="tip_speed" localSheetId="5">'Mass Transfer'!$D$68</definedName>
    <definedName name="tip_warn" localSheetId="5">'Mass Transfer'!$D$111</definedName>
    <definedName name="TKc" localSheetId="3">Chemistry!$D$4</definedName>
    <definedName name="tube_d_m" localSheetId="5">'Mass Transfer'!$D$40</definedName>
    <definedName name="u_g_max" localSheetId="5">'Mass Transfer'!$D$58</definedName>
    <definedName name="u_rise" localSheetId="5">'Mass Transfer'!$D$46</definedName>
    <definedName name="u_sg" localSheetId="5">'Mass Transfer'!$D$47</definedName>
    <definedName name="udg_CaCl2" localSheetId="3">Chemistry!$D$33</definedName>
    <definedName name="udg_KH2PO4" localSheetId="3">Chemistry!$D$25</definedName>
    <definedName name="udg_MgSO4_7H2O" localSheetId="3">Chemistry!$D$31</definedName>
    <definedName name="udg_Na2HPO4" localSheetId="3">Chemistry!$D$26</definedName>
    <definedName name="udg_NaHCO3" localSheetId="3">Chemistry!$D$28</definedName>
    <definedName name="udg_NH42SO4" localSheetId="3">Chemistry!$D$32</definedName>
    <definedName name="V_cell_est" localSheetId="2">Electrochemistry!$D$119</definedName>
    <definedName name="V_charge" localSheetId="4">Biology!$D$6</definedName>
    <definedName name="V_charge" localSheetId="1">Geometry!$D$41</definedName>
    <definedName name="V_charge" localSheetId="5">'Mass Transfer'!$D$16</definedName>
    <definedName name="V_flag" localSheetId="2">Electrochemistry!$D$122</definedName>
    <definedName name="V_gas_total" localSheetId="2">Electrochemistry!$D$25</definedName>
    <definedName name="V_H2_gen" localSheetId="2">Electrochemistry!$D$23</definedName>
    <definedName name="V_headroom" localSheetId="2">Electrochemistry!$D$121</definedName>
    <definedName name="V_inserts" localSheetId="1">Geometry!$D$48</definedName>
    <definedName name="V_IR" localSheetId="2">Electrochemistry!$D$118</definedName>
    <definedName name="V_L_m3" localSheetId="5">'Mass Transfer'!$D$141</definedName>
    <definedName name="V_max" localSheetId="1">Geometry!$D$23</definedName>
    <definedName name="V_O2_gen" localSheetId="2">Electrochemistry!$D$24</definedName>
    <definedName name="v_orifice" localSheetId="5">'Mass Transfer'!$D$62</definedName>
    <definedName name="V_rail" localSheetId="2">Electrochemistry!$D$120</definedName>
    <definedName name="V_vial_total" localSheetId="1">Geometry!$D$24</definedName>
    <definedName name="vent_floor_chk" localSheetId="5">'Mass Transfer'!$D$163</definedName>
    <definedName name="Vg_CO2" localSheetId="5">'Mass Transfer'!$D$192</definedName>
    <definedName name="vial_ID" localSheetId="1">Geometry!$D$20</definedName>
    <definedName name="vial_ID" localSheetId="5">'Mass Transfer'!$D$15</definedName>
    <definedName name="vial_OD" localSheetId="1">Geometry!$D$18</definedName>
    <definedName name="vial_wall" localSheetId="1">Geometry!$D$19</definedName>
    <definedName name="VLc" localSheetId="3">Chemistry!$D$8</definedName>
    <definedName name="We_orifice" localSheetId="5">'Mass Transfer'!$D$63</definedName>
    <definedName name="xtube_n" localSheetId="1">Geometry!$D$46</definedName>
    <definedName name="xtube_OD" localSheetId="1">Geometry!$D$45</definedName>
    <definedName name="xtube_pro" localSheetId="1">Geometry!$D$47</definedName>
    <definedName name="y_O2_actual" localSheetId="5">'Mass Transfer'!$D$187</definedName>
    <definedName name="y_O2_star" localSheetId="5">'Mass Transfer'!$D$183</definedName>
    <definedName name="z_e_H2" localSheetId="2">Electrochemistry!$D$16</definedName>
    <definedName name="z_e_O2" localSheetId="2">Electrochemistry!$D$17</definedName>
    <definedName name="z_e_ORR" localSheetId="2">Electrochemistry!$D$27</definedName>
    <definedName name="cal_hs">Calibrations!$D$76</definedName>
    <definedName name="cal_hs_fill">Calibrations!$D$77</definedName>
    <definedName name="D_HCO3" localSheetId="3">Chemistry!$D$251</definedName>
    <definedName name="HCO3_op" localSheetId="3">Chemistry!$D$252</definedName>
    <definedName name="HPO4_op" localSheetId="3">Chemistry!$D$253</definedName>
    <definedName name="eta_anode_c" localSheetId="3">Chemistry!$D$254</definedName>
    <definedName name="pcet_credit_c" localSheetId="3">Chemistry!$D$255</definedName>
    <definedName name="E_anode_op" localSheetId="3">Chemistry!$D$256</definedName>
    <definedName name="E0_HOCl" localSheetId="3">Chemistry!$D$257</definedName>
    <definedName name="E_HOCl_Cl" localSheetId="3">Chemistry!$D$258</definedName>
    <definedName name="C_eff_lo_Cl2" localSheetId="3">Chemistry!$D$259</definedName>
    <definedName name="C_eff_hi_Cl2" localSheetId="3">Chemistry!$D$260</definedName>
    <definedName name="M_O2" localSheetId="5">'Mass Transfer'!$D$231</definedName>
    <definedName name="DO_at_carbon" localSheetId="5">'Mass Transfer'!$D$232</definedName>
    <definedName name="CO2_supply_b" localSheetId="4">Biology!$D$76</definedName>
    <definedName name="CO2_rate_full_b" localSheetId="4">Biology!$D$77</definedName>
    <definedName name="spg_dur_b" localSheetId="4">Biology!$D$78</definedName>
    <definedName name="R_gas_b" localSheetId="4">Biology!$D$79</definedName>
    <definedName name="H2_LFL" localSheetId="4">Biology!$D$80</definedName>
    <definedName name="O2_LOC_H2" localSheetId="4">Biology!$D$81</definedName>
    <definedName name="LOC_margin" localSheetId="4">Biology!$D$82</definedName>
    <definedName name="n_flamm_src" localSheetId="4">Biology!$D$83</definedName>
    <definedName name="y_H2_hs_lag" localSheetId="4">Biology!$D$84</definedName>
    <definedName name="y_O2_hs_lag" localSheetId="4">Biology!$D$85</definedName>
    <definedName name="duty_H2safe" localSheetId="4">Biology!$D$86</definedName>
    <definedName name="spg_int_H2safe" localSheetId="4">Biology!$D$87</definedName>
    <definedName name="N2_sweep_H2safe" localSheetId="4">Biology!$D$88</definedName>
    <definedName name="knall_H2_default" localSheetId="4">Biology!$D$63</definedName>
    <definedName name="knall_O2_default" localSheetId="4">Biology!$D$64</definedName>
    <definedName name="knall_CO2_default" localSheetId="4">Biology!$D$65</definedName>
    <definedName name="T_zero_C" localSheetId="4">Biology!$D$66</definedName>
    <definedName name="P_atm_set" localSheetId="4">Biology!$D$67</definedName>
    <definedName name="gerrit_slope_default" localSheetId="2">Electrochemistry!$D$125</definedName>
    <definedName name="gerrit_int_default" localSheetId="2">Electrochemistry!$D$126</definedName>
    <definedName name="V_headroom_min" localSheetId="2">Electrochemistry!$D$127</definedName>
    <definedName name="T_ref" localSheetId="3">Chemistry!$D$229</definedName>
    <definedName name="DH_const" localSheetId="3">Chemistry!$D$230</definedName>
    <definedName name="eps_water_298" localSheetId="3">Chemistry!$D$231</definedName>
    <definedName name="eps_T_exp" localSheetId="3">Chemistry!$D$232</definedName>
    <definedName name="davies_c" localSheetId="3">Chemistry!$D$233</definedName>
    <definedName name="Cl_floor_molL" localSheetId="3">Chemistry!$D$234</definedName>
    <definedName name="pH_step" localSheetId="3">Chemistry!$D$235</definedName>
    <definedName name="pH_band_lo" localSheetId="3">Chemistry!$D$236</definedName>
    <definedName name="pH_band_hi" localSheetId="3">Chemistry!$D$237</definedName>
    <definedName name="buffer_caution_frac" localSheetId="3">Chemistry!$D$238</definedName>
    <definedName name="T_ref" localSheetId="5">'Mass Transfer'!$D$209</definedName>
    <definedName name="T_zero_C" localSheetId="5">'Mass Transfer'!$D$210</definedName>
    <definedName name="d_bubble_min_m" localSheetId="5">'Mass Transfer'!$D$211</definedName>
    <definedName name="We_static_max" localSheetId="5">'Mass Transfer'!$D$212</definedName>
    <definedName name="cleared_min" localSheetId="5">'Mass Transfer'!$D$213</definedName>
    <definedName name="od_gap_min_s" localSheetId="5">'Mass Transfer'!$D$214</definedName>
    <definedName name="tip_speed_max" localSheetId="5">'Mass Transfer'!$D$216</definedName>
    <definedName name="geom_tol_mL" localSheetId="1">Geometry!$D$96</definedName>
    <definedName name="round_split" localSheetId="0">Summary!$D$93</definedName>
    <definedName name="bp_const" localSheetId="7">Calibrations!$D$140</definedName>
    <definedName name="por_break_1" localSheetId="7">Calibrations!$D$141</definedName>
    <definedName name="por_break_2" localSheetId="7">Calibrations!$D$142</definedName>
    <definedName name="por_break_3" localSheetId="7">Calibrations!$D$143</definedName>
    <definedName name="por_break_4" localSheetId="7">Calibrations!$D$144</definedName>
    <definedName name="por_break_5" localSheetId="7">Calibrations!$D$145</definedName>
    <definedName name="z_e_H2" localSheetId="7">Calibrations!$D$146</definedName>
    <definedName name="z_e_O2" localSheetId="7">Calibrations!$D$147</definedName>
    <definedName name="T_zero_C" localSheetId="7">Calibrations!$D$148</definedName>
    <definedName name="res_spg_dur" localSheetId="0">Summary!$D$13</definedName>
    <definedName name="res_spg_dur_run" localSheetId="0">Summary!$D$14</definedName>
    <definedName name="res_spg_int" localSheetId="0">Summary!$D$15</definedName>
    <definedName name="res_spg_int_run" localSheetId="0">Summary!$D$16</definedName>
    <definedName name="chk_geom" localSheetId="0">Summary!$D$19</definedName>
    <definedName name="chk_cal" localSheetId="0">Summary!$D$20</definedName>
    <definedName name="chk_DO_opt" localSheetId="0">Summary!$D$21</definedName>
    <definedName name="chk_DO_min" localSheetId="0">Summary!$D$22</definedName>
    <definedName name="chk_relax" localSheetId="0">Summary!$D$23</definedName>
    <definedName name="chk_H2" localSheetId="0">Summary!$D$24</definedName>
    <definedName name="chk_bubble" localSheetId="0">Summary!$D$25</definedName>
    <definedName name="chk_CO2_supply" localSheetId="0">Summary!$D$26</definedName>
    <definedName name="chk_pulse_floor" localSheetId="0">Summary!$D$27</definedName>
    <definedName name="chk_od_window" localSheetId="0">Summary!$D$28</definedName>
    <definedName name="chk_carryover" localSheetId="0">Summary!$D$29</definedName>
    <definedName name="chk_tip" localSheetId="0">Summary!$D$30</definedName>
    <definedName name="chk_media_vol" localSheetId="0">Summary!$D$31</definedName>
    <definedName name="chk_level" localSheetId="0">Summary!$D$32</definedName>
    <definedName name="chk_led_law" localSheetId="0">Summary!$D$33</definedName>
    <definedName name="chk_DO_data" localSheetId="0">Summary!$D$34</definedName>
    <definedName name="res_pH" localSheetId="0">Summary!$D$35</definedName>
    <definedName name="res_Cl2" localSheetId="0">Summary!$D$36</definedName>
    <definedName name="res_DO_ss" localSheetId="0">Summary!$D$38</definedName>
    <definedName name="res_spg_int_carbon" localSheetId="0">Summary!$D$39</definedName>
    <definedName name="res_tip_speed" localSheetId="0">Summary!$D$40</definedName>
    <definedName name="res_carbon_margin" localSheetId="0">Summary!$D$41</definedName>
    <definedName name="res_I_mA" localSheetId="0">Summary!$D$43</definedName>
    <definedName name="res_j_anode" localSheetId="0">Summary!$D$44</definedName>
    <definedName name="res_j_status" localSheetId="0">Summary!$D$45</definedName>
    <definedName name="res_power_max" localSheetId="0">Summary!$D$46</definedName>
    <definedName name="res_I_max" localSheetId="0">Summary!$D$47</definedName>
    <definedName name="res_j_anode_max" localSheetId="0">Summary!$D$48</definedName>
    <definedName name="res_j_status_max" localSheetId="0">Summary!$D$49</definedName>
    <definedName name="res_etaF" localSheetId="0">Summary!$D$82</definedName>
    <definedName name="res_V_cell" localSheetId="0">Summary!$D$83</definedName>
    <definedName name="res_V_flag" localSheetId="0">Summary!$D$84</definedName>
    <definedName name="res_H2O2_flag" localSheetId="0">Summary!$D$85</definedName>
    <definedName name="res_buffer_flag" localSheetId="0">Summary!$D$86</definedName>
    <definedName name="res_E_Cl_margin" localSheetId="0">Summary!$D$87</definedName>
    <definedName name="res_E_Cu_margin" localSheetId="0">Summary!$D$88</definedName>
    <definedName name="res_pH_probe" localSheetId="0">Summary!$D$89</definedName>
    <definedName name="res_kLa_req" localSheetId="0">Summary!$D$90</definedName>
    <definedName name="k_Cl_turn" localSheetId="3">Chemistry!$D$271</definedName>
    <definedName name="n_ORR_eff" localSheetId="2">Electrochemistry!$D$141</definedName>
    <definedName name="I_at_gerrit_max" localSheetId="2">Electrochemistry!$D$142</definedName>
    <definedName name="V_at_gerrit_max" localSheetId="2">Electrochemistry!$D$143</definedName>
    <definedName name="V_gerrit_flag" localSheetId="2">Electrochemistry!$D$144</definedName>
    <definedName name="f_HOR_anode" localSheetId="2">Electrochemistry!$D$145</definedName>
    <definedName name="ec_C_H2_sat" localSheetId="2">Electrochemistry!$D$146</definedName>
    <definedName name="i_HOR_lim" localSheetId="2">Electrochemistry!$D$147</definedName>
    <definedName name="f_HOR_lim" localSheetId="2">Electrochemistry!$D$148</definedName>
    <definedName name="r_H2_HOR" localSheetId="2">Electrochemistry!$D$149</definedName>
    <definedName name="H2_HOR_b" localSheetId="4">Biology!$D$96</definedName>
    <definedName name="ec_DO_lag" localSheetId="2">Electrochemistry!$D$150</definedName>
    <definedName name="k_H2O2_anode" localSheetId="2">Electrochemistry!$D$151</definedName>
    <definedName name="r_H2O2_lag" localSheetId="2">Electrochemistry!$D$152</definedName>
    <definedName name="km_O2_c" localSheetId="3">Chemistry!$D$272</definedName>
    <definedName name="km_exp_c" localSheetId="3">Chemistry!$D$273</definedName>
    <definedName name="D_O2_c" localSheetId="3">Chemistry!$D$274</definedName>
    <definedName name="km_HPO4" localSheetId="3">Chemistry!$D$275</definedName>
    <definedName name="km_HCO3" localSheetId="3">Chemistry!$D$276</definedName>
    <definedName name="ca_rho_0" localSheetId="7">Calibrations!$D$155</definedName>
    <definedName name="ca_rho_k" localSheetId="7">Calibrations!$D$156</definedName>
    <definedName name="C_cycle_start_b" localSheetId="4">Biology!$D$97</definedName>
    <definedName name="CO2_margin_trough" localSheetId="4">Biology!$D$98</definedName>
    <definedName name="pulse_res" localSheetId="5">'Mass Transfer'!$D$241</definedName>
    <definedName name="spg_dur_run" localSheetId="5">'Mass Transfer'!$D$242</definedName>
    <definedName name="D_Cl" localSheetId="3">Chemistry!$D$277</definedName>
    <definedName name="Cl_free_frac" localSheetId="3">Chemistry!$D$278</definedName>
    <definedName name="vent_model" localSheetId="5">'Mass Transfer'!$D$301</definedName>
    <definedName name="vent_name_1" localSheetId="5">'Mass Transfer'!$D$302</definedName>
    <definedName name="vent_name_2" localSheetId="5">'Mass Transfer'!$D$303</definedName>
    <definedName name="O2_sizing_phase" localSheetId="5">'Mass Transfer'!$D$304</definedName>
    <definedName name="phase_name_1" localSheetId="5">'Mass Transfer'!$D$305</definedName>
    <definedName name="phase_name_2" localSheetId="5">'Mass Transfer'!$D$306</definedName>
    <definedName name="y_O2_air" localSheetId="5">'Mass Transfer'!$D$307</definedName>
    <definedName name="F_vent_ex" localSheetId="5">'Mass Transfer'!$D$308</definedName>
    <definedName name="O2_src_g" localSheetId="5">'Mass Transfer'!$D$309</definedName>
    <definedName name="O2_src_l" localSheetId="5">'Mass Transfer'!$D$310</definedName>
    <definedName name="rH2_gen" localSheetId="5">'Mass Transfer'!$D$311</definedName>
    <definedName name="H2_cons" localSheetId="5">'Mass Transfer'!$D$312</definedName>
    <definedName name="H2_src_g" localSheetId="5">'Mass Transfer'!$D$313</definedName>
    <definedName name="H2_src_l" localSheetId="5">'Mass Transfer'!$D$314</definedName>
    <definedName name="CO2_fix_g" localSheetId="5">'Mass Transfer'!$D$315</definedName>
    <definedName name="CO2_fix_l" localSheetId="5">'Mass Transfer'!$D$316</definedName>
    <definedName name="O2_src_sched" localSheetId="5">'Mass Transfer'!$D$317</definedName>
    <definedName name="H2_src_sched" localSheetId="5">'Mass Transfer'!$D$318</definedName>
    <definedName name="CO2_fix_sched" localSheetId="5">'Mass Transfer'!$D$319</definedName>
    <definedName name="flush_vol_opt" localSheetId="5">'Mass Transfer'!$D$320</definedName>
    <definedName name="flush_ret_opt" localSheetId="5">'Mass Transfer'!$D$321</definedName>
    <definedName name="saw_factor" localSheetId="5">'Mass Transfer'!$D$322</definedName>
    <definedName name="flush_vol" localSheetId="5">'Mass Transfer'!$D$323</definedName>
    <definedName name="flush_ret" localSheetId="5">'Mass Transfer'!$D$324</definedName>
    <definedName name="t_gap_h" localSheetId="5">'Mass Transfer'!$D$325</definedName>
    <definedName name="tau_L_h" localSheetId="5">'Mass Transfer'!$D$326</definedName>
    <definedName name="S_O2_g" localSheetId="5">'Mass Transfer'!$D$327</definedName>
    <definedName name="F_hs_net_g" localSheetId="5">'Mass Transfer'!$D$328</definedName>
    <definedName name="y_O2_mf_g" localSheetId="5">'Mass Transfer'!$D$329</definedName>
    <definedName name="y_H2_mf_g" localSheetId="5">'Mass Transfer'!$D$330</definedName>
    <definedName name="F_gap_g" localSheetId="5">'Mass Transfer'!$D$331</definedName>
    <definedName name="x_hs_g" localSheetId="5">'Mass Transfer'!$D$332</definedName>
    <definedName name="phi_hs_g" localSheetId="5">'Mass Transfer'!$D$333</definedName>
    <definedName name="psi_hs_g" localSheetId="5">'Mass Transfer'!$D$334</definedName>
    <definedName name="dy_O2_g" localSheetId="5">'Mass Transfer'!$D$335</definedName>
    <definedName name="y_O2_end_g" localSheetId="5">'Mass Transfer'!$D$336</definedName>
    <definedName name="y_O2_post_g" localSheetId="5">'Mass Transfer'!$D$337</definedName>
    <definedName name="y_O2_avg_g" localSheetId="5">'Mass Transfer'!$D$338</definedName>
    <definedName name="DO_surf_excess_g" localSheetId="5">'Mass Transfer'!$D$339</definedName>
    <definedName name="DO_mf_g" localSheetId="5">'Mass Transfer'!$D$340</definedName>
    <definedName name="DO_avg_g" localSheetId="5">'Mass Transfer'!$D$341</definedName>
    <definedName name="DO_peak_g" localSheetId="5">'Mass Transfer'!$D$342</definedName>
    <definedName name="DO_avg_g_mgL" localSheetId="5">'Mass Transfer'!$D$343</definedName>
    <definedName name="DO_peak_g_mgL" localSheetId="5">'Mass Transfer'!$D$344</definedName>
    <definedName name="kLa_surf_req_g" localSheetId="5">'Mass Transfer'!$D$345</definedName>
    <definedName name="kLa_margin_g" localSheetId="5">'Mass Transfer'!$D$346</definedName>
    <definedName name="DO_feas_g" localSheetId="5">'Mass Transfer'!$D$347</definedName>
    <definedName name="DO_peak_chk_g" localSheetId="5">'Mass Transfer'!$D$348</definedName>
    <definedName name="S_O2_l" localSheetId="5">'Mass Transfer'!$D$349</definedName>
    <definedName name="F_hs_net_l" localSheetId="5">'Mass Transfer'!$D$350</definedName>
    <definedName name="y_O2_mf_l" localSheetId="5">'Mass Transfer'!$D$351</definedName>
    <definedName name="y_H2_mf_l" localSheetId="5">'Mass Transfer'!$D$352</definedName>
    <definedName name="F_gap_l" localSheetId="5">'Mass Transfer'!$D$353</definedName>
    <definedName name="x_hs_l" localSheetId="5">'Mass Transfer'!$D$354</definedName>
    <definedName name="phi_hs_l" localSheetId="5">'Mass Transfer'!$D$355</definedName>
    <definedName name="psi_hs_l" localSheetId="5">'Mass Transfer'!$D$356</definedName>
    <definedName name="dy_O2_l" localSheetId="5">'Mass Transfer'!$D$357</definedName>
    <definedName name="y_O2_end_l" localSheetId="5">'Mass Transfer'!$D$358</definedName>
    <definedName name="y_O2_post_l" localSheetId="5">'Mass Transfer'!$D$359</definedName>
    <definedName name="y_O2_avg_l" localSheetId="5">'Mass Transfer'!$D$360</definedName>
    <definedName name="DO_mf_l" localSheetId="5">'Mass Transfer'!$D$361</definedName>
    <definedName name="DO_avg_l" localSheetId="5">'Mass Transfer'!$D$362</definedName>
    <definedName name="DO_peak_l" localSheetId="5">'Mass Transfer'!$D$363</definedName>
    <definedName name="DO_avg_l_mgL" localSheetId="5">'Mass Transfer'!$D$364</definedName>
    <definedName name="DO_peak_l_mgL" localSheetId="5">'Mass Transfer'!$D$365</definedName>
    <definedName name="kLa_surf_req_l" localSheetId="5">'Mass Transfer'!$D$366</definedName>
    <definedName name="kLa_margin_l" localSheetId="5">'Mass Transfer'!$D$367</definedName>
    <definedName name="DO_feas_l" localSheetId="5">'Mass Transfer'!$D$368</definedName>
    <definedName name="DO_peak_chk_l" localSheetId="5">'Mass Transfer'!$D$369</definedName>
    <definedName name="F_gap_sched" localSheetId="5">'Mass Transfer'!$D$371</definedName>
    <definedName name="DO_avg_sched" localSheetId="5">'Mass Transfer'!$D$372</definedName>
    <definedName name="DO_peak_sched" localSheetId="5">'Mass Transfer'!$D$373</definedName>
    <definedName name="DO_peak_band" localSheetId="5">'Mass Transfer'!$D$374</definedName>
    <definedName name="pool_D_raw" localSheetId="5">'Mass Transfer'!$D$375</definedName>
    <definedName name="pool_x" localSheetId="5">'Mass Transfer'!$D$376</definedName>
    <definedName name="pool_phi" localSheetId="5">'Mass Transfer'!$D$377</definedName>
    <definedName name="pool_psi" localSheetId="5">'Mass Transfer'!$D$378</definedName>
    <definedName name="pool_D_gap" localSheetId="5">'Mass Transfer'!$D$379</definedName>
    <definedName name="pool_ret" localSheetId="5">'Mass Transfer'!$D$380</definedName>
    <definedName name="y_CO2_mf" localSheetId="5">'Mass Transfer'!$D$381</definedName>
    <definedName name="C_CO2_mf" localSheetId="5">'Mass Transfer'!$D$382</definedName>
    <definedName name="F_vent_ex_b" localSheetId="4">Biology!$D$111</definedName>
    <definedName name="y_O2_air_b" localSheetId="4">Biology!$D$112</definedName>
    <definedName name="vent_model_sel" localSheetId="0">Summary!$D$111</definedName>
    <definedName name="O2_phase_sel" localSheetId="0">Summary!$D$112</definedName>
    <definedName name="vent_name_3" localSheetId="5">'Mass Transfer'!$D$384</definedName>
    <definedName name="Q_backdraw" localSheetId="5">'Mass Transfer'!$D$385</definedName>
    <definedName name="Q_vent_used" localSheetId="5">'Mass Transfer'!$D$386</definedName>
    <definedName name="H2_HOR_mt" localSheetId="5">'Mass Transfer'!$D$387</definedName>
    <definedName name="H2_src_l_b" localSheetId="4">Biology!$D$113</definedName>
    <definedName name="y_H2_end_l" localSheetId="5">'Mass Transfer'!$D$388</definedName>
    <definedName name="y_H2_end_b" localSheetId="4">Biology!$D$114</definedName>
    <definedName name="hs_sag" localSheetId="5">'Mass Transfer'!$D$389</definedName>
    <definedName name="hs_sag_max" localSheetId="5">'Mass Transfer'!$D$390</definedName>
    <definedName name="hs_sag_chk" localSheetId="5">'Mass Transfer'!$D$391</definedName>
    <definedName name="Reactor_sel" localSheetId="7">Calibrations!$D$157</definedName>
    <definedName name="organism_sel" localSheetId="7">Calibrations!$D$158</definedName>
    <definedName name="rx_ver" localSheetId="7">Calibrations!$D$159</definedName>
    <definedName name="A_x" localSheetId="7">Calibrations!$D$160</definedName>
    <definedName name="R_gas" localSheetId="7">Calibrations!$D$161</definedName>
    <definedName name="F_const" localSheetId="7">Calibrations!$D$162</definedName>
    <definedName name="p_sat_w" localSheetId="7">Calibrations!$D$163</definedName>
    <definedName name="V_charge" localSheetId="2">Electrochemistry!$D$153</definedName>
    <definedName name="organism_sel" localSheetId="2">Electrochemistry!$D$154</definedName>
    <definedName name="V_charge" localSheetId="3">Chemistry!$D$279</definedName>
    <definedName name="media_sel" localSheetId="3">Chemistry!$D$280</definedName>
    <definedName name="override_spg_dur_s" localSheetId="0">Summary!$G$13</definedName>
    <definedName name="override_spg_int_min" localSheetId="0">Summary!$G$15</definedName>
    <definedName name="override_spg_dur_s" localSheetId="5">'Mass Transfer'!$D$392</definedName>
    <definedName name="override_spg_int_min" localSheetId="5">'Mass Transfer'!$D$393</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<sst xmlns="http://schemas.openxmlformats.org/spreadsheetml/2006/main" count="2678" uniqueCount="1931">
  <si>
    <t>CO₂ DOSING FLOWRATES</t>
  </si>
  <si>
    <t>Reactor</t>
  </si>
  <si>
    <t>date</t>
  </si>
  <si>
    <t>cylinder size</t>
  </si>
  <si>
    <t>observed volume*</t>
  </si>
  <si>
    <t>volume</t>
  </si>
  <si>
    <t>time</t>
  </si>
  <si>
    <t>flowrate</t>
  </si>
  <si>
    <t>average flowrate</t>
  </si>
  <si>
    <t>minimum sparge</t>
  </si>
  <si>
    <t>nominal flowrate</t>
  </si>
  <si>
    <t>KEY</t>
  </si>
  <si>
    <t>ml</t>
  </si>
  <si>
    <t>s</t>
  </si>
  <si>
    <t>ml/s</t>
  </si>
  <si>
    <t>Flowrate set by inspection, as maximum to not give bubbles rising into vial neck</t>
  </si>
  <si>
    <t>ed04</t>
  </si>
  <si>
    <t>First or last data point removed as suspect outlier</t>
  </si>
  <si>
    <t>Point</t>
  </si>
  <si>
    <t>Note</t>
  </si>
  <si>
    <t>*</t>
  </si>
  <si>
    <t>CO2 collected in measuring cyclinder over CO2-saturated water</t>
  </si>
  <si>
    <t>Collected using inlet CO2 tube rather than outlet as MEP vialcap leaking</t>
  </si>
  <si>
    <t>Collected over saturated NaHCO3 soln, as Martin  innovated without thinking</t>
  </si>
  <si>
    <t>Parameter</t>
  </si>
  <si>
    <t>Name</t>
  </si>
  <si>
    <t>Unit</t>
  </si>
  <si>
    <t>Value</t>
  </si>
  <si>
    <t>Source</t>
  </si>
  <si>
    <t>Comment</t>
  </si>
  <si>
    <t>Reactor_sel</t>
  </si>
  <si>
    <t>select</t>
  </si>
  <si>
    <t>Active build. Choose from the values below. Dropdown.</t>
  </si>
  <si>
    <t>Electrode</t>
  </si>
  <si>
    <t>electrode_sel</t>
  </si>
  <si>
    <t>MMO tube</t>
  </si>
  <si>
    <t>CO₂ delivery route. Choose from the values below. Dropdown.</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</si>
  <si>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</si>
  <si>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</si>
  <si>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</si>
  <si>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</si>
  <si>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</si>
  <si>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</si>
  <si>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</si>
  <si>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</si>
  <si>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</si>
  <si>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</si>
  <si>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</si>
  <si>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</si>
  <si>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</si>
  <si>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</si>
  <si>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</si>
  <si>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</si>
  <si>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</si>
  <si>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</si>
  <si>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</si>
  <si>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</si>
  <si>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</si>
  <si>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</si>
  <si>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</si>
  <si>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</si>
  <si>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</si>
  <si>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</si>
  <si>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</si>
  <si>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</si>
  <si>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</si>
  <si>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CO₂ sparge interval</t>
  </si>
  <si>
    <t>min</t>
  </si>
  <si>
    <t>Time between doses. Now credits surface O2 stripping (kL_surf proxy); when surface handles the O2 this is carbon-limited. Refine via the kL_surf measurement.</t>
  </si>
  <si>
    <t>Checks</t>
  </si>
  <si>
    <t>Vial geometry consistent?</t>
  </si>
  <si>
    <t>Red until the vial headspace is measured (vial-geometry.md). While red, the pulse above is provisional (~4x uncertain).</t>
  </si>
  <si>
    <t>Reactor calibrated?</t>
  </si>
  <si>
    <t>Red = no CO2-flow calibration for this reactor; results read 'calibrate first' (flow-calibration.md).</t>
  </si>
  <si>
    <t>O₂ at/under organism optimum?</t>
  </si>
  <si>
    <t>Green = dissolved O2 sits at/under the organism optimum; red = surface stripping insufficient, O2 may breach impairment.</t>
  </si>
  <si>
    <t>O₂ above organism minimum?</t>
  </si>
  <si>
    <t>Minimum DO is a data gap for most organisms (dissolved-oxygen.md).</t>
  </si>
  <si>
    <t>Interval can be relaxed (carbon-limited)?</t>
  </si>
  <si>
    <t>If surface stripping handles O2 you may dose far less often (the carbon-limited interval, in Supporting figures). The interval above is the safe fallback until kL_surf is measured.</t>
  </si>
  <si>
    <t>H₂ headspace safe?</t>
  </si>
  <si>
    <t>EXPLOSIVE = H2 evolves faster than it dissolves; ensure headspace venting and no ignition source.</t>
  </si>
  <si>
    <t>Bubble model valid?</t>
  </si>
  <si>
    <t>'Sinter OOR' = sinter pore size out of the validated bubble range; sparge mass-transfer is approximate (expected for the porosity-0 disc).</t>
  </si>
  <si>
    <t>CO₂ supply meets demand?</t>
  </si>
  <si>
    <t>Ratio of CO2 supplied to carbon demand; should be &gt;= 1.</t>
  </si>
  <si>
    <t>Pulse ≥ solenoid floor?</t>
  </si>
  <si>
    <t>The optimal pulse must exceed the shortest reliable sparge.</t>
  </si>
  <si>
    <t>Dosing window OK?</t>
  </si>
  <si>
    <t>Enough gap between doses to read OD without sparging.</t>
  </si>
  <si>
    <t>Carryover risk?</t>
  </si>
  <si>
    <t>Gas velocity below the entrainment limit (no liquid carried out).</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</si>
  <si>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</si>
  <si>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</si>
  <si>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</si>
  <si>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</si>
  <si>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</si>
  <si>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</si>
  <si>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</si>
  <si>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</si>
  <si>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</si>
  <si>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Steady-state DO (surface)</t>
  </si>
  <si>
    <t>mg/L</t>
  </si>
  <si>
    <t>Predicted dissolved O2 the surface stripping settles at; compare to the organism band.</t>
  </si>
  <si>
    <t>Sparge interval if O₂ handled</t>
  </si>
  <si>
    <t>The longer (carbon-limited) interval usable if the 'relaxed' check is green.</t>
  </si>
  <si>
    <t>Stir-bar tip speed</t>
  </si>
  <si>
    <t>m/s</t>
  </si>
  <si>
    <t>Checked against 1.5 m/s above.</t>
  </si>
  <si>
    <t>Carbon margin</t>
  </si>
  <si>
    <t>×</t>
  </si>
  <si>
    <t>Dissolved CO2 vs RuBisCO Km at in-sparge peak; large = ample carbon.</t>
  </si>
  <si>
    <t>Key</t>
  </si>
  <si>
    <t>Verified / handbook / defined / standard</t>
  </si>
  <si>
    <t>Literature-supported (~90%)</t>
  </si>
  <si>
    <t>Design assumption (~70%)</t>
  </si>
  <si>
    <t>Weak / coarse estimate (~50%)</t>
  </si>
  <si>
    <t>Guess - replace when known</t>
  </si>
  <si>
    <t>DATA GAP - measure, do not invent</t>
  </si>
  <si>
    <t>Value font: blue = input you set/measure</t>
  </si>
  <si>
    <t>black = formula / derived</t>
  </si>
  <si>
    <t>purple = fixed data / constant</t>
  </si>
  <si>
    <t>OK</t>
  </si>
  <si>
    <t>Caution</t>
  </si>
  <si>
    <t>Problem</t>
  </si>
  <si>
    <t>Improvements</t>
  </si>
  <si>
    <t>Impact</t>
  </si>
  <si>
    <t>Effort</t>
  </si>
  <si>
    <t>Protocol</t>
  </si>
  <si>
    <t>Why it matters</t>
  </si>
  <si>
    <t>GEOMETRY</t>
  </si>
  <si>
    <t>Source / assumption</t>
  </si>
  <si>
    <t>IMPORTS (from other tabs)</t>
  </si>
  <si>
    <t>(import) Reactor selection</t>
  </si>
  <si>
    <t>reactor_sel</t>
  </si>
  <si>
    <t>-</t>
  </si>
  <si>
    <t>(import) Media volume (set)</t>
  </si>
  <si>
    <t xml:space="preserve">  valid version 1</t>
  </si>
  <si>
    <t>ver_name_1</t>
  </si>
  <si>
    <t>AEP0.1.1</t>
  </si>
  <si>
    <t>Superseded by the reactor-type lookup below; not read by any formula</t>
  </si>
  <si>
    <t xml:space="preserve">  valid version 2</t>
  </si>
  <si>
    <t>ver_name_2</t>
  </si>
  <si>
    <t>AEP0.2</t>
  </si>
  <si>
    <t>Vial outer diameter - AEP0.1.1</t>
  </si>
  <si>
    <t>vial_OD_1</t>
  </si>
  <si>
    <t>mm</t>
  </si>
  <si>
    <t>Vial outer diameter - AEP0.2</t>
  </si>
  <si>
    <t>vial_OD_2</t>
  </si>
  <si>
    <t>Internal usable depth - AEP0.1.1</t>
  </si>
  <si>
    <t>D_int_1</t>
  </si>
  <si>
    <t>Internal usable depth - AEP0.2</t>
  </si>
  <si>
    <t>D_int_2</t>
  </si>
  <si>
    <t>Recommended max working volume - AEP0.1.1</t>
  </si>
  <si>
    <t>Vmax_1</t>
  </si>
  <si>
    <t>Recommended max working volume - AEP0.2</t>
  </si>
  <si>
    <t>Vmax_2</t>
  </si>
  <si>
    <t>Total internal vial volume - AEP0.1.1</t>
  </si>
  <si>
    <t>Vtot_1</t>
  </si>
  <si>
    <t>Total internal vial volume - AEP0.2</t>
  </si>
  <si>
    <t>Vtot_2</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</si>
  <si>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</si>
  <si>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</si>
  <si>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</si>
  <si>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</si>
  <si>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</si>
  <si>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</si>
  <si>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</si>
  <si>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</si>
  <si>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</si>
  <si>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</si>
  <si>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</si>
  <si>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</si>
  <si>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</si>
  <si>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</si>
  <si>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</si>
  <si>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</si>
  <si>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</si>
  <si>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</si>
  <si>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</si>
  <si>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</si>
  <si>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</si>
  <si>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</si>
  <si>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</si>
  <si>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</si>
  <si>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</si>
  <si>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</si>
  <si>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</si>
  <si>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</si>
  <si>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</si>
  <si>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</si>
  <si>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</si>
  <si>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</si>
  <si>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</si>
  <si>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</si>
  <si>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</si>
  <si>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</si>
  <si>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</si>
  <si>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</si>
  <si>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</si>
  <si>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</si>
  <si>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</si>
  <si>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</si>
  <si>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</si>
  <si>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</si>
  <si>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</si>
  <si>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</si>
  <si>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</si>
  <si>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</si>
  <si>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</si>
  <si>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</si>
  <si>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</si>
  <si>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</si>
  <si>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</si>
  <si>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</si>
  <si>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</si>
  <si>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</si>
  <si>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</si>
  <si>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</si>
  <si>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</si>
  <si>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</si>
  <si>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</si>
  <si>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</si>
  <si>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</si>
  <si>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</si>
  <si>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</si>
  <si>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</si>
  <si>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</si>
  <si>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</si>
  <si>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</si>
  <si>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</si>
  <si>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</si>
  <si>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</si>
  <si>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</si>
  <si>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</si>
  <si>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</si>
  <si>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</si>
  <si>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</si>
  <si>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</si>
  <si>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</si>
  <si>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</si>
  <si>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</si>
  <si>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</si>
  <si>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</si>
  <si>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</si>
  <si>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</si>
  <si>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</si>
  <si>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</si>
  <si>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</si>
  <si>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</si>
  <si>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</si>
  <si>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</si>
  <si>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</si>
  <si>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Total vial volume - liquid charged - inserts (captures neck narrowing).</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</si>
  <si>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</si>
  <si>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</si>
  <si>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</si>
  <si>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</si>
  <si>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</si>
  <si>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</si>
  <si>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</si>
  <si>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</si>
  <si>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</si>
  <si>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</si>
  <si>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</si>
  <si>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</si>
  <si>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</si>
  <si>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</si>
  <si>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</si>
  <si>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</si>
  <si>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</si>
  <si>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</si>
  <si>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</si>
  <si>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</si>
  <si>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</si>
  <si>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</si>
  <si>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</si>
  <si>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</si>
  <si>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</si>
  <si>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</si>
  <si>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</si>
  <si>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</si>
  <si>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</si>
  <si>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</si>
  <si>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</si>
  <si>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</si>
  <si>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</si>
  <si>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</si>
  <si>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</si>
  <si>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</si>
  <si>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</si>
  <si>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</si>
  <si>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</si>
  <si>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</si>
  <si>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</si>
  <si>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</si>
  <si>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</si>
  <si>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</si>
  <si>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</si>
  <si>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</si>
  <si>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</si>
  <si>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</si>
  <si>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</si>
  <si>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</si>
  <si>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</si>
  <si>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Fires INCONSISTENT for the 20 mL vial because the bare cylinder (A_x x usable depth ~28 mL) overestimates the true 20 mL vial (it tapers/necks, not a full cylinder to 55 mm). Expected tolerance artifact, not a data error - resolved by measuring true bore depth (protocols/vial-geometry.md).</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</si>
  <si>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</si>
  <si>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</si>
  <si>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</si>
  <si>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</si>
  <si>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</si>
  <si>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</si>
  <si>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</si>
  <si>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</si>
  <si>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</si>
  <si>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</si>
  <si>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</si>
  <si>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</si>
  <si>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</si>
  <si>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</si>
  <si>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</si>
  <si>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</si>
  <si>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</si>
  <si>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</si>
  <si>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</si>
  <si>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</si>
  <si>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</si>
  <si>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</si>
  <si>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</si>
  <si>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</si>
  <si>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</si>
  <si>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</si>
  <si>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</si>
  <si>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</si>
  <si>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</si>
  <si>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</si>
  <si>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</si>
  <si>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</si>
  <si>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</si>
  <si>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</si>
  <si>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</si>
  <si>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</si>
  <si>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</si>
  <si>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</si>
  <si>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</si>
  <si>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</si>
  <si>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</si>
  <si>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</si>
  <si>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I(mA) = slope x intensity + intercept; /1000 -&gt; A.</t>
  </si>
  <si>
    <t>Gerrit's Law validity flag</t>
  </si>
  <si>
    <t>I_valid</t>
  </si>
  <si>
    <t>Linear fit only validated over the stated range.</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</si>
  <si>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</si>
  <si>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</si>
  <si>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</si>
  <si>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</si>
  <si>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</si>
  <si>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</si>
  <si>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</si>
  <si>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</si>
  <si>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</si>
  <si>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</si>
  <si>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</si>
  <si>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</si>
  <si>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</si>
  <si>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</si>
  <si>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</si>
  <si>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</si>
  <si>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</si>
  <si>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</si>
  <si>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</si>
  <si>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Electrons per O₂ reduced (cathode)</t>
  </si>
  <si>
    <t>z_e_ORR</t>
  </si>
  <si>
    <t>Electrode lookup fixes ORR at 2 e- (peroxide pathway, SS cathode, neutral pH) for every current electrode; a 4 e- (to-water) electrode would need its own table row.</t>
  </si>
  <si>
    <t>O₂ consumed at cathode (ORR)</t>
  </si>
  <si>
    <t>O2_cathode_ORR</t>
  </si>
  <si>
    <t>Cathodic current not making H₂ (1−etaF) reduces dissolved O₂. 0 at etaF=1.</t>
  </si>
  <si>
    <t>Net O₂ to dissolved pool</t>
  </si>
  <si>
    <t>O2_net_gen</t>
  </si>
  <si>
    <t>Anodic O₂ minus cathodic consumption — the O₂ the dissolved pool receives.</t>
  </si>
  <si>
    <t>z_e_ORR=2 assumed (peroxide, non-Pt SS cathode, neutral pH); etaF unmeasured - both live here per electrode.</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</si>
  <si>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</si>
  <si>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</si>
  <si>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</si>
  <si>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</si>
  <si>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</si>
  <si>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</si>
  <si>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</si>
  <si>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</si>
  <si>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</si>
  <si>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</si>
  <si>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</si>
  <si>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</si>
  <si>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</si>
  <si>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</si>
  <si>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</si>
  <si>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</si>
  <si>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</si>
  <si>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</si>
  <si>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</si>
  <si>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</si>
  <si>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</si>
  <si>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</si>
  <si>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</si>
  <si>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</si>
  <si>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</si>
  <si>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</si>
  <si>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</si>
  <si>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</si>
  <si>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</si>
  <si>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</si>
  <si>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</si>
  <si>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</si>
  <si>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</si>
  <si>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</si>
  <si>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</si>
  <si>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</si>
  <si>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</si>
  <si>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Assumes 100% of evolved H₂ consumed — steady growth only; ~0 during lag (see §13).</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</si>
  <si>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</si>
  <si>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</si>
  <si>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</si>
  <si>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</si>
  <si>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</si>
  <si>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</si>
  <si>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</si>
  <si>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</si>
  <si>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</si>
  <si>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</si>
  <si>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</si>
  <si>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</si>
  <si>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</si>
  <si>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</si>
  <si>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</si>
  <si>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</si>
  <si>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</si>
  <si>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</si>
  <si>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</si>
  <si>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</si>
  <si>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</si>
  <si>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</si>
  <si>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</si>
  <si>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</si>
  <si>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</si>
  <si>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</si>
  <si>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</si>
  <si>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</si>
  <si>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</si>
  <si>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</si>
  <si>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</si>
  <si>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van 't Hoff correction to reactor 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</si>
  <si>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</si>
  <si>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</si>
  <si>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</si>
  <si>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</si>
  <si>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</si>
  <si>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</si>
  <si>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</si>
  <si>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</si>
  <si>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</si>
  <si>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</si>
  <si>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</si>
  <si>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</si>
  <si>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</si>
  <si>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</si>
  <si>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</si>
  <si>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</si>
  <si>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</si>
  <si>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</si>
  <si>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</si>
  <si>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</si>
  <si>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</si>
  <si>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</si>
  <si>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CO₂ partial pressure at sparge</t>
  </si>
  <si>
    <t>p_CO2_sparge</t>
  </si>
  <si>
    <t>Pure-CO₂ sparge: p_CO₂ ≈ surface pressure during a pulse. Assumption.</t>
  </si>
  <si>
    <t>Dissolved CO₂ (during sparge)</t>
  </si>
  <si>
    <t>CO2_diss</t>
  </si>
  <si>
    <t>Equilibrium dissolved CO₂ while sparging (mol/m³ = mM).</t>
  </si>
  <si>
    <t>RuBisCO Km for CO₂</t>
  </si>
  <si>
    <t>Km_CO2</t>
  </si>
  <si>
    <t>RuBisCO Km(CO₂) ~ order 50 µM. Coarse — confirm.</t>
  </si>
  <si>
    <t>Carbon margin (dissolved CO₂ : Km)</t>
  </si>
  <si>
    <t>CO2_carbon_margin</t>
  </si>
  <si>
    <t>Dissolved CO₂ : RuBisCO Km. ≫1 = saturating (duty-averaged lower).</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</si>
  <si>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</si>
  <si>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</si>
  <si>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</si>
  <si>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</si>
  <si>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</si>
  <si>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</si>
  <si>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</si>
  <si>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</si>
  <si>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</si>
  <si>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</si>
  <si>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</si>
  <si>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</si>
  <si>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</si>
  <si>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</si>
  <si>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</si>
  <si>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</si>
  <si>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</si>
  <si>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</si>
  <si>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</si>
  <si>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</si>
  <si>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</si>
  <si>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</si>
  <si>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</si>
  <si>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</si>
  <si>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H₂ headspace safety flag</t>
  </si>
  <si>
    <t>H2_safety</t>
  </si>
  <si>
    <t>On when H₂ escapes faster than it dissolves (H2_turnover&gt;1) → explosive H₂+O₂ headspace (4–94% in O₂). On at any useful current — headspace venting is mandatory.</t>
  </si>
  <si>
    <t>Pink no longer used here - red fill = hazard (H2 evolving faster than it dissolves), not a data gap.</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</si>
  <si>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</si>
  <si>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</si>
  <si>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</si>
  <si>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</si>
  <si>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</si>
  <si>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</si>
  <si>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</si>
  <si>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</si>
  <si>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</si>
  <si>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</si>
  <si>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</si>
  <si>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</si>
  <si>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</si>
  <si>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</si>
  <si>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</si>
  <si>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11.5 = Wilde &amp; Schlegel 1982 literature datum; model's operative O2 ceiling is computed via Henry (~10.7 mg/L at 30C) - the two differ slightly</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</si>
  <si>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</si>
  <si>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</si>
  <si>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</si>
  <si>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</si>
  <si>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</si>
  <si>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</si>
  <si>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</si>
  <si>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</si>
  <si>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</si>
  <si>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</si>
  <si>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</si>
  <si>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Magnetic stir bar. Pioreactor max 20 mm; confirm the supplied bar's length. Input.</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</si>
  <si>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</si>
  <si>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</si>
  <si>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</si>
  <si>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</si>
  <si>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</si>
  <si>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</si>
  <si>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</si>
  <si>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</si>
  <si>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</si>
  <si>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</si>
  <si>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</si>
  <si>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</si>
  <si>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</si>
  <si>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</si>
  <si>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</si>
  <si>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</si>
  <si>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</si>
  <si>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</si>
  <si>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</si>
  <si>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</si>
  <si>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</si>
  <si>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</si>
  <si>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</si>
  <si>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</si>
  <si>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</si>
  <si>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</si>
  <si>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</si>
  <si>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</si>
  <si>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</si>
  <si>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</si>
  <si>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</si>
  <si>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</si>
  <si>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</si>
  <si>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</si>
  <si>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</si>
  <si>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</si>
  <si>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</si>
  <si>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</si>
  <si>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</si>
  <si>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</si>
  <si>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</si>
  <si>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</si>
  <si>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</si>
  <si>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</si>
  <si>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</si>
  <si>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</si>
  <si>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</si>
  <si>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</si>
  <si>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</si>
  <si>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</si>
  <si>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</si>
  <si>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</si>
  <si>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</si>
  <si>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</si>
  <si>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</si>
  <si>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</si>
  <si>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</si>
  <si>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</si>
  <si>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</si>
  <si>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</si>
  <si>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</si>
  <si>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</si>
  <si>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</si>
  <si>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</si>
  <si>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</si>
  <si>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</si>
  <si>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</si>
  <si>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</si>
  <si>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</si>
  <si>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</si>
  <si>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</si>
  <si>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</si>
  <si>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</si>
  <si>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</si>
  <si>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</si>
  <si>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</si>
  <si>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</si>
  <si>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</si>
  <si>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</si>
  <si>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</si>
  <si>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</si>
  <si>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</si>
  <si>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</si>
  <si>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</si>
  <si>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</si>
  <si>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</si>
  <si>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</si>
  <si>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</si>
  <si>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</si>
  <si>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</si>
  <si>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</si>
  <si>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</si>
  <si>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</si>
  <si>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</si>
  <si>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</si>
  <si>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</si>
  <si>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</si>
  <si>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</si>
  <si>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</si>
  <si>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</si>
  <si>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</si>
  <si>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</si>
  <si>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</si>
  <si>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</si>
  <si>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</si>
  <si>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Bubble O₂ strip at the ceiling driving force (best case). 0 for sub-mm bubbles (fine sinter, bubble model out of range — see bubble_regime).</t>
  </si>
  <si>
    <t>O₂ strip rate time-averaged</t>
  </si>
  <si>
    <t>strip_avg</t>
  </si>
  <si>
    <t>x duty cycle.</t>
  </si>
  <si>
    <t>Strip capacity : excess-O₂</t>
  </si>
  <si>
    <t>strip_ratio</t>
  </si>
  <si>
    <t>Bubble strip : surplus. ≪1 — the §11 surface path is the real route.</t>
  </si>
  <si>
    <t>Required time-avg kLa</t>
  </si>
  <si>
    <t>kLa_req</t>
  </si>
  <si>
    <t>kLa that would exactly strip the excess at the ceiling.</t>
  </si>
  <si>
    <t>Entrainment velocity ceiling (rule of thumb)</t>
  </si>
  <si>
    <t>u_g_max</t>
  </si>
  <si>
    <t>Provisional superficial-velocity ceiling above which droplet carryover to the hydrophilic vent filters becomes likely. Replace with measured value.</t>
  </si>
  <si>
    <t>Carryover flag</t>
  </si>
  <si>
    <t>carry_flag</t>
  </si>
  <si>
    <t>Operating gas velocity vs ceiling.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</si>
  <si>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</si>
  <si>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</si>
  <si>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</si>
  <si>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</si>
  <si>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</si>
  <si>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</si>
  <si>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</si>
  <si>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</si>
  <si>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</si>
  <si>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</si>
  <si>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</si>
  <si>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</si>
  <si>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</si>
  <si>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</si>
  <si>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</si>
  <si>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Minutes to reach the O₂ ceiling from ~0 with no removal (steady, etaF=1) — the O₂ timescale.</t>
  </si>
  <si>
    <t>O₂ time-to-ceiling (with time-avg strip)</t>
  </si>
  <si>
    <t>t_O2_ceiling_strip</t>
  </si>
  <si>
    <t>As above, crediting time-averaged bubble strip (≈unchanged → bubbles aren't the mechanism). 9999 = cleared.</t>
  </si>
  <si>
    <t>Stir-bar speed</t>
  </si>
  <si>
    <t>stir_rpm</t>
  </si>
  <si>
    <t>1/min</t>
  </si>
  <si>
    <t>Pioreactor stir setpoint. RPM floor ~125 (stalls below). Input/confirm.</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</si>
  <si>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</si>
  <si>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</si>
  <si>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</si>
  <si>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</si>
  <si>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</si>
  <si>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</si>
  <si>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</si>
  <si>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</si>
  <si>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</si>
  <si>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</si>
  <si>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</si>
  <si>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</si>
  <si>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</si>
  <si>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</si>
  <si>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</si>
  <si>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</si>
  <si>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</si>
  <si>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</si>
  <si>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O₂ frac. to vent excess</t>
  </si>
  <si>
    <t>y_O2_vent</t>
  </si>
  <si>
    <t>Headspace O₂ fraction at which the vented CO₂ carries the surplus out. kL-independent.</t>
  </si>
  <si>
    <t>DO in equilib. with that headspace</t>
  </si>
  <si>
    <t>DO_vent_eq</t>
  </si>
  <si>
    <t>Headspace flush time</t>
  </si>
  <si>
    <t>hs_flush_time</t>
  </si>
  <si>
    <t>Avg CO₂ flow to displace one headspace volume.</t>
  </si>
  <si>
    <t>Combined O₂ removal : excess</t>
  </si>
  <si>
    <t>O2_removal_ratio</t>
  </si>
  <si>
    <t>Upper bound: surface + sparge O2 sinks are in series (liquid-&gt;headspace-&gt;vent), not strictly additive</t>
  </si>
  <si>
    <t>O₂ time-to-ceiling (LAG, no uptake)</t>
  </si>
  <si>
    <t>t_O2_ceiling_lag</t>
  </si>
  <si>
    <t>Lag/establishment: no biological O₂ uptake yet, so the full net O₂ accumulates. Worst case.</t>
  </si>
  <si>
    <t>O₂ time-to-ceiling (with all removal)</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</si>
  <si>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</si>
  <si>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</si>
  <si>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</si>
  <si>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</si>
  <si>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</si>
  <si>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</si>
  <si>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</si>
  <si>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</si>
  <si>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</si>
  <si>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</si>
  <si>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</si>
  <si>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</si>
  <si>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</si>
  <si>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</si>
  <si>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</si>
  <si>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</si>
  <si>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</si>
  <si>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</si>
  <si>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</si>
  <si>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</si>
  <si>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Max interval — O₂ flush frequency</t>
  </si>
  <si>
    <t>spg_int_max</t>
  </si>
  <si>
    <t>OPTIMAL pulse duration</t>
  </si>
  <si>
    <t>spg_dur_opt</t>
  </si>
  <si>
    <t>ANSWER. Shortest reliable pulse → most frequent, smoothest DO, best OD-read windows.</t>
  </si>
  <si>
    <t>OPTIMAL sparge interval</t>
  </si>
  <si>
    <t>spg_int_opt</t>
  </si>
  <si>
    <t xml:space="preserve">  optimal interval (seconds)</t>
  </si>
  <si>
    <t>spg_int_opt_s</t>
  </si>
  <si>
    <t>Convenience: interval in seconds.</t>
  </si>
  <si>
    <t xml:space="preserve">  resulting duty / binding constraint</t>
  </si>
  <si>
    <t>duty_actual</t>
  </si>
  <si>
    <t>Achieved duty at the optimum (= duty_opt unless the flush-frequency cap binds, raising it).</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</si>
  <si>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</si>
  <si>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</si>
  <si>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</si>
  <si>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</si>
  <si>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</si>
  <si>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</si>
  <si>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</si>
  <si>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</si>
  <si>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</si>
  <si>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</si>
  <si>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</si>
  <si>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</si>
  <si>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</si>
  <si>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</si>
  <si>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</si>
  <si>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</si>
  <si>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</si>
  <si>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</si>
  <si>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</si>
  <si>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</si>
  <si>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</si>
  <si>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</si>
  <si>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</si>
  <si>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</si>
  <si>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</si>
  <si>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</si>
  <si>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</si>
  <si>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</si>
  <si>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</si>
  <si>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</si>
  <si>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</si>
  <si>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Steady-state DO under surface stripping</t>
  </si>
  <si>
    <t>DO_ss</t>
  </si>
  <si>
    <t xml:space="preserve">  DO_ss vs optimum (organism)</t>
  </si>
  <si>
    <t>DO_ss_vs_opt</t>
  </si>
  <si>
    <t xml:space="preserve">  DO_ss vs minimum (organism)</t>
  </si>
  <si>
    <t>DO_ss_vs_min</t>
  </si>
  <si>
    <t>Tip-speed shear flag (&lt;1.5 m/s)</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</si>
  <si>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</si>
  <si>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</si>
  <si>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</si>
  <si>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</si>
  <si>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</si>
  <si>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</si>
  <si>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Resolved by measuring kL_surf (improvement #1).</t>
  </si>
  <si>
    <t>CO₂ DOSING &amp; SCHEDULE (folded from Dosing)</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</si>
  <si>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</si>
  <si>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</si>
  <si>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</si>
  <si>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</si>
  <si>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</si>
  <si>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</si>
  <si>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</si>
  <si>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</si>
  <si>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</si>
  <si>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</si>
  <si>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</si>
  <si>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</si>
  <si>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</si>
  <si>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</si>
  <si>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</si>
  <si>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</si>
  <si>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</si>
  <si>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</si>
  <si>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</si>
  <si>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</si>
  <si>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</si>
  <si>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</si>
  <si>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</si>
  <si>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</si>
  <si>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</si>
  <si>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</si>
  <si>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</si>
  <si>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</si>
  <si>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</si>
  <si>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</si>
  <si>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</si>
  <si>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</si>
  <si>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</si>
  <si>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</si>
  <si>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</si>
  <si>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Critical surface kL_surf (DO_ss = impairment DO)</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</si>
  <si>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</si>
  <si>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</si>
  <si>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</si>
  <si>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</si>
  <si>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</si>
  <si>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</si>
  <si>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</si>
  <si>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</si>
  <si>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</si>
  <si>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</si>
  <si>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</si>
  <si>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</si>
  <si>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(import) Dissolved CO₂ (worst case, full sparge)</t>
  </si>
  <si>
    <t>CO2aqc</t>
  </si>
  <si>
    <t>mol/L</t>
  </si>
  <si>
    <t>(import) Electrolysis current (Gerrit's Law)</t>
  </si>
  <si>
    <t>Iappc</t>
  </si>
  <si>
    <t>A</t>
  </si>
  <si>
    <t>→ Electrochemistry (I_app)</t>
  </si>
  <si>
    <t>(import) Faraday constant</t>
  </si>
  <si>
    <t>Fcc</t>
  </si>
  <si>
    <t>C/mol</t>
  </si>
  <si>
    <t>→ Electrochemistry (F_const)</t>
  </si>
  <si>
    <t>(import) Reactor liquid volume</t>
  </si>
  <si>
    <t>VLc</t>
  </si>
  <si>
    <t>L</t>
  </si>
  <si>
    <t>→ Biology (V_charge / 1000)</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</si>
  <si>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</si>
  <si>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</si>
  <si>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</si>
  <si>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</si>
  <si>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</si>
  <si>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</si>
  <si>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</si>
  <si>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</si>
  <si>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</si>
  <si>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</si>
  <si>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</si>
  <si>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</si>
  <si>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</si>
  <si>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</si>
  <si>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</si>
  <si>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</si>
  <si>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</si>
  <si>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</si>
  <si>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</si>
  <si>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</si>
  <si>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</si>
  <si>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</si>
  <si>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</si>
  <si>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</si>
  <si>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</si>
  <si>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</si>
  <si>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</si>
  <si>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</si>
  <si>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</si>
  <si>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</si>
  <si>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</si>
  <si>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</si>
  <si>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</si>
  <si>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</si>
  <si>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</si>
  <si>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</si>
  <si>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</si>
  <si>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</si>
  <si>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</si>
  <si>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</si>
  <si>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</si>
  <si>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</si>
  <si>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</si>
  <si>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</si>
  <si>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</si>
  <si>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</si>
  <si>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</si>
  <si>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</si>
  <si>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</si>
  <si>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</si>
  <si>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</si>
  <si>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</si>
  <si>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</si>
  <si>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</si>
  <si>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</si>
  <si>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</si>
  <si>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</si>
  <si>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</si>
  <si>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</si>
  <si>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</si>
  <si>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</si>
  <si>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</si>
  <si>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</si>
  <si>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</si>
  <si>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</si>
  <si>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</si>
  <si>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</si>
  <si>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
  </si>
  <si>
    <t>UdG — chloride</t>
  </si>
  <si>
    <t>Cl_udg</t>
  </si>
  <si>
    <t>mol/L</t>
  </si>
  <si>
    <t>trace-metal Cl excluded (negligible)</t>
  </si>
  <si>
    <t>(sel) strong-ion difference</t>
  </si>
  <si>
    <t>pH_SID</t>
  </si>
  <si>
    <t>mol/L</t>
  </si>
  <si>
    <t>by media_sel</t>
  </si>
  <si>
    <t>(sel) total phosphate</t>
  </si>
  <si>
    <t>pH_PT</t>
  </si>
  <si>
    <t>mol/L</t>
  </si>
  <si>
    <t>by media_sel</t>
  </si>
  <si>
    <t>(sel) total ammonium</t>
  </si>
  <si>
    <t>pH_NT</t>
  </si>
  <si>
    <t>mol/L</t>
  </si>
  <si>
    <t>by media_sel</t>
  </si>
  <si>
    <t>(sel) chloride</t>
  </si>
  <si>
    <t>pH_Cl</t>
  </si>
  <si>
    <t>mol/L</t>
  </si>
  <si>
    <t>by media_sel</t>
  </si>
  <si>
    <t>residual mol/L</t>
  </si>
  <si>
    <t>interp pH at root</t>
  </si>
  <si>
    <t>OPERATING pH (buffered, worst case)</t>
  </si>
  <si>
    <t>pH_op</t>
  </si>
  <si>
    <t>-</t>
  </si>
  <si>
    <t>WORST CASE: pH at full-sparge dissolved CO₂ (the trough during/after a CO₂ pulse). A real probe with response lag may read higher between pulses — a measurement that misses this trough is not the model being wrong.</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</si>
  <si>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</si>
  <si>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</si>
  <si>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</si>
  <si>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</si>
  <si>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</si>
  <si>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</si>
  <si>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</si>
  <si>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</si>
  <si>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</si>
  <si>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</si>
  <si>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</si>
  <si>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</si>
  <si>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</si>
  <si>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</si>
  <si>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</si>
  <si>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</si>
  <si>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</si>
  <si>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</si>
  <si>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</si>
  <si>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</si>
  <si>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</si>
  <si>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</si>
  <si>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</si>
  <si>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</si>
  <si>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</si>
  <si>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</si>
  <si>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</si>
  <si>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</si>
  <si>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</si>
  <si>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</si>
  <si>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</si>
  <si>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</si>
  <si>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</si>
  <si>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</si>
  <si>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Endpoint pH (worst-case, full sparge)</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</si>
  <si>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</si>
  <si>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</si>
  <si>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</si>
  <si>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</si>
  <si>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Sawtooth steady DO (surface-credited, STEADY src)</t>
  </si>
  <si>
    <t>DO_ss_sawtooth</t>
  </si>
  <si>
    <t>mol/m³</t>
  </si>
  <si>
    <t>Sparge regime (surface-held vs sparge-needed)</t>
  </si>
  <si>
    <t>spg_int_regime</t>
  </si>
  <si>
    <t>-</t>
  </si>
  <si>
    <t>Sawtooth steady DO (LAG src — what the guard banks on)</t>
  </si>
  <si>
    <t>DO_ss_sawtooth_lag</t>
  </si>
  <si>
    <t>mol/m³</t>
  </si>
  <si>
    <t>O₂ removable across the stirred surface at ceiling driving force — a FEASIBILITY CEILING for surf_ratio / O2_removal_ratio only. NEVER subtracted inside a safety guard (kL_surf is a ~375%-uncertain best-case proxy); the guards size on O2_src_guard (D132) with this credit withheld.</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</si>
  <si>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</si>
  <si>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</si>
  <si>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</si>
  <si>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</si>
  <si>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</si>
  <si>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</si>
  <si>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</si>
  <si>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</si>
  <si>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</si>
  <si>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</si>
  <si>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</si>
  <si>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</si>
  <si>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</si>
  <si>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</si>
  <si>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</si>
  <si>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</si>
  <si>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~106% on the schedule — sets the liquid charge, headspace and flush sizing; water-fill</t>
  </si>
  <si>
    <t>Measure cathodic Faradaic efficiency (etaF)</t>
  </si>
  <si>
    <t>HIGH</t>
  </si>
  <si>
    <t>med</t>
  </si>
  <si>
    <t>Confirm knallgas uptake ratio (H2:O2:CO2)</t>
  </si>
  <si>
    <t>MED</t>
  </si>
  <si>
    <t>high</t>
  </si>
  <si>
    <t>~95% on the O2 surplus + carbon demand; needs a growing culture</t>
  </si>
  <si>
    <t>Measure anodic Faradaic efficiency (etaF_OER)</t>
  </si>
  <si>
    <t>MED</t>
  </si>
  <si>
    <t>med</t>
  </si>
  <si>
    <t>Measure vial wall thickness</t>
  </si>
  <si>
    <t>MED</t>
  </si>
  <si>
    <t>low</t>
  </si>
  <si>
    <t>high-leverage caliper measurement — drives the headspace/displacement budget</t>
  </si>
  <si>
    <t>Bench-characterise the solenoid pulse floor</t>
  </si>
  <si>
    <t>LOW</t>
  </si>
  <si>
    <t>low</t>
  </si>
  <si>
    <t>~27% — the recommended pulse IS pulse_floor; trivial to characterise on the bench</t>
  </si>
  <si>
    <t>Determine organism minimum DO</t>
  </si>
  <si>
    <t>MED</t>
  </si>
  <si>
    <t>low</t>
  </si>
  <si>
    <t>lower DO guardrail; a gap for every organism</t>
  </si>
  <si>
    <t>Calibrate flow for each reactor</t>
  </si>
  <si>
    <t>MED</t>
  </si>
  <si>
    <t>low</t>
  </si>
  <si>
    <t>each experiment; only ed04 done</t>
  </si>
  <si>
    <t>Measure / confirm sinter porosity</t>
  </si>
  <si>
    <t>LOW</t>
  </si>
  <si>
    <t>low</t>
  </si>
  <si>
    <t>bubble size; currently grade 0 from Gerrit's disc</t>
  </si>
  <si>
    <t>Record lab ambient pressure</t>
  </si>
  <si>
    <t>LOW</t>
  </si>
  <si>
    <t>low</t>
  </si>
  <si>
    <t>~33% via the O2 ceiling; also Henry solubilities + gas volumes</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</si>
  <si>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</si>
  <si>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</si>
  <si>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</si>
  <si>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interval (rounded)</t>
  </si>
  <si>
    <t>CO₂ sparge duration</t>
  </si>
  <si>
    <t>CO₂ sparge duration (rounded)</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</si>
  <si>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</si>
  <si>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</si>
  <si>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</si>
  <si>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</si>
  <si>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</si>
  <si>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</si>
  <si>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</si>
  <si>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</si>
  <si>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</si>
  <si>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</si>
  <si>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</si>
  <si>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</si>
  <si>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</si>
  <si>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</si>
  <si>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</si>
  <si>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</si>
  <si>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</si>
  <si>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</si>
  <si>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</si>
  <si>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</si>
  <si>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</si>
  <si>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</si>
  <si>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</si>
  <si>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</si>
  <si>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</si>
  <si>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</si>
  <si>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</si>
  <si>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</si>
  <si>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</si>
  <si>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</si>
  <si>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</si>
  <si>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</si>
  <si>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</si>
  <si>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</si>
  <si>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</si>
  <si>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</si>
  <si>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</si>
  <si>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</si>
  <si>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</si>
  <si>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</si>
  <si>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</si>
  <si>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</si>
  <si>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</si>
  <si>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</si>
  <si>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</si>
  <si>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</si>
  <si>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</si>
  <si>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</si>
  <si>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</si>
  <si>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</si>
  <si>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</si>
  <si>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</si>
  <si>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Time combined chlorine persists before consumption (growth N-uptake, cathodic reduction, dilution). Lit: minutes–hours; system-specific value unknown — SENSITIVITY parameter.</t>
  </si>
  <si>
    <t>Steady combined chlorine (monochloramine)</t>
  </si>
  <si>
    <t>NH2Cl_mgL</t>
  </si>
  <si>
    <t>Production held as monochloramine over its residence, capped at the ammonium capacity (5.06 mg Cl₂/mg N). Longer-lived and still biocidal — not harmless.</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</si>
  <si>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</si>
  <si>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</si>
  <si>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</si>
  <si>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</si>
  <si>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</si>
  <si>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</si>
  <si>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</si>
  <si>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</si>
  <si>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</si>
  <si>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</si>
  <si>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</si>
  <si>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</si>
  <si>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</si>
  <si>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Set by the Summary 'Your setting' override (G13/G15) when filled; otherwise this Manual/Optimal selector + the manual cells below apply. Optimal = recommended schedule.</t>
  </si>
  <si>
    <t>Your pulse length when sched_mode=Manual. Easiest: type into the Summary 'Your setting' column (G13) instead — it overrides everything.</t>
  </si>
  <si>
    <t>Your interval when sched_mode=Manual. Easiest: type into the Summary 'Your setting' column (G15) instead — it overrides everything.</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</si>
  <si>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</si>
  <si>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</si>
  <si>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</si>
  <si>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</si>
  <si>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</si>
  <si>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</si>
  <si>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</si>
  <si>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</si>
  <si>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</si>
  <si>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</si>
  <si>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</si>
  <si>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</si>
  <si>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</si>
  <si>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</si>
  <si>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</si>
  <si>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</si>
  <si>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</si>
  <si>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CO2_int_on</t>
  </si>
  <si>
    <t>mol.s/m³</t>
  </si>
  <si>
    <t>CO2_int_off</t>
  </si>
  <si>
    <t>Cycle-average CO₂</t>
  </si>
  <si>
    <t>CO2_cyc_avg</t>
  </si>
  <si>
    <t>Steady dissolved CO₂</t>
  </si>
  <si>
    <t>CO2aqc_ss</t>
  </si>
  <si>
    <t>Schedule validity</t>
  </si>
  <si>
    <t>sched_valid</t>
  </si>
  <si>
    <t>Schedule-dependent steady-state dissolved CO₂ (sawtooth limit cycle, bounded air-eq..saturation) - was the fixed full-sparge worst case</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</si>
  <si>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</si>
  <si>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</si>
  <si>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</si>
  <si>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</si>
  <si>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</si>
  <si>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</si>
  <si>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</si>
  <si>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</si>
  <si>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</si>
  <si>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Headspace vent bleed</t>
  </si>
  <si>
    <t>Q_vent</t>
  </si>
  <si>
    <t>Slow restricted vent bleed - dead-volume + tube + near-closed solenoid leak. KEY NEW UNCERTAIN PARAMETER - measure. NOT free membrane diffusion, which would clear in seconds and could not reproduce the run-2 acidification.</t>
  </si>
  <si>
    <t>Headspace vent rate</t>
  </si>
  <si>
    <t>k_vent</t>
  </si>
  <si>
    <t>First-order headspace clearance from the vent volumetric bleed.</t>
  </si>
  <si>
    <t>Headspace residence time</t>
  </si>
  <si>
    <t>tau_hs</t>
  </si>
  <si>
    <t>Time constant for the headspace to clear through the vent.</t>
  </si>
  <si>
    <t>Henry-law dissolved CO₂ at pure-CO₂ saturation.</t>
  </si>
  <si>
    <t>Henry-law dissolved CO₂ in equilibrium with room air.</t>
  </si>
  <si>
    <t>Diffusivity scaling (CO₂/O₂)</t>
  </si>
  <si>
    <t>Penetration-theory √(D_CO₂/D_O₂) scaling of the O₂ transfer coefficient.</t>
  </si>
  <si>
    <t>CO₂ surface transfer coefficient</t>
  </si>
  <si>
    <t>Surface kLa for CO₂ between pulses (surface path).</t>
  </si>
  <si>
    <t>Surface-relaxation time</t>
  </si>
  <si>
    <t>tau_surf_floor</t>
  </si>
  <si>
    <t>Time constant for the liquid to relax to the headspace via the surface.</t>
  </si>
  <si>
    <t>Headspace gas inventory</t>
  </si>
  <si>
    <t>n_hs_gas</t>
  </si>
  <si>
    <t>Moles of gas in the headspace at P_atm, T_K (ideal-gas).</t>
  </si>
  <si>
    <t>Sparge pulse on-time from the schedule.</t>
  </si>
  <si>
    <t>Time between pulses, guard-floored at 0.</t>
  </si>
  <si>
    <t>On-phase surface decay</t>
  </si>
  <si>
    <t>eon_CO2</t>
  </si>
  <si>
    <t>Off-phase surface decay</t>
  </si>
  <si>
    <t>e1_CO2</t>
  </si>
  <si>
    <t>Surface-path liquid decay factor over the gap.</t>
  </si>
  <si>
    <t>Off-phase vent decay</t>
  </si>
  <si>
    <t>e2_CO2</t>
  </si>
  <si>
    <t>Headspace vent decay factor over the gap.</t>
  </si>
  <si>
    <t>Two-compartment coupling coef</t>
  </si>
  <si>
    <t>coef_CO2</t>
  </si>
  <si>
    <t>Cycle-start liquid CO₂</t>
  </si>
  <si>
    <t>Ca_CO2</t>
  </si>
  <si>
    <t>End-of-pulse liquid CO₂</t>
  </si>
  <si>
    <t>Cb_CO2</t>
  </si>
  <si>
    <t>On-phase CO₂ integral</t>
  </si>
  <si>
    <t>Time-integral of dissolved CO₂ over the pulse.</t>
  </si>
  <si>
    <t>Off-phase CO₂ integral</t>
  </si>
  <si>
    <t>Time-integral of dissolved CO₂ over the gap, including the venting-headspace term.</t>
  </si>
  <si>
    <t>Vent-path sanity check</t>
  </si>
  <si>
    <t>vent_floor_chk</t>
  </si>
  <si>
    <t>Confirms the vent is the rate-limiting path; if the surface cleared faster, run 2 could not stay acidic.</t>
  </si>
  <si>
    <t>Surfaces an interval&lt;pulse misconfiguration.</t>
  </si>
  <si>
    <t>electrons per produced HOCl</t>
  </si>
  <si>
    <t>n_e_Cl</t>
  </si>
  <si>
    <t>e-/HOCl</t>
  </si>
  <si>
    <t>chloride-pool ceiling on chlorine</t>
  </si>
  <si>
    <t>Cl_pool_mgL</t>
  </si>
  <si>
    <t>mg/L</t>
  </si>
  <si>
    <t>Total chloride pool as HOCl-equivalent; chlorine (free+combined) cannot exceed this. UdG CaCl2-derived (closed batch also depletes it)</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</si>
  <si>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</si>
  <si>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</si>
  <si>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</si>
  <si>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</si>
  <si>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</si>
  <si>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</si>
  <si>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</si>
  <si>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</si>
  <si>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</si>
  <si>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</si>
  <si>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</si>
  <si>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</si>
  <si>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</si>
  <si>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</si>
  <si>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</si>
  <si>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</si>
  <si>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</si>
  <si>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</si>
  <si>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</si>
  <si>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at the low-tau bound, chloride-pool-capped</t>
  </si>
  <si>
    <t>combined chlorine (high-tau)</t>
  </si>
  <si>
    <t>NH2Cl_hi</t>
  </si>
  <si>
    <t>mg/L</t>
  </si>
  <si>
    <t>Combined chlorine at the high-tau bound, chloride-pool-capped</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</si>
  <si>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</si>
  <si>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</si>
  <si>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</si>
  <si>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</si>
  <si>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</si>
  <si>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</si>
  <si>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</si>
  <si>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</si>
  <si>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</si>
  <si>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</si>
  <si>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</si>
  <si>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</si>
  <si>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</si>
  <si>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</si>
  <si>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</si>
  <si>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</si>
  <si>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</si>
  <si>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</si>
  <si>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</si>
  <si>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</si>
  <si>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</si>
  <si>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</si>
  <si>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</si>
  <si>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</si>
  <si>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</si>
  <si>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</si>
  <si>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</si>
  <si>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</si>
  <si>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</si>
  <si>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</si>
  <si>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</si>
  <si>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</si>
  <si>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</si>
  <si>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LED channel D %, the AEP-Plugin 'electrolysis_power' setting (runtime-clamped 0–10 %); drives the electrolysis current via Gerrit's Law.</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</si>
  <si>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</si>
  <si>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</si>
  <si>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</si>
  <si>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</si>
  <si>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</si>
  <si>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</si>
  <si>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</si>
  <si>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</si>
  <si>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</si>
  <si>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</si>
  <si>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</si>
  <si>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</si>
  <si>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</si>
  <si>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</si>
  <si>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</si>
  <si>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</si>
  <si>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</si>
  <si>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</si>
  <si>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</si>
  <si>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</si>
  <si>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</si>
  <si>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</si>
  <si>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</si>
  <si>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</si>
  <si>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</si>
  <si>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</si>
  <si>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</si>
  <si>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</si>
  <si>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</si>
  <si>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</si>
  <si>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</si>
  <si>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</si>
  <si>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</si>
  <si>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</si>
  <si>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</si>
  <si>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</si>
  <si>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</si>
  <si>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</si>
  <si>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</si>
  <si>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</si>
  <si>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</si>
  <si>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</si>
  <si>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</si>
  <si>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</si>
  <si>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</si>
  <si>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</si>
  <si>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</si>
  <si>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</si>
  <si>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</si>
  <si>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</si>
  <si>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</si>
  <si>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</si>
  <si>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</si>
  <si>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</si>
  <si>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</si>
  <si>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</si>
  <si>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</si>
  <si>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</si>
  <si>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</si>
  <si>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</si>
  <si>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</si>
  <si>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</si>
  <si>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</si>
  <si>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</si>
  <si>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</si>
  <si>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</si>
  <si>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</si>
  <si>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</si>
  <si>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</si>
  <si>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</si>
  <si>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</si>
  <si>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</si>
  <si>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</si>
  <si>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</si>
  <si>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</si>
  <si>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</si>
  <si>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</si>
  <si>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</si>
  <si>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</si>
  <si>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</si>
  <si>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</si>
  <si>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</si>
  <si>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</si>
  <si>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</si>
  <si>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</si>
  <si>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</si>
  <si>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</si>
  <si>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</si>
  <si>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</si>
  <si>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</si>
  <si>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</si>
  <si>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</si>
  <si>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</si>
  <si>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</si>
  <si>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</si>
  <si>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</si>
  <si>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</si>
  <si>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</si>
  <si>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</si>
  <si>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</si>
  <si>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</si>
  <si>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</si>
  <si>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</si>
  <si>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</si>
  <si>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</si>
  <si>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</si>
  <si>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</si>
  <si>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</si>
  <si>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</si>
  <si>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</si>
  <si>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</si>
  <si>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</si>
  <si>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</si>
  <si>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</si>
  <si>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</si>
  <si>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</si>
  <si>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</si>
  <si>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</si>
  <si>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Value in use: least-squares fit of current vs intensity, averaged across all included runs for the active reactor.</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</si>
  <si>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</si>
  <si>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</si>
  <si>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</si>
  <si>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</si>
  <si>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</si>
  <si>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</si>
  <si>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</si>
  <si>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</si>
  <si>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</si>
  <si>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</si>
  <si>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</si>
  <si>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</si>
  <si>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</si>
  <si>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</si>
  <si>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</si>
  <si>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</si>
  <si>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</si>
  <si>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</si>
  <si>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</si>
  <si>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Value in use: the most recent included measurement for the active reactor (a flow rate is a valve/hardware setting, so the latest reading replaces older ones).</t>
  </si>
  <si>
    <t>CO2 volume</t>
  </si>
  <si>
    <t>Time</t>
  </si>
  <si>
    <t>Flow (computed)</t>
  </si>
  <si>
    <t>Value in use - flow rate</t>
  </si>
  <si>
    <t>mL/s</t>
  </si>
  <si>
    <t>Value in use: average across included vials of the active reactor type (all vials of a type are nominally identical, so averaging improves the estimate).</t>
  </si>
  <si>
    <t>Headspace mass</t>
  </si>
  <si>
    <t>Body mass</t>
  </si>
  <si>
    <t>V total (computed)</t>
  </si>
  <si>
    <t>Bore depth (computed)</t>
  </si>
  <si>
    <t>Value in use - total vial volume</t>
  </si>
  <si>
    <t>Value in use - usable depth</t>
  </si>
  <si>
    <t>Value in use: the most recent included measurement for the active reactor (the fitted frit is hardware, so the latest reading replaces older ones).</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</si>
  <si>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</si>
  <si>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</si>
  <si>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</si>
  <si>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</si>
  <si>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</si>
  <si>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</si>
  <si>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</si>
  <si>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</si>
  <si>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</si>
  <si>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</si>
  <si>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</si>
  <si>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</si>
  <si>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Value in use: average of the included ratios for the active organism.</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</si>
  <si>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</si>
  <si>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</si>
  <si>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</si>
  <si>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</si>
  <si>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</si>
  <si>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</si>
  <si>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</si>
  <si>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</si>
  <si>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</si>
  <si>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</si>
  <si>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</si>
  <si>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</si>
  <si>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Dissolved O₂ in equilibrium with that vent headspace fraction. At the current operating point it is ~405 µM against the ~365 µM inhibition ceiling (Biology D28) — the kL-independent vent leg does NOT on its own hold DO under the ceiling. Diagnostic, not a backstop.</t>
  </si>
  <si>
    <t>Least feasible CO₂ duty (binding of the two floors). The recommended schedule follows this duty only in the SPARGE-NEEDED regime; under SURFACE-HELD, D91 follows the carbon-limited interval and the achieved duty (D93) is correspondingly lower.</t>
  </si>
  <si>
    <t>O₂-limited FALLBACK interval: zero-surface worst case (no surface credit; sizes on O2_src_guard D132). This is what D91 recommends until the surface path is demonstrated — i.e. until a surface kLa is measured (Calibrations) and the lag-source regime test (D134) passes.</t>
  </si>
  <si>
    <t>Companion to t_O2_ceiling_lag crediting BOTH removal paths at their best-case ceiling driving force. Best-case diagnostic only: surf_strip is the ~375%-uncertain surface proxy, so this cell must never gate a schedule or a guard. 9999 = removal exceeds the source at that best case.</t>
  </si>
  <si>
    <t>Naïve FE=1 upper bound (all anode current → Cl₂). Superseded by the mass-transport-limited chlorine current I_Cl (D133) and the production rate P_HOCl (D134). Kept only to show the overstatement (~50× as the model now stands).</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</si>
  <si>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</si>
  <si>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</si>
  <si>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i_lim = n·F·k_m·[Cl⁻]·A, n = 1 per ARRIVING chloride; [Cl⁻] in mol/cm³ = pH_Cl/1000. Caps chlorine at the chloride flux — binds at trace Cl⁻ (0.112 mA for UdG at the current anode wetted area), so production scales with chloride.</t>
  </si>
  <si>
    <t>P_HOCl = I_Cl/(n_e_Cl·F·V), n_e_Cl = 2 on every route (D148).</t>
  </si>
  <si>
    <t>OPERATIVE bleaching value: local-weighted free HOCl + combined chlorine ÷ potency. At trace chloride it is bounded by the chloride pool (D149) rather than by current, so it scales with the medium's chloride; it only becomes current-sensitive once the pool cap stops binding.</t>
  </si>
  <si>
    <t>ELECTRODE GEOMETRY FOR THE OHMIC DROP (wave-4)</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</si>
  <si>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</si>
  <si>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</si>
  <si>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</si>
  <si>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</si>
  <si>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</si>
  <si>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</si>
  <si>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Submerged length at the achieved liquid level (Geometry D93). Was taken from the bare datum (Geometry D35), which overstated the wetted area by 6.5% and understated every current density by the same factor.</t>
  </si>
  <si>
    <t>TARGET DISSOLVED-OXYGEN FRACTION (wave-4: one definition, used by every guard)</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</si>
  <si>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</si>
  <si>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</si>
  <si>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</si>
  <si>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</si>
  <si>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</si>
  <si>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Imported from Biology D60 — one definition of the target DO fraction, computed from the selected organism's measured band where there is one and from C. necator's 3/11.5 otherwise. Sizes the O₂ guards below.</t>
  </si>
  <si>
    <t>Electrons per HOCl formed — 2 on every route. 2Cl⁻ → Cl₂ + 2e⁻ then Cl₂ + H₂O → HOCl + H⁺ + Cl⁻ is 2 e⁻ per HOCl (and 1 net chloride consumed); the direct route Cl⁻ + H₂O → HOCl + H⁺ + 2e⁻ is also 2. Distinct from the n = 1 per ARRIVING chloride in the mass-transport limit (D132) — that is a flux count, not a stoichiometry.</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</si>
  <si>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</si>
  <si>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</si>
  <si>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</si>
  <si>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</si>
  <si>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</si>
  <si>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</si>
  <si>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</si>
  <si>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</si>
  <si>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</si>
  <si>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</si>
  <si>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</si>
  <si>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</si>
  <si>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</si>
  <si>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</si>
  <si>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</si>
  <si>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</si>
  <si>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</si>
  <si>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</si>
  <si>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</si>
  <si>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</si>
  <si>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</si>
  <si>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</si>
  <si>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</si>
  <si>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</si>
  <si>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</si>
  <si>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</si>
  <si>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</si>
  <si>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</si>
  <si>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</si>
  <si>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</si>
  <si>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</si>
  <si>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</si>
  <si>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</si>
  <si>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Λ/Λ° at I ≈ 0.1 M. Anchored on the 0.1 M KCl standard (12.88 mS/cm measured vs 14.98 predicted → 0.86 for a 1:1 salt); 2:1 and 1:2 salts run 0.70–0.75, and this medium is dominated by HPO₄²⁻/SO₄²⁻ with Na⁺, giving 0.76–0.80. ±15%. The Debye–Hückel–Onsager √c law is not valid at this strength; PHREEQC would make it citable rather than empirical.</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</si>
  <si>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</si>
  <si>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</si>
  <si>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</si>
  <si>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</si>
  <si>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</si>
  <si>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</si>
  <si>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Kohlrausch sum × finite-strength factor × temperature correction. Feeds the ohmic term of the cell-voltage budget (Electrochemistry).</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</si>
  <si>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</si>
  <si>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</si>
  <si>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</si>
  <si>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</si>
  <si>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</si>
  <si>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</si>
  <si>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</si>
  <si>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</si>
  <si>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</si>
  <si>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</si>
  <si>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</si>
  <si>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</si>
  <si>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</si>
  <si>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</si>
  <si>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</si>
  <si>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</si>
  <si>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</si>
  <si>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</si>
  <si>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</si>
  <si>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</si>
  <si>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</si>
  <si>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</si>
  <si>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</si>
  <si>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</si>
  <si>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</si>
  <si>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</si>
  <si>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</si>
  <si>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</si>
  <si>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</si>
  <si>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</si>
  <si>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</si>
  <si>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</si>
  <si>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</si>
  <si>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</si>
  <si>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</si>
  <si>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</si>
  <si>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</si>
  <si>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</si>
  <si>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</si>
  <si>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</si>
  <si>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</si>
  <si>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</si>
  <si>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</si>
  <si>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</si>
  <si>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</si>
  <si>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</si>
  <si>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</si>
  <si>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</si>
  <si>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</si>
  <si>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</si>
  <si>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</si>
  <si>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</si>
  <si>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</si>
  <si>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</si>
  <si>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</si>
  <si>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</si>
  <si>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</si>
  <si>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</si>
  <si>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</si>
  <si>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</si>
  <si>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</si>
  <si>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</si>
  <si>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</si>
  <si>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</si>
  <si>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</si>
  <si>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</si>
  <si>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</si>
  <si>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</si>
  <si>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Cl₂/Cl⁻ potential at the medium chloride</t>
  </si>
  <si>
    <t>E_Cl2</t>
  </si>
  <si>
    <t>Nernst on the chloride activity: E = E° + (RT/F)·ln10·pCl. pH-independent, so at trace chloride it sits far above the O₂ line.</t>
  </si>
  <si>
    <t>Chlorine headroom above O₂ evolution</t>
  </si>
  <si>
    <t>E_Cl_margin</t>
  </si>
  <si>
    <t>V</t>
  </si>
  <si>
    <t>How much extra anodic potential chlorine evolution needs over oxygen evolution. Large and positive means chlorine is thermodynamically disfavoured at this chloride level, so the mass-transport figure in D133 is a generous upper bound. Chlorine only competes kinetically above roughly 50 mM chloride (Vos &amp; Koper).</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</si>
  <si>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</si>
  <si>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</si>
  <si>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</si>
  <si>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</si>
  <si>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</si>
  <si>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</si>
  <si>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</si>
  <si>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</si>
  <si>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</si>
  <si>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</si>
  <si>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Diffusion layer thickness</t>
  </si>
  <si>
    <t>delta_diff</t>
  </si>
  <si>
    <t>k_m = D/δ with the Eisenberg–Tobias–Wilke k_m on the Electrochemistry sheet gives δ ≈ 40 µm at the assumed swirl velocity. Uncertain by about a factor of 2, and that factor is what decides the verdict below — one ferricyanide limiting-current run on the same rod at the same rpm would settle it.</t>
  </si>
  <si>
    <t>Buffer-limited current density</t>
  </si>
  <si>
    <t>j_buffer_lim</t>
  </si>
  <si>
    <t>j_lim = F·D·C/δ for the proton acceptor (HPO₄²⁻) reaching the anode. Above this the anode surface acidifies away from the bulk pH. Katsounaros 2011 give the same answer from the other direction: 10 mM buffer pins the surface to bulk only to about 1 mA/cm².</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</si>
  <si>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</si>
  <si>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</si>
  <si>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</si>
  <si>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</si>
  <si>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</si>
  <si>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</si>
  <si>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</si>
  <si>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</si>
  <si>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</si>
  <si>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</si>
  <si>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</si>
  <si>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</si>
  <si>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CALCULATED FARADAIC SPLIT — the cathode competes with dissolved O₂ (wave-4)</t>
  </si>
  <si>
    <t>(import) target DO fraction</t>
  </si>
  <si>
    <t>ec_DO_frac</t>
  </si>
  <si>
    <t>→ Biology (DO_frac_target)</t>
  </si>
  <si>
    <t>(import) dissolved-O₂ ceiling</t>
  </si>
  <si>
    <t>ec_O2_ceil</t>
  </si>
  <si>
    <t>→ Biology (O2_ceil_C)</t>
  </si>
  <si>
    <t>(import) O₂ diffusivity at reactor T</t>
  </si>
  <si>
    <t>ec_D_O2</t>
  </si>
  <si>
    <t>→ Mass Transfer (D_O2)</t>
  </si>
  <si>
    <t>(import) reactor liquid volume</t>
  </si>
  <si>
    <t>ec_V_L</t>
  </si>
  <si>
    <t>Electrode mass-transfer coefficient — O₂</t>
  </si>
  <si>
    <t>km_O2</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</si>
  <si>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One ferricyanide limiting-current run in the same vial at the same rpm would replace this estimate outright.</t>
  </si>
  <si>
    <t>Diffusivity exponent for k_m scaling</t>
  </si>
  <si>
    <t>km_exp</t>
  </si>
  <si>
    <t>k_m ∝ D^(1−0.356) from the Eisenberg correlation. (A rotating disc would give D^(2/3); a stagnant film D^1.)</t>
  </si>
  <si>
    <t>Design DO for the cathodic O₂ flux</t>
  </si>
  <si>
    <t>ec_DO_design</t>
  </si>
  <si>
    <t>The dissolved O₂ the schedule is designed to hold. The cathodic O₂ reduction below is evaluated here rather than at the modelled steady DO, which would make the sheet circular (DO depends on the net O₂, which depends on this loss).</t>
  </si>
  <si>
    <t>Cathodic O₂ current at the design DO</t>
  </si>
  <si>
    <t>i_ORR_design</t>
  </si>
  <si>
    <t>i = n·F·k_m·C·A, the O₂ mass-transport limit at the cathode. This is current that does NOT make hydrogen, and it consumes dissolved O₂. Le Bozec 2001 (Corros Sci 43:765) show ORR on 316L in neutral solution running mixed 2e⁻/4e⁻ and limited by the passive film as much as by transport, so this is an upper bound on the loss.</t>
  </si>
  <si>
    <t>Cathodic O₂ current at the ceiling DO</t>
  </si>
  <si>
    <t>i_ORR_ceiling</t>
  </si>
  <si>
    <t>The same flux if dissolved O₂ ever reached the inhibition ceiling — the worst case for the faradaic split.</t>
  </si>
  <si>
    <t>Cathodic faradaic efficiency (calculated)</t>
  </si>
  <si>
    <t>etaF_calc</t>
  </si>
  <si>
    <t>1 − (cathodic O₂ current)/(applied current). Replaces the previous assumption that every cathode electron makes H₂. Neutral-pH HER on stainless also has its own kinetic losses; this accounts only for the O₂ that competes for the current.</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</si>
  <si>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</si>
  <si>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</si>
  <si>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</si>
  <si>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</si>
  <si>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</si>
  <si>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</si>
  <si>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</si>
  <si>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</si>
  <si>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</si>
  <si>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</si>
  <si>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</si>
  <si>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</si>
  <si>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2 electrons per H₂O₂. This is a source term the model previously did not have at all, and it runs whenever there is current and dissolved O₂.</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</si>
  <si>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</si>
  <si>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</si>
  <si>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</si>
  <si>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</si>
  <si>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</si>
  <si>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Production ÷ catalase clearance. The bulk Fenton route is not modelled: the medium's 0.18 mM Fe(II) would consume peroxide within a second, but it is a one-shot 6 mg/L capacity that is itself oxidised away in 5–20 min, and bulk hydroxyl radicals are scavenged by bicarbonate within ~0.2 µm, far short of a cell. The damage route that matters is intracellular.</t>
  </si>
  <si>
    <t>Peroxide after 1 h with no biomass (lag)</t>
  </si>
  <si>
    <t>H2O2_lag_1h</t>
  </si>
  <si>
    <t>At inoculation there is no catalase pool, so peroxide simply accumulates. This is the exposed window.</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</si>
  <si>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</si>
  <si>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</si>
  <si>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</si>
  <si>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</si>
  <si>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</si>
  <si>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How long an un-inoculated or just-inoculated vessel takes to pass the growth-inhibition threshold at the current electrolysis rate.</t>
  </si>
  <si>
    <t>Peroxide verdict</t>
  </si>
  <si>
    <t>H2O2_flag</t>
  </si>
  <si>
    <t>Two regimes: a growing culture clears peroxide in minutes, an inoculating one does not. Precedent for the failure mode: Torella 2015 (PNAS 112:2337) and Liu 2016 (Science 352:1210) ran this exact architecture and had to change cathode material because reactive oxygen and metal leaching poisoned the culture.</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</si>
  <si>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</si>
  <si>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</si>
  <si>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</si>
  <si>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</si>
  <si>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</si>
  <si>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</si>
  <si>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</si>
  <si>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</si>
  <si>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</si>
  <si>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Chlorine evolution as a fraction of the applied current, at the chloride mass-transport limit. Small at trace chloride, and thermodynamically disfavoured besides — see the chlorine headroom on the Chemistry sheet.</t>
  </si>
  <si>
    <t>Anodic faradaic efficiency (calculated)</t>
  </si>
  <si>
    <t>etaF_OER_calc</t>
  </si>
  <si>
    <t>1 − chlorine share − metal-dissolution share. Replaces the previous assertion of 1 with its unsupported "chloride-free medium" note. It remains an UPPER BOUND while the metal-dissolution charge is unmeasured: a corroding anode takes current that this cell still credits to oxygen.</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</si>
  <si>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</si>
  <si>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</si>
  <si>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</si>
  <si>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</si>
  <si>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</si>
  <si>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</si>
  <si>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</si>
  <si>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</si>
  <si>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</si>
  <si>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</si>
  <si>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</si>
  <si>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</si>
  <si>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</si>
  <si>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</si>
  <si>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</si>
  <si>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</si>
  <si>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</si>
  <si>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</si>
  <si>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</si>
  <si>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</si>
  <si>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</si>
  <si>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</si>
  <si>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</si>
  <si>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</si>
  <si>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</si>
  <si>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</si>
  <si>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Note the medium sits at 37 mM — right on the knee of that saturation, so the credit weakens if the surface depletes (see the buffer verdict on Chemistry).</t>
  </si>
  <si>
    <t>(import) solution conductivity</t>
  </si>
  <si>
    <t>ec_kappa</t>
  </si>
  <si>
    <t>→ Chemistry (kappa_med)</t>
  </si>
  <si>
    <t>(import) electrode gap</t>
  </si>
  <si>
    <t>ec_gap</t>
  </si>
  <si>
    <t>→ Geometry (elec_gap; a DATA GAP until measured)</t>
  </si>
  <si>
    <t>Cell-constant multiplier</t>
  </si>
  <si>
    <t>k_geom</t>
  </si>
  <si>
    <t>The parallel-cylinder formula assumes an unbounded electrolyte, which understates the resistance of two short rods in a 25 mm vial with only ~9 mm submerged. Independent estimates of the cell constant for this geometry land at 1–2 cm⁻¹ against the formula's ~0.54, so 2 is the mid-range correction. Measure it directly with a conductivity standard if the voltage headroom below ever matters.</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</si>
  <si>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</si>
  <si>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</si>
  <si>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</si>
  <si>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</si>
  <si>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</si>
  <si>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</si>
  <si>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</si>
  <si>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</si>
  <si>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</si>
  <si>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</si>
  <si>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</si>
  <si>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</si>
  <si>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</si>
  <si>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</si>
  <si>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</si>
  <si>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</si>
  <si>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</si>
  <si>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</si>
  <si>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Cross-check on Gerrit's Law: the empirical fit is validated to 25% intensity, and this budget should run out of headroom near there. If it does, the two independent routes agree.</t>
  </si>
  <si>
    <t>Cathodic H₂ faradaic efficiency: a measured value from the Calibrations tab if there is one, otherwise CALCULATED (D89) from the cathodic O₂ reduction competing for the current — it is no longer assumed to be 1. Neutral-pH HER on stainless peaks near 97% before that competition is counted, so the calculated value remains an upper bound.</t>
  </si>
  <si>
    <t>Anodic O₂ faradaic efficiency: measured if available, otherwise CALCULATED (etaF_OER_calc) as 1 − the chlorine share − the metal-dissolution share. The old note asserted a chloride-free medium; UdG contains chloride and the sheet now models the chlorine current explicitly.</t>
  </si>
  <si>
    <t>Same Eisenberg–Tobias–Wilke basis as the O₂ coefficient on the Electrochemistry sheet, scaled by D^0.644: k_m(Cl⁻) = k_m(O₂)·(D_Cl/D_O2)^0.644 = 4.0e-3 × 1.01. Bracket 2–6e-3 cm/s, dominated by the unmeasured swirl velocity past the rod.</t>
  </si>
  <si>
    <t>TEMPERATURE-DEPENDENT WATER PROPERTIES (wave-4: these were frozen at 30 °C)</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</si>
  <si>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</si>
  <si>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</si>
  <si>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</si>
  <si>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</si>
  <si>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</si>
  <si>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</si>
  <si>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</si>
  <si>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</si>
  <si>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</si>
  <si>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</si>
  <si>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</si>
  <si>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</si>
  <si>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</si>
  <si>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</si>
  <si>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</si>
  <si>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Han &amp; Bartels (1996): log₁₀(D[cm²/s]) = a + b/T − (c/T)². The correlation this sheet already cited, now evaluated at the reactor temperature instead of being frozen at 30 °C.</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</si>
  <si>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</si>
  <si>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</si>
  <si>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</si>
  <si>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</si>
  <si>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</si>
  <si>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</si>
  <si>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</si>
  <si>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</si>
  <si>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</si>
  <si>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</si>
  <si>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</si>
  <si>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 R1-76(2014), evaluated at the reactor temperature (T_C) rather than frozen at 30 °C. Feeds the bubble-detachment diameter.</t>
  </si>
  <si>
    <t>IAPWS-95, evaluated at the reactor temperature.</t>
  </si>
  <si>
    <t>Han &amp; Bartels (1996) evaluated at the reactor temperature. At 25 °C this is 2.00e-9 m²/s; the sheet previously carried the 30 °C value 2.249e-9 as a constant, which overstated the surface transfer coefficient by 6%.</t>
  </si>
  <si>
    <t>CO₂ diffusivity at the reactor temperature, Arrhenius-scaled from the 25 °C datum.</t>
  </si>
  <si>
    <t>HEADSPACE O₂ BALANCE AND THE DO-LIMITED INTERVAL (wave-4: replaces the surface-held branch)</t>
  </si>
  <si>
    <t>CO₂ delivery rate at full flow</t>
  </si>
  <si>
    <t>CO2_rate_full</t>
  </si>
  <si>
    <t>The sparge line at 100% duty. Multiplied by the duty cycle it gives the CO₂ actually delivered, which is what dilutes oxygen out of the headspace.</t>
  </si>
  <si>
    <t>Target dissolved O₂</t>
  </si>
  <si>
    <t>DO_target</t>
  </si>
  <si>
    <t>The dissolved O₂ the schedule aims to hold: the target fraction of the inhibition ceiling.</t>
  </si>
  <si>
    <t>DO excess needed to drive the surface flux</t>
  </si>
  <si>
    <t>DO_surf_excess</t>
  </si>
  <si>
    <t>Steady state across the free surface is flux = kLa·V·(C − C*), so the liquid must sit THIS far above the headspace-equilibrium concentration to push the surplus O₂ out. The smaller the surface kLa, the larger this excess — and it is the term that decides whether any sparge schedule can hold the target at all.</t>
  </si>
  <si>
    <t xml:space="preserve">  same, on the lag-phase source</t>
  </si>
  <si>
    <t>DO_surf_excess_lag</t>
  </si>
  <si>
    <t>Before the culture consumes oxygen, the whole net electrolytic O₂ has to cross the surface.</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</si>
  <si>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</si>
  <si>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</si>
  <si>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</si>
  <si>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</si>
  <si>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</si>
  <si>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</si>
  <si>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</si>
  <si>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</si>
  <si>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At steady state everything entering the headspace leaves through the vent, so the vent-gas composition is the flux composition: y = O₂ flux/(O₂ flux + CO₂ flux). Solving for the CO₂ flux that dilutes oxygen to y* gives this duty. This is the same idea as the old duty_O2vent, but with the surface-transfer excess and the (1−y) term both accounted for.</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</si>
  <si>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</si>
  <si>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</si>
  <si>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</si>
  <si>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</si>
  <si>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</si>
  <si>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The surface kLa below which the DO target is unreachable at any sparge interval. Compare against kLa_surf_used — the ratio is the whole safety margin of the DO strategy, and it rests on a coefficient nobody has measured yet.</t>
  </si>
  <si>
    <t>Headspace O₂ fraction at the schedule in use</t>
  </si>
  <si>
    <t>y_O2_actual</t>
  </si>
  <si>
    <t>Vent-gas oxygen fraction at the CO₂ flow actually scheduled. Hydrogen is deliberately left out of the denominator: crediting the evolved H₂ as a diluent would lower this number, and the model assumes the culture consumes the hydrogen.</t>
  </si>
  <si>
    <t>Dissolved O₂ floor set by the headspace</t>
  </si>
  <si>
    <t>DO_hs_floor</t>
  </si>
  <si>
    <t>Surface stripping can only move oxygen into the headspace, so the liquid can never fall below equilibrium with it. This floor is set by the CO₂ flush rate, not by the surface kLa — which is why the sparge schedule, not the stirring, is what governs dissolved oxygen here.</t>
  </si>
  <si>
    <t>Same quantity as D108 in mol/m³ (growth-phase source).</t>
  </si>
  <si>
    <t>Lag-phase companion: no biological uptake yet, so the whole net electrolytic O₂ must cross the surface. Expect DO to run above the growth optimum until the culture starts consuming.</t>
  </si>
  <si>
    <t>The surface kL below which the DO target cannot be met at any sparge interval. Measured kL_surf must exceed this. See protocols/surface-kla.md — this is the measurement the whole DO strategy rests on.</t>
  </si>
  <si>
    <t>Whether the dissolved-O₂ target is reachable at all, and whether the surface coefficient behind that verdict has been measured or is still the ~375%-uncertain estimate. Replaces the old SURFACE-HELD / SPARGE-NEEDED switch, which chose between a 3-minute and a 181-minute schedule on the strength of that same unmeasured estimate.</t>
  </si>
  <si>
    <t>ANSWER. The shortest of the two upper bounds on the interval: carbon supply (D112) and headspace-oxygen dilution (spg_int_DO). If the DO target is unreachable at this surface kLa the sheet falls back to the lag-accumulation cap (D89) and D134 says so. No branch here depends on an unmeasured coefficient deciding which formula runs — kL_surf now moves the answer continuously instead of switching it.</t>
  </si>
  <si>
    <t>Which constraint binds: headspace-oxygen dilution or carbon supply. The pH consequence of the winner is carried through the CO₂ limit cycle to the Chemistry sheet — a short oxygen-driven interval delivers far more CO₂ than the carbon demand and pushes pH down.</t>
  </si>
  <si>
    <t>CO₂ LIMIT CYCLE — mass-conserving form (wave-4; supersedes the uncoupled block above)</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</si>
  <si>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</si>
  <si>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</si>
  <si>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</si>
  <si>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</si>
  <si>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</si>
  <si>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</si>
  <si>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</si>
  <si>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</si>
  <si>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Fraction of a pooled CO₂ inventory that ends up dissolved.</t>
  </si>
  <si>
    <t>CO₂ added per pulse, as concentration</t>
  </si>
  <si>
    <t>pool_b</t>
  </si>
  <si>
    <t>Pool decay rate through the vent</t>
  </si>
  <si>
    <t>k_eff_CO2</t>
  </si>
  <si>
    <t>Only the headspace share of the pool is exposed to the vent, so the whole inventory decays at the vent rate scaled by that share.</t>
  </si>
  <si>
    <t>Quasi-equilibrium validity ratio</t>
  </si>
  <si>
    <t>pool_beta_ratio</t>
  </si>
  <si>
    <t>Liquid-uptake rate constant ÷ vent rate. Well above 1 means the two compartments stay in Henry equilibrium on the timescale the vent empties them, which is what licenses treating them as one pool. Below about 3 the pooled form should not be trusted and the two compartments need solving separately.</t>
  </si>
  <si>
    <t>Decay factor over the gap</t>
  </si>
  <si>
    <t>pool_e</t>
  </si>
  <si>
    <t>exp(−k_eff·t_gap).</t>
  </si>
  <si>
    <t>Dissolved CO₂ at the start of a pulse</t>
  </si>
  <si>
    <t>C_cycle_start</t>
  </si>
  <si>
    <t>Fixed point of the limit cycle: decay over the gap, then a pulse, repeated. Closed form, no iteration.</t>
  </si>
  <si>
    <t>Dissolved CO₂ just after a pulse</t>
  </si>
  <si>
    <t>C_cycle_peak</t>
  </si>
  <si>
    <t>After the pulse and the fast headspace-to-liquid equilibration (tens of seconds), before the vent has removed much. Bounded by construction: the liquid cannot take up more CO₂ than the pulse delivered.</t>
  </si>
  <si>
    <t>Cycle-average dissolved CO₂</t>
  </si>
  <si>
    <t>CO2_cyc_avg_new</t>
  </si>
  <si>
    <t>Time-average of the exponential decay over the gap. This is what the pH solve consumes.</t>
  </si>
  <si>
    <t>Bounded steady dissolved CO₂ from the mass-conserving limit cycle above; Chemistry D5 reads this. Bounds are air equilibrium below and pure-CO₂ saturation above.</t>
  </si>
  <si>
    <t>SUPERSEDED by the mass-conserving limit cycle below — kept for contrast. The two-compartment form let the headspace vent independently of what the liquid absorbed.</t>
  </si>
  <si>
    <t>SUPERSEDED (see the mass-conserving limit cycle below). This coupling coefficient also has a removable singularity where the surface and vent rates coincide.</t>
  </si>
  <si>
    <t>SUPERSEDED — see C_cycle_start below.</t>
  </si>
  <si>
    <t>SUPERSEDED — see C_cycle_peak below.</t>
  </si>
  <si>
    <t>SUPERSEDED — see CO2_cyc_avg_new below. At long intervals the two agree to a few per cent by coincidence; at short intervals they diverge, and the old form was never bounded by the CO₂ actually delivered.</t>
  </si>
  <si>
    <t>ELECTROCHEMISTRY — CALCULATED (wave-4; hand these to an electrochemist)</t>
  </si>
  <si>
    <t>Fraction of cathode current making H₂ rather than reducing dissolved O₂. Was assumed to be 1.</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</si>
  <si>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</si>
  <si>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</si>
  <si>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</si>
  <si>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</si>
  <si>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</si>
  <si>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How much extra anodic potential chlorine evolution would need. Large = disfavoured.</t>
  </si>
  <si>
    <t>How far an O₂-evolving anode sits above the Cu²⁺/Cu equilibrium.</t>
  </si>
  <si>
    <t>What a probe reads: the charge balance solves on concentrations, a glass electrode reads activity.</t>
  </si>
  <si>
    <t>Surface kLa required for the DO target</t>
  </si>
  <si>
    <t>Below this, no sparge interval holds the target dissolved O₂. Compare with the estimate in use.</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</si>
  <si>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</si>
  <si>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</si>
  <si>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Henderson–Hasselbalch on the activity scale: the tabulated pKa is a thermodynamic constant, so it pairs with the activity-scale pH, not the concentration-scale root.</t>
  </si>
  <si>
    <t>HOB optimum 6.5–7.5 (Pous / Rovira-Alsina), compared against the activity-scale pH a probe would read. A short oxygen-driven sparge interval delivers far more CO₂ than the carbon demand, so this flag is the counterweight to the DO-limited interval on Mass Transfer.</t>
  </si>
  <si>
    <t>Operating pH at the CO₂ trough, on the activity scale a probe reads. Green 6.5–7.5; red outside 6–8.</t>
  </si>
  <si>
    <t>UNIT CONSTANTS (were embedded in formulas)</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</si>
  <si>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</si>
  <si>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</si>
  <si>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</si>
  <si>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</si>
  <si>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</si>
  <si>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</si>
  <si>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</si>
  <si>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Breakpoint chlorine demand per N</t>
  </si>
  <si>
    <t>cl_per_N</t>
  </si>
  <si>
    <t>mg Cl₂/mg N</t>
  </si>
  <si>
    <t>Stoichiometric breakpoint demand, 70.906/14.007 = 5.06 mg Cl₂ per mg ammonium-N. Note this ratio is definitionally on a Cl₂ basis while the production terms it is compared against are on an HOCl basis.</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</si>
  <si>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</si>
  <si>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</si>
  <si>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</si>
  <si>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</si>
  <si>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</si>
  <si>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</si>
  <si>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 Mass Transfer (R_gas). Was a second, separately typed 8.314 that disagreed with the workbook's own constant in the fifth digit.</t>
  </si>
  <si>
    <t>Sets how far dissolved O₂ must sit above the headspace to shed the surplus, and the feasibility margin behind the whole DO strategy (kLa in use ÷ kLa required). It no longer switches the sheet between two schedules — it moves the answer continuously.</t>
  </si>
  <si>
    <t>Now calculated rather than assumed, from the cathodic O₂ flux — but the calculation rests on an estimated electrode mass-transfer coefficient. Measuring it settles the H₂/O₂ split and the peroxide source at once.</t>
  </si>
  <si>
    <t>Assumed to be 1 minus the chlorine share; any anodic metal dissolution comes straight off it, and the corrosion suspicion on Chemistry D163 needs exactly this number.</t>
  </si>
  <si>
    <t>Measure the electrode mass-transfer coefficient</t>
  </si>
  <si>
    <t>One ferricyanide limiting-current run in the same vial at the same rpm replaces the assumed swirl velocity behind k_m — which sets the cathodic O₂ loss, the peroxide source, the chlorine cap and the electrode-surface pH verdict.</t>
  </si>
  <si>
    <t>Measure the electrode centre-to-centre gap</t>
  </si>
  <si>
    <t>Calipers across the cap ports. Sets the ohmic term in the cell-voltage budget, which is the largest single term after the overpotentials.</t>
  </si>
  <si>
    <t>Measure the cell voltage at a known setpoint</t>
  </si>
  <si>
    <t>The voltage budget is a testable prediction (3.3 V of a 5 V rail at 3 %). A multimeter reading across the electrodes either confirms the whole electrochemical picture or localises which term is wrong.</t>
  </si>
  <si>
    <t>Assay dissolved metals in spent medium</t>
  </si>
  <si>
    <t>Cu/Ni/Fe by ICP or a colorimetric kit. An O₂-evolving anode sits ~0.44 V above the Cu²⁺/Cu equilibrium, so dissolution is thermodynamically allowed; this is the unmodelled prime suspect for the Exp-2 death and it also closes the anodic charge budget.</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</si>
  <si>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</si>
  <si>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</si>
  <si>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</si>
  <si>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</si>
  <si>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</si>
  <si>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</si>
  <si>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</si>
  <si>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</si>
  <si>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</si>
  <si>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</si>
  <si>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3.17 kPa at 25 °C, 4.25 kPa at 30 °C — 3–4% of atmospheric, which is exactly the bias it removes from a faradaic-efficiency measurement made by collecting gas over water.</t>
  </si>
  <si>
    <t>Value in use: average of the included runs for the active reactor, taken separately for the H2 (cathode) and O2 (anode) electrodes. The gas volume is corrected for saturated water vapour at the temperature you record, per protocols/faradaic-efficiency.md.</t>
  </si>
  <si>
    <t>Prefers the CO₂-flow calibration recorded on the Calibrations tab (cal_flow); falls back to the per-reactor table on the CO2 flows sheet when no calibration run is included. The Calibrations route was previously computed and consumed by nothing, while protocols/flow-calibration.md told the researcher it fed the model.</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</si>
  <si>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</si>
  <si>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Net electrolytic O₂ minus biological uptake, floored at zero. The floor matters: at the knallgas cap (O₂:H₂ = 0.5, i.e. bio_O2 = 3) uptake exactly consumes the electrolytic surplus and everything downstream that divides by this would blow up. Upper bound in any case, because it rests on the full-H₂-uptake assumption above.</t>
  </si>
  <si>
    <t>The CO₂ actually delivered per pulse (D123, which follows any manual or Summary override), spread over the pooled liquid+headspace capacity. This is the mass-conservation constraint the previous form lacked. It reads the delivered pulse rather than one nominal headspace flush, so an overridden pulse length charges the cycle correctly.</t>
  </si>
  <si>
    <t>C. necator DO_opt 2.6 ÷ DO_toxic 11.5 mg/L (row 52) — the only organism in the table with a measured band, used as the stand-in for the rest. Same optimum ÷ ceiling ratio the row above computes, so the fallback is consistent with the definition. Replaces an unsourced 0.5, which was 2.2× less protective.</t>
  </si>
  <si>
    <t>Steady dissolved O₂ = the headspace-equilibrium floor (set by the CO₂ flush) plus the excess needed to drive the surplus across the free surface. NOTE: when the DO-dilution bound sets the interval, this is solved to sit AT the target by construction, so it restates the target rather than testing it — the real test is the feasibility margin kLa_surf_used ÷ kLa_surf_req (D186). It becomes an independent prediction again whenever carbon supply or a manual override sets the schedule.</t>
  </si>
  <si>
    <t>Effective biocidal chlorine from the medium’s chloride, on the as-Cl₂ basis the literature thresholds use. Green &lt;0.1, red &gt;1 mg/L. Zero for chloride-free media.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</si>
</sst>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s>
  <fonts count="47" x14ac:knownFonts="1">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u/>
      <sz val="8"/>
      <color rgb="FF0563C1"/>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7030A0"/>
      <name val="Calibri"/>
      <family val="2"/>
    </font>
    <font>
      <sz val="11"/>
      <color rgb="FF000000"/>
      <name val="Calibri"/>
      <family val="2"/>
    </font>
    <font>
      <b/>
      <sz val="11"/>
      <name val="Calibri"/>
      <family val="2"/>
    </font>
    <font>
      <u/>
      <sz val="9"/>
      <color rgb="FF0000FF"/>
      <name val="Calibri"/>
      <family val="2"/>
    </font>
    <font>
      <sz val="11"/>
      <color rgb="FF7030A0"/>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sz val="11"/>
      <color rgb="FF000000"/>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theme="3"/>
      <name val="Calibri"/>
      <family val="2"/>
    </font>
    <font>
      <sz val="11"/>
      <color rgb="FF000000"/>
      <name val="Calibri"/>
      <family val="2"/>
    </font>
    <font>
      <sz val="11"/>
      <color theme="3"/>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sz val="10"/>
      <color rgb="FF000000"/>
      <name val="Calibri"/>
      <family val="2"/>
    </font>
    <font>
      <b/>
      <u/>
      <sz val="9"/>
      <color rgb="FF0000FF"/>
      <name val="Calibri"/>
      <family val="2"/>
    </font>
    <font>
      <b/>
      <sz val="10"/>
      <color rgb="FF0000FF"/>
      <name val="Calibri"/>
      <family val="2"/>
    </font>
    <font>
      <b/>
      <sz val="10"/>
      <color rgb="FF0000FF"/>
      <name val="Arial"/>
      <family val="2"/>
    </font>
    <font>
      <b/>
      <sz val="11"/>
      <color rgb="FF0000FF"/>
      <name val="Calibri"/>
      <family val="2"/>
    </font>
    <font>
      <b/>
      <sz val="11"/>
      <color rgb="FF0000FF"/>
      <name val="Calibri"/>
      <family val="2"/>
      <charset val="1"/>
    </font>
    <font>
      <sz val="11"/>
      <color rgb="FF000000"/>
      <name val="Calibri"/>
      <family val="2"/>
      <charset val="1"/>
    </font>
  </fonts>
  <fills count="22">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D9E1F2"/>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FCE4D6"/>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
      <patternFill patternType="solid">
        <fgColor rgb="FFFF9999"/>
        <bgColor indexed="64"/>
      </patternFill>
    </fill>
  </fills>
  <borders count="16">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s>
  <cellStyleXfs count="4">
    <xf numFmtId="0" fontId="0" fillId="0" borderId="11"/>
    <xf numFmtId="0" fontId="27" fillId="8" borderId="11"/>
    <xf numFmtId="0" fontId="28" fillId="10" borderId="11"/>
    <xf numFmtId="0" fontId="29" fillId="18" borderId="11"/>
  </cellStyleXfs>
  <cellXfs count="166">
    <xf numFmtId="0" fontId="0" fillId="0" borderId="0" xfId="0" applyBorder="1"/>
    <xf numFmtId="0" fontId="11" fillId="0" borderId="0" xfId="0" applyFont="1" applyBorder="1"/>
    <xf numFmtId="0" fontId="18" fillId="0" borderId="0" xfId="0" applyFont="1" applyBorder="1"/>
    <xf numFmtId="0" fontId="0" fillId="0" borderId="1" xfId="0" applyBorder="1"/>
    <xf numFmtId="0" fontId="8" fillId="0" borderId="1" xfId="0" applyFont="1" applyBorder="1"/>
    <xf numFmtId="0" fontId="9" fillId="13" borderId="1" xfId="0" applyFont="1" applyFill="1" applyBorder="1"/>
    <xf numFmtId="0" fontId="20" fillId="0" borderId="1" xfId="0" applyFont="1" applyBorder="1"/>
    <xf numFmtId="0" fontId="15" fillId="0" borderId="1" xfId="0" applyFont="1" applyBorder="1"/>
    <xf numFmtId="0" fontId="10" fillId="15" borderId="1" xfId="0" applyFont="1" applyFill="1" applyBorder="1"/>
    <xf numFmtId="14" fontId="0" fillId="0" borderId="1" xfId="0" applyNumberFormat="1" applyBorder="1"/>
    <xf numFmtId="0" fontId="10" fillId="14" borderId="1" xfId="0" applyFont="1" applyFill="1" applyBorder="1"/>
    <xf numFmtId="164" fontId="0" fillId="0" borderId="1" xfId="0" applyNumberFormat="1" applyBorder="1"/>
    <xf numFmtId="2" fontId="0" fillId="0" borderId="1" xfId="0" applyNumberFormat="1" applyBorder="1"/>
    <xf numFmtId="0" fontId="21" fillId="0" borderId="1" xfId="0" applyFont="1" applyBorder="1"/>
    <xf numFmtId="0" fontId="22" fillId="0" borderId="1" xfId="0" applyFont="1" applyBorder="1"/>
    <xf numFmtId="0" fontId="0" fillId="0" borderId="2" xfId="0" applyBorder="1"/>
    <xf numFmtId="0" fontId="9" fillId="13"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9" fillId="0" borderId="3" xfId="0" applyFont="1" applyBorder="1"/>
    <xf numFmtId="0" fontId="25" fillId="0" borderId="4" xfId="0" applyFont="1" applyBorder="1"/>
    <xf numFmtId="0" fontId="16" fillId="0" borderId="3" xfId="0" applyFont="1" applyBorder="1"/>
    <xf numFmtId="0" fontId="25" fillId="0" borderId="3" xfId="0" applyFont="1" applyBorder="1"/>
    <xf numFmtId="0" fontId="25" fillId="0" borderId="5" xfId="0" applyFont="1" applyBorder="1"/>
    <xf numFmtId="0" fontId="25" fillId="0" borderId="6" xfId="0" applyFont="1" applyBorder="1"/>
    <xf numFmtId="0" fontId="25" fillId="0" borderId="7" xfId="0" applyFont="1" applyBorder="1"/>
    <xf numFmtId="0" fontId="12" fillId="0" borderId="3" xfId="0" applyFont="1" applyBorder="1"/>
    <xf numFmtId="0" fontId="0" fillId="7" borderId="3" xfId="0" applyFill="1" applyBorder="1"/>
    <xf numFmtId="0" fontId="0" fillId="11" borderId="3" xfId="0" applyFill="1" applyBorder="1"/>
    <xf numFmtId="0" fontId="12" fillId="16" borderId="3" xfId="0" applyFont="1" applyFill="1" applyBorder="1"/>
    <xf numFmtId="0" fontId="12" fillId="10" borderId="3" xfId="0" applyFont="1" applyFill="1" applyBorder="1"/>
    <xf numFmtId="0" fontId="14" fillId="0" borderId="3" xfId="0" applyFont="1" applyBorder="1"/>
    <xf numFmtId="0" fontId="17" fillId="0" borderId="3" xfId="0" applyFont="1" applyBorder="1"/>
    <xf numFmtId="0" fontId="9" fillId="17" borderId="3" xfId="0" applyFont="1" applyFill="1" applyBorder="1"/>
    <xf numFmtId="0" fontId="24" fillId="0" borderId="3" xfId="0" applyFont="1" applyBorder="1"/>
    <xf numFmtId="0" fontId="4" fillId="3" borderId="3" xfId="0" applyFont="1" applyFill="1" applyBorder="1" applyAlignment="1">
      <alignment vertical="top" wrapText="1"/>
    </xf>
    <xf numFmtId="0" fontId="25" fillId="0" borderId="8" xfId="0" applyFont="1" applyBorder="1"/>
    <xf numFmtId="0" fontId="5" fillId="5" borderId="3" xfId="0" applyFont="1" applyFill="1" applyBorder="1" applyAlignment="1">
      <alignment vertical="top" wrapText="1"/>
    </xf>
    <xf numFmtId="2" fontId="25" fillId="0" borderId="3" xfId="0" applyNumberFormat="1" applyFont="1" applyBorder="1"/>
    <xf numFmtId="0" fontId="4" fillId="5" borderId="3" xfId="0" applyFont="1" applyFill="1" applyBorder="1" applyAlignment="1">
      <alignment vertical="top" wrapText="1"/>
    </xf>
    <xf numFmtId="2" fontId="26" fillId="0" borderId="3" xfId="0" applyNumberFormat="1" applyFont="1" applyBorder="1"/>
    <xf numFmtId="165" fontId="26" fillId="0" borderId="3" xfId="0" applyNumberFormat="1" applyFont="1" applyBorder="1"/>
    <xf numFmtId="165" fontId="25" fillId="0" borderId="3" xfId="0" applyNumberFormat="1" applyFont="1" applyBorder="1"/>
    <xf numFmtId="166" fontId="26" fillId="0" borderId="3" xfId="0" applyNumberFormat="1" applyFont="1" applyBorder="1"/>
    <xf numFmtId="167" fontId="26" fillId="0" borderId="3" xfId="0" applyNumberFormat="1" applyFont="1" applyBorder="1"/>
    <xf numFmtId="1" fontId="25" fillId="0" borderId="3" xfId="0" applyNumberFormat="1" applyFont="1" applyBorder="1"/>
    <xf numFmtId="168" fontId="26" fillId="0" borderId="3" xfId="0" applyNumberFormat="1" applyFont="1" applyBorder="1"/>
    <xf numFmtId="1" fontId="12" fillId="0" borderId="3" xfId="0" applyNumberFormat="1" applyFont="1" applyBorder="1"/>
    <xf numFmtId="2" fontId="7" fillId="0" borderId="3" xfId="0" applyNumberFormat="1" applyFont="1" applyBorder="1"/>
    <xf numFmtId="0" fontId="5" fillId="2" borderId="3" xfId="0" applyFont="1" applyFill="1" applyBorder="1" applyAlignment="1">
      <alignment vertical="top" wrapText="1"/>
    </xf>
    <xf numFmtId="0" fontId="7" fillId="0" borderId="3" xfId="0" applyFont="1" applyBorder="1"/>
    <xf numFmtId="1" fontId="25" fillId="0" borderId="8" xfId="0" applyNumberFormat="1" applyFont="1" applyBorder="1"/>
    <xf numFmtId="165" fontId="7" fillId="0" borderId="3" xfId="0" applyNumberFormat="1" applyFont="1" applyBorder="1"/>
    <xf numFmtId="1" fontId="7" fillId="0" borderId="3" xfId="0" applyNumberFormat="1" applyFont="1" applyBorder="1"/>
    <xf numFmtId="169" fontId="7" fillId="0" borderId="3" xfId="0" applyNumberFormat="1" applyFont="1" applyBorder="1"/>
    <xf numFmtId="0" fontId="5" fillId="6" borderId="3" xfId="0" applyFont="1" applyFill="1" applyBorder="1" applyAlignment="1">
      <alignment vertical="top" wrapText="1"/>
    </xf>
    <xf numFmtId="0" fontId="26" fillId="0" borderId="3" xfId="0" applyFont="1" applyBorder="1"/>
    <xf numFmtId="0" fontId="0" fillId="10" borderId="3" xfId="0" applyFill="1" applyBorder="1"/>
    <xf numFmtId="168" fontId="6" fillId="0" borderId="3" xfId="0" applyNumberFormat="1" applyFont="1" applyBorder="1"/>
    <xf numFmtId="0" fontId="5" fillId="3" borderId="3" xfId="0" applyFont="1" applyFill="1" applyBorder="1" applyAlignment="1">
      <alignment vertical="top" wrapText="1"/>
    </xf>
    <xf numFmtId="165" fontId="25" fillId="0" borderId="8" xfId="0" applyNumberFormat="1" applyFont="1" applyBorder="1"/>
    <xf numFmtId="0" fontId="23" fillId="0" borderId="8" xfId="0" applyFont="1" applyBorder="1"/>
    <xf numFmtId="170" fontId="26" fillId="0" borderId="3" xfId="0" applyNumberFormat="1" applyFont="1" applyBorder="1"/>
    <xf numFmtId="0" fontId="4" fillId="2" borderId="3" xfId="0" applyFont="1" applyFill="1" applyBorder="1" applyAlignment="1">
      <alignment vertical="top" wrapText="1"/>
    </xf>
    <xf numFmtId="168" fontId="7" fillId="0" borderId="3" xfId="0" applyNumberFormat="1" applyFont="1" applyBorder="1"/>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25" fillId="10" borderId="3" xfId="0" applyFont="1" applyFill="1" applyBorder="1"/>
    <xf numFmtId="168" fontId="25" fillId="0" borderId="5" xfId="0" applyNumberFormat="1" applyFont="1" applyBorder="1"/>
    <xf numFmtId="0" fontId="16" fillId="11" borderId="3" xfId="0" applyFont="1" applyFill="1" applyBorder="1" applyAlignment="1">
      <alignment vertical="top" wrapText="1"/>
    </xf>
    <xf numFmtId="167" fontId="6" fillId="0" borderId="3" xfId="0" applyNumberFormat="1" applyFont="1" applyBorder="1"/>
    <xf numFmtId="0" fontId="4" fillId="4" borderId="3" xfId="0" applyFont="1" applyFill="1" applyBorder="1" applyAlignment="1">
      <alignment vertical="top" wrapText="1"/>
    </xf>
    <xf numFmtId="171" fontId="26" fillId="0" borderId="3" xfId="0" applyNumberFormat="1" applyFont="1" applyBorder="1"/>
    <xf numFmtId="166" fontId="7" fillId="0" borderId="3" xfId="0" applyNumberFormat="1" applyFont="1" applyBorder="1"/>
    <xf numFmtId="168" fontId="25" fillId="0" borderId="8" xfId="0" applyNumberFormat="1" applyFont="1" applyBorder="1"/>
    <xf numFmtId="168" fontId="25" fillId="0" borderId="3" xfId="0" applyNumberFormat="1" applyFont="1" applyBorder="1"/>
    <xf numFmtId="0" fontId="4" fillId="12" borderId="3" xfId="0" applyFont="1" applyFill="1" applyBorder="1" applyAlignment="1">
      <alignment vertical="top" wrapText="1"/>
    </xf>
    <xf numFmtId="0" fontId="13" fillId="0" borderId="3" xfId="0" applyFont="1" applyBorder="1"/>
    <xf numFmtId="0" fontId="0" fillId="9" borderId="3" xfId="0" applyFill="1" applyBorder="1"/>
    <xf numFmtId="0" fontId="25" fillId="0" borderId="9" xfId="0" applyFont="1" applyBorder="1"/>
    <xf numFmtId="0" fontId="30" fillId="8" borderId="3" xfId="1" applyFont="1" applyBorder="1"/>
    <xf numFmtId="0" fontId="30" fillId="18" borderId="3" xfId="3" applyFont="1" applyBorder="1"/>
    <xf numFmtId="0" fontId="30" fillId="10" borderId="3" xfId="2" applyFont="1" applyBorder="1"/>
    <xf numFmtId="0" fontId="0" fillId="19" borderId="3" xfId="0" applyFill="1" applyBorder="1"/>
    <xf numFmtId="0" fontId="31" fillId="0" borderId="3" xfId="0" applyFont="1" applyBorder="1"/>
    <xf numFmtId="0" fontId="32" fillId="0" borderId="3" xfId="0" applyFont="1" applyBorder="1"/>
    <xf numFmtId="0" fontId="32" fillId="0" borderId="10" xfId="0" applyFont="1" applyBorder="1"/>
    <xf numFmtId="0" fontId="32" fillId="0" borderId="11" xfId="0" applyFont="1"/>
    <xf numFmtId="0" fontId="33" fillId="0" borderId="3" xfId="0" applyFont="1" applyBorder="1"/>
    <xf numFmtId="0" fontId="33" fillId="0" borderId="11" xfId="0" applyFont="1"/>
    <xf numFmtId="0" fontId="32" fillId="0" borderId="12" xfId="0" applyFont="1" applyBorder="1"/>
    <xf numFmtId="0" fontId="32" fillId="0" borderId="13" xfId="0" applyFont="1" applyBorder="1"/>
    <xf numFmtId="0" fontId="32" fillId="0" borderId="14" xfId="0" applyFont="1" applyBorder="1"/>
    <xf numFmtId="0" fontId="0" fillId="0" borderId="11" xfId="0"/>
    <xf numFmtId="0" fontId="33" fillId="9" borderId="3" xfId="0" applyFont="1" applyFill="1" applyBorder="1"/>
    <xf numFmtId="0" fontId="4" fillId="19" borderId="3" xfId="0" applyFont="1" applyFill="1" applyBorder="1" applyAlignment="1">
      <alignment vertical="top" wrapText="1"/>
    </xf>
    <xf numFmtId="0" fontId="5" fillId="19" borderId="3" xfId="0" applyFont="1" applyFill="1" applyBorder="1" applyAlignment="1">
      <alignment vertical="top" wrapText="1"/>
    </xf>
    <xf numFmtId="0" fontId="35" fillId="0" borderId="3" xfId="0" applyFont="1" applyBorder="1"/>
    <xf numFmtId="0" fontId="34" fillId="0" borderId="3" xfId="0" applyFont="1" applyBorder="1"/>
    <xf numFmtId="0" fontId="36" fillId="0" borderId="3" xfId="0" applyFont="1" applyBorder="1"/>
    <xf numFmtId="0" fontId="37" fillId="0" borderId="3" xfId="0" applyFont="1" applyBorder="1"/>
    <xf numFmtId="0" fontId="38" fillId="0" borderId="3" xfId="0" applyFont="1" applyBorder="1"/>
    <xf numFmtId="165" fontId="38" fillId="0" borderId="3" xfId="0" applyNumberFormat="1" applyFont="1" applyBorder="1"/>
    <xf numFmtId="0" fontId="35" fillId="3" borderId="3" xfId="0" applyFont="1" applyFill="1" applyBorder="1" applyAlignment="1">
      <alignment vertical="top" wrapText="1"/>
    </xf>
    <xf numFmtId="2" fontId="38" fillId="0" borderId="3" xfId="0" applyNumberFormat="1" applyFont="1" applyBorder="1"/>
    <xf numFmtId="0" fontId="35" fillId="2" borderId="3" xfId="0" applyFont="1" applyFill="1" applyBorder="1" applyAlignment="1">
      <alignment vertical="top" wrapText="1"/>
    </xf>
    <xf numFmtId="0" fontId="35" fillId="7" borderId="3" xfId="0" applyFont="1" applyFill="1" applyBorder="1" applyAlignment="1">
      <alignment vertical="top" wrapText="1"/>
    </xf>
    <xf numFmtId="0" fontId="35" fillId="5" borderId="3" xfId="0" applyFont="1" applyFill="1" applyBorder="1" applyAlignment="1">
      <alignment vertical="top" wrapText="1"/>
    </xf>
    <xf numFmtId="0" fontId="35" fillId="6" borderId="3" xfId="0" applyFont="1" applyFill="1" applyBorder="1" applyAlignment="1">
      <alignment vertical="top" wrapText="1"/>
    </xf>
    <xf numFmtId="0" fontId="39" fillId="0" borderId="3" xfId="0" applyFont="1" applyBorder="1"/>
    <xf numFmtId="0" fontId="35" fillId="9" borderId="3" xfId="0" applyFont="1" applyFill="1" applyBorder="1" applyAlignment="1">
      <alignment vertical="top" wrapText="1"/>
    </xf>
    <xf numFmtId="0" fontId="35" fillId="19" borderId="3" xfId="0" applyFont="1" applyFill="1" applyBorder="1" applyAlignment="1">
      <alignment vertical="top" wrapText="1"/>
    </xf>
    <xf numFmtId="168" fontId="38" fillId="0" borderId="3" xfId="0" applyNumberFormat="1" applyFont="1" applyBorder="1"/>
    <xf numFmtId="0" fontId="35" fillId="4" borderId="3" xfId="0" applyFont="1" applyFill="1" applyBorder="1" applyAlignment="1">
      <alignment vertical="top" wrapText="1"/>
    </xf>
    <xf numFmtId="0" fontId="35" fillId="11" borderId="3" xfId="0" applyFont="1" applyFill="1" applyBorder="1" applyAlignment="1">
      <alignment vertical="top" wrapText="1"/>
    </xf>
    <xf numFmtId="168" fontId="40" fillId="0" borderId="3" xfId="0" applyNumberFormat="1" applyFont="1" applyBorder="1"/>
    <xf numFmtId="170" fontId="26" fillId="0" borderId="11" xfId="0" applyNumberFormat="1" applyFont="1"/>
    <xf numFmtId="165" fontId="32" fillId="0" borderId="15" xfId="0" applyNumberFormat="1" applyFont="1" applyBorder="1"/>
    <xf numFmtId="1" fontId="25" fillId="0" borderId="11" xfId="0" applyNumberFormat="1" applyFont="1"/>
    <xf numFmtId="168" fontId="38" fillId="0" borderId="11" xfId="0" applyNumberFormat="1" applyFont="1"/>
    <xf numFmtId="168" fontId="26" fillId="0" borderId="11" xfId="0" applyNumberFormat="1" applyFont="1"/>
    <xf numFmtId="0" fontId="1" fillId="0" borderId="11" xfId="0" applyFont="1"/>
    <xf numFmtId="0" fontId="3" fillId="0" borderId="11" xfId="0" applyFont="1"/>
    <xf numFmtId="0" fontId="8" fillId="0" borderId="11" xfId="0" applyFont="1"/>
    <xf numFmtId="0" fontId="9" fillId="13" borderId="11" xfId="0" applyFont="1" applyFill="1"/>
    <xf numFmtId="168" fontId="26" fillId="20" borderId="11" xfId="0" applyNumberFormat="1" applyFont="1" applyFill="1"/>
    <xf numFmtId="0" fontId="0" fillId="20" borderId="11" xfId="0" applyFill="1"/>
    <xf numFmtId="0" fontId="41" fillId="0" borderId="3" xfId="0" applyFont="1" applyBorder="1"/>
    <xf numFmtId="0" fontId="0" fillId="8" borderId="3" xfId="0" applyFill="1" applyBorder="1"/>
    <xf applyFill="1" numFmtId="0" fontId="30" fillId="21" borderId="3" xfId="2" applyFont="1" applyBorder="1"/>
    <xf numFmtId="0" fontId="12" fillId="0" borderId="8" xfId="0" applyFont="1" applyBorder="1"/>
    <xf applyFill="1" numFmtId="0" fontId="16" fillId="8" borderId="3" xfId="0" applyFont="1" applyBorder="1"/>
    <xf numFmtId="0" fontId="42" fillId="0" borderId="3" xfId="0" applyFont="1" applyBorder="1"/>
    <xf numFmtId="2" fontId="42" fillId="0" borderId="3" xfId="0" applyNumberFormat="1" applyFont="1" applyBorder="1"/>
    <xf numFmtId="165" fontId="42" fillId="0" borderId="3" xfId="0" applyNumberFormat="1" applyFont="1" applyBorder="1"/>
    <xf numFmtId="2" fontId="12" fillId="0" borderId="3" xfId="0" applyNumberFormat="1" applyFont="1" applyBorder="1"/>
    <xf numFmtId="165" fontId="12" fillId="0" borderId="3" xfId="0" applyNumberFormat="1" applyFont="1" applyBorder="1"/>
    <xf numFmtId="0" fontId="12" fillId="0" borderId="4" xfId="0" applyFont="1" applyBorder="1"/>
    <xf numFmtId="0" fontId="12" fillId="0" borderId="6" xfId="0" applyFont="1" applyBorder="1"/>
    <xf numFmtId="1" fontId="12" fillId="0" borderId="8" xfId="0" applyNumberFormat="1" applyFont="1" applyBorder="1"/>
    <xf numFmtId="1" fontId="43" fillId="0" borderId="3" xfId="0" applyNumberFormat="1" applyFont="1" applyBorder="1"/>
    <xf numFmtId="169" fontId="43" fillId="0" borderId="3" xfId="0" applyNumberFormat="1" applyFont="1" applyBorder="1"/>
    <xf numFmtId="0" fontId="43" fillId="0" borderId="3" xfId="0" applyFont="1" applyBorder="1"/>
    <xf applyFill="1" numFmtId="0" fontId="35" fillId="8" borderId="3" xfId="0" applyFont="1" applyBorder="1"/>
    <xf numFmtId="0" fontId="6" fillId="0" borderId="3" xfId="0" applyFont="1" applyBorder="1"/>
    <xf numFmtId="165" fontId="12" fillId="0" borderId="8" xfId="0" applyNumberFormat="1" applyFont="1" applyBorder="1"/>
    <xf numFmtId="0" fontId="12" fillId="0" borderId="7" xfId="0" applyFont="1" applyBorder="1"/>
    <xf numFmtId="0" fontId="12" fillId="0" borderId="5" xfId="0" applyFont="1" applyBorder="1"/>
    <xf numFmtId="168" fontId="43" fillId="0" borderId="3" xfId="0" applyNumberFormat="1" applyFont="1" applyBorder="1"/>
    <xf numFmtId="168" fontId="12" fillId="0" borderId="5" xfId="0" applyNumberFormat="1" applyFont="1" applyBorder="1"/>
    <xf numFmtId="165" fontId="43" fillId="0" borderId="3" xfId="0" applyNumberFormat="1" applyFont="1" applyBorder="1"/>
    <xf numFmtId="2" fontId="43" fillId="0" borderId="3" xfId="0" applyNumberFormat="1" applyFont="1" applyBorder="1"/>
    <xf numFmtId="166" fontId="43" fillId="0" borderId="3" xfId="0" applyNumberFormat="1" applyFont="1" applyBorder="1"/>
    <xf numFmtId="168" fontId="12" fillId="0" borderId="8" xfId="0" applyNumberFormat="1" applyFont="1" applyBorder="1"/>
    <xf numFmtId="168" fontId="12" fillId="0" borderId="3" xfId="0" applyNumberFormat="1" applyFont="1" applyBorder="1"/>
    <xf numFmtId="0" fontId="4" fillId="8" borderId="3" xfId="0" applyFont="1" applyFill="1" applyBorder="1" applyAlignment="1">
      <alignment vertical="top" wrapText="1"/>
    </xf>
    <xf applyFill="1" numFmtId="0" fontId="0" fillId="8" borderId="3" xfId="0" applyBorder="1"/>
    <xf numFmtId="0" fontId="44" fillId="0" borderId="3" xfId="0" applyFont="1" applyBorder="1"/>
    <xf numFmtId="0" fontId="12" fillId="0" borderId="9" xfId="0" applyFont="1" applyBorder="1"/>
    <xf applyFont="1" numFmtId="0" fontId="45" fillId="0" borderId="11" xfId="0"/>
    <xf applyFont="1" numFmtId="0" fontId="46" fillId="0" borderId="11" xfId="0"/>
    <xf applyFill="1" numFmtId="0" fontId="0" fillId="8" borderId="11" xfId="0"/>
  </cellXfs>
  <cellStyles count="4">
    <cellStyle name="Bad" xfId="2" builtinId="27"/>
    <cellStyle name="Good" xfId="1" builtinId="26"/>
    <cellStyle name="Neutral" xfId="3" builtinId="28"/>
    <cellStyle name="Normal" xfId="0" builtinId="0"/>
  </cellStyles>
  <dxfs count="46">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90"/>
  <sheetViews>
    <sheetView tabSelected="1" zoomScale="116" workbookViewId="0">
      <selection activeCell="D5" sqref="D5"/>
    </sheetView>
  </sheetViews>
  <sheetFormatPr baseColWidth="10" defaultColWidth="8.83203125" defaultRowHeight="15" x14ac:dyDescent="0.2"/>
  <cols>
    <col min="1" max="1" width="34" customWidth="1"/>
    <col min="2" max="2" width="13" customWidth="1"/>
    <col min="3" max="3" width="6" customWidth="1"/>
    <col min="4" max="4" width="24.6640625" customWidth="1"/>
    <col min="5" max="5" width="13.1640625" bestFit="1" customWidth="1"/>
    <col min="6" max="6" width="110.5" style="2" bestFit="1" customWidth="1"/>
  </cols>
  <sheetData>
    <row r="1" spans="1:7" x14ac:dyDescent="0.2">
      <c r="A1" s="16" t="s">
        <v>24</v>
      </c>
      <c r="B1" s="16" t="s">
        <v>25</v>
      </c>
      <c r="C1" s="16" t="s">
        <v>26</v>
      </c>
      <c r="D1" s="16" t="s">
        <v>27</v>
      </c>
      <c r="E1" s="16" t="s">
        <v>28</v>
      </c>
      <c r="F1" s="16" t="s">
        <v>29</v>
      </c>
    </row>
    <row r="2" spans="1:7" ht="16" customHeight="1" thickBot="1" x14ac:dyDescent="0.25">
      <c r="A2" s="17" t="s">
        <v>1</v>
      </c>
      <c r="B2" s="18" t="s">
        <v>30</v>
      </c>
      <c r="C2" s="19"/>
      <c r="D2" s="131" t="s">
        <v>16</v>
      </c>
      <c r="E2" s="20" t="s">
        <v>31</v>
      </c>
      <c r="F2" s="21" t="s">
        <v>32</v>
      </c>
    </row>
    <row r="3" spans="1:7" ht="16" customHeight="1" thickBot="1" x14ac:dyDescent="0.25">
      <c r="A3" s="17" t="s">
        <v>33</v>
      </c>
      <c r="B3" s="18" t="s">
        <v>34</v>
      </c>
      <c r="C3" s="19"/>
      <c r="D3" s="131" t="s">
        <v>393</v>
      </c>
      <c r="E3" s="20" t="s">
        <v>31</v>
      </c>
      <c r="F3" s="21" t="inlineStr">
        <is>
          <t xml:space="preserve">Anode material and sparger. Choose from the list (Electrochemistry A35:A38). Dropdown.</t>
        </is>
      </c>
    </row>
    <row r="4" spans="1:7" x14ac:dyDescent="0.2">
      <c r="A4" s="17" t="s">
        <v>37</v>
      </c>
      <c r="B4" s="18" t="s">
        <v>38</v>
      </c>
      <c r="C4" s="19"/>
      <c r="D4" s="131" t="s">
        <v>535</v>
      </c>
      <c r="E4" s="20" t="s">
        <v>31</v>
      </c>
      <c r="F4" s="21" t="s">
        <v>40</v>
      </c>
    </row>
    <row r="5" spans="1:7" x14ac:dyDescent="0.2">
      <c r="A5" s="20" t="s">
        <v>41</v>
      </c>
      <c r="B5" s="18" t="s">
        <v>42</v>
      </c>
      <c r="C5" s="20"/>
      <c r="D5" s="131" t="inlineStr">
        <is>
          <t>UdG phosphate</t>
        </is>
      </c>
      <c r="E5" s="20" t="s">
        <v>31</v>
      </c>
      <c r="F5" s="21" t="s">
        <v>43</v>
      </c>
    </row>
    <row r="6" spans="1:7" x14ac:dyDescent="0.2">
      <c r="A6" s="20" t="s">
        <v>1276</v>
      </c>
      <c r="B6" s="18" t="s">
        <v>44</v>
      </c>
      <c r="C6" s="20" t="s">
        <v>45</v>
      </c>
      <c r="D6" s="131">
        <v>3</v>
      </c>
      <c r="E6" s="20" t="s">
        <v>46</v>
      </c>
      <c r="F6" s="21" t="s">
        <v>1277</v>
      </c>
    </row>
    <row r="7" spans="1:7" x14ac:dyDescent="0.2">
      <c r="A7" s="20" t="s">
        <v>47</v>
      </c>
      <c r="B7" s="18" t="s">
        <v>48</v>
      </c>
      <c r="C7" s="20" t="s">
        <v>49</v>
      </c>
      <c r="D7" s="131">
        <v>1000</v>
      </c>
      <c r="E7" s="20" t="s">
        <v>46</v>
      </c>
      <c r="F7" s="21" t="s">
        <v>50</v>
      </c>
    </row>
    <row r="8" spans="1:7" x14ac:dyDescent="0.2">
      <c r="A8" s="20" t="s">
        <v>51</v>
      </c>
      <c r="B8" s="18" t="s">
        <v>52</v>
      </c>
      <c r="C8" s="20" t="s">
        <v>53</v>
      </c>
      <c r="D8" s="131">
        <v>25</v>
      </c>
      <c r="E8" s="20" t="s">
        <v>46</v>
      </c>
      <c r="F8" s="21" t="s">
        <v>54</v>
      </c>
    </row>
    <row r="9" spans="1:7" x14ac:dyDescent="0.2">
      <c r="A9" s="20" t="s">
        <v>55</v>
      </c>
      <c r="B9" s="18" t="s">
        <v>56</v>
      </c>
      <c r="C9" s="20" t="s">
        <v>57</v>
      </c>
      <c r="D9" s="36"/>
      <c r="E9" s="20" t="s">
        <v>58</v>
      </c>
      <c r="F9" s="21" t="s">
        <v>59</v>
      </c>
    </row>
    <row r="10" spans="1:7" ht="16" customHeight="1" x14ac:dyDescent="0.2">
      <c r="A10" s="20" t="s">
        <v>60</v>
      </c>
      <c r="B10" s="18" t="s">
        <v>61</v>
      </c>
      <c r="C10" s="20" t="s">
        <v>62</v>
      </c>
      <c r="D10" s="36"/>
      <c r="E10" s="20" t="s">
        <v>58</v>
      </c>
      <c r="F10" s="101" t="s">
        <v>63</v>
      </c>
    </row>
    <row r="11" spans="1:7" x14ac:dyDescent="0.2">
      <c r="A11" s="20"/>
      <c r="B11" s="20"/>
      <c r="C11" s="20"/>
      <c r="D11" s="102"/>
      <c r="E11" s="20"/>
      <c r="F11" s="21"/>
    </row>
    <row r="12" spans="1:7" ht="16" customHeight="1" thickBot="1" x14ac:dyDescent="0.25">
      <c r="A12" s="16" t="s">
        <v>64</v>
      </c>
      <c r="B12" s="16" t="s">
        <v>25</v>
      </c>
      <c r="C12" s="16" t="s">
        <v>26</v>
      </c>
      <c r="D12" s="16" t="s">
        <v>27</v>
      </c>
      <c r="E12" s="16" t="s">
        <v>28</v>
      </c>
      <c r="F12" s="16" t="s">
        <v>29</v>
      </c>
      <c r="G12" s="16" t="s">
        <v>1133</v>
      </c>
    </row>
    <row r="13" spans="1:7" ht="16" customHeight="1" thickBot="1" x14ac:dyDescent="0.25">
      <c r="A13" s="28" t="s">
        <v>1058</v>
      </c>
      <c r="B13" s="18" t="inlineStr">
        <is>
          <t xml:space="preserve">res_spg_dur</t>
        </is>
      </c>
      <c r="C13" s="20" t="s">
        <v>13</v>
      </c>
      <c r="D13" s="90">
        <f>IF('Mass Transfer'!$D$119=0,"calibrate this reactor first (see CO2 flows)",'Mass Transfer'!$D$90)</f>
        <v>0.784513049825</v>
      </c>
      <c r="E13" s="23" t="str">
        <f>HYPERLINK("#'Mass Transfer'!D90","→ Mass")</f>
        <v>→ Mass</v>
      </c>
      <c r="F13" s="21" t="s">
        <v>65</v>
      </c>
      <c r="G13" s="36"/>
    </row>
    <row r="14" spans="1:7" s="3" customFormat="1" ht="16" customHeight="1" thickBot="1" x14ac:dyDescent="0.25">
      <c r="A14" s="28" t="inlineStr">
        <is>
          <t xml:space="preserve">CO₂ sparge duration (as run)</t>
        </is>
      </c>
      <c r="B14" s="18" t="inlineStr">
        <is>
          <t xml:space="preserve">res_spg_dur_run</t>
        </is>
      </c>
      <c r="C14" s="20" t="s">
        <v>13</v>
      </c>
      <c r="D14" s="91">
        <f>IF(AND(ISNUMBER($G$13),$G$13&gt;0),$G$13,IF(NOT(ISNUMBER(D13)),D13,'Mass Transfer'!$D$242))</f>
        <v>0.8</v>
      </c>
      <c r="E14" s="20"/>
      <c r="F14" s="21" t="inlineStr">
        <is>
          <t xml:space="preserve">Pulse to type in: the optimum rounded to the solenoid command resolution (Mass Transfer D241–D242). An override in G13 wins.</t>
        </is>
      </c>
    </row>
    <row r="15" spans="1:7" ht="16" customHeight="1" thickBot="1" x14ac:dyDescent="0.25">
      <c r="A15" s="89" t="str">
        <f>"CO₂ sparge interval ("&amp;vent_model_sel&amp;", sized on "&amp;O2_phase_sel&amp;")"</f>
        <v>CO₂ sparge interval (Open vent, sized on Growth)</v>
      </c>
      <c r="B15" s="18" t="inlineStr">
        <is>
          <t xml:space="preserve">res_spg_int</t>
        </is>
      </c>
      <c r="C15" s="20" t="s">
        <v>67</v>
      </c>
      <c r="D15" s="90">
        <f>IF('Mass Transfer'!$D$119=0,"calibrate this reactor first (see CO2 flows)",'Mass Transfer'!$D$91)</f>
        <v>9.026013902172</v>
      </c>
      <c r="E15" s="23" t="str">
        <f>HYPERLINK("#'Mass Transfer'!D91","→ Mass")</f>
        <v>→ Mass</v>
      </c>
      <c r="F15" s="21" t="inlineStr">
        <is>
          <t xml:space="preserve">Time between doses: the shorter of the carbon-limited interval and the headspace-O₂-dilution interval (binding constraint on Mass Transfer D94), sized on the phase in D112 under the vent model in D111. Credits surface O₂ stripping via the kL_surf estimate; measuring kL_surf refines it.</t>
        </is>
      </c>
      <c r="G15" s="36"/>
    </row>
    <row r="16" spans="1:7" x14ac:dyDescent="0.2">
      <c r="A16" s="28" t="inlineStr">
        <is>
          <t xml:space="preserve">CO₂ sparge interval (as run)</t>
        </is>
      </c>
      <c r="B16" s="18" t="inlineStr">
        <is>
          <t xml:space="preserve">res_spg_int_run</t>
        </is>
      </c>
      <c r="C16" s="20" t="s">
        <v>67</v>
      </c>
      <c r="D16" s="91">
        <f>IF(AND(ISNUMBER($G$15),$G$15&gt;0),$G$15,IF(NOT(ISNUMBER(D15)),D15,ROUND(D14/(60*'Mass Transfer'!$D$93),0)))</f>
        <v>9.0</v>
      </c>
      <c r="E16" s="92"/>
      <c r="F16" s="21" t="inlineStr">
        <is>
          <t xml:space="preserve">Interval to type in: recomputed from the as-run pulse at the optimised duty (Mass Transfer D93) and rounded to whole minutes, so rounding does not shift the CO₂ dose (row 95). An override in G15 wins.</t>
        </is>
      </c>
    </row>
    <row r="17" spans="1:6" s="3" customFormat="1" x14ac:dyDescent="0.2">
      <c r="A17" s="89"/>
      <c r="B17" s="20"/>
      <c r="C17" s="20"/>
      <c r="D17" s="93"/>
      <c r="E17" s="92"/>
      <c r="F17" s="21"/>
    </row>
    <row r="18" spans="1:6" x14ac:dyDescent="0.2">
      <c r="A18" s="16" t="s">
        <v>69</v>
      </c>
      <c r="B18" s="16"/>
      <c r="C18" s="16"/>
      <c r="D18" s="16" t="s">
        <v>27</v>
      </c>
      <c r="E18" s="16" t="s">
        <v>28</v>
      </c>
      <c r="F18" s="16" t="s">
        <v>29</v>
      </c>
    </row>
    <row r="19" spans="1:6" x14ac:dyDescent="0.2">
      <c r="A19" s="89" t="s">
        <v>70</v>
      </c>
      <c r="B19" s="18" t="inlineStr">
        <is>
          <t xml:space="preserve">chk_geom</t>
        </is>
      </c>
      <c r="C19" s="20"/>
      <c r="D19" s="94" t="str">
        <f>Geometry!$D$90</f>
        <v>VIAL GEOMETRY INCONSISTENT - measure true fill volume &amp; bore depth</v>
      </c>
      <c r="E19" s="23" t="str">
        <f>HYPERLINK("#Geometry!D90","→ Geometry")</f>
        <v>→ Geometry</v>
      </c>
      <c r="F19" s="21" t="inlineStr">
        <is>
          <t xml:space="preserve">Red until the vial headspace is measured (vial-geometry.md); while red, the pulse above is provisional (~4x uncertain). After the headspace runs it reads HEADSPACE MEASURED until the body volume is measured too.</t>
        </is>
      </c>
    </row>
    <row r="20" spans="1:6" x14ac:dyDescent="0.2">
      <c r="A20" s="89" t="s">
        <v>72</v>
      </c>
      <c r="B20" s="18" t="inlineStr">
        <is>
          <t xml:space="preserve">chk_cal</t>
        </is>
      </c>
      <c r="C20" s="20"/>
      <c r="D20" s="90" t="str">
        <f>'Mass Transfer'!$D$120</f>
        <v>calibrated: ed04</v>
      </c>
      <c r="E20" s="23" t="str">
        <f>HYPERLINK("#'Mass Transfer'!D120","→ Mass")</f>
        <v>→ Mass</v>
      </c>
      <c r="F20" s="21" t="s">
        <v>73</v>
      </c>
    </row>
    <row r="21" spans="1:6" x14ac:dyDescent="0.2">
      <c r="A21" s="89" t="inlineStr">
        <is>
          <t xml:space="preserve">O₂ within the organism band (mean vs optimum, peak vs impairment)?</t>
        </is>
      </c>
      <c r="B21" s="18" t="inlineStr">
        <is>
          <t xml:space="preserve">chk_DO_opt</t>
        </is>
      </c>
      <c r="C21" s="20"/>
      <c r="D21" s="90" t="str">
        <f>'Mass Transfer'!$D$374</f>
        <v>organism band unknown – peak 2.9 mg/L is under the inhibition ceiling</v>
      </c>
      <c r="E21" s="23" t="str">
        <f>HYPERLINK("#'Mass Transfer'!D374","→ Mass Transfer")</f>
        <v>→ Mass Transfer</v>
      </c>
      <c r="F21" s="21" t="inlineStr">
        <is>
          <t xml:space="preserve">Rule (owner decision, option a): the cycle-MEAN dissolved O₂ is tested against the organism optimum — the schedule is sized on the mean, and the optimum is a time-averaged quantity — and the sawtooth PEAK (just before a pulse, sizing phase) against the impairment threshold. With the band unmeasured, the peak is tested against the inhibition ceiling. Not a tautology: the peak is not what the schedule is sized on.</t>
        </is>
      </c>
    </row>
    <row r="22" spans="1:6" x14ac:dyDescent="0.2">
      <c r="A22" s="89" t="s">
        <v>76</v>
      </c>
      <c r="B22" s="18" t="inlineStr">
        <is>
          <t xml:space="preserve">chk_DO_min</t>
        </is>
      </c>
      <c r="C22" s="20"/>
      <c r="D22" s="90" t="str">
        <f>'Mass Transfer'!$D$110</f>
        <v>minimum DO unknown - measure</v>
      </c>
      <c r="E22" s="23" t="str">
        <f>HYPERLINK("#'Mass Transfer'!D110","→ Mass")</f>
        <v>→ Mass</v>
      </c>
      <c r="F22" s="21" t="s">
        <v>77</v>
      </c>
    </row>
    <row r="23" spans="1:6" x14ac:dyDescent="0.2">
      <c r="A23" s="89" t="inlineStr">
        <is>
          <t xml:space="preserve">Can the interval relax to the carbon-limited one?</t>
        </is>
      </c>
      <c r="B23" s="18" t="inlineStr">
        <is>
          <t xml:space="preserve">chk_relax</t>
        </is>
      </c>
      <c r="C23" s="20"/>
      <c r="D23" s="90" t="str">
        <f>'Mass Transfer'!$D$113</f>
        <v>Do NOT relax: at the carbon-limited interval (189 min) the cycle-mean DO would be ≈16 mg/L, above the 11.7 mg/L inhibition ceiling (peaks higher)</v>
      </c>
      <c r="E23" s="23" t="str">
        <f>HYPERLINK("#'Mass Transfer'!D113","→ Mass")</f>
        <v>→ Mass</v>
      </c>
      <c r="F23" s="21" t="inlineStr">
        <is>
          <t xml:space="preserve">Green only if CO₂ dosed for carbon alone would still hold dissolved O₂ at the target; otherwise it states the DO the longer interval would give.</t>
        </is>
      </c>
    </row>
    <row r="24" spans="1:6" x14ac:dyDescent="0.2">
      <c r="A24" s="89" t="inlineStr">
        <is>
          <t xml:space="preserve">H₂ headspace flammable?</t>
        </is>
      </c>
      <c r="B24" s="18" t="inlineStr">
        <is>
          <t xml:space="preserve">chk_H2</t>
        </is>
      </c>
      <c r="C24" s="20"/>
      <c r="D24" s="95" t="str">
        <f>Biology!$D$44</f>
        <v>FLAMMABLE HEADSPACE (lag): H₂ 11% mean, 18% before each pulse; O₂ 6% – until uptake starts, sparge every ≤1.9 min or sweep ≥1.0 mL/min N₂; vent to a hood; no ignition sources</v>
      </c>
      <c r="E24" s="23" t="str">
        <f>HYPERLINK("#Biology!D44","→ Biology")</f>
        <v>→ Biology</v>
      </c>
      <c r="F24" s="21" t="inlineStr">
        <is>
          <t xml:space="preserve">Lag-phase headspace (electrolysis on, no H₂ uptake) against the H₂ flammability limit and the O₂ limiting concentration; the text names the remedy.</t>
        </is>
      </c>
    </row>
    <row r="25" spans="1:6" x14ac:dyDescent="0.2">
      <c r="A25" s="89" t="s">
        <v>82</v>
      </c>
      <c r="B25" s="18" t="inlineStr">
        <is>
          <t xml:space="preserve">chk_bubble</t>
        </is>
      </c>
      <c r="C25" s="20"/>
      <c r="D25" s="90" t="str">
        <f>'Mass Transfer'!$D$64</f>
        <v>Static</v>
      </c>
      <c r="E25" s="23" t="str">
        <f>HYPERLINK("#'Mass Transfer'!D64","→ Mass")</f>
        <v>→ Mass</v>
      </c>
      <c r="F25" s="21" t="s">
        <v>83</v>
      </c>
    </row>
    <row r="26" spans="1:6" x14ac:dyDescent="0.2">
      <c r="A26" s="89" t="s">
        <v>84</v>
      </c>
      <c r="B26" s="18" t="inlineStr">
        <is>
          <t xml:space="preserve">chk_CO2_supply</t>
        </is>
      </c>
      <c r="C26" s="20"/>
      <c r="D26" s="90" t="str">
        <f>IFERROR("×"&amp;TEXT('Mass Transfer'!$D$126,"0.0")&amp;IF('Mass Transfer'!$D$126&gt;=1," OK"," SHORTFALL (CO2 &lt; demand)"),"calibrate this reactor first")</f>
        <v>×41.9 OK</v>
      </c>
      <c r="E26" s="23" t="str">
        <f>HYPERLINK("#'Mass Transfer'!D126","→ Mass")</f>
        <v>→ Mass</v>
      </c>
      <c r="F26" s="21" t="s">
        <v>85</v>
      </c>
    </row>
    <row r="27" spans="1:6" x14ac:dyDescent="0.2">
      <c r="A27" s="89" t="s">
        <v>86</v>
      </c>
      <c r="B27" s="18" t="inlineStr">
        <is>
          <t xml:space="preserve">chk_pulse_floor</t>
        </is>
      </c>
      <c r="C27" s="20"/>
      <c r="D27" s="90" t="str">
        <f>IFERROR('Mass Transfer'!$D$130,"calibrate this reactor first (see CO2 flows)")</f>
        <v>OK</v>
      </c>
      <c r="E27" s="23" t="str">
        <f>HYPERLINK("#'Mass Transfer'!D130","→ Mass")</f>
        <v>→ Mass</v>
      </c>
      <c r="F27" s="21" t="s">
        <v>87</v>
      </c>
    </row>
    <row r="28" spans="1:6" x14ac:dyDescent="0.2">
      <c r="A28" s="89" t="s">
        <v>88</v>
      </c>
      <c r="B28" s="18" t="inlineStr">
        <is>
          <t xml:space="preserve">chk_od_window</t>
        </is>
      </c>
      <c r="C28" s="20"/>
      <c r="D28" s="90" t="str">
        <f>IFERROR('Mass Transfer'!$D$95,"calibrate this reactor first (see CO2 flows)")</f>
        <v>OK</v>
      </c>
      <c r="E28" s="23" t="str">
        <f>HYPERLINK("#'Mass Transfer'!D95","→ Mass")</f>
        <v>→ Mass</v>
      </c>
      <c r="F28" s="21" t="s">
        <v>89</v>
      </c>
    </row>
    <row r="29" spans="1:6" x14ac:dyDescent="0.2">
      <c r="A29" s="89" t="s">
        <v>90</v>
      </c>
      <c r="B29" s="18" t="inlineStr">
        <is>
          <t xml:space="preserve">chk_carryover</t>
        </is>
      </c>
      <c r="C29" s="20"/>
      <c r="D29" s="90" t="str">
        <f>'Mass Transfer'!$D$59</f>
        <v>OK</v>
      </c>
      <c r="E29" s="23" t="str">
        <f>HYPERLINK("#'Mass Transfer'!D59","→ Mass")</f>
        <v>→ Mass</v>
      </c>
      <c r="F29" s="21" t="s">
        <v>91</v>
      </c>
    </row>
    <row r="30" spans="1:6" x14ac:dyDescent="0.2">
      <c r="A30" s="89" t="s">
        <v>92</v>
      </c>
      <c r="B30" s="18" t="inlineStr">
        <is>
          <t xml:space="preserve">chk_tip</t>
        </is>
      </c>
      <c r="C30" s="20"/>
      <c r="D30" s="90" t="str">
        <f>'Mass Transfer'!$D$111</f>
        <v>OK</v>
      </c>
      <c r="E30" s="23" t="str">
        <f>HYPERLINK("#'Mass Transfer'!D111","→ Mass")</f>
        <v>→ Mass</v>
      </c>
      <c r="F30" s="21" t="s">
        <v>93</v>
      </c>
    </row>
    <row r="31" spans="1:6" x14ac:dyDescent="0.2">
      <c r="A31" s="89" t="s">
        <v>94</v>
      </c>
      <c r="B31" s="18" t="inlineStr">
        <is>
          <t xml:space="preserve">chk_media_vol</t>
        </is>
      </c>
      <c r="C31" s="20"/>
      <c r="D31" s="94" t="str">
        <f>Geometry!$D$54</f>
        <v>OK</v>
      </c>
      <c r="E31" s="23" t="str">
        <f>HYPERLINK("#Geometry!D54","→ Geometry")</f>
        <v>→ Geometry</v>
      </c>
      <c r="F31" s="21" t="s">
        <v>95</v>
      </c>
    </row>
    <row r="32" spans="1:6" x14ac:dyDescent="0.2">
      <c r="A32" s="89" t="s">
        <v>96</v>
      </c>
      <c r="B32" s="18" t="inlineStr">
        <is>
          <t xml:space="preserve">chk_level</t>
        </is>
      </c>
      <c r="C32" s="20"/>
      <c r="D32" s="94" t="str">
        <f>Geometry!$D$55</f>
        <v>OK</v>
      </c>
      <c r="E32" s="23" t="str">
        <f>HYPERLINK("#Geometry!D55","→ Geometry")</f>
        <v>→ Geometry</v>
      </c>
      <c r="F32" s="21" t="s">
        <v>97</v>
      </c>
    </row>
    <row r="33" spans="1:6" ht="16" thickBot="1" x14ac:dyDescent="0.25">
      <c r="A33" s="89" t="s">
        <v>98</v>
      </c>
      <c r="B33" s="18" t="inlineStr">
        <is>
          <t xml:space="preserve">chk_led_law</t>
        </is>
      </c>
      <c r="C33" s="20"/>
      <c r="D33" s="96" t="str">
        <f>Electrochemistry!$D$20</f>
        <v>OK</v>
      </c>
      <c r="E33" s="23" t="str">
        <f>HYPERLINK("#Electrochemistry!D20","→ Electrochemistry")</f>
        <v>→ Electrochemistry</v>
      </c>
      <c r="F33" s="21" t="s">
        <v>99</v>
      </c>
    </row>
    <row r="34" ht="16" thickBot="1" x14ac:dyDescent="0.25">
      <c r="A34" s="89" t="s">
        <v>986</v>
      </c>
      <c r="B34" s="18" t="inlineStr">
        <is>
          <t xml:space="preserve">chk_DO_data</t>
        </is>
      </c>
      <c r="C34" s="20"/>
      <c r="D34" s="94" t="str">
        <f>IF(AND(ISNUMBER(Biology!$D$45),ISNUMBER(Biology!$D$46),ISNUMBER(Biology!$D$47),ISNUMBER(Biology!$D$48)),"inputs present","DATA GAP - organism DO thresholds unmeasured; results unreliable")</f>
        <v>DATA GAP - organism DO thresholds unmeasured; results unreliable</v>
      </c>
      <c r="E34" s="23" t="str">
        <f>HYPERLINK("#Biology!D45","→ Biology")</f>
        <v>→ Biology</v>
      </c>
      <c r="F34" s="21" t="s">
        <v>987</v>
      </c>
    </row>
    <row r="35" ht="16" thickBot="1" x14ac:dyDescent="0.25">
      <c r="A35" s="89" t="inlineStr">
        <is>
          <t xml:space="preserve">Cycle-average pH (activity scale, as a probe reads)</t>
        </is>
      </c>
      <c r="B35" s="18" t="inlineStr">
        <is>
          <t xml:space="preserve">res_pH</t>
        </is>
      </c>
      <c r="C35" s="20"/>
      <c r="D35" s="121">
        <f>Chemistry!$D$220</f>
        <v>6.187122404381</v>
      </c>
      <c r="E35" s="23" t="str">
        <f>HYPERLINK("#Chemistry!D220","→ Chemistry")</f>
        <v>→ Chemistry</v>
      </c>
      <c r="F35" s="21" t="inlineStr">
        <is>
          <t xml:space="preserve">pH at the cycle-average dissolved CO₂ of the schedule in use, on the activity scale a probe reads; the trough just after a pulse is lower. Green 6.5–7.5; red outside 6–8.</t>
        </is>
      </c>
    </row>
    <row r="36" ht="16" thickBot="1" x14ac:dyDescent="0.25">
      <c r="A36" s="89" t="s">
        <v>1128</v>
      </c>
      <c r="B36" s="18" t="inlineStr">
        <is>
          <t xml:space="preserve">res_Cl2</t>
        </is>
      </c>
      <c r="C36" s="20" t="s">
        <v>102</v>
      </c>
      <c r="D36" s="121">
        <f>Chemistry!$D$226</f>
        <v>0.339282500863</v>
      </c>
      <c r="E36" s="23" t="str">
        <f>HYPERLINK("#Chemistry!D226","→ Chemistry")</f>
        <v>→ Chemistry</v>
      </c>
      <c r="F36" s="21" t="inlineStr">
        <is>
          <t xml:space="preserve">Effective biocidal chlorine from the medium’s chloride, as Cl₂ (the basis of the thresholds). Onset 0.1 mg/L, kill 2 mg/L (Chemistry D146/D147); colour: green below 0.1, red above 1. Zero for chloride-free media.</t>
        </is>
      </c>
    </row>
    <row r="37" spans="1:6" ht="16" thickBot="1" x14ac:dyDescent="0.25">
      <c r="A37" s="103" t="s">
        <v>100</v>
      </c>
      <c r="B37" s="20"/>
      <c r="C37" s="20"/>
      <c r="D37" s="20"/>
      <c r="E37" s="20"/>
      <c r="F37" s="21"/>
    </row>
    <row r="38" spans="1:6" x14ac:dyDescent="0.2">
      <c r="A38" s="89" t="inlineStr">
        <is>
          <t xml:space="preserve">Cycle-mean DO (sawtooth, sizing phase)</t>
        </is>
      </c>
      <c r="B38" s="18" t="inlineStr">
        <is>
          <t xml:space="preserve">res_DO_ss</t>
        </is>
      </c>
      <c r="C38" s="20" t="s">
        <v>102</v>
      </c>
      <c r="D38" s="90">
        <f>'Mass Transfer'!$D$108</f>
        <v>2.634776001183</v>
      </c>
      <c r="E38" s="23" t="str">
        <f>HYPERLINK("#'Mass Transfer'!D108","→ Mass")</f>
        <v>→ Mass</v>
      </c>
      <c r="F38" s="21" t="inlineStr">
        <is>
          <t xml:space="preserve">Time-mean dissolved O₂ of the sawtooth model at the schedule in use, on the sizing phase; near the target by construction when O₂ dilution binds. Both phases, mean and peak: rows 114–117.</t>
        </is>
      </c>
    </row>
    <row r="39" spans="1:6" x14ac:dyDescent="0.2">
      <c r="A39" s="89" t="inlineStr">
        <is>
          <t xml:space="preserve">Carbon-limited sparge interval</t>
        </is>
      </c>
      <c r="B39" s="18" t="inlineStr">
        <is>
          <t xml:space="preserve">res_spg_int_carbon</t>
        </is>
      </c>
      <c r="C39" s="20" t="s">
        <v>67</v>
      </c>
      <c r="D39" s="90">
        <f>'Mass Transfer'!$D$112</f>
        <v>188.941031253092</v>
      </c>
      <c r="E39" s="23" t="str">
        <f>HYPERLINK("#'Mass Transfer'!D112","→ Mass")</f>
        <v>→ Mass</v>
      </c>
      <c r="F39" s="21" t="inlineStr">
        <is>
          <t xml:space="preserve">Interval set by CO₂ supply alone. The schedule uses it only when it is shorter than the O₂-dilution interval.</t>
        </is>
      </c>
    </row>
    <row r="40" spans="1:6" x14ac:dyDescent="0.2">
      <c r="A40" s="89" t="s">
        <v>106</v>
      </c>
      <c r="B40" s="18" t="inlineStr">
        <is>
          <t xml:space="preserve">res_tip_speed</t>
        </is>
      </c>
      <c r="C40" s="20" t="s">
        <v>107</v>
      </c>
      <c r="D40" s="90">
        <f>'Mass Transfer'!$D$68</f>
        <v>0.628318530718</v>
      </c>
      <c r="E40" s="23" t="str">
        <f>HYPERLINK("#'Mass Transfer'!D68","→ Mass")</f>
        <v>→ Mass</v>
      </c>
      <c r="F40" s="21" t="s">
        <v>108</v>
      </c>
    </row>
    <row r="41" spans="1:6" x14ac:dyDescent="0.2">
      <c r="A41" s="89" t="inlineStr">
        <is>
          <t xml:space="preserve">Carbon margin at the cycle trough</t>
        </is>
      </c>
      <c r="B41" s="18" t="inlineStr">
        <is>
          <t xml:space="preserve">res_carbon_margin</t>
        </is>
      </c>
      <c r="C41" s="20" t="s">
        <v>110</v>
      </c>
      <c r="D41" s="95">
        <f>Biology!$D$98</f>
        <v>594.524480534657</v>
      </c>
      <c r="E41" s="23" t="str">
        <f>HYPERLINK("#Biology!D98","→ Biology")</f>
        <v>→ Biology</v>
      </c>
      <c r="F41" s="21" t="inlineStr">
        <is>
          <t xml:space="preserve">Dissolved CO₂ at the lowest point of the dosing cycle vs RuBisCO Km (was the in-sparge saturation peak, which a sub-second pulse never reaches); large = ample carbon. Complements the supply:demand ratio (D26).</t>
        </is>
      </c>
    </row>
    <row r="42" spans="1:6" x14ac:dyDescent="0.2">
      <c r="A42" s="103" t="s">
        <v>1278</v>
      </c>
    </row>
    <row r="43" x14ac:dyDescent="0.2">
      <c r="A43" s="89" t="s">
        <v>1279</v>
      </c>
      <c r="B43" s="18" t="inlineStr">
        <is>
          <t xml:space="preserve">res_I_mA</t>
        </is>
      </c>
      <c r="C43" s="20" t="s">
        <v>325</v>
      </c>
      <c r="D43" s="90">
        <f>Electrochemistry!$D$19*1000</f>
        <v>5.69</v>
      </c>
      <c r="E43" s="23" t="str">
        <f>HYPERLINK("#Electrochemistry!D19","→ Electrochemistry")</f>
        <v>→ Electrochemistry</v>
      </c>
      <c r="F43" s="21" t="s">
        <v>1280</v>
      </c>
    </row>
    <row r="44" x14ac:dyDescent="0.2">
      <c r="A44" s="89" t="s">
        <v>1281</v>
      </c>
      <c r="B44" s="18" t="inlineStr">
        <is>
          <t xml:space="preserve">res_j_anode</t>
        </is>
      </c>
      <c r="C44" s="20" t="s">
        <v>1282</v>
      </c>
      <c r="D44" s="90">
        <f>Electrochemistry!$D$48</f>
        <v>2.826095688296</v>
      </c>
      <c r="E44" s="23" t="str">
        <f>HYPERLINK("#Electrochemistry!D48","→ Electrochemistry")</f>
        <v>→ Electrochemistry</v>
      </c>
      <c r="F44" s="21" t="s">
        <v>1283</v>
      </c>
    </row>
    <row r="45" x14ac:dyDescent="0.2">
      <c r="A45" s="89" t="s">
        <v>1284</v>
      </c>
      <c r="B45" s="18" t="inlineStr">
        <is>
          <t xml:space="preserve">res_j_status</t>
        </is>
      </c>
      <c r="D45" s="90" t="str">
        <f>Electrochemistry!$D$62</f>
        <v>watch - above optimum current density</v>
      </c>
      <c r="E45" s="23" t="str">
        <f>HYPERLINK("#Electrochemistry!D62","→ Electrochemistry")</f>
        <v>→ Electrochemistry</v>
      </c>
      <c r="F45" s="21" t="s">
        <v>1285</v>
      </c>
    </row>
    <row r="46" x14ac:dyDescent="0.2">
      <c r="A46" s="89" t="s">
        <v>1286</v>
      </c>
      <c r="B46" s="18" t="inlineStr">
        <is>
          <t xml:space="preserve">res_power_max</t>
        </is>
      </c>
      <c r="C46" s="20" t="s">
        <v>45</v>
      </c>
      <c r="D46" s="90">
        <f>Electrochemistry!$D$73</f>
        <v>10.0</v>
      </c>
      <c r="E46" s="23" t="str">
        <f>HYPERLINK("#Electrochemistry!D73","→ Electrochemistry")</f>
        <v>→ Electrochemistry</v>
      </c>
      <c r="F46" s="21" t="s">
        <v>1287</v>
      </c>
    </row>
    <row r="47" x14ac:dyDescent="0.2">
      <c r="A47" s="89" t="s">
        <v>1288</v>
      </c>
      <c r="B47" s="18" t="inlineStr">
        <is>
          <t xml:space="preserve">res_I_max</t>
        </is>
      </c>
      <c r="C47" s="20" t="s">
        <v>325</v>
      </c>
      <c r="D47" s="90">
        <f>Electrochemistry!$D$74</f>
        <v>12.9</v>
      </c>
      <c r="E47" s="23" t="str">
        <f>HYPERLINK("#Electrochemistry!D74","→ Electrochemistry")</f>
        <v>→ Electrochemistry</v>
      </c>
      <c r="F47" s="21" t="s">
        <v>1289</v>
      </c>
    </row>
    <row r="48" x14ac:dyDescent="0.2">
      <c r="A48" s="89" t="s">
        <v>1290</v>
      </c>
      <c r="B48" s="18" t="inlineStr">
        <is>
          <t xml:space="preserve">res_j_anode_max</t>
        </is>
      </c>
      <c r="C48" s="20" t="s">
        <v>1282</v>
      </c>
      <c r="D48" s="90">
        <f>Electrochemistry!$D$75</f>
        <v>6.407141367138</v>
      </c>
      <c r="E48" s="23" t="str">
        <f>HYPERLINK("#Electrochemistry!D75","→ Electrochemistry")</f>
        <v>→ Electrochemistry</v>
      </c>
      <c r="F48" s="21" t="s">
        <v>1291</v>
      </c>
    </row>
    <row r="49" x14ac:dyDescent="0.2">
      <c r="A49" s="89" t="s">
        <v>1292</v>
      </c>
      <c r="B49" s="18" t="inlineStr">
        <is>
          <t xml:space="preserve">res_j_status_max</t>
        </is>
      </c>
      <c r="D49" s="90" t="str">
        <f>Electrochemistry!$D$76</f>
        <v>EXCEED - max current over a limit</v>
      </c>
      <c r="E49" s="23" t="str">
        <f>HYPERLINK("#Electrochemistry!D76","→ Electrochemistry")</f>
        <v>→ Electrochemistry</v>
      </c>
      <c r="F49" s="21" t="s">
        <v>1293</v>
      </c>
    </row>
    <row r="50" spans="1:6" x14ac:dyDescent="0.2">
      <c r="A50" s="20"/>
      <c r="B50" s="20"/>
      <c r="C50" s="20"/>
      <c r="D50" s="20"/>
      <c r="E50" s="20"/>
      <c r="F50" s="20"/>
    </row>
    <row r="51" spans="1:6" x14ac:dyDescent="0.2">
      <c r="A51" s="16" t="s">
        <v>112</v>
      </c>
      <c r="B51" s="16"/>
      <c r="C51" s="16"/>
      <c r="D51" s="16"/>
      <c r="E51" s="16"/>
      <c r="F51" s="16"/>
    </row>
    <row r="52" spans="1:6" x14ac:dyDescent="0.2">
      <c r="A52" s="132" t="s">
        <v>113</v>
      </c>
      <c r="B52" s="20"/>
      <c r="C52" s="20"/>
      <c r="D52" s="28"/>
      <c r="E52" s="20"/>
      <c r="F52" s="20"/>
    </row>
    <row r="53" spans="1:6" x14ac:dyDescent="0.2">
      <c r="A53" s="29" t="s">
        <v>114</v>
      </c>
      <c r="B53" s="20"/>
      <c r="C53" s="20"/>
      <c r="D53" s="28"/>
      <c r="E53" s="20"/>
      <c r="F53" s="20"/>
    </row>
    <row r="54" spans="1:6" x14ac:dyDescent="0.2">
      <c r="A54" s="98" t="s">
        <v>115</v>
      </c>
      <c r="B54" s="20"/>
      <c r="C54" s="20"/>
      <c r="D54" s="28"/>
      <c r="E54" s="20"/>
      <c r="F54" s="20"/>
    </row>
    <row r="55" spans="1:6" x14ac:dyDescent="0.2">
      <c r="A55" s="30" t="s">
        <v>116</v>
      </c>
      <c r="B55" s="20"/>
      <c r="C55" s="20"/>
      <c r="D55" s="28"/>
      <c r="E55" s="20"/>
      <c r="F55" s="20"/>
    </row>
    <row r="56" spans="1:6" x14ac:dyDescent="0.2">
      <c r="A56" s="31" t="s">
        <v>117</v>
      </c>
      <c r="B56" s="20"/>
      <c r="C56" s="20"/>
      <c r="D56" s="28"/>
      <c r="E56" s="92"/>
      <c r="F56" s="20"/>
    </row>
    <row r="57" spans="1:6" x14ac:dyDescent="0.2">
      <c r="A57" s="32" t="s">
        <v>118</v>
      </c>
      <c r="B57" s="20"/>
      <c r="C57" s="20"/>
      <c r="D57" s="28"/>
      <c r="E57" s="92"/>
      <c r="F57" s="20"/>
    </row>
    <row r="58" spans="1:6" x14ac:dyDescent="0.2">
      <c r="A58" s="88" t="s">
        <v>119</v>
      </c>
      <c r="B58" s="20"/>
      <c r="C58" s="20"/>
      <c r="D58" s="28"/>
      <c r="E58" s="92"/>
      <c r="F58" s="20"/>
    </row>
    <row r="59" spans="1:6" x14ac:dyDescent="0.2">
      <c r="A59" s="33" t="s">
        <v>120</v>
      </c>
      <c r="B59" s="20"/>
      <c r="C59" s="20"/>
      <c r="D59" s="20"/>
      <c r="E59" s="20"/>
      <c r="F59" s="20"/>
    </row>
    <row r="60" spans="1:6" x14ac:dyDescent="0.2">
      <c r="A60" s="34" t="s">
        <v>121</v>
      </c>
      <c r="B60" s="20"/>
      <c r="C60" s="20"/>
      <c r="D60" s="20"/>
      <c r="E60" s="20"/>
      <c r="F60" s="20"/>
    </row>
    <row r="61" spans="1:6" s="20" customFormat="1" x14ac:dyDescent="0.2">
      <c r="A61" s="84" t="s">
        <v>122</v>
      </c>
    </row>
    <row r="62" spans="1:6" s="20" customFormat="1" x14ac:dyDescent="0.2">
      <c r="A62" s="85" t="s">
        <v>123</v>
      </c>
    </row>
    <row r="63" spans="1:6" x14ac:dyDescent="0.2">
      <c r="A63" s="133" t="s">
        <v>124</v>
      </c>
      <c r="B63" s="20"/>
      <c r="C63" s="20"/>
      <c r="D63" s="20"/>
      <c r="E63" s="20"/>
      <c r="F63" s="20"/>
    </row>
    <row r="64" spans="1:6" x14ac:dyDescent="0.2">
      <c r="A64" s="20"/>
      <c r="B64" s="20"/>
      <c r="C64" s="20"/>
      <c r="D64" s="28"/>
      <c r="E64" s="92"/>
      <c r="F64" s="20"/>
    </row>
    <row r="65" spans="1:6" x14ac:dyDescent="0.2">
      <c r="A65" s="35" t="s">
        <v>125</v>
      </c>
      <c r="B65" s="35" t="s">
        <v>126</v>
      </c>
      <c r="C65" s="35" t="s">
        <v>127</v>
      </c>
      <c r="D65" s="35" t="s">
        <v>128</v>
      </c>
      <c r="E65" s="35"/>
      <c r="F65" s="35" t="s">
        <v>129</v>
      </c>
    </row>
    <row r="66" spans="1:6" x14ac:dyDescent="0.2">
      <c r="A66" s="20" t="s">
        <v>1013</v>
      </c>
      <c r="B66" s="20" t="s">
        <v>1014</v>
      </c>
      <c r="C66" s="20" t="s">
        <v>1015</v>
      </c>
      <c r="D66" s="36" t="str">
        <f>HYPERLINK("https://github.com/amy-bo/electroPioreactor/blob/AEP02/Media/protocols/surface-kla.md","surface-kla.md →")</f>
        <v>surface-kla.md →</v>
      </c>
      <c r="E66" s="103"/>
      <c r="F66" s="21" t="inlineStr">
        <is>
          <t xml:space="preserve">Sets how far dissolved O₂ must sit above the headspace to shed the surplus, and the feasibility margin behind the whole DO strategy (kLa in use ÷ kLa required). It moves the answer continuously.</t>
        </is>
      </c>
    </row>
    <row r="67" spans="1:6" x14ac:dyDescent="0.2">
      <c r="A67" s="20" t="s">
        <v>1016</v>
      </c>
      <c r="B67" s="20" t="s">
        <v>1017</v>
      </c>
      <c r="C67" s="20" t="s">
        <v>1018</v>
      </c>
      <c r="D67" s="36" t="str">
        <f>HYPERLINK("https://github.com/amy-bo/electroPioreactor/blob/AEP02/Media/protocols/vial-geometry.md","vial-geometry.md →")</f>
        <v>vial-geometry.md →</v>
      </c>
      <c r="E67" s="103"/>
      <c r="F67" s="21" t="s">
        <v>1019</v>
      </c>
    </row>
    <row r="68" spans="1:6" x14ac:dyDescent="0.2">
      <c r="A68" s="20" t="s">
        <v>1020</v>
      </c>
      <c r="B68" s="20" t="s">
        <v>1021</v>
      </c>
      <c r="C68" s="20" t="s">
        <v>1022</v>
      </c>
      <c r="D68" s="36" t="str">
        <f>HYPERLINK("https://github.com/amy-bo/electroPioreactor/blob/AEP02/Media/protocols/faradaic-efficiency.md","faradaic-efficiency.md →")</f>
        <v>faradaic-efficiency.md →</v>
      </c>
      <c r="E68" s="103"/>
      <c r="F68" s="21" t="inlineStr">
        <is>
          <t xml:space="preserve">Calculated from the cathodic O₂ flux, but the calculation rests on an estimated electrode mass-transfer coefficient. Measuring it settles the H₂/O₂ split and the peroxide source at once.</t>
        </is>
      </c>
    </row>
    <row r="69" spans="1:6" x14ac:dyDescent="0.2">
      <c r="A69" s="20" t="s">
        <v>1023</v>
      </c>
      <c r="B69" s="20" t="s">
        <v>1024</v>
      </c>
      <c r="C69" s="20" t="s">
        <v>1025</v>
      </c>
      <c r="D69" s="36" t="str">
        <f>HYPERLINK("https://github.com/amy-bo/electroPioreactor/blob/AEP02/Media/protocols/knallgas-stoichiometry.md","knallgas-stoichiometry.md →")</f>
        <v>knallgas-stoichiometry.md →</v>
      </c>
      <c r="E69" s="103"/>
      <c r="F69" s="21" t="s">
        <v>1026</v>
      </c>
    </row>
    <row r="70" spans="1:6" x14ac:dyDescent="0.2">
      <c r="A70" s="20" t="s">
        <v>1027</v>
      </c>
      <c r="B70" s="20" t="s">
        <v>1028</v>
      </c>
      <c r="C70" s="20" t="s">
        <v>1029</v>
      </c>
      <c r="D70" s="36" t="str">
        <f>HYPERLINK("https://github.com/amy-bo/electroPioreactor/blob/AEP02/Media/protocols/faradaic-efficiency.md","faradaic-efficiency.md →")</f>
        <v>faradaic-efficiency.md →</v>
      </c>
      <c r="E70" s="103"/>
      <c r="F70" s="21" t="s">
        <v>1903</v>
      </c>
    </row>
    <row r="71" spans="1:6" x14ac:dyDescent="0.2">
      <c r="A71" s="20" t="s">
        <v>1030</v>
      </c>
      <c r="B71" s="20" t="s">
        <v>1031</v>
      </c>
      <c r="C71" s="20" t="s">
        <v>1032</v>
      </c>
      <c r="D71" s="36" t="str">
        <f>HYPERLINK("https://github.com/amy-bo/electroPioreactor/blob/AEP02/Media/protocols/vial-geometry.md","vial-geometry.md →")</f>
        <v>vial-geometry.md →</v>
      </c>
      <c r="E71" s="103"/>
      <c r="F71" s="21" t="s">
        <v>1033</v>
      </c>
    </row>
    <row r="72" spans="1:6" x14ac:dyDescent="0.2">
      <c r="A72" s="20" t="s">
        <v>1034</v>
      </c>
      <c r="B72" s="20" t="s">
        <v>1035</v>
      </c>
      <c r="C72" s="20" t="s">
        <v>1036</v>
      </c>
      <c r="D72" s="36" t="str">
        <f>HYPERLINK("https://github.com/amy-bo/electroPioreactor/blob/AEP02/Media/protocols/flow-calibration.md","flow-calibration.md →")</f>
        <v>flow-calibration.md →</v>
      </c>
      <c r="E72" s="103"/>
      <c r="F72" s="21" t="s">
        <v>1037</v>
      </c>
    </row>
    <row r="73" spans="1:6" x14ac:dyDescent="0.2">
      <c r="A73" s="20" t="s">
        <v>1038</v>
      </c>
      <c r="B73" s="20" t="s">
        <v>1039</v>
      </c>
      <c r="C73" s="20" t="s">
        <v>1040</v>
      </c>
      <c r="D73" s="36" t="str">
        <f>HYPERLINK("https://github.com/amy-bo/electroPioreactor/blob/AEP02/Media/protocols/dissolved-oxygen.md","dissolved-oxygen.md →")</f>
        <v>dissolved-oxygen.md →</v>
      </c>
      <c r="E73" s="103"/>
      <c r="F73" s="21" t="s">
        <v>1041</v>
      </c>
    </row>
    <row r="74" spans="1:6" x14ac:dyDescent="0.2">
      <c r="A74" s="20" t="s">
        <v>1042</v>
      </c>
      <c r="B74" s="20" t="s">
        <v>1043</v>
      </c>
      <c r="C74" s="20" t="s">
        <v>1044</v>
      </c>
      <c r="D74" s="36" t="str">
        <f>HYPERLINK("https://github.com/amy-bo/electroPioreactor/blob/AEP02/Media/protocols/flow-calibration.md","flow-calibration.md →")</f>
        <v>flow-calibration.md →</v>
      </c>
      <c r="E74" s="103"/>
      <c r="F74" s="21" t="s">
        <v>1045</v>
      </c>
    </row>
    <row r="75" spans="1:6" x14ac:dyDescent="0.2">
      <c r="A75" s="20" t="s">
        <v>1046</v>
      </c>
      <c r="B75" s="20" t="s">
        <v>1047</v>
      </c>
      <c r="C75" s="20" t="s">
        <v>1048</v>
      </c>
      <c r="D75" s="36" t="str">
        <f>HYPERLINK("https://github.com/amy-bo/electroPioreactor/blob/AEP02/Media/protocols/sinter-porosity.md","sinter-porosity.md →")</f>
        <v>sinter-porosity.md →</v>
      </c>
      <c r="E75" s="103"/>
      <c r="F75" s="21" t="s">
        <v>1049</v>
      </c>
    </row>
    <row r="76" spans="1:6" x14ac:dyDescent="0.2">
      <c r="A76" s="20" t="s">
        <v>1050</v>
      </c>
      <c r="B76" s="20" t="s">
        <v>1051</v>
      </c>
      <c r="C76" s="20" t="s">
        <v>1052</v>
      </c>
      <c r="D76" s="36" t="str">
        <f>HYPERLINK("https://github.com/amy-bo/electroPioreactor/blob/AEP02/Media/protocols/README.md","README.md →")</f>
        <v>README.md →</v>
      </c>
      <c r="E76" s="103"/>
      <c r="F76" s="21" t="s">
        <v>1053</v>
      </c>
    </row>
    <row r="77" spans="1:6" x14ac:dyDescent="0.2">
      <c r="A77" t="s">
        <v>1904</v>
      </c>
      <c r="B77" t="s">
        <v>1021</v>
      </c>
      <c r="C77" t="s">
        <v>1052</v>
      </c>
      <c r="D77" s="23" t="str">
        <f>HYPERLINK("https://github.com/amy-bo/electroPioreactor/blob/AEP02/Media/protocols/current-density-screen.md","current-density-screen.md →")</f>
        <v>current-density-screen.md →</v>
      </c>
      <c r="E77" s="20"/>
      <c r="F77" t="s">
        <v>1905</v>
      </c>
    </row>
    <row r="78" spans="1:6" x14ac:dyDescent="0.2">
      <c r="A78" t="s">
        <v>1906</v>
      </c>
      <c r="B78" t="s">
        <v>1043</v>
      </c>
      <c r="C78" t="s">
        <v>1052</v>
      </c>
      <c r="D78" s="23" t="str">
        <f>HYPERLINK("https://github.com/amy-bo/electroPioreactor/blob/AEP02/Media/protocols/vial-geometry.md","vial-geometry.md →")</f>
        <v>vial-geometry.md →</v>
      </c>
      <c r="E78" s="20"/>
      <c r="F78" t="s">
        <v>1907</v>
      </c>
    </row>
    <row r="79" spans="1:6" x14ac:dyDescent="0.2">
      <c r="A79" t="s">
        <v>1908</v>
      </c>
      <c r="B79" t="s">
        <v>1021</v>
      </c>
      <c r="C79" t="s">
        <v>1052</v>
      </c>
      <c r="D79" s="23" t="str">
        <f>HYPERLINK("https://github.com/amy-bo/electroPioreactor/blob/AEP02/Media/protocols/gerrit-current.md","gerrit-current.md →")</f>
        <v>gerrit-current.md →</v>
      </c>
      <c r="E79" s="20"/>
      <c r="F79" t="inlineStr">
        <is>
          <t xml:space="preserve">The voltage budget is a testable prediction (about 2.8 V of a 5 V rail at 3 %, 3.5 V at 10 %). A multimeter reading across the electrodes discriminates the cell-constant choice (k_geom 1 vs 2: 2.85 vs 3.26 V at 3 %) and, with the 25 % point, bounds the j₀ errors.</t>
        </is>
      </c>
    </row>
    <row r="80" spans="1:6" x14ac:dyDescent="0.2">
      <c r="A80" t="s">
        <v>1910</v>
      </c>
      <c r="B80" t="s">
        <v>1021</v>
      </c>
      <c r="C80" t="s">
        <v>1029</v>
      </c>
      <c r="D80" s="23" t="str">
        <f>HYPERLINK("https://github.com/amy-bo/electroPioreactor/blob/AEP02/Media/protocols/README.md","README.md →")</f>
        <v>README.md →</v>
      </c>
      <c r="F80" t="inlineStr">
        <is>
          <t xml:space="preserve">Cu/Ni/Fe by ICP or a colorimetric kit. The operating anode sits well above the Cu²⁺/Cu equilibrium (row 88), so dissolution is thermodynamically allowed; this is the unmodelled prime suspect for the Exp-2 death and it also closes the anodic charge budget.</t>
        </is>
      </c>
    </row>
    <row r="81" spans="1:6" x14ac:dyDescent="0.2">
      <c r="A81" s="5" t="inlineStr">
        <is>
          <t xml:space="preserve">ELECTROCHEMISTRY – CALCULATED (hand these to an electrochemist)</t>
        </is>
      </c>
    </row>
    <row r="82" x14ac:dyDescent="0.2">
      <c r="A82" t="s">
        <v>1652</v>
      </c>
      <c r="B82" s="18" t="inlineStr">
        <is>
          <t xml:space="preserve">res_etaF</t>
        </is>
      </c>
      <c r="C82" s="19" t="s">
        <v>1274</v>
      </c>
      <c r="D82" s="22">
        <f>Electrochemistry!$D$88</f>
        <v>0.958329302507</v>
      </c>
      <c r="E82" s="23" t="str">
        <f>HYPERLINK("#Electrochemistry!D88","→ Electrochemistry")</f>
        <v>→ Electrochemistry</v>
      </c>
      <c r="F82" t="inlineStr">
        <is>
          <t xml:space="preserve">Fraction of cathode current making H₂ rather than reducing dissolved O₂.</t>
        </is>
      </c>
    </row>
    <row r="83" x14ac:dyDescent="0.2">
      <c r="A83" t="s">
        <v>1742</v>
      </c>
      <c r="B83" s="18" t="inlineStr">
        <is>
          <t xml:space="preserve">res_V_cell</t>
        </is>
      </c>
      <c r="C83" s="19" t="s">
        <v>1595</v>
      </c>
      <c r="D83" s="22">
        <f>Electrochemistry!$D$119</f>
        <v>2.847708123495</v>
      </c>
      <c r="E83" s="23" t="str">
        <f>HYPERLINK("#Electrochemistry!D119","→ Electrochemistry")</f>
        <v>→ Electrochemistry</v>
      </c>
      <c r="F83" t="s">
        <v>1867</v>
      </c>
    </row>
    <row r="84" x14ac:dyDescent="0.2">
      <c r="A84" t="s">
        <v>1751</v>
      </c>
      <c r="B84" s="18" t="inlineStr">
        <is>
          <t xml:space="preserve">res_V_flag</t>
        </is>
      </c>
      <c r="C84" s="19" t="s">
        <v>1274</v>
      </c>
      <c r="D84" s="22" t="str">
        <f>Electrochemistry!$D$122</f>
        <v>OK — 2.85 V estimated against a 5 V rail</v>
      </c>
      <c r="E84" s="23" t="str">
        <f>HYPERLINK("#Electrochemistry!D122","→ Electrochemistry")</f>
        <v>→ Electrochemistry</v>
      </c>
      <c r="F84" t="s">
        <v>1868</v>
      </c>
    </row>
    <row r="85" x14ac:dyDescent="0.2">
      <c r="A85" t="s">
        <v>1683</v>
      </c>
      <c r="B85" s="18" t="inlineStr">
        <is>
          <t xml:space="preserve">res_H2O2_flag</t>
        </is>
      </c>
      <c r="C85" s="19" t="s">
        <v>1274</v>
      </c>
      <c r="D85" s="22" t="str">
        <f>Electrochemistry!$D$99</f>
        <v>watch — steady growth is clear (0.055 mg/L) but LAG PHASE is not: peroxide passes the threshold in 5 min before biomass can scavenge it</v>
      </c>
      <c r="E85" s="23" t="str">
        <f>HYPERLINK("#Electrochemistry!D99","→ Electrochemistry")</f>
        <v>→ Electrochemistry</v>
      </c>
      <c r="F85" t="s">
        <v>1869</v>
      </c>
    </row>
    <row r="86" x14ac:dyDescent="0.2">
      <c r="A86" t="s">
        <v>1870</v>
      </c>
      <c r="B86" s="18" t="inlineStr">
        <is>
          <t xml:space="preserve">res_buffer_flag</t>
        </is>
      </c>
      <c r="C86" s="19" t="s">
        <v>1274</v>
      </c>
      <c r="D86" s="22" t="str">
        <f>Chemistry!$D$219</f>
        <v>OK — buffer holds the electrode surfaces at the bulk pH</v>
      </c>
      <c r="E86" s="23" t="str">
        <f>HYPERLINK("#Chemistry!D219","→ Chemistry")</f>
        <v>→ Chemistry</v>
      </c>
      <c r="F86" t="s">
        <v>1871</v>
      </c>
    </row>
    <row r="87" x14ac:dyDescent="0.2">
      <c r="A87" t="inlineStr">
        <is>
          <t xml:space="preserve">HOCl/Cl⁻ couple minus anode potential</t>
        </is>
      </c>
      <c r="B87" s="18" t="inlineStr">
        <is>
          <t xml:space="preserve">res_E_Cl_margin</t>
        </is>
      </c>
      <c r="C87" s="19" t="s">
        <v>1595</v>
      </c>
      <c r="D87" s="22">
        <f>Chemistry!$D$209</f>
        <v>-0.427526934687</v>
      </c>
      <c r="E87" s="23" t="str">
        <f>HYPERLINK("#Chemistry!D209","→ Chemistry")</f>
        <v>→ Chemistry</v>
      </c>
      <c r="F87" t="inlineStr">
        <is>
          <t xml:space="preserve">Negative = the anode is above the chloride-oxidation couple: chlorine forms, limited by chloride transport (Chemistry D132).</t>
        </is>
      </c>
    </row>
    <row r="88" x14ac:dyDescent="0.2">
      <c r="A88" t="s">
        <v>1600</v>
      </c>
      <c r="B88" s="18" t="inlineStr">
        <is>
          <t xml:space="preserve">res_E_Cu_margin</t>
        </is>
      </c>
      <c r="C88" s="19" t="s">
        <v>1595</v>
      </c>
      <c r="D88" s="22">
        <f>Chemistry!$D$211</f>
        <v>1.265216285627</v>
      </c>
      <c r="E88" s="23" t="str">
        <f>HYPERLINK("#Chemistry!D211","→ Chemistry")</f>
        <v>→ Chemistry</v>
      </c>
      <c r="F88" t="inlineStr">
        <is>
          <t xml:space="preserve">How far the operating anode sits above the Cu²⁺/Cu standard potential; positive = copper dissolution thermodynamically allowed.</t>
        </is>
      </c>
    </row>
    <row r="89" x14ac:dyDescent="0.2">
      <c r="A89" t="s">
        <v>1622</v>
      </c>
      <c r="B89" s="18" t="inlineStr">
        <is>
          <t xml:space="preserve">res_pH_probe</t>
        </is>
      </c>
      <c r="C89" s="19" t="s">
        <v>1274</v>
      </c>
      <c r="D89" s="22">
        <f>Chemistry!$D$220</f>
        <v>6.187122404381</v>
      </c>
      <c r="E89" s="23" t="str">
        <f>HYPERLINK("#Chemistry!D220","→ Chemistry")</f>
        <v>→ Chemistry</v>
      </c>
      <c r="F89" t="s">
        <v>1874</v>
      </c>
    </row>
    <row r="90" x14ac:dyDescent="0.2">
      <c r="A90" t="s">
        <v>1875</v>
      </c>
      <c r="B90" s="18" t="inlineStr">
        <is>
          <t xml:space="preserve">res_kLa_req</t>
        </is>
      </c>
      <c r="C90" s="19" t="s">
        <v>639</v>
      </c>
      <c r="D90" s="22">
        <f>'Mass Transfer'!$D$186</f>
        <v>0.003566106821</v>
      </c>
      <c r="E90" s="23" t="str">
        <f>HYPERLINK("#'Mass Transfer'!D186","→ Mass Transfer")</f>
        <v>→ Mass Transfer</v>
      </c>
      <c r="F90" t="inlineStr">
        <is>
          <t xml:space="preserve">Below this, no sparge interval holds the target dissolved O₂ on the sizing phase. Both phases and their margins: rows 120–123.</t>
        </is>
      </c>
    </row>
    <row r="92">
      <c r="A92" s="103" t="inlineStr">
        <is>
          <t xml:space="preserve">DISPLAY SETTINGS</t>
        </is>
      </c>
    </row>
    <row r="93">
      <c r="A93" s="20" t="inlineStr">
        <is>
          <t xml:space="preserve">Rounding split</t>
        </is>
      </c>
      <c r="B93" s="18" t="inlineStr">
        <is>
          <t xml:space="preserve">round_split</t>
        </is>
      </c>
      <c r="C93" s="20" t="inlineStr">
        <is>
          <t xml:space="preserve">s or min</t>
        </is>
      </c>
      <c r="D93" s="131">
        <v>0.5</v>
      </c>
      <c r="E93" s="87" t="inlineStr">
        <is>
          <t xml:space="preserve">Former display rule for rows 14 and 16 (whole units above this value, else two significant figures); superseded by the pulse-resolution rounding (Mass Transfer D241) and no longer referenced.</t>
        </is>
      </c>
    </row>
    <row r="95">
      <c r="A95" s="89" t="inlineStr">
        <is>
          <t xml:space="preserve">As-run duty ÷ optimised duty</t>
        </is>
      </c>
      <c r="C95" s="20" t="inlineStr">
        <is>
          <t xml:space="preserve">×</t>
        </is>
      </c>
      <c r="D95" s="95">
        <f>IF(AND(ISNUMBER(D14),ISNUMBER(D16),ISNUMBER('Mass Transfer'!$D$93)),D14/(60*D16)/'Mass Transfer'!$D$93,"calibrate this reactor first (see CO2 flows)")</f>
        <v>1.022688337739</v>
      </c>
      <c r="E95" s="23" t="str">
        <f>HYPERLINK("#'Mass Transfer'!D93","→ Mass")</f>
        <v>→ Mass</v>
      </c>
      <c r="F95" s="21" t="inlineStr">
        <is>
          <t xml:space="preserve">Duty of the schedule as typed in (rows 14 and 16) against the optimised duty; 1 = rounding has not moved the CO₂ dose, pH or DO. Should sit within a few per cent.</t>
        </is>
      </c>
    </row>
    <row r="110">
      <c r="A110" s="103" t="inlineStr">
        <is>
          <t xml:space="preserve">HEADSPACE MODEL — owner decisions (dropdowns) and both-phase dissolved O₂</t>
        </is>
      </c>
    </row>
    <row r="111">
      <c r="A111" s="17" t="inlineStr">
        <is>
          <t xml:space="preserve">Vent model</t>
        </is>
      </c>
      <c r="B111" s="18" t="inlineStr">
        <is>
          <t xml:space="preserve">vent_model_sel</t>
        </is>
      </c>
      <c r="C111" s="19" t="inlineStr">
        <is>
          <t xml:space="preserve">-</t>
        </is>
      </c>
      <c r="D111" s="131" t="inlineStr">
        <is>
          <t xml:space="preserve">Open vent</t>
        </is>
      </c>
      <c r="E111" s="20" t="inlineStr">
        <is>
          <t xml:space="preserve">select</t>
        </is>
      </c>
      <c r="F111" s="21" t="inlineStr">
        <is>
          <t xml:space="preserve">"Outflow only" = check valve or sealed cap that holds a vacuum (no air ever enters). "Open vent" = a plain needle or tube with no forced flow (air is drawn back after each pulse; Q_backdraw, Mass Transfer D385, an estimate). "Air exchange" = measured bidirectional exchange at Q_vent (Mass Transfer D142). Unsure → Open vent. Anything else → #N/A throughout. The choice moves the interval and the lag DO materially; the pH much less.</t>
        </is>
      </c>
    </row>
    <row r="112">
      <c r="A112" s="17" t="inlineStr">
        <is>
          <t xml:space="preserve">O₂ sizing phase</t>
        </is>
      </c>
      <c r="B112" s="18" t="inlineStr">
        <is>
          <t xml:space="preserve">O2_phase_sel</t>
        </is>
      </c>
      <c r="C112" s="19" t="inlineStr">
        <is>
          <t xml:space="preserve">-</t>
        </is>
      </c>
      <c r="D112" s="131" t="inlineStr">
        <is>
          <t xml:space="preserve">Growth</t>
        </is>
      </c>
      <c r="E112" s="20" t="inlineStr">
        <is>
          <t xml:space="preserve">select</t>
        </is>
      </c>
      <c r="F112" s="21" t="inlineStr">
        <is>
          <t xml:space="preserve">"Growth" sizes the sparge interval on the O₂ surplus after knallgas uptake; "Lag" on the whole net electrolytic O₂ plus H₂ (no uptake yet). Anything else → #N/A. Both phases are reported below whichever is chosen. If the chosen phase's DO target is unreachable (rows 120–121), the schedule falls back to the legacy O₂ flush guard (Mass Transfer D89), which is not derived from the headspace balance and does not respond to the vent model.</t>
        </is>
      </c>
    </row>
    <row r="113">
      <c r="A113" s="89" t="inlineStr">
        <is>
          <t xml:space="preserve">Vent air ingress in use</t>
        </is>
      </c>
      <c r="C113" s="20" t="inlineStr">
        <is>
          <t xml:space="preserve">mL/min</t>
        </is>
      </c>
      <c r="D113" s="90">
        <f>'Mass Transfer'!$D$386</f>
        <v>0.015</v>
      </c>
      <c r="E113" s="23" t="str">
        <f>HYPERLINK("#'Mass Transfer'!D386","→ Mass Transfer")</f>
        <v>→ Mass Transfer</v>
      </c>
      <c r="F113" s="21" t="inlineStr">
        <is>
          <t xml:space="preserve">0 for "Outflow only"; Q_backdraw (Mass Transfer D385, an estimate) for "Open vent"; the measured Q_vent (D142) for "Air exchange". The single number that reconciles the O₂, CO₂ and flammability blocks — measure it.</t>
        </is>
      </c>
    </row>
    <row r="114">
      <c r="A114" s="89" t="inlineStr">
        <is>
          <t xml:space="preserve">Cycle-mean DO — growth phase</t>
        </is>
      </c>
      <c r="C114" s="20" t="inlineStr">
        <is>
          <t xml:space="preserve">mg/L</t>
        </is>
      </c>
      <c r="D114" s="90">
        <f>'Mass Transfer'!$D$343</f>
        <v>2.634776001183</v>
      </c>
      <c r="E114" s="23" t="str">
        <f>HYPERLINK("#'Mass Transfer'!D343","→ Mass Transfer")</f>
        <v>→ Mass Transfer</v>
      </c>
      <c r="F114" s="21" t="inlineStr">
        <is>
          <t xml:space="preserve">Time-mean dissolved O₂ at the schedule in use with the growth-phase O₂ surplus (sawtooth model).</t>
        </is>
      </c>
    </row>
    <row r="115">
      <c r="A115" s="89" t="inlineStr">
        <is>
          <t xml:space="preserve">Peak DO — growth phase</t>
        </is>
      </c>
      <c r="C115" s="20" t="inlineStr">
        <is>
          <t xml:space="preserve">mg/L</t>
        </is>
      </c>
      <c r="D115" s="90">
        <f>'Mass Transfer'!$D$344</f>
        <v>2.934788844069</v>
      </c>
      <c r="E115" s="23" t="str">
        <f>HYPERLINK("#'Mass Transfer'!D344","→ Mass Transfer")</f>
        <v>→ Mass Transfer</v>
      </c>
      <c r="F115" s="21" t="inlineStr">
        <is>
          <t xml:space="preserve">Dissolved O₂ just before a pulse, growth phase. Compare with the organism band and the ceiling.</t>
        </is>
      </c>
    </row>
    <row r="116">
      <c r="A116" s="89" t="inlineStr">
        <is>
          <t xml:space="preserve">Cycle-mean DO — lag phase</t>
        </is>
      </c>
      <c r="C116" s="20" t="inlineStr">
        <is>
          <t xml:space="preserve">mg/L</t>
        </is>
      </c>
      <c r="D116" s="90">
        <f>'Mass Transfer'!$D$364</f>
        <v>6.785801971106</v>
      </c>
      <c r="E116" s="23" t="str">
        <f>HYPERLINK("#'Mass Transfer'!D364","→ Mass Transfer")</f>
        <v>→ Mass Transfer</v>
      </c>
      <c r="F116" s="21" t="inlineStr">
        <is>
          <t xml:space="preserve">Same schedule, no uptake yet: the whole net electrolytic O₂ crosses the surface. Expect this from inoculation until growth is established, and in every abiotic run.</t>
        </is>
      </c>
    </row>
    <row r="117">
      <c r="A117" s="89" t="inlineStr">
        <is>
          <t xml:space="preserve">Peak DO — lag phase</t>
        </is>
      </c>
      <c r="C117" s="20" t="inlineStr">
        <is>
          <t xml:space="preserve">mg/L</t>
        </is>
      </c>
      <c r="D117" s="90">
        <f>'Mass Transfer'!$D$365</f>
        <v>7.403376944733</v>
      </c>
      <c r="E117" s="23" t="str">
        <f>HYPERLINK("#'Mass Transfer'!D365","→ Mass Transfer")</f>
        <v>→ Mass Transfer</v>
      </c>
      <c r="F117" s="21" t="inlineStr">
        <is>
          <t xml:space="preserve">Lag-phase sawtooth peak; the discriminating prediction for an abiotic DO trace (R2 experiment 2).</t>
        </is>
      </c>
    </row>
    <row r="118">
      <c r="A118" s="89" t="inlineStr">
        <is>
          <t xml:space="preserve">Peak DO under the inhibition ceiling? — growth</t>
        </is>
      </c>
      <c r="D118" s="90" t="str">
        <f>'Mass Transfer'!$D$348</f>
        <v>peak 2.9 mg/L under the 11.7 mg/L ceiling</v>
      </c>
      <c r="E118" s="23" t="str">
        <f>HYPERLINK("#'Mass Transfer'!D348","→ Mass Transfer")</f>
        <v>→ Mass Transfer</v>
      </c>
      <c r="F118" s="21" t="inlineStr">
        <is>
          <t xml:space="preserve">Red = the growth-phase sawtooth peaks above the 0.30 atm growth-inhibition ceiling.</t>
        </is>
      </c>
    </row>
    <row r="119">
      <c r="A119" s="89" t="inlineStr">
        <is>
          <t xml:space="preserve">Peak DO under the inhibition ceiling? — lag</t>
        </is>
      </c>
      <c r="D119" s="90" t="str">
        <f>'Mass Transfer'!$D$369</f>
        <v>peak 7.4 mg/L under the 11.7 mg/L ceiling</v>
      </c>
      <c r="E119" s="23" t="str">
        <f>HYPERLINK("#'Mass Transfer'!D369","→ Mass Transfer")</f>
        <v>→ Mass Transfer</v>
      </c>
      <c r="F119" s="21" t="inlineStr">
        <is>
          <t xml:space="preserve">Red = the lag-phase peak breaches the ceiling at this schedule; the culture would then be inhibited before it starts.</t>
        </is>
      </c>
    </row>
    <row r="120">
      <c r="A120" s="89" t="inlineStr">
        <is>
          <t xml:space="preserve">DO target reachable? — growth</t>
        </is>
      </c>
      <c r="D120" s="90" t="str">
        <f>'Mass Transfer'!$D$347</f>
        <v>reachable – kLa margin 2.02×</v>
      </c>
      <c r="E120" s="23" t="str">
        <f>HYPERLINK("#'Mass Transfer'!D347","→ Mass Transfer")</f>
        <v>→ Mass Transfer</v>
      </c>
      <c r="F120" s="21" t="inlineStr">
        <is>
          <t xml:space="preserve">Surface kLa in use ÷ kLa required on the growth source. Below 1× no interval holds the target.</t>
        </is>
      </c>
    </row>
    <row r="121">
      <c r="A121" s="89" t="inlineStr">
        <is>
          <t xml:space="preserve">DO target reachable? — lag</t>
        </is>
      </c>
      <c r="D121" s="90" t="str">
        <f>'Mass Transfer'!$D$368</f>
        <v>UNREACHABLE at this surface kLa – margin 0.64× (raise kL_surf, lower the current, or accept a higher DO)</v>
      </c>
      <c r="E121" s="23" t="str">
        <f>HYPERLINK("#'Mass Transfer'!D368","→ Mass Transfer")</f>
        <v>→ Mass Transfer</v>
      </c>
      <c r="F121" s="21" t="str">
        <f>"Same on the lag source. Currently "&amp;TEXT('Mass Transfer'!$D$367,"0.00")&amp;"×: "&amp;IF('Mass Transfer'!$D$367&lt;1,"the target cannot be held during lag at the kLa in use, whatever the schedule — an owner decision (target the ceiling with a margin during lag?).","the target can be held during lag at the kLa in use.")</f>
        <v>Same on the lag source. Currently 0.64×: the target cannot be held during lag at the kLa in use, whatever the schedule — an owner decision (target the ceiling with a margin during lag?).</v>
      </c>
    </row>
    <row r="122">
      <c r="A122" s="89" t="inlineStr">
        <is>
          <t xml:space="preserve">Surface kLa required — growth</t>
        </is>
      </c>
      <c r="C122" s="20" t="inlineStr">
        <is>
          <t xml:space="preserve">1/s</t>
        </is>
      </c>
      <c r="D122" s="90">
        <f>'Mass Transfer'!$D$345</f>
        <v>0.003566106821</v>
      </c>
      <c r="E122" s="23" t="str">
        <f>HYPERLINK("#'Mass Transfer'!D345","→ Mass Transfer")</f>
        <v>→ Mass Transfer</v>
      </c>
      <c r="F122" s="21" t="inlineStr">
        <is>
          <t xml:space="preserve">Compare with the estimate in use (Mass Transfer D98).</t>
        </is>
      </c>
    </row>
    <row r="123">
      <c r="A123" s="89" t="inlineStr">
        <is>
          <t xml:space="preserve">Surface kLa required — lag</t>
        </is>
      </c>
      <c r="C123" s="20" t="inlineStr">
        <is>
          <t xml:space="preserve">1/s</t>
        </is>
      </c>
      <c r="D123" s="90">
        <f>'Mass Transfer'!$D$366</f>
        <v>0.011180382694</v>
      </c>
      <c r="E123" s="23" t="str">
        <f>HYPERLINK("#'Mass Transfer'!D366","→ Mass Transfer")</f>
        <v>→ Mass Transfer</v>
      </c>
      <c r="F123" s="21" t="inlineStr">
        <is>
          <t xml:space="preserve">Compare with the estimate in use (Mass Transfer D98).</t>
        </is>
      </c>
    </row>
    <row r="124">
      <c r="A124" s="89" t="inlineStr">
        <is>
          <t xml:space="preserve">Headspace O₂ fraction (flux-mean; the headspace swings around it) — growth</t>
        </is>
      </c>
      <c r="C124" s="20" t="inlineStr">
        <is>
          <t xml:space="preserve">-</t>
        </is>
      </c>
      <c r="D124" s="90">
        <f>'Mass Transfer'!$D$329</f>
        <v>0.031639138319</v>
      </c>
      <c r="E124" s="23" t="str">
        <f>HYPERLINK("#'Mass Transfer'!D329","→ Mass Transfer")</f>
        <v>→ Mass Transfer</v>
      </c>
      <c r="F124" s="21" t="inlineStr">
        <is>
          <t xml:space="preserve">Flux-mean O₂ in the vent gas at the schedule in use, growth phase.</t>
        </is>
      </c>
    </row>
    <row r="125">
      <c r="A125" s="89" t="inlineStr">
        <is>
          <t xml:space="preserve">Headspace O₂ fraction (mean-field) — lag</t>
        </is>
      </c>
      <c r="C125" s="20" t="inlineStr">
        <is>
          <t xml:space="preserve">-</t>
        </is>
      </c>
      <c r="D125" s="90">
        <f>'Mass Transfer'!$D$351</f>
        <v>0.064019231488</v>
      </c>
      <c r="E125" s="23" t="str">
        <f>HYPERLINK("#'Mass Transfer'!D351","→ Mass Transfer")</f>
        <v>→ Mass Transfer</v>
      </c>
      <c r="F125" s="21" t="inlineStr">
        <is>
          <t xml:space="preserve">Lag phase; with the H₂ fraction below it, the flammability basis of row 24.</t>
        </is>
      </c>
    </row>
    <row r="126">
      <c r="A126" s="89" t="inlineStr">
        <is>
          <t xml:space="preserve">Headspace H₂ fraction (mean-field) — lag</t>
        </is>
      </c>
      <c r="C126" s="20" t="inlineStr">
        <is>
          <t xml:space="preserve">-</t>
        </is>
      </c>
      <c r="D126" s="90">
        <f>'Mass Transfer'!$D$352</f>
        <v>0.113266761861</v>
      </c>
      <c r="E126" s="23" t="str">
        <f>HYPERLINK("#'Mass Transfer'!D352","→ Mass Transfer")</f>
        <v>→ Mass Transfer</v>
      </c>
      <c r="F126" s="21" t="inlineStr">
        <is>
          <t xml:space="preserve">Lag-phase H₂ in the headspace (LFL 4 %). Growth is zero only by the 100 % uptake assumption.</t>
        </is>
      </c>
    </row>
    <row r="127">
      <c r="A127" s="89" t="inlineStr">
        <is>
          <t xml:space="preserve">Headspace CO₂ fraction (mean-field, sizing phase)</t>
        </is>
      </c>
      <c r="C127" s="20" t="inlineStr">
        <is>
          <t xml:space="preserve">-</t>
        </is>
      </c>
      <c r="D127" s="90">
        <f>'Mass Transfer'!$D$381</f>
        <v>0.929374836165</v>
      </c>
      <c r="E127" s="23" t="str">
        <f>HYPERLINK("#'Mass Transfer'!D381","→ Mass Transfer")</f>
        <v>→ Mass Transfer</v>
      </c>
      <c r="F127" s="21" t="inlineStr">
        <is>
          <t xml:space="preserve">What the vent model implies for the CO₂ the pH rests on: ~97 % for "Outflow only", lower when air enters ("Open vent", "Air exchange"). The pool model (Mass Transfer D200) should agree within the sawtooth.</t>
        </is>
      </c>
    </row>
    <row r="128">
      <c r="A128" s="89" t="inlineStr">
        <is>
          <t xml:space="preserve">DO target and pH band met together at the schedule in use?</t>
        </is>
      </c>
      <c r="D128" s="90" t="str">
        <f>IF(ISNA('Mass Transfer'!$D$308+'Mass Transfer'!$D$317),"#N/A – check the selectors in D111/D112",IF(NOT(ISNUMBER('Mass Transfer'!$D$185)),"DO target unreachable on the sizing phase (rows 120–121) – the schedule is the legacy O₂ flush guard (Mass Transfer D89)",IF(Chemistry!$D$220&gt;=Chemistry!$D$236,"yes – the schedule holds the DO target at pH "&amp;TEXT(Chemistry!$D$220,"0.00")&amp;", within the band",IF('Mass Transfer'!$D$185&lt;='Mass Transfer'!$D$112,"NO – holding the DO target drives pH to "&amp;TEXT(Chemistry!$D$220,"0.00")&amp;", below the "&amp;TEXT(Chemistry!$D$236,"0.0")&amp;" band floor","NO – the carbon-limited interval (not the DO target) gives pH "&amp;TEXT(Chemistry!$D$220,"0.00")&amp;", below the "&amp;TEXT(Chemistry!$D$236,"0.0")&amp;" band floor"))))</f>
        <v>NO – holding the DO target drives pH to 6.19, below the 6.5 band floor</v>
      </c>
      <c r="E128" s="23" t="str">
        <f>HYPERLINK("#Chemistry!D220","→ Chemistry")</f>
        <v>→ Chemistry</v>
      </c>
      <c r="F128" s="21" t="inlineStr">
        <is>
          <t xml:space="preserve">The vent model couples the two: when O₂ dilution binds, CO₂ is doing the O₂ dilution, so the DO-limited interval sets the pH (the text says which constraint binds). Red means the two targets conflict under the vent model in use — decouple them (inert sweep) or measure the vent before trusting either. #N/A = a selector in D111/D112 is not a listed value.</t>
        </is>
      </c>
    </row>
    <row r="129">
      <c r="A129" s="89" t="inlineStr">
        <is>
          <t xml:space="preserve">Headspace sag per cycle if the vent held a vacuum</t>
        </is>
      </c>
      <c r="C129" s="20" t="inlineStr">
        <is>
          <t xml:space="preserve">-</t>
        </is>
      </c>
      <c r="D129" s="90">
        <f>'Mass Transfer'!$D$389</f>
        <v>0.059351496276</v>
      </c>
      <c r="E129" s="23" t="str">
        <f>HYPERLINK("#'Mass Transfer'!D389","→ Mass Transfer")</f>
        <v>→ Mass Transfer</v>
      </c>
      <c r="F129" s="21" t="inlineStr">
        <is>
          <t xml:space="preserve">Upper bound on the per-cycle pressure deficit (fraction of 1 atm) that the "Outflow only" model implies at the schedule in use; 0.05 = 5 %.</t>
        </is>
      </c>
    </row>
    <row r="130">
      <c r="A130" s="89" t="inlineStr">
        <is>
          <t xml:space="preserve">Outflow-only headspace physically plausible?</t>
        </is>
      </c>
      <c r="D130" s="90" t="str">
        <f>'Mass Transfer'!$D$391</f>
        <v>n/a – the vent admits air (Open vent / Air exchange), so the headspace refills</v>
      </c>
      <c r="E130" s="23" t="str">
        <f>HYPERLINK("#'Mass Transfer'!D391","→ Mass Transfer")</f>
        <v>→ Mass Transfer</v>
      </c>
      <c r="F130" s="21" t="inlineStr">
        <is>
          <t xml:space="preserve">"HEADSPACE SAGS" = the check-valve model needs more vacuum than a real cap holds: switch D111 to Open vent or Air exchange. n/a when the vent model already admits air.</t>
        </is>
      </c>
    </row>
  </sheetData>
  <conditionalFormatting sqref="B64:B76">
    <cfRule type="expression" dxfId="45" priority="16" stopIfTrue="1">
      <formula>EXACT(B64,"HIGH")</formula>
    </cfRule>
    <cfRule type="expression" dxfId="44" priority="17" stopIfTrue="1">
      <formula>EXACT(B64,"MED")</formula>
    </cfRule>
    <cfRule type="expression" dxfId="43" priority="18" stopIfTrue="1">
      <formula>EXACT(B64,"LOW")</formula>
    </cfRule>
  </conditionalFormatting>
  <conditionalFormatting sqref="C64:C76">
    <cfRule type="expression" dxfId="42" priority="19" stopIfTrue="1">
      <formula>EXACT(C64,"low")</formula>
    </cfRule>
    <cfRule type="expression" dxfId="41" priority="20" stopIfTrue="1">
      <formula>EXACT(C64,"med")</formula>
    </cfRule>
    <cfRule type="expression" dxfId="40" priority="21" stopIfTrue="1">
      <formula>EXACT(C64,"high")</formula>
    </cfRule>
  </conditionalFormatting>
  <conditionalFormatting sqref="D13:D16">
    <cfRule type="expression" dxfId="39" priority="15" stopIfTrue="1">
      <formula>ISNUMBER(SEARCH("calibrate this",D13))</formula>
    </cfRule>
  </conditionalFormatting>
  <conditionalFormatting sqref="D14">
    <cfRule type="expression" dxfId="38" priority="1" stopIfTrue="1">
      <formula>AND(ISNUMBER($G$13),$G$13&gt;0)</formula>
    </cfRule>
  </conditionalFormatting>
  <conditionalFormatting sqref="D16">
    <cfRule type="expression" dxfId="37" priority="3" stopIfTrue="1">
      <formula>AND(ISNUMBER($G$15),$G$15&gt;0)</formula>
    </cfRule>
  </conditionalFormatting>
  <conditionalFormatting sqref="D19:D36">
    <cfRule type="expression" dxfId="36" priority="12" stopIfTrue="1">
      <formula>OR(ISNUMBER(SEARCH("INCONSISTENT",D19)),ISNUMBER(SEARCH("OVER",D19)),ISNUMBER(SEARCH("BELOW",D19)),ISNUMBER(SEARCH("EXCEED",D19)),ISNUMBER(SEARCH("NO CALIB",D19)),ISNUMBER(SEARCH("calibrate this",D19)),ISNUMBER(SEARCH("RISK",D19)),ISNUMBER(SEARCH("EXPLOSIVE",D19)),ISNUMBER(SEARCH("OOR",D19)),ISNUMBER(SEARCH("insufficient",D19)),ISNUMBER(SEARCH("TIP SPEED",D19)),ISNUMBER(SEARCH("SHORTFALL",D19)),EXACT(D19,"OUT"),EXACT(D19,"LOW"),ISNUMBER(SEARCH("GAP",D19)))</formula>
    </cfRule>
    <cfRule type="expression" dxfId="35" priority="13" stopIfTrue="1">
      <formula>OR(ISNUMBER(SEARCH("above optimum",D19)),ISNUMBER(SEARCH("watch",D19)),ISNUMBER(SEARCH("NEAREST",D19)),ISNUMBER(SEARCH("unknown",D19)),ISNUMBER(SEARCH("TIGHT",D19)))</formula>
    </cfRule>
    <cfRule type="expression" dxfId="34" priority="14" stopIfTrue="1">
      <formula>OR(EXACT(D19,"OK"),ISNUMBER(SEARCH(" OK",D19)),ISNUMBER(SEARCH("calibrated:",D19)),ISNUMBER(SEARCH("optimum",D19)),ISNUMBER(SEARCH("above min",D19)),ISNUMBER(SEARCH("CARBON-limited",D19)),ISNUMBER(SEARCH("Static",D19)),ISNUMBER(SEARCH("Dynamic",D19)),ISNUMBER(SEARCH("present",D19)))</formula>
    </cfRule>
  </conditionalFormatting>
  <conditionalFormatting sqref="D35">
    <cfRule type="expression" dxfId="33" priority="22" stopIfTrue="1">
      <formula>OR(D35&lt;6,D35&gt;8)</formula>
    </cfRule>
    <cfRule type="expression" dxfId="32" priority="23" stopIfTrue="1">
      <formula>OR(D35&lt;6.5,D35&gt;7.5)</formula>
    </cfRule>
    <cfRule type="expression" dxfId="31" priority="24" stopIfTrue="1">
      <formula>ISNUMBER(D35)</formula>
    </cfRule>
  </conditionalFormatting>
  <conditionalFormatting sqref="D36">
    <cfRule type="expression" dxfId="30" priority="25" stopIfTrue="1">
      <formula>D36&gt;1</formula>
    </cfRule>
    <cfRule type="expression" dxfId="29" priority="26" stopIfTrue="1">
      <formula>D36&gt;0.1</formula>
    </cfRule>
    <cfRule type="expression" dxfId="28" priority="27" stopIfTrue="1">
      <formula>ISNUMBER(D36)</formula>
    </cfRule>
  </conditionalFormatting>
  <conditionalFormatting sqref="D45">
    <cfRule type="expression" dxfId="27" priority="40" stopIfTrue="1">
      <formula>ISNUMBER(SEARCH("EXCEED",D45))</formula>
    </cfRule>
    <cfRule type="expression" dxfId="26" priority="41" stopIfTrue="1">
      <formula>ISNUMBER(SEARCH("watch",D45))</formula>
    </cfRule>
    <cfRule type="expression" dxfId="25" priority="42" stopIfTrue="1">
      <formula>ISNUMBER(SEARCH("OK",D45))</formula>
    </cfRule>
  </conditionalFormatting>
  <conditionalFormatting sqref="D49">
    <cfRule type="expression" dxfId="24" priority="43" stopIfTrue="1">
      <formula>ISNUMBER(SEARCH("EXCEED",D49))</formula>
    </cfRule>
    <cfRule type="expression" dxfId="23" priority="44" stopIfTrue="1">
      <formula>ISNUMBER(SEARCH("watch",D49))</formula>
    </cfRule>
    <cfRule type="expression" dxfId="22" priority="45" stopIfTrue="1">
      <formula>ISNUMBER(SEARCH("OK",D49))</formula>
    </cfRule>
  </conditionalFormatting>
  <dataValidations count="11">
    <dataValidation type="list" allowBlank="1" showInputMessage="1" showErrorMessage="1" errorTitle="Not a listed reactor" error="Pick a reactor from the list (Geometry A59:A80)." sqref="D2" xr:uid="{00000000-0002-0000-0000-000000000000}">
      <formula1>ReactorList</formula1>
    </dataValidation>
    <dataValidation type="list" allowBlank="1" showInputMessage="1" showErrorMessage="1" errorTitle="Not a listed electrode" error="Pick an electrode from the list (Electrochemistry A35:A38)." sqref="D3" xr:uid="{00000000-0002-0000-0000-000001000000}">
      <formula1>ElectrodeList</formula1>
    </dataValidation>
    <dataValidation type="list" allowBlank="1" showInputMessage="1" showErrorMessage="1" errorTitle="Not a listed organism" error="Pick an organism from the list (Biology A52:A57)." sqref="D4" xr:uid="{00000000-0002-0000-0000-000002000000}">
      <formula1>OrganismList</formula1>
    </dataValidation>
    <dataValidation type="list" allowBlank="1" showInputMessage="1" showErrorMessage="1" errorTitle="Not a listed medium" error="Pick a medium from the list (Chemistry A114:A115)." sqref="D5" xr:uid="{00000000-0002-0000-0000-000003000000}">
      <formula1>MediaList</formula1>
    </dataValidation>
    <dataValidation operator="between" type="decimal" allowBlank="1" showErrorMessage="1" errorTitle="Invalid value" error="Electrolysis power is 0–25 % (Gerrit's Law is validated to 25 %; the plugin clamps at 10 %)." sqref="D6">
      <formula1>0</formula1>
      <formula2>25</formula2>
    </dataValidation>
    <dataValidation operator="between" type="whole" allowBlank="1" showErrorMessage="1" errorTitle="Invalid value" error="Stirrer rate 125–2000 rpm." sqref="D7">
      <formula1>125</formula1>
      <formula2>2000</formula2>
    </dataValidation>
    <dataValidation operator="between" type="decimal" allowBlank="1" showErrorMessage="1" errorTitle="Invalid value" error="Temperature 15–40 °C: the water-property fits are valid in that range." sqref="D8">
      <formula1>15</formula1>
      <formula2>40</formula2>
    </dataValidation>
    <dataValidation operator="greaterThan" type="decimal" allowBlank="1" showErrorMessage="1" errorTitle="Invalid value" error="Media volume in mL, or leave blank for the recommended working volume." sqref="D9">
      <formula1>0</formula1>
    </dataValidation>
    <dataValidation operator="between" type="decimal" allowBlank="1" showErrorMessage="1" errorTitle="Invalid value" error="Ambient pressure in Pa (80000–110000), or leave blank for 101325 Pa." sqref="D10">
      <formula1>80000</formula1>
      <formula2>110000</formula2>
    </dataValidation>
    <dataValidation type="list" allowBlank="1" showErrorMessage="1" errorTitle="Invalid value" error="Choose Growth or Lag." sqref="D112">
      <formula1>"Growth,Lag"</formula1>
    </dataValidation>
    <dataValidation type="list" allowBlank="1" showErrorMessage="1" errorTitle="Invalid value" error="Choose Outflow only, Open vent or Air exchange." sqref="D111">
      <formula1>"Outflow only,Open vent,Air exchange"</formula1>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00000000-0002-0000-0000-000000000000}">
          <x14:formula1>
            <xm:f>Geometry!$A$59:$A$80</xm:f>
          </x14:formula1>
          <xm:sqref>D2</xm:sqref>
        </x14:dataValidation>
        <x14:dataValidation type="list" allowBlank="1" xr:uid="{00000000-0002-0000-0000-000001000000}">
          <x14:formula1>
            <xm:f>Electrochemistry!$A$35:$A$38</xm:f>
          </x14:formula1>
          <xm:sqref>D3</xm:sqref>
        </x14:dataValidation>
        <x14:dataValidation type="list" allowBlank="1" xr:uid="{00000000-0002-0000-0000-000002000000}">
          <x14:formula1>
            <xm:f>Biology!$A$52:$A$57</xm:f>
          </x14:formula1>
          <xm:sqref>D4</xm:sqref>
        </x14:dataValidation>
        <x14:dataValidation type="list" allowBlank="1" xr:uid="{00000000-0002-0000-0000-000003000000}">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3"/>
  <sheetViews>
    <sheetView zoomScale="174" workbookViewId="0">
      <selection activeCell="A2" sqref="A2:XFD2"/>
    </sheetView>
  </sheetViews>
  <sheetFormatPr baseColWidth="10" defaultColWidth="8.83203125" defaultRowHeight="15" x14ac:dyDescent="0.2"/>
  <cols>
    <col min="1" max="1" width="30" customWidth="1"/>
    <col min="2" max="2" width="15" customWidth="1"/>
    <col min="5" max="5" width="60" customWidth="1"/>
  </cols>
  <sheetData>
    <row r="1" spans="1:9" ht="16" customHeight="1" x14ac:dyDescent="0.2">
      <c r="A1" s="104" t="s">
        <v>130</v>
      </c>
      <c r="B1" s="20"/>
      <c r="C1" s="20"/>
      <c r="D1" s="20"/>
      <c r="E1" s="20"/>
      <c r="F1" s="20"/>
      <c r="G1" s="20"/>
      <c r="H1" s="20"/>
      <c r="I1" s="20"/>
    </row>
    <row r="2" spans="1:9" x14ac:dyDescent="0.2">
      <c r="A2" s="16" t="s">
        <v>24</v>
      </c>
      <c r="B2" s="16" t="s">
        <v>25</v>
      </c>
      <c r="C2" s="16" t="s">
        <v>26</v>
      </c>
      <c r="D2" s="16" t="s">
        <v>27</v>
      </c>
      <c r="E2" s="16" t="s">
        <v>131</v>
      </c>
      <c r="F2" s="20"/>
      <c r="G2" s="20"/>
      <c r="H2" s="20"/>
      <c r="I2" s="20"/>
    </row>
    <row r="3" spans="1:9" x14ac:dyDescent="0.2">
      <c r="A3" s="17"/>
      <c r="B3" s="18"/>
      <c r="C3" s="19"/>
      <c r="D3" s="105"/>
      <c r="E3" s="37"/>
      <c r="F3" s="20"/>
      <c r="G3" s="20"/>
      <c r="H3" s="20"/>
      <c r="I3" s="20"/>
    </row>
    <row r="4" spans="1:9" ht="16" customHeight="1" x14ac:dyDescent="0.2">
      <c r="A4" s="104" t="s">
        <v>132</v>
      </c>
      <c r="B4" s="18"/>
      <c r="C4" s="19"/>
      <c r="D4" s="105"/>
      <c r="E4" s="37"/>
      <c r="F4" s="20"/>
      <c r="G4" s="20"/>
      <c r="H4" s="20"/>
      <c r="I4" s="20"/>
    </row>
    <row r="5" spans="1:9" x14ac:dyDescent="0.2">
      <c r="A5" s="20" t="s">
        <v>133</v>
      </c>
      <c r="B5" s="20" t="s">
        <v>134</v>
      </c>
      <c r="C5" s="20" t="s">
        <v>135</v>
      </c>
      <c r="D5" s="134" t="str">
        <f>Summary!$D$2</f>
        <v>ed04</v>
      </c>
      <c r="E5" s="135" t="str">
        <f>HYPERLINK("#Summary!D2","→ Summary")</f>
        <v>→ Summary</v>
      </c>
      <c r="F5" s="20"/>
      <c r="G5" s="20"/>
      <c r="H5" s="20"/>
      <c r="I5" s="20"/>
    </row>
    <row r="6" spans="1:9" x14ac:dyDescent="0.2">
      <c r="A6" s="20" t="s">
        <v>136</v>
      </c>
      <c r="B6" s="20" t="s">
        <v>56</v>
      </c>
      <c r="C6" s="20" t="s">
        <v>57</v>
      </c>
      <c r="D6" s="134">
        <f>Summary!$D$9</f>
        <v>0.0</v>
      </c>
      <c r="E6" s="135" t="str">
        <f>HYPERLINK("#Summary!D9","→ Summary")</f>
        <v>→ Summary</v>
      </c>
      <c r="F6" s="20"/>
      <c r="G6" s="20"/>
      <c r="H6" s="20"/>
      <c r="I6" s="20"/>
    </row>
    <row r="7" spans="1:9" x14ac:dyDescent="0.2">
      <c r="A7" s="17"/>
      <c r="B7" s="18"/>
      <c r="C7" s="19"/>
      <c r="D7" s="106"/>
      <c r="E7" s="39"/>
      <c r="F7" s="20"/>
      <c r="G7" s="20"/>
      <c r="H7" s="20"/>
      <c r="I7" s="20"/>
    </row>
    <row r="8" spans="1:9" ht="26" customHeight="1" x14ac:dyDescent="0.2">
      <c r="A8" s="17"/>
      <c r="B8" s="18"/>
      <c r="C8" s="19"/>
      <c r="D8" s="136"/>
      <c r="E8" s="107"/>
      <c r="F8" s="20"/>
      <c r="G8" s="20"/>
      <c r="H8" s="20"/>
      <c r="I8" s="20"/>
    </row>
    <row r="9" spans="1:9" x14ac:dyDescent="0.2">
      <c r="A9" s="17"/>
      <c r="B9" s="18"/>
      <c r="C9" s="19"/>
      <c r="D9" s="136"/>
      <c r="E9" s="107"/>
      <c r="F9" s="20"/>
      <c r="G9" s="20"/>
      <c r="H9" s="20"/>
      <c r="I9" s="20"/>
    </row>
    <row r="10" spans="1:9" ht="24" customHeight="1" x14ac:dyDescent="0.2">
      <c r="A10" s="17"/>
      <c r="B10" s="18"/>
      <c r="C10" s="19"/>
      <c r="D10" s="137"/>
      <c r="E10" s="109"/>
      <c r="F10" s="20"/>
      <c r="G10" s="20"/>
      <c r="H10" s="20"/>
      <c r="I10" s="20"/>
    </row>
    <row r="11" spans="1:9" x14ac:dyDescent="0.2">
      <c r="A11" s="17"/>
      <c r="B11" s="18"/>
      <c r="C11" s="19"/>
      <c r="D11" s="137"/>
      <c r="E11" s="110"/>
      <c r="F11" s="20"/>
      <c r="G11" s="20"/>
      <c r="H11" s="20"/>
      <c r="I11" s="20"/>
    </row>
    <row r="12" spans="1:9" x14ac:dyDescent="0.2">
      <c r="A12" s="17"/>
      <c r="B12" s="18"/>
      <c r="C12" s="19"/>
      <c r="D12" s="138"/>
      <c r="E12" s="111"/>
      <c r="F12" s="20"/>
      <c r="G12" s="20"/>
      <c r="H12" s="20"/>
      <c r="I12" s="20"/>
    </row>
    <row r="13" spans="1:9" x14ac:dyDescent="0.2">
      <c r="A13" s="17"/>
      <c r="B13" s="18"/>
      <c r="C13" s="19"/>
      <c r="D13" s="138"/>
      <c r="E13" s="111"/>
      <c r="F13" s="20"/>
      <c r="G13" s="20"/>
      <c r="H13" s="20"/>
      <c r="I13" s="20"/>
    </row>
    <row r="14" spans="1:9" ht="24" customHeight="1" x14ac:dyDescent="0.2">
      <c r="A14" s="17"/>
      <c r="B14" s="18"/>
      <c r="C14" s="19"/>
      <c r="D14" s="138"/>
      <c r="E14" s="109"/>
      <c r="F14" s="20"/>
      <c r="G14" s="20"/>
      <c r="H14" s="20"/>
      <c r="I14" s="20"/>
    </row>
    <row r="15" spans="1:9" ht="24" customHeight="1" x14ac:dyDescent="0.2">
      <c r="A15" s="17"/>
      <c r="B15" s="18"/>
      <c r="C15" s="19"/>
      <c r="D15" s="138"/>
      <c r="E15" s="109"/>
      <c r="F15" s="20"/>
      <c r="G15" s="20"/>
      <c r="H15" s="20"/>
      <c r="I15" s="20"/>
    </row>
    <row r="16" spans="1:9" x14ac:dyDescent="0.2">
      <c r="A16" s="17"/>
      <c r="B16" s="18"/>
      <c r="C16" s="19"/>
      <c r="D16" s="138"/>
      <c r="E16" s="112"/>
      <c r="F16" s="20"/>
      <c r="G16" s="20"/>
      <c r="H16" s="20"/>
      <c r="I16" s="20"/>
    </row>
    <row r="17" spans="1:9" x14ac:dyDescent="0.2">
      <c r="A17" s="17"/>
      <c r="B17" s="18"/>
      <c r="C17" s="19"/>
      <c r="D17" s="138"/>
      <c r="E17" s="112"/>
      <c r="F17" s="20"/>
      <c r="G17" s="20"/>
      <c r="H17" s="20"/>
      <c r="I17" s="20"/>
    </row>
    <row r="18" spans="1:9" x14ac:dyDescent="0.2">
      <c r="A18" s="17" t="s">
        <v>161</v>
      </c>
      <c r="B18" s="18" t="s">
        <v>162</v>
      </c>
      <c r="C18" s="19" t="s">
        <v>146</v>
      </c>
      <c r="D18" s="139">
        <f>VLOOKUP(rx_ver,$A$84:$I$87,MATCH("vial OD (mm)",$A$83:$I$83,0),FALSE)</f>
        <v>27.48</v>
      </c>
      <c r="E18" s="99" t="s">
        <v>163</v>
      </c>
      <c r="F18" s="20"/>
      <c r="G18" s="20"/>
      <c r="H18" s="20"/>
      <c r="I18" s="20"/>
    </row>
    <row r="19" spans="1:9" ht="24" customHeight="1" x14ac:dyDescent="0.2">
      <c r="A19" s="17" t="s">
        <v>164</v>
      </c>
      <c r="B19" s="18" t="s">
        <v>165</v>
      </c>
      <c r="C19" s="19" t="s">
        <v>146</v>
      </c>
      <c r="D19" s="131">
        <v>1.1000000000000001</v>
      </c>
      <c r="E19" s="41" t="s">
        <v>166</v>
      </c>
      <c r="F19" s="20"/>
      <c r="G19" s="20"/>
      <c r="H19" s="20"/>
      <c r="I19" s="20"/>
    </row>
    <row r="20" spans="1:9" x14ac:dyDescent="0.2">
      <c r="A20" s="17" t="s">
        <v>167</v>
      </c>
      <c r="B20" s="18" t="s">
        <v>168</v>
      </c>
      <c r="C20" s="19" t="s">
        <v>146</v>
      </c>
      <c r="D20" s="42">
        <f>vial_OD-2*vial_wall</f>
        <v>25.28</v>
      </c>
      <c r="E20" s="99" t="s">
        <v>169</v>
      </c>
      <c r="F20" s="20"/>
      <c r="G20" s="20"/>
      <c r="H20" s="20"/>
      <c r="I20" s="20"/>
    </row>
    <row r="21" spans="1:9" x14ac:dyDescent="0.2">
      <c r="A21" s="17" t="s">
        <v>170</v>
      </c>
      <c r="B21" s="18" t="s">
        <v>171</v>
      </c>
      <c r="C21" s="19" t="s">
        <v>172</v>
      </c>
      <c r="D21" s="43">
        <f>PI()/4*vial_ID^2</f>
        <v>501.93100162698</v>
      </c>
      <c r="E21" s="99" t="s">
        <v>173</v>
      </c>
      <c r="F21" s="20"/>
      <c r="G21" s="20"/>
      <c r="H21" s="20"/>
      <c r="I21" s="20"/>
    </row>
    <row r="22" spans="1:9" x14ac:dyDescent="0.2">
      <c r="A22" s="17" t="s">
        <v>174</v>
      </c>
      <c r="B22" s="18" t="s">
        <v>175</v>
      </c>
      <c r="C22" s="19" t="s">
        <v>146</v>
      </c>
      <c r="D22" s="140">
        <f>IF(ISNUMBER(cal_Dint),cal_Dint,VLOOKUP(rx_ver,$A$84:$I$87,MATCH("usable depth (mm)",$A$83:$I$83,0),FALSE))</f>
        <v>55.0</v>
      </c>
      <c r="E22" s="99" t="s">
        <v>176</v>
      </c>
      <c r="F22" s="20"/>
      <c r="G22" s="20"/>
      <c r="H22" s="20"/>
      <c r="I22" s="20"/>
    </row>
    <row r="23" spans="1:9" x14ac:dyDescent="0.2">
      <c r="A23" s="17" t="s">
        <v>177</v>
      </c>
      <c r="B23" s="18" t="s">
        <v>178</v>
      </c>
      <c r="C23" s="19" t="s">
        <v>57</v>
      </c>
      <c r="D23" s="140">
        <f>VLOOKUP(rx_ver,$A$84:$I$87,MATCH("max working (mL)",$A$83:$I$83,0),FALSE)</f>
        <v>16.0</v>
      </c>
      <c r="E23" s="99" t="s">
        <v>176</v>
      </c>
      <c r="F23" s="20"/>
      <c r="G23" s="20"/>
      <c r="H23" s="20"/>
      <c r="I23" s="20"/>
    </row>
    <row r="24" spans="1:9" x14ac:dyDescent="0.2">
      <c r="A24" s="17" t="s">
        <v>179</v>
      </c>
      <c r="B24" s="18" t="s">
        <v>180</v>
      </c>
      <c r="C24" s="19" t="s">
        <v>57</v>
      </c>
      <c r="D24" s="140">
        <f>IF(ISNUMBER(cal_Vtot),cal_Vtot,VLOOKUP(rx_ver,$A$84:$I$87,MATCH("total vial (mL)",$A$83:$I$83,0),FALSE))</f>
        <v>20.0</v>
      </c>
      <c r="E24" s="99" t="s">
        <v>176</v>
      </c>
      <c r="F24" s="20"/>
      <c r="G24" s="20"/>
      <c r="H24" s="20"/>
      <c r="I24" s="20"/>
    </row>
    <row r="25" spans="1:9" x14ac:dyDescent="0.2">
      <c r="A25" s="17" t="s">
        <v>181</v>
      </c>
      <c r="B25" s="18" t="s">
        <v>182</v>
      </c>
      <c r="C25" s="19" t="s">
        <v>146</v>
      </c>
      <c r="D25" s="42">
        <f>V_max*1000/A_x</f>
        <v>31.876891341911</v>
      </c>
      <c r="E25" s="99" t="s">
        <v>183</v>
      </c>
      <c r="F25" s="20"/>
      <c r="G25" s="20"/>
      <c r="H25" s="20"/>
      <c r="I25" s="20"/>
    </row>
    <row r="26" spans="1:9" x14ac:dyDescent="0.2">
      <c r="A26" s="17" t="s">
        <v>184</v>
      </c>
      <c r="B26" s="18" t="s">
        <v>185</v>
      </c>
      <c r="C26" s="19" t="s">
        <v>146</v>
      </c>
      <c r="D26" s="131">
        <v>6</v>
      </c>
      <c r="E26" s="37" t="s">
        <v>186</v>
      </c>
      <c r="F26" s="20"/>
      <c r="G26" s="20"/>
      <c r="H26" s="20"/>
      <c r="I26" s="20"/>
    </row>
    <row r="27" spans="1:9" x14ac:dyDescent="0.2">
      <c r="A27" s="17" t="s">
        <v>187</v>
      </c>
      <c r="B27" s="18" t="s">
        <v>188</v>
      </c>
      <c r="C27" s="19" t="s">
        <v>135</v>
      </c>
      <c r="D27" s="131">
        <v>2</v>
      </c>
      <c r="E27" s="99" t="s">
        <v>189</v>
      </c>
      <c r="F27" s="20"/>
      <c r="G27" s="20"/>
      <c r="H27" s="20"/>
      <c r="I27" s="20"/>
    </row>
    <row r="28" spans="1:9" x14ac:dyDescent="0.2">
      <c r="A28" s="17" t="s">
        <v>190</v>
      </c>
      <c r="B28" s="18" t="s">
        <v>191</v>
      </c>
      <c r="C28" s="19" t="s">
        <v>146</v>
      </c>
      <c r="D28" s="131">
        <v>22</v>
      </c>
      <c r="E28" s="37" t="s">
        <v>192</v>
      </c>
      <c r="F28" s="20"/>
      <c r="G28" s="20"/>
      <c r="H28" s="20"/>
      <c r="I28" s="20"/>
    </row>
    <row r="29" spans="1:9" x14ac:dyDescent="0.2">
      <c r="A29" s="113" t="s">
        <v>193</v>
      </c>
      <c r="B29" s="18" t="s">
        <v>194</v>
      </c>
      <c r="C29" s="19" t="s">
        <v>146</v>
      </c>
      <c r="D29" s="43">
        <f>D_int-elec_clear</f>
        <v>33.0</v>
      </c>
      <c r="E29" s="99" t="s">
        <v>195</v>
      </c>
      <c r="F29" s="20"/>
      <c r="G29" s="20"/>
      <c r="H29" s="20"/>
      <c r="I29" s="20"/>
    </row>
    <row r="30" spans="1:9" x14ac:dyDescent="0.2">
      <c r="A30" s="17" t="s">
        <v>196</v>
      </c>
      <c r="B30" s="18" t="s">
        <v>197</v>
      </c>
      <c r="C30" s="19" t="s">
        <v>146</v>
      </c>
      <c r="D30" s="131">
        <v>3.1749999999999998</v>
      </c>
      <c r="E30" s="99" t="s">
        <v>198</v>
      </c>
      <c r="F30" s="20"/>
      <c r="G30" s="20"/>
      <c r="H30" s="20"/>
      <c r="I30" s="20"/>
    </row>
    <row r="31" spans="1:9" x14ac:dyDescent="0.2">
      <c r="A31" s="17" t="s">
        <v>199</v>
      </c>
      <c r="B31" s="18" t="s">
        <v>200</v>
      </c>
      <c r="C31" s="19" t="s">
        <v>146</v>
      </c>
      <c r="D31" s="131">
        <v>1.5874999999999999</v>
      </c>
      <c r="E31" s="99" t="s">
        <v>201</v>
      </c>
      <c r="F31" s="20"/>
      <c r="G31" s="20"/>
      <c r="H31" s="20"/>
      <c r="I31" s="20"/>
    </row>
    <row r="32" spans="1:9" x14ac:dyDescent="0.2">
      <c r="A32" s="17" t="s">
        <v>202</v>
      </c>
      <c r="B32" s="18" t="s">
        <v>203</v>
      </c>
      <c r="C32" s="19" t="s">
        <v>146</v>
      </c>
      <c r="D32" s="43">
        <f>elec_clear</f>
        <v>22.0</v>
      </c>
      <c r="E32" s="37" t="s">
        <v>204</v>
      </c>
      <c r="F32" s="20"/>
      <c r="G32" s="20"/>
      <c r="H32" s="20"/>
      <c r="I32" s="20"/>
    </row>
    <row r="33" spans="1:9" x14ac:dyDescent="0.2">
      <c r="A33" s="17" t="s">
        <v>205</v>
      </c>
      <c r="B33" s="18" t="s">
        <v>206</v>
      </c>
      <c r="C33" s="19" t="s">
        <v>146</v>
      </c>
      <c r="D33" s="131">
        <v>3.1749999999999998</v>
      </c>
      <c r="E33" s="99" t="s">
        <v>198</v>
      </c>
      <c r="F33" s="20"/>
      <c r="G33" s="20"/>
      <c r="H33" s="20"/>
      <c r="I33" s="20"/>
    </row>
    <row r="34" spans="1:9" x14ac:dyDescent="0.2">
      <c r="A34" s="17" t="s">
        <v>207</v>
      </c>
      <c r="B34" s="18" t="s">
        <v>208</v>
      </c>
      <c r="C34" s="19" t="s">
        <v>146</v>
      </c>
      <c r="D34" s="131">
        <v>1.5874999999999999</v>
      </c>
      <c r="E34" s="99" t="s">
        <v>201</v>
      </c>
      <c r="F34" s="20"/>
      <c r="G34" s="20"/>
      <c r="H34" s="20"/>
      <c r="I34" s="20"/>
    </row>
    <row r="35" spans="1:9" x14ac:dyDescent="0.2">
      <c r="A35" s="17" t="s">
        <v>209</v>
      </c>
      <c r="B35" s="18" t="s">
        <v>210</v>
      </c>
      <c r="C35" s="19" t="s">
        <v>146</v>
      </c>
      <c r="D35" s="42">
        <f>MAX(0,h_datum-elec_clear)</f>
        <v>9.876891341911</v>
      </c>
      <c r="E35" s="99" t="s">
        <v>211</v>
      </c>
      <c r="F35" s="20"/>
      <c r="G35" s="20"/>
      <c r="H35" s="20"/>
      <c r="I35" s="20"/>
    </row>
    <row r="36" spans="1:9" x14ac:dyDescent="0.2">
      <c r="A36" s="17" t="s">
        <v>212</v>
      </c>
      <c r="B36" s="18" t="s">
        <v>213</v>
      </c>
      <c r="C36" s="19" t="s">
        <v>57</v>
      </c>
      <c r="D36" s="45">
        <f>rod_n*(PI()/4*rod_d^2)*elec_sub_L/1000</f>
        <v>0.558525047041</v>
      </c>
      <c r="E36" s="99" t="s">
        <v>214</v>
      </c>
      <c r="F36" s="20"/>
      <c r="G36" s="20"/>
      <c r="H36" s="20"/>
      <c r="I36" s="20"/>
    </row>
    <row r="37" spans="1:9" x14ac:dyDescent="0.2">
      <c r="A37" s="17" t="s">
        <v>215</v>
      </c>
      <c r="B37" s="18" t="s">
        <v>216</v>
      </c>
      <c r="C37" s="19" t="s">
        <v>57</v>
      </c>
      <c r="D37" s="45">
        <f>(PI()/4*spg_OD^2)*MAX(0,h_datum-spg_tip_h)/1000</f>
        <v>0.078198354893</v>
      </c>
      <c r="E37" s="99" t="s">
        <v>217</v>
      </c>
      <c r="F37" s="20"/>
      <c r="G37" s="20"/>
      <c r="H37" s="20"/>
      <c r="I37" s="20"/>
    </row>
    <row r="38" spans="1:9" x14ac:dyDescent="0.2">
      <c r="A38" s="17" t="s">
        <v>218</v>
      </c>
      <c r="B38" s="18" t="s">
        <v>219</v>
      </c>
      <c r="C38" s="19" t="s">
        <v>146</v>
      </c>
      <c r="D38" s="45">
        <f>(eff_OD+eff_ID)/2</f>
        <v>2.38125</v>
      </c>
      <c r="E38" s="37" t="s">
        <v>220</v>
      </c>
      <c r="F38" s="20"/>
      <c r="G38" s="20"/>
      <c r="H38" s="20"/>
      <c r="I38" s="20"/>
    </row>
    <row r="39" spans="1:9" x14ac:dyDescent="0.2">
      <c r="A39" s="17" t="s">
        <v>221</v>
      </c>
      <c r="B39" s="18" t="s">
        <v>222</v>
      </c>
      <c r="C39" s="19" t="s">
        <v>57</v>
      </c>
      <c r="D39" s="46">
        <f>(PI()/4*(eff_OD^2-eff_ID^2))*eff_sub_L/1000</f>
        <v>0.014139810757</v>
      </c>
      <c r="E39" s="37" t="s">
        <v>223</v>
      </c>
      <c r="F39" s="20"/>
      <c r="G39" s="20"/>
      <c r="H39" s="20"/>
      <c r="I39" s="20"/>
    </row>
    <row r="40" spans="1:9" x14ac:dyDescent="0.2">
      <c r="A40" s="17" t="s">
        <v>224</v>
      </c>
      <c r="B40" s="18" t="s">
        <v>225</v>
      </c>
      <c r="C40" s="19" t="s">
        <v>57</v>
      </c>
      <c r="D40" s="45">
        <f>elec_disp+spg_disp+eff_disp</f>
        <v>0.650863212691</v>
      </c>
      <c r="E40" s="99" t="s">
        <v>226</v>
      </c>
      <c r="F40" s="20"/>
      <c r="G40" s="20"/>
      <c r="H40" s="20"/>
      <c r="I40" s="20"/>
    </row>
    <row r="41" spans="1:9" x14ac:dyDescent="0.2">
      <c r="A41" s="113" t="s">
        <v>227</v>
      </c>
      <c r="B41" s="18" t="s">
        <v>228</v>
      </c>
      <c r="C41" s="19" t="s">
        <v>57</v>
      </c>
      <c r="D41" s="49">
        <f>IF(media_volume&gt;0,media_volume,ROUND(V_max-disp_tot,0))</f>
        <v>15.0</v>
      </c>
      <c r="E41" s="99" t="s">
        <v>229</v>
      </c>
      <c r="F41" s="20"/>
      <c r="G41" s="20"/>
      <c r="H41" s="20"/>
      <c r="I41" s="20"/>
    </row>
    <row r="42" spans="1:9" x14ac:dyDescent="0.2">
      <c r="A42" s="113" t="s">
        <v>230</v>
      </c>
      <c r="B42" s="18" t="s">
        <v>231</v>
      </c>
      <c r="C42" s="19" t="s">
        <v>146</v>
      </c>
      <c r="D42" s="42">
        <f>(V_charge+disp_tot)*1000/A_x</f>
        <v>31.18130412738</v>
      </c>
      <c r="E42" s="99" t="s">
        <v>232</v>
      </c>
      <c r="F42" s="20"/>
      <c r="G42" s="20"/>
      <c r="H42" s="20"/>
      <c r="I42" s="20"/>
    </row>
    <row r="43" spans="1:9" x14ac:dyDescent="0.2">
      <c r="A43" s="113" t="s">
        <v>233</v>
      </c>
      <c r="B43" s="18" t="s">
        <v>234</v>
      </c>
      <c r="C43" s="19" t="s">
        <v>146</v>
      </c>
      <c r="D43" s="42">
        <f>MAX(0,h_actual-spg_tip_h)</f>
        <v>9.18130412738</v>
      </c>
      <c r="E43" s="99" t="s">
        <v>235</v>
      </c>
      <c r="F43" s="20"/>
      <c r="G43" s="20"/>
      <c r="H43" s="20"/>
      <c r="I43" s="20"/>
    </row>
    <row r="44" spans="1:9" x14ac:dyDescent="0.2">
      <c r="A44" s="113" t="s">
        <v>236</v>
      </c>
      <c r="B44" s="18" t="s">
        <v>237</v>
      </c>
      <c r="C44" s="19" t="s">
        <v>172</v>
      </c>
      <c r="D44" s="43">
        <f>A_x-(rod_n*(PI()/4*rod_d^2)+(PI()/4*spg_OD^2)+(PI()/4*eff_OD^2))</f>
        <v>429.547725140567</v>
      </c>
      <c r="E44" s="37" t="s">
        <v>238</v>
      </c>
      <c r="F44" s="20"/>
      <c r="G44" s="20"/>
      <c r="H44" s="20"/>
      <c r="I44" s="20"/>
    </row>
    <row r="45" spans="1:9" x14ac:dyDescent="0.2">
      <c r="A45" s="17" t="s">
        <v>239</v>
      </c>
      <c r="B45" s="18" t="s">
        <v>240</v>
      </c>
      <c r="C45" s="19" t="s">
        <v>146</v>
      </c>
      <c r="D45" s="45">
        <f>eff_OD</f>
        <v>3.175</v>
      </c>
      <c r="E45" s="37" t="s">
        <v>241</v>
      </c>
      <c r="F45" s="20"/>
      <c r="G45" s="20"/>
      <c r="H45" s="20"/>
      <c r="I45" s="20"/>
    </row>
    <row r="46" spans="1:9" x14ac:dyDescent="0.2">
      <c r="A46" s="17" t="s">
        <v>242</v>
      </c>
      <c r="B46" s="18" t="s">
        <v>243</v>
      </c>
      <c r="C46" s="19" t="s">
        <v>135</v>
      </c>
      <c r="D46" s="131">
        <v>3</v>
      </c>
      <c r="E46" s="37" t="s">
        <v>244</v>
      </c>
      <c r="F46" s="20"/>
      <c r="G46" s="20"/>
      <c r="H46" s="20"/>
      <c r="I46" s="20"/>
    </row>
    <row r="47" spans="1:9" x14ac:dyDescent="0.2">
      <c r="A47" s="17" t="s">
        <v>245</v>
      </c>
      <c r="B47" s="18" t="s">
        <v>246</v>
      </c>
      <c r="C47" s="19" t="s">
        <v>146</v>
      </c>
      <c r="D47" s="131">
        <v>5</v>
      </c>
      <c r="E47" s="41" t="s">
        <v>247</v>
      </c>
      <c r="F47" s="20"/>
      <c r="G47" s="20"/>
      <c r="H47" s="20"/>
      <c r="I47" s="20"/>
    </row>
    <row r="48" spans="1:9" x14ac:dyDescent="0.2">
      <c r="A48" s="17" t="s">
        <v>248</v>
      </c>
      <c r="B48" s="18" t="s">
        <v>249</v>
      </c>
      <c r="C48" s="19" t="s">
        <v>57</v>
      </c>
      <c r="D48" s="45">
        <f>(rod_n*(PI()/4*rod_d^2)*elec_ins+(PI()/4*spg_OD^2)*spg_len+(PI()/4*(eff_OD^2-eff_ID^2))*(D_int-h_actual)+xtube_n*(PI()/4*xtube_OD^2)*xtube_pro)/1000</f>
        <v>2.387571544083</v>
      </c>
      <c r="E48" s="37" t="s">
        <v>250</v>
      </c>
      <c r="F48" s="20"/>
      <c r="G48" s="20"/>
      <c r="H48" s="20"/>
      <c r="I48" s="20"/>
    </row>
    <row r="49" spans="1:9" x14ac:dyDescent="0.2">
      <c r="A49" s="113" t="s">
        <v>251</v>
      </c>
      <c r="B49" s="18" t="s">
        <v>252</v>
      </c>
      <c r="C49" s="19" t="s">
        <v>57</v>
      </c>
      <c r="D49" s="42">
        <f>IF(AND(ISNUMBER(cal_hs),ISNUMBER(cal_hs_fill)),cal_hs-(V_charge-cal_hs_fill),V_vial_total-V_charge-V_inserts)</f>
        <v>2.612428455917</v>
      </c>
      <c r="E49" s="37" t="inlineStr">
        <is>
          <t xml:space="preserve">Measured when the Calibrations vial-geometry runs exist for this reactor type (headspace at the measured working fill, shifted by any difference between that fill and V_charge); otherwise total vial volume − liquid charged − inserts.</t>
        </is>
      </c>
      <c r="F49" s="20"/>
      <c r="G49" s="20"/>
      <c r="H49" s="20"/>
      <c r="I49" s="20"/>
    </row>
    <row r="50" spans="1:9" x14ac:dyDescent="0.2">
      <c r="A50" s="17" t="s">
        <v>254</v>
      </c>
      <c r="B50" s="18" t="s">
        <v>255</v>
      </c>
      <c r="C50" s="19" t="s">
        <v>146</v>
      </c>
      <c r="D50" s="48">
        <f>D_int-spg_tip_h</f>
        <v>33.0</v>
      </c>
      <c r="E50" s="99" t="s">
        <v>256</v>
      </c>
      <c r="F50" s="20"/>
      <c r="G50" s="20"/>
      <c r="H50" s="20"/>
      <c r="I50" s="20"/>
    </row>
    <row r="51" spans="1:9" x14ac:dyDescent="0.2">
      <c r="A51" s="20" t="s">
        <v>257</v>
      </c>
      <c r="B51" s="20" t="s">
        <v>258</v>
      </c>
      <c r="C51" s="20"/>
      <c r="D51" s="28" t="str">
        <f>VLOOKUP(reactor_sel,$A$59:$B$80,MATCH("Type",$A$58:$B$58,0),FALSE)</f>
        <v>MEP0.3</v>
      </c>
      <c r="E51" s="20"/>
      <c r="F51" s="20"/>
      <c r="G51" s="20"/>
      <c r="H51" s="20"/>
      <c r="I51" s="20"/>
    </row>
    <row r="52" spans="1:9" x14ac:dyDescent="0.2">
      <c r="A52" s="20" t="s">
        <v>259</v>
      </c>
      <c r="B52" s="20" t="s">
        <v>260</v>
      </c>
      <c r="C52" s="20"/>
      <c r="D52" s="28">
        <f>VLOOKUP(rx_ver,$A$84:$I$87,MATCH("stir bar L (mm)",$A$83:$I$83,0),FALSE)</f>
        <v>12.0</v>
      </c>
      <c r="E52" s="20"/>
      <c r="F52" s="20"/>
      <c r="G52" s="20"/>
      <c r="H52" s="20"/>
      <c r="I52" s="20"/>
    </row>
    <row r="53" spans="1:9" x14ac:dyDescent="0.2">
      <c r="A53" s="101" t="s">
        <v>261</v>
      </c>
      <c r="B53" s="20"/>
      <c r="C53" s="20"/>
      <c r="D53" s="20"/>
      <c r="E53" s="20"/>
      <c r="F53" s="20"/>
      <c r="G53" s="20"/>
      <c r="H53" s="20"/>
      <c r="I53" s="20"/>
    </row>
    <row r="54" spans="1:9" x14ac:dyDescent="0.2">
      <c r="A54" s="20" t="s">
        <v>262</v>
      </c>
      <c r="B54" s="20" t="s">
        <v>263</v>
      </c>
      <c r="C54" s="20"/>
      <c r="D54" s="28" t="str">
        <f>IF(V_charge&gt;V_max,"MEDIA &gt; MAX WORKING VOLUME","OK")</f>
        <v>OK</v>
      </c>
      <c r="E54" s="20"/>
      <c r="F54" s="20"/>
      <c r="G54" s="20"/>
      <c r="H54" s="20"/>
      <c r="I54" s="20"/>
    </row>
    <row r="55" spans="1:9" x14ac:dyDescent="0.2">
      <c r="A55" s="20" t="s">
        <v>264</v>
      </c>
      <c r="B55" s="20" t="s">
        <v>265</v>
      </c>
      <c r="C55" s="20"/>
      <c r="D55" s="28" t="str">
        <f>IF(h_actual&gt;D_int,"LIQUID OVER USABLE DEPTH","OK")</f>
        <v>OK</v>
      </c>
      <c r="E55" s="20"/>
      <c r="F55" s="20"/>
      <c r="G55" s="20"/>
      <c r="H55" s="20"/>
      <c r="I55" s="20"/>
    </row>
    <row r="56" spans="1:9" x14ac:dyDescent="0.2">
      <c r="A56" s="20"/>
      <c r="B56" s="20"/>
      <c r="C56" s="20"/>
      <c r="D56" s="20"/>
      <c r="E56" s="20"/>
      <c r="F56" s="20"/>
      <c r="G56" s="20"/>
      <c r="H56" s="20"/>
      <c r="I56" s="20"/>
    </row>
    <row r="57" spans="1:9" x14ac:dyDescent="0.2">
      <c r="A57" s="103" t="s">
        <v>266</v>
      </c>
      <c r="B57" s="20"/>
      <c r="C57" s="20"/>
      <c r="D57" s="20"/>
      <c r="E57" s="20"/>
      <c r="F57" s="20"/>
      <c r="G57" s="20"/>
      <c r="H57" s="20"/>
      <c r="I57" s="20"/>
    </row>
    <row r="58" spans="1:9" x14ac:dyDescent="0.2">
      <c r="A58" s="103" t="s">
        <v>1</v>
      </c>
      <c r="B58" s="103" t="s">
        <v>267</v>
      </c>
      <c r="C58" s="20"/>
      <c r="D58" s="20"/>
      <c r="E58" s="20"/>
      <c r="F58" s="20"/>
      <c r="G58" s="20"/>
      <c r="H58" s="20"/>
      <c r="I58" s="20"/>
    </row>
    <row r="59" spans="1:9" x14ac:dyDescent="0.2">
      <c r="A59" s="20" t="s">
        <v>268</v>
      </c>
      <c r="B59" s="20" t="s">
        <v>139</v>
      </c>
      <c r="C59" s="20"/>
      <c r="D59" s="20"/>
      <c r="E59" s="20"/>
      <c r="F59" s="20"/>
      <c r="G59" s="20"/>
      <c r="H59" s="20"/>
      <c r="I59" s="20"/>
    </row>
    <row r="60" spans="1:9" x14ac:dyDescent="0.2">
      <c r="A60" s="20" t="s">
        <v>269</v>
      </c>
      <c r="B60" s="20" t="s">
        <v>139</v>
      </c>
      <c r="C60" s="20"/>
      <c r="D60" s="20"/>
      <c r="E60" s="20"/>
      <c r="F60" s="20"/>
      <c r="G60" s="20"/>
      <c r="H60" s="20"/>
      <c r="I60" s="20"/>
    </row>
    <row r="61" spans="1:9" x14ac:dyDescent="0.2">
      <c r="A61" s="20" t="s">
        <v>270</v>
      </c>
      <c r="B61" s="20" t="s">
        <v>139</v>
      </c>
      <c r="C61" s="20"/>
      <c r="D61" s="20"/>
      <c r="E61" s="20"/>
      <c r="F61" s="20"/>
      <c r="G61" s="20"/>
      <c r="H61" s="20"/>
      <c r="I61" s="20"/>
    </row>
    <row r="62" spans="1:9" x14ac:dyDescent="0.2">
      <c r="A62" s="20" t="s">
        <v>271</v>
      </c>
      <c r="B62" s="20" t="s">
        <v>139</v>
      </c>
      <c r="C62" s="20"/>
      <c r="D62" s="20"/>
      <c r="E62" s="20"/>
      <c r="F62" s="20"/>
      <c r="G62" s="20"/>
      <c r="H62" s="20"/>
      <c r="I62" s="20"/>
    </row>
    <row r="63" spans="1:9" x14ac:dyDescent="0.2">
      <c r="A63" s="20" t="s">
        <v>272</v>
      </c>
      <c r="B63" s="20" t="s">
        <v>139</v>
      </c>
      <c r="C63" s="20"/>
      <c r="D63" s="20"/>
      <c r="E63" s="20"/>
      <c r="F63" s="20"/>
      <c r="G63" s="20"/>
      <c r="H63" s="20"/>
      <c r="I63" s="20"/>
    </row>
    <row r="64" spans="1:9" x14ac:dyDescent="0.2">
      <c r="A64" s="20" t="s">
        <v>273</v>
      </c>
      <c r="B64" s="20" t="s">
        <v>139</v>
      </c>
      <c r="C64" s="20"/>
      <c r="D64" s="20"/>
      <c r="E64" s="20"/>
      <c r="F64" s="20"/>
      <c r="G64" s="20"/>
      <c r="H64" s="20"/>
      <c r="I64" s="20"/>
    </row>
    <row r="65" spans="1:9" x14ac:dyDescent="0.2">
      <c r="A65" s="20" t="s">
        <v>274</v>
      </c>
      <c r="B65" s="20" t="s">
        <v>139</v>
      </c>
      <c r="C65" s="20"/>
      <c r="D65" s="20"/>
      <c r="E65" s="20"/>
      <c r="F65" s="20"/>
      <c r="G65" s="20"/>
      <c r="H65" s="20"/>
      <c r="I65" s="20"/>
    </row>
    <row r="66" spans="1:9" x14ac:dyDescent="0.2">
      <c r="A66" s="20" t="s">
        <v>275</v>
      </c>
      <c r="B66" s="20" t="s">
        <v>139</v>
      </c>
      <c r="C66" s="20"/>
      <c r="D66" s="20"/>
      <c r="E66" s="20"/>
      <c r="F66" s="20"/>
      <c r="G66" s="20"/>
      <c r="H66" s="20"/>
      <c r="I66" s="20"/>
    </row>
    <row r="67" spans="1:9" x14ac:dyDescent="0.2">
      <c r="A67" s="20" t="s">
        <v>276</v>
      </c>
      <c r="B67" s="20" t="s">
        <v>139</v>
      </c>
      <c r="C67" s="20"/>
      <c r="D67" s="20"/>
      <c r="E67" s="20"/>
      <c r="F67" s="20"/>
      <c r="G67" s="20"/>
      <c r="H67" s="20"/>
      <c r="I67" s="20"/>
    </row>
    <row r="68" spans="1:9" x14ac:dyDescent="0.2">
      <c r="A68" s="20" t="s">
        <v>16</v>
      </c>
      <c r="B68" s="20" t="s">
        <v>277</v>
      </c>
      <c r="C68" s="20"/>
      <c r="D68" s="20"/>
      <c r="E68" s="20"/>
      <c r="F68" s="20"/>
      <c r="G68" s="20"/>
      <c r="H68" s="20"/>
      <c r="I68" s="20"/>
    </row>
    <row r="69" spans="1:9" x14ac:dyDescent="0.2">
      <c r="A69" s="20" t="s">
        <v>278</v>
      </c>
      <c r="B69" s="20" t="s">
        <v>277</v>
      </c>
      <c r="C69" s="20"/>
      <c r="D69" s="20"/>
      <c r="E69" s="20"/>
      <c r="F69" s="20"/>
      <c r="G69" s="20"/>
      <c r="H69" s="20"/>
      <c r="I69" s="20"/>
    </row>
    <row r="70" spans="1:9" x14ac:dyDescent="0.2">
      <c r="A70" s="20" t="s">
        <v>279</v>
      </c>
      <c r="B70" s="20" t="s">
        <v>143</v>
      </c>
      <c r="C70" s="20"/>
      <c r="D70" s="20"/>
      <c r="E70" s="20"/>
      <c r="F70" s="20"/>
      <c r="G70" s="20"/>
      <c r="H70" s="20"/>
      <c r="I70" s="20"/>
    </row>
    <row r="71" spans="1:9" x14ac:dyDescent="0.2">
      <c r="A71" s="20" t="s">
        <v>280</v>
      </c>
      <c r="B71" s="20" t="s">
        <v>143</v>
      </c>
      <c r="C71" s="20"/>
      <c r="D71" s="20"/>
      <c r="E71" s="20"/>
      <c r="F71" s="20"/>
      <c r="G71" s="20"/>
      <c r="H71" s="20"/>
      <c r="I71" s="20"/>
    </row>
    <row r="72" spans="1:9" x14ac:dyDescent="0.2">
      <c r="A72" s="20" t="s">
        <v>281</v>
      </c>
      <c r="B72" s="20" t="s">
        <v>143</v>
      </c>
      <c r="C72" s="20"/>
      <c r="D72" s="20"/>
      <c r="E72" s="20"/>
      <c r="F72" s="20"/>
      <c r="G72" s="20"/>
      <c r="H72" s="20"/>
      <c r="I72" s="20"/>
    </row>
    <row r="73" spans="1:9" x14ac:dyDescent="0.2">
      <c r="A73" s="20" t="s">
        <v>282</v>
      </c>
      <c r="B73" s="20" t="s">
        <v>143</v>
      </c>
      <c r="C73" s="20"/>
      <c r="D73" s="20"/>
      <c r="E73" s="20"/>
      <c r="F73" s="20"/>
      <c r="G73" s="20"/>
      <c r="H73" s="20"/>
      <c r="I73" s="20"/>
    </row>
    <row r="74" spans="1:9" x14ac:dyDescent="0.2">
      <c r="A74" s="20" t="s">
        <v>283</v>
      </c>
      <c r="B74" s="20" t="s">
        <v>143</v>
      </c>
      <c r="C74" s="20"/>
      <c r="D74" s="20"/>
      <c r="E74" s="20"/>
      <c r="F74" s="20"/>
      <c r="G74" s="20"/>
      <c r="H74" s="20"/>
      <c r="I74" s="20"/>
    </row>
    <row r="75" spans="1:9" x14ac:dyDescent="0.2">
      <c r="A75" s="20" t="s">
        <v>284</v>
      </c>
      <c r="B75" s="20" t="s">
        <v>143</v>
      </c>
      <c r="C75" s="20"/>
      <c r="D75" s="20"/>
      <c r="E75" s="20"/>
      <c r="F75" s="20"/>
      <c r="G75" s="20"/>
      <c r="H75" s="20"/>
      <c r="I75" s="20"/>
    </row>
    <row r="76" spans="1:9" x14ac:dyDescent="0.2">
      <c r="A76" s="20" t="s">
        <v>285</v>
      </c>
      <c r="B76" s="20" t="s">
        <v>143</v>
      </c>
      <c r="C76" s="20"/>
      <c r="D76" s="20"/>
      <c r="E76" s="20"/>
      <c r="F76" s="20"/>
      <c r="G76" s="20"/>
      <c r="H76" s="20"/>
      <c r="I76" s="20"/>
    </row>
    <row r="77" spans="1:9" x14ac:dyDescent="0.2">
      <c r="A77" s="20" t="s">
        <v>286</v>
      </c>
      <c r="B77" s="20" t="s">
        <v>143</v>
      </c>
      <c r="C77" s="20"/>
      <c r="D77" s="20"/>
      <c r="E77" s="20"/>
      <c r="F77" s="20"/>
      <c r="G77" s="20"/>
      <c r="H77" s="20"/>
      <c r="I77" s="20"/>
    </row>
    <row r="78" spans="1:9" x14ac:dyDescent="0.2">
      <c r="A78" s="20" t="s">
        <v>287</v>
      </c>
      <c r="B78" s="20" t="s">
        <v>143</v>
      </c>
      <c r="C78" s="20"/>
      <c r="D78" s="20"/>
      <c r="E78" s="20"/>
      <c r="F78" s="20"/>
      <c r="G78" s="20"/>
      <c r="H78" s="20"/>
      <c r="I78" s="20"/>
    </row>
    <row r="79" spans="1:9" x14ac:dyDescent="0.2">
      <c r="A79" s="20" t="s">
        <v>288</v>
      </c>
      <c r="B79" s="20" t="s">
        <v>289</v>
      </c>
      <c r="C79" s="20"/>
      <c r="D79" s="20"/>
      <c r="E79" s="20"/>
      <c r="F79" s="20"/>
      <c r="G79" s="20"/>
      <c r="H79" s="20"/>
      <c r="I79" s="20"/>
    </row>
    <row r="80" spans="1:9" x14ac:dyDescent="0.2">
      <c r="A80" s="20" t="s">
        <v>290</v>
      </c>
      <c r="B80" s="20" t="s">
        <v>143</v>
      </c>
      <c r="C80" s="20"/>
      <c r="D80" s="20"/>
      <c r="E80" s="20"/>
      <c r="F80" s="20"/>
      <c r="G80" s="20"/>
      <c r="H80" s="20"/>
      <c r="I80" s="20"/>
    </row>
    <row r="81" spans="1:9" x14ac:dyDescent="0.2">
      <c r="A81" s="20"/>
      <c r="B81" s="20"/>
      <c r="C81" s="20"/>
      <c r="D81" s="20"/>
      <c r="E81" s="20"/>
      <c r="F81" s="20"/>
      <c r="G81" s="20"/>
      <c r="H81" s="20"/>
      <c r="I81" s="20"/>
    </row>
    <row r="82" spans="1:9" x14ac:dyDescent="0.2">
      <c r="A82" s="103" t="s">
        <v>291</v>
      </c>
      <c r="B82" s="20"/>
      <c r="C82" s="20"/>
      <c r="D82" s="20"/>
      <c r="E82" s="20"/>
      <c r="F82" s="20"/>
      <c r="G82" s="20"/>
      <c r="H82" s="20"/>
      <c r="I82" s="20"/>
    </row>
    <row r="83" spans="1:9" x14ac:dyDescent="0.2">
      <c r="A83" s="103" t="s">
        <v>267</v>
      </c>
      <c r="B83" s="103" t="s">
        <v>292</v>
      </c>
      <c r="C83" s="103" t="s">
        <v>293</v>
      </c>
      <c r="D83" s="103" t="s">
        <v>294</v>
      </c>
      <c r="E83" s="103" t="s">
        <v>295</v>
      </c>
      <c r="F83" s="103" t="s">
        <v>296</v>
      </c>
      <c r="G83" s="103" t="s">
        <v>297</v>
      </c>
      <c r="H83" s="103" t="s">
        <v>298</v>
      </c>
      <c r="I83" s="103" t="s">
        <v>299</v>
      </c>
    </row>
    <row r="84" spans="1:9" x14ac:dyDescent="0.2">
      <c r="A84" s="20" t="s">
        <v>139</v>
      </c>
      <c r="B84" s="20" t="s">
        <v>300</v>
      </c>
      <c r="C84" s="20">
        <v>20</v>
      </c>
      <c r="D84" s="20">
        <v>55</v>
      </c>
      <c r="E84" s="20">
        <v>16</v>
      </c>
      <c r="F84" s="20">
        <v>20</v>
      </c>
      <c r="G84" s="20">
        <v>27.48</v>
      </c>
      <c r="H84" s="20">
        <v>12</v>
      </c>
      <c r="I84" s="20">
        <v>3</v>
      </c>
    </row>
    <row r="85" spans="1:9" x14ac:dyDescent="0.2">
      <c r="A85" s="20" t="s">
        <v>277</v>
      </c>
      <c r="B85" s="20" t="s">
        <v>300</v>
      </c>
      <c r="C85" s="20">
        <v>20</v>
      </c>
      <c r="D85" s="20">
        <v>55</v>
      </c>
      <c r="E85" s="20">
        <v>16</v>
      </c>
      <c r="F85" s="20">
        <v>20</v>
      </c>
      <c r="G85" s="20">
        <v>27.48</v>
      </c>
      <c r="H85" s="20">
        <v>12</v>
      </c>
      <c r="I85" s="20">
        <v>3</v>
      </c>
    </row>
    <row r="86" spans="1:9" x14ac:dyDescent="0.2">
      <c r="A86" s="20" t="s">
        <v>143</v>
      </c>
      <c r="B86" s="20" t="s">
        <v>301</v>
      </c>
      <c r="C86" s="20">
        <v>40</v>
      </c>
      <c r="D86" s="20">
        <v>95</v>
      </c>
      <c r="E86" s="20">
        <v>30</v>
      </c>
      <c r="F86" s="20">
        <v>42</v>
      </c>
      <c r="G86" s="20">
        <v>27.48</v>
      </c>
      <c r="H86" s="20">
        <v>15</v>
      </c>
      <c r="I86" s="20">
        <v>6</v>
      </c>
    </row>
    <row r="87" spans="1:9" x14ac:dyDescent="0.2">
      <c r="A87" s="20" t="s">
        <v>289</v>
      </c>
      <c r="B87" s="20" t="s">
        <v>301</v>
      </c>
      <c r="C87" s="20">
        <v>40</v>
      </c>
      <c r="D87" s="20">
        <v>95</v>
      </c>
      <c r="E87" s="20">
        <v>30</v>
      </c>
      <c r="F87" s="20">
        <v>42</v>
      </c>
      <c r="G87" s="20">
        <v>27.48</v>
      </c>
      <c r="H87" s="20">
        <v>15</v>
      </c>
      <c r="I87" s="20">
        <v>6</v>
      </c>
    </row>
    <row r="88" spans="1:9" x14ac:dyDescent="0.2">
      <c r="A88" s="20"/>
      <c r="B88" s="20"/>
      <c r="C88" s="20"/>
      <c r="D88" s="20"/>
      <c r="E88" s="20"/>
      <c r="F88" s="20"/>
      <c r="G88" s="20"/>
      <c r="H88" s="20"/>
      <c r="I88" s="20"/>
    </row>
    <row r="89" spans="1:9" x14ac:dyDescent="0.2">
      <c r="A89" s="103" t="s">
        <v>302</v>
      </c>
      <c r="B89" s="20"/>
      <c r="C89" s="20"/>
      <c r="D89" s="20"/>
      <c r="E89" s="20"/>
      <c r="F89" s="20"/>
      <c r="G89" s="20"/>
      <c r="H89" s="20"/>
      <c r="I89" s="20"/>
    </row>
    <row r="90" spans="1:9" x14ac:dyDescent="0.2">
      <c r="A90" s="20" t="s">
        <v>303</v>
      </c>
      <c r="B90" s="20" t="s">
        <v>304</v>
      </c>
      <c r="C90" s="20"/>
      <c r="D90" s="28" t="str">
        <f>IF(ABS(A_x*D_int/1000-V_vial_total)&lt;=geom_tol_mL,"OK",IF(AND(ISNUMBER(cal_hs),ISNUMBER(cal_hs_fill)),"HEADSPACE MEASURED - bore depth still inconsistent (measure body volume)","VIAL GEOMETRY INCONSISTENT - measure true fill volume &amp; bore depth"))</f>
        <v>VIAL GEOMETRY INCONSISTENT - measure true fill volume &amp; bore depth</v>
      </c>
      <c r="E90" s="20"/>
      <c r="F90" s="101" t="inlineStr">
        <is>
          <t xml:space="preserve">Fires INCONSISTENT for the 20 mL vial because the bare cylinder (A_x x usable depth ~28 mL) overestimates the true 20 mL vial (it tapers/necks, not a full cylinder to 55 mm). Expected tolerance artefact, not a data error - resolved by measuring true bore depth (protocols/vial-geometry.md).</t>
        </is>
      </c>
      <c r="G90" s="20"/>
      <c r="H90" s="20"/>
      <c r="I90" s="20"/>
    </row>
    <row r="91" spans="1:9" x14ac:dyDescent="0.2">
      <c r="A91" s="5" t="inlineStr">
        <is>
          <t xml:space="preserve">ELECTRODE GEOMETRY FOR THE OHMIC DROP</t>
        </is>
      </c>
    </row>
    <row r="92" spans="1:9" ht="36" x14ac:dyDescent="0.2">
      <c r="A92" t="s">
        <v>1466</v>
      </c>
      <c r="B92" s="18" t="s">
        <v>1467</v>
      </c>
      <c r="C92" s="19" t="s">
        <v>146</v>
      </c>
      <c r="D92" s="131">
        <v>14</v>
      </c>
      <c r="E92" s="70" t="s">
        <v>1468</v>
      </c>
    </row>
    <row r="93" spans="1:9" ht="24" x14ac:dyDescent="0.2">
      <c r="A93" t="s">
        <v>1469</v>
      </c>
      <c r="B93" s="18" t="s">
        <v>1470</v>
      </c>
      <c r="C93" s="19" t="s">
        <v>146</v>
      </c>
      <c r="D93" s="141">
        <f>MAX(0,h_actual-elec_clear)</f>
        <v>9.18130412738</v>
      </c>
      <c r="E93" s="99" t="s">
        <v>1471</v>
      </c>
    </row>
    <row r="95">
      <c r="A95" s="103" t="inlineStr">
        <is>
          <t xml:space="preserve">CONSISTENCY-CHECK TOLERANCE</t>
        </is>
      </c>
    </row>
    <row r="96">
      <c r="A96" s="17" t="inlineStr">
        <is>
          <t xml:space="preserve">Vial volume consistency tolerance</t>
        </is>
      </c>
      <c r="B96" s="18" t="inlineStr">
        <is>
          <t xml:space="preserve">geom_tol_mL</t>
        </is>
      </c>
      <c r="C96" s="19" t="inlineStr">
        <is>
          <t xml:space="preserve">mL</t>
        </is>
      </c>
      <c r="D96" s="131">
        <v>3</v>
      </c>
      <c r="E96" s="37" t="inlineStr">
        <is>
          <t xml:space="preserve">Design assumption: allowed gap between the bare-cylinder volume (A_x × D_int) and the total vial volume.</t>
        </is>
      </c>
    </row>
  </sheetData>
  <conditionalFormatting sqref="D54:D55 D90">
    <cfRule type="expression" dxfId="21" priority="1">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20" priority="2">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22"/>
  <sheetViews>
    <sheetView zoomScale="181" workbookViewId="0">
      <selection activeCell="D45" sqref="D45"/>
    </sheetView>
  </sheetViews>
  <sheetFormatPr baseColWidth="10" defaultColWidth="8.83203125" defaultRowHeight="15" x14ac:dyDescent="0.2"/>
  <cols>
    <col min="1" max="1" width="30" customWidth="1"/>
    <col min="2" max="2" width="15" customWidth="1"/>
    <col min="4" max="4" width="11.6640625" bestFit="1" customWidth="1"/>
    <col min="5" max="5" width="60" customWidth="1"/>
  </cols>
  <sheetData>
    <row r="1" spans="1:9" ht="16" customHeight="1" x14ac:dyDescent="0.2">
      <c r="A1" s="104" t="s">
        <v>306</v>
      </c>
      <c r="B1" s="20"/>
      <c r="C1" s="20"/>
      <c r="D1" s="20"/>
      <c r="E1" s="20"/>
      <c r="F1" s="20"/>
      <c r="G1" s="20"/>
      <c r="H1" s="20"/>
      <c r="I1" s="20"/>
    </row>
    <row r="2" spans="1:9" x14ac:dyDescent="0.2">
      <c r="A2" s="16" t="s">
        <v>24</v>
      </c>
      <c r="B2" s="16" t="s">
        <v>25</v>
      </c>
      <c r="C2" s="16" t="s">
        <v>26</v>
      </c>
      <c r="D2" s="16" t="s">
        <v>27</v>
      </c>
      <c r="E2" s="16" t="s">
        <v>131</v>
      </c>
      <c r="F2" s="20"/>
      <c r="G2" s="20"/>
      <c r="H2" s="20"/>
      <c r="I2" s="20"/>
    </row>
    <row r="3" spans="1:9" x14ac:dyDescent="0.2">
      <c r="A3" s="17"/>
      <c r="B3" s="18"/>
      <c r="C3" s="19"/>
      <c r="D3" s="49"/>
      <c r="E3" s="37"/>
      <c r="F3" s="20"/>
      <c r="G3" s="20"/>
      <c r="H3" s="20"/>
      <c r="I3" s="20"/>
    </row>
    <row r="4" spans="1:9" ht="16" customHeight="1" x14ac:dyDescent="0.2">
      <c r="A4" s="104" t="s">
        <v>132</v>
      </c>
      <c r="B4" s="18"/>
      <c r="C4" s="19"/>
      <c r="D4" s="50"/>
      <c r="E4" s="51"/>
      <c r="F4" s="20"/>
      <c r="G4" s="20"/>
      <c r="H4" s="20"/>
      <c r="I4" s="20"/>
    </row>
    <row r="5" spans="1:9" x14ac:dyDescent="0.2">
      <c r="A5" s="20" t="s">
        <v>307</v>
      </c>
      <c r="B5" s="20" t="s">
        <v>308</v>
      </c>
      <c r="C5" s="20" t="s">
        <v>309</v>
      </c>
      <c r="D5" s="142">
        <f>Biology!$D$18</f>
        <v>298.15</v>
      </c>
      <c r="E5" s="135" t="str">
        <f>HYPERLINK("#Biology!D18","→ Biology")</f>
        <v>→ Biology</v>
      </c>
      <c r="F5" s="20"/>
      <c r="G5" s="20"/>
      <c r="H5" s="20"/>
      <c r="I5" s="20"/>
    </row>
    <row r="6" spans="1:9" x14ac:dyDescent="0.2">
      <c r="A6" s="20" t="s">
        <v>310</v>
      </c>
      <c r="B6" s="20" t="s">
        <v>311</v>
      </c>
      <c r="C6" s="20" t="s">
        <v>62</v>
      </c>
      <c r="D6" s="142">
        <f>Biology!$D$19</f>
        <v>101325.0</v>
      </c>
      <c r="E6" s="135" t="str">
        <f>HYPERLINK("#Biology!D19","→ Biology")</f>
        <v>→ Biology</v>
      </c>
      <c r="F6" s="20"/>
      <c r="G6" s="20"/>
      <c r="H6" s="20"/>
      <c r="I6" s="20"/>
    </row>
    <row r="7" spans="1:9" x14ac:dyDescent="0.2">
      <c r="A7" s="20" t="s">
        <v>312</v>
      </c>
      <c r="B7" s="20" t="s">
        <v>313</v>
      </c>
      <c r="C7" s="20" t="s">
        <v>314</v>
      </c>
      <c r="D7" s="141">
        <f>'Mass Transfer'!$D$101</f>
        <v>8.314462618</v>
      </c>
      <c r="E7" s="135" t="str">
        <f>HYPERLINK("#'Mass Transfer'!D101","→ Mass Transfer")</f>
        <v>→ Mass Transfer</v>
      </c>
      <c r="F7" s="20"/>
      <c r="G7" s="20"/>
      <c r="H7" s="20"/>
      <c r="I7" s="20"/>
    </row>
    <row r="8" spans="1:9" x14ac:dyDescent="0.2">
      <c r="A8" s="20" t="s">
        <v>315</v>
      </c>
      <c r="B8" s="20" t="s">
        <v>34</v>
      </c>
      <c r="C8" s="20"/>
      <c r="D8" s="134" t="str">
        <f>Summary!$D$3</f>
        <v>Pt/Ti rod</v>
      </c>
      <c r="E8" s="135" t="str">
        <f>HYPERLINK("#Summary!D3","→ Summary")</f>
        <v>→ Summary</v>
      </c>
      <c r="F8" s="20"/>
      <c r="G8" s="20"/>
      <c r="H8" s="20"/>
      <c r="I8" s="20"/>
    </row>
    <row r="9" spans="1:9" x14ac:dyDescent="0.2">
      <c r="A9" s="17"/>
      <c r="B9" s="18"/>
      <c r="C9" s="19"/>
      <c r="D9" s="52"/>
      <c r="E9" s="99"/>
      <c r="F9" s="20"/>
      <c r="G9" s="20"/>
      <c r="H9" s="20"/>
      <c r="I9" s="20"/>
    </row>
    <row r="10" spans="1:9" x14ac:dyDescent="0.2">
      <c r="A10" s="17" t="s">
        <v>316</v>
      </c>
      <c r="B10" s="18" t="s">
        <v>317</v>
      </c>
      <c r="C10" s="19" t="s">
        <v>45</v>
      </c>
      <c r="D10" s="143">
        <f>Summary!$D$6</f>
        <v>3.0</v>
      </c>
      <c r="E10" s="37" t="s">
        <v>318</v>
      </c>
      <c r="F10" s="20"/>
      <c r="G10" s="20"/>
      <c r="H10" s="20"/>
      <c r="I10" s="20"/>
    </row>
    <row r="11" spans="1:9" ht="36" customHeight="1" x14ac:dyDescent="0.2">
      <c r="A11" s="17" t="s">
        <v>319</v>
      </c>
      <c r="B11" s="18" t="s">
        <v>320</v>
      </c>
      <c r="C11" s="19" t="s">
        <v>321</v>
      </c>
      <c r="D11" s="141">
        <f>IF(ISNUMBER(cal_gerrit_slope),cal_gerrit_slope,gerrit_slope_default)</f>
        <v>1.03</v>
      </c>
      <c r="E11" s="109" t="s">
        <v>322</v>
      </c>
      <c r="F11" s="20"/>
      <c r="G11" s="20"/>
      <c r="H11" s="20"/>
      <c r="I11" s="20"/>
    </row>
    <row r="12" spans="1:9" x14ac:dyDescent="0.2">
      <c r="A12" s="17" t="s">
        <v>323</v>
      </c>
      <c r="B12" s="18" t="s">
        <v>324</v>
      </c>
      <c r="C12" s="19" t="s">
        <v>325</v>
      </c>
      <c r="D12" s="141">
        <f>IF(ISNUMBER(cal_gerrit_int),cal_gerrit_int,gerrit_int_default)</f>
        <v>2.6</v>
      </c>
      <c r="E12" s="109" t="s">
        <v>326</v>
      </c>
      <c r="F12" s="20"/>
      <c r="G12" s="20"/>
      <c r="H12" s="20"/>
      <c r="I12" s="20"/>
    </row>
    <row r="13" spans="1:9" x14ac:dyDescent="0.2">
      <c r="A13" s="17" t="s">
        <v>327</v>
      </c>
      <c r="B13" s="18" t="s">
        <v>328</v>
      </c>
      <c r="C13" s="19" t="s">
        <v>45</v>
      </c>
      <c r="D13" s="144">
        <v>3</v>
      </c>
      <c r="E13" s="51" t="s">
        <v>329</v>
      </c>
      <c r="F13" s="20"/>
      <c r="G13" s="20"/>
      <c r="H13" s="20"/>
      <c r="I13" s="20"/>
    </row>
    <row r="14" spans="1:9" x14ac:dyDescent="0.2">
      <c r="A14" s="17" t="s">
        <v>330</v>
      </c>
      <c r="B14" s="18" t="s">
        <v>331</v>
      </c>
      <c r="C14" s="19" t="s">
        <v>45</v>
      </c>
      <c r="D14" s="144">
        <v>25</v>
      </c>
      <c r="E14" s="51" t="s">
        <v>332</v>
      </c>
      <c r="F14" s="20"/>
      <c r="G14" s="20"/>
      <c r="H14" s="20"/>
      <c r="I14" s="20"/>
    </row>
    <row r="15" spans="1:9" x14ac:dyDescent="0.2">
      <c r="A15" s="17" t="s">
        <v>333</v>
      </c>
      <c r="B15" s="18" t="s">
        <v>334</v>
      </c>
      <c r="C15" s="19" t="s">
        <v>335</v>
      </c>
      <c r="D15" s="145">
        <v>96485.332120000006</v>
      </c>
      <c r="E15" s="100" t="s">
        <v>336</v>
      </c>
      <c r="F15" s="20"/>
      <c r="G15" s="20"/>
      <c r="H15" s="20"/>
      <c r="I15" s="20"/>
    </row>
    <row r="16" spans="1:9" x14ac:dyDescent="0.2">
      <c r="A16" s="17" t="s">
        <v>337</v>
      </c>
      <c r="B16" s="18" t="s">
        <v>338</v>
      </c>
      <c r="C16" s="19" t="s">
        <v>135</v>
      </c>
      <c r="D16" s="146">
        <v>2</v>
      </c>
      <c r="E16" s="99" t="s">
        <v>339</v>
      </c>
      <c r="F16" s="20"/>
      <c r="G16" s="20"/>
      <c r="H16" s="20"/>
      <c r="I16" s="20"/>
    </row>
    <row r="17" spans="1:9" x14ac:dyDescent="0.2">
      <c r="A17" s="17" t="s">
        <v>340</v>
      </c>
      <c r="B17" s="18" t="s">
        <v>341</v>
      </c>
      <c r="C17" s="19" t="s">
        <v>135</v>
      </c>
      <c r="D17" s="146">
        <v>4</v>
      </c>
      <c r="E17" s="99" t="s">
        <v>342</v>
      </c>
      <c r="F17" s="20"/>
      <c r="G17" s="20"/>
      <c r="H17" s="20"/>
      <c r="I17" s="20"/>
    </row>
    <row r="18" spans="1:9" ht="24" customHeight="1" x14ac:dyDescent="0.2">
      <c r="A18" s="17" t="s">
        <v>343</v>
      </c>
      <c r="B18" s="18" t="s">
        <v>344</v>
      </c>
      <c r="C18" s="19" t="s">
        <v>135</v>
      </c>
      <c r="D18" s="42">
        <f>IF(ISNUMBER(cal_etaF),cal_etaF,etaF_calc)</f>
        <v>0.958329302507</v>
      </c>
      <c r="E18" s="67" t="inlineStr">
        <is>
          <t xml:space="preserve">Cathodic H₂ faradaic efficiency: a measured value from the Calibrations tab if there is one, otherwise CALCULATED (D88, etaF_calc) from the cathodic O₂ reduction competing for the current. Neutral-pH HER on stainless peaks near 97% before that competition is counted, so the calculated value remains an upper bound.</t>
        </is>
      </c>
      <c r="F18" s="20"/>
      <c r="G18" s="20"/>
      <c r="H18" s="20"/>
      <c r="I18" s="20"/>
    </row>
    <row r="19" spans="1:9" ht="24" customHeight="1" x14ac:dyDescent="0.2">
      <c r="A19" s="17" t="s">
        <v>345</v>
      </c>
      <c r="B19" s="18" t="s">
        <v>346</v>
      </c>
      <c r="C19" s="19" t="s">
        <v>347</v>
      </c>
      <c r="D19" s="46">
        <f>(gerrit_slope*intensity+gerrit_int)/1000</f>
        <v>0.00569</v>
      </c>
      <c r="E19" s="51" t="s">
        <v>348</v>
      </c>
      <c r="F19" s="20"/>
      <c r="G19" s="20"/>
      <c r="H19" s="20"/>
      <c r="I19" s="20"/>
    </row>
    <row r="20" spans="1:9" ht="24" customHeight="1" x14ac:dyDescent="0.2">
      <c r="A20" s="17" t="s">
        <v>349</v>
      </c>
      <c r="B20" s="18" t="s">
        <v>350</v>
      </c>
      <c r="C20" s="19" t="s">
        <v>135</v>
      </c>
      <c r="D20" s="58" t="str">
        <f>IF(AND(intensity&gt;=gerrit_min,intensity&lt;=gerrit_max),"OK","OUT")</f>
        <v>OK</v>
      </c>
      <c r="E20" s="51" t="s">
        <v>351</v>
      </c>
      <c r="F20" s="20"/>
      <c r="G20" s="20"/>
      <c r="H20" s="20"/>
      <c r="I20" s="20"/>
    </row>
    <row r="21" spans="1:9" x14ac:dyDescent="0.2">
      <c r="A21" s="17" t="s">
        <v>352</v>
      </c>
      <c r="B21" s="18" t="s">
        <v>353</v>
      </c>
      <c r="C21" s="19" t="s">
        <v>354</v>
      </c>
      <c r="D21" s="48">
        <f>I_app*etaF/(z_e_H2*F_const)*3600</f>
        <v>0.0001017274698715</v>
      </c>
      <c r="E21" s="99" t="s">
        <v>355</v>
      </c>
      <c r="F21" s="20"/>
      <c r="G21" s="20"/>
      <c r="H21" s="20"/>
      <c r="I21" s="20"/>
    </row>
    <row r="22" spans="1:9" x14ac:dyDescent="0.2">
      <c r="A22" s="17" t="s">
        <v>356</v>
      </c>
      <c r="B22" s="18" t="s">
        <v>357</v>
      </c>
      <c r="C22" s="19" t="s">
        <v>354</v>
      </c>
      <c r="D22" s="48">
        <f>I_app*etaF_OER/(z_e_O2*F_const)*3600</f>
        <v>5.218135137208e-05</v>
      </c>
      <c r="E22" s="99" t="s">
        <v>358</v>
      </c>
      <c r="F22" s="20"/>
      <c r="G22" s="20"/>
      <c r="H22" s="20"/>
      <c r="I22" s="20"/>
    </row>
    <row r="23" spans="1:9" x14ac:dyDescent="0.2">
      <c r="A23" s="17" t="s">
        <v>359</v>
      </c>
      <c r="B23" s="18" t="s">
        <v>360</v>
      </c>
      <c r="C23" s="19" t="s">
        <v>361</v>
      </c>
      <c r="D23" s="48">
        <f>rH2_gen/60*R_gas*T_K/P_atm*1000000</f>
        <v>0.041480060291</v>
      </c>
      <c r="E23" s="99" t="s">
        <v>362</v>
      </c>
      <c r="F23" s="20"/>
      <c r="G23" s="20"/>
      <c r="H23" s="20"/>
      <c r="I23" s="20"/>
    </row>
    <row r="24" spans="1:9" x14ac:dyDescent="0.2">
      <c r="A24" s="17" t="s">
        <v>363</v>
      </c>
      <c r="B24" s="18" t="s">
        <v>364</v>
      </c>
      <c r="C24" s="19" t="s">
        <v>361</v>
      </c>
      <c r="D24" s="48">
        <f>rO2_gen/60*R_gas*T_K/P_atm*1000000</f>
        <v>0.021277297113</v>
      </c>
      <c r="E24" s="99" t="s">
        <v>365</v>
      </c>
      <c r="F24" s="20"/>
      <c r="G24" s="20"/>
      <c r="H24" s="20"/>
      <c r="I24" s="20"/>
    </row>
    <row r="25" spans="1:9" ht="24" customHeight="1" x14ac:dyDescent="0.2">
      <c r="A25" s="17" t="s">
        <v>366</v>
      </c>
      <c r="B25" s="18" t="s">
        <v>367</v>
      </c>
      <c r="C25" s="19" t="s">
        <v>361</v>
      </c>
      <c r="D25" s="48">
        <f>V_H2_gen+V_O2_gen</f>
        <v>0.062757357403</v>
      </c>
      <c r="E25" s="99" t="s">
        <v>368</v>
      </c>
      <c r="F25" s="20"/>
      <c r="G25" s="20"/>
      <c r="H25" s="20"/>
      <c r="I25" s="20"/>
    </row>
    <row r="26" spans="1:9" ht="36" x14ac:dyDescent="0.2">
      <c r="A26" s="17" t="s">
        <v>369</v>
      </c>
      <c r="B26" s="18" t="s">
        <v>370</v>
      </c>
      <c r="C26" s="19" t="s">
        <v>135</v>
      </c>
      <c r="D26" s="42">
        <f>IF(ISNUMBER(cal_etaF_OER),cal_etaF_OER,etaF_OER_calc)</f>
        <v>0.983154660731</v>
      </c>
      <c r="E26" s="67" t="inlineStr">
        <is>
          <t xml:space="preserve">Anodic O₂ faradaic efficiency: measured if available, otherwise CALCULATED (etaF_OER_calc) as 1 − the chlorine share − the metal-dissolution share − the anodic H₂-oxidation share. UdG contains chloride, so the chlorine current is modelled explicitly (D101). The faradaic-efficiency screen measures the sum of cathodic ORR and anodic HOR losses.</t>
        </is>
      </c>
      <c r="F26" s="20"/>
      <c r="G26" s="20"/>
      <c r="H26" s="20"/>
      <c r="I26" s="20"/>
    </row>
    <row r="27" spans="1:9" ht="24" customHeight="1" x14ac:dyDescent="0.2">
      <c r="A27" s="17" t="inlineStr">
        <is>
          <t xml:space="preserve">Electrons per O₂ on the peroxide branch (cathode)</t>
        </is>
      </c>
      <c r="B27" s="18" t="s">
        <v>372</v>
      </c>
      <c r="C27" s="19" t="s">
        <v>135</v>
      </c>
      <c r="D27" s="139">
        <f>VLOOKUP(electrode_sel,$A$35:$N$38,MATCH("z_e_ORR",$A$34:$N$34,0),FALSE)</f>
        <v>2.0</v>
      </c>
      <c r="E27" s="114" t="inlineStr">
        <is>
          <t xml:space="preserve">Electrode lookup: 2 e⁻ per O₂ on the peroxide branch (SS cathode, neutral pH) for every current electrode. The current drawn per O₂ is the weighted n_ORR_eff (D141), not this value.</t>
        </is>
      </c>
      <c r="F27" s="20"/>
      <c r="G27" s="20"/>
      <c r="H27" s="20"/>
      <c r="I27" s="20"/>
    </row>
    <row r="28" spans="1:9" x14ac:dyDescent="0.2">
      <c r="A28" s="17" t="s">
        <v>374</v>
      </c>
      <c r="B28" s="18" t="s">
        <v>375</v>
      </c>
      <c r="C28" s="19" t="s">
        <v>354</v>
      </c>
      <c r="D28" s="48">
        <f>I_app*(1-etaF)/(n_ORR_eff*F_const)*3600</f>
        <v>2.391016190066e-06</v>
      </c>
      <c r="E28" s="99" t="inlineStr">
        <is>
          <t xml:space="preserve">Moles of O₂ reduced: the non-H₂ cathodic current (1−etaF) divided by n_ORR_eff·F. Equals the transport-limited O₂ flux when etaF is calculated; stays consistent if a measured etaF is in use. 0 at etaF = 1.</t>
        </is>
      </c>
      <c r="F28" s="20"/>
      <c r="G28" s="20"/>
      <c r="H28" s="20"/>
      <c r="I28" s="20"/>
    </row>
    <row r="29" spans="1:9" x14ac:dyDescent="0.2">
      <c r="A29" s="17" t="s">
        <v>377</v>
      </c>
      <c r="B29" s="18" t="s">
        <v>378</v>
      </c>
      <c r="C29" s="19" t="s">
        <v>354</v>
      </c>
      <c r="D29" s="48">
        <f>rO2_gen-O2_cathode_ORR</f>
        <v>4.979033518202e-05</v>
      </c>
      <c r="E29" s="99" t="s">
        <v>379</v>
      </c>
      <c r="F29" s="20"/>
      <c r="G29" s="20"/>
      <c r="H29" s="20"/>
      <c r="I29" s="20"/>
    </row>
    <row r="30" spans="1:9" x14ac:dyDescent="0.2">
      <c r="A30" s="101" t="inlineStr">
        <is>
          <t xml:space="preserve">z_e_ORR = 2 is the peroxide branch only; the current per O₂ is n_ORR_eff (D141, 2 and 4 e⁻ weighted by f_HOOH). etaF unmeasured — both live here per electrode.</t>
        </is>
      </c>
      <c r="B30" s="20"/>
      <c r="C30" s="20"/>
      <c r="D30" s="20"/>
      <c r="E30" s="20"/>
      <c r="F30" s="20"/>
      <c r="G30" s="20"/>
      <c r="H30" s="20"/>
      <c r="I30" s="20"/>
    </row>
    <row r="31" spans="1:9" x14ac:dyDescent="0.2">
      <c r="A31" s="20" t="s">
        <v>381</v>
      </c>
      <c r="B31" s="20" t="s">
        <v>382</v>
      </c>
      <c r="C31" s="20"/>
      <c r="D31" s="28" t="str">
        <f>VLOOKUP(electrode_sel,$A$35:$N$38,MATCH("sparger",$A$34:$N$34,0),FALSE)</f>
        <v>Tube</v>
      </c>
      <c r="E31" s="20"/>
      <c r="F31" s="20"/>
      <c r="G31" s="20"/>
      <c r="H31" s="20"/>
      <c r="I31" s="20"/>
    </row>
    <row r="32" spans="1:9" x14ac:dyDescent="0.2">
      <c r="A32" s="20" t="s">
        <v>383</v>
      </c>
      <c r="B32" s="20" t="s">
        <v>384</v>
      </c>
      <c r="C32" s="20"/>
      <c r="D32" s="28">
        <f>IF(ISNUMBER(cal_sinter),cal_sinter,IF(ISNUMBER(VLOOKUP(electrode_sel,$A$35:$N$38,MATCH("sinter porosity",$A$34:$N$34,0),FALSE)),VLOOKUP(electrode_sel,$A$35:$N$38,MATCH("sinter porosity",$A$34:$N$34,0),FALSE),0))</f>
        <v>0.0</v>
      </c>
      <c r="E32" s="147" t="s">
        <v>385</v>
      </c>
      <c r="F32" s="20"/>
      <c r="G32" s="20"/>
      <c r="H32" s="59"/>
      <c r="I32" s="20"/>
    </row>
    <row r="33" spans="1:14" x14ac:dyDescent="0.2">
      <c r="A33" s="103" t="s">
        <v>386</v>
      </c>
      <c r="B33" s="20"/>
      <c r="C33" s="20"/>
      <c r="D33" s="20"/>
      <c r="E33" s="20"/>
      <c r="F33" s="20"/>
      <c r="G33" s="20"/>
      <c r="H33" s="20"/>
      <c r="I33" s="20"/>
    </row>
    <row r="34" spans="1:14" x14ac:dyDescent="0.2">
      <c r="A34" s="103" t="s">
        <v>33</v>
      </c>
      <c r="B34" s="103" t="s">
        <v>387</v>
      </c>
      <c r="C34" s="103" t="s">
        <v>388</v>
      </c>
      <c r="D34" s="103" t="s">
        <v>389</v>
      </c>
      <c r="E34" s="103" t="s">
        <v>390</v>
      </c>
      <c r="F34" s="103" t="s">
        <v>391</v>
      </c>
      <c r="G34" s="103" t="s">
        <v>392</v>
      </c>
      <c r="H34" s="103" t="s">
        <v>344</v>
      </c>
      <c r="I34" s="103" t="s">
        <v>372</v>
      </c>
      <c r="J34" s="103" t="s">
        <v>1294</v>
      </c>
      <c r="K34" s="103" t="s">
        <v>1295</v>
      </c>
      <c r="L34" s="103" t="s">
        <v>1296</v>
      </c>
      <c r="M34" s="103" t="s">
        <v>1297</v>
      </c>
      <c r="N34" s="103" t="s">
        <v>1298</v>
      </c>
    </row>
    <row r="35" spans="1:14" x14ac:dyDescent="0.2">
      <c r="A35" s="20" t="s">
        <v>393</v>
      </c>
      <c r="B35" s="20" t="s">
        <v>394</v>
      </c>
      <c r="C35" s="20">
        <v>6</v>
      </c>
      <c r="D35" s="20" t="s">
        <v>395</v>
      </c>
      <c r="E35" s="20" t="s">
        <v>396</v>
      </c>
      <c r="F35" s="20" t="s">
        <v>397</v>
      </c>
      <c r="G35" s="20">
        <v>6</v>
      </c>
      <c r="H35" s="59" t="s">
        <v>398</v>
      </c>
      <c r="I35" s="20">
        <v>2</v>
      </c>
      <c r="J35" s="20" t="s">
        <v>1299</v>
      </c>
      <c r="K35" s="20">
        <v>100</v>
      </c>
      <c r="L35" s="20">
        <v>500</v>
      </c>
      <c r="M35" s="20" t="s">
        <v>1299</v>
      </c>
      <c r="N35" s="20" t="s">
        <v>1300</v>
      </c>
    </row>
    <row r="36" spans="1:14" x14ac:dyDescent="0.2">
      <c r="A36" s="20" t="s">
        <v>399</v>
      </c>
      <c r="B36" s="20" t="s">
        <v>400</v>
      </c>
      <c r="C36" s="20">
        <v>6</v>
      </c>
      <c r="D36" s="20" t="s">
        <v>395</v>
      </c>
      <c r="E36" s="20" t="s">
        <v>396</v>
      </c>
      <c r="F36" s="20" t="s">
        <v>397</v>
      </c>
      <c r="G36" s="20">
        <v>6</v>
      </c>
      <c r="H36" s="59" t="s">
        <v>398</v>
      </c>
      <c r="I36" s="20">
        <v>2</v>
      </c>
      <c r="J36" s="20" t="s">
        <v>1299</v>
      </c>
      <c r="K36" s="20">
        <v>50</v>
      </c>
      <c r="L36" s="20">
        <v>500</v>
      </c>
      <c r="M36" s="20" t="s">
        <v>1299</v>
      </c>
      <c r="N36" s="20" t="s">
        <v>1301</v>
      </c>
    </row>
    <row r="37" spans="1:14" x14ac:dyDescent="0.2">
      <c r="A37" s="20" t="s">
        <v>35</v>
      </c>
      <c r="B37" s="20" t="s">
        <v>400</v>
      </c>
      <c r="C37" s="20">
        <v>6</v>
      </c>
      <c r="D37" s="20" t="s">
        <v>401</v>
      </c>
      <c r="E37" s="59">
        <v>0</v>
      </c>
      <c r="F37" s="20" t="s">
        <v>397</v>
      </c>
      <c r="G37" s="20">
        <v>6</v>
      </c>
      <c r="H37" s="59" t="s">
        <v>398</v>
      </c>
      <c r="I37" s="20">
        <v>2</v>
      </c>
      <c r="J37" s="20" t="s">
        <v>1302</v>
      </c>
      <c r="K37" s="20">
        <v>10</v>
      </c>
      <c r="L37" s="20">
        <v>60</v>
      </c>
      <c r="M37" s="20" t="s">
        <v>1299</v>
      </c>
      <c r="N37" s="20" t="s">
        <v>1303</v>
      </c>
    </row>
    <row r="38" spans="1:14" x14ac:dyDescent="0.2">
      <c r="A38" s="20" t="s">
        <v>1304</v>
      </c>
      <c r="B38" s="20" t="s">
        <v>1305</v>
      </c>
      <c r="C38" s="20">
        <v>6</v>
      </c>
      <c r="D38" s="20" t="s">
        <v>395</v>
      </c>
      <c r="E38" s="20" t="s">
        <v>396</v>
      </c>
      <c r="F38" s="20" t="s">
        <v>397</v>
      </c>
      <c r="G38" s="20">
        <v>6</v>
      </c>
      <c r="H38" s="59" t="s">
        <v>398</v>
      </c>
      <c r="I38" s="20">
        <v>2</v>
      </c>
      <c r="J38" s="20" t="s">
        <v>1299</v>
      </c>
      <c r="K38" s="20">
        <v>35</v>
      </c>
      <c r="L38" s="20">
        <v>50</v>
      </c>
      <c r="M38" s="20" t="s">
        <v>1299</v>
      </c>
      <c r="N38" s="20" t="s">
        <v>1306</v>
      </c>
    </row>
    <row r="39" spans="1:14" x14ac:dyDescent="0.2">
      <c r="A39" s="20"/>
      <c r="B39" s="20"/>
      <c r="C39" s="20"/>
      <c r="D39" s="28"/>
      <c r="E39" s="20"/>
      <c r="F39" s="20"/>
      <c r="G39" s="20"/>
      <c r="H39" s="20"/>
      <c r="I39" s="20"/>
    </row>
    <row r="40" spans="1:14" ht="16" x14ac:dyDescent="0.2">
      <c r="A40" s="104" t="s">
        <v>1307</v>
      </c>
    </row>
    <row r="41" spans="1:14" x14ac:dyDescent="0.2">
      <c r="A41" s="17" t="s">
        <v>1308</v>
      </c>
      <c r="B41" s="18" t="s">
        <v>1309</v>
      </c>
      <c r="C41" s="19" t="s">
        <v>135</v>
      </c>
      <c r="D41" s="48" t="str">
        <f>VLOOKUP(electrode_sel,$A$35:$N$38,MATCH("anode shape",$A$34:$N$34,0),FALSE)</f>
        <v>rod</v>
      </c>
      <c r="E41" s="99" t="s">
        <v>1310</v>
      </c>
    </row>
    <row r="42" spans="1:14" x14ac:dyDescent="0.2">
      <c r="A42" s="17" t="s">
        <v>1311</v>
      </c>
      <c r="B42" s="18" t="s">
        <v>1312</v>
      </c>
      <c r="C42" s="19" t="s">
        <v>146</v>
      </c>
      <c r="D42" s="48">
        <f>VLOOKUP(electrode_sel,$A$35:$N$38,MATCH("anode dia (mm)",$A$34:$N$34,0),FALSE)</f>
        <v>6.0</v>
      </c>
      <c r="E42" s="99" t="s">
        <v>1313</v>
      </c>
    </row>
    <row r="43" spans="1:14" x14ac:dyDescent="0.2">
      <c r="A43" s="17" t="s">
        <v>1314</v>
      </c>
      <c r="B43" s="18" t="s">
        <v>1315</v>
      </c>
      <c r="C43" s="19" t="s">
        <v>135</v>
      </c>
      <c r="D43" s="48" t="str">
        <f>VLOOKUP(electrode_sel,$A$35:$N$38,MATCH("cathode shape",$A$34:$N$34,0),FALSE)</f>
        <v>rod</v>
      </c>
      <c r="E43" s="99" t="s">
        <v>1316</v>
      </c>
    </row>
    <row r="44" spans="1:14" x14ac:dyDescent="0.2">
      <c r="A44" s="17" t="s">
        <v>1317</v>
      </c>
      <c r="B44" s="18" t="s">
        <v>1318</v>
      </c>
      <c r="C44" s="19" t="s">
        <v>146</v>
      </c>
      <c r="D44" s="48">
        <f>VLOOKUP(electrode_sel,$A$35:$N$38,MATCH("cathode dia (mm)",$A$34:$N$34,0),FALSE)</f>
        <v>6.0</v>
      </c>
      <c r="E44" s="99" t="s">
        <v>1313</v>
      </c>
    </row>
    <row r="45" spans="1:14" ht="36" x14ac:dyDescent="0.2">
      <c r="A45" s="17" t="s">
        <v>1319</v>
      </c>
      <c r="B45" s="18" t="s">
        <v>1320</v>
      </c>
      <c r="C45" s="19" t="s">
        <v>146</v>
      </c>
      <c r="D45" s="48">
        <f>Geometry!$D$93</f>
        <v>9.18130412738</v>
      </c>
      <c r="E45" s="99" t="inlineStr">
        <is>
          <t xml:space="preserve">Submerged length at the achieved liquid level (Geometry D93), not the bare datum (Geometry D35), which would overstate the wetted area by about 6.5% and understate every current density by the same factor.</t>
        </is>
      </c>
    </row>
    <row r="46" spans="1:14" x14ac:dyDescent="0.2">
      <c r="A46" s="17" t="s">
        <v>1071</v>
      </c>
      <c r="B46" s="18" t="s">
        <v>1321</v>
      </c>
      <c r="C46" s="19" t="s">
        <v>1073</v>
      </c>
      <c r="D46" s="48">
        <f>(PI()*anode_dia*L_sub+IF(anode_shape="rod",PI()/4*anode_dia^2,0))/100</f>
        <v>2.01337839464</v>
      </c>
      <c r="E46" s="99" t="s">
        <v>1322</v>
      </c>
    </row>
    <row r="47" spans="1:14" x14ac:dyDescent="0.2">
      <c r="A47" s="17" t="s">
        <v>1323</v>
      </c>
      <c r="B47" s="18" t="s">
        <v>1324</v>
      </c>
      <c r="C47" s="19" t="s">
        <v>1073</v>
      </c>
      <c r="D47" s="48">
        <f>(PI()*cathode_dia*L_sub+IF(cathode_shape="rod",PI()/4*cathode_dia^2,0))/100</f>
        <v>2.01337839464</v>
      </c>
      <c r="E47" s="99" t="s">
        <v>1325</v>
      </c>
    </row>
    <row r="48" spans="1:14" x14ac:dyDescent="0.2">
      <c r="A48" s="17" t="s">
        <v>1281</v>
      </c>
      <c r="B48" s="18" t="s">
        <v>1326</v>
      </c>
      <c r="C48" s="19" t="s">
        <v>1282</v>
      </c>
      <c r="D48" s="48">
        <f>I_app*1000/A_anode_wet</f>
        <v>2.826095688296</v>
      </c>
      <c r="E48" s="99" t="s">
        <v>1327</v>
      </c>
    </row>
    <row r="49" spans="1:5" x14ac:dyDescent="0.2">
      <c r="A49" s="17" t="s">
        <v>1328</v>
      </c>
      <c r="B49" s="18" t="s">
        <v>1329</v>
      </c>
      <c r="C49" s="19" t="s">
        <v>1282</v>
      </c>
      <c r="D49" s="48">
        <f>I_app*1000/A_cath_wet</f>
        <v>2.826095688296</v>
      </c>
      <c r="E49" s="99" t="s">
        <v>1330</v>
      </c>
    </row>
    <row r="50" spans="1:5" x14ac:dyDescent="0.2">
      <c r="A50" s="17" t="s">
        <v>1331</v>
      </c>
      <c r="B50" s="18" t="s">
        <v>1332</v>
      </c>
      <c r="C50" s="19" t="s">
        <v>1282</v>
      </c>
      <c r="D50" s="48">
        <f>VLOOKUP(electrode_sel,$A$35:$N$38,MATCH("anode j cont (mA/cm²)",$A$34:$N$34,0),FALSE)</f>
        <v>100.0</v>
      </c>
      <c r="E50" s="99" t="s">
        <v>1333</v>
      </c>
    </row>
    <row r="51" spans="1:5" x14ac:dyDescent="0.2">
      <c r="A51" s="17" t="s">
        <v>1334</v>
      </c>
      <c r="B51" s="18" t="s">
        <v>1335</v>
      </c>
      <c r="C51" s="19" t="s">
        <v>1282</v>
      </c>
      <c r="D51" s="48">
        <f>VLOOKUP(electrode_sel,$A$35:$N$38,MATCH("anode j max (mA/cm²)",$A$34:$N$34,0),FALSE)</f>
        <v>500.0</v>
      </c>
      <c r="E51" s="99" t="s">
        <v>1336</v>
      </c>
    </row>
    <row r="52" spans="1:5" x14ac:dyDescent="0.2">
      <c r="A52" s="17" t="s">
        <v>1337</v>
      </c>
      <c r="B52" s="18" t="s">
        <v>1338</v>
      </c>
      <c r="C52" s="19" t="s">
        <v>1282</v>
      </c>
      <c r="D52" s="146">
        <v>80</v>
      </c>
      <c r="E52" s="51" t="s">
        <v>1339</v>
      </c>
    </row>
    <row r="53" spans="1:5" x14ac:dyDescent="0.2">
      <c r="A53" s="17" t="s">
        <v>1340</v>
      </c>
      <c r="B53" s="18" t="s">
        <v>1341</v>
      </c>
      <c r="C53" s="19" t="s">
        <v>1282</v>
      </c>
      <c r="D53" s="146">
        <v>250</v>
      </c>
      <c r="E53" s="51" t="s">
        <v>1342</v>
      </c>
    </row>
    <row r="54" spans="1:5" x14ac:dyDescent="0.2">
      <c r="A54" s="17" t="s">
        <v>1343</v>
      </c>
      <c r="B54" s="18" t="s">
        <v>1344</v>
      </c>
      <c r="C54" s="19" t="s">
        <v>1282</v>
      </c>
      <c r="D54" s="146">
        <v>1</v>
      </c>
      <c r="E54" s="114" t="s">
        <v>1345</v>
      </c>
    </row>
    <row r="55" spans="1:5" x14ac:dyDescent="0.2">
      <c r="A55" s="17" t="s">
        <v>1346</v>
      </c>
      <c r="B55" s="18" t="s">
        <v>1347</v>
      </c>
      <c r="C55" s="19" t="s">
        <v>1282</v>
      </c>
      <c r="D55" s="146">
        <v>2</v>
      </c>
      <c r="E55" s="114" t="s">
        <v>1348</v>
      </c>
    </row>
    <row r="56" spans="1:5" x14ac:dyDescent="0.2">
      <c r="A56" s="17" t="s">
        <v>1349</v>
      </c>
      <c r="B56" s="18" t="s">
        <v>1350</v>
      </c>
      <c r="C56" s="19" t="s">
        <v>1282</v>
      </c>
      <c r="D56" s="48">
        <f>IF(ISNUMBER(cal_j_opt),cal_j_opt,IFERROR(VLOOKUP(organism_sel,$A$66:$E$71,MATCH("j_opt",$A$65:$E$65,0),FALSE),j_opt_default))</f>
        <v>2.14</v>
      </c>
      <c r="E56" s="99" t="s">
        <v>1351</v>
      </c>
    </row>
    <row r="57" spans="1:5" x14ac:dyDescent="0.2">
      <c r="A57" s="17" t="s">
        <v>1352</v>
      </c>
      <c r="B57" s="18" t="s">
        <v>1353</v>
      </c>
      <c r="C57" s="19" t="s">
        <v>1282</v>
      </c>
      <c r="D57" s="48">
        <f>IF(ISNUMBER(cal_j_ceiling),cal_j_ceiling,IFERROR(VLOOKUP(organism_sel,$A$66:$E$71,MATCH("j_ceiling",$A$65:$E$65,0),FALSE),j_ceiling_default))</f>
        <v>4.29</v>
      </c>
      <c r="E57" s="99" t="s">
        <v>1354</v>
      </c>
    </row>
    <row r="58" spans="1:5" x14ac:dyDescent="0.2">
      <c r="A58" s="17" t="s">
        <v>1355</v>
      </c>
      <c r="B58" s="18" t="s">
        <v>1356</v>
      </c>
      <c r="C58" s="19" t="s">
        <v>135</v>
      </c>
      <c r="D58" s="48" t="str">
        <f>IFERROR(VLOOKUP(organism_sel,$A$66:$E$71,MATCH("confidence",$A$65:$E$65,0),FALSE),"unknown")</f>
        <v>med</v>
      </c>
      <c r="E58" s="99" t="s">
        <v>1357</v>
      </c>
    </row>
    <row r="59" spans="1:5" x14ac:dyDescent="0.2">
      <c r="A59" s="17" t="s">
        <v>1358</v>
      </c>
      <c r="B59" s="18" t="s">
        <v>1359</v>
      </c>
      <c r="C59" s="19" t="s">
        <v>135</v>
      </c>
      <c r="D59" s="48" t="str">
        <f>IF(j_anode&lt;=j_opt_strain,"OK - at/below optimum",IF(j_anode&lt;=j_ceiling_strain,"watch - above optimum","EXCEED - over strain ceiling"))</f>
        <v>watch - above optimum</v>
      </c>
      <c r="E59" s="99" t="s">
        <v>1360</v>
      </c>
    </row>
    <row r="60" spans="1:5" x14ac:dyDescent="0.2">
      <c r="A60" s="17" t="s">
        <v>1361</v>
      </c>
      <c r="B60" s="18" t="s">
        <v>1362</v>
      </c>
      <c r="C60" s="19" t="s">
        <v>135</v>
      </c>
      <c r="D60" s="48"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s="99" t="s">
        <v>1363</v>
      </c>
    </row>
    <row r="61" spans="1:5" x14ac:dyDescent="0.2">
      <c r="A61" s="17" t="s">
        <v>1364</v>
      </c>
      <c r="B61" s="18" t="s">
        <v>1365</v>
      </c>
      <c r="C61" s="19" t="s">
        <v>135</v>
      </c>
      <c r="D61" s="48" t="str">
        <f>IF(j_cathode&lt;=cath_j_cont,"OK - cathode within HER norm",IF(j_cathode&lt;=cath_j_max,"watch - high cathodic j","EXCEED - over SS HER norm"))</f>
        <v>OK - cathode within HER norm</v>
      </c>
      <c r="E61" s="99" t="s">
        <v>1366</v>
      </c>
    </row>
    <row r="62" spans="1:5" x14ac:dyDescent="0.2">
      <c r="A62" s="17" t="s">
        <v>1367</v>
      </c>
      <c r="B62" s="18" t="s">
        <v>1368</v>
      </c>
      <c r="C62" s="19" t="s">
        <v>135</v>
      </c>
      <c r="D62" s="48"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s="99" t="s">
        <v>1369</v>
      </c>
    </row>
    <row r="63" spans="1:5" x14ac:dyDescent="0.2">
      <c r="A63" s="17" t="s">
        <v>1370</v>
      </c>
      <c r="B63" s="18" t="s">
        <v>1371</v>
      </c>
      <c r="C63" s="19" t="s">
        <v>135</v>
      </c>
      <c r="D63" s="48" t="str">
        <f>VLOOKUP(electrode_sel,$A$35:$N$38,MATCH("anode material",$A$34:$N$34,0),FALSE)</f>
        <v>Pt/Ti</v>
      </c>
      <c r="E63" s="99" t="s">
        <v>1372</v>
      </c>
    </row>
    <row r="64" spans="1:5" ht="16" x14ac:dyDescent="0.2">
      <c r="A64" s="104" t="s">
        <v>1373</v>
      </c>
    </row>
    <row r="65" spans="1:5" x14ac:dyDescent="0.2">
      <c r="A65" s="103" t="s">
        <v>1374</v>
      </c>
      <c r="B65" s="103" t="s">
        <v>1375</v>
      </c>
      <c r="C65" s="103" t="s">
        <v>1376</v>
      </c>
      <c r="D65" s="103" t="s">
        <v>1377</v>
      </c>
      <c r="E65" s="103" t="s">
        <v>527</v>
      </c>
    </row>
    <row r="66" spans="1:5" x14ac:dyDescent="0.2">
      <c r="A66" s="20" t="s">
        <v>39</v>
      </c>
      <c r="B66" s="20">
        <v>2</v>
      </c>
      <c r="C66" s="20">
        <v>4</v>
      </c>
      <c r="D66" s="20" t="s">
        <v>1018</v>
      </c>
      <c r="E66" s="114" t="s">
        <v>1378</v>
      </c>
    </row>
    <row r="67" spans="1:5" x14ac:dyDescent="0.2">
      <c r="A67" s="20" t="s">
        <v>529</v>
      </c>
      <c r="B67" s="20">
        <v>2</v>
      </c>
      <c r="C67" s="20">
        <v>4</v>
      </c>
      <c r="D67" s="20" t="s">
        <v>1018</v>
      </c>
      <c r="E67" s="114" t="s">
        <v>1379</v>
      </c>
    </row>
    <row r="68" spans="1:5" x14ac:dyDescent="0.2">
      <c r="A68" s="20" t="s">
        <v>531</v>
      </c>
      <c r="B68" s="20">
        <v>2</v>
      </c>
      <c r="C68" s="20">
        <v>4</v>
      </c>
      <c r="D68" s="20" t="s">
        <v>1018</v>
      </c>
      <c r="E68" s="114" t="s">
        <v>1379</v>
      </c>
    </row>
    <row r="69" spans="1:5" x14ac:dyDescent="0.2">
      <c r="A69" s="20" t="s">
        <v>533</v>
      </c>
      <c r="B69" s="20">
        <v>2</v>
      </c>
      <c r="C69" s="20">
        <v>4</v>
      </c>
      <c r="D69" s="20" t="s">
        <v>1018</v>
      </c>
      <c r="E69" s="114" t="s">
        <v>1379</v>
      </c>
    </row>
    <row r="70" spans="1:5" x14ac:dyDescent="0.2">
      <c r="A70" s="20" t="s">
        <v>534</v>
      </c>
      <c r="B70" s="20">
        <v>2</v>
      </c>
      <c r="C70" s="20">
        <v>4</v>
      </c>
      <c r="D70" s="20" t="s">
        <v>1018</v>
      </c>
      <c r="E70" s="114" t="s">
        <v>1380</v>
      </c>
    </row>
    <row r="71" spans="1:5" x14ac:dyDescent="0.2">
      <c r="A71" s="20" t="s">
        <v>535</v>
      </c>
      <c r="B71" s="20">
        <v>2.14</v>
      </c>
      <c r="C71" s="20">
        <v>4.29</v>
      </c>
      <c r="D71" s="20" t="s">
        <v>1015</v>
      </c>
      <c r="E71" s="51" t="s">
        <v>1381</v>
      </c>
    </row>
    <row r="72" spans="1:5" ht="16" x14ac:dyDescent="0.2">
      <c r="A72" s="104" t="s">
        <v>1382</v>
      </c>
    </row>
    <row r="73" spans="1:5" x14ac:dyDescent="0.2">
      <c r="A73" s="17" t="s">
        <v>1383</v>
      </c>
      <c r="B73" s="18" t="s">
        <v>1384</v>
      </c>
      <c r="C73" s="19" t="s">
        <v>45</v>
      </c>
      <c r="D73" s="146">
        <v>10</v>
      </c>
      <c r="E73" s="51" t="s">
        <v>1385</v>
      </c>
    </row>
    <row r="74" spans="1:5" x14ac:dyDescent="0.2">
      <c r="A74" s="17" t="s">
        <v>1288</v>
      </c>
      <c r="B74" s="18" t="s">
        <v>1386</v>
      </c>
      <c r="C74" s="19" t="s">
        <v>325</v>
      </c>
      <c r="D74" s="48">
        <f>gerrit_slope*power_max+gerrit_int</f>
        <v>12.9</v>
      </c>
      <c r="E74" s="99" t="s">
        <v>1387</v>
      </c>
    </row>
    <row r="75" spans="1:5" x14ac:dyDescent="0.2">
      <c r="A75" s="17" t="s">
        <v>1290</v>
      </c>
      <c r="B75" s="18" t="s">
        <v>1388</v>
      </c>
      <c r="C75" s="19" t="s">
        <v>1282</v>
      </c>
      <c r="D75" s="48">
        <f>I_max/A_anode_wet</f>
        <v>6.407141367138</v>
      </c>
      <c r="E75" s="99" t="s">
        <v>1291</v>
      </c>
    </row>
    <row r="76" spans="1:5" x14ac:dyDescent="0.2">
      <c r="A76" s="17" t="s">
        <v>1389</v>
      </c>
      <c r="B76" s="18" t="s">
        <v>1390</v>
      </c>
      <c r="C76" s="19" t="s">
        <v>135</v>
      </c>
      <c r="D76" s="48" t="str">
        <f>IF(OR(j_anode_max&gt;j_ceiling_strain,j_anode_max&gt;anode_j_max),"EXCEED - max current over a limit",IF(OR(j_anode_max&gt;j_opt_strain,j_anode_max&gt;anode_j_cont),"watch - max current above optimum","OK - max current in range"))</f>
        <v>EXCEED - max current over a limit</v>
      </c>
      <c r="E76" s="99" t="s">
        <v>1391</v>
      </c>
    </row>
    <row r="78" spans="1:5" x14ac:dyDescent="0.2">
      <c r="A78" s="5" t="inlineStr">
        <is>
          <t xml:space="preserve">CALCULATED FARADAIC SPLIT – the cathode competes with dissolved O₂</t>
        </is>
      </c>
    </row>
    <row r="79" spans="1:5" x14ac:dyDescent="0.2">
      <c r="A79" t="s">
        <v>1626</v>
      </c>
      <c r="B79" s="18" t="s">
        <v>1627</v>
      </c>
      <c r="C79" s="19" t="s">
        <v>1274</v>
      </c>
      <c r="D79" s="141">
        <f>Biology!$D$60</f>
        <v>0.226086956522</v>
      </c>
      <c r="E79" s="67" t="s">
        <v>1628</v>
      </c>
    </row>
    <row r="80" spans="1:5" x14ac:dyDescent="0.2">
      <c r="A80" t="s">
        <v>1629</v>
      </c>
      <c r="B80" s="18" t="s">
        <v>1630</v>
      </c>
      <c r="C80" s="19" t="s">
        <v>1001</v>
      </c>
      <c r="D80" s="141">
        <f>Biology!$D$27</f>
        <v>0.36477</v>
      </c>
      <c r="E80" s="67" t="s">
        <v>1631</v>
      </c>
    </row>
    <row r="81" spans="1:5" x14ac:dyDescent="0.2">
      <c r="A81" t="s">
        <v>1632</v>
      </c>
      <c r="B81" s="18" t="s">
        <v>1633</v>
      </c>
      <c r="C81" s="19" t="s">
        <v>577</v>
      </c>
      <c r="D81" s="141">
        <f>'Mass Transfer'!$D$32</f>
        <v>1.997672318404e-09</v>
      </c>
      <c r="E81" s="67" t="s">
        <v>1634</v>
      </c>
    </row>
    <row r="82" spans="1:5" x14ac:dyDescent="0.2">
      <c r="A82" t="inlineStr">
        <is>
          <t xml:space="preserve">Reactor liquid volume (V_charge in litres)</t>
        </is>
      </c>
      <c r="B82" s="18" t="s">
        <v>1636</v>
      </c>
      <c r="C82" s="19" t="s">
        <v>858</v>
      </c>
      <c r="D82" s="141">
        <f>V_charge/1000</f>
        <v>0.015</v>
      </c>
      <c r="E82" s="67" t="inlineStr">
        <is>
          <t xml:space="preserve">V_charge (D153, mL) / 1000 → L</t>
        </is>
      </c>
    </row>
    <row r="83" spans="1:5" ht="60" x14ac:dyDescent="0.2">
      <c r="A83" t="s">
        <v>1637</v>
      </c>
      <c r="B83" s="18" t="s">
        <v>1638</v>
      </c>
      <c r="C83" s="19" t="s">
        <v>1070</v>
      </c>
      <c r="D83" s="131">
        <v>4.0000000000000001E-3</v>
      </c>
      <c r="E83" s="75" t="s">
        <v>1639</v>
      </c>
    </row>
    <row r="84" spans="1:5" ht="24" x14ac:dyDescent="0.2">
      <c r="A84" t="s">
        <v>1640</v>
      </c>
      <c r="B84" s="18" t="s">
        <v>1641</v>
      </c>
      <c r="C84" s="19" t="s">
        <v>1274</v>
      </c>
      <c r="D84" s="146">
        <v>0.64400000000000002</v>
      </c>
      <c r="E84" s="99" t="s">
        <v>1642</v>
      </c>
    </row>
    <row r="85" spans="1:5" ht="36" x14ac:dyDescent="0.2">
      <c r="A85" t="s">
        <v>1643</v>
      </c>
      <c r="B85" s="18" t="s">
        <v>1644</v>
      </c>
      <c r="C85" s="19" t="s">
        <v>1001</v>
      </c>
      <c r="D85" s="141">
        <f>ec_DO_frac*ec_O2_ceil</f>
        <v>0.08246973913</v>
      </c>
      <c r="E85" s="67" t="s">
        <v>1645</v>
      </c>
    </row>
    <row r="86" spans="1:5" ht="48" x14ac:dyDescent="0.2">
      <c r="A86" t="s">
        <v>1646</v>
      </c>
      <c r="B86" s="18" t="s">
        <v>1647</v>
      </c>
      <c r="C86" s="19" t="s">
        <v>1076</v>
      </c>
      <c r="D86" s="141">
        <f>n_ORR_eff*F_const*(km_O2/100)*ec_DO_design*(A_cath_wet/10000)</f>
        <v>0.0002371062687363</v>
      </c>
      <c r="E86" s="67" t="inlineStr">
        <is>
          <t xml:space="preserve">i = n_ORR_eff·F·k_m·C·A, the O₂ mass-transport limit at the cathode charged at the effective electron count (D141). Current that does NOT make hydrogen, and it consumes dissolved O₂. Le Bozec 2001 (Corros Sci 43:765) show ORR on 316L in neutral solution running mixed 2e⁻/4e⁻ and limited by the passive film as much as by transport, so this is an upper bound on the loss.</t>
        </is>
      </c>
    </row>
    <row r="87" spans="1:5" x14ac:dyDescent="0.2">
      <c r="A87" t="s">
        <v>1649</v>
      </c>
      <c r="B87" s="18" t="s">
        <v>1650</v>
      </c>
      <c r="C87" s="19" t="s">
        <v>1076</v>
      </c>
      <c r="D87" s="141">
        <f>n_ORR_eff*F_const*(km_O2/100)*ec_O2_ceil*(A_cath_wet/10000)</f>
        <v>0.001048739266</v>
      </c>
      <c r="E87" s="67" t="s">
        <v>1651</v>
      </c>
    </row>
    <row r="88" spans="1:5" ht="36" x14ac:dyDescent="0.2">
      <c r="A88" t="s">
        <v>1652</v>
      </c>
      <c r="B88" s="18" t="s">
        <v>1653</v>
      </c>
      <c r="C88" s="19" t="s">
        <v>1274</v>
      </c>
      <c r="D88" s="141">
        <f>MAX(0,1-i_ORR_design/I_app)</f>
        <v>0.958329302507</v>
      </c>
      <c r="E88" s="67" t="inlineStr">
        <is>
          <t xml:space="preserve">1 − (cathodic O₂ current)/(applied current). Neutral-pH HER on stainless also has its own kinetic losses; this accounts only for the O₂ that competes for the current.</t>
        </is>
      </c>
    </row>
    <row r="89" spans="1:5" x14ac:dyDescent="0.2">
      <c r="A89" t="s">
        <v>1655</v>
      </c>
      <c r="B89" s="18" t="s">
        <v>1656</v>
      </c>
      <c r="C89" s="19" t="s">
        <v>1274</v>
      </c>
      <c r="D89" s="141">
        <f>MAX(0,1-i_ORR_ceiling/I_app)</f>
        <v>0.815687299549</v>
      </c>
      <c r="E89" s="67" t="s">
        <v>1657</v>
      </c>
    </row>
    <row r="90" spans="1:5" x14ac:dyDescent="0.2">
      <c r="A90" s="5" t="s">
        <v>1658</v>
      </c>
    </row>
    <row r="91" spans="1:5" ht="48" x14ac:dyDescent="0.2">
      <c r="A91" t="s">
        <v>1659</v>
      </c>
      <c r="B91" s="18" t="s">
        <v>1660</v>
      </c>
      <c r="C91" s="19" t="s">
        <v>1274</v>
      </c>
      <c r="D91" s="131">
        <v>0.15</v>
      </c>
      <c r="E91" s="75" t="s">
        <v>1661</v>
      </c>
    </row>
    <row r="92" spans="1:5" x14ac:dyDescent="0.2">
      <c r="A92" t="s">
        <v>1662</v>
      </c>
      <c r="B92" s="18" t="s">
        <v>1663</v>
      </c>
      <c r="C92" s="19" t="s">
        <v>1258</v>
      </c>
      <c r="D92" s="146">
        <v>34.014699999999998</v>
      </c>
      <c r="E92" s="99" t="s">
        <v>1664</v>
      </c>
    </row>
    <row r="93" spans="1:5" ht="24" x14ac:dyDescent="0.2">
      <c r="A93" t="s">
        <v>1665</v>
      </c>
      <c r="B93" s="18" t="s">
        <v>1666</v>
      </c>
      <c r="C93" s="19" t="s">
        <v>1266</v>
      </c>
      <c r="D93" s="141">
        <f>f_HOOH*I_app*(1-etaF)/(n_ORR_eff*F_const)*M_H2O2*1000*3600/ec_V_L</f>
        <v>0.813296984002</v>
      </c>
      <c r="E93" s="67" t="inlineStr">
        <is>
          <t xml:space="preserve">Peroxide-branch share of the moles of O₂ reduced (f_HOOH × D28 flux), so it follows a measured etaF too. One H₂O₂ per O₂ on that branch. This source runs whenever there is current and dissolved O₂.</t>
        </is>
      </c>
    </row>
    <row r="94" spans="1:5" ht="48" x14ac:dyDescent="0.2">
      <c r="A94" t="s">
        <v>1668</v>
      </c>
      <c r="B94" s="18" t="s">
        <v>1669</v>
      </c>
      <c r="C94" s="19" t="s">
        <v>639</v>
      </c>
      <c r="D94" s="131">
        <v>4.1000000000000003E-3</v>
      </c>
      <c r="E94" s="75" t="s">
        <v>1670</v>
      </c>
    </row>
    <row r="95" spans="1:5" ht="48" x14ac:dyDescent="0.2">
      <c r="A95" t="s">
        <v>1671</v>
      </c>
      <c r="B95" s="18" t="s">
        <v>1672</v>
      </c>
      <c r="C95" s="19" t="s">
        <v>1270</v>
      </c>
      <c r="D95" s="141">
        <f>r_H2O2/(k_cat_cells*3600)</f>
        <v>0.05510142168</v>
      </c>
      <c r="E95" s="67" t="s">
        <v>1673</v>
      </c>
    </row>
    <row r="96" spans="1:5" x14ac:dyDescent="0.2">
      <c r="A96" t="s">
        <v>1674</v>
      </c>
      <c r="B96" s="18" t="s">
        <v>1675</v>
      </c>
      <c r="C96" s="19" t="s">
        <v>1270</v>
      </c>
      <c r="D96" s="141">
        <f>r_H2O2_lag/(k_H2O2_anode*3600)*(1-EXP(-k_H2O2_anode*3600))</f>
        <v>0.925414707501</v>
      </c>
      <c r="E96" s="67" t="inlineStr">
        <is>
          <t xml:space="preserve">No catalase pool at inoculation: peroxide accumulates at the lag-phase rate (D152) against the anodic sink (D151), approaching the plateau r/k. This is the exposed window.</t>
        </is>
      </c>
    </row>
    <row r="97" spans="1:5" ht="60" x14ac:dyDescent="0.2">
      <c r="A97" t="s">
        <v>1677</v>
      </c>
      <c r="B97" s="18" t="s">
        <v>1678</v>
      </c>
      <c r="C97" s="19" t="s">
        <v>1270</v>
      </c>
      <c r="D97" s="146">
        <v>0.17</v>
      </c>
      <c r="E97" s="67" t="s">
        <v>1679</v>
      </c>
    </row>
    <row r="98" spans="1:5" ht="24" x14ac:dyDescent="0.2">
      <c r="A98" t="s">
        <v>1680</v>
      </c>
      <c r="B98" s="18" t="s">
        <v>1681</v>
      </c>
      <c r="C98" s="19" t="s">
        <v>962</v>
      </c>
      <c r="D98" s="141">
        <f>IF(r_H2O2_lag&gt;0,IF(1-H2O2_thresh*k_H2O2_anode*3600/r_H2O2_lag&gt;0,-LN(1-H2O2_thresh*k_H2O2_anode*3600/r_H2O2_lag)/k_H2O2_anode/60,NA()),NA())</f>
        <v>5.305839767983</v>
      </c>
      <c r="E98" s="67" t="inlineStr">
        <is>
          <t xml:space="preserve">Time for an un-inoculated or just-inoculated vessel to pass the growth-inhibition threshold, with the anodic sink. #N/A = the plateau r/k never reaches the threshold.</t>
        </is>
      </c>
    </row>
    <row r="99" spans="1:5" ht="48" x14ac:dyDescent="0.2">
      <c r="A99" t="s">
        <v>1683</v>
      </c>
      <c r="B99" s="18" t="s">
        <v>1684</v>
      </c>
      <c r="C99" s="19" t="s">
        <v>1274</v>
      </c>
      <c r="D99" s="141" t="str">
        <f>IF(H2O2_ss&gt;H2O2_thresh,"PEROXIDE ABOVE THE GROWTH-INHIBITION THRESHOLD even with a full catalase pool ("&amp;TEXT(H2O2_ss,"0.00")&amp;" mg/L)",IF(H2O2_lag_1h&gt;H2O2_thresh,"watch — steady growth is clear ("&amp;TEXT(H2O2_ss,"0.000")&amp;" mg/L) but LAG PHASE is not: peroxide passes the threshold in "&amp;TEXT(t_H2O2_thresh,"0")&amp;" min before biomass can scavenge it","OK — peroxide stays below the growth-inhibition threshold in both phases"))</f>
        <v>watch — steady growth is clear (0.055 mg/L) but LAG PHASE is not: peroxide passes the threshold in 5 min before biomass can scavenge it</v>
      </c>
      <c r="E99" s="67" t="s">
        <v>1685</v>
      </c>
    </row>
    <row r="100" spans="1:5" x14ac:dyDescent="0.2">
      <c r="A100" s="5" t="s">
        <v>1686</v>
      </c>
    </row>
    <row r="101" spans="1:5" x14ac:dyDescent="0.2">
      <c r="A101" t="s">
        <v>1687</v>
      </c>
      <c r="B101" s="18" t="s">
        <v>1688</v>
      </c>
      <c r="C101" s="19" t="s">
        <v>1076</v>
      </c>
      <c r="D101" s="141">
        <f>Chemistry!$D$133</f>
        <v>9.584998043788e-05</v>
      </c>
      <c r="E101" s="67" t="s">
        <v>1689</v>
      </c>
    </row>
    <row r="102" spans="1:5" x14ac:dyDescent="0.2">
      <c r="A102" t="s">
        <v>1690</v>
      </c>
      <c r="B102" s="18" t="s">
        <v>1691</v>
      </c>
      <c r="C102" s="19" t="s">
        <v>1274</v>
      </c>
      <c r="D102" s="141">
        <f>Chemistry!$D$158</f>
        <v>0.0</v>
      </c>
      <c r="E102" s="70" t="s">
        <v>1692</v>
      </c>
    </row>
    <row r="103" spans="1:5" ht="36" x14ac:dyDescent="0.2">
      <c r="A103" t="s">
        <v>1693</v>
      </c>
      <c r="B103" s="18" t="s">
        <v>1694</v>
      </c>
      <c r="C103" s="19" t="s">
        <v>1274</v>
      </c>
      <c r="D103" s="141">
        <f>ec_I_Cl/I_app</f>
        <v>0.016845339269</v>
      </c>
      <c r="E103" s="67" t="inlineStr">
        <is>
          <t xml:space="preserve">Chlorine evolution as a fraction of the applied current, at the chloride mass-transport limit (2 e⁻ per net chloride, Chemistry D132). The anode sits above the HOCl/Cl⁻ couple (Chemistry D209), so chlorine is accessible and transport-limited; the share is small only because UdG chloride is trace.</t>
        </is>
      </c>
    </row>
    <row r="104" spans="1:5" ht="36" x14ac:dyDescent="0.2">
      <c r="A104" t="s">
        <v>1696</v>
      </c>
      <c r="B104" s="18" t="s">
        <v>1697</v>
      </c>
      <c r="C104" s="19" t="s">
        <v>1274</v>
      </c>
      <c r="D104" s="141">
        <f>MAX(0,1-f_Cl_anode-IF(ISNUMBER(ec_corr_I),ec_corr_I,0)-IF(ISNUMBER(f_HOR_anode),f_HOR_anode,0))</f>
        <v>0.983154660731</v>
      </c>
      <c r="E104" s="67" t="inlineStr">
        <is>
          <t xml:space="preserve">1 − chlorine share − metal-dissolution share − anodic H₂-oxidation share (f_HOR_anode, D145). It remains an UPPER BOUND while those charges are unmeasured: a corroding anode, or one oxidising crossed-over H₂ (ceiling ~22 %, D148), takes current that this cell still credits to oxygen.</t>
        </is>
      </c>
    </row>
    <row r="105" spans="1:5" x14ac:dyDescent="0.2">
      <c r="A105" s="5" t="s">
        <v>1699</v>
      </c>
    </row>
    <row r="106" spans="1:5" ht="24" x14ac:dyDescent="0.2">
      <c r="A106" t="s">
        <v>1700</v>
      </c>
      <c r="B106" s="18" t="s">
        <v>1701</v>
      </c>
      <c r="C106" s="19" t="s">
        <v>1595</v>
      </c>
      <c r="D106" s="141">
        <f>Chemistry!$D$201</f>
        <v>1.229</v>
      </c>
      <c r="E106" s="99" t="s">
        <v>1702</v>
      </c>
    </row>
    <row r="107" spans="1:5" ht="48" x14ac:dyDescent="0.2">
      <c r="A107" t="s">
        <v>1703</v>
      </c>
      <c r="B107" s="18" t="s">
        <v>1704</v>
      </c>
      <c r="C107" s="19" t="s">
        <v>1705</v>
      </c>
      <c r="D107" s="131">
        <v>0.12</v>
      </c>
      <c r="E107" s="75" t="s">
        <v>1706</v>
      </c>
    </row>
    <row r="108" spans="1:5" ht="48" x14ac:dyDescent="0.2">
      <c r="A108" t="s">
        <v>1707</v>
      </c>
      <c r="B108" s="18" t="s">
        <v>1708</v>
      </c>
      <c r="C108" s="19" t="s">
        <v>1709</v>
      </c>
      <c r="D108" s="131">
        <v>1E-10</v>
      </c>
      <c r="E108" s="41" t="s">
        <v>1710</v>
      </c>
    </row>
    <row r="109" spans="1:5" ht="36" x14ac:dyDescent="0.2">
      <c r="A109" t="s">
        <v>1711</v>
      </c>
      <c r="B109" s="18" t="s">
        <v>1712</v>
      </c>
      <c r="C109" s="19" t="s">
        <v>1705</v>
      </c>
      <c r="D109" s="131">
        <v>0.14000000000000001</v>
      </c>
      <c r="E109" s="67" t="s">
        <v>1713</v>
      </c>
    </row>
    <row r="110" spans="1:5" ht="24" x14ac:dyDescent="0.2">
      <c r="A110" t="s">
        <v>1714</v>
      </c>
      <c r="B110" s="18" t="s">
        <v>1715</v>
      </c>
      <c r="C110" s="19" t="s">
        <v>1709</v>
      </c>
      <c r="D110" s="131">
        <v>1.5E-6</v>
      </c>
      <c r="E110" s="67" t="s">
        <v>1716</v>
      </c>
    </row>
    <row r="111" spans="1:5" x14ac:dyDescent="0.2">
      <c r="A111" t="s">
        <v>1717</v>
      </c>
      <c r="B111" s="18" t="s">
        <v>1718</v>
      </c>
      <c r="C111" s="19" t="s">
        <v>1595</v>
      </c>
      <c r="D111" s="141">
        <f>b_anode*LOG10(j_anode/1000/j0_anode)</f>
        <v>0.894142423496</v>
      </c>
      <c r="E111" s="67" t="s">
        <v>1719</v>
      </c>
    </row>
    <row r="112" spans="1:5" x14ac:dyDescent="0.2">
      <c r="A112" t="s">
        <v>1720</v>
      </c>
      <c r="B112" s="18" t="s">
        <v>1721</v>
      </c>
      <c r="C112" s="19" t="s">
        <v>1595</v>
      </c>
      <c r="D112" s="141">
        <f>b_cath*LOG10(j_cathode/1000/j0_cath)</f>
        <v>0.458513384477</v>
      </c>
      <c r="E112" s="67" t="s">
        <v>1722</v>
      </c>
    </row>
    <row r="113" spans="1:5" ht="72" x14ac:dyDescent="0.2">
      <c r="A113" t="s">
        <v>1723</v>
      </c>
      <c r="B113" s="18" t="s">
        <v>1724</v>
      </c>
      <c r="C113" s="19" t="s">
        <v>1595</v>
      </c>
      <c r="D113" s="131">
        <v>-0.15</v>
      </c>
      <c r="E113" s="75" t="s">
        <v>1725</v>
      </c>
    </row>
    <row r="114" spans="1:5" x14ac:dyDescent="0.2">
      <c r="A114" t="s">
        <v>1726</v>
      </c>
      <c r="B114" s="18" t="s">
        <v>1727</v>
      </c>
      <c r="C114" s="19" t="s">
        <v>1507</v>
      </c>
      <c r="D114" s="141">
        <f>Chemistry!$D$180</f>
        <v>0.706946657056</v>
      </c>
      <c r="E114" s="67" t="s">
        <v>1728</v>
      </c>
    </row>
    <row r="115" spans="1:5" x14ac:dyDescent="0.2">
      <c r="A115" t="s">
        <v>1729</v>
      </c>
      <c r="B115" s="18" t="s">
        <v>1730</v>
      </c>
      <c r="C115" s="19" t="s">
        <v>146</v>
      </c>
      <c r="D115" s="141">
        <f>Geometry!$D$92</f>
        <v>14.0</v>
      </c>
      <c r="E115" s="70" t="s">
        <v>1731</v>
      </c>
    </row>
    <row r="116" spans="1:5" ht="48" x14ac:dyDescent="0.2">
      <c r="A116" t="s">
        <v>1732</v>
      </c>
      <c r="B116" s="18" t="s">
        <v>1733</v>
      </c>
      <c r="C116" s="19" t="s">
        <v>1274</v>
      </c>
      <c r="D116" s="131">
        <v>1</v>
      </c>
      <c r="E116" s="75" t="inlineStr">
        <is>
          <t xml:space="preserve">Parallel-cylinder (2D) formula taken at face value. Lateral confinement by the 25 mm wall raises the resistance and current spreading through the ~22 mm of liquid below the rod tips lowers it; for rods with L/d ≈ 1.5 the two roughly cancel. Bounded above at ~1.2 by Gerrit’s Law holding linear to 25 % on a 5 V rail (D143–D144). Measure with a conductivity standard.</t>
        </is>
      </c>
    </row>
    <row r="117" spans="1:5" ht="24" x14ac:dyDescent="0.2">
      <c r="A117" t="s">
        <v>1735</v>
      </c>
      <c r="B117" s="18" t="s">
        <v>1736</v>
      </c>
      <c r="C117" s="19" t="s">
        <v>1737</v>
      </c>
      <c r="D117" s="141">
        <f>k_geom*ACOSH(ec_gap/anode_dia)/(PI()*ec_kappa*(L_sub/1000))</f>
        <v>73.119914854398</v>
      </c>
      <c r="E117" s="67" t="s">
        <v>1738</v>
      </c>
    </row>
    <row r="118" spans="1:5" ht="24" x14ac:dyDescent="0.2">
      <c r="A118" t="s">
        <v>1739</v>
      </c>
      <c r="B118" s="18" t="s">
        <v>1740</v>
      </c>
      <c r="C118" s="19" t="s">
        <v>1595</v>
      </c>
      <c r="D118" s="141">
        <f>I_app*R_cell</f>
        <v>0.416052315522</v>
      </c>
      <c r="E118" s="67" t="s">
        <v>1741</v>
      </c>
    </row>
    <row r="119" spans="1:5" ht="36" x14ac:dyDescent="0.2">
      <c r="A119" t="s">
        <v>1742</v>
      </c>
      <c r="B119" s="18" t="s">
        <v>1743</v>
      </c>
      <c r="C119" s="19" t="s">
        <v>1595</v>
      </c>
      <c r="D119" s="141">
        <f>ec_E_rev+eta_anode+eta_cath+pcet_credit+V_IR</f>
        <v>2.847708123495</v>
      </c>
      <c r="E119" s="67" t="s">
        <v>1744</v>
      </c>
    </row>
    <row r="120" spans="1:5" ht="24" x14ac:dyDescent="0.2">
      <c r="A120" t="s">
        <v>1745</v>
      </c>
      <c r="B120" s="18" t="s">
        <v>1746</v>
      </c>
      <c r="C120" s="19" t="s">
        <v>1595</v>
      </c>
      <c r="D120" s="146">
        <v>5</v>
      </c>
      <c r="E120" s="67" t="s">
        <v>1747</v>
      </c>
    </row>
    <row r="121" spans="1:5" x14ac:dyDescent="0.2">
      <c r="A121" t="s">
        <v>1748</v>
      </c>
      <c r="B121" s="18" t="s">
        <v>1749</v>
      </c>
      <c r="C121" s="19" t="s">
        <v>1595</v>
      </c>
      <c r="D121" s="141">
        <f>V_rail-V_cell_est</f>
        <v>2.152291876505</v>
      </c>
      <c r="E121" s="67" t="s">
        <v>1750</v>
      </c>
    </row>
    <row r="122" spans="1:5" ht="24" x14ac:dyDescent="0.2">
      <c r="A122" t="s">
        <v>1751</v>
      </c>
      <c r="B122" s="18" t="s">
        <v>1752</v>
      </c>
      <c r="C122" s="19" t="s">
        <v>1274</v>
      </c>
      <c r="D122" s="141" t="str">
        <f>IF(V_headroom&lt;0,"OVER RAIL — the drive cannot deliver this current; the linear current law will not hold",IF(V_headroom&lt;V_headroom_min,"watch — within "&amp;TEXT(V_headroom_min,"0")&amp;" V of the rail ("&amp;TEXT(V_cell_est,"0.00")&amp;" V of "&amp;TEXT(V_rail,"0")&amp;" V); expect the current law to bend","OK — "&amp;TEXT(V_cell_est,"0.00")&amp;" V estimated against a "&amp;TEXT(V_rail,"0")&amp;" V rail"))</f>
        <v>OK — 2.85 V estimated against a 5 V rail</v>
      </c>
      <c r="E122" s="67" t="inlineStr">
        <is>
          <t xml:space="preserve">Cross-check on Gerrit's Law: the fit is validated linear to gerrit_max (25 %), so the budget evaluated there (V_at_gerrit_max, D143) must stay at or below V_rail; D144 tests it live (about 4.7 V at 25 % with k_geom = 1).</t>
        </is>
      </c>
    </row>
    <row r="124">
      <c r="A124" s="104" t="inlineStr">
        <is>
          <t xml:space="preserve">NAMED DEFAULTS AND THRESHOLDS</t>
        </is>
      </c>
    </row>
    <row r="125">
      <c r="A125" s="17" t="inlineStr">
        <is>
          <t xml:space="preserve">Gerrit's Law slope (default)</t>
        </is>
      </c>
      <c r="B125" s="18" t="inlineStr">
        <is>
          <t xml:space="preserve">gerrit_slope_default</t>
        </is>
      </c>
      <c r="C125" s="19" t="inlineStr">
        <is>
          <t xml:space="preserve">mA/%</t>
        </is>
      </c>
      <c r="D125" s="131">
        <v>1.03</v>
      </c>
      <c r="E125" s="109" t="inlineStr">
        <is>
          <t xml:space="preserve">Gerrit's Law fit, LED_D current calibration (protocols/gerrit-current.md); used when no Calibrations run is included.</t>
        </is>
      </c>
    </row>
    <row r="126">
      <c r="A126" s="17" t="inlineStr">
        <is>
          <t xml:space="preserve">Gerrit's Law intercept (default)</t>
        </is>
      </c>
      <c r="B126" s="18" t="inlineStr">
        <is>
          <t xml:space="preserve">gerrit_int_default</t>
        </is>
      </c>
      <c r="C126" s="19" t="inlineStr">
        <is>
          <t xml:space="preserve">mA</t>
        </is>
      </c>
      <c r="D126" s="131">
        <v>2.6</v>
      </c>
      <c r="E126" s="109" t="inlineStr">
        <is>
          <t xml:space="preserve">Gerrit's Law fit, LED_D current calibration (protocols/gerrit-current.md); used when no Calibrations run is included.</t>
        </is>
      </c>
    </row>
    <row r="127">
      <c r="A127" s="17" t="inlineStr">
        <is>
          <t xml:space="preserve">Voltage headroom caution margin</t>
        </is>
      </c>
      <c r="B127" s="18" t="inlineStr">
        <is>
          <t xml:space="preserve">V_headroom_min</t>
        </is>
      </c>
      <c r="C127" s="19" t="inlineStr">
        <is>
          <t xml:space="preserve">V</t>
        </is>
      </c>
      <c r="D127" s="131">
        <v>1</v>
      </c>
      <c r="E127" s="114" t="inlineStr">
        <is>
          <t xml:space="preserve">Design assumption: the current law starts to bend within this margin of the drive rail.</t>
        </is>
      </c>
    </row>
    <row r="140">
      <c r="A140" s="104" t="inlineStr">
        <is>
          <t xml:space="preserve">PHYSICS CORRECTIONS — ORR electron count, voltage cross-check, anodic H₂ oxidation, lag-phase peroxide</t>
        </is>
      </c>
    </row>
    <row r="141">
      <c r="A141" t="inlineStr">
        <is>
          <t xml:space="preserve">Effective electrons per O₂ reduced (cathode)</t>
        </is>
      </c>
      <c r="B141" s="18" t="inlineStr">
        <is>
          <t xml:space="preserve">n_ORR_eff</t>
        </is>
      </c>
      <c r="C141" s="19" t="inlineStr">
        <is>
          <t xml:space="preserve">e⁻/O₂</t>
        </is>
      </c>
      <c r="D141" s="141">
        <f>z_e_ORR*f_HOOH+z_e_O2*(1-f_HOOH)</f>
        <v>3.7</v>
      </c>
      <c r="E141" s="114" t="inlineStr">
        <is>
          <t xml:space="preserve">Effective electrons per O₂ reduced at the SS cathode: 2 on the peroxide branch (z_e_ORR), 4 to water (z_e_O2, direct or 2+2 in series), weighted by the RRDE escape fraction f_HOOH (Le Bozec 2001). This is the mixed 2e⁻/4e⁻ regime E86 cites.</t>
        </is>
      </c>
    </row>
    <row r="142">
      <c r="A142" t="inlineStr">
        <is>
          <t xml:space="preserve">Current at the top of the validated Gerrit band</t>
        </is>
      </c>
      <c r="B142" s="18" t="inlineStr">
        <is>
          <t xml:space="preserve">I_at_gerrit_max</t>
        </is>
      </c>
      <c r="C142" s="19" t="inlineStr">
        <is>
          <t xml:space="preserve">A</t>
        </is>
      </c>
      <c r="D142" s="141">
        <f>(gerrit_slope*gerrit_max+gerrit_int)/1000</f>
        <v>0.02835</v>
      </c>
      <c r="E142" s="67" t="inlineStr">
        <is>
          <t xml:space="preserve">Gerrit's Law at gerrit_max (25 %), where the fit is still validated linear.</t>
        </is>
      </c>
    </row>
    <row r="143">
      <c r="A143" t="inlineStr">
        <is>
          <t xml:space="preserve">Cell voltage budget at the top of the validated band</t>
        </is>
      </c>
      <c r="B143" s="18" t="inlineStr">
        <is>
          <t xml:space="preserve">V_at_gerrit_max</t>
        </is>
      </c>
      <c r="C143" s="19" t="inlineStr">
        <is>
          <t xml:space="preserve">V</t>
        </is>
      </c>
      <c r="D143" s="141">
        <f>ec_E_rev+b_anode*LOG10(I_at_gerrit_max/A_anode_wet/j0_anode)+b_cath*LOG10(I_at_gerrit_max/A_cath_wet/j0_cath)+pcet_credit+I_at_gerrit_max*R_cell</f>
        <v>4.685940001272</v>
      </c>
      <c r="E143" s="75" t="inlineStr">
        <is>
          <t xml:space="preserve">Same budget as D119, evaluated at I_at_gerrit_max (j in A/cm²). A current source on the rail cannot deliver that current into a load needing more than V_rail, so this must not exceed V_rail.</t>
        </is>
      </c>
    </row>
    <row r="144">
      <c r="A144" t="inlineStr">
        <is>
          <t xml:space="preserve">Voltage budget vs validated Gerrit band</t>
        </is>
      </c>
      <c r="B144" s="18" t="inlineStr">
        <is>
          <t xml:space="preserve">V_gerrit_flag</t>
        </is>
      </c>
      <c r="C144" s="19" t="inlineStr">
        <is>
          <t xml:space="preserve">-</t>
        </is>
      </c>
      <c r="D144" s="141" t="str">
        <f>IF(V_at_gerrit_max&gt;V_rail,"INCONSISTENT — the budget needs "&amp;TEXT(V_at_gerrit_max,"0.00")&amp;" V at "&amp;TEXT(gerrit_max,"0")&amp;" %, above the "&amp;TEXT(V_rail,"0")&amp;" V rail, where Gerrit's Law is validated linear: R_cell (k_geom) or j₀ is too high","OK — "&amp;TEXT(V_at_gerrit_max,"0.00")&amp;" V at "&amp;TEXT(gerrit_max,"0")&amp;" %, under the "&amp;TEXT(V_rail,"0")&amp;" V rail across the validated band")</f>
        <v>OK — 4.69 V at 25 %, under the 5 V rail across the validated band</v>
      </c>
      <c r="E144" s="67" t="inlineStr">
        <is>
          <t xml:space="preserve">Live form of the E122 cross-check: the voltage budget and the empirical current law must agree across the band the law is validated on.</t>
        </is>
      </c>
    </row>
    <row r="145">
      <c r="A145" t="inlineStr">
        <is>
          <t xml:space="preserve">Anodic current oxidising crossed-over H₂</t>
        </is>
      </c>
      <c r="B145" s="18" t="inlineStr">
        <is>
          <t xml:space="preserve">f_HOR_anode</t>
        </is>
      </c>
      <c r="C145" s="19" t="inlineStr">
        <is>
          <t xml:space="preserve">-</t>
        </is>
      </c>
      <c r="D145" s="131"/>
      <c r="E145" s="70" t="inlineStr">
        <is>
          <t xml:space="preserve">DATA GAP — fraction of the anodic current oxidising dissolved H₂ on the Pt anode (or recombining H₂ + O₂). Measure: anode-gas O₂ collection per faradaic-efficiency.md, or initial-slope vs plateau rates with a divided cell. Left empty = not modelled (0); transport ceiling D148.</t>
        </is>
      </c>
    </row>
    <row r="146">
      <c r="A146" t="inlineStr">
        <is>
          <t xml:space="preserve">(import) dissolved-H₂ saturation</t>
        </is>
      </c>
      <c r="B146" s="18" t="inlineStr">
        <is>
          <t xml:space="preserve">ec_C_H2_sat</t>
        </is>
      </c>
      <c r="C146" s="19" t="inlineStr">
        <is>
          <t xml:space="preserve">mol/m³</t>
        </is>
      </c>
      <c r="D146" s="141">
        <f>Biology!$D$41</f>
        <v>0.790335</v>
      </c>
      <c r="E146" s="67" t="inlineStr">
        <is>
          <t xml:space="preserve">→ Biology (C_H2_sat, 1 atm)</t>
        </is>
      </c>
    </row>
    <row r="147">
      <c r="A147" t="inlineStr">
        <is>
          <t xml:space="preserve">Anodic H₂ oxidation — transport-limited ceiling</t>
        </is>
      </c>
      <c r="B147" s="18" t="inlineStr">
        <is>
          <t xml:space="preserve">i_HOR_lim</t>
        </is>
      </c>
      <c r="C147" s="19" t="inlineStr">
        <is>
          <t xml:space="preserve">A</t>
        </is>
      </c>
      <c r="D147" s="141">
        <f>z_e_H2*F_const*(km_O2/100)*ec_C_H2_sat*(A_anode_wet/10000)</f>
        <v>0.001228253194</v>
      </c>
      <c r="E147" s="75" t="inlineStr">
        <is>
          <t xml:space="preserve">Informational ceiling: every H₂ molecule reaching the anode at k_m(O₂) and saturated H₂ is oxidised. The actual value depends on HOR activity of hydrous-oxide Pt at ~1.6 V (strongly suppressed; PEM anodes pass crossover H₂ largely unoxidised) — unmeasured.</t>
        </is>
      </c>
    </row>
    <row r="148">
      <c r="A148" t="inlineStr">
        <is>
          <t xml:space="preserve">Same, as a fraction of the applied current</t>
        </is>
      </c>
      <c r="B148" s="18" t="inlineStr">
        <is>
          <t xml:space="preserve">f_HOR_lim</t>
        </is>
      </c>
      <c r="C148" s="19" t="inlineStr">
        <is>
          <t xml:space="preserve">-</t>
        </is>
      </c>
      <c r="D148" s="141">
        <f>i_HOR_lim/I_app</f>
        <v>0.215861721249</v>
      </c>
      <c r="E148" s="75" t="inlineStr">
        <is>
          <t xml:space="preserve">Upper bound for f_HOR_anode (D145).</t>
        </is>
      </c>
    </row>
    <row r="149">
      <c r="A149" t="inlineStr">
        <is>
          <t xml:space="preserve">H₂ oxidised at the anode</t>
        </is>
      </c>
      <c r="B149" s="18" t="inlineStr">
        <is>
          <t xml:space="preserve">r_H2_HOR</t>
        </is>
      </c>
      <c r="C149" s="19" t="inlineStr">
        <is>
          <t xml:space="preserve">mol/h</t>
        </is>
      </c>
      <c r="D149" s="141">
        <f>IF(ISNUMBER(f_HOR_anode),f_HOR_anode*I_app/(z_e_H2*F_const)*3600,0)</f>
        <v>0.0</v>
      </c>
      <c r="E149" s="67" t="inlineStr">
        <is>
          <t xml:space="preserve">Crossed-over H₂ consumed by the anode; 0 while f_HOR_anode is a data gap. Subtracted from the H₂ the culture receives (Biology H2_cons).</t>
        </is>
      </c>
    </row>
    <row r="150">
      <c r="A150" t="inlineStr">
        <is>
          <t xml:space="preserve">(import) lag-phase dissolved O₂</t>
        </is>
      </c>
      <c r="B150" s="18" t="inlineStr">
        <is>
          <t xml:space="preserve">ec_DO_lag</t>
        </is>
      </c>
      <c r="C150" s="19" t="inlineStr">
        <is>
          <t xml:space="preserve">mol/m³</t>
        </is>
      </c>
      <c r="D150" s="141">
        <f>'Mass Transfer'!$D$135</f>
        <v>0.212069565945</v>
      </c>
      <c r="E150" s="67" t="inlineStr">
        <is>
          <t xml:space="preserve">→ Mass Transfer (DO_ss_sawtooth_lag: steady DO with the lag source, no uptake)</t>
        </is>
      </c>
    </row>
    <row r="151">
      <c r="A151" t="inlineStr">
        <is>
          <t xml:space="preserve">Anodic peroxide sink (transport-limited)</t>
        </is>
      </c>
      <c r="B151" s="18" t="inlineStr">
        <is>
          <t xml:space="preserve">k_H2O2_anode</t>
        </is>
      </c>
      <c r="C151" s="19" t="inlineStr">
        <is>
          <t xml:space="preserve">1/s</t>
        </is>
      </c>
      <c r="D151" s="141">
        <f>(km_O2/100)*(A_anode_wet/10000)/(ec_V_L/1000)</f>
        <v>0.0005369009052374</v>
      </c>
      <c r="E151" s="75" t="inlineStr">
        <is>
          <t xml:space="preserve">H₂O₂ is oxidised at the anode (E° 0.695 V, ~0.9 V below the anode potential) at the transport limit: k = k_m·A/V. Reuses the ferricyanide-measurable km_O2, so no new unknown; heterogeneous decomposition on Pt would add to it.</t>
        </is>
      </c>
    </row>
    <row r="152">
      <c r="A152" t="inlineStr">
        <is>
          <t xml:space="preserve">Peroxide production during lag</t>
        </is>
      </c>
      <c r="B152" s="18" t="inlineStr">
        <is>
          <t xml:space="preserve">r_H2O2_lag</t>
        </is>
      </c>
      <c r="C152" s="19" t="inlineStr">
        <is>
          <t xml:space="preserve">mg/L/h</t>
        </is>
      </c>
      <c r="D152" s="141">
        <f>r_H2O2*ec_DO_lag/ec_DO_design</f>
        <v>2.091379701213</v>
      </c>
      <c r="E152" s="67" t="inlineStr">
        <is>
          <t xml:space="preserve">r_H2O2 scaled to the lag-phase DO (D150): the cathodic O₂ flux is first order in DO, and before uptake starts DO runs above the design value.</t>
        </is>
      </c>
    </row>
    <row r="153">
      <c r="A153" t="inlineStr">
        <is>
          <t xml:space="preserve">(import) reactor liquid charge</t>
        </is>
      </c>
      <c r="B153" s="18" t="inlineStr">
        <is>
          <t xml:space="preserve">V_charge</t>
        </is>
      </c>
      <c r="C153" s="19" t="inlineStr">
        <is>
          <t xml:space="preserve">mL</t>
        </is>
      </c>
      <c r="D153" s="141">
        <f>Biology!$D$6</f>
        <v>15.0</v>
      </c>
      <c r="E153" s="67" t="inlineStr">
        <is>
          <t xml:space="preserve">→ Biology (V_charge)</t>
        </is>
      </c>
    </row>
    <row r="154">
      <c r="A154" t="inlineStr">
        <is>
          <t xml:space="preserve">(import) organism selected on Summary</t>
        </is>
      </c>
      <c r="B154" s="18" t="inlineStr">
        <is>
          <t xml:space="preserve">organism_sel</t>
        </is>
      </c>
      <c r="C154" s="19" t="inlineStr">
        <is>
          <t xml:space="preserve">-</t>
        </is>
      </c>
      <c r="D154" s="141" t="str">
        <f>Summary!$D$4</f>
        <v>UdG (mixed)</v>
      </c>
      <c r="E154" s="67" t="inlineStr">
        <is>
          <t xml:space="preserve">→ Summary (organism_sel)</t>
        </is>
      </c>
    </row>
  </sheetData>
  <conditionalFormatting sqref="D20">
    <cfRule type="cellIs" dxfId="19" priority="1" operator="equal">
      <formula>"OK"</formula>
    </cfRule>
    <cfRule type="cellIs" dxfId="18" priority="2" operator="equal">
      <formula>"OUT"</formula>
    </cfRule>
  </conditionalFormatting>
  <conditionalFormatting sqref="D59:D62">
    <cfRule type="expression" dxfId="17" priority="3" stopIfTrue="1">
      <formula>ISNUMBER(SEARCH("EXCEED",D59))</formula>
    </cfRule>
    <cfRule type="expression" dxfId="16" priority="4" stopIfTrue="1">
      <formula>ISNUMBER(SEARCH("watch",D59))</formula>
    </cfRule>
    <cfRule type="expression" dxfId="15" priority="5" stopIfTrue="1">
      <formula>ISNUMBER(SEARCH("OK",D59))</formula>
    </cfRule>
  </conditionalFormatting>
  <conditionalFormatting sqref="D76">
    <cfRule type="expression" dxfId="14" priority="15" stopIfTrue="1">
      <formula>ISNUMBER(SEARCH("EXCEED",D76))</formula>
    </cfRule>
    <cfRule type="expression" dxfId="13" priority="16" stopIfTrue="1">
      <formula>ISNUMBER(SEARCH("watch",D76))</formula>
    </cfRule>
    <cfRule type="expression" dxfId="12" priority="17"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G226"/>
  <sheetViews>
    <sheetView topLeftCell="A218" workbookViewId="0">
      <selection activeCell="E109" sqref="E109"/>
    </sheetView>
  </sheetViews>
  <sheetFormatPr baseColWidth="10" defaultColWidth="8.83203125" defaultRowHeight="15" x14ac:dyDescent="0.2"/>
  <cols>
    <col min="1" max="1" width="39.33203125" customWidth="1"/>
    <col min="2" max="2" width="12.33203125" bestFit="1" customWidth="1"/>
    <col min="3" max="3" width="13.83203125" bestFit="1" customWidth="1"/>
    <col min="4" max="4" width="15.33203125" customWidth="1"/>
    <col min="5" max="5" width="39.33203125" bestFit="1" customWidth="1"/>
  </cols>
  <sheetData>
    <row r="1" spans="1:6" ht="16" x14ac:dyDescent="0.2">
      <c r="A1" s="104" t="s">
        <v>834</v>
      </c>
    </row>
    <row r="2" spans="1:6" x14ac:dyDescent="0.2">
      <c r="A2" s="16" t="s">
        <v>835</v>
      </c>
      <c r="B2" s="16" t="s">
        <v>836</v>
      </c>
      <c r="C2" s="16" t="s">
        <v>837</v>
      </c>
      <c r="D2" s="16" t="s">
        <v>838</v>
      </c>
      <c r="E2" s="16" t="s">
        <v>839</v>
      </c>
    </row>
    <row r="3" spans="1:6" x14ac:dyDescent="0.2">
      <c r="A3" s="103" t="s">
        <v>840</v>
      </c>
    </row>
    <row r="4" spans="1:6" x14ac:dyDescent="0.2">
      <c r="A4" s="17" t="s">
        <v>841</v>
      </c>
      <c r="B4" s="18" t="s">
        <v>842</v>
      </c>
      <c r="C4" s="19" t="s">
        <v>843</v>
      </c>
      <c r="D4" s="64">
        <f>Biology!$D$18</f>
        <v>298.15</v>
      </c>
      <c r="E4" s="51" t="s">
        <v>844</v>
      </c>
    </row>
    <row r="5" spans="1:6" ht="36" x14ac:dyDescent="0.2">
      <c r="A5" s="17" t="inlineStr">
        <is>
          <t xml:space="preserve">(import) Dissolved CO₂ (cycle average)</t>
        </is>
      </c>
      <c r="B5" s="18" t="s">
        <v>846</v>
      </c>
      <c r="C5" s="19" t="s">
        <v>847</v>
      </c>
      <c r="D5" s="64">
        <f>'Mass Transfer'!$D$162</f>
        <v>0.029931790408</v>
      </c>
      <c r="E5" s="51" t="inlineStr">
        <is>
          <t xml:space="preserve">Schedule-dependent cycle-average dissolved CO₂ (mass-conserving limit cycle, bounded by air equilibrium and pure-CO₂ saturation).</t>
        </is>
      </c>
    </row>
    <row r="6" spans="1:6" x14ac:dyDescent="0.2">
      <c r="A6" s="17" t="s">
        <v>848</v>
      </c>
      <c r="B6" s="18" t="s">
        <v>849</v>
      </c>
      <c r="C6" s="19" t="s">
        <v>850</v>
      </c>
      <c r="D6" s="64">
        <f>Electrochemistry!$D$19</f>
        <v>0.00569</v>
      </c>
      <c r="E6" s="51" t="s">
        <v>851</v>
      </c>
    </row>
    <row r="7" spans="1:6" x14ac:dyDescent="0.2">
      <c r="A7" s="17" t="s">
        <v>852</v>
      </c>
      <c r="B7" s="18" t="s">
        <v>853</v>
      </c>
      <c r="C7" s="19" t="s">
        <v>854</v>
      </c>
      <c r="D7" s="64">
        <f>Electrochemistry!$D$15</f>
        <v>96485.33212</v>
      </c>
      <c r="E7" s="51" t="s">
        <v>855</v>
      </c>
    </row>
    <row r="8" spans="1:6" x14ac:dyDescent="0.2">
      <c r="A8" s="17" t="inlineStr">
        <is>
          <t xml:space="preserve">Reactor liquid volume (V_charge in litres)</t>
        </is>
      </c>
      <c r="B8" s="18" t="s">
        <v>857</v>
      </c>
      <c r="C8" s="19" t="s">
        <v>858</v>
      </c>
      <c r="D8" s="64">
        <f>V_charge/1000</f>
        <v>0.015</v>
      </c>
      <c r="E8" s="51" t="inlineStr">
        <is>
          <t xml:space="preserve">V_charge (D279, mL) / 1000 → L</t>
        </is>
      </c>
    </row>
    <row r="9" spans="1:6" x14ac:dyDescent="0.2">
      <c r="A9" s="17" t="s">
        <v>860</v>
      </c>
      <c r="B9" s="18" t="s">
        <v>861</v>
      </c>
      <c r="C9" s="19" t="s">
        <v>862</v>
      </c>
      <c r="D9" s="148">
        <f>'Mass Transfer'!$D$101</f>
        <v>8.314462618</v>
      </c>
      <c r="E9" s="84" t="inlineStr">
        <is>
          <t xml:space="preserve">→ Mass Transfer (R_gas).</t>
        </is>
      </c>
    </row>
    <row r="11" spans="1:6" ht="16" x14ac:dyDescent="0.2">
      <c r="A11" s="104" t="s">
        <v>863</v>
      </c>
      <c r="F11" s="101" t="s">
        <v>864</v>
      </c>
    </row>
    <row r="12" spans="1:6" x14ac:dyDescent="0.2">
      <c r="A12" s="16" t="s">
        <v>865</v>
      </c>
      <c r="B12" s="16" t="s">
        <v>866</v>
      </c>
      <c r="C12" s="16" t="s">
        <v>867</v>
      </c>
      <c r="D12" s="16" t="s">
        <v>868</v>
      </c>
      <c r="E12" s="16" t="s">
        <v>869</v>
      </c>
    </row>
    <row r="13" spans="1:6" x14ac:dyDescent="0.2">
      <c r="A13" s="17" t="s">
        <v>871</v>
      </c>
      <c r="B13" s="52">
        <v>4.4499999999999997E-7</v>
      </c>
      <c r="C13" s="52">
        <v>9.15</v>
      </c>
      <c r="D13" s="64">
        <f>B13*EXP(-C13*1000/R_gas*(1/TKc-1/T_ref))</f>
        <v>4.45e-07</v>
      </c>
      <c r="E13" s="84" t="s">
        <v>870</v>
      </c>
    </row>
    <row r="14" spans="1:6" x14ac:dyDescent="0.2">
      <c r="A14" s="17" t="s">
        <v>872</v>
      </c>
      <c r="B14" s="52">
        <v>4.6900000000000001E-11</v>
      </c>
      <c r="C14" s="52">
        <v>14.9</v>
      </c>
      <c r="D14" s="64">
        <f>B14*EXP(-C14*1000/R_gas*(1/TKc-1/T_ref))</f>
        <v>4.69e-11</v>
      </c>
      <c r="E14" s="84" t="s">
        <v>870</v>
      </c>
    </row>
    <row r="15" spans="1:6" x14ac:dyDescent="0.2">
      <c r="A15" s="17" t="s">
        <v>873</v>
      </c>
      <c r="B15" s="52">
        <v>7.1000000000000004E-3</v>
      </c>
      <c r="C15" s="52">
        <v>-8</v>
      </c>
      <c r="D15" s="64">
        <f>B15*EXP(-C15*1000/R_gas*(1/TKc-1/T_ref))</f>
        <v>0.0071</v>
      </c>
      <c r="E15" s="84" t="s">
        <v>870</v>
      </c>
    </row>
    <row r="16" spans="1:6" x14ac:dyDescent="0.2">
      <c r="A16" s="17" t="s">
        <v>874</v>
      </c>
      <c r="B16" s="52">
        <v>6.3100000000000003E-8</v>
      </c>
      <c r="C16" s="52">
        <v>3.6</v>
      </c>
      <c r="D16" s="64">
        <f>B16*EXP(-C16*1000/R_gas*(1/TKc-1/T_ref))</f>
        <v>6.31e-08</v>
      </c>
      <c r="E16" s="84" t="s">
        <v>870</v>
      </c>
    </row>
    <row r="17" spans="1:6" x14ac:dyDescent="0.2">
      <c r="A17" s="17" t="s">
        <v>1007</v>
      </c>
      <c r="B17" s="52">
        <v>4.1999999999999998E-13</v>
      </c>
      <c r="C17" s="52">
        <v>16</v>
      </c>
      <c r="D17" s="64">
        <f>B17*EXP(-C17*1000/R_gas*(1/TKc-1/T_ref))</f>
        <v>4.2e-13</v>
      </c>
      <c r="E17" s="84" t="s">
        <v>870</v>
      </c>
    </row>
    <row r="18" spans="1:6" x14ac:dyDescent="0.2">
      <c r="A18" s="17" t="s">
        <v>875</v>
      </c>
      <c r="B18" s="52">
        <v>5.6000000000000003E-10</v>
      </c>
      <c r="C18" s="52">
        <v>52.2</v>
      </c>
      <c r="D18" s="64">
        <f>B18*EXP(-C18*1000/R_gas*(1/TKc-1/T_ref))</f>
        <v>5.6e-10</v>
      </c>
      <c r="E18" s="84" t="s">
        <v>870</v>
      </c>
    </row>
    <row r="19" spans="1:6" x14ac:dyDescent="0.2">
      <c r="A19" s="17" t="s">
        <v>876</v>
      </c>
      <c r="B19" s="52">
        <v>1E-14</v>
      </c>
      <c r="C19" s="52">
        <v>55.8</v>
      </c>
      <c r="D19" s="64">
        <f>B19*EXP(-C19*1000/R_gas*(1/TKc-1/T_ref))</f>
        <v>1e-14</v>
      </c>
      <c r="E19" s="84" t="s">
        <v>870</v>
      </c>
    </row>
    <row r="20" spans="1:6" x14ac:dyDescent="0.2">
      <c r="A20" s="17" t="s">
        <v>877</v>
      </c>
      <c r="B20" s="52">
        <v>2.8840315031266057E-8</v>
      </c>
      <c r="C20" s="52">
        <v>13.8</v>
      </c>
      <c r="D20" s="64">
        <f>B20*EXP(-C20*1000/R_gas*(1/TKc-1/T_ref))</f>
        <v>2.884031503127e-08</v>
      </c>
      <c r="E20" s="84" t="s">
        <v>870</v>
      </c>
    </row>
    <row r="21" spans="1:6" x14ac:dyDescent="0.2">
      <c r="A21" s="17" t="s">
        <v>878</v>
      </c>
      <c r="B21" s="18" t="s">
        <v>879</v>
      </c>
      <c r="C21" s="19" t="s">
        <v>880</v>
      </c>
      <c r="D21" s="149">
        <f>-LOG10(Ka_HOCl)</f>
        <v>7.54</v>
      </c>
      <c r="E21" s="51" t="s">
        <v>881</v>
      </c>
    </row>
    <row r="23" spans="1:6" ht="16" x14ac:dyDescent="0.2">
      <c r="A23" s="104" t="s">
        <v>882</v>
      </c>
      <c r="F23" s="101" t="s">
        <v>883</v>
      </c>
    </row>
    <row r="24" spans="1:6" x14ac:dyDescent="0.2">
      <c r="A24" s="16" t="s">
        <v>886</v>
      </c>
      <c r="B24" s="16" t="s">
        <v>887</v>
      </c>
      <c r="C24" s="16" t="s">
        <v>888</v>
      </c>
      <c r="D24" s="16" t="s">
        <v>889</v>
      </c>
      <c r="E24" s="16" t="s">
        <v>890</v>
      </c>
    </row>
    <row r="25" spans="1:6" x14ac:dyDescent="0.2">
      <c r="A25" s="17" t="s">
        <v>891</v>
      </c>
      <c r="B25" s="52">
        <v>136.08600000000001</v>
      </c>
      <c r="C25" s="20">
        <v>0</v>
      </c>
      <c r="D25" s="146">
        <v>2.2999999999999998</v>
      </c>
      <c r="E25" s="51" t="s">
        <v>884</v>
      </c>
    </row>
    <row r="26" spans="1:6" x14ac:dyDescent="0.2">
      <c r="A26" s="17" t="s">
        <v>892</v>
      </c>
      <c r="B26" s="52">
        <v>141.96</v>
      </c>
      <c r="C26" s="52">
        <v>2.895</v>
      </c>
      <c r="D26" s="146">
        <v>2.9</v>
      </c>
      <c r="E26" s="51" t="s">
        <v>885</v>
      </c>
    </row>
    <row r="27" spans="1:6" x14ac:dyDescent="0.2">
      <c r="A27" s="17" t="s">
        <v>893</v>
      </c>
      <c r="B27" s="52">
        <v>156.01</v>
      </c>
      <c r="C27" s="52">
        <v>3.06</v>
      </c>
      <c r="D27" s="20">
        <v>0</v>
      </c>
      <c r="E27" s="51" t="s">
        <v>885</v>
      </c>
    </row>
    <row r="28" spans="1:6" x14ac:dyDescent="0.2">
      <c r="A28" s="17" t="s">
        <v>894</v>
      </c>
      <c r="B28" s="52">
        <v>84.007000000000005</v>
      </c>
      <c r="C28" s="20">
        <v>0</v>
      </c>
      <c r="D28" s="146">
        <v>1.05</v>
      </c>
      <c r="E28" s="51" t="s">
        <v>884</v>
      </c>
    </row>
    <row r="29" spans="1:6" x14ac:dyDescent="0.2">
      <c r="A29" s="17" t="s">
        <v>895</v>
      </c>
      <c r="B29" s="52">
        <v>174.26</v>
      </c>
      <c r="C29" s="52">
        <v>0.17</v>
      </c>
      <c r="D29" s="20">
        <v>0</v>
      </c>
      <c r="E29" s="51" t="s">
        <v>885</v>
      </c>
    </row>
    <row r="30" spans="1:6" x14ac:dyDescent="0.2">
      <c r="A30" s="17" t="s">
        <v>896</v>
      </c>
      <c r="B30" s="52">
        <v>172.17</v>
      </c>
      <c r="C30" s="52">
        <v>9.7000000000000003E-2</v>
      </c>
      <c r="D30" s="20">
        <v>0</v>
      </c>
      <c r="E30" s="51" t="s">
        <v>885</v>
      </c>
    </row>
    <row r="31" spans="1:6" x14ac:dyDescent="0.2">
      <c r="A31" s="17" t="s">
        <v>897</v>
      </c>
      <c r="B31" s="52">
        <v>246.48</v>
      </c>
      <c r="C31" s="52">
        <v>0.8</v>
      </c>
      <c r="D31" s="146">
        <v>0.5</v>
      </c>
      <c r="E31" s="51" t="s">
        <v>885</v>
      </c>
    </row>
    <row r="32" spans="1:6" x14ac:dyDescent="0.2">
      <c r="A32" s="17" t="s">
        <v>898</v>
      </c>
      <c r="B32" s="52">
        <v>132.13999999999999</v>
      </c>
      <c r="C32" s="52">
        <v>0.94299999999999995</v>
      </c>
      <c r="D32" s="146">
        <v>0.47</v>
      </c>
      <c r="E32" s="51" t="s">
        <v>885</v>
      </c>
    </row>
    <row r="33" spans="1:5" ht="24" x14ac:dyDescent="0.2">
      <c r="A33" s="17" t="s">
        <v>899</v>
      </c>
      <c r="B33" s="52">
        <v>110.98</v>
      </c>
      <c r="C33" s="20">
        <v>0</v>
      </c>
      <c r="D33" s="146">
        <v>0.01</v>
      </c>
      <c r="E33" s="51" t="s">
        <v>1062</v>
      </c>
    </row>
    <row r="35" spans="1:5" x14ac:dyDescent="0.2">
      <c r="A35" s="17" t="s">
        <v>900</v>
      </c>
      <c r="B35" s="18" t="s">
        <v>901</v>
      </c>
      <c r="C35" s="19" t="s">
        <v>902</v>
      </c>
      <c r="D35" s="149">
        <f>mc_Na2HPO4/MW_Na2HPO4+mc_NaH2PO4_2H2O/MW_NaH2PO4_2H2O</f>
        <v>0.04000719577</v>
      </c>
      <c r="E35" s="51" t="s">
        <v>903</v>
      </c>
    </row>
    <row r="36" spans="1:5" x14ac:dyDescent="0.2">
      <c r="A36" s="17" t="s">
        <v>904</v>
      </c>
      <c r="B36" s="18" t="s">
        <v>905</v>
      </c>
      <c r="C36" s="19" t="s">
        <v>906</v>
      </c>
      <c r="D36" s="149">
        <f>(2*mc_Na2HPO4/MW_Na2HPO4+mc_NaH2PO4_2H2O/MW_NaH2PO4_2H2O+2*mc_K2SO4/MW_K2SO4+2*mc_MgSO4_7H2O/MW_MgSO4_7H2O+2*mc_CaSO4_2H2O/MW_CaSO4_2H2O)-2*(mc_NH42SO4/MW_NH42SO4+mc_MgSO4_7H2O/MW_MgSO4_7H2O+mc_K2SO4/MW_K2SO4+mc_CaSO4_2H2O/MW_CaSO4_2H2O)</f>
        <v>0.046127523207</v>
      </c>
      <c r="E36" s="51" t="s">
        <v>907</v>
      </c>
    </row>
    <row r="37" spans="1:5" x14ac:dyDescent="0.2">
      <c r="A37" s="17" t="s">
        <v>908</v>
      </c>
      <c r="B37" s="18" t="s">
        <v>909</v>
      </c>
      <c r="C37" s="19" t="s">
        <v>910</v>
      </c>
      <c r="D37" s="149">
        <f>2*mc_NH42SO4/MW_NH42SO4</f>
        <v>0.014272741032</v>
      </c>
      <c r="E37" s="51" t="s">
        <v>911</v>
      </c>
    </row>
    <row r="38" spans="1:5" x14ac:dyDescent="0.2">
      <c r="A38" s="17" t="s">
        <v>912</v>
      </c>
      <c r="B38" s="18" t="s">
        <v>913</v>
      </c>
      <c r="C38" s="19" t="s">
        <v>914</v>
      </c>
      <c r="D38" s="149">
        <f>0</f>
        <v>0.0</v>
      </c>
      <c r="E38" s="51" t="s">
        <v>915</v>
      </c>
    </row>
    <row r="39" spans="1:5" x14ac:dyDescent="0.2">
      <c r="A39" s="17" t="s">
        <v>916</v>
      </c>
      <c r="B39" s="18" t="s">
        <v>917</v>
      </c>
      <c r="C39" s="19" t="s">
        <v>918</v>
      </c>
      <c r="D39" s="149">
        <f>udg_KH2PO4/MW_KH2PO4+udg_Na2HPO4/MW_Na2HPO4</f>
        <v>0.037329366919</v>
      </c>
      <c r="E39" s="51" t="s">
        <v>919</v>
      </c>
    </row>
    <row r="40" spans="1:5" x14ac:dyDescent="0.2">
      <c r="A40" s="17" t="s">
        <v>920</v>
      </c>
      <c r="B40" s="18" t="s">
        <v>921</v>
      </c>
      <c r="C40" s="19" t="s">
        <v>922</v>
      </c>
      <c r="D40" s="149">
        <f>(udg_NaHCO3/MW_NaHCO3+2*udg_Na2HPO4/MW_Na2HPO4+udg_KH2PO4/MW_KH2PO4+2*udg_MgSO4_7H2O/MW_MgSO4_7H2O+2*udg_CaCl2/MW_CaCl2)-(2*(udg_NH42SO4/MW_NH42SO4+udg_MgSO4_7H2O/MW_MgSO4_7H2O)+2*udg_CaCl2/MW_CaCl2)</f>
        <v>0.063142947676</v>
      </c>
      <c r="E40" s="51" t="s">
        <v>923</v>
      </c>
    </row>
    <row r="41" spans="1:5" x14ac:dyDescent="0.2">
      <c r="A41" s="17" t="s">
        <v>924</v>
      </c>
      <c r="B41" s="18" t="s">
        <v>925</v>
      </c>
      <c r="C41" s="19" t="s">
        <v>926</v>
      </c>
      <c r="D41" s="149">
        <f>2*udg_NH42SO4/MW_NH42SO4</f>
        <v>0.007113667323</v>
      </c>
      <c r="E41" s="51" t="s">
        <v>927</v>
      </c>
    </row>
    <row r="42" spans="1:5" x14ac:dyDescent="0.2">
      <c r="A42" s="17" t="s">
        <v>928</v>
      </c>
      <c r="B42" s="18" t="s">
        <v>929</v>
      </c>
      <c r="C42" s="19" t="s">
        <v>930</v>
      </c>
      <c r="D42" s="149">
        <f>2*udg_CaCl2/MW_CaCl2</f>
        <v>0.0001802126509281</v>
      </c>
      <c r="E42" s="51" t="s">
        <v>931</v>
      </c>
    </row>
    <row r="44" spans="1:5" x14ac:dyDescent="0.2">
      <c r="A44" s="17" t="s">
        <v>932</v>
      </c>
      <c r="B44" s="18" t="s">
        <v>933</v>
      </c>
      <c r="C44" s="19" t="s">
        <v>934</v>
      </c>
      <c r="D44" s="149">
        <f>IF(media_sel=INDEX(MediaList,1),SID_mc02,IF(media_sel=INDEX(MediaList,2),SID_udg,NA()))</f>
        <v>0.063142947676</v>
      </c>
      <c r="E44" s="51" t="s">
        <v>935</v>
      </c>
    </row>
    <row r="45" spans="1:5" x14ac:dyDescent="0.2">
      <c r="A45" s="17" t="s">
        <v>936</v>
      </c>
      <c r="B45" s="18" t="s">
        <v>937</v>
      </c>
      <c r="C45" s="19" t="s">
        <v>938</v>
      </c>
      <c r="D45" s="149">
        <f>IF(media_sel=INDEX(MediaList,1),PT_mc02,IF(media_sel=INDEX(MediaList,2),PT_udg,NA()))</f>
        <v>0.037329366919</v>
      </c>
      <c r="E45" s="51" t="s">
        <v>939</v>
      </c>
    </row>
    <row r="46" spans="1:5" x14ac:dyDescent="0.2">
      <c r="A46" s="17" t="s">
        <v>940</v>
      </c>
      <c r="B46" s="18" t="s">
        <v>941</v>
      </c>
      <c r="C46" s="19" t="s">
        <v>942</v>
      </c>
      <c r="D46" s="149">
        <f>IF(media_sel=INDEX(MediaList,1),NT_mc02,IF(media_sel=INDEX(MediaList,2),NT_udg,NA()))</f>
        <v>0.007113667323</v>
      </c>
      <c r="E46" s="51" t="s">
        <v>943</v>
      </c>
    </row>
    <row r="47" spans="1:5" x14ac:dyDescent="0.2">
      <c r="A47" s="17" t="s">
        <v>944</v>
      </c>
      <c r="B47" s="18" t="s">
        <v>945</v>
      </c>
      <c r="C47" s="19" t="s">
        <v>946</v>
      </c>
      <c r="D47" s="149">
        <f>IF(media_sel=INDEX(MediaList,1),Cl_mc02,IF(media_sel=INDEX(MediaList,2),Cl_udg,NA()))</f>
        <v>0.0001802126509281</v>
      </c>
      <c r="E47" s="51" t="s">
        <v>947</v>
      </c>
    </row>
    <row r="49" spans="1:3" x14ac:dyDescent="0.2">
      <c r="A49" s="16" t="s">
        <v>1877</v>
      </c>
      <c r="B49" s="16" t="s">
        <v>948</v>
      </c>
      <c r="C49" s="16" t="s">
        <v>949</v>
      </c>
    </row>
    <row r="50" spans="1:3" x14ac:dyDescent="0.2">
      <c r="A50" s="20">
        <v>4</v>
      </c>
      <c r="B50" s="64">
        <f t="shared" ref="B50:B81" si="1">pH_SID + pH_NT*(10^-A50)/((10^-A50)+KaN_c) + (10^-A50) - (pH_PT*Ka1p_c*(10^-A50)^2 + 2*pH_PT*Ka1p_c*Ka2p_c*(10^-A50) + 3*pH_PT*Ka1p_c*Ka2p_c*Ka3p_c)/((10^-A50)^3 + Ka1p_c*(10^-A50)^2 + Ka1p_c*Ka2p_c*(10^-A50) + Ka1p_c*Ka2p_c*Ka3p_c) - Ka1c_c*CO2aqc/(10^-A50) - 2*Ka1c_c*Ka2c_c*CO2aqc/(10^-A50)^2 - Kw_c/(10^-A50)</f>
        <v>0.033056557945</v>
      </c>
      <c r="C50" s="64">
        <f>IF(AND(B50&gt;=0,B51&lt;0),A50+pH_step*B50/(B50-B51),0)</f>
        <v>0.0</v>
      </c>
    </row>
    <row r="51" spans="1:3" x14ac:dyDescent="0.2">
      <c r="A51" s="20">
        <v>4.0999999999999996</v>
      </c>
      <c r="B51" s="64">
        <f t="shared" si="1"/>
        <v>0.032897876114</v>
      </c>
      <c r="C51" s="64">
        <f>IF(AND(B51&gt;=0,B52&lt;0),A51+pH_step*B51/(B51-B52),0)</f>
        <v>0.0</v>
      </c>
    </row>
    <row r="52" spans="1:3" x14ac:dyDescent="0.2">
      <c r="A52" s="20">
        <v>4.2</v>
      </c>
      <c r="B52" s="64">
        <f t="shared" si="1"/>
        <v>0.03273738701</v>
      </c>
      <c r="C52" s="64">
        <f>IF(AND(B52&gt;=0,B53&lt;0),A52+pH_step*B52/(B52-B53),0)</f>
        <v>0.0</v>
      </c>
    </row>
    <row r="53" spans="1:3" x14ac:dyDescent="0.2">
      <c r="A53" s="20">
        <v>4.3</v>
      </c>
      <c r="B53" s="64">
        <f t="shared" si="1"/>
        <v>0.032566660249</v>
      </c>
      <c r="C53" s="64">
        <f>IF(AND(B53&gt;=0,B54&lt;0),A53+pH_step*B53/(B53-B54),0)</f>
        <v>0.0</v>
      </c>
    </row>
    <row r="54" spans="1:3" x14ac:dyDescent="0.2">
      <c r="A54" s="20">
        <v>4.4000000000000004</v>
      </c>
      <c r="B54" s="64">
        <f t="shared" si="1"/>
        <v>0.032376693474</v>
      </c>
      <c r="C54" s="64">
        <f>IF(AND(B54&gt;=0,B55&lt;0),A54+pH_step*B54/(B54-B55),0)</f>
        <v>0.0</v>
      </c>
    </row>
    <row r="55" spans="1:3" x14ac:dyDescent="0.2">
      <c r="A55" s="20">
        <v>4.5</v>
      </c>
      <c r="B55" s="64">
        <f t="shared" si="1"/>
        <v>0.032157451816</v>
      </c>
      <c r="C55" s="64">
        <f>IF(AND(B55&gt;=0,B56&lt;0),A55+pH_step*B55/(B55-B56),0)</f>
        <v>0.0</v>
      </c>
    </row>
    <row r="56" spans="1:3" x14ac:dyDescent="0.2">
      <c r="A56" s="20">
        <v>4.5999999999999996</v>
      </c>
      <c r="B56" s="64">
        <f t="shared" si="1"/>
        <v>0.031897350748</v>
      </c>
      <c r="C56" s="64">
        <f>IF(AND(B56&gt;=0,B57&lt;0),A56+pH_step*B56/(B56-B57),0)</f>
        <v>0.0</v>
      </c>
    </row>
    <row r="57" spans="1:3" x14ac:dyDescent="0.2">
      <c r="A57" s="20">
        <v>4.7</v>
      </c>
      <c r="B57" s="64">
        <f t="shared" si="1"/>
        <v>0.031582658325</v>
      </c>
      <c r="C57" s="64">
        <f>IF(AND(B57&gt;=0,B58&lt;0),A57+pH_step*B57/(B57-B58),0)</f>
        <v>0.0</v>
      </c>
    </row>
    <row r="58" spans="1:3" x14ac:dyDescent="0.2">
      <c r="A58" s="20">
        <v>4.8</v>
      </c>
      <c r="B58" s="64">
        <f t="shared" si="1"/>
        <v>0.031196788903</v>
      </c>
      <c r="C58" s="64">
        <f>IF(AND(B58&gt;=0,B59&lt;0),A58+pH_step*B58/(B58-B59),0)</f>
        <v>0.0</v>
      </c>
    </row>
    <row r="59" spans="1:3" x14ac:dyDescent="0.2">
      <c r="A59" s="20">
        <v>4.9000000000000004</v>
      </c>
      <c r="B59" s="64">
        <f t="shared" si="1"/>
        <v>0.030719455744</v>
      </c>
      <c r="C59" s="64">
        <f>IF(AND(B59&gt;=0,B60&lt;0),A59+pH_step*B59/(B59-B60),0)</f>
        <v>0.0</v>
      </c>
    </row>
    <row r="60" spans="1:3" x14ac:dyDescent="0.2">
      <c r="A60" s="20">
        <v>5</v>
      </c>
      <c r="B60" s="64">
        <f t="shared" si="1"/>
        <v>0.030125644421</v>
      </c>
      <c r="C60" s="64">
        <f>IF(AND(B60&gt;=0,B61&lt;0),A60+pH_step*B60/(B60-B61),0)</f>
        <v>0.0</v>
      </c>
    </row>
    <row r="61" spans="1:3" x14ac:dyDescent="0.2">
      <c r="A61" s="20">
        <v>5.0999999999999996</v>
      </c>
      <c r="B61" s="64">
        <f t="shared" si="1"/>
        <v>0.029384362607</v>
      </c>
      <c r="C61" s="64">
        <f>IF(AND(B61&gt;=0,B62&lt;0),A61+pH_step*B61/(B61-B62),0)</f>
        <v>0.0</v>
      </c>
    </row>
    <row r="62" spans="1:3" x14ac:dyDescent="0.2">
      <c r="A62" s="20">
        <v>5.2</v>
      </c>
      <c r="B62" s="64">
        <f t="shared" si="1"/>
        <v>0.028457114762</v>
      </c>
      <c r="C62" s="64">
        <f>IF(AND(B62&gt;=0,B63&lt;0),A62+pH_step*B62/(B62-B63),0)</f>
        <v>0.0</v>
      </c>
    </row>
    <row r="63" spans="1:3" x14ac:dyDescent="0.2">
      <c r="A63" s="20">
        <v>5.3</v>
      </c>
      <c r="B63" s="64">
        <f t="shared" si="1"/>
        <v>0.027296042508</v>
      </c>
      <c r="C63" s="64">
        <f>IF(AND(B63&gt;=0,B64&lt;0),A63+pH_step*B63/(B63-B64),0)</f>
        <v>0.0</v>
      </c>
    </row>
    <row r="64" spans="1:3" x14ac:dyDescent="0.2">
      <c r="A64" s="20">
        <v>5.4</v>
      </c>
      <c r="B64" s="64">
        <f t="shared" si="1"/>
        <v>0.025841663275</v>
      </c>
      <c r="C64" s="64">
        <f>IF(AND(B64&gt;=0,B65&lt;0),A64+pH_step*B64/(B64-B65),0)</f>
        <v>0.0</v>
      </c>
    </row>
    <row r="65" spans="1:3" x14ac:dyDescent="0.2">
      <c r="A65" s="20">
        <v>5.5</v>
      </c>
      <c r="B65" s="64">
        <f t="shared" si="1"/>
        <v>0.024020130969</v>
      </c>
      <c r="C65" s="64">
        <f>IF(AND(B65&gt;=0,B66&lt;0),A65+pH_step*B65/(B65-B66),0)</f>
        <v>0.0</v>
      </c>
    </row>
    <row r="66" spans="1:3" x14ac:dyDescent="0.2">
      <c r="A66" s="20">
        <v>5.6</v>
      </c>
      <c r="B66" s="64">
        <f t="shared" si="1"/>
        <v>0.021739932163</v>
      </c>
      <c r="C66" s="64">
        <f>IF(AND(B66&gt;=0,B67&lt;0),A66+pH_step*B66/(B66-B67),0)</f>
        <v>0.0</v>
      </c>
    </row>
    <row r="67" spans="1:3" x14ac:dyDescent="0.2">
      <c r="A67" s="20">
        <v>5.7</v>
      </c>
      <c r="B67" s="64">
        <f t="shared" si="1"/>
        <v>0.018887917484</v>
      </c>
      <c r="C67" s="64">
        <f>IF(AND(B67&gt;=0,B68&lt;0),A67+pH_step*B67/(B67-B68),0)</f>
        <v>0.0</v>
      </c>
    </row>
    <row r="68" spans="1:3" x14ac:dyDescent="0.2">
      <c r="A68" s="20">
        <v>5.8</v>
      </c>
      <c r="B68" s="64">
        <f t="shared" si="1"/>
        <v>0.015324545379</v>
      </c>
      <c r="C68" s="64">
        <f>IF(AND(B68&gt;=0,B69&lt;0),A68+pH_step*B68/(B68-B69),0)</f>
        <v>0.0</v>
      </c>
    </row>
    <row r="69" spans="1:3" x14ac:dyDescent="0.2">
      <c r="A69" s="20">
        <v>5.9</v>
      </c>
      <c r="B69" s="64">
        <f t="shared" si="1"/>
        <v>0.010878174835</v>
      </c>
      <c r="C69" s="64">
        <f>IF(AND(B69&gt;=0,B70&lt;0),A69+pH_step*B69/(B69-B70),0)</f>
        <v>0.0</v>
      </c>
    </row>
    <row r="70" spans="1:3" x14ac:dyDescent="0.2">
      <c r="A70" s="20">
        <v>6</v>
      </c>
      <c r="B70" s="64">
        <f t="shared" si="1"/>
        <v>0.005338169177</v>
      </c>
      <c r="C70" s="64">
        <f>IF(AND(B70&gt;=0,B71&lt;0),A70+pH_step*B70/(B70-B71),0)</f>
        <v>6.077457645941</v>
      </c>
    </row>
    <row r="71" spans="1:3" x14ac:dyDescent="0.2">
      <c r="A71" s="20">
        <v>6.1</v>
      </c>
      <c r="B71" s="64">
        <f t="shared" si="1"/>
        <v>-0.001553557408</v>
      </c>
      <c r="C71" s="64">
        <f>IF(AND(B71&gt;=0,B72&lt;0),A71+pH_step*B71/(B71-B72),0)</f>
        <v>0.0</v>
      </c>
    </row>
    <row r="72" spans="1:3" x14ac:dyDescent="0.2">
      <c r="A72" s="20">
        <v>6.2</v>
      </c>
      <c r="B72" s="64">
        <f t="shared" si="1"/>
        <v>-0.010113130675</v>
      </c>
      <c r="C72" s="64">
        <f>IF(AND(B72&gt;=0,B73&lt;0),A72+pH_step*B72/(B72-B73),0)</f>
        <v>0.0</v>
      </c>
    </row>
    <row r="73" spans="1:3" x14ac:dyDescent="0.2">
      <c r="A73" s="20">
        <v>6.3</v>
      </c>
      <c r="B73" s="64">
        <f t="shared" si="1"/>
        <v>-0.020728335463</v>
      </c>
      <c r="C73" s="64">
        <f>IF(AND(B73&gt;=0,B74&lt;0),A73+pH_step*B73/(B73-B74),0)</f>
        <v>0.0</v>
      </c>
    </row>
    <row r="74" spans="1:3" x14ac:dyDescent="0.2">
      <c r="A74" s="20">
        <v>6.4</v>
      </c>
      <c r="B74" s="64">
        <f t="shared" si="1"/>
        <v>-0.033876558634</v>
      </c>
      <c r="C74" s="64">
        <f>IF(AND(B74&gt;=0,B75&lt;0),A74+pH_step*B74/(B74-B75),0)</f>
        <v>0.0</v>
      </c>
    </row>
    <row r="75" spans="1:3" x14ac:dyDescent="0.2">
      <c r="A75" s="20">
        <v>6.5</v>
      </c>
      <c r="B75" s="64">
        <f t="shared" si="1"/>
        <v>-0.050148802566</v>
      </c>
      <c r="C75" s="64">
        <f>IF(AND(B75&gt;=0,B76&lt;0),A75+pH_step*B75/(B75-B76),0)</f>
        <v>0.0</v>
      </c>
    </row>
    <row r="76" spans="1:3" x14ac:dyDescent="0.2">
      <c r="A76" s="20">
        <v>6.6</v>
      </c>
      <c r="B76" s="64">
        <f t="shared" si="1"/>
        <v>-0.070281926409</v>
      </c>
      <c r="C76" s="64">
        <f>IF(AND(B76&gt;=0,B77&lt;0),A76+pH_step*B76/(B76-B77),0)</f>
        <v>0.0</v>
      </c>
    </row>
    <row r="77" spans="1:3" x14ac:dyDescent="0.2">
      <c r="A77" s="20">
        <v>6.7</v>
      </c>
      <c r="B77" s="64">
        <f t="shared" si="1"/>
        <v>-0.095201550021</v>
      </c>
      <c r="C77" s="64">
        <f>IF(AND(B77&gt;=0,B78&lt;0),A77+pH_step*B77/(B77-B78),0)</f>
        <v>0.0</v>
      </c>
    </row>
    <row r="78" spans="1:3" x14ac:dyDescent="0.2">
      <c r="A78" s="20">
        <v>6.8</v>
      </c>
      <c r="B78" s="64">
        <f t="shared" si="1"/>
        <v>-0.126078179765</v>
      </c>
      <c r="C78" s="64">
        <f>IF(AND(B78&gt;=0,B79&lt;0),A78+pH_step*B78/(B78-B79),0)</f>
        <v>0.0</v>
      </c>
    </row>
    <row r="79" spans="1:3" x14ac:dyDescent="0.2">
      <c r="A79" s="20">
        <v>6.9</v>
      </c>
      <c r="B79" s="64">
        <f t="shared" si="1"/>
        <v>-0.164399212616</v>
      </c>
      <c r="C79" s="64">
        <f>IF(AND(B79&gt;=0,B80&lt;0),A79+pH_step*B79/(B79-B80),0)</f>
        <v>0.0</v>
      </c>
    </row>
    <row r="80" spans="1:3" x14ac:dyDescent="0.2">
      <c r="A80" s="20">
        <v>7</v>
      </c>
      <c r="B80" s="64">
        <f t="shared" si="1"/>
        <v>-0.2120598263</v>
      </c>
      <c r="C80" s="64">
        <f>IF(AND(B80&gt;=0,B81&lt;0),A80+pH_step*B80/(B80-B81),0)</f>
        <v>0.0</v>
      </c>
    </row>
    <row r="81" spans="1:3" x14ac:dyDescent="0.2">
      <c r="A81" s="20">
        <v>7.1</v>
      </c>
      <c r="B81" s="64">
        <f t="shared" si="1"/>
        <v>-0.271476705075</v>
      </c>
      <c r="C81" s="64">
        <f>IF(AND(B81&gt;=0,B82&lt;0),A81+pH_step*B81/(B81-B82),0)</f>
        <v>0.0</v>
      </c>
    </row>
    <row r="82" spans="1:3" x14ac:dyDescent="0.2">
      <c r="A82" s="20">
        <v>7.2</v>
      </c>
      <c r="B82" s="64">
        <f t="shared" ref="B82:B113" si="3">pH_SID + pH_NT*(10^-A82)/((10^-A82)+KaN_c) + (10^-A82) - (pH_PT*Ka1p_c*(10^-A82)^2 + 2*pH_PT*Ka1p_c*Ka2p_c*(10^-A82) + 3*pH_PT*Ka1p_c*Ka2p_c*Ka3p_c)/((10^-A82)^3 + Ka1p_c*(10^-A82)^2 + Ka1p_c*Ka2p_c*(10^-A82) + Ka1p_c*Ka2p_c*Ka3p_c) - Ka1c_c*CO2aqc/(10^-A82) - 2*Ka1c_c*Ka2c_c*CO2aqc/(10^-A82)^2 - Kw_c/(10^-A82)</f>
        <v>-0.34573032811</v>
      </c>
      <c r="C82" s="64">
        <f>IF(AND(B82&gt;=0,B83&lt;0),A82+pH_step*B82/(B82-B83),0)</f>
        <v>0.0</v>
      </c>
    </row>
    <row r="83" spans="1:3" x14ac:dyDescent="0.2">
      <c r="A83" s="20">
        <v>7.3</v>
      </c>
      <c r="B83" s="64">
        <f t="shared" si="3"/>
        <v>-0.438744241063</v>
      </c>
      <c r="C83" s="64">
        <f>IF(AND(B83&gt;=0,B84&lt;0),A83+pH_step*B83/(B83-B84),0)</f>
        <v>0.0</v>
      </c>
    </row>
    <row r="84" spans="1:3" x14ac:dyDescent="0.2">
      <c r="A84" s="20">
        <v>7.4</v>
      </c>
      <c r="B84" s="64">
        <f t="shared" si="3"/>
        <v>-0.555513342847</v>
      </c>
      <c r="C84" s="64">
        <f>IF(AND(B84&gt;=0,B85&lt;0),A84+pH_step*B84/(B84-B85),0)</f>
        <v>0.0</v>
      </c>
    </row>
    <row r="85" spans="1:3" x14ac:dyDescent="0.2">
      <c r="A85" s="20">
        <v>7.5</v>
      </c>
      <c r="B85" s="64">
        <f t="shared" si="3"/>
        <v>-0.702397864982</v>
      </c>
      <c r="C85" s="64">
        <f>IF(AND(B85&gt;=0,B86&lt;0),A85+pH_step*B85/(B85-B86),0)</f>
        <v>0.0</v>
      </c>
    </row>
    <row r="86" spans="1:3" x14ac:dyDescent="0.2">
      <c r="A86" s="20">
        <v>7.6</v>
      </c>
      <c r="B86" s="64">
        <f t="shared" si="3"/>
        <v>-0.887505820494</v>
      </c>
      <c r="C86" s="64">
        <f>IF(AND(B86&gt;=0,B87&lt;0),A86+pH_step*B86/(B86-B87),0)</f>
        <v>0.0</v>
      </c>
    </row>
    <row r="87" spans="1:3" x14ac:dyDescent="0.2">
      <c r="A87" s="20">
        <v>7.7</v>
      </c>
      <c r="B87" s="64">
        <f t="shared" si="3"/>
        <v>-1.121195096281</v>
      </c>
      <c r="C87" s="64">
        <f>IF(AND(B87&gt;=0,B88&lt;0),A87+pH_step*B87/(B87-B88),0)</f>
        <v>0.0</v>
      </c>
    </row>
    <row r="88" spans="1:3" x14ac:dyDescent="0.2">
      <c r="A88" s="20">
        <v>7.8</v>
      </c>
      <c r="B88" s="64">
        <f t="shared" si="3"/>
        <v>-1.416738412478</v>
      </c>
      <c r="C88" s="64">
        <f>IF(AND(B88&gt;=0,B89&lt;0),A88+pH_step*B88/(B88-B89),0)</f>
        <v>0.0</v>
      </c>
    </row>
    <row r="89" spans="1:3" x14ac:dyDescent="0.2">
      <c r="A89" s="20">
        <v>7.9</v>
      </c>
      <c r="B89" s="64">
        <f t="shared" si="3"/>
        <v>-1.79121210323</v>
      </c>
      <c r="C89" s="64">
        <f>IF(AND(B89&gt;=0,B90&lt;0),A89+pH_step*B89/(B89-B90),0)</f>
        <v>0.0</v>
      </c>
    </row>
    <row r="90" spans="1:3" x14ac:dyDescent="0.2">
      <c r="A90" s="20">
        <v>8</v>
      </c>
      <c r="B90" s="64">
        <f t="shared" si="3"/>
        <v>-2.266696117449</v>
      </c>
      <c r="C90" s="64">
        <f>IF(AND(B90&gt;=0,B91&lt;0),A90+pH_step*B90/(B90-B91),0)</f>
        <v>0.0</v>
      </c>
    </row>
    <row r="91" spans="1:3" x14ac:dyDescent="0.2">
      <c r="A91" s="20">
        <v>8.1</v>
      </c>
      <c r="B91" s="64">
        <f t="shared" si="3"/>
        <v>-2.871912416818</v>
      </c>
      <c r="C91" s="64">
        <f>IF(AND(B91&gt;=0,B92&lt;0),A91+pH_step*B91/(B91-B92),0)</f>
        <v>0.0</v>
      </c>
    </row>
    <row r="92" spans="1:3" x14ac:dyDescent="0.2">
      <c r="A92" s="20">
        <v>8.1999999999999993</v>
      </c>
      <c r="B92" s="64">
        <f t="shared" si="3"/>
        <v>-3.644489218902</v>
      </c>
      <c r="C92" s="64">
        <f>IF(AND(B92&gt;=0,B93&lt;0),A92+pH_step*B92/(B92-B93),0)</f>
        <v>0.0</v>
      </c>
    </row>
    <row r="93" spans="1:3" x14ac:dyDescent="0.2">
      <c r="A93" s="20">
        <v>8.3000000000000007</v>
      </c>
      <c r="B93" s="64">
        <f t="shared" si="3"/>
        <v>-4.634130477414</v>
      </c>
      <c r="C93" s="64">
        <f>IF(AND(B93&gt;=0,B94&lt;0),A93+pH_step*B93/(B93-B94),0)</f>
        <v>0.0</v>
      </c>
    </row>
    <row r="94" spans="1:3" x14ac:dyDescent="0.2">
      <c r="A94" s="20">
        <v>8.4</v>
      </c>
      <c r="B94" s="64">
        <f t="shared" si="3"/>
        <v>-5.907111148118</v>
      </c>
      <c r="C94" s="64">
        <f>IF(AND(B94&gt;=0,B95&lt;0),A94+pH_step*B94/(B94-B95),0)</f>
        <v>0.0</v>
      </c>
    </row>
    <row r="95" spans="1:3" x14ac:dyDescent="0.2">
      <c r="A95" s="20">
        <v>8.5</v>
      </c>
      <c r="B95" s="64">
        <f t="shared" si="3"/>
        <v>-7.552736726532</v>
      </c>
      <c r="C95" s="64">
        <f>IF(AND(B95&gt;=0,B96&lt;0),A95+pH_step*B95/(B95-B96),0)</f>
        <v>0.0</v>
      </c>
    </row>
    <row r="96" spans="1:3" x14ac:dyDescent="0.2">
      <c r="A96" s="20">
        <v>8.6</v>
      </c>
      <c r="B96" s="64">
        <f t="shared" si="3"/>
        <v>-9.692743661107</v>
      </c>
      <c r="C96" s="64">
        <f>IF(AND(B96&gt;=0,B97&lt;0),A96+pH_step*B96/(B96-B97),0)</f>
        <v>0.0</v>
      </c>
    </row>
    <row r="97" spans="1:7" x14ac:dyDescent="0.2">
      <c r="A97" s="20">
        <v>8.6999999999999993</v>
      </c>
      <c r="B97" s="64">
        <f t="shared" si="3"/>
        <v>-12.495143944944</v>
      </c>
      <c r="C97" s="64">
        <f>IF(AND(B97&gt;=0,B98&lt;0),A97+pH_step*B97/(B97-B98),0)</f>
        <v>0.0</v>
      </c>
    </row>
    <row r="98" spans="1:7" x14ac:dyDescent="0.2">
      <c r="A98" s="20">
        <v>8.8000000000000007</v>
      </c>
      <c r="B98" s="64">
        <f t="shared" si="3"/>
        <v>-16.194840392116</v>
      </c>
      <c r="C98" s="64">
        <f>IF(AND(B98&gt;=0,B99&lt;0),A98+pH_step*B98/(B98-B99),0)</f>
        <v>0.0</v>
      </c>
    </row>
    <row r="99" spans="1:7" x14ac:dyDescent="0.2">
      <c r="A99" s="20">
        <v>8.9</v>
      </c>
      <c r="B99" s="64">
        <f t="shared" si="3"/>
        <v>-21.124629237082</v>
      </c>
      <c r="C99" s="64">
        <f>IF(AND(B99&gt;=0,B100&lt;0),A99+pH_step*B99/(B99-B100),0)</f>
        <v>0.0</v>
      </c>
    </row>
    <row r="100" spans="1:7" x14ac:dyDescent="0.2">
      <c r="A100" s="20">
        <v>9</v>
      </c>
      <c r="B100" s="64">
        <f t="shared" si="3"/>
        <v>-27.762233083538</v>
      </c>
      <c r="C100" s="64">
        <f>0</f>
        <v>0.0</v>
      </c>
    </row>
    <row r="101" spans="1:7" s="97" customFormat="1" x14ac:dyDescent="0.2">
      <c r="B101" s="120"/>
      <c r="C101" s="120"/>
    </row>
    <row r="102" spans="1:7" x14ac:dyDescent="0.2">
      <c r="A102" s="16" t="s">
        <v>24</v>
      </c>
      <c r="B102" s="16" t="s">
        <v>25</v>
      </c>
      <c r="C102" s="16" t="s">
        <v>26</v>
      </c>
      <c r="D102" s="16" t="s">
        <v>27</v>
      </c>
      <c r="E102" s="16" t="s">
        <v>131</v>
      </c>
    </row>
    <row r="103" spans="1:7" ht="48" x14ac:dyDescent="0.2">
      <c r="A103" s="17" t="inlineStr">
        <is>
          <t xml:space="preserve">OPERATING pH (buffered, cycle average)</t>
        </is>
      </c>
      <c r="B103" s="18" t="s">
        <v>951</v>
      </c>
      <c r="C103" s="19" t="s">
        <v>952</v>
      </c>
      <c r="D103" s="149">
        <f>IF(n_cross=1,SUM(C50:C100),NA())</f>
        <v>6.077457645941</v>
      </c>
      <c r="E103" s="51" t="s">
        <v>1878</v>
      </c>
      <c r="F103" s="101" t="inlineStr">
        <is>
          <t xml:space="preserve">pH at the cycle-average dissolved CO₂ of the schedule in use. The trough just after a CO₂ pulse is lower; a probe with response lag reads near this value, not the trough.</t>
        </is>
      </c>
    </row>
    <row r="104" spans="1:7" ht="36" x14ac:dyDescent="0.2">
      <c r="A104" s="17" t="s">
        <v>954</v>
      </c>
      <c r="B104" s="18" t="s">
        <v>955</v>
      </c>
      <c r="C104" s="19" t="s">
        <v>956</v>
      </c>
      <c r="D104" s="149">
        <f>1/(1+KaHOCl_c/10^-pH_op)</f>
        <v>0.945966521198</v>
      </c>
      <c r="E104" s="51" t="s">
        <v>1879</v>
      </c>
    </row>
    <row r="105" spans="1:7" ht="36" x14ac:dyDescent="0.2">
      <c r="A105" s="17" t="s">
        <v>1003</v>
      </c>
      <c r="B105" s="18" t="s">
        <v>1004</v>
      </c>
      <c r="C105" s="19" t="s">
        <v>1005</v>
      </c>
      <c r="D105" s="149">
        <f>SUMPRODUCT((B50:B99&gt;=0)*(B51:B100&lt;0))</f>
        <v>1.0</v>
      </c>
      <c r="E105" s="51" t="s">
        <v>1006</v>
      </c>
      <c r="F105" s="20"/>
    </row>
    <row r="106" spans="1:7" ht="48" x14ac:dyDescent="0.2">
      <c r="A106" s="104" t="s">
        <v>957</v>
      </c>
      <c r="G106" s="69" t="s">
        <v>1008</v>
      </c>
    </row>
    <row r="107" spans="1:7" ht="328" x14ac:dyDescent="0.2">
      <c r="A107" s="17" t="s">
        <v>1060</v>
      </c>
      <c r="B107" s="18" t="s">
        <v>958</v>
      </c>
      <c r="C107" s="19" t="s">
        <v>959</v>
      </c>
      <c r="D107" s="149">
        <f>Iappc/(2*Fcc)*M_HOCl*3600/VLc</f>
        <v>371.244905447914</v>
      </c>
      <c r="E107" s="51" t="inlineStr">
        <is>
          <t xml:space="preserve">Naïve FE=1 upper bound (all anode current → Cl₂). Superseded by the mass-transport-limited chlorine current I_Cl (D133) and the production rate P_HOCl (D134). Kept only to show the overstatement (~40× at the current operating point).</t>
        </is>
      </c>
      <c r="G107" s="69" t="s">
        <v>1009</v>
      </c>
    </row>
    <row r="108" spans="1:7" ht="284" x14ac:dyDescent="0.2">
      <c r="A108" s="17" t="s">
        <v>960</v>
      </c>
      <c r="B108" s="18" t="s">
        <v>961</v>
      </c>
      <c r="C108" s="19" t="s">
        <v>962</v>
      </c>
      <c r="D108" s="149">
        <f>1/(bleach_rate)*60</f>
        <v>0.161618379457</v>
      </c>
      <c r="E108" s="51" t="s">
        <v>963</v>
      </c>
      <c r="G108" s="69" t="s">
        <v>1010</v>
      </c>
    </row>
    <row r="109" spans="1:7" ht="204" x14ac:dyDescent="0.2">
      <c r="A109" s="17" t="s">
        <v>964</v>
      </c>
      <c r="B109" s="18" t="s">
        <v>965</v>
      </c>
      <c r="C109" s="19" t="s">
        <v>966</v>
      </c>
      <c r="D109" s="64" t="str">
        <f>IF(C_eff_Cl2&lt;Cl_onset,"negligible free chlorine ("&amp;TEXT(C_eff_Cl2,"0.00")&amp;" mg/L as Cl₂ &lt; onset); does NOT account for the Exp-2 death - see metal_flag",IF(C_eff_Cl2&lt;Cl_kill,"sub-lethal "&amp;TEXT(C_eff_Cl2,"0.00")&amp;" mg/L as Cl₂ (band "&amp;TEXT(C_eff_lo_Cl2,"0.00")&amp;"-"&amp;TEXT(C_eff_hi_Cl2,"0.00")&amp;"); chloride-pool-bounded, cannot reach the kill threshold in this medium; does NOT explain the death - see metal_flag","SEVERE free chlorine: "&amp;TEXT(C_eff_Cl2,"0.0")&amp;" mg/L as Cl₂ - biofilm/electrode damage (Baek 2021)"))</f>
        <v>sub-lethal 0.34 mg/L as Cl₂ (band 0.01-0.65); chloride-pool-bounded, cannot reach the kill threshold in this medium; does NOT explain the death - see metal_flag</v>
      </c>
      <c r="E109" s="51" t="s">
        <v>1127</v>
      </c>
      <c r="G109" s="69" t="s">
        <v>1011</v>
      </c>
    </row>
    <row r="110" spans="1:7" ht="328" x14ac:dyDescent="0.2">
      <c r="A110" s="17" t="s">
        <v>967</v>
      </c>
      <c r="B110" s="18" t="s">
        <v>968</v>
      </c>
      <c r="C110" s="19" t="s">
        <v>969</v>
      </c>
      <c r="D110" s="64" t="str">
        <f>IF(pH_meas&lt;pH_band_lo,"pH BELOW HOB optimum (&lt;"&amp;TEXT(pH_band_lo,"0.0")&amp;") — reduce the CO₂ dose or lengthen the interval",IF(pH_meas&gt;pH_band_hi,"pH above optimum (&gt;"&amp;TEXT(pH_band_hi,"0.0")&amp;")","pH in HOB band "&amp;TEXT(pH_band_lo,"0.0")&amp;"–"&amp;TEXT(pH_band_hi,"0.0")))</f>
        <v>pH BELOW HOB optimum (&lt;6.5) — reduce the CO₂ dose or lengthen the interval</v>
      </c>
      <c r="E110" s="51" t="s">
        <v>1880</v>
      </c>
      <c r="G110" s="69" t="s">
        <v>1012</v>
      </c>
    </row>
    <row r="112" spans="1:7" ht="16" x14ac:dyDescent="0.2">
      <c r="A112" s="104" t="s">
        <v>970</v>
      </c>
    </row>
    <row r="113" spans="1:5" x14ac:dyDescent="0.2">
      <c r="A113" s="16" t="s">
        <v>971</v>
      </c>
      <c r="B113" s="16" t="s">
        <v>972</v>
      </c>
      <c r="C113" s="16" t="s">
        <v>973</v>
      </c>
      <c r="D113" s="16" t="s">
        <v>974</v>
      </c>
      <c r="E113" s="16" t="s">
        <v>975</v>
      </c>
    </row>
    <row r="114" spans="1:5" x14ac:dyDescent="0.2">
      <c r="A114" s="20" t="s">
        <v>976</v>
      </c>
      <c r="B114" s="20" t="s">
        <v>977</v>
      </c>
      <c r="C114" s="62">
        <f>PT_mc02*1000</f>
        <v>40.007195769524</v>
      </c>
      <c r="D114" s="20" t="s">
        <v>978</v>
      </c>
      <c r="E114" s="20" t="s">
        <v>979</v>
      </c>
    </row>
    <row r="115" spans="1:5" x14ac:dyDescent="0.2">
      <c r="A115" s="20" t="s">
        <v>980</v>
      </c>
      <c r="B115" s="20" t="s">
        <v>981</v>
      </c>
      <c r="C115" s="62">
        <f>PT_udg*1000</f>
        <v>37.329366919027</v>
      </c>
      <c r="D115" s="20" t="s">
        <v>982</v>
      </c>
      <c r="E115" s="20" t="s">
        <v>983</v>
      </c>
    </row>
    <row r="123" spans="1:5" ht="16" x14ac:dyDescent="0.2">
      <c r="A123" s="104"/>
    </row>
    <row r="125" spans="1:5" ht="48" x14ac:dyDescent="0.2">
      <c r="A125" s="17" t="s">
        <v>1061</v>
      </c>
      <c r="B125" s="18" t="s">
        <v>984</v>
      </c>
      <c r="C125" s="19" t="s">
        <v>985</v>
      </c>
      <c r="D125" s="149">
        <f>pH_Cl*pH_fHOCl*M_HOCl</f>
        <v>8.943125554526</v>
      </c>
      <c r="E125" s="51" t="s">
        <v>1460</v>
      </c>
    </row>
    <row r="127" spans="1:5" ht="16" x14ac:dyDescent="0.2">
      <c r="A127" s="104" t="s">
        <v>1064</v>
      </c>
    </row>
    <row r="128" spans="1:5" ht="60" x14ac:dyDescent="0.2">
      <c r="A128" s="17" t="s">
        <v>1065</v>
      </c>
      <c r="B128" s="18" t="s">
        <v>1066</v>
      </c>
      <c r="C128" s="19" t="s">
        <v>1067</v>
      </c>
      <c r="D128" s="146">
        <v>0.5</v>
      </c>
      <c r="E128" s="51" t="s">
        <v>1461</v>
      </c>
    </row>
    <row r="129" spans="1:5" ht="48" x14ac:dyDescent="0.2">
      <c r="A129" s="17" t="s">
        <v>1068</v>
      </c>
      <c r="B129" s="18" t="s">
        <v>1069</v>
      </c>
      <c r="C129" s="19" t="s">
        <v>1070</v>
      </c>
      <c r="D129" s="146">
        <f>km_O2_c*(D_Cl/D_O2_c)^km_exp_c</f>
        <v>0.004044131217</v>
      </c>
      <c r="E129" s="51" t="inlineStr">
        <is>
          <t xml:space="preserve">Scaled from the electrode O₂ mass-transfer coefficient by (D_Cl/D_O2)^0.644, the same correlation as km_HPO4/km_HCO3 (rows 275–276), so it follows a measured km_O2.</t>
        </is>
      </c>
    </row>
    <row r="130" spans="1:5" ht="24" x14ac:dyDescent="0.2">
      <c r="A130" s="17" t="s">
        <v>1071</v>
      </c>
      <c r="B130" s="18" t="s">
        <v>1072</v>
      </c>
      <c r="C130" s="19" t="s">
        <v>1073</v>
      </c>
      <c r="D130" s="141">
        <f>Electrochemistry!$D$46</f>
        <v>2.01337839464</v>
      </c>
      <c r="E130" s="51" t="s">
        <v>1392</v>
      </c>
    </row>
    <row r="131" spans="1:5" x14ac:dyDescent="0.2">
      <c r="A131" s="17" t="s">
        <v>1074</v>
      </c>
      <c r="B131" s="18" t="s">
        <v>1075</v>
      </c>
      <c r="C131" s="19" t="s">
        <v>1076</v>
      </c>
      <c r="D131" s="149">
        <f>Iappc*FE_CER</f>
        <v>0.002845</v>
      </c>
      <c r="E131" s="51" t="s">
        <v>1077</v>
      </c>
    </row>
    <row r="132" spans="1:5" ht="48" x14ac:dyDescent="0.2">
      <c r="A132" s="17" t="s">
        <v>1078</v>
      </c>
      <c r="B132" s="18" t="s">
        <v>1079</v>
      </c>
      <c r="C132" s="19" t="s">
        <v>1076</v>
      </c>
      <c r="D132" s="149">
        <f>n_e_Cl*Fcc*km_Cl*(pH_Cl*Cl_free_frac/1000)*A_anode</f>
        <v>9.584998043788e-05</v>
      </c>
      <c r="E132" s="75" t="inlineStr">
        <is>
          <t xml:space="preserve">i_lim = n_e_Cl·F·k_m·[Cl⁻]·A with n_e_Cl = 2 per NET chloride consumed: Cl₂ hydrolysis (k ≈ 11–22 s⁻¹) is faster than diffusion across the layer (δ²/D ≈ 0.8 s), so the chloride it regenerates is re-oxidised at the surface (the direct route Cl⁻ + H₂O → HOCl + H⁺ + 2e⁻ gives the same). [Cl⁻] in mol/cm³ = pH_Cl/1000. At the anode potential (D256, above the HOCl/Cl⁻ couple) this transport limit is the central estimate, not a cap; the factor 2 rests on where hydrolysis happens.</t>
        </is>
      </c>
    </row>
    <row r="133" spans="1:5" x14ac:dyDescent="0.2">
      <c r="A133" s="17" t="s">
        <v>1080</v>
      </c>
      <c r="B133" s="18" t="s">
        <v>1081</v>
      </c>
      <c r="C133" s="19" t="s">
        <v>1076</v>
      </c>
      <c r="D133" s="149">
        <f>MIN(I_Cl_FE,I_Cl_mt)</f>
        <v>9.584998043788e-05</v>
      </c>
      <c r="E133" s="51" t="s">
        <v>1082</v>
      </c>
    </row>
    <row r="134" spans="1:5" x14ac:dyDescent="0.2">
      <c r="A134" s="17" t="s">
        <v>1083</v>
      </c>
      <c r="B134" s="18" t="s">
        <v>1084</v>
      </c>
      <c r="C134" s="19" t="s">
        <v>1085</v>
      </c>
      <c r="D134" s="149">
        <f>I_Cl/(n_e_Cl*Fcc*VLc)</f>
        <v>3.311383479466e-08</v>
      </c>
      <c r="E134" s="51" t="inlineStr">
        <is>
          <t xml:space="preserve">P_HOCl = I_Cl/(n_e_Cl·F·V), n_e_Cl = 2 on every route (D148); at the transport limit this is k_m·[Cl⁻]·A/V, one HOCl per arriving chloride.</t>
        </is>
      </c>
    </row>
    <row r="135" spans="1:5" x14ac:dyDescent="0.2">
      <c r="A135" s="17" t="s">
        <v>1086</v>
      </c>
      <c r="B135" s="18" t="s">
        <v>1087</v>
      </c>
      <c r="C135" s="19" t="s">
        <v>1088</v>
      </c>
      <c r="D135" s="149">
        <f>pH_NT*MW_N</f>
        <v>99.641138186772</v>
      </c>
      <c r="E135" s="51" t="s">
        <v>1089</v>
      </c>
    </row>
    <row r="136" spans="1:5" ht="36" x14ac:dyDescent="0.2">
      <c r="A136" s="17" t="s">
        <v>1090</v>
      </c>
      <c r="B136" s="18" t="s">
        <v>1091</v>
      </c>
      <c r="C136" s="19" t="s">
        <v>1092</v>
      </c>
      <c r="D136" s="146">
        <v>4200000</v>
      </c>
      <c r="E136" s="51" t="s">
        <v>1093</v>
      </c>
    </row>
    <row r="137" spans="1:5" ht="48" x14ac:dyDescent="0.2">
      <c r="A137" s="17" t="s">
        <v>1094</v>
      </c>
      <c r="B137" s="18" t="s">
        <v>1095</v>
      </c>
      <c r="C137" s="19" t="s">
        <v>1067</v>
      </c>
      <c r="D137" s="148">
        <f>-LOG10(Ka_NH4)</f>
        <v>9.251811972994</v>
      </c>
      <c r="E137" s="51" t="s">
        <v>1481</v>
      </c>
    </row>
    <row r="138" spans="1:5" ht="24" x14ac:dyDescent="0.2">
      <c r="A138" s="17" t="s">
        <v>1096</v>
      </c>
      <c r="B138" s="18" t="s">
        <v>1097</v>
      </c>
      <c r="C138" s="19" t="s">
        <v>1098</v>
      </c>
      <c r="D138" s="149">
        <f>pH_NT/(1+10^(pKa_NH4-pH_op))</f>
        <v>4.758265066161e-06</v>
      </c>
      <c r="E138" s="51" t="s">
        <v>1099</v>
      </c>
    </row>
    <row r="139" spans="1:5" ht="24" x14ac:dyDescent="0.2">
      <c r="A139" s="17" t="s">
        <v>1100</v>
      </c>
      <c r="B139" s="18" t="s">
        <v>1101</v>
      </c>
      <c r="C139" s="19" t="s">
        <v>1098</v>
      </c>
      <c r="D139" s="149">
        <f>P_HOCl/(k1_NH2Cl*NH3_free)</f>
        <v>1.656958212721e-09</v>
      </c>
      <c r="E139" s="51" t="s">
        <v>1102</v>
      </c>
    </row>
    <row r="140" spans="1:5" ht="24" x14ac:dyDescent="0.2">
      <c r="A140" s="17" t="s">
        <v>1103</v>
      </c>
      <c r="B140" s="18" t="s">
        <v>1104</v>
      </c>
      <c r="C140" s="19" t="s">
        <v>1088</v>
      </c>
      <c r="D140" s="149">
        <f>HOCl_ss*M_HOCl</f>
        <v>8.692402783936e-05</v>
      </c>
      <c r="E140" s="51" t="s">
        <v>1105</v>
      </c>
    </row>
    <row r="141" spans="1:5" ht="48" x14ac:dyDescent="0.2">
      <c r="A141" s="17" t="s">
        <v>1106</v>
      </c>
      <c r="B141" s="18" t="s">
        <v>1107</v>
      </c>
      <c r="C141" s="19" t="s">
        <v>1067</v>
      </c>
      <c r="D141" s="146">
        <v>10</v>
      </c>
      <c r="E141" s="51" t="s">
        <v>1108</v>
      </c>
    </row>
    <row r="142" spans="1:5" ht="36" x14ac:dyDescent="0.2">
      <c r="A142" s="17" t="s">
        <v>1109</v>
      </c>
      <c r="B142" s="18" t="s">
        <v>1110</v>
      </c>
      <c r="C142" s="19" t="s">
        <v>1111</v>
      </c>
      <c r="D142" s="146">
        <v>1</v>
      </c>
      <c r="E142" s="51" t="s">
        <v>1112</v>
      </c>
    </row>
    <row r="143" spans="1:5" ht="36" x14ac:dyDescent="0.2">
      <c r="A143" s="17" t="s">
        <v>1113</v>
      </c>
      <c r="B143" s="18" t="s">
        <v>1114</v>
      </c>
      <c r="C143" s="19" t="s">
        <v>1088</v>
      </c>
      <c r="D143" s="149">
        <f>MIN(Cl_pool_mgL*(k_Cl_turn*tau_NH2Cl*3600)/(1+k_Cl_turn*tau_NH2Cl*3600),cl_per_N*NH3_N*M_HOCl/M_Cl2)</f>
        <v>6.25374638398</v>
      </c>
      <c r="E143" s="51" t="inlineStr">
        <is>
          <t xml:space="preserve">Steady combined chlorine, HOCl basis. Chloride is recycled: the pool bounds free + combined chlorine at any instant, and the steady share held as monochloramine is kτ/(1+kτ) with k = k_Cl_turn (D271) and τ its residence. Reduces to production×τ when kτ ≪ 1 and to the pool when kτ ≫ 1. Second argument: breakpoint ammonium capacity (5.06 mg Cl₂/mg N) converted to the HOCl basis; it does not bind in UdG.</t>
        </is>
      </c>
    </row>
    <row r="144" spans="1:5" ht="36" x14ac:dyDescent="0.2">
      <c r="A144" s="17" t="s">
        <v>1116</v>
      </c>
      <c r="B144" s="18" t="s">
        <v>1117</v>
      </c>
      <c r="C144" s="19" t="s">
        <v>1067</v>
      </c>
      <c r="D144" s="146">
        <v>25</v>
      </c>
      <c r="E144" s="51" t="s">
        <v>1118</v>
      </c>
    </row>
    <row r="145" spans="1:5" ht="60" x14ac:dyDescent="0.2">
      <c r="A145" s="17" t="s">
        <v>1119</v>
      </c>
      <c r="B145" s="18" t="s">
        <v>1120</v>
      </c>
      <c r="C145" s="19" t="s">
        <v>1088</v>
      </c>
      <c r="D145" s="149">
        <f>f_local*HOCl_ss_mgL+NH2Cl_mgL/R_chloramine</f>
        <v>0.251019095638</v>
      </c>
      <c r="E145" s="51" t="inlineStr">
        <is>
          <t xml:space="preserve">OPERATIVE bleaching value (HOCl basis): local-weighted free HOCl + combined chlorine ÷ potency. Combined chlorine is the recycling steady state (D143), so it rises with current and residence until it approaches the chloride pool (D149); Summary reports it as Cl₂ (D226).</t>
        </is>
      </c>
    </row>
    <row r="146" spans="1:5" ht="36" x14ac:dyDescent="0.2">
      <c r="A146" s="17" t="s">
        <v>1121</v>
      </c>
      <c r="B146" s="18" t="s">
        <v>1122</v>
      </c>
      <c r="C146" s="19" t="s">
        <v>1088</v>
      </c>
      <c r="D146" s="146">
        <v>0.1</v>
      </c>
      <c r="E146" s="51" t="s">
        <v>1123</v>
      </c>
    </row>
    <row r="147" spans="1:5" ht="24" x14ac:dyDescent="0.2">
      <c r="A147" s="17" t="s">
        <v>1124</v>
      </c>
      <c r="B147" s="18" t="s">
        <v>1125</v>
      </c>
      <c r="C147" s="19" t="s">
        <v>1088</v>
      </c>
      <c r="D147" s="146">
        <v>2</v>
      </c>
      <c r="E147" s="51" t="s">
        <v>1126</v>
      </c>
    </row>
    <row r="148" spans="1:5" ht="72" x14ac:dyDescent="0.2">
      <c r="A148" s="17" t="s">
        <v>1213</v>
      </c>
      <c r="B148" s="18" t="s">
        <v>1214</v>
      </c>
      <c r="C148" s="19" t="s">
        <v>1215</v>
      </c>
      <c r="D148" s="149">
        <f>2</f>
        <v>2.0</v>
      </c>
      <c r="E148" s="51" t="inlineStr">
        <is>
          <t xml:space="preserve">Electrons per HOCl formed and per net chloride consumed — 2 on every route. 2Cl⁻ → Cl₂ + 2e⁻ then Cl₂ + H₂O → HOCl + H⁺ + Cl⁻ is 2 e⁻ per HOCl and 1 net chloride, because the regenerated chloride is re-oxidised inside the diffusion layer; the direct route Cl⁻ + H₂O → HOCl + H⁺ + 2e⁻ is also 2. Used both in the transport-limited current (D132) and in the production rate (D134).</t>
        </is>
      </c>
    </row>
    <row r="149" spans="1:5" ht="36" x14ac:dyDescent="0.2">
      <c r="A149" s="17" t="s">
        <v>1216</v>
      </c>
      <c r="B149" s="18" t="s">
        <v>1217</v>
      </c>
      <c r="C149" s="19" t="s">
        <v>1218</v>
      </c>
      <c r="D149" s="149">
        <f>pH_Cl*M_HOCl</f>
        <v>9.453955667688</v>
      </c>
      <c r="E149" s="51" t="inlineStr">
        <is>
          <t xml:space="preserve">Total chloride pool as HOCl-equivalent; free + combined chlorine cannot exceed it at any instant, and the steady combined share is kτ/(1+kτ) of it (D143). UdG chloride is CaCl₂-derived (a closed batch also depletes it).</t>
        </is>
      </c>
    </row>
    <row r="150" spans="1:5" ht="24" x14ac:dyDescent="0.2">
      <c r="A150" s="17" t="s">
        <v>1220</v>
      </c>
      <c r="B150" s="18" t="s">
        <v>1221</v>
      </c>
      <c r="C150" s="19" t="s">
        <v>1222</v>
      </c>
      <c r="D150" s="146">
        <v>1.6666666666666666E-2</v>
      </c>
      <c r="E150" s="75" t="s">
        <v>1223</v>
      </c>
    </row>
    <row r="151" spans="1:5" ht="24" x14ac:dyDescent="0.2">
      <c r="A151" s="17" t="s">
        <v>1224</v>
      </c>
      <c r="B151" s="18" t="s">
        <v>1225</v>
      </c>
      <c r="C151" s="19" t="s">
        <v>1226</v>
      </c>
      <c r="D151" s="146">
        <v>5</v>
      </c>
      <c r="E151" s="75" t="s">
        <v>1227</v>
      </c>
    </row>
    <row r="152" spans="1:5" ht="24" x14ac:dyDescent="0.2">
      <c r="A152" s="17" t="s">
        <v>1228</v>
      </c>
      <c r="B152" s="18" t="s">
        <v>1229</v>
      </c>
      <c r="C152" s="19" t="s">
        <v>1230</v>
      </c>
      <c r="D152" s="146">
        <v>18</v>
      </c>
      <c r="E152" s="75" t="s">
        <v>1231</v>
      </c>
    </row>
    <row r="153" spans="1:5" x14ac:dyDescent="0.2">
      <c r="A153" s="17" t="s">
        <v>1232</v>
      </c>
      <c r="B153" s="18" t="s">
        <v>1233</v>
      </c>
      <c r="C153" s="19" t="s">
        <v>1234</v>
      </c>
      <c r="D153" s="146">
        <v>70</v>
      </c>
      <c r="E153" s="75" t="s">
        <v>1235</v>
      </c>
    </row>
    <row r="154" spans="1:5" x14ac:dyDescent="0.2">
      <c r="A154" s="17" t="s">
        <v>1236</v>
      </c>
      <c r="B154" s="18" t="s">
        <v>1237</v>
      </c>
      <c r="C154" s="19" t="s">
        <v>1238</v>
      </c>
      <c r="D154" s="149">
        <f>MIN(Cl_pool_mgL*(k_Cl_turn*tau_NH2Cl_lo*3600)/(1+k_Cl_turn*tau_NH2Cl_lo*3600),cl_per_N*NH3_N*M_HOCl/M_Cl2)</f>
        <v>0.298198130773</v>
      </c>
      <c r="E154" s="51" t="inlineStr">
        <is>
          <t xml:space="preserve">Combined chlorine at the low-τ bound, recycling steady state (as D143)</t>
        </is>
      </c>
    </row>
    <row r="155" spans="1:5" x14ac:dyDescent="0.2">
      <c r="A155" s="17" t="s">
        <v>1240</v>
      </c>
      <c r="B155" s="18" t="s">
        <v>1241</v>
      </c>
      <c r="C155" s="19" t="s">
        <v>1242</v>
      </c>
      <c r="D155" s="149">
        <f>MIN(Cl_pool_mgL*(k_Cl_turn*tau_NH2Cl_hi*3600)/(1+k_Cl_turn*tau_NH2Cl_hi*3600),cl_per_N*NH3_N*M_HOCl/M_Cl2)</f>
        <v>8.57621949016</v>
      </c>
      <c r="E155" s="51" t="inlineStr">
        <is>
          <t xml:space="preserve">Combined chlorine at the high-τ bound, recycling steady state (as D143)</t>
        </is>
      </c>
    </row>
    <row r="156" spans="1:5" x14ac:dyDescent="0.2">
      <c r="A156" s="17" t="s">
        <v>1244</v>
      </c>
      <c r="B156" s="18" t="s">
        <v>1245</v>
      </c>
      <c r="C156" s="19" t="s">
        <v>1246</v>
      </c>
      <c r="D156" s="149">
        <f>f_local*HOCl_ss_mgL+NH2Cl_lo/R_chloramine_hi</f>
        <v>0.005129213575</v>
      </c>
      <c r="E156" s="51" t="s">
        <v>1247</v>
      </c>
    </row>
    <row r="157" spans="1:5" ht="24" x14ac:dyDescent="0.2">
      <c r="A157" s="17" t="s">
        <v>1248</v>
      </c>
      <c r="B157" s="18" t="s">
        <v>1249</v>
      </c>
      <c r="C157" s="19" t="s">
        <v>1250</v>
      </c>
      <c r="D157" s="149">
        <f>f_local*HOCl_ss_mgL+NH2Cl_hi/R_chloramine_lo</f>
        <v>0.477325878621</v>
      </c>
      <c r="E157" s="51" t="s">
        <v>1251</v>
      </c>
    </row>
    <row r="158" spans="1:5" ht="24" x14ac:dyDescent="0.2">
      <c r="A158" s="17" t="s">
        <v>1252</v>
      </c>
      <c r="B158" s="18" t="s">
        <v>1253</v>
      </c>
      <c r="C158" s="19" t="s">
        <v>1254</v>
      </c>
      <c r="D158" s="52"/>
      <c r="E158" s="57" t="s">
        <v>1255</v>
      </c>
    </row>
    <row r="159" spans="1:5" x14ac:dyDescent="0.2">
      <c r="A159" s="17" t="s">
        <v>1256</v>
      </c>
      <c r="B159" s="18" t="s">
        <v>1257</v>
      </c>
      <c r="C159" s="19" t="s">
        <v>1258</v>
      </c>
      <c r="D159" s="146">
        <v>63.55</v>
      </c>
      <c r="E159" s="51" t="s">
        <v>1259</v>
      </c>
    </row>
    <row r="160" spans="1:5" x14ac:dyDescent="0.2">
      <c r="A160" s="17" t="s">
        <v>1260</v>
      </c>
      <c r="B160" s="18" t="s">
        <v>1261</v>
      </c>
      <c r="C160" s="19" t="s">
        <v>1262</v>
      </c>
      <c r="D160" s="146">
        <v>2</v>
      </c>
      <c r="E160" s="51" t="s">
        <v>1263</v>
      </c>
    </row>
    <row r="161" spans="1:5" ht="24" x14ac:dyDescent="0.2">
      <c r="A161" s="17" t="s">
        <v>1264</v>
      </c>
      <c r="B161" s="18" t="s">
        <v>1265</v>
      </c>
      <c r="C161" s="19" t="s">
        <v>1266</v>
      </c>
      <c r="D161" s="149" t="e">
        <f>IF(ISNUMBER(corr_I_frac),corr_I_frac*Iappc/(metal_z*Fcc)*metal_MW*1000*3600/VLc,NA())</f>
        <v>#N/A</v>
      </c>
      <c r="E161" s="57" t="s">
        <v>1267</v>
      </c>
    </row>
    <row r="162" spans="1:5" ht="24" x14ac:dyDescent="0.2">
      <c r="A162" s="17" t="s">
        <v>1268</v>
      </c>
      <c r="B162" s="18" t="s">
        <v>1269</v>
      </c>
      <c r="C162" s="19" t="s">
        <v>1270</v>
      </c>
      <c r="D162" s="146">
        <v>0.5</v>
      </c>
      <c r="E162" s="51" t="s">
        <v>1271</v>
      </c>
    </row>
    <row r="163" spans="1:5" x14ac:dyDescent="0.2">
      <c r="A163" s="17" t="s">
        <v>1272</v>
      </c>
      <c r="B163" s="18" t="s">
        <v>1273</v>
      </c>
      <c r="C163" s="19" t="s">
        <v>1274</v>
      </c>
      <c r="D163" s="64"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s="57" t="s">
        <v>1275</v>
      </c>
    </row>
    <row r="165" spans="1:5" x14ac:dyDescent="0.2">
      <c r="A165" s="5" t="s">
        <v>1482</v>
      </c>
    </row>
    <row r="166" spans="1:5" ht="36" x14ac:dyDescent="0.2">
      <c r="A166" t="s">
        <v>1483</v>
      </c>
      <c r="B166" s="18" t="s">
        <v>1484</v>
      </c>
      <c r="C166" s="19" t="s">
        <v>1485</v>
      </c>
      <c r="D166" s="146">
        <v>50.08</v>
      </c>
      <c r="E166" s="99" t="s">
        <v>1486</v>
      </c>
    </row>
    <row r="167" spans="1:5" ht="36" x14ac:dyDescent="0.2">
      <c r="A167" t="s">
        <v>1487</v>
      </c>
      <c r="B167" s="18" t="s">
        <v>1488</v>
      </c>
      <c r="C167" s="19" t="s">
        <v>1485</v>
      </c>
      <c r="D167" s="146">
        <v>73.48</v>
      </c>
      <c r="E167" s="99" t="s">
        <v>1486</v>
      </c>
    </row>
    <row r="168" spans="1:5" ht="36" x14ac:dyDescent="0.2">
      <c r="A168" t="s">
        <v>1489</v>
      </c>
      <c r="B168" s="18" t="s">
        <v>1490</v>
      </c>
      <c r="C168" s="19" t="s">
        <v>1485</v>
      </c>
      <c r="D168" s="146">
        <v>73.5</v>
      </c>
      <c r="E168" s="99" t="s">
        <v>1486</v>
      </c>
    </row>
    <row r="169" spans="1:5" ht="36" x14ac:dyDescent="0.2">
      <c r="A169" t="s">
        <v>1491</v>
      </c>
      <c r="B169" s="18" t="s">
        <v>1492</v>
      </c>
      <c r="C169" s="19" t="s">
        <v>1485</v>
      </c>
      <c r="D169" s="146">
        <v>106</v>
      </c>
      <c r="E169" s="99" t="s">
        <v>1486</v>
      </c>
    </row>
    <row r="170" spans="1:5" ht="36" x14ac:dyDescent="0.2">
      <c r="A170" t="s">
        <v>1493</v>
      </c>
      <c r="B170" s="18" t="s">
        <v>1494</v>
      </c>
      <c r="C170" s="19" t="s">
        <v>1485</v>
      </c>
      <c r="D170" s="146">
        <v>118.94</v>
      </c>
      <c r="E170" s="99" t="s">
        <v>1486</v>
      </c>
    </row>
    <row r="171" spans="1:5" ht="36" x14ac:dyDescent="0.2">
      <c r="A171" t="s">
        <v>1495</v>
      </c>
      <c r="B171" s="18" t="s">
        <v>1496</v>
      </c>
      <c r="C171" s="19" t="s">
        <v>1485</v>
      </c>
      <c r="D171" s="146">
        <v>36</v>
      </c>
      <c r="E171" s="99" t="s">
        <v>1486</v>
      </c>
    </row>
    <row r="172" spans="1:5" ht="36" x14ac:dyDescent="0.2">
      <c r="A172" t="s">
        <v>1497</v>
      </c>
      <c r="B172" s="18" t="s">
        <v>1498</v>
      </c>
      <c r="C172" s="19" t="s">
        <v>1485</v>
      </c>
      <c r="D172" s="146">
        <v>114</v>
      </c>
      <c r="E172" s="99" t="s">
        <v>1486</v>
      </c>
    </row>
    <row r="173" spans="1:5" ht="36" x14ac:dyDescent="0.2">
      <c r="A173" t="s">
        <v>1499</v>
      </c>
      <c r="B173" s="18" t="s">
        <v>1500</v>
      </c>
      <c r="C173" s="19" t="s">
        <v>1485</v>
      </c>
      <c r="D173" s="146">
        <v>160</v>
      </c>
      <c r="E173" s="99" t="s">
        <v>1486</v>
      </c>
    </row>
    <row r="174" spans="1:5" ht="36" x14ac:dyDescent="0.2">
      <c r="A174" t="s">
        <v>1501</v>
      </c>
      <c r="B174" s="18" t="s">
        <v>1502</v>
      </c>
      <c r="C174" s="19" t="s">
        <v>1485</v>
      </c>
      <c r="D174" s="146">
        <v>44.5</v>
      </c>
      <c r="E174" s="99" t="s">
        <v>1486</v>
      </c>
    </row>
    <row r="175" spans="1:5" ht="36" x14ac:dyDescent="0.2">
      <c r="A175" t="s">
        <v>1503</v>
      </c>
      <c r="B175" s="18" t="s">
        <v>1504</v>
      </c>
      <c r="C175" s="19" t="s">
        <v>1485</v>
      </c>
      <c r="D175" s="146">
        <v>76.31</v>
      </c>
      <c r="E175" s="99" t="s">
        <v>1486</v>
      </c>
    </row>
    <row r="176" spans="1:5" ht="36" x14ac:dyDescent="0.2">
      <c r="A176" t="s">
        <v>1505</v>
      </c>
      <c r="B176" s="18" t="s">
        <v>1506</v>
      </c>
      <c r="C176" s="19" t="s">
        <v>1507</v>
      </c>
      <c r="D176" s="141">
        <f>(2*mc_Na2HPO4/MW_Na2HPO4*lam_Na+mc_NaH2PO4_2H2O/MW_NaH2PO4_2H2O*lam_Na+2*mc_K2SO4/MW_K2SO4*lam_K+2*mc_NH42SO4/MW_NH42SO4*lam_NH4+mc_MgSO4_7H2O/MW_MgSO4_7H2O*lam_Mg+mc_CaSO4_2H2O/MW_CaSO4_2H2O*lam_Ca+mc_Na2HPO4/MW_Na2HPO4*lam_HPO4+mc_NaH2PO4_2H2O/MW_NaH2PO4_2H2O*lam_H2PO4+(mc_K2SO4/MW_K2SO4+mc_MgSO4_7H2O/MW_MgSO4_7H2O+mc_CaSO4_2H2O/MW_CaSO4_2H2O+mc_NH42SO4/MW_NH42SO4)*lam_SO4)/10</f>
        <v>0.956659526802</v>
      </c>
      <c r="E176" s="67" t="s">
        <v>1508</v>
      </c>
    </row>
    <row r="177" spans="1:5" x14ac:dyDescent="0.2">
      <c r="A177" t="s">
        <v>1509</v>
      </c>
      <c r="B177" s="18" t="s">
        <v>1510</v>
      </c>
      <c r="C177" s="19" t="s">
        <v>1507</v>
      </c>
      <c r="D177" s="141">
        <f>((udg_NaHCO3/MW_NaHCO3+2*udg_Na2HPO4/MW_Na2HPO4)*lam_Na+udg_KH2PO4/MW_KH2PO4*lam_K+2*udg_NH42SO4/MW_NH42SO4*lam_NH4+udg_MgSO4_7H2O/MW_MgSO4_7H2O*lam_Mg+udg_CaCl2/MW_CaCl2*lam_Ca+udg_Na2HPO4/MW_Na2HPO4*lam_HPO4+udg_KH2PO4/MW_KH2PO4*lam_H2PO4+(udg_MgSO4_7H2O/MW_MgSO4_7H2O+udg_NH42SO4/MW_NH42SO4)*lam_SO4+udg_NaHCO3/MW_NaHCO3*lam_HCO3+2*udg_CaCl2/MW_CaCl2*lam_Cl)/10</f>
        <v>0.90634186802</v>
      </c>
      <c r="E177" s="67" t="s">
        <v>1511</v>
      </c>
    </row>
    <row r="178" spans="1:5" ht="72" x14ac:dyDescent="0.2">
      <c r="A178" t="s">
        <v>1512</v>
      </c>
      <c r="B178" s="18" t="s">
        <v>1513</v>
      </c>
      <c r="C178" s="19" t="s">
        <v>1274</v>
      </c>
      <c r="D178" s="146">
        <v>0.78</v>
      </c>
      <c r="E178" s="75" t="s">
        <v>1514</v>
      </c>
    </row>
    <row r="179" spans="1:5" ht="48" x14ac:dyDescent="0.2">
      <c r="A179" t="s">
        <v>1515</v>
      </c>
      <c r="B179" s="18" t="s">
        <v>1516</v>
      </c>
      <c r="C179" s="19" t="s">
        <v>1517</v>
      </c>
      <c r="D179" s="146">
        <v>0.02</v>
      </c>
      <c r="E179" s="67" t="s">
        <v>1518</v>
      </c>
    </row>
    <row r="180" spans="1:5" ht="24" x14ac:dyDescent="0.2">
      <c r="A180" t="s">
        <v>1519</v>
      </c>
      <c r="B180" s="18" t="s">
        <v>1520</v>
      </c>
      <c r="C180" s="19" t="s">
        <v>1507</v>
      </c>
      <c r="D180" s="141">
        <f>IF(media_sel=INDEX(MediaList,1),kappa0_mc02,IF(media_sel=INDEX(MediaList,2),kappa0_udg,NA()))*kappa_fI*(1+kappa_TC*(TKc-T_ref))</f>
        <v>0.706946657056</v>
      </c>
      <c r="E180" s="67" t="s">
        <v>1521</v>
      </c>
    </row>
    <row r="182" spans="1:5" x14ac:dyDescent="0.2">
      <c r="A182" s="5" t="s">
        <v>1522</v>
      </c>
    </row>
    <row r="183" spans="1:5" ht="36" x14ac:dyDescent="0.2">
      <c r="A183" t="s">
        <v>1523</v>
      </c>
      <c r="B183" s="18" t="s">
        <v>1524</v>
      </c>
      <c r="C183" s="19" t="s">
        <v>1098</v>
      </c>
      <c r="D183" s="141">
        <f>0.5*(2*mc_Na2HPO4/MW_Na2HPO4+mc_NaH2PO4_2H2O/MW_NaH2PO4_2H2O+2*mc_K2SO4/MW_K2SO4+2*mc_NH42SO4/MW_NH42SO4+4*mc_MgSO4_7H2O/MW_MgSO4_7H2O+4*mc_CaSO4_2H2O/MW_CaSO4_2H2O+mc_NaH2PO4_2H2O/MW_NaH2PO4_2H2O+4*mc_Na2HPO4/MW_Na2HPO4+4*(mc_K2SO4/MW_K2SO4+mc_MgSO4_7H2O/MW_MgSO4_7H2O+mc_CaSO4_2H2O/MW_CaSO4_2H2O+mc_NH42SO4/MW_NH42SO4))</f>
        <v>0.120365489933</v>
      </c>
      <c r="E183" s="67" t="s">
        <v>1525</v>
      </c>
    </row>
    <row r="184" spans="1:5" x14ac:dyDescent="0.2">
      <c r="A184" t="s">
        <v>1526</v>
      </c>
      <c r="B184" s="18" t="s">
        <v>1527</v>
      </c>
      <c r="C184" s="19" t="s">
        <v>1098</v>
      </c>
      <c r="D184" s="141">
        <f>0.5*((udg_NaHCO3/MW_NaHCO3+2*udg_Na2HPO4/MW_Na2HPO4)+udg_KH2PO4/MW_KH2PO4+2*udg_NH42SO4/MW_NH42SO4+4*udg_MgSO4_7H2O/MW_MgSO4_7H2O+4*udg_CaCl2/MW_CaCl2+udg_KH2PO4/MW_KH2PO4+4*udg_Na2HPO4/MW_Na2HPO4+4*(udg_MgSO4_7H2O/MW_MgSO4_7H2O+udg_NH42SO4/MW_NH42SO4)+udg_NaHCO3/MW_NaHCO3+2*udg_CaCl2/MW_CaCl2)</f>
        <v>0.109739973238</v>
      </c>
      <c r="E184" s="67" t="s">
        <v>1511</v>
      </c>
    </row>
    <row r="185" spans="1:5" x14ac:dyDescent="0.2">
      <c r="A185" t="s">
        <v>1528</v>
      </c>
      <c r="B185" s="18" t="s">
        <v>1529</v>
      </c>
      <c r="C185" s="19" t="s">
        <v>1098</v>
      </c>
      <c r="D185" s="141">
        <f>IF(media_sel=INDEX(MediaList,1),I_mc02,IF(media_sel=INDEX(MediaList,2),I_udg,NA()))</f>
        <v>0.109739973238</v>
      </c>
      <c r="E185" s="67" t="s">
        <v>947</v>
      </c>
    </row>
    <row r="186" spans="1:5" ht="36" x14ac:dyDescent="0.2">
      <c r="A186" t="s">
        <v>1530</v>
      </c>
      <c r="B186" s="18" t="s">
        <v>1531</v>
      </c>
      <c r="C186" s="19" t="s">
        <v>1274</v>
      </c>
      <c r="D186" s="141">
        <f>DH_const*(eps_water_298*(T_ref/TKc)^eps_T_exp)^-1.5*TKc^-1.5</f>
        <v>0.507905390447</v>
      </c>
      <c r="E186" s="67" t="s">
        <v>1532</v>
      </c>
    </row>
    <row r="187" spans="1:5" ht="36" x14ac:dyDescent="0.2">
      <c r="A187" t="s">
        <v>1533</v>
      </c>
      <c r="B187" s="18" t="s">
        <v>1534</v>
      </c>
      <c r="C187" s="19" t="s">
        <v>1274</v>
      </c>
      <c r="D187" s="141">
        <f>10^(-A_DH*1*(SQRT(I_ionic)/(1+SQRT(I_ionic))-davies_c*I_ionic))</f>
        <v>0.776846550354</v>
      </c>
      <c r="E187" s="67" t="s">
        <v>1535</v>
      </c>
    </row>
    <row r="188" spans="1:5" ht="36" x14ac:dyDescent="0.2">
      <c r="A188" t="s">
        <v>1536</v>
      </c>
      <c r="B188" s="18" t="s">
        <v>1537</v>
      </c>
      <c r="C188" s="19" t="s">
        <v>1274</v>
      </c>
      <c r="D188" s="141">
        <f>10^(-A_DH*4*(SQRT(I_ionic)/(1+SQRT(I_ionic))-davies_c*I_ionic))</f>
        <v>0.364200859384</v>
      </c>
      <c r="E188" s="67" t="s">
        <v>1535</v>
      </c>
    </row>
    <row r="189" spans="1:5" ht="36" x14ac:dyDescent="0.2">
      <c r="A189" t="s">
        <v>1538</v>
      </c>
      <c r="B189" s="18" t="s">
        <v>1539</v>
      </c>
      <c r="C189" s="19" t="s">
        <v>1274</v>
      </c>
      <c r="D189" s="141">
        <f>10^(-A_DH*9*(SQRT(I_ionic)/(1+SQRT(I_ionic))-davies_c*I_ionic))</f>
        <v>0.103042686755</v>
      </c>
      <c r="E189" s="67" t="s">
        <v>1535</v>
      </c>
    </row>
    <row r="190" spans="1:5" ht="36" x14ac:dyDescent="0.2">
      <c r="A190" t="s">
        <v>1540</v>
      </c>
      <c r="B190" s="18" t="s">
        <v>1541</v>
      </c>
      <c r="C190" s="19" t="s">
        <v>1098</v>
      </c>
      <c r="D190" s="141">
        <f>Ka1c/gamma_1^2</f>
        <v>7.373768993803e-07</v>
      </c>
      <c r="E190" s="67" t="s">
        <v>1542</v>
      </c>
    </row>
    <row r="191" spans="1:5" ht="36" x14ac:dyDescent="0.2">
      <c r="A191" t="s">
        <v>1543</v>
      </c>
      <c r="B191" s="18" t="s">
        <v>1544</v>
      </c>
      <c r="C191" s="19" t="s">
        <v>1098</v>
      </c>
      <c r="D191" s="141">
        <f>Ka2c/gamma_2</f>
        <v>1.287750942688e-10</v>
      </c>
      <c r="E191" s="67" t="s">
        <v>1545</v>
      </c>
    </row>
    <row r="192" spans="1:5" ht="36" x14ac:dyDescent="0.2">
      <c r="A192" t="s">
        <v>1546</v>
      </c>
      <c r="B192" s="18" t="s">
        <v>1547</v>
      </c>
      <c r="C192" s="19" t="s">
        <v>1098</v>
      </c>
      <c r="D192" s="141">
        <f>Ka1p/gamma_1^2</f>
        <v>0.011764889855</v>
      </c>
      <c r="E192" s="67" t="s">
        <v>1548</v>
      </c>
    </row>
    <row r="193" spans="1:5" ht="60" x14ac:dyDescent="0.2">
      <c r="A193" t="s">
        <v>1549</v>
      </c>
      <c r="B193" s="18" t="s">
        <v>1550</v>
      </c>
      <c r="C193" s="19" t="s">
        <v>1098</v>
      </c>
      <c r="D193" s="141">
        <f>Ka2p/gamma_2</f>
        <v>1.732560436751e-07</v>
      </c>
      <c r="E193" s="67" t="s">
        <v>1551</v>
      </c>
    </row>
    <row r="194" spans="1:5" ht="36" x14ac:dyDescent="0.2">
      <c r="A194" t="s">
        <v>1552</v>
      </c>
      <c r="B194" s="18" t="s">
        <v>1553</v>
      </c>
      <c r="C194" s="19" t="s">
        <v>1098</v>
      </c>
      <c r="D194" s="141">
        <f>Ka3p*gamma_2/(gamma_1*gamma_3)</f>
        <v>1.910899474681e-12</v>
      </c>
      <c r="E194" s="67" t="s">
        <v>1554</v>
      </c>
    </row>
    <row r="195" spans="1:5" ht="24" x14ac:dyDescent="0.2">
      <c r="A195" t="s">
        <v>1555</v>
      </c>
      <c r="B195" s="18" t="s">
        <v>1556</v>
      </c>
      <c r="C195" s="19" t="s">
        <v>1098</v>
      </c>
      <c r="D195" s="141">
        <f>Kw_w/gamma_1^2</f>
        <v>1.65702674018e-14</v>
      </c>
      <c r="E195" s="67" t="s">
        <v>1557</v>
      </c>
    </row>
    <row r="196" spans="1:5" ht="36" x14ac:dyDescent="0.2">
      <c r="A196" t="s">
        <v>1558</v>
      </c>
      <c r="B196" s="18" t="s">
        <v>1559</v>
      </c>
      <c r="C196" s="19" t="s">
        <v>1098</v>
      </c>
      <c r="D196" s="141">
        <f>Ka_HOCl/gamma_1^2</f>
        <v>4.778917320203e-08</v>
      </c>
      <c r="E196" s="67" t="s">
        <v>1560</v>
      </c>
    </row>
    <row r="197" spans="1:5" ht="36" x14ac:dyDescent="0.2">
      <c r="A197" t="s">
        <v>1561</v>
      </c>
      <c r="B197" s="18" t="s">
        <v>1562</v>
      </c>
      <c r="C197" s="19" t="s">
        <v>1098</v>
      </c>
      <c r="D197" s="141">
        <f>Ka_NH4</f>
        <v>5.6e-10</v>
      </c>
      <c r="E197" s="99" t="s">
        <v>1563</v>
      </c>
    </row>
    <row r="199" spans="1:5" x14ac:dyDescent="0.2">
      <c r="A199" s="5" t="s">
        <v>1564</v>
      </c>
    </row>
    <row r="200" spans="1:5" x14ac:dyDescent="0.2">
      <c r="A200" t="s">
        <v>1565</v>
      </c>
      <c r="B200" s="18" t="s">
        <v>1566</v>
      </c>
      <c r="C200" s="19" t="s">
        <v>1567</v>
      </c>
      <c r="D200" s="141">
        <f>R_gas*TKc/Fcc*LN(10)</f>
        <v>0.059159349686</v>
      </c>
      <c r="E200" s="99" t="s">
        <v>1568</v>
      </c>
    </row>
    <row r="201" spans="1:5" ht="36" x14ac:dyDescent="0.2">
      <c r="A201" t="s">
        <v>1569</v>
      </c>
      <c r="B201" s="18" t="s">
        <v>1570</v>
      </c>
      <c r="C201" s="19" t="s">
        <v>1571</v>
      </c>
      <c r="D201" s="146">
        <v>1.2290000000000001</v>
      </c>
      <c r="E201" s="99" t="s">
        <v>1572</v>
      </c>
    </row>
    <row r="202" spans="1:5" ht="24" x14ac:dyDescent="0.2">
      <c r="A202" t="s">
        <v>1573</v>
      </c>
      <c r="B202" s="18" t="s">
        <v>1574</v>
      </c>
      <c r="C202" s="19" t="s">
        <v>1571</v>
      </c>
      <c r="D202" s="146">
        <v>0</v>
      </c>
      <c r="E202" s="99" t="s">
        <v>1575</v>
      </c>
    </row>
    <row r="203" spans="1:5" x14ac:dyDescent="0.2">
      <c r="A203" t="s">
        <v>1576</v>
      </c>
      <c r="B203" s="18" t="s">
        <v>1577</v>
      </c>
      <c r="C203" s="19" t="s">
        <v>1571</v>
      </c>
      <c r="D203" s="146">
        <v>1.3580000000000001</v>
      </c>
      <c r="E203" s="99" t="s">
        <v>1578</v>
      </c>
    </row>
    <row r="204" spans="1:5" x14ac:dyDescent="0.2">
      <c r="A204" t="s">
        <v>1579</v>
      </c>
      <c r="B204" s="18" t="s">
        <v>1580</v>
      </c>
      <c r="C204" s="19" t="s">
        <v>1571</v>
      </c>
      <c r="D204" s="146">
        <v>0.69499999999999995</v>
      </c>
      <c r="E204" s="99" t="s">
        <v>1581</v>
      </c>
    </row>
    <row r="205" spans="1:5" x14ac:dyDescent="0.2">
      <c r="A205" t="s">
        <v>1582</v>
      </c>
      <c r="B205" s="18" t="s">
        <v>1583</v>
      </c>
      <c r="C205" s="19" t="s">
        <v>1571</v>
      </c>
      <c r="D205" s="146">
        <v>0.34189999999999998</v>
      </c>
      <c r="E205" s="99" t="s">
        <v>1578</v>
      </c>
    </row>
    <row r="206" spans="1:5" ht="24" x14ac:dyDescent="0.2">
      <c r="A206" t="s">
        <v>1584</v>
      </c>
      <c r="B206" s="18" t="s">
        <v>1585</v>
      </c>
      <c r="C206" s="19" t="s">
        <v>1571</v>
      </c>
      <c r="D206" s="141">
        <f>E0_OER-nernst_slope*pH_meas</f>
        <v>0.862973862131</v>
      </c>
      <c r="E206" s="99" t="s">
        <v>1586</v>
      </c>
    </row>
    <row r="207" spans="1:5" x14ac:dyDescent="0.2">
      <c r="A207" t="s">
        <v>1587</v>
      </c>
      <c r="B207" s="18" t="s">
        <v>1588</v>
      </c>
      <c r="C207" s="19" t="s">
        <v>1571</v>
      </c>
      <c r="D207" s="141">
        <f>E0_HER-nernst_slope*pH_meas</f>
        <v>-0.366026137869</v>
      </c>
      <c r="E207" s="99" t="s">
        <v>1589</v>
      </c>
    </row>
    <row r="208" spans="1:5" ht="24" x14ac:dyDescent="0.2">
      <c r="A208" t="inlineStr">
        <is>
          <t xml:space="preserve">Cl₂/Cl⁻ potential at the medium chloride (Cl₂ gas at 1 atm, reference only)</t>
        </is>
      </c>
      <c r="B208" s="18" t="s">
        <v>1591</v>
      </c>
      <c r="C208" s="19" t="s">
        <v>1571</v>
      </c>
      <c r="D208" s="141">
        <f>E0_Cl2+nernst_slope*(-LOG10(MAX(pH_Cl,Cl_floor_molL)))</f>
        <v>1.579505308204</v>
      </c>
      <c r="E208" s="67" t="s">
        <v>1592</v>
      </c>
    </row>
    <row r="209" spans="1:5" ht="60" x14ac:dyDescent="0.2">
      <c r="A209" t="inlineStr">
        <is>
          <t xml:space="preserve">HOCl/Cl⁻ couple minus operating anode potential</t>
        </is>
      </c>
      <c r="B209" s="18" t="s">
        <v>1594</v>
      </c>
      <c r="C209" s="19" t="s">
        <v>1595</v>
      </c>
      <c r="D209" s="141">
        <f>E_HOCl_Cl-E_anode_op</f>
        <v>-0.427526934687</v>
      </c>
      <c r="E209" s="67" t="inlineStr">
        <is>
          <t xml:space="preserve">Negative = the anode sits above the HOCl/Cl⁻ couple, so chloride oxidation is thermodynamically accessible and, on Pt, transport-limited (Chemistry D132). Cl₂ gas at 1 atm (D208) is a reference only: at trace chloride the product is HOCl.</t>
        </is>
      </c>
    </row>
    <row r="210" spans="1:5" ht="48" x14ac:dyDescent="0.2">
      <c r="A210" t="s">
        <v>1597</v>
      </c>
      <c r="B210" s="18" t="s">
        <v>1598</v>
      </c>
      <c r="C210" s="19" t="s">
        <v>1571</v>
      </c>
      <c r="D210" s="141">
        <f>E0_ORR2-nernst_slope*pH_meas</f>
        <v>0.328973862131</v>
      </c>
      <c r="E210" s="67" t="s">
        <v>1599</v>
      </c>
    </row>
    <row r="211" spans="1:5" ht="48" x14ac:dyDescent="0.2">
      <c r="A211" t="inlineStr">
        <is>
          <t xml:space="preserve">Operating anode potential above Cu²⁺/Cu</t>
        </is>
      </c>
      <c r="B211" s="18" t="s">
        <v>1601</v>
      </c>
      <c r="C211" s="19" t="s">
        <v>1595</v>
      </c>
      <c r="D211" s="141">
        <f>E_anode_op-E0_Cu</f>
        <v>1.265216285627</v>
      </c>
      <c r="E211" s="67" t="s">
        <v>1602</v>
      </c>
    </row>
    <row r="213" spans="1:5" x14ac:dyDescent="0.2">
      <c r="A213" s="5" t="s">
        <v>1603</v>
      </c>
    </row>
    <row r="214" spans="1:5" ht="24" x14ac:dyDescent="0.2">
      <c r="A214" t="s">
        <v>1604</v>
      </c>
      <c r="B214" s="18" t="s">
        <v>1605</v>
      </c>
      <c r="C214" s="19" t="s">
        <v>577</v>
      </c>
      <c r="D214" s="146">
        <v>7.5899999999999996E-10</v>
      </c>
      <c r="E214" s="99" t="s">
        <v>1606</v>
      </c>
    </row>
    <row r="215" spans="1:5" ht="60" x14ac:dyDescent="0.2">
      <c r="A215" t="inlineStr">
        <is>
          <t xml:space="preserve">Diffusion layer thickness for O₂ (derived, display only)</t>
        </is>
      </c>
      <c r="B215" s="18" t="s">
        <v>1608</v>
      </c>
      <c r="C215" s="19" t="s">
        <v>580</v>
      </c>
      <c r="D215" s="141">
        <f>D_O2_c/(km_O2_c/100)*1000000</f>
        <v>49.941807960105</v>
      </c>
      <c r="E215" s="67" t="inlineStr">
        <is>
          <t xml:space="preserve">δ = D_O₂/k_m(O₂), display only — the buffer limit uses species-specific k_m (D275–D276); δ_i ∝ D_i^0.356 under the same correlation, so a single fixed δ is not used.</t>
        </is>
      </c>
    </row>
    <row r="216" spans="1:5" ht="60" x14ac:dyDescent="0.2">
      <c r="A216" t="s">
        <v>1610</v>
      </c>
      <c r="B216" s="18" t="s">
        <v>1611</v>
      </c>
      <c r="C216" s="19" t="s">
        <v>1282</v>
      </c>
      <c r="D216" s="141">
        <f>Fcc*((km_HPO4/100)*HPO4_op+(km_HCO3/100)*HCO3_op)*1000/10</f>
        <v>8.598724981667</v>
      </c>
      <c r="E216" s="67" t="inlineStr">
        <is>
          <t xml:space="preserve">j_lim = F·Σ k_m,i·C_i over the proton acceptors reaching the anode: hydrogen phosphate and bicarbonate (D252–D253), each with its own k_m scaled from km_O2 (D275–D276), so the verdict hangs on the one ferricyanide-measurable coefficient. At the CO₂-dosed operating point bicarbonate is the larger term; at air equilibrium it falls to ~0.4 mM and the phosphate term alone applies, so re-read this verdict whenever the schedule changes.</t>
        </is>
      </c>
    </row>
    <row r="217" spans="1:5" x14ac:dyDescent="0.2">
      <c r="A217" t="s">
        <v>1613</v>
      </c>
      <c r="B217" s="18" t="s">
        <v>1614</v>
      </c>
      <c r="C217" s="19" t="s">
        <v>1282</v>
      </c>
      <c r="D217" s="141">
        <f>Electrochemistry!$D$48</f>
        <v>2.826095688296</v>
      </c>
      <c r="E217" s="67" t="s">
        <v>1615</v>
      </c>
    </row>
    <row r="218" spans="1:5" ht="48" x14ac:dyDescent="0.2">
      <c r="A218" t="s">
        <v>1616</v>
      </c>
      <c r="B218" s="18" t="s">
        <v>1617</v>
      </c>
      <c r="C218" s="19" t="s">
        <v>1274</v>
      </c>
      <c r="D218" s="141">
        <f>j_anode_c/j_buffer_lim</f>
        <v>0.328664504833</v>
      </c>
      <c r="E218" s="67" t="s">
        <v>1618</v>
      </c>
    </row>
    <row r="219" spans="1:5" ht="48" x14ac:dyDescent="0.2">
      <c r="A219" t="s">
        <v>1619</v>
      </c>
      <c r="B219" s="18" t="s">
        <v>1620</v>
      </c>
      <c r="C219" s="19" t="s">
        <v>1274</v>
      </c>
      <c r="D219" s="141" t="str">
        <f>IF(j_buffer_ratio&gt;1,"BUFFER EXCEEDED — anode surface acidifies (local pH ~1 unit below bulk); the pH solved above is the bulk value only",IF(j_buffer_ratio&gt;buffer_caution_frac,"watch — running at "&amp;TEXT(j_buffer_ratio,"0%")&amp;" of the phosphate buffer limit; expect a 0.4–1.0 unit excursion at each electrode surface","OK — buffer holds the electrode surfaces at the bulk pH"))</f>
        <v>OK — buffer holds the electrode surfaces at the bulk pH</v>
      </c>
      <c r="E219" s="67" t="s">
        <v>1621</v>
      </c>
    </row>
    <row r="220" spans="1:5" ht="60" x14ac:dyDescent="0.2">
      <c r="A220" t="s">
        <v>1622</v>
      </c>
      <c r="B220" s="18" t="s">
        <v>1623</v>
      </c>
      <c r="C220" s="19" t="s">
        <v>1274</v>
      </c>
      <c r="D220" s="141">
        <f>pH_op-LOG10(gamma_1)</f>
        <v>6.187122404381</v>
      </c>
      <c r="E220" s="67" t="s">
        <v>1624</v>
      </c>
    </row>
    <row r="221" spans="1:5" x14ac:dyDescent="0.2">
      <c r="A221" s="5" t="inlineStr">
        <is>
          <t xml:space="preserve">UNIT CONSTANTS</t>
        </is>
      </c>
    </row>
    <row r="222" spans="1:5" ht="48" x14ac:dyDescent="0.2">
      <c r="A222" t="s">
        <v>1883</v>
      </c>
      <c r="B222" s="18" t="s">
        <v>1884</v>
      </c>
      <c r="C222" s="19" t="s">
        <v>1885</v>
      </c>
      <c r="D222" s="146">
        <v>52460</v>
      </c>
      <c r="E222" s="99" t="s">
        <v>1886</v>
      </c>
    </row>
    <row r="223" spans="1:5" x14ac:dyDescent="0.2">
      <c r="A223" t="s">
        <v>1887</v>
      </c>
      <c r="B223" s="18" t="s">
        <v>1888</v>
      </c>
      <c r="C223" s="19" t="s">
        <v>1885</v>
      </c>
      <c r="D223" s="146">
        <v>70906</v>
      </c>
      <c r="E223" s="99" t="s">
        <v>1889</v>
      </c>
    </row>
    <row r="224" spans="1:5" ht="48" x14ac:dyDescent="0.2">
      <c r="A224" t="s">
        <v>1890</v>
      </c>
      <c r="B224" s="18" t="s">
        <v>1891</v>
      </c>
      <c r="C224" s="19" t="s">
        <v>1892</v>
      </c>
      <c r="D224" s="146">
        <v>5.0599999999999996</v>
      </c>
      <c r="E224" s="67" t="s">
        <v>1893</v>
      </c>
    </row>
    <row r="225" spans="1:5" x14ac:dyDescent="0.2">
      <c r="A225" t="s">
        <v>1894</v>
      </c>
      <c r="B225" s="18" t="s">
        <v>1895</v>
      </c>
      <c r="C225" s="19" t="s">
        <v>1885</v>
      </c>
      <c r="D225" s="146">
        <v>14007</v>
      </c>
      <c r="E225" s="99" t="s">
        <v>1896</v>
      </c>
    </row>
    <row r="226" spans="1:5" ht="48" x14ac:dyDescent="0.2">
      <c r="A226" t="s">
        <v>1897</v>
      </c>
      <c r="B226" s="18" t="s">
        <v>1898</v>
      </c>
      <c r="C226" s="19" t="s">
        <v>1270</v>
      </c>
      <c r="D226" s="141">
        <f>C_eff*M_Cl2/M_HOCl</f>
        <v>0.339282500863</v>
      </c>
      <c r="E226" s="67" t="s">
        <v>1899</v>
      </c>
    </row>
    <row r="228">
      <c r="A228" s="104" t="inlineStr">
        <is>
          <t xml:space="preserve">NAMED CONSTANTS, THRESHOLDS AND IMPORTS</t>
        </is>
      </c>
    </row>
    <row r="229">
      <c r="A229" s="17" t="inlineStr">
        <is>
          <t xml:space="preserve">(import) Reference temperature (25 °C)</t>
        </is>
      </c>
      <c r="B229" s="18" t="inlineStr">
        <is>
          <t xml:space="preserve">T_ref</t>
        </is>
      </c>
      <c r="C229" s="19" t="inlineStr">
        <is>
          <t xml:space="preserve">K</t>
        </is>
      </c>
      <c r="D229" s="141">
        <f>Biology!$D$23</f>
        <v>298.15</v>
      </c>
      <c r="E229" s="51" t="inlineStr">
        <is>
          <t xml:space="preserve">Import from Biology!D23</t>
        </is>
      </c>
    </row>
    <row r="230">
      <c r="A230" s="17" t="inlineStr">
        <is>
          <t xml:space="preserve">Debye–Hückel A coefficient constant</t>
        </is>
      </c>
      <c r="B230" s="18" t="inlineStr">
        <is>
          <t xml:space="preserve">DH_const</t>
        </is>
      </c>
      <c r="C230" s="19" t="inlineStr">
        <is>
          <t xml:space="preserve">K^1.5</t>
        </is>
      </c>
      <c r="D230" s="131">
        <v>1820000</v>
      </c>
      <c r="E230" s="84" t="inlineStr">
        <is>
          <t xml:space="preserve">A = 1.82×10⁶·(εT)^-1.5 (standard Debye–Hückel form; gives 0.509 at 25 °C).</t>
        </is>
      </c>
    </row>
    <row r="231">
      <c r="A231" s="17" t="inlineStr">
        <is>
          <t xml:space="preserve">Relative permittivity of water at 298.15 K</t>
        </is>
      </c>
      <c r="B231" s="18" t="inlineStr">
        <is>
          <t xml:space="preserve">eps_water_298</t>
        </is>
      </c>
      <c r="C231" s="19" t="inlineStr">
        <is>
          <t xml:space="preserve">-</t>
        </is>
      </c>
      <c r="D231" s="131">
        <v>78.54</v>
      </c>
      <c r="E231" s="84" t="inlineStr">
        <is>
          <t xml:space="preserve">CRC Handbook, water dielectric constant at 25 °C.</t>
        </is>
      </c>
    </row>
    <row r="232">
      <c r="A232" s="17" t="inlineStr">
        <is>
          <t xml:space="preserve">Permittivity temperature exponent</t>
        </is>
      </c>
      <c r="B232" s="18" t="inlineStr">
        <is>
          <t xml:space="preserve">eps_T_exp</t>
        </is>
      </c>
      <c r="C232" s="19" t="inlineStr">
        <is>
          <t xml:space="preserve">-</t>
        </is>
      </c>
      <c r="D232" s="131">
        <v>1.368</v>
      </c>
      <c r="E232" s="67" t="inlineStr">
        <is>
          <t xml:space="preserve">ε(T) = ε₂₉₈·(298.15/T)^n, power-law fit to the water permittivity (as in E186).</t>
        </is>
      </c>
    </row>
    <row r="233">
      <c r="A233" s="17" t="inlineStr">
        <is>
          <t xml:space="preserve">Davies equation linear coefficient</t>
        </is>
      </c>
      <c r="B233" s="18" t="inlineStr">
        <is>
          <t xml:space="preserve">davies_c</t>
        </is>
      </c>
      <c r="C233" s="19" t="inlineStr">
        <is>
          <t xml:space="preserve">-</t>
        </is>
      </c>
      <c r="D233" s="131">
        <v>0.3</v>
      </c>
      <c r="E233" s="84" t="inlineStr">
        <is>
          <t xml:space="preserve">Davies (1962): log γ = −A z²(√I/(1+√I) − 0.3 I).</t>
        </is>
      </c>
    </row>
    <row r="234">
      <c r="A234" s="17" t="inlineStr">
        <is>
          <t xml:space="preserve">Chloride numerical floor</t>
        </is>
      </c>
      <c r="B234" s="18" t="inlineStr">
        <is>
          <t xml:space="preserve">Cl_floor_molL</t>
        </is>
      </c>
      <c r="C234" s="19" t="inlineStr">
        <is>
          <t xml:space="preserve">mol/L</t>
        </is>
      </c>
      <c r="D234" s="131">
        <v>1e-12</v>
      </c>
      <c r="E234" s="84" t="inlineStr">
        <is>
          <t xml:space="preserve">Defined: numerical floor so LOG10 never sees zero chloride; far below any real chloride level.</t>
        </is>
      </c>
    </row>
    <row r="235">
      <c r="A235" s="17" t="inlineStr">
        <is>
          <t xml:space="preserve">pH solve grid step</t>
        </is>
      </c>
      <c r="B235" s="18" t="inlineStr">
        <is>
          <t xml:space="preserve">pH_step</t>
        </is>
      </c>
      <c r="C235" s="19" t="inlineStr">
        <is>
          <t xml:space="preserve">pH</t>
        </is>
      </c>
      <c r="D235" s="131">
        <v>0.1</v>
      </c>
      <c r="E235" s="84" t="inlineStr">
        <is>
          <t xml:space="preserve">Defined: spacing of the typed pH grid A50:A100 (4.0 to 9.0).</t>
        </is>
      </c>
    </row>
    <row r="236">
      <c r="A236" s="17" t="inlineStr">
        <is>
          <t xml:space="preserve">HOB pH band, lower edge</t>
        </is>
      </c>
      <c r="B236" s="18" t="inlineStr">
        <is>
          <t xml:space="preserve">pH_band_lo</t>
        </is>
      </c>
      <c r="C236" s="19" t="inlineStr">
        <is>
          <t xml:space="preserve">pH</t>
        </is>
      </c>
      <c r="D236" s="131">
        <v>6.5</v>
      </c>
      <c r="E236" s="67" t="inlineStr">
        <is>
          <t xml:space="preserve">HOB optimum 6.5–7.5 (Pous 2022/23; Rovira-Alsina 2025).</t>
        </is>
      </c>
    </row>
    <row r="237">
      <c r="A237" s="17" t="inlineStr">
        <is>
          <t xml:space="preserve">HOB pH band, upper edge</t>
        </is>
      </c>
      <c r="B237" s="18" t="inlineStr">
        <is>
          <t xml:space="preserve">pH_band_hi</t>
        </is>
      </c>
      <c r="C237" s="19" t="inlineStr">
        <is>
          <t xml:space="preserve">pH</t>
        </is>
      </c>
      <c r="D237" s="131">
        <v>7.5</v>
      </c>
      <c r="E237" s="67" t="inlineStr">
        <is>
          <t xml:space="preserve">HOB optimum 6.5–7.5 (Pous 2022/23; Rovira-Alsina 2025).</t>
        </is>
      </c>
    </row>
    <row r="238">
      <c r="A238" s="17" t="inlineStr">
        <is>
          <t xml:space="preserve">Buffer caution fraction</t>
        </is>
      </c>
      <c r="B238" s="18" t="inlineStr">
        <is>
          <t xml:space="preserve">buffer_caution_frac</t>
        </is>
      </c>
      <c r="C238" s="19" t="inlineStr">
        <is>
          <t xml:space="preserve">-</t>
        </is>
      </c>
      <c r="D238" s="131">
        <v>0.5</v>
      </c>
      <c r="E238" s="75" t="inlineStr">
        <is>
          <t xml:space="preserve">Coarse estimate: flag "watch" above this fraction of the buffer-limited current density.</t>
        </is>
      </c>
    </row>
    <row r="250">
      <c r="A250" s="5" t="inlineStr">
        <is>
          <t xml:space="preserve">ELECTRODE-SURFACE CHEMISTRY AT THE OPERATING POINT</t>
        </is>
      </c>
    </row>
    <row r="251">
      <c r="A251" t="inlineStr">
        <is>
          <t xml:space="preserve">Diffusion coefficient — HCO₃⁻</t>
        </is>
      </c>
      <c r="B251" s="18" t="inlineStr">
        <is>
          <t xml:space="preserve">D_HCO3</t>
        </is>
      </c>
      <c r="C251" s="19" t="inlineStr">
        <is>
          <t xml:space="preserve">m²/s</t>
        </is>
      </c>
      <c r="D251" s="146">
        <v>1.185e-09</v>
      </c>
      <c r="E251" s="99" t="inlineStr">
        <is>
          <t xml:space="preserve">CRC Handbook (Vanýsek), ionic diffusion coefficient at 25 °C, 1.185×10⁻⁵ cm²/s.</t>
        </is>
      </c>
    </row>
    <row r="252">
      <c r="A252" t="inlineStr">
        <is>
          <t xml:space="preserve">Bicarbonate at the operating point</t>
        </is>
      </c>
      <c r="B252" s="18" t="inlineStr">
        <is>
          <t xml:space="preserve">HCO3_op</t>
        </is>
      </c>
      <c r="C252" s="19" t="inlineStr">
        <is>
          <t xml:space="preserve">mol/L</t>
        </is>
      </c>
      <c r="D252" s="141">
        <f>Ka1c_c*CO2aqc/10^-pH_op</f>
        <v>0.026380308456</v>
      </c>
      <c r="E252" s="67" t="inlineStr">
        <is>
          <t xml:space="preserve">Concentration scale, same speciation the charge balance solves (Ka1c_c with pH_op).</t>
        </is>
      </c>
    </row>
    <row r="253">
      <c r="A253" t="inlineStr">
        <is>
          <t xml:space="preserve">Hydrogen phosphate at the operating point</t>
        </is>
      </c>
      <c r="B253" s="18" t="inlineStr">
        <is>
          <t xml:space="preserve">HPO4_op</t>
        </is>
      </c>
      <c r="C253" s="19" t="inlineStr">
        <is>
          <t xml:space="preserve">mol/L</t>
        </is>
      </c>
      <c r="D253" s="141">
        <f>pH_PT/(1+10^(-LOG10(Ka2p_c)-pH_op))</f>
        <v>0.006404116991</v>
      </c>
      <c r="E253" s="67" t="inlineStr">
        <is>
          <t xml:space="preserve">Concentration scale: HPO₄²⁻ share of total phosphate at pH_op with the concentration-scale pKa2.</t>
        </is>
      </c>
    </row>
    <row r="254">
      <c r="A254" t="inlineStr">
        <is>
          <t xml:space="preserve">(import) anode overpotential</t>
        </is>
      </c>
      <c r="B254" s="18" t="inlineStr">
        <is>
          <t xml:space="preserve">eta_anode_c</t>
        </is>
      </c>
      <c r="C254" s="19" t="inlineStr">
        <is>
          <t xml:space="preserve">V</t>
        </is>
      </c>
      <c r="D254" s="141">
        <f>Electrochemistry!$D$111</f>
        <v>0.894142423496</v>
      </c>
      <c r="E254" s="67" t="inlineStr">
        <is>
          <t xml:space="preserve">Import from Electrochemistry!D111 (Tafel, at the operating current density).</t>
        </is>
      </c>
    </row>
    <row r="255">
      <c r="A255" t="inlineStr">
        <is>
          <t xml:space="preserve">(import) proton-coupled credit</t>
        </is>
      </c>
      <c r="B255" s="18" t="inlineStr">
        <is>
          <t xml:space="preserve">pcet_credit_c</t>
        </is>
      </c>
      <c r="C255" s="19" t="inlineStr">
        <is>
          <t xml:space="preserve">V</t>
        </is>
      </c>
      <c r="D255" s="141">
        <f>Electrochemistry!$D$113</f>
        <v>-0.15</v>
      </c>
      <c r="E255" s="67" t="inlineStr">
        <is>
          <t xml:space="preserve">Import from Electrochemistry!D113.</t>
        </is>
      </c>
    </row>
    <row r="256">
      <c r="A256" t="inlineStr">
        <is>
          <t xml:space="preserve">Operating anode potential</t>
        </is>
      </c>
      <c r="B256" s="18" t="inlineStr">
        <is>
          <t xml:space="preserve">E_anode_op</t>
        </is>
      </c>
      <c r="C256" s="19" t="inlineStr">
        <is>
          <t xml:space="preserve">V vs SHE</t>
        </is>
      </c>
      <c r="D256" s="141">
        <f>E_OER+eta_anode_c+pcet_credit_c</f>
        <v>1.607116285627</v>
      </c>
      <c r="E256" s="67" t="inlineStr">
        <is>
          <t xml:space="preserve">Reversible O₂/H₂O potential at the bulk pH plus the anode overpotential and the proton-coupled credit from the cell-voltage budget.</t>
        </is>
      </c>
    </row>
    <row r="257">
      <c r="A257" t="inlineStr">
        <is>
          <t xml:space="preserve">Standard potential — HOCl + H⁺ + 2e⁻ → Cl⁻ + H₂O</t>
        </is>
      </c>
      <c r="B257" s="18" t="inlineStr">
        <is>
          <t xml:space="preserve">E0_HOCl</t>
        </is>
      </c>
      <c r="C257" s="19" t="inlineStr">
        <is>
          <t xml:space="preserve">V</t>
        </is>
      </c>
      <c r="D257" s="146">
        <v>1.482</v>
      </c>
      <c r="E257" s="99" t="inlineStr">
        <is>
          <t xml:space="preserve">CRC Handbook §5, ±0.002 V.</t>
        </is>
      </c>
    </row>
    <row r="258">
      <c r="A258" t="inlineStr">
        <is>
          <t xml:space="preserve">HOCl/Cl⁻ potential at the operating point</t>
        </is>
      </c>
      <c r="B258" s="18" t="inlineStr">
        <is>
          <t xml:space="preserve">E_HOCl_Cl</t>
        </is>
      </c>
      <c r="C258" s="19" t="inlineStr">
        <is>
          <t xml:space="preserve">V vs SHE</t>
        </is>
      </c>
      <c r="D258" s="141">
        <f>E0_HOCl+nernst_slope/2*(LOG10(MAX(HOCl_ss*f_local,1E-12))-pH_meas-LOG10(MAX(pH_Cl,1E-12)))</f>
        <v>1.179589350939</v>
      </c>
      <c r="E258" s="67" t="inlineStr">
        <is>
          <t xml:space="preserve">Nernst for the couple actually formed at trace chloride (HOCl at nanomolar level, not Cl₂ gas at 1 atm), at the electrode-enriched HOCl.</t>
        </is>
      </c>
    </row>
    <row r="259">
      <c r="A259" t="inlineStr">
        <is>
          <t xml:space="preserve">Free chlorine low end, as Cl₂</t>
        </is>
      </c>
      <c r="B259" s="18" t="inlineStr">
        <is>
          <t xml:space="preserve">C_eff_lo_Cl2</t>
        </is>
      </c>
      <c r="C259" s="19" t="inlineStr">
        <is>
          <t xml:space="preserve">mg/L</t>
        </is>
      </c>
      <c r="D259" s="141">
        <f>C_eff_lo*M_Cl2/M_HOCl</f>
        <v>0.0069327491</v>
      </c>
      <c r="E259" s="67" t="inlineStr">
        <is>
          <t xml:space="preserve">C_eff_lo on the as-Cl₂ basis the thresholds use.</t>
        </is>
      </c>
    </row>
    <row r="260">
      <c r="A260" t="inlineStr">
        <is>
          <t xml:space="preserve">Free chlorine high end, as Cl₂</t>
        </is>
      </c>
      <c r="B260" s="18" t="inlineStr">
        <is>
          <t xml:space="preserve">C_eff_hi_Cl2</t>
        </is>
      </c>
      <c r="C260" s="19" t="inlineStr">
        <is>
          <t xml:space="preserve">mg/L</t>
        </is>
      </c>
      <c r="D260" s="141">
        <f>C_eff_hi*M_Cl2/M_HOCl</f>
        <v>0.645163338724</v>
      </c>
      <c r="E260" s="67" t="inlineStr">
        <is>
          <t xml:space="preserve">C_eff_hi on the as-Cl₂ basis the thresholds use.</t>
        </is>
      </c>
    </row>
    <row r="270">
      <c r="A270" s="5" t="inlineStr">
        <is>
          <t xml:space="preserve">CHLORIDE RECYCLING AND SPECIES-SPECIFIC ELECTRODE MASS TRANSFER</t>
        </is>
      </c>
    </row>
    <row r="271">
      <c r="A271" t="inlineStr">
        <is>
          <t xml:space="preserve">First-order anodic chloride turnover</t>
        </is>
      </c>
      <c r="B271" s="18" t="inlineStr">
        <is>
          <t xml:space="preserve">k_Cl_turn</t>
        </is>
      </c>
      <c r="C271" s="19" t="inlineStr">
        <is>
          <t xml:space="preserve">1/s</t>
        </is>
      </c>
      <c r="D271" s="141">
        <f>km_Cl*A_anode/1000/VLc</f>
        <v>0.0005428244278184</v>
      </c>
      <c r="E271" s="75" t="inlineStr">
        <is>
          <t xml:space="preserve">First-order anodic chloride turnover at the transport limit, km_Cl·A/V (cm³ → L by /1000). Independent of the chloride level, so the recycling split (D278, D143) is not circular.</t>
        </is>
      </c>
    </row>
    <row r="272">
      <c r="A272" t="inlineStr">
        <is>
          <t xml:space="preserve">(import) electrode mass-transfer coefficient — O₂</t>
        </is>
      </c>
      <c r="B272" s="18" t="inlineStr">
        <is>
          <t xml:space="preserve">km_O2_c</t>
        </is>
      </c>
      <c r="C272" s="19" t="inlineStr">
        <is>
          <t xml:space="preserve">cm/s</t>
        </is>
      </c>
      <c r="D272" s="141">
        <f>Electrochemistry!$D$83</f>
        <v>0.004</v>
      </c>
      <c r="E272" s="67" t="inlineStr">
        <is>
          <t xml:space="preserve">→ Electrochemistry (km_O2; Eisenberg–Tobias–Wilke, unmeasured swirl)</t>
        </is>
      </c>
    </row>
    <row r="273">
      <c r="A273" t="inlineStr">
        <is>
          <t xml:space="preserve">(import) diffusivity exponent for k_m scaling</t>
        </is>
      </c>
      <c r="B273" s="18" t="inlineStr">
        <is>
          <t xml:space="preserve">km_exp_c</t>
        </is>
      </c>
      <c r="C273" s="19" t="inlineStr">
        <is>
          <t xml:space="preserve">-</t>
        </is>
      </c>
      <c r="D273" s="141">
        <f>Electrochemistry!$D$84</f>
        <v>0.644</v>
      </c>
      <c r="E273" s="67" t="inlineStr">
        <is>
          <t xml:space="preserve">→ Electrochemistry (km_exp)</t>
        </is>
      </c>
    </row>
    <row r="274">
      <c r="A274" t="inlineStr">
        <is>
          <t xml:space="preserve">(import) O₂ diffusivity at reactor T</t>
        </is>
      </c>
      <c r="B274" s="18" t="inlineStr">
        <is>
          <t xml:space="preserve">D_O2_c</t>
        </is>
      </c>
      <c r="C274" s="19" t="inlineStr">
        <is>
          <t xml:space="preserve">m²/s</t>
        </is>
      </c>
      <c r="D274" s="141">
        <f>Electrochemistry!$D$81</f>
        <v>1.997672318404e-09</v>
      </c>
      <c r="E274" s="67" t="inlineStr">
        <is>
          <t xml:space="preserve">→ Electrochemistry (ec_D_O2)</t>
        </is>
      </c>
    </row>
    <row r="275">
      <c r="A275" t="inlineStr">
        <is>
          <t xml:space="preserve">Electrode mass-transfer coefficient — HPO₄²⁻</t>
        </is>
      </c>
      <c r="B275" s="18" t="inlineStr">
        <is>
          <t xml:space="preserve">km_HPO4</t>
        </is>
      </c>
      <c r="C275" s="19" t="inlineStr">
        <is>
          <t xml:space="preserve">cm/s</t>
        </is>
      </c>
      <c r="D275" s="141">
        <f>km_O2_c*(D_HPO4/D_O2_c)^km_exp_c</f>
        <v>0.002144855688</v>
      </c>
      <c r="E275" s="75" t="inlineStr">
        <is>
          <t xml:space="preserve">k_m,i = k_m(O₂)·(D_i/D_O₂)^km_exp, the same Eisenberg scaling as km_Cl (D129).</t>
        </is>
      </c>
    </row>
    <row r="276">
      <c r="A276" t="inlineStr">
        <is>
          <t xml:space="preserve">Electrode mass-transfer coefficient — HCO₃⁻</t>
        </is>
      </c>
      <c r="B276" s="18" t="inlineStr">
        <is>
          <t xml:space="preserve">km_HCO3</t>
        </is>
      </c>
      <c r="C276" s="19" t="inlineStr">
        <is>
          <t xml:space="preserve">cm/s</t>
        </is>
      </c>
      <c r="D276" s="141">
        <f>km_O2_c*(D_HCO3/D_O2_c)^km_exp_c</f>
        <v>0.002857570744</v>
      </c>
      <c r="E276" s="75" t="inlineStr">
        <is>
          <t xml:space="preserve">As D275, for bicarbonate.</t>
        </is>
      </c>
    </row>
    <row r="277">
      <c r="A277" t="inlineStr">
        <is>
          <t xml:space="preserve">Diffusion coefficient — Cl⁻</t>
        </is>
      </c>
      <c r="B277" s="18" t="inlineStr">
        <is>
          <t xml:space="preserve">D_Cl</t>
        </is>
      </c>
      <c r="C277" s="19" t="inlineStr">
        <is>
          <t xml:space="preserve">m²/s</t>
        </is>
      </c>
      <c r="D277" s="146">
        <v>2.032e-09</v>
      </c>
      <c r="E277" s="99" t="inlineStr">
        <is>
          <t xml:space="preserve">CRC Handbook (Vanýsek), ionic diffusion coefficient at 25 °C, 2.032×10⁻⁵ cm²/s.</t>
        </is>
      </c>
    </row>
    <row r="278">
      <c r="A278" t="inlineStr">
        <is>
          <t xml:space="preserve">Free share of the chloride pool</t>
        </is>
      </c>
      <c r="B278" s="18" t="inlineStr">
        <is>
          <t xml:space="preserve">Cl_free_frac</t>
        </is>
      </c>
      <c r="C278" s="19" t="inlineStr">
        <is>
          <t xml:space="preserve">-</t>
        </is>
      </c>
      <c r="D278" s="141">
        <f>1/(1+k_Cl_turn*tau_NH2Cl*3600)</f>
        <v>0.338504790608</v>
      </c>
      <c r="E278" s="67" t="inlineStr">
        <is>
          <t xml:space="preserve">At steady state the chloride pool splits free : combined = 1 : kτ (row 271 and D143), so only this share is available to the anode.</t>
        </is>
      </c>
    </row>
    <row r="279">
      <c r="A279" t="inlineStr">
        <is>
          <t xml:space="preserve">(import) reactor liquid charge</t>
        </is>
      </c>
      <c r="B279" s="18" t="inlineStr">
        <is>
          <t xml:space="preserve">V_charge</t>
        </is>
      </c>
      <c r="C279" s="19" t="inlineStr">
        <is>
          <t xml:space="preserve">mL</t>
        </is>
      </c>
      <c r="D279" s="141">
        <f>Biology!$D$6</f>
        <v>15.0</v>
      </c>
      <c r="E279" s="67" t="inlineStr">
        <is>
          <t xml:space="preserve">→ Biology (V_charge)</t>
        </is>
      </c>
    </row>
    <row r="280">
      <c r="A280" t="inlineStr">
        <is>
          <t xml:space="preserve">(import) medium selected on Summary</t>
        </is>
      </c>
      <c r="B280" s="18" t="inlineStr">
        <is>
          <t xml:space="preserve">media_sel</t>
        </is>
      </c>
      <c r="C280" s="19" t="inlineStr">
        <is>
          <t xml:space="preserve">-</t>
        </is>
      </c>
      <c r="D280" s="141" t="str">
        <f>Summary!$D$5</f>
        <v>UdG phosphate</v>
      </c>
      <c r="E280" s="67" t="inlineStr">
        <is>
          <t xml:space="preserve">→ Summary (media_sel)</t>
        </is>
      </c>
    </row>
  </sheetData>
  <conditionalFormatting sqref="D109:D110 D163">
    <cfRule type="expression" dxfId="11" priority="101" stopIfTrue="1">
      <formula>OR(ISNUMBER(SEARCH("SEVERE",D109)),ISNUMBER(SEARCH("BELOW",D109)),ISNUMBER(SEARCH("DATA GAP",D109)))</formula>
    </cfRule>
    <cfRule type="expression" dxfId="10" priority="102" stopIfTrue="1">
      <formula>OR(ISNUMBER(SEARCH("sub-lethal",D109)),ISNUMBER(SEARCH("above optimum",D109)),ISNUMBER(SEARCH("watch",D109)))</formula>
    </cfRule>
    <cfRule type="expression" dxfId="9" priority="103"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61"/>
  <sheetViews>
    <sheetView zoomScale="89" workbookViewId="0"/>
  </sheetViews>
  <sheetFormatPr baseColWidth="10" defaultColWidth="8.83203125" defaultRowHeight="15" x14ac:dyDescent="0.2"/>
  <cols>
    <col min="1" max="1" width="30" customWidth="1"/>
    <col min="2" max="2" width="15" customWidth="1"/>
    <col min="4" max="4" width="12" bestFit="1" customWidth="1"/>
    <col min="5" max="5" width="60" customWidth="1"/>
  </cols>
  <sheetData>
    <row r="1" spans="1:6" ht="16" customHeight="1" x14ac:dyDescent="0.2">
      <c r="A1" s="104" t="s">
        <v>402</v>
      </c>
      <c r="B1" s="20"/>
      <c r="C1" s="20"/>
      <c r="D1" s="20"/>
      <c r="E1" s="20"/>
      <c r="F1" s="20"/>
    </row>
    <row r="2" spans="1:6" x14ac:dyDescent="0.2">
      <c r="A2" s="16" t="s">
        <v>24</v>
      </c>
      <c r="B2" s="16" t="s">
        <v>25</v>
      </c>
      <c r="C2" s="16" t="s">
        <v>26</v>
      </c>
      <c r="D2" s="16" t="s">
        <v>27</v>
      </c>
      <c r="E2" s="16" t="s">
        <v>131</v>
      </c>
      <c r="F2" s="20"/>
    </row>
    <row r="3" spans="1:6" ht="16" customHeight="1" x14ac:dyDescent="0.2">
      <c r="A3" s="104" t="s">
        <v>132</v>
      </c>
      <c r="B3" s="18"/>
      <c r="C3" s="19"/>
      <c r="D3" s="105"/>
      <c r="E3" s="20"/>
      <c r="F3" s="20"/>
    </row>
    <row r="4" spans="1:6" x14ac:dyDescent="0.2">
      <c r="A4" s="20" t="s">
        <v>403</v>
      </c>
      <c r="B4" s="18" t="s">
        <v>353</v>
      </c>
      <c r="C4" s="20" t="s">
        <v>354</v>
      </c>
      <c r="D4" s="150">
        <f>Electrochemistry!$D$21</f>
        <v>0.0001017274698715</v>
      </c>
      <c r="E4" s="135" t="str">
        <f>HYPERLINK("#Electrochemistry!D21","→ Electrochemistry")</f>
        <v>→ Electrochemistry</v>
      </c>
      <c r="F4" s="20"/>
    </row>
    <row r="5" spans="1:6" x14ac:dyDescent="0.2">
      <c r="A5" s="20" t="s">
        <v>404</v>
      </c>
      <c r="B5" s="18" t="s">
        <v>378</v>
      </c>
      <c r="C5" s="20" t="s">
        <v>354</v>
      </c>
      <c r="D5" s="150">
        <f>Electrochemistry!$D$29</f>
        <v>4.979033518202e-05</v>
      </c>
      <c r="E5" s="135" t="str">
        <f>HYPERLINK("#Electrochemistry!D29","→ Electrochemistry")</f>
        <v>→ Electrochemistry</v>
      </c>
      <c r="F5" s="20"/>
    </row>
    <row r="6" spans="1:6" x14ac:dyDescent="0.2">
      <c r="A6" s="20" t="s">
        <v>405</v>
      </c>
      <c r="B6" s="18" t="s">
        <v>228</v>
      </c>
      <c r="C6" s="20" t="s">
        <v>57</v>
      </c>
      <c r="D6" s="151">
        <f>Geometry!$D$41</f>
        <v>15.0</v>
      </c>
      <c r="E6" s="135" t="str">
        <f>HYPERLINK("#Geometry!D41","→ Geometry")</f>
        <v>→ Geometry</v>
      </c>
      <c r="F6" s="20"/>
    </row>
    <row r="7" spans="1:6" x14ac:dyDescent="0.2">
      <c r="A7" s="20" t="s">
        <v>406</v>
      </c>
      <c r="B7" s="18" t="s">
        <v>38</v>
      </c>
      <c r="C7" s="20"/>
      <c r="D7" s="134" t="str">
        <f>Summary!$D$4</f>
        <v>UdG (mixed)</v>
      </c>
      <c r="E7" s="135" t="str">
        <f>HYPERLINK("#Summary!D4","→ Summary")</f>
        <v>→ Summary</v>
      </c>
      <c r="F7" s="20"/>
    </row>
    <row r="8" spans="1:6" s="15" customFormat="1" x14ac:dyDescent="0.2">
      <c r="A8" s="20" t="s">
        <v>406</v>
      </c>
      <c r="B8" s="18" t="s">
        <v>38</v>
      </c>
      <c r="C8" s="20"/>
      <c r="D8" s="38" t="str">
        <f>Summary!$D$4</f>
        <v>UdG (mixed)</v>
      </c>
      <c r="E8" s="23" t="str">
        <f>HYPERLINK("#Summary!D4","→ Summary")</f>
        <v>→ Summary</v>
      </c>
      <c r="F8" s="20"/>
    </row>
    <row r="9" spans="1:6" x14ac:dyDescent="0.2">
      <c r="A9" s="113"/>
      <c r="B9" s="18"/>
      <c r="C9" s="19"/>
      <c r="D9" s="60"/>
      <c r="E9" s="20"/>
      <c r="F9" s="20"/>
    </row>
    <row r="10" spans="1:6" ht="36" customHeight="1" x14ac:dyDescent="0.2">
      <c r="A10" s="17" t="s">
        <v>407</v>
      </c>
      <c r="B10" s="18" t="s">
        <v>408</v>
      </c>
      <c r="C10" s="19" t="s">
        <v>135</v>
      </c>
      <c r="D10" s="58">
        <f>IF(ISNUMBER(cal_knall_H2),cal_knall_H2,knall_H2_default)</f>
        <v>6.0</v>
      </c>
      <c r="E10" s="61" t="s">
        <v>409</v>
      </c>
      <c r="F10" s="20"/>
    </row>
    <row r="11" spans="1:6" x14ac:dyDescent="0.2">
      <c r="A11" s="17" t="s">
        <v>410</v>
      </c>
      <c r="B11" s="18" t="s">
        <v>411</v>
      </c>
      <c r="C11" s="19" t="s">
        <v>135</v>
      </c>
      <c r="D11" s="58">
        <f>IF(ISNUMBER(cal_knall_O2),cal_knall_O2,knall_O2_default)</f>
        <v>2.0</v>
      </c>
      <c r="E11" s="61" t="s">
        <v>412</v>
      </c>
      <c r="F11" s="20"/>
    </row>
    <row r="12" spans="1:6" x14ac:dyDescent="0.2">
      <c r="A12" s="17" t="s">
        <v>413</v>
      </c>
      <c r="B12" s="18" t="s">
        <v>414</v>
      </c>
      <c r="C12" s="19" t="s">
        <v>135</v>
      </c>
      <c r="D12" s="58">
        <f>IF(ISNUMBER(cal_knall_CO2),cal_knall_CO2,knall_CO2_default)</f>
        <v>1.0</v>
      </c>
      <c r="E12" s="61" t="s">
        <v>415</v>
      </c>
      <c r="F12" s="20"/>
    </row>
    <row r="13" spans="1:6" x14ac:dyDescent="0.2">
      <c r="A13" s="17" t="s">
        <v>416</v>
      </c>
      <c r="B13" s="18" t="s">
        <v>417</v>
      </c>
      <c r="C13" s="19" t="s">
        <v>354</v>
      </c>
      <c r="D13" s="48">
        <f>MAX(0,rH2_gen-H2_HOR_b)</f>
        <v>0.0001017274698715</v>
      </c>
      <c r="E13" s="37" t="inlineStr">
        <is>
          <t xml:space="preserve">Evolved H₂ minus any crossed-over H₂ the Pt anode oxidises (D96; 0 until measured), assumed fully consumed — steady growth only; ~0 during lag (see §13).</t>
        </is>
      </c>
      <c r="F13" s="20"/>
    </row>
    <row r="14" spans="1:6" ht="26" customHeight="1" x14ac:dyDescent="0.2">
      <c r="A14" s="17" t="s">
        <v>419</v>
      </c>
      <c r="B14" s="18" t="s">
        <v>420</v>
      </c>
      <c r="C14" s="19" t="s">
        <v>354</v>
      </c>
      <c r="D14" s="48">
        <f>H2_cons*bio_O2/bio_H2</f>
        <v>3.390915662382e-05</v>
      </c>
      <c r="E14" s="107" t="s">
        <v>421</v>
      </c>
      <c r="F14" s="20"/>
    </row>
    <row r="15" spans="1:6" x14ac:dyDescent="0.2">
      <c r="A15" s="17" t="s">
        <v>422</v>
      </c>
      <c r="B15" s="18" t="s">
        <v>423</v>
      </c>
      <c r="C15" s="19" t="s">
        <v>354</v>
      </c>
      <c r="D15" s="48">
        <f>H2_cons*bio_CO2/bio_H2</f>
        <v>1.695457831191e-05</v>
      </c>
      <c r="E15" s="37" t="s">
        <v>424</v>
      </c>
      <c r="F15" s="20"/>
    </row>
    <row r="16" spans="1:6" ht="52" x14ac:dyDescent="0.2">
      <c r="A16" s="113" t="s">
        <v>425</v>
      </c>
      <c r="B16" s="18" t="s">
        <v>426</v>
      </c>
      <c r="C16" s="19" t="s">
        <v>354</v>
      </c>
      <c r="D16" s="48">
        <f>MAX(0,O2_net_gen-O2_cons)</f>
        <v>1.58811785582e-05</v>
      </c>
      <c r="E16" s="115" t="inlineStr">
        <is>
          <t xml:space="preserve">Net electrolytic O₂ minus biological uptake, floored at zero. The floor matters: at the knallgas cap (O₂:H₂ = 0.5, i.e. bio_O2 = 3) uptake exactly consumes the electrolytic surplus and everything downstream that divides by this would blow up. A LOWER bound on the surplus: full H₂ uptake maximises respiration, so any H₂ that bubbles off uncaught raises the surplus (half uptake → ×2.2). Sensitive: ±10 % in bio_O2 moves it +29 % / −12 %.</t>
        </is>
      </c>
      <c r="F16" s="20"/>
    </row>
    <row r="17" spans="1:6" x14ac:dyDescent="0.2">
      <c r="A17" s="17" t="s">
        <v>427</v>
      </c>
      <c r="B17" s="18" t="s">
        <v>428</v>
      </c>
      <c r="C17" s="19" t="s">
        <v>53</v>
      </c>
      <c r="D17" s="149">
        <f>Summary!$D$8</f>
        <v>25.0</v>
      </c>
      <c r="E17" s="37" t="s">
        <v>429</v>
      </c>
      <c r="F17" s="20"/>
    </row>
    <row r="18" spans="1:6" ht="24" customHeight="1" x14ac:dyDescent="0.2">
      <c r="A18" s="17" t="s">
        <v>430</v>
      </c>
      <c r="B18" s="18" t="s">
        <v>308</v>
      </c>
      <c r="C18" s="19" t="s">
        <v>309</v>
      </c>
      <c r="D18" s="42">
        <f>T_C+T_zero_C</f>
        <v>298.15</v>
      </c>
      <c r="E18" s="99" t="s">
        <v>431</v>
      </c>
      <c r="F18" s="20"/>
    </row>
    <row r="19" spans="1:6" x14ac:dyDescent="0.2">
      <c r="A19" s="17" t="s">
        <v>432</v>
      </c>
      <c r="B19" s="18" t="s">
        <v>311</v>
      </c>
      <c r="C19" s="19" t="s">
        <v>62</v>
      </c>
      <c r="D19" s="134">
        <f>IF(P_atm_set&gt;0,P_atm_set,Pa_per_atm)</f>
        <v>101325.0</v>
      </c>
      <c r="E19" s="37" t="s">
        <v>433</v>
      </c>
      <c r="F19" s="20"/>
    </row>
    <row r="20" spans="1:6" x14ac:dyDescent="0.2">
      <c r="A20" s="17" t="s">
        <v>434</v>
      </c>
      <c r="B20" s="18" t="s">
        <v>435</v>
      </c>
      <c r="C20" s="19" t="s">
        <v>436</v>
      </c>
      <c r="D20" s="146">
        <v>101325</v>
      </c>
      <c r="E20" s="99" t="s">
        <v>437</v>
      </c>
      <c r="F20" s="20"/>
    </row>
    <row r="21" spans="1:6" x14ac:dyDescent="0.2">
      <c r="A21" s="17" t="s">
        <v>438</v>
      </c>
      <c r="B21" s="18" t="s">
        <v>439</v>
      </c>
      <c r="C21" s="19" t="s">
        <v>440</v>
      </c>
      <c r="D21" s="146">
        <v>1.2E-5</v>
      </c>
      <c r="E21" s="51" t="s">
        <v>441</v>
      </c>
      <c r="F21" s="20"/>
    </row>
    <row r="22" spans="1:6" x14ac:dyDescent="0.2">
      <c r="A22" s="17" t="s">
        <v>442</v>
      </c>
      <c r="B22" s="18" t="s">
        <v>443</v>
      </c>
      <c r="C22" s="19" t="s">
        <v>309</v>
      </c>
      <c r="D22" s="146">
        <v>1500</v>
      </c>
      <c r="E22" s="51" t="s">
        <v>444</v>
      </c>
      <c r="F22" s="20"/>
    </row>
    <row r="23" spans="1:6" x14ac:dyDescent="0.2">
      <c r="A23" s="17" t="s">
        <v>445</v>
      </c>
      <c r="B23" s="18" t="s">
        <v>446</v>
      </c>
      <c r="C23" s="19" t="s">
        <v>309</v>
      </c>
      <c r="D23" s="146">
        <v>298.14999999999998</v>
      </c>
      <c r="E23" s="99" t="s">
        <v>447</v>
      </c>
      <c r="F23" s="20"/>
    </row>
    <row r="24" spans="1:6" x14ac:dyDescent="0.2">
      <c r="A24" s="17" t="s">
        <v>448</v>
      </c>
      <c r="B24" s="18" t="s">
        <v>449</v>
      </c>
      <c r="C24" s="19" t="s">
        <v>440</v>
      </c>
      <c r="D24" s="64">
        <f>H_O2ref*EXP(H_O2T*(1/T_K-1/T_ref))</f>
        <v>1.2e-05</v>
      </c>
      <c r="E24" s="99" t="s">
        <v>450</v>
      </c>
      <c r="F24" s="20"/>
    </row>
    <row r="25" spans="1:6" ht="24" customHeight="1" x14ac:dyDescent="0.2">
      <c r="A25" s="17" t="s">
        <v>451</v>
      </c>
      <c r="B25" s="18" t="s">
        <v>452</v>
      </c>
      <c r="C25" s="19" t="s">
        <v>453</v>
      </c>
      <c r="D25" s="146">
        <v>0.3</v>
      </c>
      <c r="E25" s="51" t="s">
        <v>454</v>
      </c>
      <c r="F25" s="20"/>
    </row>
    <row r="26" spans="1:6" x14ac:dyDescent="0.2">
      <c r="A26" s="17" t="s">
        <v>455</v>
      </c>
      <c r="B26" s="18" t="s">
        <v>456</v>
      </c>
      <c r="C26" s="19" t="s">
        <v>62</v>
      </c>
      <c r="D26" s="43">
        <f>O2_ceil_atm*Pa_per_atm</f>
        <v>30397.5</v>
      </c>
      <c r="E26" s="99" t="s">
        <v>457</v>
      </c>
      <c r="F26" s="20"/>
    </row>
    <row r="27" spans="1:6" x14ac:dyDescent="0.2">
      <c r="A27" s="17" t="s">
        <v>458</v>
      </c>
      <c r="B27" s="18" t="s">
        <v>459</v>
      </c>
      <c r="C27" s="19" t="s">
        <v>460</v>
      </c>
      <c r="D27" s="46">
        <f>H_O2_T*O2_ceil_Pa</f>
        <v>0.36477</v>
      </c>
      <c r="E27" s="99" t="s">
        <v>461</v>
      </c>
      <c r="F27" s="20"/>
    </row>
    <row r="28" spans="1:6" x14ac:dyDescent="0.2">
      <c r="A28" s="113" t="s">
        <v>458</v>
      </c>
      <c r="B28" s="18" t="s">
        <v>462</v>
      </c>
      <c r="C28" s="19" t="s">
        <v>463</v>
      </c>
      <c r="D28" s="43">
        <f>O2_ceil_C*1000</f>
        <v>364.77</v>
      </c>
      <c r="E28" s="65" t="s">
        <v>464</v>
      </c>
      <c r="F28" s="20"/>
    </row>
    <row r="29" spans="1:6" x14ac:dyDescent="0.2">
      <c r="A29" s="17" t="s">
        <v>465</v>
      </c>
      <c r="B29" s="18" t="s">
        <v>466</v>
      </c>
      <c r="C29" s="19" t="s">
        <v>440</v>
      </c>
      <c r="D29" s="152">
        <v>3.3E-4</v>
      </c>
      <c r="E29" s="67" t="s">
        <v>1054</v>
      </c>
      <c r="F29" s="20"/>
    </row>
    <row r="30" spans="1:6" ht="24" customHeight="1" x14ac:dyDescent="0.2">
      <c r="A30" s="17" t="s">
        <v>467</v>
      </c>
      <c r="B30" s="18" t="s">
        <v>468</v>
      </c>
      <c r="C30" s="19" t="s">
        <v>309</v>
      </c>
      <c r="D30" s="152">
        <v>2400</v>
      </c>
      <c r="E30" s="67" t="s">
        <v>469</v>
      </c>
      <c r="F30" s="20"/>
    </row>
    <row r="31" spans="1:6" x14ac:dyDescent="0.2">
      <c r="A31" s="17" t="s">
        <v>470</v>
      </c>
      <c r="B31" s="18" t="s">
        <v>471</v>
      </c>
      <c r="C31" s="19" t="s">
        <v>440</v>
      </c>
      <c r="D31" s="48">
        <f>H_CO2ref*EXP(H_CO2T*(1/T_K-1/T_ref))</f>
        <v>0.00033</v>
      </c>
      <c r="E31" s="99" t="s">
        <v>472</v>
      </c>
      <c r="F31" s="20"/>
    </row>
    <row r="32" spans="1:6" x14ac:dyDescent="0.2">
      <c r="A32" s="17" t="s">
        <v>473</v>
      </c>
      <c r="B32" s="18" t="s">
        <v>474</v>
      </c>
      <c r="C32" s="19" t="s">
        <v>62</v>
      </c>
      <c r="D32" s="48">
        <f>P_atm</f>
        <v>101325.0</v>
      </c>
      <c r="E32" s="68" t="s">
        <v>475</v>
      </c>
      <c r="F32" s="20"/>
    </row>
    <row r="33" spans="1:6" x14ac:dyDescent="0.2">
      <c r="A33" s="17" t="s">
        <v>476</v>
      </c>
      <c r="B33" s="18" t="s">
        <v>477</v>
      </c>
      <c r="C33" s="19" t="s">
        <v>460</v>
      </c>
      <c r="D33" s="48">
        <f>H_CO2_T*p_CO2_sparge</f>
        <v>33.43725</v>
      </c>
      <c r="E33" s="99" t="s">
        <v>478</v>
      </c>
      <c r="F33" s="20"/>
    </row>
    <row r="34" spans="1:6" x14ac:dyDescent="0.2">
      <c r="A34" s="17" t="s">
        <v>479</v>
      </c>
      <c r="B34" s="18" t="s">
        <v>480</v>
      </c>
      <c r="C34" s="19" t="s">
        <v>463</v>
      </c>
      <c r="D34" s="131">
        <v>50</v>
      </c>
      <c r="E34" s="69" t="s">
        <v>481</v>
      </c>
      <c r="F34" s="20"/>
    </row>
    <row r="35" spans="1:6" ht="24" customHeight="1" x14ac:dyDescent="0.2">
      <c r="A35" s="17" t="s">
        <v>482</v>
      </c>
      <c r="B35" s="18" t="s">
        <v>483</v>
      </c>
      <c r="C35" s="19" t="s">
        <v>110</v>
      </c>
      <c r="D35" s="48">
        <f>CO2_diss*1000/Km_CO2</f>
        <v>668.745</v>
      </c>
      <c r="E35" s="99" t="s">
        <v>484</v>
      </c>
      <c r="F35" s="20"/>
    </row>
    <row r="36" spans="1:6" x14ac:dyDescent="0.2">
      <c r="A36" s="17" t="s">
        <v>485</v>
      </c>
      <c r="B36" s="18" t="s">
        <v>486</v>
      </c>
      <c r="C36" s="19" t="s">
        <v>487</v>
      </c>
      <c r="D36" s="152">
        <v>4.4499999999999997E-7</v>
      </c>
      <c r="E36" s="67" t="s">
        <v>488</v>
      </c>
      <c r="F36" s="20"/>
    </row>
    <row r="37" spans="1:6" ht="24" customHeight="1" x14ac:dyDescent="0.2">
      <c r="A37" s="17" t="s">
        <v>489</v>
      </c>
      <c r="B37" s="18" t="s">
        <v>490</v>
      </c>
      <c r="C37" s="19" t="s">
        <v>135</v>
      </c>
      <c r="D37" s="48">
        <f>-LOG10(SQRT(Ka1_carb*(CO2_diss/1000)))</f>
        <v>3.913704718364</v>
      </c>
      <c r="E37" s="69" t="s">
        <v>491</v>
      </c>
      <c r="F37" s="20"/>
    </row>
    <row r="38" spans="1:6" x14ac:dyDescent="0.2">
      <c r="A38" s="17" t="s">
        <v>492</v>
      </c>
      <c r="B38" s="18" t="s">
        <v>493</v>
      </c>
      <c r="C38" s="19" t="s">
        <v>440</v>
      </c>
      <c r="D38" s="152">
        <v>7.7999999999999999E-6</v>
      </c>
      <c r="E38" s="67" t="s">
        <v>1055</v>
      </c>
      <c r="F38" s="20"/>
    </row>
    <row r="39" spans="1:6" x14ac:dyDescent="0.2">
      <c r="A39" s="17" t="s">
        <v>494</v>
      </c>
      <c r="B39" s="18" t="s">
        <v>495</v>
      </c>
      <c r="C39" s="19" t="s">
        <v>309</v>
      </c>
      <c r="D39" s="152">
        <v>500</v>
      </c>
      <c r="E39" s="67" t="s">
        <v>496</v>
      </c>
      <c r="F39" s="20"/>
    </row>
    <row r="40" spans="1:6" x14ac:dyDescent="0.2">
      <c r="A40" s="17" t="s">
        <v>497</v>
      </c>
      <c r="B40" s="18" t="s">
        <v>498</v>
      </c>
      <c r="C40" s="19" t="s">
        <v>440</v>
      </c>
      <c r="D40" s="48">
        <f>H_H2ref*EXP(H_H2T*(1/T_K-1/T_ref))</f>
        <v>7.8e-06</v>
      </c>
      <c r="E40" s="99" t="s">
        <v>472</v>
      </c>
      <c r="F40" s="20"/>
    </row>
    <row r="41" spans="1:6" x14ac:dyDescent="0.2">
      <c r="A41" s="17" t="s">
        <v>499</v>
      </c>
      <c r="B41" s="18" t="s">
        <v>500</v>
      </c>
      <c r="C41" s="19" t="s">
        <v>460</v>
      </c>
      <c r="D41" s="48">
        <f>H_H2_T*P_atm</f>
        <v>0.790335</v>
      </c>
      <c r="E41" s="99" t="s">
        <v>501</v>
      </c>
      <c r="F41" s="20"/>
    </row>
    <row r="42" spans="1:6" ht="24" customHeight="1" x14ac:dyDescent="0.2">
      <c r="A42" s="17" t="s">
        <v>502</v>
      </c>
      <c r="B42" s="18" t="s">
        <v>503</v>
      </c>
      <c r="C42" s="19" t="s">
        <v>67</v>
      </c>
      <c r="D42" s="48">
        <f>C_H2_sat*(V_charge/1000000)/rH2_gen*60</f>
        <v>6.992226395671</v>
      </c>
      <c r="E42" s="99" t="s">
        <v>504</v>
      </c>
      <c r="F42" s="20"/>
    </row>
    <row r="43" spans="1:6" x14ac:dyDescent="0.2">
      <c r="A43" s="17" t="s">
        <v>505</v>
      </c>
      <c r="B43" s="18" t="s">
        <v>506</v>
      </c>
      <c r="C43" s="19" t="s">
        <v>507</v>
      </c>
      <c r="D43" s="48">
        <f>rH2_gen/(V_charge/1000000)/C_H2_sat</f>
        <v>8.580957853016</v>
      </c>
      <c r="E43" s="69" t="s">
        <v>508</v>
      </c>
      <c r="F43" s="20"/>
    </row>
    <row r="44" spans="1:6" ht="24" customHeight="1" x14ac:dyDescent="0.2">
      <c r="A44" s="17" t="inlineStr">
        <is>
          <t xml:space="preserve">H₂ headspace flammability verdict</t>
        </is>
      </c>
      <c r="B44" s="18" t="s">
        <v>510</v>
      </c>
      <c r="C44" s="19" t="s">
        <v>135</v>
      </c>
      <c r="D44" s="48" t="str">
        <f>IF(AND(y_H2_hs_lag&gt;=H2_LFL,y_O2_hs_lag&gt;=O2_LOC_H2*LOC_margin),"FLAMMABLE HEADSPACE (lag): H₂ "&amp;TEXT(y_H2_hs_lag,"0%")&amp;" mean, "&amp;TEXT(y_H2_end_b,"0%")&amp;" before each pulse; O₂ "&amp;TEXT(y_O2_hs_lag,"0%")&amp;" – until uptake starts, sparge every ≤"&amp;TEXT(spg_int_H2safe/2,"0.0")&amp;" min or sweep ≥"&amp;TEXT(N2_sweep_H2safe,"0.0")&amp;" mL/min N₂; vent to a hood; no ignition sources","Below the H₂ LFL or under the O₂ LOC margin (lag, mean basis; H₂ "&amp;TEXT(y_H2_end_b,"0%")&amp;" before each pulse)")</f>
        <v>FLAMMABLE HEADSPACE (lag): H₂ 11% mean, 18% before each pulse; O₂ 6% – until uptake starts, sparge every ≤1.9 min or sweep ≥1.0 mL/min N₂; vent to a hood; no ignition sources</v>
      </c>
      <c r="E44" s="70" t="inlineStr">
        <is>
          <t xml:space="preserve">Tests the lag-phase headspace mix (rows 84–85, mean-field) against the H₂ lower flammability limit and the limiting O₂ concentration with a design margin. The text also quotes the H₂ fraction just before each pulse (y_H2_end_b, sawtooth top), which is higher than the mean.</t>
        </is>
      </c>
      <c r="F44" s="101" t="inlineStr">
        <is>
          <t xml:space="preserve">Hazard verdict (lag-phase headspace flammability), not a data gap.</t>
        </is>
      </c>
    </row>
    <row r="45" spans="1:6" x14ac:dyDescent="0.2">
      <c r="A45" s="20" t="s">
        <v>513</v>
      </c>
      <c r="B45" s="20" t="s">
        <v>514</v>
      </c>
      <c r="C45" s="20" t="s">
        <v>102</v>
      </c>
      <c r="D45" s="32" t="e">
        <f>IF(ISNUMBER(cal_DO_min),cal_DO_min,IF(ISNUMBER(VLOOKUP(organism_sel,$A$52:$F$57,MATCH("minimum DO",$A$51:$F$51,0),FALSE)),VLOOKUP(organism_sel,$A$52:$F$57,MATCH("minimum DO",$A$51:$F$51,0),FALSE),NA()))</f>
        <v>#N/A</v>
      </c>
      <c r="E45" s="20"/>
      <c r="F45" s="20"/>
    </row>
    <row r="46" spans="1:6" x14ac:dyDescent="0.2">
      <c r="A46" s="20" t="s">
        <v>515</v>
      </c>
      <c r="B46" s="20" t="s">
        <v>516</v>
      </c>
      <c r="C46" s="20" t="s">
        <v>102</v>
      </c>
      <c r="D46" s="28" t="e">
        <f>IF(ISNUMBER(cal_DO_opt),cal_DO_opt,IF(ISNUMBER(VLOOKUP(organism_sel,$A$52:$F$57,MATCH("optimum DO",$A$51:$F$51,0),FALSE)),VLOOKUP(organism_sel,$A$52:$F$57,MATCH("optimum DO",$A$51:$F$51,0),FALSE),NA()))</f>
        <v>#N/A</v>
      </c>
      <c r="E46" s="20"/>
      <c r="F46" s="20"/>
    </row>
    <row r="47" spans="1:6" x14ac:dyDescent="0.2">
      <c r="A47" s="20" t="s">
        <v>517</v>
      </c>
      <c r="B47" s="20" t="s">
        <v>518</v>
      </c>
      <c r="C47" s="20" t="s">
        <v>102</v>
      </c>
      <c r="D47" s="28" t="e">
        <f>IF(ISNUMBER(cal_DO_impair),cal_DO_impair,IF(ISNUMBER(VLOOKUP(organism_sel,$A$52:$F$57,MATCH("impairment DO",$A$51:$F$51,0),FALSE)),VLOOKUP(organism_sel,$A$52:$F$57,MATCH("impairment DO",$A$51:$F$51,0),FALSE),NA()))</f>
        <v>#N/A</v>
      </c>
      <c r="E47" s="20"/>
      <c r="F47" s="20"/>
    </row>
    <row r="48" spans="1:6" x14ac:dyDescent="0.2">
      <c r="A48" s="20" t="s">
        <v>519</v>
      </c>
      <c r="B48" s="20" t="s">
        <v>520</v>
      </c>
      <c r="C48" s="20" t="s">
        <v>102</v>
      </c>
      <c r="D48" s="28" t="e">
        <f>IF(ISNUMBER(cal_DO_toxic),cal_DO_toxic,IF(ISNUMBER(VLOOKUP(organism_sel,$A$52:$F$57,MATCH("toxic DO",$A$51:$F$51,0),FALSE)),VLOOKUP(organism_sel,$A$52:$F$57,MATCH("toxic DO",$A$51:$F$51,0),FALSE),NA()))</f>
        <v>#N/A</v>
      </c>
      <c r="E48" s="20"/>
      <c r="F48" s="20"/>
    </row>
    <row r="49" spans="1:6" x14ac:dyDescent="0.2">
      <c r="A49" s="20"/>
      <c r="B49" s="59"/>
      <c r="C49" s="59"/>
      <c r="D49" s="59"/>
      <c r="E49" s="59"/>
      <c r="F49" s="20"/>
    </row>
    <row r="50" spans="1:6" x14ac:dyDescent="0.2">
      <c r="A50" s="103" t="s">
        <v>521</v>
      </c>
      <c r="B50" s="20"/>
      <c r="C50" s="20"/>
      <c r="D50" s="20"/>
      <c r="E50" s="20"/>
      <c r="F50" s="20"/>
    </row>
    <row r="51" spans="1:6" x14ac:dyDescent="0.2">
      <c r="A51" s="103" t="s">
        <v>522</v>
      </c>
      <c r="B51" s="103" t="s">
        <v>523</v>
      </c>
      <c r="C51" s="103" t="s">
        <v>524</v>
      </c>
      <c r="D51" s="103" t="s">
        <v>525</v>
      </c>
      <c r="E51" s="103" t="s">
        <v>526</v>
      </c>
      <c r="F51" s="103" t="s">
        <v>527</v>
      </c>
    </row>
    <row r="52" spans="1:6" x14ac:dyDescent="0.2">
      <c r="A52" s="20" t="s">
        <v>39</v>
      </c>
      <c r="B52" s="59" t="s">
        <v>398</v>
      </c>
      <c r="C52" s="20">
        <v>2.6</v>
      </c>
      <c r="D52" s="20">
        <v>3</v>
      </c>
      <c r="E52" s="20">
        <v>11.5</v>
      </c>
      <c r="F52" s="101" t="s">
        <v>528</v>
      </c>
    </row>
    <row r="53" spans="1:6" x14ac:dyDescent="0.2">
      <c r="A53" s="20" t="s">
        <v>529</v>
      </c>
      <c r="B53" s="59" t="s">
        <v>398</v>
      </c>
      <c r="C53" s="59" t="s">
        <v>398</v>
      </c>
      <c r="D53" s="59" t="s">
        <v>398</v>
      </c>
      <c r="E53" s="20">
        <v>11.5</v>
      </c>
      <c r="F53" s="20" t="s">
        <v>530</v>
      </c>
    </row>
    <row r="54" spans="1:6" x14ac:dyDescent="0.2">
      <c r="A54" s="20" t="s">
        <v>531</v>
      </c>
      <c r="B54" s="59" t="s">
        <v>398</v>
      </c>
      <c r="C54" s="59" t="s">
        <v>398</v>
      </c>
      <c r="D54" s="59" t="s">
        <v>398</v>
      </c>
      <c r="E54" s="59" t="s">
        <v>398</v>
      </c>
      <c r="F54" s="20" t="s">
        <v>532</v>
      </c>
    </row>
    <row r="55" spans="1:6" x14ac:dyDescent="0.2">
      <c r="A55" s="20" t="s">
        <v>533</v>
      </c>
      <c r="B55" s="59" t="s">
        <v>398</v>
      </c>
      <c r="C55" s="59" t="s">
        <v>398</v>
      </c>
      <c r="D55" s="59" t="s">
        <v>398</v>
      </c>
      <c r="E55" s="59" t="s">
        <v>398</v>
      </c>
      <c r="F55" s="20" t="s">
        <v>532</v>
      </c>
    </row>
    <row r="56" spans="1:6" x14ac:dyDescent="0.2">
      <c r="A56" s="20" t="s">
        <v>534</v>
      </c>
      <c r="B56" s="59" t="s">
        <v>398</v>
      </c>
      <c r="C56" s="59" t="s">
        <v>398</v>
      </c>
      <c r="D56" s="59" t="s">
        <v>398</v>
      </c>
      <c r="E56" s="59" t="s">
        <v>398</v>
      </c>
      <c r="F56" s="20" t="s">
        <v>532</v>
      </c>
    </row>
    <row r="57" spans="1:6" x14ac:dyDescent="0.2">
      <c r="A57" s="20" t="s">
        <v>535</v>
      </c>
      <c r="B57" s="59" t="s">
        <v>398</v>
      </c>
      <c r="C57" s="59" t="s">
        <v>398</v>
      </c>
      <c r="D57" s="59" t="s">
        <v>398</v>
      </c>
      <c r="E57" s="59" t="s">
        <v>398</v>
      </c>
      <c r="F57" s="20" t="s">
        <v>536</v>
      </c>
    </row>
    <row r="58" spans="1:6" x14ac:dyDescent="0.2">
      <c r="A58" s="20"/>
      <c r="B58" s="20"/>
      <c r="C58" s="20"/>
      <c r="D58" s="32"/>
      <c r="E58" s="20"/>
      <c r="F58" s="20"/>
    </row>
    <row r="59" spans="1:6" x14ac:dyDescent="0.2">
      <c r="A59" s="5" t="inlineStr">
        <is>
          <t xml:space="preserve">TARGET DISSOLVED-OXYGEN FRACTION (one definition, used by every guard)</t>
        </is>
      </c>
    </row>
    <row r="60" spans="1:6" ht="24" x14ac:dyDescent="0.2">
      <c r="A60" t="s">
        <v>1474</v>
      </c>
      <c r="B60" s="18" t="s">
        <v>1475</v>
      </c>
      <c r="C60" s="19" t="s">
        <v>1274</v>
      </c>
      <c r="D60" s="141">
        <f>IF(AND(ISNUMBER(DO_opt),ISNUMBER(DO_toxic)),DO_opt/DO_toxic,DO_frac_fallback)</f>
        <v>0.226086956522</v>
      </c>
      <c r="E60" s="67" t="s">
        <v>1476</v>
      </c>
    </row>
    <row r="61" spans="1:6" ht="48" x14ac:dyDescent="0.2">
      <c r="A61" t="s">
        <v>1477</v>
      </c>
      <c r="B61" s="18" t="s">
        <v>1478</v>
      </c>
      <c r="C61" s="19" t="s">
        <v>1274</v>
      </c>
      <c r="D61" s="146">
        <v>0.22608695652173899</v>
      </c>
      <c r="E61" s="68" t="inlineStr">
        <is>
          <t xml:space="preserve">C. necator DO_opt 2.6 ÷ DO_toxic 11.5 mg/L (row 52), the only organism in the table with a measured band, used as the stand-in for the rest. Same optimum ÷ ceiling ratio the row above computes, so the fallback is consistent with the definition.</t>
        </is>
      </c>
    </row>
    <row r="62">
      <c r="A62" s="5" t="inlineStr">
        <is>
          <t xml:space="preserve">NAMED DEFAULTS, CONSTANTS AND IMPORTS</t>
        </is>
      </c>
    </row>
    <row r="63">
      <c r="A63" s="17" t="inlineStr">
        <is>
          <t xml:space="preserve">Default H₂ uptake ratio (no calibration)</t>
        </is>
      </c>
      <c r="B63" s="18" t="inlineStr">
        <is>
          <t xml:space="preserve">knall_H2_default</t>
        </is>
      </c>
      <c r="C63" s="19" t="inlineStr">
        <is>
          <t xml:space="preserve">-</t>
        </is>
      </c>
      <c r="D63" s="131">
        <v>6</v>
      </c>
      <c r="E63" s="61" t="inlineStr">
        <is>
          <t xml:space="preserve">Used when no Calibrations knallgas run is included. 6:2:1 = mid-range central uptake ratio (Lu &amp; Yu 2019; feed optimum 7:2:1, Ishizaki 2001).</t>
        </is>
      </c>
    </row>
    <row r="64">
      <c r="A64" s="17" t="inlineStr">
        <is>
          <t xml:space="preserve">Default O₂ uptake ratio (no calibration)</t>
        </is>
      </c>
      <c r="B64" s="18" t="inlineStr">
        <is>
          <t xml:space="preserve">knall_O2_default</t>
        </is>
      </c>
      <c r="C64" s="19" t="inlineStr">
        <is>
          <t xml:space="preserve">-</t>
        </is>
      </c>
      <c r="D64" s="131">
        <v>2</v>
      </c>
      <c r="E64" s="61" t="inlineStr">
        <is>
          <t xml:space="preserve">As above: O₂:H₂ uptake 0.29–0.35 (×6 → 1.75–2.1), 2 = central.</t>
        </is>
      </c>
    </row>
    <row r="65">
      <c r="A65" s="17" t="inlineStr">
        <is>
          <t xml:space="preserve">Default CO₂ uptake ratio (no calibration)</t>
        </is>
      </c>
      <c r="B65" s="18" t="inlineStr">
        <is>
          <t xml:space="preserve">knall_CO2_default</t>
        </is>
      </c>
      <c r="C65" s="19" t="inlineStr">
        <is>
          <t xml:space="preserve">-</t>
        </is>
      </c>
      <c r="D65" s="131">
        <v>1</v>
      </c>
      <c r="E65" s="61" t="inlineStr">
        <is>
          <t xml:space="preserve">As above: CO₂:H₂ uptake 0.15–0.19 (×6 → 0.9–1.15), 1 = central.</t>
        </is>
      </c>
    </row>
    <row r="66">
      <c r="A66" s="17" t="inlineStr">
        <is>
          <t xml:space="preserve">Celsius-to-kelvin offset</t>
        </is>
      </c>
      <c r="B66" s="18" t="inlineStr">
        <is>
          <t xml:space="preserve">T_zero_C</t>
        </is>
      </c>
      <c r="C66" s="19" t="inlineStr">
        <is>
          <t xml:space="preserve">K</t>
        </is>
      </c>
      <c r="D66" s="131">
        <v>273.15</v>
      </c>
      <c r="E66" s="99" t="inlineStr">
        <is>
          <t xml:space="preserve">Defined (SI): 0 °C = 273.15 K exactly.</t>
        </is>
      </c>
    </row>
    <row r="67">
      <c r="A67" s="20" t="inlineStr">
        <is>
          <t xml:space="preserve">(import) Ambient pressure setpoint</t>
        </is>
      </c>
      <c r="B67" s="18" t="inlineStr">
        <is>
          <t xml:space="preserve">P_atm_set</t>
        </is>
      </c>
      <c r="C67" s="20" t="inlineStr">
        <is>
          <t xml:space="preserve">Pa</t>
        </is>
      </c>
      <c r="D67" s="151">
        <f>Summary!$D$10</f>
        <v>0.0</v>
      </c>
      <c r="E67" s="135" t="inlineStr">
        <is>
          <t xml:space="preserve">Import from Summary!D10 (blank reads as 0, so P_atm falls back to Pa_per_atm).</t>
        </is>
      </c>
    </row>
    <row r="75">
      <c r="A75" s="5" t="inlineStr">
        <is>
          <t xml:space="preserve">HEADSPACE FLAMMABILITY (lag phase: electrolysis running, no H₂ uptake yet)</t>
        </is>
      </c>
    </row>
    <row r="76">
      <c r="A76" s="20" t="inlineStr">
        <is>
          <t xml:space="preserve">(import) average CO₂ supply rate</t>
        </is>
      </c>
      <c r="B76" s="18" t="inlineStr">
        <is>
          <t xml:space="preserve">CO2_supply_b</t>
        </is>
      </c>
      <c r="C76" s="20" t="inlineStr">
        <is>
          <t xml:space="preserve">mol/h</t>
        </is>
      </c>
      <c r="D76" s="150">
        <f>'Mass Transfer'!$D$100</f>
        <v>0.0007098184304685</v>
      </c>
      <c r="E76" s="135" t="inlineStr">
        <is>
          <t xml:space="preserve">Import from Mass Transfer!D100 (schedule in use).</t>
        </is>
      </c>
    </row>
    <row r="77">
      <c r="A77" s="20" t="inlineStr">
        <is>
          <t xml:space="preserve">(import) CO₂ rate while the valve is open</t>
        </is>
      </c>
      <c r="B77" s="18" t="inlineStr">
        <is>
          <t xml:space="preserve">CO2_rate_full_b</t>
        </is>
      </c>
      <c r="C77" s="20" t="inlineStr">
        <is>
          <t xml:space="preserve">mol/h</t>
        </is>
      </c>
      <c r="D77" s="150">
        <f>'Mass Transfer'!$D$178</f>
        <v>0.489998045758</v>
      </c>
      <c r="E77" s="135" t="inlineStr">
        <is>
          <t xml:space="preserve">Import from Mass Transfer!D178.</t>
        </is>
      </c>
    </row>
    <row r="78">
      <c r="A78" s="20" t="inlineStr">
        <is>
          <t xml:space="preserve">(import) pulse duration</t>
        </is>
      </c>
      <c r="B78" s="18" t="inlineStr">
        <is>
          <t xml:space="preserve">spg_dur_b</t>
        </is>
      </c>
      <c r="C78" s="20" t="inlineStr">
        <is>
          <t xml:space="preserve">s</t>
        </is>
      </c>
      <c r="D78" s="150">
        <f>'Mass Transfer'!$D$90</f>
        <v>0.784513049825</v>
      </c>
      <c r="E78" s="135" t="inlineStr">
        <is>
          <t xml:space="preserve">Import from Mass Transfer!D90.</t>
        </is>
      </c>
    </row>
    <row r="79">
      <c r="A79" s="20" t="inlineStr">
        <is>
          <t xml:space="preserve">(import) ideal gas constant</t>
        </is>
      </c>
      <c r="B79" s="18" t="inlineStr">
        <is>
          <t xml:space="preserve">R_gas_b</t>
        </is>
      </c>
      <c r="C79" s="20" t="inlineStr">
        <is>
          <t xml:space="preserve">J/(mol·K)</t>
        </is>
      </c>
      <c r="D79" s="150">
        <f>'Mass Transfer'!$D$101</f>
        <v>8.314462618</v>
      </c>
      <c r="E79" s="135" t="inlineStr">
        <is>
          <t xml:space="preserve">Import from Mass Transfer!D101.</t>
        </is>
      </c>
    </row>
    <row r="80">
      <c r="A80" s="17" t="inlineStr">
        <is>
          <t xml:space="preserve">H₂ lower flammability limit</t>
        </is>
      </c>
      <c r="B80" s="18" t="inlineStr">
        <is>
          <t xml:space="preserve">H2_LFL</t>
        </is>
      </c>
      <c r="C80" s="19" t="inlineStr">
        <is>
          <t xml:space="preserve">-</t>
        </is>
      </c>
      <c r="D80" s="146">
        <v>0.04</v>
      </c>
      <c r="E80" s="99" t="inlineStr">
        <is>
          <t xml:space="preserve">4.0 vol% in air or O₂ (Coward &amp; Jones 1952; Zabetakis 1965, USBM Bulletin 627).</t>
        </is>
      </c>
    </row>
    <row r="81">
      <c r="A81" s="17" t="inlineStr">
        <is>
          <t xml:space="preserve">Limiting O₂ concentration for H₂, CO₂ diluent</t>
        </is>
      </c>
      <c r="B81" s="18" t="inlineStr">
        <is>
          <t xml:space="preserve">O2_LOC_H2</t>
        </is>
      </c>
      <c r="C81" s="19" t="inlineStr">
        <is>
          <t xml:space="preserve">-</t>
        </is>
      </c>
      <c r="D81" s="146">
        <v>0.052</v>
      </c>
      <c r="E81" s="99" t="inlineStr">
        <is>
          <t xml:space="preserve">About 5.2 vol% O₂ with CO₂ as diluent (5.0 % with N₂): Zabetakis 1965; NFPA 69 annex table.</t>
        </is>
      </c>
    </row>
    <row r="82">
      <c r="A82" s="17" t="inlineStr">
        <is>
          <t xml:space="preserve">Design margin on the LOC</t>
        </is>
      </c>
      <c r="B82" s="18" t="inlineStr">
        <is>
          <t xml:space="preserve">LOC_margin</t>
        </is>
      </c>
      <c r="C82" s="19" t="inlineStr">
        <is>
          <t xml:space="preserve">-</t>
        </is>
      </c>
      <c r="D82" s="146">
        <v>0.6</v>
      </c>
      <c r="E82" s="99" t="inlineStr">
        <is>
          <t xml:space="preserve">NFPA 69: hold O₂ at or below 60 % of the LOC when it is not monitored continuously (check the edition in force).</t>
        </is>
      </c>
    </row>
    <row r="83">
      <c r="A83" s="17" t="inlineStr">
        <is>
          <t xml:space="preserve">Gas evolved into the headspace (lag)</t>
        </is>
      </c>
      <c r="B83" s="18" t="inlineStr">
        <is>
          <t xml:space="preserve">n_flamm_src</t>
        </is>
      </c>
      <c r="C83" s="19" t="inlineStr">
        <is>
          <t xml:space="preserve">mol/h</t>
        </is>
      </c>
      <c r="D83" s="48">
        <f>H2_src_l_b+O2_net_gen</f>
        <v>0.0001515178050535</v>
      </c>
      <c r="E83" s="69" t="inlineStr">
        <is>
          <t xml:space="preserve">Lag phase: no uptake, so all electrolytic H₂ not oxidised at the anode (H2_src_l_b) and the net O₂ reach the headspace.</t>
        </is>
      </c>
    </row>
    <row r="84">
      <c r="A84" s="17" t="inlineStr">
        <is>
          <t xml:space="preserve">Headspace H₂ fraction (lag, mean-field)</t>
        </is>
      </c>
      <c r="B84" s="18" t="inlineStr">
        <is>
          <t xml:space="preserve">y_H2_hs_lag</t>
        </is>
      </c>
      <c r="C84" s="19" t="inlineStr">
        <is>
          <t xml:space="preserve">-</t>
        </is>
      </c>
      <c r="D84" s="48">
        <f>H2_src_l_b/(n_flamm_src+CO2_supply_b+F_vent_ex_b)</f>
        <v>0.113266761861</v>
      </c>
      <c r="E84" s="69" t="inlineStr">
        <is>
          <t xml:space="preserve">Mean-field balance shared with Mass Transfer §300 (= y_H2_mf_l there): H₂ (net of anodic oxidation) over all gas leaving the headspace — evolved gas, CO₂ pulses and, in the "Open vent" and "Air exchange" vent models, the air drawn in. The pulse-to-pulse sawtooth peaks higher (y_H2_end_b, quoted in D44).</t>
        </is>
      </c>
    </row>
    <row r="85">
      <c r="A85" s="17" t="inlineStr">
        <is>
          <t xml:space="preserve">Headspace O₂ fraction (lag, mean-field)</t>
        </is>
      </c>
      <c r="B85" s="18" t="inlineStr">
        <is>
          <t xml:space="preserve">y_O2_hs_lag</t>
        </is>
      </c>
      <c r="C85" s="19" t="inlineStr">
        <is>
          <t xml:space="preserve">-</t>
        </is>
      </c>
      <c r="D85" s="48">
        <f>(O2_net_gen+y_O2_air_b*F_vent_ex_b)/(n_flamm_src+CO2_supply_b+F_vent_ex_b)</f>
        <v>0.064019231488</v>
      </c>
      <c r="E85" s="69" t="inlineStr">
        <is>
          <t xml:space="preserve">As above for O₂ (= y_O2_mf_l on Mass Transfer), including the O₂ carried in by exchanged air. Air ingress lowers H₂ but raises O₂ toward 21 %, so it does not make the mixture safe.</t>
        </is>
      </c>
    </row>
    <row r="86">
      <c r="A86" s="17" t="inlineStr">
        <is>
          <t xml:space="preserve">CO₂ duty that makes the lag headspace non-flammable</t>
        </is>
      </c>
      <c r="B86" s="18" t="inlineStr">
        <is>
          <t xml:space="preserve">duty_H2safe</t>
        </is>
      </c>
      <c r="C86" s="19" t="inlineStr">
        <is>
          <t xml:space="preserve">-</t>
        </is>
      </c>
      <c r="D86" s="48">
        <f>MAX(0,MIN(H2_src_l_b/H2_LFL-n_flamm_src-F_vent_ex_b,(O2_net_gen+y_O2_air_b*F_vent_ex_b)/(O2_LOC_H2*LOC_margin)-n_flamm_src-F_vent_ex_b))/CO2_rate_full_b</f>
        <v>0.003376651195</v>
      </c>
      <c r="E86" s="69" t="inlineStr">
        <is>
          <t xml:space="preserve">Least valve-open fraction that brings H₂ below the LFL or O₂ below the LOC margin, whichever needs less CO₂, from the same balance; exchanged air counts as diluent for H₂ and as an O₂ source for the LOC route.</t>
        </is>
      </c>
    </row>
    <row r="87">
      <c r="A87" s="17" t="inlineStr">
        <is>
          <t xml:space="preserve">Interval that makes the lag headspace non-flammable</t>
        </is>
      </c>
      <c r="B87" s="18" t="inlineStr">
        <is>
          <t xml:space="preserve">spg_int_H2safe</t>
        </is>
      </c>
      <c r="C87" s="19" t="inlineStr">
        <is>
          <t xml:space="preserve">min</t>
        </is>
      </c>
      <c r="D87" s="48">
        <f>IF(duty_H2safe&gt;0,spg_dur_b/(60*duty_H2safe),NA())</f>
        <v>3.872244049322</v>
      </c>
      <c r="E87" s="69" t="inlineStr">
        <is>
          <t xml:space="preserve">Mean-field; the pulse-to-pulse sawtooth peaks need roughly half this interval.</t>
        </is>
      </c>
    </row>
    <row r="88">
      <c r="A88" s="17" t="inlineStr">
        <is>
          <t xml:space="preserve">N₂ sweep that keeps lag H₂ below the LFL</t>
        </is>
      </c>
      <c r="B88" s="18" t="inlineStr">
        <is>
          <t xml:space="preserve">N2_sweep_H2safe</t>
        </is>
      </c>
      <c r="C88" s="19" t="inlineStr">
        <is>
          <t xml:space="preserve">mL/min</t>
        </is>
      </c>
      <c r="D88" s="48">
        <f>MAX(0,H2_src_l_b/H2_LFL-n_flamm_src-F_vent_ex_b)/3600*R_gas_b*T_K/P_atm*1000000*60</f>
        <v>0.960219102801</v>
      </c>
      <c r="E88" s="69" t="inlineStr">
        <is>
          <t xml:space="preserve">Continuous inert headspace sweep that dilutes H₂ below the LFL with no CO₂ at all, net of any air exchange already diluting it.</t>
        </is>
      </c>
    </row>
    <row r="95">
      <c r="A95" s="5" t="inlineStr">
        <is>
          <t xml:space="preserve">ANODIC H₂ LOSS AND CARBON AT THE CYCLE TROUGH</t>
        </is>
      </c>
    </row>
    <row r="96">
      <c r="A96" s="17" t="inlineStr">
        <is>
          <t xml:space="preserve">(import) H₂ oxidised at the anode</t>
        </is>
      </c>
      <c r="B96" s="18" t="inlineStr">
        <is>
          <t xml:space="preserve">H2_HOR_b</t>
        </is>
      </c>
      <c r="C96" s="19" t="inlineStr">
        <is>
          <t xml:space="preserve">mol/h</t>
        </is>
      </c>
      <c r="D96" s="48">
        <f>Electrochemistry!$D$149</f>
        <v>0.0</v>
      </c>
      <c r="E96" s="67" t="inlineStr">
        <is>
          <t xml:space="preserve">→ Electrochemistry (r_H2_HOR; 0 while f_HOR_anode is a data gap)</t>
        </is>
      </c>
    </row>
    <row r="97">
      <c r="A97" s="17" t="inlineStr">
        <is>
          <t xml:space="preserve">(import) dissolved CO₂ at the start of a pulse (cycle trough)</t>
        </is>
      </c>
      <c r="B97" s="18" t="inlineStr">
        <is>
          <t xml:space="preserve">C_cycle_start_b</t>
        </is>
      </c>
      <c r="C97" s="19" t="inlineStr">
        <is>
          <t xml:space="preserve">mol/m³</t>
        </is>
      </c>
      <c r="D97" s="48">
        <f>'Mass Transfer'!$D$198</f>
        <v>29.726224026733</v>
      </c>
      <c r="E97" s="67" t="inlineStr">
        <is>
          <t xml:space="preserve">→ Mass Transfer (C_cycle_start, mass-conserving limit cycle)</t>
        </is>
      </c>
    </row>
    <row r="98">
      <c r="A98" s="17" t="inlineStr">
        <is>
          <t xml:space="preserve">Carbon margin at the cycle trough (dissolved CO₂ : Km)</t>
        </is>
      </c>
      <c r="B98" s="18" t="inlineStr">
        <is>
          <t xml:space="preserve">CO2_margin_trough</t>
        </is>
      </c>
      <c r="C98" s="19" t="inlineStr">
        <is>
          <t xml:space="preserve">×</t>
        </is>
      </c>
      <c r="D98" s="48">
        <f>C_cycle_start_b*1000/Km_CO2</f>
        <v>594.524480534657</v>
      </c>
      <c r="E98" s="69" t="inlineStr">
        <is>
          <t xml:space="preserve">Lowest dissolved CO₂ of the dosing cycle (mol/m³ = mM, ×1000 → µM) against RuBisCO Km. A sub-second pulse never approaches the full-sparge saturation D33 uses, so this, not D35, is the carbon-availability test; schedule-dependent.</t>
        </is>
      </c>
    </row>
    <row r="110">
      <c r="A110" s="5" t="inlineStr">
        <is>
          <t xml:space="preserve">IMPORTS FOR THE SHARED HEADSPACE BALANCE (Mass Transfer §300)</t>
        </is>
      </c>
    </row>
    <row r="111">
      <c r="A111" s="20" t="inlineStr">
        <is>
          <t xml:space="preserve">(import) vent air-exchange flow</t>
        </is>
      </c>
      <c r="B111" s="18" t="inlineStr">
        <is>
          <t xml:space="preserve">F_vent_ex_b</t>
        </is>
      </c>
      <c r="C111" s="20" t="inlineStr">
        <is>
          <t xml:space="preserve">mol/h</t>
        </is>
      </c>
      <c r="D111" s="150">
        <f>'Mass Transfer'!$D$308</f>
        <v>3.67866400719e-05</v>
      </c>
      <c r="E111" s="135" t="inlineStr">
        <is>
          <t xml:space="preserve">Import from Mass Transfer!D308: zero for "Outflow only", Q_vent as mol/h for "Air exchange".</t>
        </is>
      </c>
    </row>
    <row r="112">
      <c r="A112" s="20" t="inlineStr">
        <is>
          <t xml:space="preserve">(import) dry-air O₂ mole fraction</t>
        </is>
      </c>
      <c r="B112" s="18" t="inlineStr">
        <is>
          <t xml:space="preserve">y_O2_air_b</t>
        </is>
      </c>
      <c r="C112" s="20" t="inlineStr">
        <is>
          <t xml:space="preserve">-</t>
        </is>
      </c>
      <c r="D112" s="150">
        <f>'Mass Transfer'!$D$307</f>
        <v>0.2095</v>
      </c>
      <c r="E112" s="135" t="inlineStr">
        <is>
          <t xml:space="preserve">Import from Mass Transfer!D307.</t>
        </is>
      </c>
    </row>
    <row r="113">
      <c r="A113" s="20" t="inlineStr">
        <is>
          <t xml:space="preserve">(import) H₂ to headspace — lag (net of anodic oxidation)</t>
        </is>
      </c>
      <c r="B113" s="18" t="inlineStr">
        <is>
          <t xml:space="preserve">H2_src_l_b</t>
        </is>
      </c>
      <c r="C113" s="20" t="inlineStr">
        <is>
          <t xml:space="preserve">mol/h</t>
        </is>
      </c>
      <c r="D113" s="150">
        <f>'Mass Transfer'!$D$314</f>
        <v>0.0001017274698715</v>
      </c>
      <c r="E113" s="135" t="inlineStr">
        <is>
          <t xml:space="preserve">Import from Mass Transfer!D314: evolved H₂ less the anodic H₂ oxidation (r_H2_HOR).</t>
        </is>
      </c>
    </row>
    <row r="114">
      <c r="A114" s="20" t="inlineStr">
        <is>
          <t xml:space="preserve">(import) headspace H₂ just before a pulse (lag)</t>
        </is>
      </c>
      <c r="B114" s="18" t="inlineStr">
        <is>
          <t xml:space="preserve">y_H2_end_b</t>
        </is>
      </c>
      <c r="C114" s="20" t="inlineStr">
        <is>
          <t xml:space="preserve">-</t>
        </is>
      </c>
      <c r="D114" s="150">
        <f>'Mass Transfer'!$D$388</f>
        <v>0.175164116673</v>
      </c>
      <c r="E114" s="135" t="inlineStr">
        <is>
          <t xml:space="preserve">Import from Mass Transfer!D388 (sawtooth top).</t>
        </is>
      </c>
    </row>
  </sheetData>
  <conditionalFormatting sqref="D9">
    <cfRule type="colorScale" priority="2">
      <colorScale>
        <cfvo type="num" val="0"/>
        <cfvo type="num" val="1.5E-5"/>
        <cfvo type="num" val="4.0000000000000003E-5"/>
        <color rgb="FF63BE7B"/>
        <color rgb="FFFFEB84"/>
        <color rgb="FFF8696B"/>
      </colorScale>
    </cfRule>
  </conditionalFormatting>
  <conditionalFormatting sqref="D44">
    <cfRule type="cellIs" dxfId="8" priority="1" operator="equal">
      <formula>"EXPLOSIVE"</formula>
    </cfRule>
    <cfRule type="expression" dxfId="7" priority="3" stopIfTrue="1">
      <formula>ISNUMBER(SEARCH("EXPLOSIVE",D44))</formula>
    </cfRule>
  </conditionalFormatting>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F206"/>
  <sheetViews>
    <sheetView topLeftCell="A101" zoomScale="137" workbookViewId="0">
      <selection activeCell="D113" sqref="D113"/>
    </sheetView>
  </sheetViews>
  <sheetFormatPr baseColWidth="10" defaultColWidth="8.83203125" defaultRowHeight="15" x14ac:dyDescent="0.2"/>
  <cols>
    <col min="1" max="1" width="30" customWidth="1"/>
    <col min="2" max="2" width="15" customWidth="1"/>
    <col min="4" max="4" width="14.5" customWidth="1"/>
    <col min="5" max="5" width="60" customWidth="1"/>
  </cols>
  <sheetData>
    <row r="1" spans="1:6" ht="16" customHeight="1" x14ac:dyDescent="0.2">
      <c r="A1" s="104" t="s">
        <v>537</v>
      </c>
      <c r="B1" s="20"/>
      <c r="C1" s="20"/>
      <c r="D1" s="20"/>
      <c r="E1" s="20"/>
      <c r="F1" s="20"/>
    </row>
    <row r="2" spans="1:6" x14ac:dyDescent="0.2">
      <c r="A2" s="16" t="s">
        <v>24</v>
      </c>
      <c r="B2" s="16" t="s">
        <v>25</v>
      </c>
      <c r="C2" s="16" t="s">
        <v>26</v>
      </c>
      <c r="D2" s="16" t="s">
        <v>27</v>
      </c>
      <c r="E2" s="16" t="s">
        <v>131</v>
      </c>
      <c r="F2" s="20"/>
    </row>
    <row r="3" spans="1:6" x14ac:dyDescent="0.2">
      <c r="A3" s="17"/>
      <c r="B3" s="18"/>
      <c r="C3" s="19"/>
      <c r="D3" s="105"/>
      <c r="E3" s="37"/>
      <c r="F3" s="20"/>
    </row>
    <row r="4" spans="1:6" ht="16" customHeight="1" x14ac:dyDescent="0.2">
      <c r="A4" s="104" t="s">
        <v>132</v>
      </c>
      <c r="B4" s="18"/>
      <c r="C4" s="19"/>
      <c r="D4" s="105"/>
      <c r="E4" s="37"/>
      <c r="F4" s="20"/>
    </row>
    <row r="5" spans="1:6" x14ac:dyDescent="0.2">
      <c r="A5" s="17" t="s">
        <v>538</v>
      </c>
      <c r="B5" s="18" t="s">
        <v>539</v>
      </c>
      <c r="C5" s="19" t="s">
        <v>146</v>
      </c>
      <c r="D5" s="153">
        <f>Geometry!$D$52</f>
        <v>12.0</v>
      </c>
      <c r="E5" s="73" t="str">
        <f>HYPERLINK("#Geometry!D52","→ Geometry")</f>
        <v>→ Geometry</v>
      </c>
      <c r="F5" s="101" t="inlineStr">
        <is>
          <t xml:space="preserve">Magnetic stir bar. Pioreactor max 20 mm; confirm the supplied bar's length.</t>
        </is>
      </c>
    </row>
    <row r="6" spans="1:6" x14ac:dyDescent="0.2">
      <c r="A6" s="20" t="s">
        <v>541</v>
      </c>
      <c r="B6" s="20" t="s">
        <v>459</v>
      </c>
      <c r="C6" s="20" t="s">
        <v>460</v>
      </c>
      <c r="D6" s="142">
        <f>Biology!$D$27</f>
        <v>0.36477</v>
      </c>
      <c r="E6" s="135" t="str">
        <f>HYPERLINK("#Biology!D27","→ Biology")</f>
        <v>→ Biology</v>
      </c>
      <c r="F6" s="20"/>
    </row>
    <row r="7" spans="1:6" x14ac:dyDescent="0.2">
      <c r="A7" s="20" t="s">
        <v>542</v>
      </c>
      <c r="B7" s="20" t="s">
        <v>456</v>
      </c>
      <c r="C7" s="20" t="s">
        <v>62</v>
      </c>
      <c r="D7" s="142">
        <f>Biology!$D$26</f>
        <v>30397.5</v>
      </c>
      <c r="E7" s="135" t="str">
        <f>HYPERLINK("#Biology!D26","→ Biology")</f>
        <v>→ Biology</v>
      </c>
      <c r="F7" s="20"/>
    </row>
    <row r="8" spans="1:6" ht="24" customHeight="1" x14ac:dyDescent="0.2">
      <c r="A8" s="20" t="s">
        <v>307</v>
      </c>
      <c r="B8" s="20" t="s">
        <v>308</v>
      </c>
      <c r="C8" s="20" t="s">
        <v>309</v>
      </c>
      <c r="D8" s="142">
        <f>Biology!$D$18</f>
        <v>298.15</v>
      </c>
      <c r="E8" s="135" t="str">
        <f>HYPERLINK("#Biology!D18","→ Biology")</f>
        <v>→ Biology</v>
      </c>
      <c r="F8" s="20"/>
    </row>
    <row r="9" spans="1:6" x14ac:dyDescent="0.2">
      <c r="A9" s="20" t="s">
        <v>310</v>
      </c>
      <c r="B9" s="20" t="s">
        <v>311</v>
      </c>
      <c r="C9" s="20" t="s">
        <v>62</v>
      </c>
      <c r="D9" s="142">
        <f>Biology!$D$19</f>
        <v>101325.0</v>
      </c>
      <c r="E9" s="135" t="str">
        <f>HYPERLINK("#Biology!D19","→ Biology")</f>
        <v>→ Biology</v>
      </c>
      <c r="F9" s="20"/>
    </row>
    <row r="10" spans="1:6" x14ac:dyDescent="0.2">
      <c r="A10" s="20" t="s">
        <v>543</v>
      </c>
      <c r="B10" s="20" t="s">
        <v>423</v>
      </c>
      <c r="C10" s="20" t="s">
        <v>354</v>
      </c>
      <c r="D10" s="142">
        <f>Biology!$D$15</f>
        <v>1.695457831191e-05</v>
      </c>
      <c r="E10" s="135" t="str">
        <f>HYPERLINK("#Biology!D15","→ Biology")</f>
        <v>→ Biology</v>
      </c>
      <c r="F10" s="20"/>
    </row>
    <row r="11" spans="1:6" x14ac:dyDescent="0.2">
      <c r="A11" s="20" t="s">
        <v>544</v>
      </c>
      <c r="B11" s="20" t="s">
        <v>426</v>
      </c>
      <c r="C11" s="20" t="s">
        <v>354</v>
      </c>
      <c r="D11" s="142">
        <f>Biology!$D$16</f>
        <v>1.58811785582e-05</v>
      </c>
      <c r="E11" s="135" t="str">
        <f>HYPERLINK("#Biology!D16","→ Biology")</f>
        <v>→ Biology</v>
      </c>
      <c r="F11" s="20"/>
    </row>
    <row r="12" spans="1:6" x14ac:dyDescent="0.2">
      <c r="A12" s="20" t="s">
        <v>545</v>
      </c>
      <c r="B12" s="20" t="s">
        <v>449</v>
      </c>
      <c r="C12" s="20" t="s">
        <v>440</v>
      </c>
      <c r="D12" s="142">
        <f>Biology!$D$24</f>
        <v>1.2e-05</v>
      </c>
      <c r="E12" s="135" t="str">
        <f>HYPERLINK("#Biology!D24","→ Biology")</f>
        <v>→ Biology</v>
      </c>
      <c r="F12" s="20"/>
    </row>
    <row r="13" spans="1:6" x14ac:dyDescent="0.2">
      <c r="A13" s="20" t="s">
        <v>404</v>
      </c>
      <c r="B13" s="20" t="s">
        <v>378</v>
      </c>
      <c r="C13" s="20" t="s">
        <v>354</v>
      </c>
      <c r="D13" s="150">
        <f>Electrochemistry!$D$29</f>
        <v>4.979033518202e-05</v>
      </c>
      <c r="E13" s="135" t="str">
        <f>HYPERLINK("#Electrochemistry!D29","→ Electrochemistry")</f>
        <v>→ Electrochemistry</v>
      </c>
      <c r="F13" s="20"/>
    </row>
    <row r="14" spans="1:6" x14ac:dyDescent="0.2">
      <c r="A14" s="20" t="s">
        <v>546</v>
      </c>
      <c r="B14" s="20" t="s">
        <v>237</v>
      </c>
      <c r="C14" s="20" t="s">
        <v>172</v>
      </c>
      <c r="D14" s="151">
        <f>Geometry!$D$44</f>
        <v>429.547725140567</v>
      </c>
      <c r="E14" s="135" t="str">
        <f>HYPERLINK("#Geometry!D44","→ Geometry")</f>
        <v>→ Geometry</v>
      </c>
      <c r="F14" s="20"/>
    </row>
    <row r="15" spans="1:6" x14ac:dyDescent="0.2">
      <c r="A15" s="20" t="s">
        <v>547</v>
      </c>
      <c r="B15" s="20" t="s">
        <v>168</v>
      </c>
      <c r="C15" s="20" t="s">
        <v>146</v>
      </c>
      <c r="D15" s="151">
        <f>Geometry!$D$20</f>
        <v>25.28</v>
      </c>
      <c r="E15" s="135" t="str">
        <f>HYPERLINK("#Geometry!D20","→ Geometry")</f>
        <v>→ Geometry</v>
      </c>
      <c r="F15" s="20"/>
    </row>
    <row r="16" spans="1:6" x14ac:dyDescent="0.2">
      <c r="A16" s="20" t="s">
        <v>405</v>
      </c>
      <c r="B16" s="20" t="s">
        <v>228</v>
      </c>
      <c r="C16" s="20" t="s">
        <v>57</v>
      </c>
      <c r="D16" s="151">
        <f>Geometry!$D$41</f>
        <v>15.0</v>
      </c>
      <c r="E16" s="135" t="str">
        <f>HYPERLINK("#Geometry!D41","→ Geometry")</f>
        <v>→ Geometry</v>
      </c>
      <c r="F16" s="20"/>
    </row>
    <row r="17" spans="1:6" x14ac:dyDescent="0.2">
      <c r="A17" s="20" t="s">
        <v>548</v>
      </c>
      <c r="B17" s="20" t="s">
        <v>171</v>
      </c>
      <c r="C17" s="20" t="s">
        <v>172</v>
      </c>
      <c r="D17" s="151">
        <f>Geometry!$D$21</f>
        <v>501.93100162698</v>
      </c>
      <c r="E17" s="135" t="str">
        <f>HYPERLINK("#Geometry!D21","→ Geometry")</f>
        <v>→ Geometry</v>
      </c>
      <c r="F17" s="20"/>
    </row>
    <row r="18" spans="1:6" ht="24" customHeight="1" x14ac:dyDescent="0.2">
      <c r="A18" s="20" t="s">
        <v>549</v>
      </c>
      <c r="B18" s="20" t="s">
        <v>200</v>
      </c>
      <c r="C18" s="20" t="s">
        <v>146</v>
      </c>
      <c r="D18" s="151">
        <f>Geometry!$D$31</f>
        <v>1.5875</v>
      </c>
      <c r="E18" s="135" t="str">
        <f>HYPERLINK("#Geometry!D31","→ Geometry")</f>
        <v>→ Geometry</v>
      </c>
      <c r="F18" s="20"/>
    </row>
    <row r="19" spans="1:6" x14ac:dyDescent="0.2">
      <c r="A19" s="20" t="s">
        <v>550</v>
      </c>
      <c r="B19" s="20" t="s">
        <v>252</v>
      </c>
      <c r="C19" s="20" t="s">
        <v>57</v>
      </c>
      <c r="D19" s="151">
        <f>Geometry!$D$49</f>
        <v>2.612428455917</v>
      </c>
      <c r="E19" s="135" t="str">
        <f>HYPERLINK("#Geometry!D49","→ Geometry")</f>
        <v>→ Geometry</v>
      </c>
      <c r="F19" s="20"/>
    </row>
    <row r="20" spans="1:6" x14ac:dyDescent="0.2">
      <c r="A20" s="20" t="s">
        <v>551</v>
      </c>
      <c r="B20" s="20" t="s">
        <v>552</v>
      </c>
      <c r="C20" s="20" t="s">
        <v>553</v>
      </c>
      <c r="D20" s="150">
        <f>Electrochemistry!$D$32</f>
        <v>0.0</v>
      </c>
      <c r="E20" s="135" t="str">
        <f>HYPERLINK("#Electrochemistry!D32","→ Electrochemistry")</f>
        <v>→ Electrochemistry</v>
      </c>
      <c r="F20" s="20"/>
    </row>
    <row r="21" spans="1:6" x14ac:dyDescent="0.2">
      <c r="A21" s="20" t="s">
        <v>554</v>
      </c>
      <c r="B21" s="20" t="s">
        <v>389</v>
      </c>
      <c r="C21" s="20" t="s">
        <v>135</v>
      </c>
      <c r="D21" s="150" t="str">
        <f>Electrochemistry!$D$31</f>
        <v>Tube</v>
      </c>
      <c r="E21" s="135" t="str">
        <f>HYPERLINK("#Electrochemistry!D31","→ Electrochemistry")</f>
        <v>→ Electrochemistry</v>
      </c>
      <c r="F21" s="20"/>
    </row>
    <row r="22" spans="1:6" ht="36" customHeight="1" x14ac:dyDescent="0.2">
      <c r="A22" s="20" t="s">
        <v>555</v>
      </c>
      <c r="B22" s="20" t="s">
        <v>516</v>
      </c>
      <c r="C22" s="20"/>
      <c r="D22" s="142" t="e">
        <f>Biology!$D$46</f>
        <v>#N/A</v>
      </c>
      <c r="E22" s="135" t="str">
        <f>HYPERLINK("#Biology!D46","→ Biology")</f>
        <v>→ Biology</v>
      </c>
      <c r="F22" s="20"/>
    </row>
    <row r="23" spans="1:6" x14ac:dyDescent="0.2">
      <c r="A23" s="20" t="s">
        <v>556</v>
      </c>
      <c r="B23" s="20" t="s">
        <v>518</v>
      </c>
      <c r="C23" s="20"/>
      <c r="D23" s="142" t="e">
        <f>Biology!$D$47</f>
        <v>#N/A</v>
      </c>
      <c r="E23" s="135" t="str">
        <f>HYPERLINK("#Biology!D47","→ Biology")</f>
        <v>→ Biology</v>
      </c>
      <c r="F23" s="20"/>
    </row>
    <row r="24" spans="1:6" x14ac:dyDescent="0.2">
      <c r="A24" s="20" t="s">
        <v>557</v>
      </c>
      <c r="B24" s="20" t="s">
        <v>520</v>
      </c>
      <c r="C24" s="20"/>
      <c r="D24" s="142" t="e">
        <f>Biology!$D$48</f>
        <v>#N/A</v>
      </c>
      <c r="E24" s="135" t="str">
        <f>HYPERLINK("#Biology!D48","→ Biology")</f>
        <v>→ Biology</v>
      </c>
      <c r="F24" s="20"/>
    </row>
    <row r="25" spans="1:6" x14ac:dyDescent="0.2">
      <c r="A25" s="20" t="s">
        <v>558</v>
      </c>
      <c r="B25" s="20" t="s">
        <v>514</v>
      </c>
      <c r="C25" s="20"/>
      <c r="D25" s="142" t="e">
        <f>Biology!$D$45</f>
        <v>#N/A</v>
      </c>
      <c r="E25" s="135" t="str">
        <f>HYPERLINK("#Biology!D45","→ Biology")</f>
        <v>→ Biology</v>
      </c>
      <c r="F25" s="20"/>
    </row>
    <row r="26" spans="1:6" x14ac:dyDescent="0.2">
      <c r="A26" s="17"/>
      <c r="B26" s="18"/>
      <c r="C26" s="19"/>
      <c r="D26" s="74"/>
      <c r="E26" s="75"/>
      <c r="F26" s="20"/>
    </row>
    <row r="27" spans="1:6" x14ac:dyDescent="0.2">
      <c r="A27" s="17" t="s">
        <v>559</v>
      </c>
      <c r="B27" s="18" t="s">
        <v>560</v>
      </c>
      <c r="C27" s="19" t="s">
        <v>135</v>
      </c>
      <c r="D27" s="131" t="s">
        <v>395</v>
      </c>
      <c r="E27" s="37" t="s">
        <v>561</v>
      </c>
      <c r="F27" s="20"/>
    </row>
    <row r="28" spans="1:6" x14ac:dyDescent="0.2">
      <c r="A28" s="17" t="s">
        <v>562</v>
      </c>
      <c r="B28" s="18" t="s">
        <v>563</v>
      </c>
      <c r="C28" s="19" t="s">
        <v>135</v>
      </c>
      <c r="D28" s="131" t="s">
        <v>401</v>
      </c>
      <c r="E28" s="37" t="s">
        <v>564</v>
      </c>
      <c r="F28" s="20"/>
    </row>
    <row r="29" spans="1:6" ht="24" x14ac:dyDescent="0.2">
      <c r="A29" s="17" t="s">
        <v>565</v>
      </c>
      <c r="B29" s="18" t="s">
        <v>566</v>
      </c>
      <c r="C29" s="19" t="s">
        <v>567</v>
      </c>
      <c r="D29" s="141">
        <f>sigma_0+sigma_k*(T_K-T_zero_C)</f>
        <v>0.071965</v>
      </c>
      <c r="E29" s="51" t="inlineStr">
        <is>
          <t xml:space="preserve">IAPWS R1-76(2014), evaluated at the reactor temperature (T_C). Feeds the bubble-detachment diameter.</t>
        </is>
      </c>
      <c r="F29" s="20"/>
    </row>
    <row r="30" spans="1:6" ht="24" customHeight="1" x14ac:dyDescent="0.2">
      <c r="A30" s="17" t="s">
        <v>568</v>
      </c>
      <c r="B30" s="18" t="s">
        <v>569</v>
      </c>
      <c r="C30" s="19" t="s">
        <v>570</v>
      </c>
      <c r="D30" s="141">
        <f>rho_0+rho_k*(T_K-T_zero_C)</f>
        <v>996.94</v>
      </c>
      <c r="E30" s="51" t="s">
        <v>1786</v>
      </c>
      <c r="F30" s="20"/>
    </row>
    <row r="31" spans="1:6" x14ac:dyDescent="0.2">
      <c r="A31" s="17" t="s">
        <v>571</v>
      </c>
      <c r="B31" s="18" t="s">
        <v>572</v>
      </c>
      <c r="C31" s="19" t="s">
        <v>573</v>
      </c>
      <c r="D31" s="145">
        <v>9.8066499999999994</v>
      </c>
      <c r="E31" s="100" t="s">
        <v>574</v>
      </c>
      <c r="F31" s="20"/>
    </row>
    <row r="32" spans="1:6" ht="24" customHeight="1" x14ac:dyDescent="0.2">
      <c r="A32" s="17" t="s">
        <v>575</v>
      </c>
      <c r="B32" s="18" t="s">
        <v>576</v>
      </c>
      <c r="C32" s="19" t="s">
        <v>577</v>
      </c>
      <c r="D32" s="141">
        <f>10^(HB_a+HB_b/T_K-(HB_c/T_K)^2)/10000</f>
        <v>1.997672318404e-09</v>
      </c>
      <c r="E32" s="37" t="inlineStr">
        <is>
          <t xml:space="preserve">Han &amp; Bartels (1996) evaluated at the reactor temperature. At 25 °C this is 2.00e-9 m²/s.</t>
        </is>
      </c>
      <c r="F32" s="20"/>
    </row>
    <row r="33" spans="1:6" x14ac:dyDescent="0.2">
      <c r="A33" s="17" t="s">
        <v>578</v>
      </c>
      <c r="B33" s="18" t="s">
        <v>579</v>
      </c>
      <c r="C33" s="19" t="s">
        <v>580</v>
      </c>
      <c r="D33" s="146">
        <v>205</v>
      </c>
      <c r="E33" s="51" t="s">
        <v>581</v>
      </c>
      <c r="F33" s="20"/>
    </row>
    <row r="34" spans="1:6" ht="24" customHeight="1" x14ac:dyDescent="0.2">
      <c r="A34" s="17" t="s">
        <v>582</v>
      </c>
      <c r="B34" s="18" t="s">
        <v>583</v>
      </c>
      <c r="C34" s="19" t="s">
        <v>580</v>
      </c>
      <c r="D34" s="146">
        <v>130</v>
      </c>
      <c r="E34" s="51" t="s">
        <v>584</v>
      </c>
      <c r="F34" s="20"/>
    </row>
    <row r="35" spans="1:6" x14ac:dyDescent="0.2">
      <c r="A35" s="17" t="s">
        <v>585</v>
      </c>
      <c r="B35" s="18" t="s">
        <v>586</v>
      </c>
      <c r="C35" s="19" t="s">
        <v>580</v>
      </c>
      <c r="D35" s="146">
        <v>70</v>
      </c>
      <c r="E35" s="51" t="s">
        <v>587</v>
      </c>
      <c r="F35" s="20"/>
    </row>
    <row r="36" spans="1:6" x14ac:dyDescent="0.2">
      <c r="A36" s="17" t="s">
        <v>588</v>
      </c>
      <c r="B36" s="18" t="s">
        <v>589</v>
      </c>
      <c r="C36" s="19" t="s">
        <v>580</v>
      </c>
      <c r="D36" s="146">
        <v>28</v>
      </c>
      <c r="E36" s="51" t="s">
        <v>590</v>
      </c>
      <c r="F36" s="20"/>
    </row>
    <row r="37" spans="1:6" x14ac:dyDescent="0.2">
      <c r="A37" s="17" t="s">
        <v>591</v>
      </c>
      <c r="B37" s="18" t="s">
        <v>592</v>
      </c>
      <c r="C37" s="19" t="s">
        <v>580</v>
      </c>
      <c r="D37" s="146">
        <v>13</v>
      </c>
      <c r="E37" s="51" t="s">
        <v>593</v>
      </c>
      <c r="F37" s="20"/>
    </row>
    <row r="38" spans="1:6" x14ac:dyDescent="0.2">
      <c r="A38" s="17" t="s">
        <v>594</v>
      </c>
      <c r="B38" s="18" t="s">
        <v>595</v>
      </c>
      <c r="C38" s="19" t="s">
        <v>580</v>
      </c>
      <c r="D38" s="154">
        <v>1.3</v>
      </c>
      <c r="E38" s="51" t="s">
        <v>596</v>
      </c>
      <c r="F38" s="20"/>
    </row>
    <row r="39" spans="1:6" x14ac:dyDescent="0.2">
      <c r="A39" s="17" t="s">
        <v>597</v>
      </c>
      <c r="B39" s="18" t="s">
        <v>598</v>
      </c>
      <c r="C39" s="19" t="s">
        <v>599</v>
      </c>
      <c r="D39" s="76">
        <f>CHOOSE(por_grade+1,por0_um,por1_um,por2_um,por3_um,por4_um,por5_um)/1000000</f>
        <v>0.000205</v>
      </c>
      <c r="E39" s="99" t="s">
        <v>600</v>
      </c>
      <c r="F39" s="20"/>
    </row>
    <row r="40" spans="1:6" ht="24" customHeight="1" x14ac:dyDescent="0.2">
      <c r="A40" s="17" t="s">
        <v>601</v>
      </c>
      <c r="B40" s="18" t="s">
        <v>602</v>
      </c>
      <c r="C40" s="19" t="s">
        <v>599</v>
      </c>
      <c r="D40" s="76">
        <f>spg_ID/1000</f>
        <v>0.0015875</v>
      </c>
      <c r="E40" s="99" t="s">
        <v>603</v>
      </c>
      <c r="F40" s="20"/>
    </row>
    <row r="41" spans="1:6" x14ac:dyDescent="0.2">
      <c r="A41" s="17" t="s">
        <v>604</v>
      </c>
      <c r="B41" s="18" t="s">
        <v>605</v>
      </c>
      <c r="C41" s="19" t="s">
        <v>599</v>
      </c>
      <c r="D41" s="76">
        <f>IF(sparger=spg_name_1,tube_d_m,IF(sparger=spg_name_2,por_pore,NA()))</f>
        <v>0.0015875</v>
      </c>
      <c r="E41" s="99" t="s">
        <v>606</v>
      </c>
      <c r="F41" s="20"/>
    </row>
    <row r="42" spans="1:6" ht="24" customHeight="1" x14ac:dyDescent="0.2">
      <c r="A42" s="113" t="s">
        <v>607</v>
      </c>
      <c r="B42" s="18" t="s">
        <v>608</v>
      </c>
      <c r="C42" s="19" t="s">
        <v>599</v>
      </c>
      <c r="D42" s="48">
        <f>(6*d_orifice*sigma/(rho_L*g_const))^(1/3)</f>
        <v>0.004123495634</v>
      </c>
      <c r="E42" s="75" t="s">
        <v>609</v>
      </c>
      <c r="F42" s="20"/>
    </row>
    <row r="43" spans="1:6" x14ac:dyDescent="0.2">
      <c r="A43" s="113" t="s">
        <v>610</v>
      </c>
      <c r="B43" s="18" t="s">
        <v>611</v>
      </c>
      <c r="C43" s="19" t="s">
        <v>146</v>
      </c>
      <c r="D43" s="45">
        <f>d_bubble*1000</f>
        <v>4.123495633555</v>
      </c>
      <c r="E43" s="75"/>
      <c r="F43" s="20"/>
    </row>
    <row r="44" spans="1:6" x14ac:dyDescent="0.2">
      <c r="A44" s="17" t="s">
        <v>612</v>
      </c>
      <c r="B44" s="18" t="s">
        <v>613</v>
      </c>
      <c r="C44" s="19" t="s">
        <v>135</v>
      </c>
      <c r="D44" s="155">
        <v>2.14</v>
      </c>
      <c r="E44" s="75" t="s">
        <v>614</v>
      </c>
      <c r="F44" s="20"/>
    </row>
    <row r="45" spans="1:6" x14ac:dyDescent="0.2">
      <c r="A45" s="17" t="s">
        <v>615</v>
      </c>
      <c r="B45" s="18" t="s">
        <v>616</v>
      </c>
      <c r="C45" s="19" t="s">
        <v>135</v>
      </c>
      <c r="D45" s="156">
        <v>0.505</v>
      </c>
      <c r="E45" s="75" t="s">
        <v>617</v>
      </c>
      <c r="F45" s="20"/>
    </row>
    <row r="46" spans="1:6" ht="36" customHeight="1" x14ac:dyDescent="0.2">
      <c r="A46" s="17" t="s">
        <v>618</v>
      </c>
      <c r="B46" s="18" t="s">
        <v>619</v>
      </c>
      <c r="C46" s="19" t="s">
        <v>107</v>
      </c>
      <c r="D46" s="46">
        <f>SQRT(mend_a*sigma/(rho_L*d_bubble)+mend_b*g_const*d_bubble)</f>
        <v>0.24059063627</v>
      </c>
      <c r="E46" s="75" t="s">
        <v>620</v>
      </c>
      <c r="F46" s="20"/>
    </row>
    <row r="47" spans="1:6" x14ac:dyDescent="0.2">
      <c r="A47" s="17" t="s">
        <v>621</v>
      </c>
      <c r="B47" s="18" t="s">
        <v>622</v>
      </c>
      <c r="C47" s="19" t="s">
        <v>107</v>
      </c>
      <c r="D47" s="48">
        <f>(Q_CO2/1000000/60)/(A_x/1000000)</f>
        <v>0.006634378011</v>
      </c>
      <c r="E47" s="99" t="s">
        <v>623</v>
      </c>
      <c r="F47" s="20"/>
    </row>
    <row r="48" spans="1:6" x14ac:dyDescent="0.2">
      <c r="A48" s="17" t="s">
        <v>624</v>
      </c>
      <c r="B48" s="18" t="s">
        <v>625</v>
      </c>
      <c r="C48" s="19" t="s">
        <v>135</v>
      </c>
      <c r="D48" s="48">
        <f>u_sg/u_rise</f>
        <v>0.027575379131</v>
      </c>
      <c r="E48" s="75" t="s">
        <v>626</v>
      </c>
      <c r="F48" s="20"/>
    </row>
    <row r="49" spans="1:6" x14ac:dyDescent="0.2">
      <c r="A49" s="17" t="s">
        <v>627</v>
      </c>
      <c r="B49" s="18" t="s">
        <v>628</v>
      </c>
      <c r="C49" s="19" t="s">
        <v>629</v>
      </c>
      <c r="D49" s="42">
        <f>6*holdup/d_bubble</f>
        <v>40.124275491043</v>
      </c>
      <c r="E49" s="75" t="s">
        <v>630</v>
      </c>
      <c r="F49" s="20"/>
    </row>
    <row r="50" spans="1:6" x14ac:dyDescent="0.2">
      <c r="A50" s="17" t="s">
        <v>631</v>
      </c>
      <c r="B50" s="18" t="s">
        <v>632</v>
      </c>
      <c r="C50" s="19" t="s">
        <v>13</v>
      </c>
      <c r="D50" s="46">
        <f>d_bubble/u_rise</f>
        <v>0.017139052864</v>
      </c>
      <c r="E50" s="75" t="s">
        <v>633</v>
      </c>
      <c r="F50" s="20"/>
    </row>
    <row r="51" spans="1:6" x14ac:dyDescent="0.2">
      <c r="A51" s="17" t="s">
        <v>634</v>
      </c>
      <c r="B51" s="18" t="s">
        <v>635</v>
      </c>
      <c r="C51" s="19" t="s">
        <v>107</v>
      </c>
      <c r="D51" s="48">
        <f>2*SQRT(D_O2/(PI()*t_contact))</f>
        <v>0.000385233260093</v>
      </c>
      <c r="E51" s="75" t="s">
        <v>636</v>
      </c>
      <c r="F51" s="20"/>
    </row>
    <row r="52" spans="1:6" x14ac:dyDescent="0.2">
      <c r="A52" s="113" t="s">
        <v>637</v>
      </c>
      <c r="B52" s="18" t="s">
        <v>638</v>
      </c>
      <c r="C52" s="19" t="s">
        <v>639</v>
      </c>
      <c r="D52" s="48">
        <f>kL*a_int</f>
        <v>0.015457205456</v>
      </c>
      <c r="E52" s="75" t="s">
        <v>640</v>
      </c>
      <c r="F52" s="20"/>
    </row>
    <row r="53" spans="1:6" x14ac:dyDescent="0.2">
      <c r="A53" s="17" t="s">
        <v>641</v>
      </c>
      <c r="B53" s="18" t="s">
        <v>642</v>
      </c>
      <c r="C53" s="19" t="s">
        <v>639</v>
      </c>
      <c r="D53" s="64">
        <f>kLa_sparge*duty</f>
        <v>2.239153688755e-05</v>
      </c>
      <c r="E53" s="117" t="s">
        <v>643</v>
      </c>
      <c r="F53" s="20"/>
    </row>
    <row r="54" spans="1:6" ht="24" customHeight="1" x14ac:dyDescent="0.2">
      <c r="A54" s="17" t="s">
        <v>644</v>
      </c>
      <c r="B54" s="18" t="s">
        <v>645</v>
      </c>
      <c r="C54" s="19" t="s">
        <v>354</v>
      </c>
      <c r="D54" s="48">
        <f>IF(d_bubble&lt;d_bubble_min_m,0,kLa_sparge*(V_charge/1000000)*O2_ceil_C*3600)</f>
        <v>0.0003044695410516</v>
      </c>
      <c r="E54" s="75" t="s">
        <v>646</v>
      </c>
      <c r="F54" s="20"/>
    </row>
    <row r="55" spans="1:6" ht="24" customHeight="1" x14ac:dyDescent="0.2">
      <c r="A55" s="113" t="s">
        <v>647</v>
      </c>
      <c r="B55" s="18" t="s">
        <v>648</v>
      </c>
      <c r="C55" s="19" t="s">
        <v>354</v>
      </c>
      <c r="D55" s="48">
        <f>strip_sparge*duty</f>
        <v>4.410590891654e-07</v>
      </c>
      <c r="E55" s="75" t="s">
        <v>649</v>
      </c>
      <c r="F55" s="20"/>
    </row>
    <row r="56" spans="1:6" x14ac:dyDescent="0.2">
      <c r="A56" s="113" t="s">
        <v>650</v>
      </c>
      <c r="B56" s="18" t="s">
        <v>651</v>
      </c>
      <c r="C56" s="19" t="s">
        <v>110</v>
      </c>
      <c r="D56" s="45">
        <f>IF(O2_excess&gt;0,strip_avg/O2_excess,NA())</f>
        <v>0.027772440663</v>
      </c>
      <c r="E56" s="75" t="s">
        <v>652</v>
      </c>
      <c r="F56" s="20"/>
    </row>
    <row r="57" spans="1:6" ht="36" customHeight="1" x14ac:dyDescent="0.2">
      <c r="A57" s="17" t="s">
        <v>653</v>
      </c>
      <c r="B57" s="18" t="s">
        <v>654</v>
      </c>
      <c r="C57" s="19" t="s">
        <v>639</v>
      </c>
      <c r="D57" s="48">
        <f>IF(O2_excess&gt;0,O2_excess/3600/((V_charge/1000000)*O2_ceil_C),NA())</f>
        <v>0.000806250237755</v>
      </c>
      <c r="E57" s="75" t="s">
        <v>655</v>
      </c>
      <c r="F57" s="20"/>
    </row>
    <row r="58" spans="1:6" ht="24" customHeight="1" x14ac:dyDescent="0.2">
      <c r="A58" s="17" t="s">
        <v>656</v>
      </c>
      <c r="B58" s="18" t="s">
        <v>657</v>
      </c>
      <c r="C58" s="19" t="s">
        <v>107</v>
      </c>
      <c r="D58" s="131">
        <v>0.05</v>
      </c>
      <c r="E58" s="75" t="s">
        <v>658</v>
      </c>
      <c r="F58" s="20"/>
    </row>
    <row r="59" spans="1:6" x14ac:dyDescent="0.2">
      <c r="A59" s="113" t="s">
        <v>659</v>
      </c>
      <c r="B59" s="18" t="s">
        <v>660</v>
      </c>
      <c r="C59" s="19" t="s">
        <v>135</v>
      </c>
      <c r="D59" s="58" t="str">
        <f>IF(u_sg&gt;u_g_max,"RISK","OK")</f>
        <v>OK</v>
      </c>
      <c r="E59" s="75" t="s">
        <v>661</v>
      </c>
      <c r="F59" s="20"/>
    </row>
    <row r="60" spans="1:6" x14ac:dyDescent="0.2">
      <c r="A60" s="17" t="s">
        <v>662</v>
      </c>
      <c r="B60" s="18" t="s">
        <v>663</v>
      </c>
      <c r="C60" s="19" t="s">
        <v>570</v>
      </c>
      <c r="D60" s="48">
        <f>P_atm*(M_CO2/1000)/(R_gas*T_K)</f>
        <v>1.798846262493</v>
      </c>
      <c r="E60" s="99" t="s">
        <v>664</v>
      </c>
      <c r="F60" s="20"/>
    </row>
    <row r="61" spans="1:6" x14ac:dyDescent="0.2">
      <c r="A61" s="17" t="s">
        <v>665</v>
      </c>
      <c r="B61" s="18" t="s">
        <v>666</v>
      </c>
      <c r="C61" s="19" t="s">
        <v>135</v>
      </c>
      <c r="D61" s="131">
        <v>1</v>
      </c>
      <c r="E61" s="70" t="s">
        <v>667</v>
      </c>
      <c r="F61" s="20"/>
    </row>
    <row r="62" spans="1:6" x14ac:dyDescent="0.2">
      <c r="A62" s="17" t="s">
        <v>668</v>
      </c>
      <c r="B62" s="18" t="s">
        <v>669</v>
      </c>
      <c r="C62" s="19" t="s">
        <v>107</v>
      </c>
      <c r="D62" s="48">
        <f>(Q_CO2/1000000/60)/(n_pores_active*(PI()/4*d_orifice^2))</f>
        <v>1.68239079778</v>
      </c>
      <c r="E62" s="115" t="s">
        <v>643</v>
      </c>
      <c r="F62" s="20"/>
    </row>
    <row r="63" spans="1:6" x14ac:dyDescent="0.2">
      <c r="A63" s="17" t="s">
        <v>670</v>
      </c>
      <c r="B63" s="18" t="s">
        <v>671</v>
      </c>
      <c r="C63" s="19" t="s">
        <v>135</v>
      </c>
      <c r="D63" s="48">
        <f>rho_CO2*v_orifice^2*d_orifice/sigma</f>
        <v>0.112315636035</v>
      </c>
      <c r="E63" s="115" t="s">
        <v>643</v>
      </c>
      <c r="F63" s="20"/>
    </row>
    <row r="64" spans="1:6" ht="24" customHeight="1" x14ac:dyDescent="0.2">
      <c r="A64" s="17" t="s">
        <v>672</v>
      </c>
      <c r="B64" s="18" t="s">
        <v>673</v>
      </c>
      <c r="C64" s="19" t="s">
        <v>135</v>
      </c>
      <c r="D64" s="48" t="str">
        <f>IF(d_bubble&lt;d_bubble_min_m,"Sinter OOR – add fine-bubble model",IF(We_orifice&lt;We_static_max,"Static","Dynamic"))</f>
        <v>Static</v>
      </c>
      <c r="E64" s="99" t="s">
        <v>674</v>
      </c>
      <c r="F64" s="20"/>
    </row>
    <row r="65" spans="1:6" ht="24" customHeight="1" x14ac:dyDescent="0.2">
      <c r="A65" s="17" t="s">
        <v>675</v>
      </c>
      <c r="B65" s="18" t="s">
        <v>676</v>
      </c>
      <c r="C65" s="19" t="s">
        <v>67</v>
      </c>
      <c r="D65" s="48">
        <f>O2_ceil_C*(V_charge/1000000)/O2_excess*60</f>
        <v>20.671828529408</v>
      </c>
      <c r="E65" s="99" t="inlineStr">
        <is>
          <t xml:space="preserve">Minutes to reach the O₂ ceiling from ~0 with no removal (steady growth: the O₂ excess after biological uptake), the O₂ timescale.</t>
        </is>
      </c>
      <c r="F65" s="20"/>
    </row>
    <row r="66" spans="1:6" ht="24" customHeight="1" x14ac:dyDescent="0.2">
      <c r="A66" s="17" t="s">
        <v>678</v>
      </c>
      <c r="B66" s="18" t="s">
        <v>679</v>
      </c>
      <c r="C66" s="19" t="s">
        <v>67</v>
      </c>
      <c r="D66" s="48">
        <f>IF(O2_excess-strip_avg&gt;0,O2_ceil_C*(V_charge/1000000)/(O2_excess-strip_avg)*60,"never (strip ≥ source)")</f>
        <v>21.262335479879</v>
      </c>
      <c r="E66" s="99" t="inlineStr">
        <is>
          <t xml:space="preserve">As above, crediting time-averaged bubble strip (≈unchanged → bubbles aren't the mechanism). "never" = cleared.</t>
        </is>
      </c>
      <c r="F66" s="20"/>
    </row>
    <row r="67" spans="1:6" x14ac:dyDescent="0.2">
      <c r="A67" s="17" t="inlineStr">
        <is>
          <t xml:space="preserve">(import) Stir-bar speed</t>
        </is>
      </c>
      <c r="B67" s="18" t="s">
        <v>682</v>
      </c>
      <c r="C67" s="19" t="s">
        <v>683</v>
      </c>
      <c r="D67" s="157">
        <f>Summary!$D$7</f>
        <v>1000.0</v>
      </c>
      <c r="E67" s="68" t="inlineStr">
        <is>
          <t xml:space="preserve">→ Summary (stir_rpm_set). Pioreactor stir setpoint. RPM floor ~125 (stalls below).</t>
        </is>
      </c>
      <c r="F67" s="20"/>
    </row>
    <row r="68" spans="1:6" ht="24" customHeight="1" x14ac:dyDescent="0.2">
      <c r="A68" s="17" t="s">
        <v>106</v>
      </c>
      <c r="B68" s="18" t="s">
        <v>685</v>
      </c>
      <c r="C68" s="19" t="s">
        <v>107</v>
      </c>
      <c r="D68" s="48">
        <f>PI()*(stir_len/1000)*stir_rpm/60</f>
        <v>0.628318530718</v>
      </c>
      <c r="E68" s="99" t="s">
        <v>686</v>
      </c>
      <c r="F68" s="20"/>
    </row>
    <row r="69" spans="1:6" x14ac:dyDescent="0.2">
      <c r="A69" s="17" t="s">
        <v>687</v>
      </c>
      <c r="B69" s="18" t="s">
        <v>688</v>
      </c>
      <c r="C69" s="19" t="s">
        <v>639</v>
      </c>
      <c r="D69" s="48">
        <f>tip_speed/(vial_ID/1000)</f>
        <v>24.854372259413</v>
      </c>
      <c r="E69" s="69" t="s">
        <v>689</v>
      </c>
      <c r="F69" s="20"/>
    </row>
    <row r="70" spans="1:6" ht="24" x14ac:dyDescent="0.2">
      <c r="A70" s="17" t="s">
        <v>690</v>
      </c>
      <c r="B70" s="18" t="s">
        <v>691</v>
      </c>
      <c r="C70" s="19" t="s">
        <v>107</v>
      </c>
      <c r="D70" s="48">
        <f>2*SQRT(D_O2*s_renew/PI())</f>
        <v>0.0002514308621282</v>
      </c>
      <c r="E70" s="69" t="s">
        <v>1056</v>
      </c>
      <c r="F70" s="20"/>
    </row>
    <row r="71" spans="1:6" x14ac:dyDescent="0.2">
      <c r="A71" s="17" t="s">
        <v>692</v>
      </c>
      <c r="B71" s="18" t="s">
        <v>693</v>
      </c>
      <c r="C71" s="19" t="s">
        <v>629</v>
      </c>
      <c r="D71" s="48">
        <f>interface_A/V_charge</f>
        <v>28.636515009371</v>
      </c>
      <c r="E71" s="99" t="s">
        <v>694</v>
      </c>
      <c r="F71" s="20"/>
    </row>
    <row r="72" spans="1:6" x14ac:dyDescent="0.2">
      <c r="A72" s="17" t="s">
        <v>695</v>
      </c>
      <c r="B72" s="18" t="s">
        <v>696</v>
      </c>
      <c r="C72" s="19" t="s">
        <v>639</v>
      </c>
      <c r="D72" s="48">
        <f>kL_surf*a_surf</f>
        <v>0.007200103657</v>
      </c>
      <c r="E72" s="69" t="s">
        <v>697</v>
      </c>
      <c r="F72" s="20"/>
    </row>
    <row r="73" spans="1:6" ht="36" customHeight="1" x14ac:dyDescent="0.2">
      <c r="A73" s="17" t="s">
        <v>698</v>
      </c>
      <c r="B73" s="18" t="s">
        <v>699</v>
      </c>
      <c r="C73" s="19" t="s">
        <v>354</v>
      </c>
      <c r="D73" s="48">
        <f>kLa_surf_used*(V_charge/1000000)*O2_ceil_C*3600</f>
        <v>0.0001418246177951</v>
      </c>
      <c r="E73" s="69" t="s">
        <v>1002</v>
      </c>
      <c r="F73" s="20"/>
    </row>
    <row r="74" spans="1:6" ht="24" customHeight="1" x14ac:dyDescent="0.2">
      <c r="A74" s="17" t="s">
        <v>700</v>
      </c>
      <c r="B74" s="18" t="s">
        <v>701</v>
      </c>
      <c r="C74" s="19" t="s">
        <v>110</v>
      </c>
      <c r="D74" s="48">
        <f>IF(O2_excess&gt;0,surf_strip/O2_excess,NA())</f>
        <v>8.930358491677</v>
      </c>
      <c r="E74" s="69" t="s">
        <v>702</v>
      </c>
      <c r="F74" s="20"/>
    </row>
    <row r="75" spans="1:6" ht="24" customHeight="1" x14ac:dyDescent="0.2">
      <c r="A75" s="17"/>
      <c r="B75" s="18"/>
      <c r="C75" s="19"/>
      <c r="D75" s="48"/>
      <c r="E75" s="99"/>
      <c r="F75" s="20"/>
    </row>
    <row r="76" spans="1:6" ht="36" x14ac:dyDescent="0.2">
      <c r="A76" s="17"/>
      <c r="B76" s="18"/>
      <c r="C76" s="19"/>
      <c r="D76" s="48"/>
      <c r="E76" s="69"/>
      <c r="F76" s="20"/>
    </row>
    <row r="77" spans="1:6" x14ac:dyDescent="0.2">
      <c r="A77" s="17" t="s">
        <v>708</v>
      </c>
      <c r="B77" s="18" t="s">
        <v>709</v>
      </c>
      <c r="C77" s="19" t="s">
        <v>67</v>
      </c>
      <c r="D77" s="48">
        <f>headspace_V/(Q_CO2*duty)</f>
        <v>9.026013902172</v>
      </c>
      <c r="E77" s="99" t="s">
        <v>710</v>
      </c>
      <c r="F77" s="20"/>
    </row>
    <row r="78" spans="1:6" ht="26" customHeight="1" x14ac:dyDescent="0.2">
      <c r="A78" s="17" t="s">
        <v>711</v>
      </c>
      <c r="B78" s="18" t="s">
        <v>712</v>
      </c>
      <c r="C78" s="19" t="s">
        <v>110</v>
      </c>
      <c r="D78" s="48">
        <f>IF(O2_excess&gt;0,(strip_avg+surf_strip)/O2_excess,NA())</f>
        <v>8.95813093234</v>
      </c>
      <c r="E78" s="118" t="s">
        <v>713</v>
      </c>
      <c r="F78" s="20"/>
    </row>
    <row r="79" spans="1:6" x14ac:dyDescent="0.2">
      <c r="A79" s="17" t="s">
        <v>714</v>
      </c>
      <c r="B79" s="18" t="s">
        <v>715</v>
      </c>
      <c r="C79" s="19" t="s">
        <v>67</v>
      </c>
      <c r="D79" s="48">
        <f>O2_ceil_C*(V_charge/1000000)/O2_net_gen*60</f>
        <v>6.593508535339</v>
      </c>
      <c r="E79" s="99" t="s">
        <v>716</v>
      </c>
      <c r="F79" s="20"/>
    </row>
    <row r="80" spans="1:6" ht="36" customHeight="1" x14ac:dyDescent="0.2">
      <c r="A80" s="17" t="s">
        <v>717</v>
      </c>
      <c r="B80" s="18" t="s">
        <v>718</v>
      </c>
      <c r="C80" s="19" t="s">
        <v>67</v>
      </c>
      <c r="D80" s="48" t="str">
        <f>IF(O2_net_gen-strip_avg-surf_strip&gt;0,O2_ceil_C*(V_charge/1000000)/(O2_net_gen-strip_avg-surf_strip)*60,"never (removal ≥ source)")</f>
        <v>never (removal ≥ source)</v>
      </c>
      <c r="E80" s="69" t="inlineStr">
        <is>
          <t xml:space="preserve">Companion to t_O2_ceiling_lag crediting BOTH removal paths at their best-case ceiling driving force. Best-case diagnostic only: surf_strip is the ~375%-uncertain surface proxy, so this cell must never gate a schedule or a guard. "never" = removal exceeds the source at that best case.</t>
        </is>
      </c>
      <c r="F80" s="20"/>
    </row>
    <row r="81" spans="1:6" ht="24" customHeight="1" x14ac:dyDescent="0.2">
      <c r="A81" s="17" t="s">
        <v>719</v>
      </c>
      <c r="B81" s="18" t="s">
        <v>720</v>
      </c>
      <c r="C81" s="19" t="s">
        <v>135</v>
      </c>
      <c r="D81" s="131" t="s">
        <v>721</v>
      </c>
      <c r="E81" s="68" t="s">
        <v>1129</v>
      </c>
      <c r="F81" s="20"/>
    </row>
    <row r="82" spans="1:6" ht="24" x14ac:dyDescent="0.2">
      <c r="A82" s="17" t="s">
        <v>722</v>
      </c>
      <c r="B82" s="18" t="s">
        <v>723</v>
      </c>
      <c r="C82" s="19" t="s">
        <v>13</v>
      </c>
      <c r="D82" s="131">
        <v>1</v>
      </c>
      <c r="E82" s="68" t="s">
        <v>1130</v>
      </c>
      <c r="F82" s="20"/>
    </row>
    <row r="83" spans="1:6" ht="24" x14ac:dyDescent="0.2">
      <c r="A83" s="17" t="s">
        <v>724</v>
      </c>
      <c r="B83" s="18" t="s">
        <v>725</v>
      </c>
      <c r="C83" s="19" t="s">
        <v>67</v>
      </c>
      <c r="D83" s="131">
        <v>1</v>
      </c>
      <c r="E83" s="68" t="s">
        <v>1131</v>
      </c>
      <c r="F83" s="20"/>
    </row>
    <row r="84" spans="1:6" ht="36" x14ac:dyDescent="0.2">
      <c r="A84" s="17" t="s">
        <v>726</v>
      </c>
      <c r="B84" s="18" t="s">
        <v>727</v>
      </c>
      <c r="C84" s="19" t="s">
        <v>135</v>
      </c>
      <c r="D84" s="158">
        <f>Biology!$D$60</f>
        <v>0.226086956522</v>
      </c>
      <c r="E84" s="68" t="inlineStr">
        <is>
          <t xml:space="preserve">Imported from Biology D60: one definition of the target DO fraction, from the selected organism's measured band where there is one and from C. necator's 2.6/11.5 otherwise. Sizes the O₂ guards below.</t>
        </is>
      </c>
      <c r="F84" s="20"/>
    </row>
    <row r="85" spans="1:6" x14ac:dyDescent="0.2">
      <c r="A85" s="17" t="s">
        <v>728</v>
      </c>
      <c r="B85" s="18" t="s">
        <v>729</v>
      </c>
      <c r="C85" s="19" t="s">
        <v>135</v>
      </c>
      <c r="D85" s="131">
        <v>2</v>
      </c>
      <c r="E85" s="68" t="s">
        <v>730</v>
      </c>
      <c r="F85" s="20"/>
    </row>
    <row r="86" spans="1:6" x14ac:dyDescent="0.2">
      <c r="A86" s="17" t="s">
        <v>731</v>
      </c>
      <c r="B86" s="18" t="s">
        <v>732</v>
      </c>
      <c r="C86" s="19" t="s">
        <v>135</v>
      </c>
      <c r="D86" s="48">
        <f>carbon_margin_min*CO2_cons/(nCO2_rate*3600)</f>
        <v>6.920263645416e-05</v>
      </c>
      <c r="E86" s="99" t="s">
        <v>733</v>
      </c>
      <c r="F86" s="20"/>
    </row>
    <row r="87" spans="1:6" ht="24" customHeight="1" x14ac:dyDescent="0.2">
      <c r="A87" s="17" t="s">
        <v>734</v>
      </c>
      <c r="B87" s="18" t="s">
        <v>735</v>
      </c>
      <c r="C87" s="19" t="s">
        <v>135</v>
      </c>
      <c r="D87" s="48">
        <f>O2_src_guard/(target_DO_frac*(O2_ceil_Pa/P_atm))/(nCO2_rate*3600)</f>
        <v>0.001498145312</v>
      </c>
      <c r="E87" s="99" t="s">
        <v>1063</v>
      </c>
      <c r="F87" s="20"/>
    </row>
    <row r="88" spans="1:6" ht="24" customHeight="1" x14ac:dyDescent="0.2">
      <c r="A88" s="17" t="s">
        <v>736</v>
      </c>
      <c r="B88" s="18" t="s">
        <v>737</v>
      </c>
      <c r="C88" s="19" t="s">
        <v>135</v>
      </c>
      <c r="D88" s="48">
        <f>MAX(duty_carbon,duty_O2vent)</f>
        <v>0.001498145312</v>
      </c>
      <c r="E88" s="69" t="inlineStr">
        <is>
          <t xml:space="preserve">Least feasible CO₂ duty (the larger of the two floors). Informative only: D91 takes the interval from the carbon (D112) and DO-dilution (D185) intervals, not from this duty.</t>
        </is>
      </c>
      <c r="F88" s="20"/>
    </row>
    <row r="89" spans="1:6" ht="36" x14ac:dyDescent="0.2">
      <c r="A89" s="17" t="inlineStr">
        <is>
          <t xml:space="preserve">Max interval — legacy O₂ flush guard (fallback)</t>
        </is>
      </c>
      <c r="B89" s="18" t="s">
        <v>739</v>
      </c>
      <c r="C89" s="19" t="s">
        <v>67</v>
      </c>
      <c r="D89" s="48">
        <f>target_DO_frac*O2_ceil_C*(V_charge/1000000)/O2_src_guard*60</f>
        <v>1.490706277555</v>
      </c>
      <c r="E89" s="99" t="inlineStr">
        <is>
          <t xml:space="preserve">LEGACY O₂ flush guard, kept only as the fallback: fills target_DO_frac of the ceiling in the liquid from the zero-surface worst-case source (O2_src_guard, D132) with no venting. It predates the shared headspace balance (§300), so the vent model does not move it and the DO it gives is neither the target nor a ceiling margin. D91 uses it only when the DO target is unreachable (spg_int_DO, D185, is #N/A). A balance-derived replacement (size on the ceiling with a margin) is an owner decision.</t>
        </is>
      </c>
      <c r="F89" s="20"/>
    </row>
    <row r="90" spans="1:6" x14ac:dyDescent="0.2">
      <c r="A90" s="17" t="s">
        <v>740</v>
      </c>
      <c r="B90" s="18" t="s">
        <v>741</v>
      </c>
      <c r="C90" s="19" t="s">
        <v>13</v>
      </c>
      <c r="D90" s="48">
        <f>MAX(pulse_floor,flush_factor*headspace_V/(Q_CO2/60))</f>
        <v>0.784513049825</v>
      </c>
      <c r="E90" s="159" t="s">
        <v>742</v>
      </c>
      <c r="F90" s="20"/>
    </row>
    <row r="91" spans="1:6" ht="24" customHeight="1" x14ac:dyDescent="0.2">
      <c r="A91" s="17" t="s">
        <v>743</v>
      </c>
      <c r="B91" s="18" t="s">
        <v>744</v>
      </c>
      <c r="C91" s="19" t="s">
        <v>67</v>
      </c>
      <c r="D91" s="48">
        <f>IF(ISNA(F_vent_ex+O2_src_sched),NA(),IF(ISNUMBER(spg_int_DO),MIN(spg_int_carbon,spg_int_DO),MIN(spg_int_carbon,spg_int_max)))</f>
        <v>9.026013902172</v>
      </c>
      <c r="E91" s="159" t="inlineStr">
        <is>
          <t xml:space="preserve">ANSWER. The shorter of the two upper bounds on the interval: carbon supply (D112) and headspace-oxygen dilution (spg_int_DO). An invalid vent or phase selector (Summary D111/D112) returns #N/A here instead of falling through to the fallback. If the DO target is unreachable at this surface kLa the sheet falls back to the legacy O₂ flush guard (D89) and D134 says so. kL_surf moves the answer continuously; no branch depends on it.</t>
        </is>
      </c>
      <c r="F91" s="20"/>
    </row>
    <row r="92" spans="1:6" x14ac:dyDescent="0.2">
      <c r="A92" s="17" t="s">
        <v>745</v>
      </c>
      <c r="B92" s="18" t="s">
        <v>746</v>
      </c>
      <c r="C92" s="19" t="s">
        <v>13</v>
      </c>
      <c r="D92" s="48">
        <f>spg_int_opt*60</f>
        <v>541.560834130326</v>
      </c>
      <c r="E92" s="159" t="s">
        <v>747</v>
      </c>
      <c r="F92" s="20"/>
    </row>
    <row r="93" spans="1:6" x14ac:dyDescent="0.2">
      <c r="A93" s="17" t="inlineStr">
        <is>
          <t xml:space="preserve">  resulting duty</t>
        </is>
      </c>
      <c r="B93" s="18" t="s">
        <v>749</v>
      </c>
      <c r="C93" s="19" t="s">
        <v>135</v>
      </c>
      <c r="D93" s="48">
        <f>spg_dur_opt/(spg_int_opt*60)</f>
        <v>0.001448614819</v>
      </c>
      <c r="E93" s="99" t="s">
        <v>750</v>
      </c>
      <c r="F93" s="20"/>
    </row>
    <row r="94" spans="1:6" ht="36" x14ac:dyDescent="0.2">
      <c r="A94" s="17" t="s">
        <v>751</v>
      </c>
      <c r="B94" s="18" t="s">
        <v>752</v>
      </c>
      <c r="C94" s="19" t="s">
        <v>135</v>
      </c>
      <c r="D94" s="48" t="str">
        <f>IF(ISNA(F_vent_ex+O2_src_sched),"INVALID SELECTOR (Summary D111/D112)",IF(NOT(ISNUMBER(spg_int_DO)),"O2-INFEASIBLE – the legacy O2 flush guard (D89) sets the interval (see D134)",IF(spg_int_DO&lt;=spg_int_carbon,"O2-DILUTION (headspace O2 sets the interval)","CARBON (CO2 supply sets the interval)")))</f>
        <v>O2-DILUTION (headspace O2 sets the interval)</v>
      </c>
      <c r="E94" s="99" t="s">
        <v>1828</v>
      </c>
      <c r="F94" s="20"/>
    </row>
    <row r="95" spans="1:6" ht="24" x14ac:dyDescent="0.2">
      <c r="A95" s="17" t="s">
        <v>753</v>
      </c>
      <c r="B95" s="18" t="s">
        <v>754</v>
      </c>
      <c r="C95" s="19" t="s">
        <v>135</v>
      </c>
      <c r="D95" s="48" t="str">
        <f>IF(spg_int*60-spg_dur&gt;=od_gap_min_s,"OK","TIGHT")</f>
        <v>OK</v>
      </c>
      <c r="E95" s="99" t="s">
        <v>1132</v>
      </c>
      <c r="F95" s="20"/>
    </row>
    <row r="96" spans="1:6" ht="36" customHeight="1" x14ac:dyDescent="0.2">
      <c r="A96" s="17" t="s">
        <v>755</v>
      </c>
      <c r="B96" s="18" t="s">
        <v>756</v>
      </c>
      <c r="C96" s="19" t="s">
        <v>135</v>
      </c>
      <c r="D96" s="48" t="str">
        <f>"see note →"</f>
        <v>see note →</v>
      </c>
      <c r="E96" s="69" t="s">
        <v>757</v>
      </c>
      <c r="F96" s="20"/>
    </row>
    <row r="97" spans="1:6" ht="24" customHeight="1" x14ac:dyDescent="0.2">
      <c r="A97" s="17" t="s">
        <v>758</v>
      </c>
      <c r="B97" s="18" t="s">
        <v>759</v>
      </c>
      <c r="C97" s="19" t="s">
        <v>507</v>
      </c>
      <c r="D97" s="48">
        <f>IF(ISNUMBER(cal_kLa),cal_kLa,0)</f>
        <v>0.0</v>
      </c>
      <c r="E97" s="69" t="s">
        <v>760</v>
      </c>
      <c r="F97" s="20"/>
    </row>
    <row r="98" spans="1:6" ht="24" customHeight="1" x14ac:dyDescent="0.2">
      <c r="A98" s="17" t="s">
        <v>761</v>
      </c>
      <c r="B98" s="18" t="s">
        <v>762</v>
      </c>
      <c r="C98" s="19" t="s">
        <v>639</v>
      </c>
      <c r="D98" s="48">
        <f>IF(AND(ISNUMBER(kLa_meas),kLa_meas&gt;0),kLa_meas/3600,kLa_surf)</f>
        <v>0.007200103657</v>
      </c>
      <c r="E98" s="99" t="s">
        <v>1925</v>
      </c>
      <c r="F98" s="20"/>
    </row>
    <row r="99" spans="1:6" x14ac:dyDescent="0.2">
      <c r="A99" s="20" t="s">
        <v>763</v>
      </c>
      <c r="B99" s="20" t="s">
        <v>764</v>
      </c>
      <c r="C99" s="20" t="s">
        <v>13</v>
      </c>
      <c r="D99" s="28">
        <f>min_sparge_cal</f>
        <v>0.25</v>
      </c>
      <c r="E99" s="160" t="s">
        <v>765</v>
      </c>
      <c r="F99" s="20"/>
    </row>
    <row r="100" spans="1:6" x14ac:dyDescent="0.2">
      <c r="A100" s="20" t="s">
        <v>766</v>
      </c>
      <c r="B100" s="20" t="s">
        <v>767</v>
      </c>
      <c r="C100" s="20" t="s">
        <v>354</v>
      </c>
      <c r="D100" s="28">
        <f>CO2_pulse*pulses_h</f>
        <v>0.0007098184304685</v>
      </c>
      <c r="E100" s="160" t="s">
        <v>765</v>
      </c>
      <c r="F100" s="20"/>
    </row>
    <row r="101" spans="1:6" x14ac:dyDescent="0.2">
      <c r="A101" s="20" t="s">
        <v>768</v>
      </c>
      <c r="B101" s="20" t="s">
        <v>313</v>
      </c>
      <c r="C101" s="20" t="s">
        <v>314</v>
      </c>
      <c r="D101" s="161">
        <v>8.3144626180000003</v>
      </c>
      <c r="E101" s="20" t="s">
        <v>765</v>
      </c>
      <c r="F101" s="20"/>
    </row>
    <row r="102" spans="1:6" x14ac:dyDescent="0.2">
      <c r="A102" s="20" t="s">
        <v>769</v>
      </c>
      <c r="B102" s="20" t="s">
        <v>770</v>
      </c>
      <c r="C102" s="20" t="s">
        <v>361</v>
      </c>
      <c r="D102" s="28">
        <f>IF(has_cal&gt;0,flowrate_cal*60,NA())</f>
        <v>199.8</v>
      </c>
      <c r="E102" s="160" t="s">
        <v>765</v>
      </c>
      <c r="F102" s="20"/>
    </row>
    <row r="103" spans="1:6" x14ac:dyDescent="0.2">
      <c r="A103" s="20" t="s">
        <v>771</v>
      </c>
      <c r="B103" s="20" t="s">
        <v>772</v>
      </c>
      <c r="C103" s="20" t="s">
        <v>773</v>
      </c>
      <c r="D103" s="161">
        <v>44.009500000000003</v>
      </c>
      <c r="E103" s="20" t="s">
        <v>765</v>
      </c>
      <c r="F103" s="20"/>
    </row>
    <row r="104" spans="1:6" x14ac:dyDescent="0.2">
      <c r="A104" s="20" t="s">
        <v>774</v>
      </c>
      <c r="B104" s="20" t="s">
        <v>775</v>
      </c>
      <c r="C104" s="20" t="s">
        <v>776</v>
      </c>
      <c r="D104" s="28">
        <f>P_atm*(Q_CO2/1000000/60)/(R_gas*T_K)</f>
        <v>0.000136110568266</v>
      </c>
      <c r="E104" s="160" t="s">
        <v>765</v>
      </c>
      <c r="F104" s="20"/>
    </row>
    <row r="105" spans="1:6" x14ac:dyDescent="0.2">
      <c r="A105" s="20" t="s">
        <v>777</v>
      </c>
      <c r="B105" s="20" t="s">
        <v>778</v>
      </c>
      <c r="C105" s="20" t="s">
        <v>135</v>
      </c>
      <c r="D105" s="28">
        <f>spg_dur/(spg_int*60)</f>
        <v>0.001448614819</v>
      </c>
      <c r="E105" s="160" t="s">
        <v>765</v>
      </c>
      <c r="F105" s="20"/>
    </row>
    <row r="106" spans="1:6" x14ac:dyDescent="0.2">
      <c r="A106" s="20" t="s">
        <v>779</v>
      </c>
      <c r="B106" s="20" t="s">
        <v>780</v>
      </c>
      <c r="C106" s="20" t="s">
        <v>135</v>
      </c>
      <c r="D106" s="161">
        <v>1</v>
      </c>
      <c r="E106" s="20" t="s">
        <v>765</v>
      </c>
      <c r="F106" s="20"/>
    </row>
    <row r="107" spans="1:6" x14ac:dyDescent="0.2">
      <c r="A107" s="103" t="s">
        <v>781</v>
      </c>
      <c r="B107" s="20"/>
      <c r="C107" s="20"/>
      <c r="D107" s="20"/>
      <c r="E107" s="20"/>
      <c r="F107" s="20"/>
    </row>
    <row r="108" spans="1:6" x14ac:dyDescent="0.2">
      <c r="A108" s="20" t="inlineStr">
        <is>
          <t xml:space="preserve">Cycle-mean DO at the schedule in use (sawtooth model, sizing phase)</t>
        </is>
      </c>
      <c r="B108" s="20" t="s">
        <v>783</v>
      </c>
      <c r="C108" s="20" t="s">
        <v>102</v>
      </c>
      <c r="D108" s="28">
        <f>DO_avg_sched*M_O2</f>
        <v>2.634776001183</v>
      </c>
      <c r="E108" s="160" t="inlineStr">
        <is>
          <t xml:space="preserve">Time-mean dissolved O₂ of the sawtooth model (§300) on the sizing phase: the surface excess plus equilibrium with the time-mean headspace O₂. Sits near DO_target when the DO constraint binds, because the sizing applies the same sawtooth factor; the peak (D374 / Summary D21) is the non-tautological check.</t>
        </is>
      </c>
      <c r="F108" s="20"/>
    </row>
    <row r="109" spans="1:6" x14ac:dyDescent="0.2">
      <c r="A109" s="20"/>
      <c r="B109" s="20"/>
      <c r="C109" s="20"/>
      <c r="D109" s="28"/>
      <c r="E109" s="20"/>
      <c r="F109" s="20"/>
    </row>
    <row r="110" spans="1:6" x14ac:dyDescent="0.2">
      <c r="A110" s="20" t="s">
        <v>786</v>
      </c>
      <c r="B110" s="20" t="s">
        <v>787</v>
      </c>
      <c r="C110" s="20"/>
      <c r="D110" s="28" t="str">
        <f>IF(ISNUMBER(DO_min),IF(DO_ss&gt;=DO_min,"above minimum","BELOW MINIMUM"),"minimum DO unknown - measure")</f>
        <v>minimum DO unknown - measure</v>
      </c>
      <c r="E110" s="20"/>
      <c r="F110" s="20"/>
    </row>
    <row r="111" spans="1:6" x14ac:dyDescent="0.2">
      <c r="A111" s="20" t="str">
        <f>"Tip-speed shear flag (&lt;"&amp;TEXT(tip_speed_max,"0.0")&amp;" m/s)"</f>
        <v>Tip-speed shear flag (&lt;1.5 m/s)</v>
      </c>
      <c r="B111" s="20" t="s">
        <v>789</v>
      </c>
      <c r="C111" s="20"/>
      <c r="D111" s="28" t="str">
        <f>IF(tip_speed&gt;tip_speed_max,"TIP SPEED &gt; "&amp;TEXT(tip_speed_max,"0.0")&amp;" m/s","OK")</f>
        <v>OK</v>
      </c>
      <c r="E111" s="82" t="s">
        <v>790</v>
      </c>
      <c r="F111" s="20"/>
    </row>
    <row r="112" spans="1:6" x14ac:dyDescent="0.2">
      <c r="A112" s="20" t="s">
        <v>791</v>
      </c>
      <c r="B112" s="20" t="s">
        <v>792</v>
      </c>
      <c r="C112" s="20" t="s">
        <v>67</v>
      </c>
      <c r="D112" s="28">
        <f>spg_dur_opt/(60*duty_carbon)</f>
        <v>188.941031253092</v>
      </c>
      <c r="E112" s="20"/>
      <c r="F112" s="20"/>
    </row>
    <row r="113" spans="1:6" x14ac:dyDescent="0.2">
      <c r="A113" s="20" t="s">
        <v>793</v>
      </c>
      <c r="B113" s="20" t="s">
        <v>794</v>
      </c>
      <c r="C113" s="20"/>
      <c r="D113" s="28" t="str">
        <f>IF(DO_at_carbon&lt;=DO_target,"Carbon supply alone holds the DO target – the interval may relax to "&amp;TEXT(spg_int_carbon,"0")&amp;" min","Do NOT relax: at the carbon-limited interval ("&amp;TEXT(spg_int_carbon,"0")&amp;" min) the cycle-mean DO would be ≈"&amp;TEXT(DO_at_carbon*M_O2,"0")&amp;" mg/L, "&amp;IF(DO_at_carbon&gt;O2_ceil_C,"above the "&amp;TEXT(O2_ceil_C*M_O2,"0.0")&amp;" mg/L inhibition ceiling","against a "&amp;TEXT(DO_target*M_O2,"0.0")&amp;" mg/L target")&amp;" (peaks higher)")</f>
        <v>Do NOT relax: at the carbon-limited interval (189 min) the cycle-mean DO would be ≈16 mg/L, above the 11.7 mg/L inhibition ceiling (peaks higher)</v>
      </c>
      <c r="E113" s="82" t="inlineStr">
        <is>
          <t xml:space="preserve">Tests the carbon-limited interval against the same DO balance the schedule uses (D232, cycle mean), and states it against the inhibition ceiling when it exceeds it. DO_ss cannot test it: it sits at the target by construction.</t>
        </is>
      </c>
      <c r="F113" s="20"/>
    </row>
    <row r="114" spans="1:6" x14ac:dyDescent="0.2">
      <c r="A114" s="103" t="inlineStr">
        <is>
          <t xml:space="preserve">CO₂ DOSING &amp; SCHEDULE</t>
        </is>
      </c>
      <c r="B114" s="20"/>
      <c r="C114" s="20"/>
      <c r="D114" s="20"/>
      <c r="E114" s="20"/>
      <c r="F114" s="20"/>
    </row>
    <row r="115" spans="1:6" x14ac:dyDescent="0.2">
      <c r="A115" s="20" t="s">
        <v>797</v>
      </c>
      <c r="B115" s="20" t="s">
        <v>1</v>
      </c>
      <c r="C115" s="20"/>
      <c r="D115" s="134" t="str">
        <f>Summary!$D$2</f>
        <v>ed04</v>
      </c>
      <c r="E115" s="20"/>
      <c r="F115" s="20"/>
    </row>
    <row r="116" spans="1:6" x14ac:dyDescent="0.2">
      <c r="A116" s="20" t="s">
        <v>798</v>
      </c>
      <c r="B116" s="20" t="s">
        <v>799</v>
      </c>
      <c r="C116" s="20"/>
      <c r="D116" s="162">
        <f>SUMPRODUCT(MAX(('CO2 flows'!$A$4:$A$201=Reactor)*('CO2 flows'!$J$4:$J$201&gt;0)*'CO2 flows'!$B$4:$B$201))</f>
        <v>46190.0</v>
      </c>
      <c r="E116" s="20"/>
      <c r="F116" s="20"/>
    </row>
    <row r="117" spans="1:6" x14ac:dyDescent="0.2">
      <c r="A117" s="20" t="s">
        <v>800</v>
      </c>
      <c r="B117" s="20" t="s">
        <v>801</v>
      </c>
      <c r="C117" s="20" t="inlineStr">
        <is>
          <t xml:space="preserve">mL/s</t>
        </is>
      </c>
      <c r="D117" s="162">
        <f>IF(ISNUMBER(cal_flow),cal_flow,SUMPRODUCT(('CO2 flows'!$A$4:$A$201=Reactor)*('CO2 flows'!$B$4:$B$201=latest_date)*'CO2 flows'!$J$4:$J$201)/MAX(1,SUMPRODUCT(('CO2 flows'!$A$4:$A$201=Reactor)*('CO2 flows'!$B$4:$B$201=latest_date)*('CO2 flows'!$J$4:$J$201&gt;0)*1)))</f>
        <v>3.33</v>
      </c>
      <c r="E117" s="160" t="inlineStr">
        <is>
          <t xml:space="preserve">Prefers the CO₂-flow calibration recorded on the Calibrations tab (cal_flow); falls back to the per-reactor table on the CO2 flows sheet when no calibration run is included.</t>
        </is>
      </c>
      <c r="F117" s="20"/>
    </row>
    <row r="118" spans="1:6" x14ac:dyDescent="0.2">
      <c r="A118" s="20" t="s">
        <v>802</v>
      </c>
      <c r="B118" s="20" t="s">
        <v>803</v>
      </c>
      <c r="C118" s="20" t="s">
        <v>13</v>
      </c>
      <c r="D118" s="162">
        <f>SUMPRODUCT(('CO2 flows'!$A$4:$A$201=Reactor)*('CO2 flows'!$B$4:$B$201=latest_date)*'CO2 flows'!$I$4:$I$201)/MAX(1,SUMPRODUCT(('CO2 flows'!$A$4:$A$201=Reactor)*('CO2 flows'!$B$4:$B$201=latest_date)*('CO2 flows'!$J$4:$J$201&gt;0)*1))</f>
        <v>0.25</v>
      </c>
      <c r="E118" s="20"/>
      <c r="F118" s="20"/>
    </row>
    <row r="119" spans="1:6" x14ac:dyDescent="0.2">
      <c r="A119" s="20" t="s">
        <v>804</v>
      </c>
      <c r="B119" s="20" t="s">
        <v>805</v>
      </c>
      <c r="C119" s="20" t="s">
        <v>806</v>
      </c>
      <c r="D119" s="162">
        <f>SUMPRODUCT(('CO2 flows'!$A$4:$A$201=Reactor)*('CO2 flows'!$J$4:$J$201&gt;0)*1)</f>
        <v>1.0</v>
      </c>
      <c r="E119" s="20"/>
      <c r="F119" s="20"/>
    </row>
    <row r="120" spans="1:6" x14ac:dyDescent="0.2">
      <c r="A120" s="20" t="s">
        <v>807</v>
      </c>
      <c r="B120" s="20" t="s">
        <v>808</v>
      </c>
      <c r="C120" s="20"/>
      <c r="D120" s="28" t="str">
        <f>IF(has_cal&gt;0,"calibrated: "&amp;Reactor,"NO CALIBRATION for "&amp;Reactor&amp;" - add a row in CO2 flows with nominal flowrate + minimum sparge")</f>
        <v>calibrated: ed04</v>
      </c>
      <c r="E120" s="20"/>
      <c r="F120" s="20"/>
    </row>
    <row r="121" spans="1:6" x14ac:dyDescent="0.2">
      <c r="A121" s="20" t="s">
        <v>809</v>
      </c>
      <c r="B121" s="20" t="s">
        <v>810</v>
      </c>
      <c r="C121" s="20" t="s">
        <v>13</v>
      </c>
      <c r="D121" s="28">
        <f>IF(AND(ISNUMBER(override_spg_dur_s),override_spg_dur_s&gt;0),override_spg_dur_s,IF(sched_mode="Manual",spg_dur_man,IF(sched_mode="Optimal",spg_dur_opt,NA())))</f>
        <v>0.784513049825</v>
      </c>
      <c r="E121" s="20"/>
      <c r="F121" s="20"/>
    </row>
    <row r="122" spans="1:6" x14ac:dyDescent="0.2">
      <c r="A122" s="20" t="s">
        <v>811</v>
      </c>
      <c r="B122" s="20" t="s">
        <v>812</v>
      </c>
      <c r="C122" s="20" t="s">
        <v>67</v>
      </c>
      <c r="D122" s="28">
        <f>IF(AND(ISNUMBER(override_spg_int_min),override_spg_int_min&gt;0),override_spg_int_min,IF(sched_mode="Manual",spg_int_man,IF(sched_mode="Optimal",spg_int_opt,NA())))</f>
        <v>9.026013902172</v>
      </c>
      <c r="E122" s="20"/>
      <c r="F122" s="20"/>
    </row>
    <row r="123" spans="1:6" x14ac:dyDescent="0.2">
      <c r="A123" s="20" t="s">
        <v>813</v>
      </c>
      <c r="B123" s="20" t="s">
        <v>814</v>
      </c>
      <c r="C123" s="20" t="s">
        <v>815</v>
      </c>
      <c r="D123" s="28">
        <f>nCO2_rate*spg_dur</f>
        <v>0.0001067805170238</v>
      </c>
      <c r="E123" s="20"/>
      <c r="F123" s="20"/>
    </row>
    <row r="124" spans="1:6" x14ac:dyDescent="0.2">
      <c r="A124" s="20" t="s">
        <v>816</v>
      </c>
      <c r="B124" s="20" t="s">
        <v>817</v>
      </c>
      <c r="C124" s="20" t="s">
        <v>818</v>
      </c>
      <c r="D124" s="28">
        <f>60/spg_int</f>
        <v>6.647452646352</v>
      </c>
      <c r="E124" s="20"/>
      <c r="F124" s="20"/>
    </row>
    <row r="125" spans="1:6" x14ac:dyDescent="0.2">
      <c r="A125" s="20" t="s">
        <v>819</v>
      </c>
      <c r="B125" s="20" t="s">
        <v>820</v>
      </c>
      <c r="C125" s="20" t="s">
        <v>821</v>
      </c>
      <c r="D125" s="28">
        <f>pulses_h*24</f>
        <v>159.538863512438</v>
      </c>
      <c r="E125" s="20"/>
      <c r="F125" s="20"/>
    </row>
    <row r="126" spans="1:6" x14ac:dyDescent="0.2">
      <c r="A126" s="20" t="s">
        <v>822</v>
      </c>
      <c r="B126" s="20" t="s">
        <v>823</v>
      </c>
      <c r="C126" s="20" t="s">
        <v>110</v>
      </c>
      <c r="D126" s="28">
        <f>IF(CO2_cons&gt;0,CO2_supply/CO2_cons,NA())</f>
        <v>41.865885273592</v>
      </c>
      <c r="E126" s="20"/>
      <c r="F126" s="20"/>
    </row>
    <row r="127" spans="1:6" x14ac:dyDescent="0.2">
      <c r="A127" s="20" t="s">
        <v>824</v>
      </c>
      <c r="B127" s="20" t="s">
        <v>825</v>
      </c>
      <c r="C127" s="20" t="s">
        <v>815</v>
      </c>
      <c r="D127" s="28">
        <f>O2_excess/60*spg_int</f>
        <v>2.389062307486e-06</v>
      </c>
      <c r="E127" s="20"/>
      <c r="F127" s="20"/>
    </row>
    <row r="128" spans="1:6" x14ac:dyDescent="0.2">
      <c r="A128" s="20" t="s">
        <v>826</v>
      </c>
      <c r="B128" s="20" t="s">
        <v>827</v>
      </c>
      <c r="C128" s="20" t="s">
        <v>815</v>
      </c>
      <c r="D128" s="28">
        <f>strip_sparge/3600*spg_dur</f>
        <v>6.635009117477e-08</v>
      </c>
      <c r="E128" s="20"/>
      <c r="F128" s="20"/>
    </row>
    <row r="129" spans="1:6" x14ac:dyDescent="0.2">
      <c r="A129" s="20" t="s">
        <v>828</v>
      </c>
      <c r="B129" s="20" t="s">
        <v>829</v>
      </c>
      <c r="C129" s="20" t="s">
        <v>110</v>
      </c>
      <c r="D129" s="28">
        <f>IF(O2_accum&gt;0,O2_strip_pulse/O2_accum,NA())</f>
        <v>0.027772440663</v>
      </c>
      <c r="E129" s="20"/>
      <c r="F129" s="20"/>
    </row>
    <row r="130" spans="1:6" x14ac:dyDescent="0.2">
      <c r="A130" s="20" t="s">
        <v>830</v>
      </c>
      <c r="B130" s="20" t="s">
        <v>831</v>
      </c>
      <c r="C130" s="20"/>
      <c r="D130" s="28" t="str">
        <f>IF(spg_dur&gt;=pulse_floor,"OK","LOW")</f>
        <v>OK</v>
      </c>
      <c r="E130" s="20"/>
      <c r="F130" s="20"/>
    </row>
    <row r="131" spans="1:6" x14ac:dyDescent="0.2">
      <c r="A131" s="20" t="inlineStr">
        <is>
          <t xml:space="preserve">Critical surface kL_surf (DO held at the target DO)</t>
        </is>
      </c>
      <c r="B131" s="20" t="s">
        <v>833</v>
      </c>
      <c r="C131" s="20" t="s">
        <v>107</v>
      </c>
      <c r="D131" s="28">
        <f>kLa_surf_req/a_surf</f>
        <v>0.0001245300561075</v>
      </c>
      <c r="E131" s="147" t="s">
        <v>1825</v>
      </c>
      <c r="F131" s="20"/>
    </row>
    <row r="132" spans="1:6" ht="24" x14ac:dyDescent="0.2">
      <c r="A132" s="17" t="s">
        <v>989</v>
      </c>
      <c r="B132" s="18" t="s">
        <v>990</v>
      </c>
      <c r="C132" s="19" t="s">
        <v>991</v>
      </c>
      <c r="D132" s="28">
        <f>O2_net_gen</f>
        <v>4.979033518202e-05</v>
      </c>
      <c r="E132" s="69" t="s">
        <v>992</v>
      </c>
      <c r="F132" s="20"/>
    </row>
    <row r="133" spans="1:6" x14ac:dyDescent="0.2">
      <c r="A133" s="17" t="inlineStr">
        <is>
          <t xml:space="preserve">Cycle-mean DO (sawtooth, sizing phase)</t>
        </is>
      </c>
      <c r="B133" s="18" t="s">
        <v>994</v>
      </c>
      <c r="C133" s="19" t="s">
        <v>995</v>
      </c>
      <c r="D133" s="28">
        <f>DO_avg_sched</f>
        <v>0.082341896405</v>
      </c>
      <c r="E133" s="69" t="inlineStr">
        <is>
          <t xml:space="preserve">Cycle-mean dissolved O₂ of the sawtooth model on the sizing phase in mol/m³ (= DO_avg_sched, D372; D108 is the same in mg/L). One DO definition per statistic: mean = DO_avg_*, peak = DO_peak_*; the flux-mean (mean-field) form appears only as the labelled cross-check rows 340/361.</t>
        </is>
      </c>
      <c r="F133" s="20"/>
    </row>
    <row r="134" spans="1:6" ht="48" x14ac:dyDescent="0.2">
      <c r="A134" s="20" t="s">
        <v>996</v>
      </c>
      <c r="B134" s="20" t="s">
        <v>997</v>
      </c>
      <c r="C134" s="20" t="s">
        <v>998</v>
      </c>
      <c r="D134" s="28" t="str">
        <f>IF(ISNA(F_vent_ex+O2_src_sched),"INVALID SELECTOR (Summary D111/D112) – no schedule until both are listed values",IF(NOT(ISNUMBER(spg_int_DO)),"DO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9.0 min; confirm by measuring kL_surf</v>
      </c>
      <c r="E134" s="69" t="inlineStr">
        <is>
          <t xml:space="preserve">Whether the dissolved-O₂ target is reachable at all, and whether the surface coefficient behind that verdict has been measured or is still the ~375%-uncertain estimate.</t>
        </is>
      </c>
      <c r="F134" s="20"/>
    </row>
    <row r="135" spans="1:6" ht="24" x14ac:dyDescent="0.2">
      <c r="A135" s="20" t="inlineStr">
        <is>
          <t xml:space="preserve">Cycle-mean DO (LAG source, sawtooth)</t>
        </is>
      </c>
      <c r="B135" s="20" t="s">
        <v>1000</v>
      </c>
      <c r="C135" s="20" t="s">
        <v>1001</v>
      </c>
      <c r="D135" s="28">
        <f>DO_avg_l</f>
        <v>0.212069565945</v>
      </c>
      <c r="E135" s="69" t="inlineStr">
        <is>
          <t xml:space="preserve">Lag-phase time-mean dissolved O₂ (DO_avg_l, D362) at the schedule in use, on the LAG headspace balance with the H₂ as a diluent and the vent model in use. Feeds the lag-phase peroxide (Electrochemistry D150), which is first order in DO, so it takes the time mean — not the flux-mean D361, which is ~3 % lower.</t>
        </is>
      </c>
      <c r="F135" s="20"/>
    </row>
    <row r="137" spans="1:6" x14ac:dyDescent="0.2">
      <c r="A137" s="20" t="s">
        <v>1134</v>
      </c>
      <c r="B137" s="20"/>
      <c r="C137" s="20"/>
      <c r="D137" s="20"/>
      <c r="E137" s="20" t="s">
        <v>1135</v>
      </c>
      <c r="F137" s="20"/>
    </row>
    <row r="138" spans="1:6" x14ac:dyDescent="0.2">
      <c r="A138" s="17" t="s">
        <v>1136</v>
      </c>
      <c r="B138" s="18" t="s">
        <v>1137</v>
      </c>
      <c r="C138" s="19" t="s">
        <v>577</v>
      </c>
      <c r="D138" s="141">
        <f>D_CO2_ref*EXP(-Ea_D_CO2/R_gas*(1/T_K-1/T_ref))</f>
        <v>1.92e-09</v>
      </c>
      <c r="E138" s="67" t="s">
        <v>1788</v>
      </c>
      <c r="F138" s="20"/>
    </row>
    <row r="139" spans="1:6" x14ac:dyDescent="0.2">
      <c r="A139" s="17" t="s">
        <v>1159</v>
      </c>
      <c r="B139" s="18" t="s">
        <v>1138</v>
      </c>
      <c r="C139" s="19" t="s">
        <v>62</v>
      </c>
      <c r="D139" s="131">
        <v>40</v>
      </c>
      <c r="E139" s="67" t="s">
        <v>1160</v>
      </c>
      <c r="F139" s="20"/>
    </row>
    <row r="140" spans="1:6" x14ac:dyDescent="0.2">
      <c r="A140" s="17" t="s">
        <v>1161</v>
      </c>
      <c r="B140" s="18" t="s">
        <v>1162</v>
      </c>
      <c r="C140" s="19" t="s">
        <v>1163</v>
      </c>
      <c r="D140" s="48">
        <f>headspace_V/1000000</f>
        <v>2.612428455917e-06</v>
      </c>
      <c r="E140" s="67" t="s">
        <v>1164</v>
      </c>
      <c r="F140" s="20"/>
    </row>
    <row r="141" spans="1:6" x14ac:dyDescent="0.2">
      <c r="A141" s="17" t="s">
        <v>1165</v>
      </c>
      <c r="B141" s="18" t="s">
        <v>1166</v>
      </c>
      <c r="C141" s="19" t="s">
        <v>1163</v>
      </c>
      <c r="D141" s="48">
        <f>V_charge/1000000</f>
        <v>1.5e-05</v>
      </c>
      <c r="E141" s="67" t="s">
        <v>1167</v>
      </c>
      <c r="F141" s="20"/>
    </row>
    <row r="142" spans="1:6" ht="36" x14ac:dyDescent="0.2">
      <c r="A142" s="17" t="inlineStr">
        <is>
          <t xml:space="preserve">Headspace air exchange ("Air exchange" model)</t>
        </is>
      </c>
      <c r="B142" s="18" t="s">
        <v>1169</v>
      </c>
      <c r="C142" s="19" t="s">
        <v>361</v>
      </c>
      <c r="D142" s="131">
        <v>0.5</v>
      </c>
      <c r="E142" s="69" t="inlineStr">
        <is>
          <t xml:space="preserve">Bidirectional air-exchange flow through the vent, used ONLY when vent_model (Summary D111)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is>
      </c>
      <c r="F142" s="20"/>
    </row>
    <row r="143" spans="1:6" x14ac:dyDescent="0.2">
      <c r="A143" s="17" t="inlineStr">
        <is>
          <t xml:space="preserve">Headspace turnover between pulses</t>
        </is>
      </c>
      <c r="B143" s="18" t="s">
        <v>1172</v>
      </c>
      <c r="C143" s="19" t="s">
        <v>639</v>
      </c>
      <c r="D143" s="48">
        <f>F_gap_sched/3600/n_hs_gas</f>
        <v>9.569640057845e-05</v>
      </c>
      <c r="E143" s="67" t="inlineStr">
        <is>
          <t xml:space="preserve">First-order headspace clearance between pulses from the ONE vent balance (§300): exchange flow plus net evolved gas, over the headspace inventory. Zero when nothing leaves between pulses (outflow-only vent, growth phase).</t>
        </is>
      </c>
      <c r="F143" s="20"/>
    </row>
    <row r="144" spans="1:6" x14ac:dyDescent="0.2">
      <c r="A144" s="17" t="s">
        <v>1174</v>
      </c>
      <c r="B144" s="18" t="s">
        <v>1175</v>
      </c>
      <c r="C144" s="19" t="s">
        <v>67</v>
      </c>
      <c r="D144" s="48">
        <f>IF(k_vent&gt;0,1/k_vent/60,"none between pulses")</f>
        <v>174.161897061142</v>
      </c>
      <c r="E144" s="67" t="inlineStr">
        <is>
          <t xml:space="preserve">Time constant for the headspace to clear between pulses; "none between pulses" when nothing leaves between pulses (outflow-only vent, growth phase), so only the pulses clear it.</t>
        </is>
      </c>
      <c r="F144" s="20"/>
    </row>
    <row r="145" spans="1:6" x14ac:dyDescent="0.2">
      <c r="A145" s="17" t="s">
        <v>1139</v>
      </c>
      <c r="B145" s="18" t="s">
        <v>1140</v>
      </c>
      <c r="C145" s="19" t="s">
        <v>460</v>
      </c>
      <c r="D145" s="48">
        <f>hs_H_CO2*P_atm</f>
        <v>33.43725</v>
      </c>
      <c r="E145" s="67" t="s">
        <v>1177</v>
      </c>
      <c r="F145" s="20"/>
    </row>
    <row r="146" spans="1:6" x14ac:dyDescent="0.2">
      <c r="A146" s="17" t="s">
        <v>1141</v>
      </c>
      <c r="B146" s="18" t="s">
        <v>1142</v>
      </c>
      <c r="C146" s="19" t="s">
        <v>460</v>
      </c>
      <c r="D146" s="48">
        <f>hs_H_CO2*pCO2_air</f>
        <v>0.0132</v>
      </c>
      <c r="E146" s="67" t="s">
        <v>1178</v>
      </c>
      <c r="F146" s="20"/>
    </row>
    <row r="147" spans="1:6" x14ac:dyDescent="0.2">
      <c r="A147" s="17" t="s">
        <v>1179</v>
      </c>
      <c r="B147" s="18" t="s">
        <v>1143</v>
      </c>
      <c r="C147" s="19" t="s">
        <v>135</v>
      </c>
      <c r="D147" s="48">
        <f>SQRT(D_CO2/D_O2)</f>
        <v>0.9803665585</v>
      </c>
      <c r="E147" s="67" t="s">
        <v>1180</v>
      </c>
      <c r="F147" s="20"/>
    </row>
    <row r="148" spans="1:6" x14ac:dyDescent="0.2">
      <c r="A148" s="17" t="s">
        <v>1181</v>
      </c>
      <c r="B148" s="18" t="s">
        <v>1144</v>
      </c>
      <c r="C148" s="19" t="s">
        <v>639</v>
      </c>
      <c r="D148" s="48">
        <f>kLa_surf_used*sqrtD_CO2</f>
        <v>0.007058740843</v>
      </c>
      <c r="E148" s="67" t="inlineStr">
        <is>
          <t xml:space="preserve">Surface kLa for CO₂ between pulses (surface path), scaled from the O₂ value in use (kLa_surf_used) so a measured surface kLa also reaches the CO₂ side.</t>
        </is>
      </c>
      <c r="F148" s="20"/>
    </row>
    <row r="149" spans="1:6" x14ac:dyDescent="0.2">
      <c r="A149" s="17" t="s">
        <v>1183</v>
      </c>
      <c r="B149" s="18" t="s">
        <v>1184</v>
      </c>
      <c r="C149" s="19" t="s">
        <v>67</v>
      </c>
      <c r="D149" s="48">
        <f>1/kLa_CO2_off/60</f>
        <v>2.361138769205</v>
      </c>
      <c r="E149" s="67" t="s">
        <v>1185</v>
      </c>
      <c r="F149" s="20"/>
    </row>
    <row r="150" spans="1:6" x14ac:dyDescent="0.2">
      <c r="A150" s="17" t="s">
        <v>1186</v>
      </c>
      <c r="B150" s="18" t="s">
        <v>1187</v>
      </c>
      <c r="C150" s="19" t="s">
        <v>815</v>
      </c>
      <c r="D150" s="48">
        <f>P_atm*headspace_V_m3/(R_gas*T_K)</f>
        <v>0.0001067805170238</v>
      </c>
      <c r="E150" s="67" t="s">
        <v>1188</v>
      </c>
      <c r="F150" s="20"/>
    </row>
    <row r="151" spans="1:6" x14ac:dyDescent="0.2">
      <c r="A151" s="17" t="s">
        <v>1145</v>
      </c>
      <c r="B151" s="18" t="s">
        <v>1146</v>
      </c>
      <c r="C151" s="19" t="s">
        <v>13</v>
      </c>
      <c r="D151" s="48">
        <f>spg_dur</f>
        <v>0.784513049825</v>
      </c>
      <c r="E151" s="67" t="s">
        <v>1189</v>
      </c>
      <c r="F151" s="20"/>
    </row>
    <row r="152" spans="1:6" x14ac:dyDescent="0.2">
      <c r="A152" s="17" t="s">
        <v>1147</v>
      </c>
      <c r="B152" s="18" t="s">
        <v>1148</v>
      </c>
      <c r="C152" s="19" t="s">
        <v>13</v>
      </c>
      <c r="D152" s="48">
        <f>MAX(0,spg_int*60-spg_dur)</f>
        <v>540.776321080501</v>
      </c>
      <c r="E152" s="67" t="s">
        <v>1190</v>
      </c>
      <c r="F152" s="20"/>
    </row>
    <row r="153" spans="1:6" ht="24" x14ac:dyDescent="0.2">
      <c r="A153" s="17"/>
      <c r="B153" s="18"/>
      <c r="C153" s="19"/>
      <c r="D153" s="48"/>
      <c r="E153" s="67"/>
      <c r="F153" s="20"/>
    </row>
    <row r="154" spans="1:6" x14ac:dyDescent="0.2">
      <c r="A154" s="17"/>
      <c r="B154" s="18"/>
      <c r="C154" s="19"/>
      <c r="D154" s="48"/>
      <c r="E154" s="67"/>
      <c r="F154" s="20"/>
    </row>
    <row r="155" spans="1:6" x14ac:dyDescent="0.2">
      <c r="A155" s="17"/>
      <c r="B155" s="18"/>
      <c r="C155" s="19"/>
      <c r="D155" s="48"/>
      <c r="E155" s="67"/>
      <c r="F155" s="20"/>
    </row>
    <row r="156" spans="1:6" ht="24" x14ac:dyDescent="0.2">
      <c r="A156" s="17"/>
      <c r="B156" s="18"/>
      <c r="C156" s="19"/>
      <c r="D156" s="48"/>
      <c r="E156" s="67"/>
      <c r="F156" s="20"/>
    </row>
    <row r="157" spans="1:6" x14ac:dyDescent="0.2">
      <c r="A157" s="17"/>
      <c r="B157" s="18"/>
      <c r="C157" s="19"/>
      <c r="D157" s="48"/>
      <c r="E157" s="67"/>
      <c r="F157" s="20"/>
    </row>
    <row r="158" spans="1:6" x14ac:dyDescent="0.2">
      <c r="A158" s="17"/>
      <c r="B158" s="18"/>
      <c r="C158" s="19"/>
      <c r="D158" s="48"/>
      <c r="E158" s="67"/>
      <c r="F158" s="20"/>
    </row>
    <row r="159" spans="1:6" x14ac:dyDescent="0.2">
      <c r="A159" s="17"/>
      <c r="B159" s="18"/>
      <c r="C159" s="19"/>
      <c r="D159" s="48"/>
      <c r="E159" s="67"/>
      <c r="F159" s="20"/>
    </row>
    <row r="160" spans="1:6" x14ac:dyDescent="0.2">
      <c r="A160" s="17"/>
      <c r="B160" s="18"/>
      <c r="C160" s="19"/>
      <c r="D160" s="48"/>
      <c r="E160" s="67"/>
      <c r="F160" s="20"/>
    </row>
    <row r="161" spans="1:6" ht="36" x14ac:dyDescent="0.2">
      <c r="A161" s="17"/>
      <c r="B161" s="18"/>
      <c r="C161" s="19"/>
      <c r="D161" s="48"/>
      <c r="E161" s="67"/>
      <c r="F161" s="20"/>
    </row>
    <row r="162" spans="1:6" ht="24" x14ac:dyDescent="0.2">
      <c r="A162" s="17" t="s">
        <v>1154</v>
      </c>
      <c r="B162" s="18" t="s">
        <v>1155</v>
      </c>
      <c r="C162" s="19" t="s">
        <v>487</v>
      </c>
      <c r="D162" s="48">
        <f>MIN(C_sat_CO2,MAX(C_air_CO2,CO2_cyc_avg_new))/1000</f>
        <v>0.029931790408</v>
      </c>
      <c r="E162" s="67" t="s">
        <v>1859</v>
      </c>
      <c r="F162" s="20"/>
    </row>
    <row r="163" spans="1:6" x14ac:dyDescent="0.2">
      <c r="A163" s="17" t="s">
        <v>1209</v>
      </c>
      <c r="B163" s="18" t="s">
        <v>1210</v>
      </c>
      <c r="C163" s="19" t="s">
        <v>135</v>
      </c>
      <c r="D163" s="48" t="str">
        <f>IF(ISTEXT(tau_hs),"no vent turnover between pulses (OK)",IF(tau_hs&gt;=tau_surf_floor,"vent turnover slower than the surface (OK)","WARNING: the vent turns the headspace over faster than the surface relaxes the liquid"))</f>
        <v>vent turnover slower than the surface (OK)</v>
      </c>
      <c r="E163" s="67" t="inlineStr">
        <is>
          <t xml:space="preserve">Confirms the headspace turnover between pulses is slower than the liquid's surface relaxation, as the CO₂ pool's quasi-equilibrium assumes; trivially true when nothing leaves between pulses.</t>
        </is>
      </c>
      <c r="F163" s="20"/>
    </row>
    <row r="164" spans="1:6" x14ac:dyDescent="0.2">
      <c r="A164" s="17" t="s">
        <v>1156</v>
      </c>
      <c r="B164" s="18" t="s">
        <v>1157</v>
      </c>
      <c r="C164" s="19" t="s">
        <v>135</v>
      </c>
      <c r="D164" s="48" t="str">
        <f>IF(spg_int*60&gt;=spg_dur,"OK","INVALID: interval &lt; pulse")</f>
        <v>OK</v>
      </c>
      <c r="E164" s="67" t="s">
        <v>1212</v>
      </c>
      <c r="F164" s="20"/>
    </row>
    <row r="166" spans="1:6" x14ac:dyDescent="0.2">
      <c r="A166" s="5" t="inlineStr">
        <is>
          <t xml:space="preserve">TEMPERATURE-DEPENDENT WATER PROPERTIES</t>
        </is>
      </c>
    </row>
    <row r="167" spans="1:6" ht="24" x14ac:dyDescent="0.2">
      <c r="A167" t="s">
        <v>1758</v>
      </c>
      <c r="B167" s="18" t="s">
        <v>1759</v>
      </c>
      <c r="C167" s="19" t="s">
        <v>567</v>
      </c>
      <c r="D167" s="146">
        <v>7.5889999999999999E-2</v>
      </c>
      <c r="E167" s="99" t="s">
        <v>1760</v>
      </c>
    </row>
    <row r="168" spans="1:6" x14ac:dyDescent="0.2">
      <c r="A168" t="s">
        <v>1761</v>
      </c>
      <c r="B168" s="18" t="s">
        <v>1762</v>
      </c>
      <c r="C168" s="19" t="s">
        <v>1763</v>
      </c>
      <c r="D168" s="146">
        <v>-1.5699999999999999E-4</v>
      </c>
      <c r="E168" s="99" t="s">
        <v>1764</v>
      </c>
    </row>
    <row r="169" spans="1:6" x14ac:dyDescent="0.2">
      <c r="A169" t="s">
        <v>1765</v>
      </c>
      <c r="B169" s="18" t="s">
        <v>1766</v>
      </c>
      <c r="C169" s="19" t="s">
        <v>570</v>
      </c>
      <c r="D169" s="146">
        <v>1003.33</v>
      </c>
      <c r="E169" s="99" t="s">
        <v>1767</v>
      </c>
    </row>
    <row r="170" spans="1:6" x14ac:dyDescent="0.2">
      <c r="A170" t="s">
        <v>1768</v>
      </c>
      <c r="B170" s="18" t="s">
        <v>1769</v>
      </c>
      <c r="C170" s="19" t="s">
        <v>1770</v>
      </c>
      <c r="D170" s="146">
        <v>-0.25559999999999999</v>
      </c>
      <c r="E170" s="99" t="s">
        <v>1764</v>
      </c>
    </row>
    <row r="171" spans="1:6" ht="24" x14ac:dyDescent="0.2">
      <c r="A171" t="s">
        <v>1771</v>
      </c>
      <c r="B171" s="18" t="s">
        <v>1772</v>
      </c>
      <c r="C171" s="19" t="s">
        <v>1274</v>
      </c>
      <c r="D171" s="146">
        <v>-4.41</v>
      </c>
      <c r="E171" s="99" t="inlineStr">
        <is>
          <t xml:space="preserve">Han &amp; Bartels (1996): log₁₀(D[cm²/s]) = a + b/T − (c/T)², evaluated at the reactor temperature.</t>
        </is>
      </c>
    </row>
    <row r="172" spans="1:6" x14ac:dyDescent="0.2">
      <c r="A172" t="s">
        <v>1774</v>
      </c>
      <c r="B172" s="18" t="s">
        <v>1775</v>
      </c>
      <c r="C172" s="19" t="s">
        <v>843</v>
      </c>
      <c r="D172" s="146">
        <v>773.8</v>
      </c>
      <c r="E172" s="99" t="s">
        <v>1764</v>
      </c>
    </row>
    <row r="173" spans="1:6" x14ac:dyDescent="0.2">
      <c r="A173" t="s">
        <v>1776</v>
      </c>
      <c r="B173" s="18" t="s">
        <v>1777</v>
      </c>
      <c r="C173" s="19" t="s">
        <v>843</v>
      </c>
      <c r="D173" s="146">
        <v>506.4</v>
      </c>
      <c r="E173" s="99" t="s">
        <v>1764</v>
      </c>
    </row>
    <row r="174" spans="1:6" x14ac:dyDescent="0.2">
      <c r="A174" t="s">
        <v>1778</v>
      </c>
      <c r="B174" s="18" t="s">
        <v>1779</v>
      </c>
      <c r="C174" s="19" t="s">
        <v>577</v>
      </c>
      <c r="D174" s="146">
        <v>1.92E-9</v>
      </c>
      <c r="E174" s="67" t="s">
        <v>1780</v>
      </c>
    </row>
    <row r="175" spans="1:6" ht="24" x14ac:dyDescent="0.2">
      <c r="A175" t="s">
        <v>1781</v>
      </c>
      <c r="B175" s="18" t="s">
        <v>1782</v>
      </c>
      <c r="C175" s="19" t="s">
        <v>1783</v>
      </c>
      <c r="D175" s="146">
        <v>19000</v>
      </c>
      <c r="E175" s="67" t="s">
        <v>1784</v>
      </c>
    </row>
    <row r="177" spans="1:5" x14ac:dyDescent="0.2">
      <c r="A177" s="5" t="inlineStr">
        <is>
          <t xml:space="preserve">HEADSPACE O₂ BALANCE AND THE DO-LIMITED INTERVAL</t>
        </is>
      </c>
    </row>
    <row r="178" spans="1:5" ht="24" x14ac:dyDescent="0.2">
      <c r="A178" t="s">
        <v>1790</v>
      </c>
      <c r="B178" s="18" t="s">
        <v>1791</v>
      </c>
      <c r="C178" s="19" t="s">
        <v>991</v>
      </c>
      <c r="D178" s="141">
        <f>nCO2_rate*3600</f>
        <v>0.489998045758</v>
      </c>
      <c r="E178" s="99" t="s">
        <v>1792</v>
      </c>
    </row>
    <row r="179" spans="1:5" x14ac:dyDescent="0.2">
      <c r="A179" t="s">
        <v>1793</v>
      </c>
      <c r="B179" s="18" t="s">
        <v>1794</v>
      </c>
      <c r="C179" s="19" t="s">
        <v>1001</v>
      </c>
      <c r="D179" s="141">
        <f>IF(ISNUMBER(DO_opt),DO_opt/M_O2,target_DO_frac*O2_ceil_C)</f>
        <v>0.08246973913</v>
      </c>
      <c r="E179" s="99" t="inlineStr">
        <is>
          <t xml:space="preserve">The dissolved O₂ the schedule aims to hold: the organism optimum DO_opt (mg/L ÷ M_O2 g/mol = mol/m³) when it is known, otherwise the target fraction of the inhibition ceiling. Avoids a Henry-derived ceiling (11.67 mg/L) that differs from the table’s 11.5 pushing the target above the optimum.</t>
        </is>
      </c>
    </row>
    <row r="180" spans="1:5" ht="36" x14ac:dyDescent="0.2">
      <c r="A180" t="s">
        <v>1796</v>
      </c>
      <c r="B180" s="18" t="s">
        <v>1797</v>
      </c>
      <c r="C180" s="19" t="s">
        <v>1001</v>
      </c>
      <c r="D180" s="141">
        <f>O2_src_sched/(kLa_surf_used*3600*(V_charge/1000000))</f>
        <v>0.040846064617</v>
      </c>
      <c r="E180" s="67" t="inlineStr">
        <is>
          <t xml:space="preserve">Steady state across the free surface is flux = kLa·V·(C − C*), so the liquid must sit THIS far above the headspace-equilibrium concentration to push the source O₂ out. Evaluated on the sizing-phase source (O2_src_sched, §300); the growth and lag values are DO_surf_excess_g and D181. The smaller the surface kLa, the larger this excess — it decides whether any sparge schedule can hold the target at all.</t>
        </is>
      </c>
    </row>
    <row r="181" spans="1:5" x14ac:dyDescent="0.2">
      <c r="A181" t="s">
        <v>1799</v>
      </c>
      <c r="B181" s="18" t="s">
        <v>1800</v>
      </c>
      <c r="C181" s="19" t="s">
        <v>1001</v>
      </c>
      <c r="D181" s="141">
        <f>O2_net_gen/(kLa_surf_used*3600*(V_charge/1000000))</f>
        <v>0.128059718029</v>
      </c>
      <c r="E181" s="67" t="s">
        <v>1801</v>
      </c>
    </row>
    <row r="182" spans="1:5" ht="36" x14ac:dyDescent="0.2">
      <c r="A182" t="s">
        <v>1802</v>
      </c>
      <c r="B182" s="18" t="s">
        <v>1803</v>
      </c>
      <c r="C182" s="19" t="s">
        <v>1001</v>
      </c>
      <c r="D182" s="141">
        <f>DO_target-DO_surf_excess</f>
        <v>0.041623674514</v>
      </c>
      <c r="E182" s="67" t="s">
        <v>1804</v>
      </c>
    </row>
    <row r="183" spans="1:5" ht="24" x14ac:dyDescent="0.2">
      <c r="A183" t="s">
        <v>1805</v>
      </c>
      <c r="B183" s="18" t="s">
        <v>1806</v>
      </c>
      <c r="C183" s="19" t="s">
        <v>1274</v>
      </c>
      <c r="D183" s="141">
        <f>IF(hs_O2_allow&gt;0,hs_O2_allow/(H_O2_T*P_atm),NA())</f>
        <v>0.034232810687</v>
      </c>
      <c r="E183" s="67" t="s">
        <v>1807</v>
      </c>
    </row>
    <row r="184" spans="1:5" ht="48" x14ac:dyDescent="0.2">
      <c r="A184" t="s">
        <v>1808</v>
      </c>
      <c r="B184" s="18" t="s">
        <v>1809</v>
      </c>
      <c r="C184" s="19" t="s">
        <v>1274</v>
      </c>
      <c r="D184" s="141">
        <f>IF(ISNUMBER(y_O2_star),MAX(0,((O2_src_sched+y_O2_air*F_vent_ex)*saw_factor/y_O2_star-F_vent_ex-O2_src_sched-H2_src_sched+CO2_fix_sched)/CO2_rate_full),NA())</f>
        <v>0.001448614819</v>
      </c>
      <c r="E184" s="67" t="inlineStr">
        <is>
          <t xml:space="preserve">Inverts the shared headspace balance (§300): y = (O₂ + air O₂)/(exchange + CO₂ supply + O₂ + H₂ − fixation). Solving for the CO₂ supply that puts the TIME-mean headspace O₂ at y* (flux mean = y*/saw_factor) gives this duty. Reduces to the old O₂(1−y*)/(y*·CO₂ rate) form with no exchange, no H₂, no fixation and no sawtooth. Zero when O₂ imposes no constraint (D185 then uses the carbon interval).</t>
        </is>
      </c>
    </row>
    <row r="185" spans="1:5" ht="24" x14ac:dyDescent="0.2">
      <c r="A185" t="s">
        <v>1811</v>
      </c>
      <c r="B185" s="18" t="s">
        <v>1812</v>
      </c>
      <c r="C185" s="19" t="s">
        <v>962</v>
      </c>
      <c r="D185" s="141">
        <f>IF(ISNUMBER(duty_DO),IF(duty_DO&gt;0,spg_dur_opt/(60*duty_DO),spg_int_carbon),NA())</f>
        <v>9.026013902172</v>
      </c>
      <c r="E185" s="67" t="s">
        <v>1813</v>
      </c>
    </row>
    <row r="186" spans="1:5" ht="36" x14ac:dyDescent="0.2">
      <c r="A186" t="s">
        <v>1814</v>
      </c>
      <c r="B186" s="18" t="s">
        <v>1815</v>
      </c>
      <c r="C186" s="19" t="s">
        <v>639</v>
      </c>
      <c r="D186" s="141">
        <f>O2_src_sched/(DO_target*3600*(V_charge/1000000))</f>
        <v>0.003566106821</v>
      </c>
      <c r="E186" s="67" t="inlineStr">
        <is>
          <t xml:space="preserve">The surface kLa below which the DO target is unreachable at any sparge interval, on the sizing-phase source. Both phases: kLa_surf_req_g / kLa_surf_req_l and their margins in §300 (Summary rows 120–123). The ratio to kLa_surf_used is the whole safety margin of the DO strategy, and it rests on a coefficient nobody has measured yet.</t>
        </is>
      </c>
    </row>
    <row r="187" spans="1:5" ht="36" x14ac:dyDescent="0.2">
      <c r="A187" t="s">
        <v>1817</v>
      </c>
      <c r="B187" s="18" t="s">
        <v>1818</v>
      </c>
      <c r="C187" s="19" t="s">
        <v>1274</v>
      </c>
      <c r="D187" s="141">
        <f>IF(O2_sizing_phase=phase_name_1,y_O2_mf_g,IF(O2_sizing_phase=phase_name_2,y_O2_mf_l,NA()))</f>
        <v>0.031639138319</v>
      </c>
      <c r="E187" s="67" t="inlineStr">
        <is>
          <t xml:space="preserve">Flux-mean headspace O₂ fraction at the schedule in use, from the ONE vent balance (§300) on the sizing phase: includes air O₂ ingress in "Air exchange", the H₂ diluent in "Lag", and the fixation sink. The CO₂ pool (§190) and the flammability block (Biology 83–88) now use the same balance.</t>
        </is>
      </c>
    </row>
    <row r="188" spans="1:5" ht="36" x14ac:dyDescent="0.2">
      <c r="A188" t="s">
        <v>1820</v>
      </c>
      <c r="B188" s="18" t="s">
        <v>1821</v>
      </c>
      <c r="C188" s="19" t="s">
        <v>1001</v>
      </c>
      <c r="D188" s="141">
        <f>IF(ISNUMBER(y_O2_actual),H_O2_T*y_O2_actual*P_atm,NA())</f>
        <v>0.038470028282</v>
      </c>
      <c r="E188" s="67" t="inlineStr">
        <is>
          <t xml:space="preserve">Surface stripping can only move oxygen into the headspace, so the liquid can never fall below equilibrium with it. Set by the vent balance (CO₂ flush, exchange, evolved gas), not by the surface kLa — which is why the sparge schedule and the vent, not the stirring, govern dissolved oxygen here.</t>
        </is>
      </c>
    </row>
    <row r="190" spans="1:5" x14ac:dyDescent="0.2">
      <c r="A190" s="5" t="inlineStr">
        <is>
          <t xml:space="preserve">CO₂ LIMIT CYCLE – mass-conserving form (supersedes the uncoupled block above)</t>
        </is>
      </c>
    </row>
    <row r="191" spans="1:5" x14ac:dyDescent="0.2">
      <c r="A191" t="s">
        <v>1830</v>
      </c>
      <c r="B191" s="18" t="s">
        <v>1831</v>
      </c>
      <c r="C191" s="19" t="s">
        <v>440</v>
      </c>
      <c r="D191" s="141">
        <f>Biology!$D$31</f>
        <v>0.00033</v>
      </c>
      <c r="E191" s="67" t="s">
        <v>1832</v>
      </c>
    </row>
    <row r="192" spans="1:5" ht="24" x14ac:dyDescent="0.2">
      <c r="A192" t="s">
        <v>1833</v>
      </c>
      <c r="B192" s="18" t="s">
        <v>1834</v>
      </c>
      <c r="C192" s="19" t="s">
        <v>1163</v>
      </c>
      <c r="D192" s="141">
        <f>headspace_V_m3/(hs_H_CO2*R_gas*T_K)</f>
        <v>3.193459899477e-06</v>
      </c>
      <c r="E192" s="99" t="s">
        <v>1835</v>
      </c>
    </row>
    <row r="193" spans="1:5" x14ac:dyDescent="0.2">
      <c r="A193" t="s">
        <v>1836</v>
      </c>
      <c r="B193" s="18" t="s">
        <v>1837</v>
      </c>
      <c r="C193" s="19" t="s">
        <v>1274</v>
      </c>
      <c r="D193" s="141">
        <f>V_L_m3/(V_L_m3+Vg_CO2)</f>
        <v>0.824472095076</v>
      </c>
      <c r="E193" s="99" t="s">
        <v>1838</v>
      </c>
    </row>
    <row r="194" spans="1:5" ht="48" x14ac:dyDescent="0.2">
      <c r="A194" t="inlineStr">
        <is>
          <t xml:space="preserve">CO₂ retained in the headspace by a pulse, as pool concentration</t>
        </is>
      </c>
      <c r="B194" s="18" t="s">
        <v>1840</v>
      </c>
      <c r="C194" s="19" t="s">
        <v>1001</v>
      </c>
      <c r="D194" s="141">
        <f>C_sat_CO2*(1-pool_a)*(1-flush_ret)</f>
        <v>3.710023297714</v>
      </c>
      <c r="E194" s="99" t="inlineStr">
        <is>
          <t xml:space="preserve">A well-mixed flush leaves the headspace at 1 atm with (1 − flush_ret) of fresh CO₂; the rest of the delivered pulse blows straight through the vent. As pool concentration: C_sat·(headspace share)·(1 − flush_ret). Equals the old CO2_pulse/(V_L+Vg) for a plug-flow one-headspace pulse. Pure-CO₂ saturation is the no-loss limit by construction.</t>
        </is>
      </c>
    </row>
    <row r="195" spans="1:5" ht="24" x14ac:dyDescent="0.2">
      <c r="A195" t="s">
        <v>1841</v>
      </c>
      <c r="B195" s="18" t="s">
        <v>1842</v>
      </c>
      <c r="C195" s="19" t="s">
        <v>639</v>
      </c>
      <c r="D195" s="141">
        <f>k_vent*Vg_CO2/(V_L_m3+Vg_CO2)</f>
        <v>1.679738870232e-05</v>
      </c>
      <c r="E195" s="99" t="inlineStr">
        <is>
          <t xml:space="preserve">Only the headspace share of the pool is exposed to what leaves between pulses (k_vent, now from the shared vent balance), so the whole inventory decays at that rate scaled by the share. Zero for an outflow-only vent in growth: then only fixation drains the pool (pool_D_raw).</t>
        </is>
      </c>
    </row>
    <row r="196" spans="1:5" ht="36" x14ac:dyDescent="0.2">
      <c r="A196" t="s">
        <v>1844</v>
      </c>
      <c r="B196" s="18" t="s">
        <v>1845</v>
      </c>
      <c r="C196" s="19" t="s">
        <v>110</v>
      </c>
      <c r="D196" s="141">
        <f>IF(k_vent&gt;0,(kLa_CO2_off*V_L_m3/Vg_CO2)/k_vent,"no turnover between pulses")</f>
        <v>346.46664161513</v>
      </c>
      <c r="E196" s="67" t="inlineStr">
        <is>
          <t xml:space="preserve">Liquid-uptake rate constant ÷ headspace turnover between pulses. Well above 1 means the two compartments stay in quasi-equilibrium, which the pool model assumes; text when nothing leaves between pulses (outflow-only growth case).</t>
        </is>
      </c>
    </row>
    <row r="197" spans="1:5" x14ac:dyDescent="0.2">
      <c r="A197" t="s">
        <v>1847</v>
      </c>
      <c r="B197" s="18" t="s">
        <v>1848</v>
      </c>
      <c r="C197" s="19" t="s">
        <v>1274</v>
      </c>
      <c r="D197" s="141">
        <f>EXP(-k_eff_CO2*t_off_CO2)</f>
        <v>0.990957501466</v>
      </c>
      <c r="E197" s="99" t="s">
        <v>1849</v>
      </c>
    </row>
    <row r="198" spans="1:5" x14ac:dyDescent="0.2">
      <c r="A198" t="s">
        <v>1850</v>
      </c>
      <c r="B198" s="18" t="s">
        <v>1851</v>
      </c>
      <c r="C198" s="19" t="s">
        <v>1001</v>
      </c>
      <c r="D198" s="141">
        <f>(pool_D_gap+pool_b*pool_e)/(1-pool_ret*pool_e)</f>
        <v>29.726224026733</v>
      </c>
      <c r="E198" s="99" t="inlineStr">
        <is>
          <t xml:space="preserve">Fixed point of the limit cycle: decay over the gap toward the vent/fixation asymptote (pool_D_gap), then a pulse that keeps pool_ret of the pool and adds pool_b, repeated. With an air-exchange vent and no fixation it is the previous (C_air(1−e)+b·e)/(1−a·e).</t>
        </is>
      </c>
    </row>
    <row r="199" spans="1:5" ht="24" x14ac:dyDescent="0.2">
      <c r="A199" t="s">
        <v>1853</v>
      </c>
      <c r="B199" s="18" t="s">
        <v>1854</v>
      </c>
      <c r="C199" s="19" t="s">
        <v>1001</v>
      </c>
      <c r="D199" s="141">
        <f>pool_ret*C_cycle_start+pool_b</f>
        <v>30.13798016156</v>
      </c>
      <c r="E199" s="99" t="inlineStr">
        <is>
          <t xml:space="preserve">After the pulse and the fast headspace-to-liquid equilibration (tens of seconds): the retained pool plus the fresh CO₂.</t>
        </is>
      </c>
    </row>
    <row r="200" spans="1:5" x14ac:dyDescent="0.2">
      <c r="A200" t="s">
        <v>1856</v>
      </c>
      <c r="B200" s="18" t="s">
        <v>1857</v>
      </c>
      <c r="C200" s="19" t="s">
        <v>1001</v>
      </c>
      <c r="D200" s="141">
        <f>C_cycle_peak*pool_phi+pool_D_raw*pool_psi</f>
        <v>29.931790407874</v>
      </c>
      <c r="E200" s="99" t="inlineStr">
        <is>
          <t xml:space="preserve">Time-average of the decay over the gap, written with Φ/Ψ so the no-turnover case (outflow-only vent, growth) is the linear-drain limit rather than 0/0. This is what the pH solve consumes (Chemistry D5 via D162).</t>
        </is>
      </c>
    </row>
    <row r="202" spans="1:5" x14ac:dyDescent="0.2">
      <c r="A202" s="5" t="s">
        <v>1912</v>
      </c>
    </row>
    <row r="203" spans="1:5" ht="24" x14ac:dyDescent="0.2">
      <c r="A203" t="s">
        <v>1913</v>
      </c>
      <c r="B203" s="18" t="s">
        <v>1914</v>
      </c>
      <c r="C203" s="19" t="s">
        <v>62</v>
      </c>
      <c r="D203" s="146">
        <v>610.94000000000005</v>
      </c>
      <c r="E203" s="99" t="s">
        <v>1915</v>
      </c>
    </row>
    <row r="204" spans="1:5" x14ac:dyDescent="0.2">
      <c r="A204" t="s">
        <v>1916</v>
      </c>
      <c r="B204" s="18" t="s">
        <v>1917</v>
      </c>
      <c r="C204" s="19" t="s">
        <v>1274</v>
      </c>
      <c r="D204" s="146">
        <v>17.625</v>
      </c>
      <c r="E204" s="99" t="s">
        <v>1764</v>
      </c>
    </row>
    <row r="205" spans="1:5" x14ac:dyDescent="0.2">
      <c r="A205" t="s">
        <v>1918</v>
      </c>
      <c r="B205" s="18" t="s">
        <v>1919</v>
      </c>
      <c r="C205" s="19" t="s">
        <v>53</v>
      </c>
      <c r="D205" s="146">
        <v>243.04</v>
      </c>
      <c r="E205" s="99" t="s">
        <v>1764</v>
      </c>
    </row>
    <row r="206" spans="1:5" ht="24" x14ac:dyDescent="0.2">
      <c r="A206" t="s">
        <v>1920</v>
      </c>
      <c r="B206" s="18" t="s">
        <v>1921</v>
      </c>
      <c r="C206" s="19" t="s">
        <v>62</v>
      </c>
      <c r="D206" s="141">
        <f>pw_A*EXP(pw_B*(T_K-T_zero_C)/((T_K-T_zero_C)+pw_C))</f>
        <v>3161.736035696692</v>
      </c>
      <c r="E206" s="99" t="inlineStr">
        <is>
          <t xml:space="preserve">3.16 kPa at 25 °C, 4.24 kPa at 30 °C, 3–4% of atmospheric, which is exactly the bias it removes from a faradaic-efficiency measurement made by collecting gas over water.</t>
        </is>
      </c>
    </row>
    <row r="208">
      <c r="A208" s="103" t="inlineStr">
        <is>
          <t xml:space="preserve">NAMED CONSTANTS, THRESHOLDS AND IMPORTS</t>
        </is>
      </c>
    </row>
    <row r="209">
      <c r="A209" s="20" t="inlineStr">
        <is>
          <t xml:space="preserve">(import) Reference temperature (25 °C)</t>
        </is>
      </c>
      <c r="B209" s="20" t="inlineStr">
        <is>
          <t xml:space="preserve">T_ref</t>
        </is>
      </c>
      <c r="C209" s="20" t="inlineStr">
        <is>
          <t xml:space="preserve">K</t>
        </is>
      </c>
      <c r="D209" s="142">
        <f>Biology!$D$23</f>
        <v>298.15</v>
      </c>
      <c r="E209" s="135" t="inlineStr">
        <is>
          <t xml:space="preserve">Import from Biology!D23</t>
        </is>
      </c>
    </row>
    <row r="210">
      <c r="A210" s="20" t="inlineStr">
        <is>
          <t xml:space="preserve">(import) Celsius-to-kelvin offset</t>
        </is>
      </c>
      <c r="B210" s="20" t="inlineStr">
        <is>
          <t xml:space="preserve">T_zero_C</t>
        </is>
      </c>
      <c r="C210" s="20" t="inlineStr">
        <is>
          <t xml:space="preserve">K</t>
        </is>
      </c>
      <c r="D210" s="142">
        <f>Biology!$D$66</f>
        <v>273.15</v>
      </c>
      <c r="E210" s="135" t="inlineStr">
        <is>
          <t xml:space="preserve">Import from Biology!D66</t>
        </is>
      </c>
    </row>
    <row r="211">
      <c r="A211" s="17" t="inlineStr">
        <is>
          <t xml:space="preserve">Minimum bubble diameter for the bubble model</t>
        </is>
      </c>
      <c r="B211" s="18" t="inlineStr">
        <is>
          <t xml:space="preserve">d_bubble_min_m</t>
        </is>
      </c>
      <c r="C211" s="19" t="inlineStr">
        <is>
          <t xml:space="preserve">m</t>
        </is>
      </c>
      <c r="D211" s="131">
        <v>0.001</v>
      </c>
      <c r="E211" s="67" t="inlineStr">
        <is>
          <t xml:space="preserve">Mendelson rise correlation valid ~1–10 mm (E46); sub-mm bubbles are out of range.</t>
        </is>
      </c>
    </row>
    <row r="212">
      <c r="A212" s="17" t="inlineStr">
        <is>
          <t xml:space="preserve">Quasi-static detachment Weber limit</t>
        </is>
      </c>
      <c r="B212" s="18" t="inlineStr">
        <is>
          <t xml:space="preserve">We_static_max</t>
        </is>
      </c>
      <c r="C212" s="19" t="inlineStr">
        <is>
          <t xml:space="preserve">-</t>
        </is>
      </c>
      <c r="D212" s="131">
        <v>2</v>
      </c>
      <c r="E212" s="67" t="inlineStr">
        <is>
          <t xml:space="preserve">Tate's-law quasi-static detachment holds for We &lt; ~2 (E64).</t>
        </is>
      </c>
    </row>
    <row r="213">
      <c r="A213" s="17" t="inlineStr">
        <is>
          <t xml:space="preserve">Cleared-ceiling display value</t>
        </is>
      </c>
      <c r="B213" s="18" t="inlineStr">
        <is>
          <t xml:space="preserve">cleared_min</t>
        </is>
      </c>
      <c r="C213" s="19" t="inlineStr">
        <is>
          <t xml:space="preserve">min</t>
        </is>
      </c>
      <c r="D213" s="131">
        <v>9999</v>
      </c>
      <c r="E213" s="99" t="inlineStr">
        <is>
          <t xml:space="preserve">Defined display sentinel: removal exceeds the source, so the ceiling is never reached.</t>
        </is>
      </c>
    </row>
    <row r="214">
      <c r="A214" s="17" t="inlineStr">
        <is>
          <t xml:space="preserve">Minimum sparge-free gap for an OD read</t>
        </is>
      </c>
      <c r="B214" s="18" t="inlineStr">
        <is>
          <t xml:space="preserve">od_gap_min_s</t>
        </is>
      </c>
      <c r="C214" s="19" t="inlineStr">
        <is>
          <t xml:space="preserve">s</t>
        </is>
      </c>
      <c r="D214" s="131">
        <v>5</v>
      </c>
      <c r="E214" s="68" t="inlineStr">
        <is>
          <t xml:space="preserve">Design assumption: time for one Pioreactor OD read between pulses.</t>
        </is>
      </c>
    </row>
    <row r="216">
      <c r="A216" s="17" t="inlineStr">
        <is>
          <t xml:space="preserve">Stir-bar tip-speed shear limit</t>
        </is>
      </c>
      <c r="B216" s="18" t="inlineStr">
        <is>
          <t xml:space="preserve">tip_speed_max</t>
        </is>
      </c>
      <c r="C216" s="19" t="inlineStr">
        <is>
          <t xml:space="preserve">m/s</t>
        </is>
      </c>
      <c r="D216" s="131">
        <v>1.5</v>
      </c>
      <c r="E216" s="82" t="inlineStr">
        <is>
          <t xml:space="preserve">Conservative impeller-tip limit for cell culture (BioProcess International); precautionary for HOB.</t>
        </is>
      </c>
    </row>
    <row r="230">
      <c r="A230" s="5" t="inlineStr">
        <is>
          <t xml:space="preserve">CARBON-LIMITED INTERVAL: IS IT SAFE?</t>
        </is>
      </c>
    </row>
    <row r="231">
      <c r="A231" t="inlineStr">
        <is>
          <t xml:space="preserve">O₂ molar mass</t>
        </is>
      </c>
      <c r="B231" s="18" t="inlineStr">
        <is>
          <t xml:space="preserve">M_O2</t>
        </is>
      </c>
      <c r="C231" s="19" t="inlineStr">
        <is>
          <t xml:space="preserve">g/mol</t>
        </is>
      </c>
      <c r="D231" s="146">
        <v>31.998</v>
      </c>
      <c r="E231" s="99" t="inlineStr">
        <is>
          <t xml:space="preserve">IUPAC standard atomic weights: 2 × 15.999.</t>
        </is>
      </c>
    </row>
    <row r="232">
      <c r="A232" t="inlineStr">
        <is>
          <t xml:space="preserve">Cycle-mean DO if the interval relaxed to the carbon-limited one</t>
        </is>
      </c>
      <c r="B232" s="18" t="inlineStr">
        <is>
          <t xml:space="preserve">DO_at_carbon</t>
        </is>
      </c>
      <c r="C232" s="19" t="inlineStr">
        <is>
          <t xml:space="preserve">mol/m³</t>
        </is>
      </c>
      <c r="D232" s="141">
        <f>IF(F_vent_ex+CO2_rate_full*duty_carbon+O2_src_sched+H2_src_sched-CO2_fix_sched&gt;0,DO_surf_excess+H_O2_T*P_atm*MIN(1,saw_factor*(O2_src_sched+y_O2_air*F_vent_ex)/(F_vent_ex+CO2_rate_full*duty_carbon+O2_src_sched+H2_src_sched-CO2_fix_sched)),DO_surf_excess+H_O2_T*P_atm)</f>
        <v>0.486561365549</v>
      </c>
      <c r="E232" s="99" t="inlineStr">
        <is>
          <t xml:space="preserve">Same shared headspace balance as D187/D180 (sizing phase, vent model in use) evaluated at the carbon-limited duty instead of the DO-limited one, raised from the flux mean to the cycle (time) mean by saw_factor (D322; the slow-vent limit, so slightly high when air enters) and capped at a pure-O₂ headspace. Guarded: if nothing would leave the headspace, the O₂ fraction tends to 1, which is returned. At that duty the CO₂ leaving is only carbon_margin_min × the fixation, so O₂ is a large fraction of the vent gas and the number is sensitive to carbon_margin_min; the direction (far above the ceiling) is robust, the value is not.</t>
        </is>
      </c>
    </row>
    <row r="240">
      <c r="A240" s="5" t="inlineStr">
        <is>
          <t xml:space="preserve">AS-RUN PULSE (solenoid command resolution)</t>
        </is>
      </c>
    </row>
    <row r="241">
      <c r="A241" t="inlineStr">
        <is>
          <t xml:space="preserve">Solenoid pulse command resolution</t>
        </is>
      </c>
      <c r="B241" s="18" t="inlineStr">
        <is>
          <t xml:space="preserve">pulse_res</t>
        </is>
      </c>
      <c r="C241" s="19" t="inlineStr">
        <is>
          <t xml:space="preserve">s</t>
        </is>
      </c>
      <c r="D241" s="146">
        <v>0.05</v>
      </c>
      <c r="E241" s="68" t="inlineStr">
        <is>
          <t xml:space="preserve">Design assumption: the dosing command is issued in 0.05 s steps — confirm in the AEP-Plugin dosing code.</t>
        </is>
      </c>
    </row>
    <row r="242">
      <c r="A242" t="inlineStr">
        <is>
          <t xml:space="preserve">Optimal pulse rounded to the command resolution</t>
        </is>
      </c>
      <c r="B242" s="18" t="inlineStr">
        <is>
          <t xml:space="preserve">spg_dur_run</t>
        </is>
      </c>
      <c r="C242" s="19" t="inlineStr">
        <is>
          <t xml:space="preserve">s</t>
        </is>
      </c>
      <c r="D242" s="141">
        <f>MAX(pulse_floor,MROUND(spg_dur_opt,pulse_res))</f>
        <v>0.8</v>
      </c>
      <c r="E242" s="67" t="inlineStr">
        <is>
          <t xml:space="preserve">Pulse as it can actually be commanded; never below the solenoid floor. Summary D14 shows it.</t>
        </is>
      </c>
    </row>
    <row r="300">
      <c r="A300" s="5" t="inlineStr">
        <is>
          <t xml:space="preserve">HEADSPACE BALANCE — one vent model shared by the O₂ block (§177), the CO₂ pool (§190) and the lag-phase flammability block (Biology rows 83–88)</t>
        </is>
      </c>
    </row>
    <row r="301">
      <c r="A301" s="20" t="inlineStr">
        <is>
          <t xml:space="preserve">(import) Vent model</t>
        </is>
      </c>
      <c r="B301" s="20" t="inlineStr">
        <is>
          <t xml:space="preserve">vent_model</t>
        </is>
      </c>
      <c r="C301" s="20" t="inlineStr">
        <is>
          <t xml:space="preserve">-</t>
        </is>
      </c>
      <c r="D301" s="134" t="str">
        <f>Summary!$D$111</f>
        <v>Open vent</v>
      </c>
      <c r="E301" s="135" t="inlineStr">
        <is>
          <t xml:space="preserve">Import from Summary!D111. Owner decision: "Outflow only", "Open vent" or "Air exchange"; anything else returns #N/A by design. Default "Open vent" until the vent hardware is characterised (R2 experiment 1).</t>
        </is>
      </c>
    </row>
    <row r="302">
      <c r="A302" s="17" t="inlineStr">
        <is>
          <t xml:space="preserve">  valid vent model 1</t>
        </is>
      </c>
      <c r="B302" s="18" t="inlineStr">
        <is>
          <t xml:space="preserve">vent_name_1</t>
        </is>
      </c>
      <c r="C302" s="19" t="inlineStr">
        <is>
          <t xml:space="preserve">-</t>
        </is>
      </c>
      <c r="D302" s="131" t="inlineStr">
        <is>
          <t xml:space="preserve">Outflow only</t>
        </is>
      </c>
      <c r="E302" s="37" t="inlineStr">
        <is>
          <t xml:space="preserve">Check valve or sealed cap that HOLDS the vacuum left after each pulse: no air ever enters. The headspace is then diluted only by the CO₂ pulses and by what electrolysis evolves, and it sags below 1 atm between pulses (hs_sag, D389) — which a real cap may not hold.</t>
        </is>
      </c>
    </row>
    <row r="303">
      <c r="A303" s="17" t="inlineStr">
        <is>
          <t xml:space="preserve">  valid vent model 2</t>
        </is>
      </c>
      <c r="B303" s="18" t="inlineStr">
        <is>
          <t xml:space="preserve">vent_name_2</t>
        </is>
      </c>
      <c r="C303" s="19" t="inlineStr">
        <is>
          <t xml:space="preserve">-</t>
        </is>
      </c>
      <c r="D303" s="131" t="inlineStr">
        <is>
          <t xml:space="preserve">Air exchange</t>
        </is>
      </c>
      <c r="E303" s="37" t="inlineStr">
        <is>
          <t xml:space="preserve">Measured bidirectional exchange with room air at Q_vent (D142) — forced or diffusive flow through an open port. Q_vent must then be the TOTAL air ingress, including any per-pulse back-draw.</t>
        </is>
      </c>
    </row>
    <row r="304">
      <c r="A304" s="20" t="inlineStr">
        <is>
          <t xml:space="preserve">(import) O₂ sizing phase</t>
        </is>
      </c>
      <c r="B304" s="20" t="inlineStr">
        <is>
          <t xml:space="preserve">O2_sizing_phase</t>
        </is>
      </c>
      <c r="C304" s="20" t="inlineStr">
        <is>
          <t xml:space="preserve">-</t>
        </is>
      </c>
      <c r="D304" s="134" t="str">
        <f>Summary!$D$112</f>
        <v>Growth</v>
      </c>
      <c r="E304" s="135" t="inlineStr">
        <is>
          <t xml:space="preserve">Import from Summary!D112. Owner decision: "Growth" sizes the schedule on the surplus after knallgas uptake; "Lag" on the whole net electrolytic O₂ with the H₂ as a diluent. Anything else returns #N/A by design. Both phases are always reported (rows 327–369).</t>
        </is>
      </c>
    </row>
    <row r="305">
      <c r="A305" s="17" t="inlineStr">
        <is>
          <t xml:space="preserve">  valid sizing phase 1</t>
        </is>
      </c>
      <c r="B305" s="18" t="inlineStr">
        <is>
          <t xml:space="preserve">phase_name_1</t>
        </is>
      </c>
      <c r="C305" s="19" t="inlineStr">
        <is>
          <t xml:space="preserve">-</t>
        </is>
      </c>
      <c r="D305" s="131" t="inlineStr">
        <is>
          <t xml:space="preserve">Growth</t>
        </is>
      </c>
      <c r="E305" s="37" t="inlineStr">
        <is>
          <t xml:space="preserve">Steady growth: 100 % H₂ uptake (Biology D13), so the O₂ source is O2_excess and no H₂ reaches the headspace.</t>
        </is>
      </c>
    </row>
    <row r="306">
      <c r="A306" s="17" t="inlineStr">
        <is>
          <t xml:space="preserve">  valid sizing phase 2</t>
        </is>
      </c>
      <c r="B306" s="18" t="inlineStr">
        <is>
          <t xml:space="preserve">phase_name_2</t>
        </is>
      </c>
      <c r="C306" s="19" t="inlineStr">
        <is>
          <t xml:space="preserve">-</t>
        </is>
      </c>
      <c r="D306" s="131" t="inlineStr">
        <is>
          <t xml:space="preserve">Lag</t>
        </is>
      </c>
      <c r="E306" s="37" t="inlineStr">
        <is>
          <t xml:space="preserve">Lag / establishment: no uptake, so all net electrolytic O₂ and all H₂ reach the headspace and no CO₂ is fixed.</t>
        </is>
      </c>
    </row>
    <row r="307">
      <c r="A307" s="17" t="inlineStr">
        <is>
          <t xml:space="preserve">Dry-air O₂ mole fraction</t>
        </is>
      </c>
      <c r="B307" s="18" t="inlineStr">
        <is>
          <t xml:space="preserve">y_O2_air</t>
        </is>
      </c>
      <c r="C307" s="19" t="inlineStr">
        <is>
          <t xml:space="preserve">-</t>
        </is>
      </c>
      <c r="D307" s="131">
        <v>0.2095</v>
      </c>
      <c r="E307" s="160" t="inlineStr">
        <is>
          <t xml:space="preserve">Standard dry air, 20.95 vol % O₂ (CRC Handbook; ISO 2533). Enters the balance only in the "Air exchange" vent model.</t>
        </is>
      </c>
    </row>
    <row r="308">
      <c r="A308" s="17" t="inlineStr">
        <is>
          <t xml:space="preserve">Vent air ingress (molar)</t>
        </is>
      </c>
      <c r="B308" s="18" t="inlineStr">
        <is>
          <t xml:space="preserve">F_vent_ex</t>
        </is>
      </c>
      <c r="C308" s="19" t="inlineStr">
        <is>
          <t xml:space="preserve">mol/h</t>
        </is>
      </c>
      <c r="D308" s="48">
        <f>P_atm*(Q_vent_used/1000000/60)/(R_gas*T_K)*3600</f>
        <v>3.67866400719e-05</v>
      </c>
      <c r="E308" s="69" t="inlineStr">
        <is>
          <t xml:space="preserve">Molar air ingress through the vent (ideal gas at P_atm, T_K): Q_vent_used (D386) converted mL/min → mol/h. Zero only for a true check valve ("Outflow only"). Inherits the uncertainty of Q_backdraw / Q_vent — measure it.</t>
        </is>
      </c>
    </row>
    <row r="309">
      <c r="A309" s="17" t="inlineStr">
        <is>
          <t xml:space="preserve">O₂ source — growth phase</t>
        </is>
      </c>
      <c r="B309" s="18" t="inlineStr">
        <is>
          <t xml:space="preserve">O2_src_g</t>
        </is>
      </c>
      <c r="C309" s="19" t="inlineStr">
        <is>
          <t xml:space="preserve">mol/h</t>
        </is>
      </c>
      <c r="D309" s="48">
        <f>O2_excess</f>
        <v>1.58811785582e-05</v>
      </c>
      <c r="E309" s="67" t="inlineStr">
        <is>
          <t xml:space="preserve">Surplus O₂ after full-H₂-uptake respiration (Biology D16). A LOWER bound on the surplus: any H₂ that bubbles off uncaught raises it.</t>
        </is>
      </c>
    </row>
    <row r="310">
      <c r="A310" s="17" t="inlineStr">
        <is>
          <t xml:space="preserve">O₂ source — lag phase</t>
        </is>
      </c>
      <c r="B310" s="18" t="inlineStr">
        <is>
          <t xml:space="preserve">O2_src_l</t>
        </is>
      </c>
      <c r="C310" s="19" t="inlineStr">
        <is>
          <t xml:space="preserve">mol/h</t>
        </is>
      </c>
      <c r="D310" s="48">
        <f>O2_net_gen</f>
        <v>4.979033518202e-05</v>
      </c>
      <c r="E310" s="67" t="inlineStr">
        <is>
          <t xml:space="preserve">Net electrolytic O₂ with no biological uptake (Electrochemistry D29).</t>
        </is>
      </c>
    </row>
    <row r="311">
      <c r="A311" s="20" t="inlineStr">
        <is>
          <t xml:space="preserve">(import) H₂ generation rate</t>
        </is>
      </c>
      <c r="B311" s="20" t="inlineStr">
        <is>
          <t xml:space="preserve">rH2_gen</t>
        </is>
      </c>
      <c r="C311" s="20" t="inlineStr">
        <is>
          <t xml:space="preserve">mol/h</t>
        </is>
      </c>
      <c r="D311" s="142">
        <f>Electrochemistry!$D$21</f>
        <v>0.0001017274698715</v>
      </c>
      <c r="E311" s="135" t="inlineStr">
        <is>
          <t xml:space="preserve">Import from Electrochemistry!D21.</t>
        </is>
      </c>
    </row>
    <row r="312">
      <c r="A312" s="20" t="inlineStr">
        <is>
          <t xml:space="preserve">(import) H₂ consumed</t>
        </is>
      </c>
      <c r="B312" s="20" t="inlineStr">
        <is>
          <t xml:space="preserve">H2_cons</t>
        </is>
      </c>
      <c r="C312" s="20" t="inlineStr">
        <is>
          <t xml:space="preserve">mol/h</t>
        </is>
      </c>
      <c r="D312" s="142">
        <f>Biology!$D$13</f>
        <v>0.0001017274698715</v>
      </c>
      <c r="E312" s="135" t="inlineStr">
        <is>
          <t xml:space="preserve">Import from Biology!D13 (100 % uptake in steady growth).</t>
        </is>
      </c>
    </row>
    <row r="313">
      <c r="A313" s="17" t="inlineStr">
        <is>
          <t xml:space="preserve">H₂ to headspace — growth phase</t>
        </is>
      </c>
      <c r="B313" s="18" t="inlineStr">
        <is>
          <t xml:space="preserve">H2_src_g</t>
        </is>
      </c>
      <c r="C313" s="19" t="inlineStr">
        <is>
          <t xml:space="preserve">mol/h</t>
        </is>
      </c>
      <c r="D313" s="48">
        <f>MAX(0,rH2_gen-H2_HOR_mt-H2_cons)</f>
        <v>0.0</v>
      </c>
      <c r="E313" s="67" t="inlineStr">
        <is>
          <t xml:space="preserve">Residual H₂ reaching the headspace in growth: evolved H₂ less what the anode oxidises (H2_HOR_mt) less uptake; zero under the 100 % uptake assumption. A real residual (cathode bubbles bypassing the liquid) is a DATA GAP — see the off-gas H₂ experiment.</t>
        </is>
      </c>
    </row>
    <row r="314">
      <c r="A314" s="17" t="inlineStr">
        <is>
          <t xml:space="preserve">H₂ to headspace — lag phase</t>
        </is>
      </c>
      <c r="B314" s="18" t="inlineStr">
        <is>
          <t xml:space="preserve">H2_src_l</t>
        </is>
      </c>
      <c r="C314" s="19" t="inlineStr">
        <is>
          <t xml:space="preserve">mol/h</t>
        </is>
      </c>
      <c r="D314" s="48">
        <f>MAX(0,rH2_gen-H2_HOR_mt)</f>
        <v>0.0001017274698715</v>
      </c>
      <c r="E314" s="67" t="inlineStr">
        <is>
          <t xml:space="preserve">All evolved H₂ that the anode does not oxidise (H2_HOR_mt) reaches the headspace before uptake starts.</t>
        </is>
      </c>
    </row>
    <row r="315">
      <c r="A315" s="17" t="inlineStr">
        <is>
          <t xml:space="preserve">CO₂ fixation sink — growth phase</t>
        </is>
      </c>
      <c r="B315" s="18" t="inlineStr">
        <is>
          <t xml:space="preserve">CO2_fix_g</t>
        </is>
      </c>
      <c r="C315" s="19" t="inlineStr">
        <is>
          <t xml:space="preserve">mol/h</t>
        </is>
      </c>
      <c r="D315" s="48">
        <f>CO2_cons</f>
        <v>1.695457831191e-05</v>
      </c>
      <c r="E315" s="67" t="inlineStr">
        <is>
          <t xml:space="preserve">Carbon fixed by the culture (Biology D15) is drawn from the dissolved pool and hence from the headspace.</t>
        </is>
      </c>
    </row>
    <row r="316">
      <c r="A316" s="17" t="inlineStr">
        <is>
          <t xml:space="preserve">CO₂ fixation sink — lag phase</t>
        </is>
      </c>
      <c r="B316" s="18" t="inlineStr">
        <is>
          <t xml:space="preserve">CO2_fix_l</t>
        </is>
      </c>
      <c r="C316" s="19" t="inlineStr">
        <is>
          <t xml:space="preserve">mol/h</t>
        </is>
      </c>
      <c r="D316" s="131">
        <v>0</v>
      </c>
      <c r="E316" s="160" t="inlineStr">
        <is>
          <t xml:space="preserve">By definition of the lag phase: no carbon fixation yet.</t>
        </is>
      </c>
    </row>
    <row r="317">
      <c r="A317" s="17" t="inlineStr">
        <is>
          <t xml:space="preserve">O₂ source — sizing phase</t>
        </is>
      </c>
      <c r="B317" s="18" t="inlineStr">
        <is>
          <t xml:space="preserve">O2_src_sched</t>
        </is>
      </c>
      <c r="C317" s="19" t="inlineStr">
        <is>
          <t xml:space="preserve">mol/h</t>
        </is>
      </c>
      <c r="D317" s="48">
        <f>IF(O2_sizing_phase=phase_name_1,O2_src_g,IF(O2_sizing_phase=phase_name_2,O2_src_l,NA()))</f>
        <v>1.58811785582e-05</v>
      </c>
      <c r="E317" s="67" t="inlineStr">
        <is>
          <t xml:space="preserve">The O₂ source the schedule is sized on, picked by O2_sizing_phase (D304).</t>
        </is>
      </c>
    </row>
    <row r="318">
      <c r="A318" s="17" t="inlineStr">
        <is>
          <t xml:space="preserve">H₂ to headspace — sizing phase</t>
        </is>
      </c>
      <c r="B318" s="18" t="inlineStr">
        <is>
          <t xml:space="preserve">H2_src_sched</t>
        </is>
      </c>
      <c r="C318" s="19" t="inlineStr">
        <is>
          <t xml:space="preserve">mol/h</t>
        </is>
      </c>
      <c r="D318" s="48">
        <f>IF(O2_sizing_phase=phase_name_1,H2_src_g,IF(O2_sizing_phase=phase_name_2,H2_src_l,NA()))</f>
        <v>0.0</v>
      </c>
      <c r="E318" s="67" t="inlineStr">
        <is>
          <t xml:space="preserve">As above, for H₂ (a diluent in the balance).</t>
        </is>
      </c>
    </row>
    <row r="319">
      <c r="A319" s="17" t="inlineStr">
        <is>
          <t xml:space="preserve">CO₂ fixation sink — sizing phase</t>
        </is>
      </c>
      <c r="B319" s="18" t="inlineStr">
        <is>
          <t xml:space="preserve">CO2_fix_sched</t>
        </is>
      </c>
      <c r="C319" s="19" t="inlineStr">
        <is>
          <t xml:space="preserve">mol/h</t>
        </is>
      </c>
      <c r="D319" s="48">
        <f>IF(O2_sizing_phase=phase_name_1,CO2_fix_g,IF(O2_sizing_phase=phase_name_2,CO2_fix_l,NA()))</f>
        <v>1.695457831191e-05</v>
      </c>
      <c r="E319" s="67" t="inlineStr">
        <is>
          <t xml:space="preserve">As above, for the fixation sink.</t>
        </is>
      </c>
    </row>
    <row r="320">
      <c r="A320" s="17" t="inlineStr">
        <is>
          <t xml:space="preserve">Headspace volumes per pulse (optimal pulse)</t>
        </is>
      </c>
      <c r="B320" s="18" t="inlineStr">
        <is>
          <t xml:space="preserve">flush_vol_opt</t>
        </is>
      </c>
      <c r="C320" s="19" t="inlineStr">
        <is>
          <t xml:space="preserve">-</t>
        </is>
      </c>
      <c r="D320" s="48">
        <f>nCO2_rate*spg_dur_opt/n_hs_gas</f>
        <v>1.0</v>
      </c>
      <c r="E320" s="67" t="inlineStr">
        <is>
          <t xml:space="preserve">CO₂ delivered by the optimal pulse (D90) in headspace volumes; = flush_factor unless the solenoid floor binds. Used for sizing, so it must not depend on the schedule in use.</t>
        </is>
      </c>
    </row>
    <row r="321">
      <c r="A321" s="17" t="inlineStr">
        <is>
          <t xml:space="preserve">Headspace retained through the optimal pulse</t>
        </is>
      </c>
      <c r="B321" s="18" t="inlineStr">
        <is>
          <t xml:space="preserve">flush_ret_opt</t>
        </is>
      </c>
      <c r="C321" s="19" t="inlineStr">
        <is>
          <t xml:space="preserve">-</t>
        </is>
      </c>
      <c r="D321" s="48">
        <f>EXP(-flush_vol_opt)</f>
        <v>0.367879441171</v>
      </c>
      <c r="E321" s="68" t="inlineStr">
        <is>
          <t xml:space="preserve">Design assumption: the pulse flushes a WELL-MIXED headspace, so exp(−volumes) of the old gas survives it (plug flow would leave none). The 5 mm-high headspace disk sits between the two; well-mixed is the conservative choice for every dilution verdict here.</t>
        </is>
      </c>
    </row>
    <row r="322">
      <c r="A322" s="17" t="inlineStr">
        <is>
          <t xml:space="preserve">Sawtooth factor (time-mean ÷ flux-mean headspace O₂)</t>
        </is>
      </c>
      <c r="B322" s="18" t="inlineStr">
        <is>
          <t xml:space="preserve">saw_factor</t>
        </is>
      </c>
      <c r="C322" s="19" t="inlineStr">
        <is>
          <t xml:space="preserve">-</t>
        </is>
      </c>
      <c r="D322" s="48">
        <f>flush_vol_opt*(1+flush_ret_opt)/(2*(1-flush_ret_opt))</f>
        <v>1.081976706869</v>
      </c>
      <c r="E322" s="68" t="inlineStr">
        <is>
          <t xml:space="preserve">The headspace O₂ ramps up between pulses and is knocked down by each flush. The gas LEAVING carries the flux-weighted mean; the liquid sees the TIME mean, which is higher by this factor in the slow-vent limit (little gas leaves between pulses): f·(1+e^−f)/(2(1−e^−f)), 1.08 for one well-mixed headspace volume. Applied to the sizing so that the cycle-mean DO, not the flux mean, sits at the target. Conservative (overstates the sawtooth) when the vent turns the headspace over within a gap.</t>
        </is>
      </c>
    </row>
    <row r="323">
      <c r="A323" s="17" t="inlineStr">
        <is>
          <t xml:space="preserve">Headspace volumes per pulse (schedule in use)</t>
        </is>
      </c>
      <c r="B323" s="18" t="inlineStr">
        <is>
          <t xml:space="preserve">flush_vol</t>
        </is>
      </c>
      <c r="C323" s="19" t="inlineStr">
        <is>
          <t xml:space="preserve">-</t>
        </is>
      </c>
      <c r="D323" s="48">
        <f>CO2_pulse/n_hs_gas</f>
        <v>1.0</v>
      </c>
      <c r="E323" s="67" t="inlineStr">
        <is>
          <t xml:space="preserve">CO₂ actually delivered per pulse (D123, follows any override) in headspace volumes.</t>
        </is>
      </c>
    </row>
    <row r="324">
      <c r="A324" s="17" t="inlineStr">
        <is>
          <t xml:space="preserve">Headspace retained through a pulse (schedule in use)</t>
        </is>
      </c>
      <c r="B324" s="18" t="inlineStr">
        <is>
          <t xml:space="preserve">flush_ret</t>
        </is>
      </c>
      <c r="C324" s="19" t="inlineStr">
        <is>
          <t xml:space="preserve">-</t>
        </is>
      </c>
      <c r="D324" s="48">
        <f>EXP(-flush_vol)</f>
        <v>0.367879441171</v>
      </c>
      <c r="E324" s="68" t="inlineStr">
        <is>
          <t xml:space="preserve">exp(−volumes), well-mixed flush as above.</t>
        </is>
      </c>
    </row>
    <row r="325">
      <c r="A325" s="17" t="inlineStr">
        <is>
          <t xml:space="preserve">Gap between pulses</t>
        </is>
      </c>
      <c r="B325" s="18" t="inlineStr">
        <is>
          <t xml:space="preserve">t_gap_h</t>
        </is>
      </c>
      <c r="C325" s="19" t="inlineStr">
        <is>
          <t xml:space="preserve">h</t>
        </is>
      </c>
      <c r="D325" s="48">
        <f>t_off_CO2/3600</f>
        <v>0.150215644745</v>
      </c>
      <c r="E325" s="67" t="inlineStr">
        <is>
          <t xml:space="preserve">D152 in hours, to match the mol/h flows.</t>
        </is>
      </c>
    </row>
    <row r="326">
      <c r="A326" s="17" t="inlineStr">
        <is>
          <t xml:space="preserve">Liquid O₂ response time</t>
        </is>
      </c>
      <c r="B326" s="18" t="inlineStr">
        <is>
          <t xml:space="preserve">tau_L_h</t>
        </is>
      </c>
      <c r="C326" s="19" t="inlineStr">
        <is>
          <t xml:space="preserve">h</t>
        </is>
      </c>
      <c r="D326" s="48">
        <f>1/(kLa_surf_used*3600)</f>
        <v>0.038579691488</v>
      </c>
      <c r="E326" s="67" t="inlineStr">
        <is>
          <t xml:space="preserve">1/kLa: how fast the dissolved O₂ follows the headspace (D98).</t>
        </is>
      </c>
    </row>
    <row r="327">
      <c r="A327" s="17" t="inlineStr">
        <is>
          <t xml:space="preserve">Headspace O₂ inflow — growth</t>
        </is>
      </c>
      <c r="B327" s="18" t="inlineStr">
        <is>
          <t xml:space="preserve">S_O2_g</t>
        </is>
      </c>
      <c r="C327" s="19" t="inlineStr">
        <is>
          <t xml:space="preserve">mol/h</t>
        </is>
      </c>
      <c r="D327" s="48">
        <f>O2_src_g+y_O2_air*F_vent_ex</f>
        <v>2.358797965326e-05</v>
      </c>
      <c r="E327" s="67" t="inlineStr">
        <is>
          <t xml:space="preserve">O₂ entering the headspace: from the liquid (the whole source must leave this way at steady state) plus the O₂ in any exchanged air.</t>
        </is>
      </c>
    </row>
    <row r="328">
      <c r="A328" s="17" t="inlineStr">
        <is>
          <t xml:space="preserve">Net vent outflow, cycle mean — growth</t>
        </is>
      </c>
      <c r="B328" s="18" t="inlineStr">
        <is>
          <t xml:space="preserve">F_hs_net_g</t>
        </is>
      </c>
      <c r="C328" s="19" t="inlineStr">
        <is>
          <t xml:space="preserve">mol/h</t>
        </is>
      </c>
      <c r="D328" s="48">
        <f>CO2_supply+O2_src_g+H2_src_g-CO2_fix_g</f>
        <v>0.0007087450307148</v>
      </c>
      <c r="E328" s="67" t="inlineStr">
        <is>
          <t xml:space="preserve">Everything entering the headspace over a cycle minus the fixation sink: the gas that must leave through the vent on average.</t>
        </is>
      </c>
    </row>
    <row r="329">
      <c r="A329" s="17" t="inlineStr">
        <is>
          <t xml:space="preserve">Mean-field headspace O₂ — growth</t>
        </is>
      </c>
      <c r="B329" s="18" t="inlineStr">
        <is>
          <t xml:space="preserve">y_O2_mf_g</t>
        </is>
      </c>
      <c r="C329" s="19" t="inlineStr">
        <is>
          <t xml:space="preserve">-</t>
        </is>
      </c>
      <c r="D329" s="48">
        <f>IF(F_vent_ex+F_hs_net_g&gt;0,S_O2_g/(F_vent_ex+F_hs_net_g),NA())</f>
        <v>0.031639138319</v>
      </c>
      <c r="E329" s="67" t="inlineStr">
        <is>
          <t xml:space="preserve">ONE headspace balance, flux-weighted: O₂ in ÷ all gas out (vent outflow plus exchange). Reduces to O₂/(O₂+CO₂) with no exchange, no H₂ and no fixation — the old D187. Biology D85 is the same balance on the lag source.</t>
        </is>
      </c>
    </row>
    <row r="330">
      <c r="A330" s="17" t="inlineStr">
        <is>
          <t xml:space="preserve">Mean-field headspace H₂ — growth</t>
        </is>
      </c>
      <c r="B330" s="18" t="inlineStr">
        <is>
          <t xml:space="preserve">y_H2_mf_g</t>
        </is>
      </c>
      <c r="C330" s="19" t="inlineStr">
        <is>
          <t xml:space="preserve">-</t>
        </is>
      </c>
      <c r="D330" s="48">
        <f>IF(F_vent_ex+F_hs_net_g&gt;0,H2_src_g/(F_vent_ex+F_hs_net_g),NA())</f>
        <v>0.0</v>
      </c>
      <c r="E330" s="67" t="inlineStr">
        <is>
          <t xml:space="preserve">Same balance for H₂ (Biology D84 on the lag source).</t>
        </is>
      </c>
    </row>
    <row r="331">
      <c r="A331" s="17" t="inlineStr">
        <is>
          <t xml:space="preserve">Gas leaving between pulses — growth</t>
        </is>
      </c>
      <c r="B331" s="18" t="inlineStr">
        <is>
          <t xml:space="preserve">F_gap_g</t>
        </is>
      </c>
      <c r="C331" s="19" t="inlineStr">
        <is>
          <t xml:space="preserve">mol/h</t>
        </is>
      </c>
      <c r="D331" s="48">
        <f>F_vent_ex+MAX(0,O2_src_g+H2_src_g-CO2_fix_g)</f>
        <v>3.67866400719e-05</v>
      </c>
      <c r="E331" s="67" t="inlineStr">
        <is>
          <t xml:space="preserve">What leaves the headspace during the gap: the exchange flow plus the net evolved gas that must be vented to hold 1 atm. Floored at zero — when fixation outpaces evolution the headspace merely sags, nothing leaves.</t>
        </is>
      </c>
    </row>
    <row r="332">
      <c r="A332" s="17" t="inlineStr">
        <is>
          <t xml:space="preserve">Headspace turnovers per gap — growth</t>
        </is>
      </c>
      <c r="B332" s="18" t="inlineStr">
        <is>
          <t xml:space="preserve">x_hs_g</t>
        </is>
      </c>
      <c r="C332" s="19" t="inlineStr">
        <is>
          <t xml:space="preserve">-</t>
        </is>
      </c>
      <c r="D332" s="48">
        <f>F_gap_g*t_gap_h/n_hs_gas</f>
        <v>0.051750347445</v>
      </c>
      <c r="E332" s="67" t="inlineStr">
        <is>
          <t xml:space="preserve">Dimensionless gap length for the headspace ramp.</t>
        </is>
      </c>
    </row>
    <row r="333">
      <c r="A333" s="17" t="inlineStr">
        <is>
          <t xml:space="preserve">Φ(x) = (1−e^−x)/x — growth</t>
        </is>
      </c>
      <c r="B333" s="18" t="inlineStr">
        <is>
          <t xml:space="preserve">phi_hs_g</t>
        </is>
      </c>
      <c r="C333" s="19" t="inlineStr">
        <is>
          <t xml:space="preserve">-</t>
        </is>
      </c>
      <c r="D333" s="48">
        <f>IF(x_hs_g&gt;0,(1-EXP(-x_hs_g))/x_hs_g,1)</f>
        <v>0.974565460589</v>
      </c>
      <c r="E333" s="67" t="inlineStr">
        <is>
          <t xml:space="preserve">Exponential-ramp helper; the limit at x → 0 is 1, which keeps the slow-vent case singularity-free.</t>
        </is>
      </c>
    </row>
    <row r="334">
      <c r="A334" s="17" t="inlineStr">
        <is>
          <t xml:space="preserve">Ψ(x) = (x−1+e^−x)/x² — growth</t>
        </is>
      </c>
      <c r="B334" s="18" t="inlineStr">
        <is>
          <t xml:space="preserve">psi_hs_g</t>
        </is>
      </c>
      <c r="C334" s="19" t="inlineStr">
        <is>
          <t xml:space="preserve">-</t>
        </is>
      </c>
      <c r="D334" s="48">
        <f>IF(x_hs_g&gt;0,(x_hs_g-1+EXP(-x_hs_g))/x_hs_g^2,1/2)</f>
        <v>0.491485384479</v>
      </c>
      <c r="E334" s="67" t="inlineStr">
        <is>
          <t xml:space="preserve">Time-mean helper for the same ramp; the limit at x → 0 is ½ (mean of a linear ramp).</t>
        </is>
      </c>
    </row>
    <row r="335">
      <c r="A335" s="17" t="inlineStr">
        <is>
          <t xml:space="preserve">O₂ rise per gap, undiluted — growth</t>
        </is>
      </c>
      <c r="B335" s="18" t="inlineStr">
        <is>
          <t xml:space="preserve">dy_O2_g</t>
        </is>
      </c>
      <c r="C335" s="19" t="inlineStr">
        <is>
          <t xml:space="preserve">-</t>
        </is>
      </c>
      <c r="D335" s="48">
        <f>S_O2_g*t_gap_h/n_hs_gas</f>
        <v>0.03318286585</v>
      </c>
      <c r="E335" s="67" t="inlineStr">
        <is>
          <t xml:space="preserve">Headspace O₂ fraction gained over one gap if nothing left.</t>
        </is>
      </c>
    </row>
    <row r="336">
      <c r="A336" s="17" t="inlineStr">
        <is>
          <t xml:space="preserve">Headspace O₂ just before a pulse — growth</t>
        </is>
      </c>
      <c r="B336" s="18" t="inlineStr">
        <is>
          <t xml:space="preserve">y_O2_end_g</t>
        </is>
      </c>
      <c r="C336" s="19" t="inlineStr">
        <is>
          <t xml:space="preserve">-</t>
        </is>
      </c>
      <c r="D336" s="48">
        <f>dy_O2_g*phi_hs_g/(1-flush_ret*EXP(-x_hs_g))</f>
        <v>0.049700562217</v>
      </c>
      <c r="E336" s="68" t="inlineStr">
        <is>
          <t xml:space="preserve">Periodic solution of n·dy/dt = S − y·L over the gap with each pulse retaining flush_ret of the headspace: the sawtooth top.</t>
        </is>
      </c>
    </row>
    <row r="337">
      <c r="A337" s="17" t="inlineStr">
        <is>
          <t xml:space="preserve">Headspace O₂ just after a pulse — growth</t>
        </is>
      </c>
      <c r="B337" s="18" t="inlineStr">
        <is>
          <t xml:space="preserve">y_O2_post_g</t>
        </is>
      </c>
      <c r="C337" s="19" t="inlineStr">
        <is>
          <t xml:space="preserve">-</t>
        </is>
      </c>
      <c r="D337" s="48">
        <f>y_O2_end_g*flush_ret</f>
        <v>0.018283815054</v>
      </c>
      <c r="E337" s="68" t="inlineStr">
        <is>
          <t xml:space="preserve">Sawtooth bottom.</t>
        </is>
      </c>
    </row>
    <row r="338">
      <c r="A338" s="17" t="inlineStr">
        <is>
          <t xml:space="preserve">Time-mean headspace O₂ — growth</t>
        </is>
      </c>
      <c r="B338" s="18" t="inlineStr">
        <is>
          <t xml:space="preserve">y_O2_avg_g</t>
        </is>
      </c>
      <c r="C338" s="19" t="inlineStr">
        <is>
          <t xml:space="preserve">-</t>
        </is>
      </c>
      <c r="D338" s="48">
        <f>y_O2_post_g*phi_hs_g+dy_O2_g*psi_hs_g</f>
        <v>0.03412766822</v>
      </c>
      <c r="E338" s="68" t="inlineStr">
        <is>
          <t xml:space="preserve">Exact time average of that ramp — what the liquid equilibrates with.</t>
        </is>
      </c>
    </row>
    <row r="339">
      <c r="A339" s="17" t="inlineStr">
        <is>
          <t xml:space="preserve">DO excess needed to drive the surface flux — growth</t>
        </is>
      </c>
      <c r="B339" s="18" t="inlineStr">
        <is>
          <t xml:space="preserve">DO_surf_excess_g</t>
        </is>
      </c>
      <c r="C339" s="19" t="inlineStr">
        <is>
          <t xml:space="preserve">mol/m³</t>
        </is>
      </c>
      <c r="D339" s="48">
        <f>O2_src_g/(kLa_surf_used*3600*V_L_m3)</f>
        <v>0.040846064617</v>
      </c>
      <c r="E339" s="67" t="inlineStr">
        <is>
          <t xml:space="preserve">flux = kLa·V·(C − C*) on the growth source (companion of D181 for lag).</t>
        </is>
      </c>
    </row>
    <row r="340">
      <c r="A340" s="17" t="inlineStr">
        <is>
          <t xml:space="preserve">Mean-field DO — growth</t>
        </is>
      </c>
      <c r="B340" s="18" t="inlineStr">
        <is>
          <t xml:space="preserve">DO_mf_g</t>
        </is>
      </c>
      <c r="C340" s="19" t="inlineStr">
        <is>
          <t xml:space="preserve">mol/m³</t>
        </is>
      </c>
      <c r="D340" s="48">
        <f>DO_surf_excess_g+H_O2_T*P_atm*y_O2_mf_g</f>
        <v>0.079316092899</v>
      </c>
      <c r="E340" s="67" t="inlineStr">
        <is>
          <t xml:space="preserve">Surface excess plus Henry equilibrium with the flux-mean headspace: the quantity the sizing (D184) holds at DO_target ÷ saw_factor.</t>
        </is>
      </c>
    </row>
    <row r="341">
      <c r="A341" s="17" t="inlineStr">
        <is>
          <t xml:space="preserve">Cycle-mean DO — growth</t>
        </is>
      </c>
      <c r="B341" s="18" t="inlineStr">
        <is>
          <t xml:space="preserve">DO_avg_g</t>
        </is>
      </c>
      <c r="C341" s="19" t="inlineStr">
        <is>
          <t xml:space="preserve">mol/m³</t>
        </is>
      </c>
      <c r="D341" s="48">
        <f>DO_surf_excess_g+H_O2_T*P_atm*y_O2_avg_g</f>
        <v>0.082341896405</v>
      </c>
      <c r="E341" s="68" t="inlineStr">
        <is>
          <t xml:space="preserve">Surface excess plus equilibrium with the TIME-mean headspace: the time-mean of the liquid is exactly this (linear liquid balance).</t>
        </is>
      </c>
    </row>
    <row r="342">
      <c r="A342" s="17" t="inlineStr">
        <is>
          <t xml:space="preserve">Peak DO — growth</t>
        </is>
      </c>
      <c r="B342" s="18" t="inlineStr">
        <is>
          <t xml:space="preserve">DO_peak_g</t>
        </is>
      </c>
      <c r="C342" s="19" t="inlineStr">
        <is>
          <t xml:space="preserve">mol/m³</t>
        </is>
      </c>
      <c r="D342" s="48">
        <f>DO_surf_excess_g+H_O2_T*P_atm*MAX(y_O2_avg_g,y_O2_end_g-(S_O2_g-F_gap_g*y_O2_end_g)/n_hs_gas*tau_L_h)</f>
        <v>0.091717883745</v>
      </c>
      <c r="E342" s="68" t="inlineStr">
        <is>
          <t xml:space="preserve">Liquid DO just before a pulse: the headspace top minus the lag of a first-order liquid (τ = 1/kLa) behind the end-of-gap ramp slope. Quasi-steady approximation, valid while the gap ≫ τ; floored at the cycle mean. Time-stepped check: within 4 % of the limit-cycle ODE in all four vent/phase cases.</t>
        </is>
      </c>
    </row>
    <row r="343">
      <c r="A343" s="17" t="inlineStr">
        <is>
          <t xml:space="preserve">Cycle-mean DO — growth (mg/L)</t>
        </is>
      </c>
      <c r="B343" s="18" t="inlineStr">
        <is>
          <t xml:space="preserve">DO_avg_g_mgL</t>
        </is>
      </c>
      <c r="C343" s="19" t="inlineStr">
        <is>
          <t xml:space="preserve">mg/L</t>
        </is>
      </c>
      <c r="D343" s="48">
        <f>DO_avg_g*M_O2</f>
        <v>2.634776001183</v>
      </c>
      <c r="E343" s="68" t="inlineStr">
        <is>
          <t xml:space="preserve">For the Summary.</t>
        </is>
      </c>
    </row>
    <row r="344">
      <c r="A344" s="17" t="inlineStr">
        <is>
          <t xml:space="preserve">Peak DO — growth (mg/L)</t>
        </is>
      </c>
      <c r="B344" s="18" t="inlineStr">
        <is>
          <t xml:space="preserve">DO_peak_g_mgL</t>
        </is>
      </c>
      <c r="C344" s="19" t="inlineStr">
        <is>
          <t xml:space="preserve">mg/L</t>
        </is>
      </c>
      <c r="D344" s="48">
        <f>DO_peak_g*M_O2</f>
        <v>2.934788844069</v>
      </c>
      <c r="E344" s="68" t="inlineStr">
        <is>
          <t xml:space="preserve">For the Summary.</t>
        </is>
      </c>
    </row>
    <row r="345">
      <c r="A345" s="17" t="inlineStr">
        <is>
          <t xml:space="preserve">Surface kLa required at the target DO — growth</t>
        </is>
      </c>
      <c r="B345" s="18" t="inlineStr">
        <is>
          <t xml:space="preserve">kLa_surf_req_g</t>
        </is>
      </c>
      <c r="C345" s="19" t="inlineStr">
        <is>
          <t xml:space="preserve">1/s</t>
        </is>
      </c>
      <c r="D345" s="48">
        <f>O2_src_g/(DO_target*3600*V_L_m3)</f>
        <v>0.003566106821</v>
      </c>
      <c r="E345" s="67" t="inlineStr">
        <is>
          <t xml:space="preserve">Below this no sparge interval can hold the target on this source.</t>
        </is>
      </c>
    </row>
    <row r="346">
      <c r="A346" s="17" t="inlineStr">
        <is>
          <t xml:space="preserve">kLa feasibility margin — growth</t>
        </is>
      </c>
      <c r="B346" s="18" t="inlineStr">
        <is>
          <t xml:space="preserve">kLa_margin_g</t>
        </is>
      </c>
      <c r="C346" s="19" t="inlineStr">
        <is>
          <t xml:space="preserve">×</t>
        </is>
      </c>
      <c r="D346" s="48">
        <f>kLa_surf_used/kLa_surf_req_g</f>
        <v>2.019037572031</v>
      </c>
      <c r="E346" s="67" t="inlineStr">
        <is>
          <t xml:space="preserve">kLa in use ÷ kLa required. Below 1 the target is unreachable on this phase at any interval.</t>
        </is>
      </c>
    </row>
    <row r="347">
      <c r="A347" s="20" t="inlineStr">
        <is>
          <t xml:space="preserve">DO target reachable? — growth</t>
        </is>
      </c>
      <c r="B347" s="18" t="inlineStr">
        <is>
          <t xml:space="preserve">DO_feas_g</t>
        </is>
      </c>
      <c r="C347" s="19" t="inlineStr">
        <is>
          <t xml:space="preserve">-</t>
        </is>
      </c>
      <c r="D347" s="28" t="str">
        <f>IF(kLa_margin_g&gt;=1,"reachable – kLa margin "&amp;TEXT(kLa_margin_g,"0.00")&amp;"×","UNREACHABLE at this surface kLa – margin "&amp;TEXT(kLa_margin_g,"0.00")&amp;"× (raise kL_surf, lower the current, or accept a higher DO)")</f>
        <v>reachable – kLa margin 2.02×</v>
      </c>
      <c r="E347" s="67" t="inlineStr">
        <is>
          <t xml:space="preserve">Feasibility verdict for this phase, independent of which phase the schedule is sized on.</t>
        </is>
      </c>
    </row>
    <row r="348">
      <c r="A348" s="20" t="inlineStr">
        <is>
          <t xml:space="preserve">Peak DO vs inhibition ceiling — growth</t>
        </is>
      </c>
      <c r="B348" s="18" t="inlineStr">
        <is>
          <t xml:space="preserve">DO_peak_chk_g</t>
        </is>
      </c>
      <c r="C348" s="19" t="inlineStr">
        <is>
          <t xml:space="preserve">-</t>
        </is>
      </c>
      <c r="D348" s="28" t="str">
        <f>IF(DO_peak_g&lt;=O2_ceil_C,"peak "&amp;TEXT(DO_peak_g_mgL,"0.0")&amp;" mg/L under the "&amp;TEXT(O2_ceil_C*M_O2,"0.0")&amp;" mg/L ceiling","PEAK "&amp;TEXT(DO_peak_g_mgL,"0.0")&amp;" mg/L OVER THE "&amp;TEXT(O2_ceil_C*M_O2,"0.0")&amp;" mg/L INHIBITION CEILING")</f>
        <v>peak 2.9 mg/L under the 11.7 mg/L ceiling</v>
      </c>
      <c r="E348" s="67" t="inlineStr">
        <is>
          <t xml:space="preserve">The sawtooth peak against the growth-inhibition ceiling (Biology D27). Not a tautology: the peak is not what the schedule is sized on.</t>
        </is>
      </c>
    </row>
    <row r="349">
      <c r="A349" s="17" t="inlineStr">
        <is>
          <t xml:space="preserve">Headspace O₂ inflow — lag</t>
        </is>
      </c>
      <c r="B349" s="18" t="inlineStr">
        <is>
          <t xml:space="preserve">S_O2_l</t>
        </is>
      </c>
      <c r="C349" s="19" t="inlineStr">
        <is>
          <t xml:space="preserve">mol/h</t>
        </is>
      </c>
      <c r="D349" s="48">
        <f>O2_src_l+y_O2_air*F_vent_ex</f>
        <v>5.749713627708e-05</v>
      </c>
      <c r="E349" s="67" t="inlineStr">
        <is>
          <t xml:space="preserve">O₂ entering the headspace: from the liquid (the whole source must leave this way at steady state) plus the O₂ in any exchanged air.</t>
        </is>
      </c>
    </row>
    <row r="350">
      <c r="A350" s="17" t="inlineStr">
        <is>
          <t xml:space="preserve">Net vent outflow, cycle mean — lag</t>
        </is>
      </c>
      <c r="B350" s="18" t="inlineStr">
        <is>
          <t xml:space="preserve">F_hs_net_l</t>
        </is>
      </c>
      <c r="C350" s="19" t="inlineStr">
        <is>
          <t xml:space="preserve">mol/h</t>
        </is>
      </c>
      <c r="D350" s="48">
        <f>CO2_supply+O2_src_l+H2_src_l-CO2_fix_l</f>
        <v>0.000861336235522</v>
      </c>
      <c r="E350" s="67" t="inlineStr">
        <is>
          <t xml:space="preserve">Everything entering the headspace over a cycle minus the fixation sink: the gas that must leave through the vent on average.</t>
        </is>
      </c>
    </row>
    <row r="351">
      <c r="A351" s="17" t="inlineStr">
        <is>
          <t xml:space="preserve">Mean-field headspace O₂ — lag</t>
        </is>
      </c>
      <c r="B351" s="18" t="inlineStr">
        <is>
          <t xml:space="preserve">y_O2_mf_l</t>
        </is>
      </c>
      <c r="C351" s="19" t="inlineStr">
        <is>
          <t xml:space="preserve">-</t>
        </is>
      </c>
      <c r="D351" s="48">
        <f>IF(F_vent_ex+F_hs_net_l&gt;0,S_O2_l/(F_vent_ex+F_hs_net_l),NA())</f>
        <v>0.064019231488</v>
      </c>
      <c r="E351" s="67" t="inlineStr">
        <is>
          <t xml:space="preserve">ONE headspace balance, flux-weighted: O₂ in ÷ all gas out (vent outflow plus exchange). Reduces to O₂/(O₂+CO₂) with no exchange, no H₂ and no fixation — the old D187. Biology D85 is the same balance on the lag source.</t>
        </is>
      </c>
    </row>
    <row r="352">
      <c r="A352" s="17" t="inlineStr">
        <is>
          <t xml:space="preserve">Mean-field headspace H₂ — lag</t>
        </is>
      </c>
      <c r="B352" s="18" t="inlineStr">
        <is>
          <t xml:space="preserve">y_H2_mf_l</t>
        </is>
      </c>
      <c r="C352" s="19" t="inlineStr">
        <is>
          <t xml:space="preserve">-</t>
        </is>
      </c>
      <c r="D352" s="48">
        <f>IF(F_vent_ex+F_hs_net_l&gt;0,H2_src_l/(F_vent_ex+F_hs_net_l),NA())</f>
        <v>0.113266761861</v>
      </c>
      <c r="E352" s="67" t="inlineStr">
        <is>
          <t xml:space="preserve">Same balance for H₂ (Biology D84 on the lag source).</t>
        </is>
      </c>
    </row>
    <row r="353">
      <c r="A353" s="17" t="inlineStr">
        <is>
          <t xml:space="preserve">Gas leaving between pulses — lag</t>
        </is>
      </c>
      <c r="B353" s="18" t="inlineStr">
        <is>
          <t xml:space="preserve">F_gap_l</t>
        </is>
      </c>
      <c r="C353" s="19" t="inlineStr">
        <is>
          <t xml:space="preserve">mol/h</t>
        </is>
      </c>
      <c r="D353" s="48">
        <f>F_vent_ex+MAX(0,O2_src_l+H2_src_l-CO2_fix_l)</f>
        <v>0.0001883044451254</v>
      </c>
      <c r="E353" s="67" t="inlineStr">
        <is>
          <t xml:space="preserve">What leaves the headspace during the gap: the exchange flow plus the net evolved gas that must be vented to hold 1 atm. Floored at zero — when fixation outpaces evolution the headspace merely sags, nothing leaves.</t>
        </is>
      </c>
    </row>
    <row r="354">
      <c r="A354" s="17" t="inlineStr">
        <is>
          <t xml:space="preserve">Headspace turnovers per gap — lag</t>
        </is>
      </c>
      <c r="B354" s="18" t="inlineStr">
        <is>
          <t xml:space="preserve">x_hs_l</t>
        </is>
      </c>
      <c r="C354" s="19" t="inlineStr">
        <is>
          <t xml:space="preserve">-</t>
        </is>
      </c>
      <c r="D354" s="48">
        <f>F_gap_l*t_gap_h/n_hs_gas</f>
        <v>0.264901073915</v>
      </c>
      <c r="E354" s="67" t="inlineStr">
        <is>
          <t xml:space="preserve">Dimensionless gap length for the headspace ramp.</t>
        </is>
      </c>
    </row>
    <row r="355">
      <c r="A355" s="17" t="inlineStr">
        <is>
          <t xml:space="preserve">Φ(x) = (1−e^−x)/x — lag</t>
        </is>
      </c>
      <c r="B355" s="18" t="inlineStr">
        <is>
          <t xml:space="preserve">phi_hs_l</t>
        </is>
      </c>
      <c r="C355" s="19" t="inlineStr">
        <is>
          <t xml:space="preserve">-</t>
        </is>
      </c>
      <c r="D355" s="48">
        <f>IF(x_hs_l&gt;0,(1-EXP(-x_hs_l))/x_hs_l,1)</f>
        <v>0.878509649469</v>
      </c>
      <c r="E355" s="67" t="inlineStr">
        <is>
          <t xml:space="preserve">Exponential-ramp helper; the limit at x → 0 is 1, which keeps the slow-vent case singularity-free.</t>
        </is>
      </c>
    </row>
    <row r="356">
      <c r="A356" s="17" t="inlineStr">
        <is>
          <t xml:space="preserve">Ψ(x) = (x−1+e^−x)/x² — lag</t>
        </is>
      </c>
      <c r="B356" s="18" t="inlineStr">
        <is>
          <t xml:space="preserve">psi_hs_l</t>
        </is>
      </c>
      <c r="C356" s="19" t="inlineStr">
        <is>
          <t xml:space="preserve">-</t>
        </is>
      </c>
      <c r="D356" s="48">
        <f>IF(x_hs_l&gt;0,(x_hs_l-1+EXP(-x_hs_l))/x_hs_l^2,1/2)</f>
        <v>0.458625360539</v>
      </c>
      <c r="E356" s="67" t="inlineStr">
        <is>
          <t xml:space="preserve">Time-mean helper for the same ramp; the limit at x → 0 is ½ (mean of a linear ramp).</t>
        </is>
      </c>
    </row>
    <row r="357">
      <c r="A357" s="17" t="inlineStr">
        <is>
          <t xml:space="preserve">O₂ rise per gap, undiluted — lag</t>
        </is>
      </c>
      <c r="B357" s="18" t="inlineStr">
        <is>
          <t xml:space="preserve">dy_O2_l</t>
        </is>
      </c>
      <c r="C357" s="19" t="inlineStr">
        <is>
          <t xml:space="preserve">-</t>
        </is>
      </c>
      <c r="D357" s="48">
        <f>S_O2_l*t_gap_h/n_hs_gas</f>
        <v>0.080885255453</v>
      </c>
      <c r="E357" s="67" t="inlineStr">
        <is>
          <t xml:space="preserve">Headspace O₂ fraction gained over one gap if nothing left.</t>
        </is>
      </c>
    </row>
    <row r="358">
      <c r="A358" s="17" t="inlineStr">
        <is>
          <t xml:space="preserve">Headspace O₂ just before a pulse — lag</t>
        </is>
      </c>
      <c r="B358" s="18" t="inlineStr">
        <is>
          <t xml:space="preserve">y_O2_end_l</t>
        </is>
      </c>
      <c r="C358" s="19" t="inlineStr">
        <is>
          <t xml:space="preserve">-</t>
        </is>
      </c>
      <c r="D358" s="48">
        <f>dy_O2_l*phi_hs_l/(1-flush_ret*EXP(-x_hs_l))</f>
        <v>0.09900408513</v>
      </c>
      <c r="E358" s="68" t="inlineStr">
        <is>
          <t xml:space="preserve">Periodic solution of n·dy/dt = S − y·L over the gap with each pulse retaining flush_ret of the headspace: the sawtooth top.</t>
        </is>
      </c>
    </row>
    <row r="359">
      <c r="A359" s="17" t="inlineStr">
        <is>
          <t xml:space="preserve">Headspace O₂ just after a pulse — lag</t>
        </is>
      </c>
      <c r="B359" s="18" t="inlineStr">
        <is>
          <t xml:space="preserve">y_O2_post_l</t>
        </is>
      </c>
      <c r="C359" s="19" t="inlineStr">
        <is>
          <t xml:space="preserve">-</t>
        </is>
      </c>
      <c r="D359" s="48">
        <f>y_O2_end_l*flush_ret</f>
        <v>0.036421567511</v>
      </c>
      <c r="E359" s="68" t="inlineStr">
        <is>
          <t xml:space="preserve">Sawtooth bottom.</t>
        </is>
      </c>
    </row>
    <row r="360">
      <c r="A360" s="17" t="inlineStr">
        <is>
          <t xml:space="preserve">Time-mean headspace O₂ — lag</t>
        </is>
      </c>
      <c r="B360" s="18" t="inlineStr">
        <is>
          <t xml:space="preserve">y_O2_avg_l</t>
        </is>
      </c>
      <c r="C360" s="19" t="inlineStr">
        <is>
          <t xml:space="preserve">-</t>
        </is>
      </c>
      <c r="D360" s="48">
        <f>y_O2_post_l*phi_hs_l+dy_O2_l*psi_hs_l</f>
        <v>0.069092727952</v>
      </c>
      <c r="E360" s="68" t="inlineStr">
        <is>
          <t xml:space="preserve">Exact time average of that ramp — what the liquid equilibrates with.</t>
        </is>
      </c>
    </row>
    <row r="361">
      <c r="A361" s="17" t="inlineStr">
        <is>
          <t xml:space="preserve">Mean-field DO — lag</t>
        </is>
      </c>
      <c r="B361" s="18" t="inlineStr">
        <is>
          <t xml:space="preserve">DO_mf_l</t>
        </is>
      </c>
      <c r="C361" s="19" t="inlineStr">
        <is>
          <t xml:space="preserve">mol/m³</t>
        </is>
      </c>
      <c r="D361" s="48">
        <f>DO_surf_excess_lag+H_O2_T*P_atm*y_O2_mf_l</f>
        <v>0.205900701595</v>
      </c>
      <c r="E361" s="67" t="inlineStr">
        <is>
          <t xml:space="preserve">Surface excess plus Henry equilibrium with the flux-mean headspace: the quantity the sizing (D184) holds at DO_target ÷ saw_factor.</t>
        </is>
      </c>
    </row>
    <row r="362">
      <c r="A362" s="17" t="inlineStr">
        <is>
          <t xml:space="preserve">Cycle-mean DO — lag</t>
        </is>
      </c>
      <c r="B362" s="18" t="inlineStr">
        <is>
          <t xml:space="preserve">DO_avg_l</t>
        </is>
      </c>
      <c r="C362" s="19" t="inlineStr">
        <is>
          <t xml:space="preserve">mol/m³</t>
        </is>
      </c>
      <c r="D362" s="48">
        <f>DO_surf_excess_lag+H_O2_T*P_atm*y_O2_avg_l</f>
        <v>0.212069565945</v>
      </c>
      <c r="E362" s="68" t="inlineStr">
        <is>
          <t xml:space="preserve">Surface excess plus equilibrium with the TIME-mean headspace: the time-mean of the liquid is exactly this (linear liquid balance).</t>
        </is>
      </c>
    </row>
    <row r="363">
      <c r="A363" s="17" t="inlineStr">
        <is>
          <t xml:space="preserve">Peak DO — lag</t>
        </is>
      </c>
      <c r="B363" s="18" t="inlineStr">
        <is>
          <t xml:space="preserve">DO_peak_l</t>
        </is>
      </c>
      <c r="C363" s="19" t="inlineStr">
        <is>
          <t xml:space="preserve">mol/m³</t>
        </is>
      </c>
      <c r="D363" s="48">
        <f>DO_surf_excess_lag+H_O2_T*P_atm*MAX(y_O2_avg_l,y_O2_end_l-(S_O2_l-F_gap_l*y_O2_end_l)/n_hs_gas*tau_L_h)</f>
        <v>0.231369990147</v>
      </c>
      <c r="E363" s="68" t="inlineStr">
        <is>
          <t xml:space="preserve">Liquid DO just before a pulse: the headspace top minus the lag of a first-order liquid (τ = 1/kLa) behind the end-of-gap ramp slope. Quasi-steady approximation, valid while the gap ≫ τ; floored at the cycle mean. Time-stepped check: within 4 % of the limit-cycle ODE in all four vent/phase cases.</t>
        </is>
      </c>
    </row>
    <row r="364">
      <c r="A364" s="17" t="inlineStr">
        <is>
          <t xml:space="preserve">Cycle-mean DO — lag (mg/L)</t>
        </is>
      </c>
      <c r="B364" s="18" t="inlineStr">
        <is>
          <t xml:space="preserve">DO_avg_l_mgL</t>
        </is>
      </c>
      <c r="C364" s="19" t="inlineStr">
        <is>
          <t xml:space="preserve">mg/L</t>
        </is>
      </c>
      <c r="D364" s="48">
        <f>DO_avg_l*M_O2</f>
        <v>6.785801971106</v>
      </c>
      <c r="E364" s="68" t="inlineStr">
        <is>
          <t xml:space="preserve">For the Summary.</t>
        </is>
      </c>
    </row>
    <row r="365">
      <c r="A365" s="17" t="inlineStr">
        <is>
          <t xml:space="preserve">Peak DO — lag (mg/L)</t>
        </is>
      </c>
      <c r="B365" s="18" t="inlineStr">
        <is>
          <t xml:space="preserve">DO_peak_l_mgL</t>
        </is>
      </c>
      <c r="C365" s="19" t="inlineStr">
        <is>
          <t xml:space="preserve">mg/L</t>
        </is>
      </c>
      <c r="D365" s="48">
        <f>DO_peak_l*M_O2</f>
        <v>7.403376944733</v>
      </c>
      <c r="E365" s="68" t="inlineStr">
        <is>
          <t xml:space="preserve">For the Summary.</t>
        </is>
      </c>
    </row>
    <row r="366">
      <c r="A366" s="17" t="inlineStr">
        <is>
          <t xml:space="preserve">Surface kLa required at the target DO — lag</t>
        </is>
      </c>
      <c r="B366" s="18" t="inlineStr">
        <is>
          <t xml:space="preserve">kLa_surf_req_l</t>
        </is>
      </c>
      <c r="C366" s="19" t="inlineStr">
        <is>
          <t xml:space="preserve">1/s</t>
        </is>
      </c>
      <c r="D366" s="48">
        <f>O2_src_l/(DO_target*3600*V_L_m3)</f>
        <v>0.011180382694</v>
      </c>
      <c r="E366" s="67" t="inlineStr">
        <is>
          <t xml:space="preserve">Below this no sparge interval can hold the target on this source.</t>
        </is>
      </c>
    </row>
    <row r="367">
      <c r="A367" s="17" t="inlineStr">
        <is>
          <t xml:space="preserve">kLa feasibility margin — lag</t>
        </is>
      </c>
      <c r="B367" s="18" t="inlineStr">
        <is>
          <t xml:space="preserve">kLa_margin_l</t>
        </is>
      </c>
      <c r="C367" s="19" t="inlineStr">
        <is>
          <t xml:space="preserve">×</t>
        </is>
      </c>
      <c r="D367" s="48">
        <f>kLa_surf_used/kLa_surf_req_l</f>
        <v>0.643994383246</v>
      </c>
      <c r="E367" s="67" t="inlineStr">
        <is>
          <t xml:space="preserve">kLa in use ÷ kLa required. Below 1 the target is unreachable on this phase at any interval.</t>
        </is>
      </c>
    </row>
    <row r="368">
      <c r="A368" s="20" t="inlineStr">
        <is>
          <t xml:space="preserve">DO target reachable? — lag</t>
        </is>
      </c>
      <c r="B368" s="18" t="inlineStr">
        <is>
          <t xml:space="preserve">DO_feas_l</t>
        </is>
      </c>
      <c r="C368" s="19" t="inlineStr">
        <is>
          <t xml:space="preserve">-</t>
        </is>
      </c>
      <c r="D368" s="28" t="str">
        <f>IF(kLa_margin_l&gt;=1,"reachable – kLa margin "&amp;TEXT(kLa_margin_l,"0.00")&amp;"×","UNREACHABLE at this surface kLa – margin "&amp;TEXT(kLa_margin_l,"0.00")&amp;"× (raise kL_surf, lower the current, or accept a higher DO)")</f>
        <v>UNREACHABLE at this surface kLa – margin 0.64× (raise kL_surf, lower the current, or accept a higher DO)</v>
      </c>
      <c r="E368" s="67" t="inlineStr">
        <is>
          <t xml:space="preserve">Feasibility verdict for this phase, independent of which phase the schedule is sized on.</t>
        </is>
      </c>
    </row>
    <row r="369">
      <c r="A369" s="20" t="inlineStr">
        <is>
          <t xml:space="preserve">Peak DO vs inhibition ceiling — lag</t>
        </is>
      </c>
      <c r="B369" s="18" t="inlineStr">
        <is>
          <t xml:space="preserve">DO_peak_chk_l</t>
        </is>
      </c>
      <c r="C369" s="19" t="inlineStr">
        <is>
          <t xml:space="preserve">-</t>
        </is>
      </c>
      <c r="D369" s="28" t="str">
        <f>IF(DO_peak_l&lt;=O2_ceil_C,"peak "&amp;TEXT(DO_peak_l_mgL,"0.0")&amp;" mg/L under the "&amp;TEXT(O2_ceil_C*M_O2,"0.0")&amp;" mg/L ceiling","PEAK "&amp;TEXT(DO_peak_l_mgL,"0.0")&amp;" mg/L OVER THE "&amp;TEXT(O2_ceil_C*M_O2,"0.0")&amp;" mg/L INHIBITION CEILING")</f>
        <v>peak 7.4 mg/L under the 11.7 mg/L ceiling</v>
      </c>
      <c r="E369" s="67" t="inlineStr">
        <is>
          <t xml:space="preserve">The sawtooth peak against the growth-inhibition ceiling (Biology D27). Not a tautology: the peak is not what the schedule is sized on.</t>
        </is>
      </c>
    </row>
    <row r="371">
      <c r="A371" s="17" t="inlineStr">
        <is>
          <t xml:space="preserve">Gas leaving between pulses — sizing phase</t>
        </is>
      </c>
      <c r="B371" s="18" t="inlineStr">
        <is>
          <t xml:space="preserve">F_gap_sched</t>
        </is>
      </c>
      <c r="C371" s="19" t="inlineStr">
        <is>
          <t xml:space="preserve">mol/h</t>
        </is>
      </c>
      <c r="D371" s="48">
        <f>IF(O2_sizing_phase=phase_name_1,F_gap_g,IF(O2_sizing_phase=phase_name_2,F_gap_l,NA()))</f>
        <v>3.67866400719e-05</v>
      </c>
      <c r="E371" s="67" t="inlineStr">
        <is>
          <t xml:space="preserve">Feeds the headspace turnover k_vent (D143) and hence the CO₂ pool decay.</t>
        </is>
      </c>
    </row>
    <row r="372">
      <c r="A372" s="17" t="inlineStr">
        <is>
          <t xml:space="preserve">Cycle-mean DO — sizing phase</t>
        </is>
      </c>
      <c r="B372" s="18" t="inlineStr">
        <is>
          <t xml:space="preserve">DO_avg_sched</t>
        </is>
      </c>
      <c r="C372" s="19" t="inlineStr">
        <is>
          <t xml:space="preserve">mol/m³</t>
        </is>
      </c>
      <c r="D372" s="48">
        <f>IF(O2_sizing_phase=phase_name_1,DO_avg_g,IF(O2_sizing_phase=phase_name_2,DO_avg_l,NA()))</f>
        <v>0.082341896405</v>
      </c>
      <c r="E372" s="68" t="inlineStr">
        <is>
          <t xml:space="preserve">Feeds D108 (DO_ss).</t>
        </is>
      </c>
    </row>
    <row r="373">
      <c r="A373" s="17" t="inlineStr">
        <is>
          <t xml:space="preserve">Peak DO — sizing phase</t>
        </is>
      </c>
      <c r="B373" s="18" t="inlineStr">
        <is>
          <t xml:space="preserve">DO_peak_sched</t>
        </is>
      </c>
      <c r="C373" s="19" t="inlineStr">
        <is>
          <t xml:space="preserve">mol/m³</t>
        </is>
      </c>
      <c r="D373" s="48">
        <f>IF(O2_sizing_phase=phase_name_1,DO_peak_g,IF(O2_sizing_phase=phase_name_2,DO_peak_l,NA()))</f>
        <v>0.091717883745</v>
      </c>
      <c r="E373" s="68" t="inlineStr">
        <is>
          <t xml:space="preserve">Feeds the organism-band check below and Summary D21.</t>
        </is>
      </c>
    </row>
    <row r="374">
      <c r="A374" s="20" t="inlineStr">
        <is>
          <t xml:space="preserve">DO vs organism band — mean vs optimum, peak vs impairment (sizing phase)</t>
        </is>
      </c>
      <c r="B374" s="18" t="inlineStr">
        <is>
          <t xml:space="preserve">DO_peak_band</t>
        </is>
      </c>
      <c r="C374" s="19" t="inlineStr">
        <is>
          <t xml:space="preserve">-</t>
        </is>
      </c>
      <c r="D374" s="28" t="str">
        <f>IF(AND(ISNUMBER(DO_opt),ISNUMBER(DO_impair)),IF(DO_peak_sched*M_O2&lt;DO_impair,"peak "&amp;TEXT(DO_peak_sched*M_O2,"0.0")&amp;" mg/L under impairment","PEAK "&amp;TEXT(DO_peak_sched*M_O2,"0.0")&amp;" mg/L OVER IMPAIRMENT")&amp;IF(DO_avg_sched*M_O2&lt;=DO_opt,"; mean "&amp;TEXT(DO_avg_sched*M_O2,"0.0")&amp;" mg/L at/under optimum","; MEAN "&amp;TEXT(DO_avg_sched*M_O2,"0.0")&amp;" mg/L ABOVE OPTIMUM"),IF(DO_peak_sched&lt;=O2_ceil_C,"organism band unknown – peak "&amp;TEXT(DO_peak_sched*M_O2,"0.0")&amp;" mg/L is under the inhibition ceiling","organism band unknown – PEAK "&amp;TEXT(DO_peak_sched*M_O2,"0.0")&amp;" mg/L OVER THE INHIBITION CEILING"))</f>
        <v>organism band unknown – peak 2.9 mg/L is under the inhibition ceiling</v>
      </c>
      <c r="E374" s="67" t="inlineStr">
        <is>
          <t xml:space="preserve">The Summary O₂ check, rule (a): each statistic against what it is for — the cycle MEAN (DO_avg_sched) against the organism optimum (the schedule is sized on the mean; the optimum is a time-averaged quantity) and the sawtooth PEAK (DO_peak_sched) against the impairment threshold (what a transient must stay under). With the band unmeasured, the peak is tested against the inhibition ceiling.</t>
        </is>
      </c>
    </row>
    <row r="375">
      <c r="A375" s="17" t="inlineStr">
        <is>
          <t xml:space="preserve">Gap CO₂ change, slow-vent limit</t>
        </is>
      </c>
      <c r="B375" s="18" t="inlineStr">
        <is>
          <t xml:space="preserve">pool_D_raw</t>
        </is>
      </c>
      <c r="C375" s="19" t="inlineStr">
        <is>
          <t xml:space="preserve">mol/m³</t>
        </is>
      </c>
      <c r="D375" s="48">
        <f>(C_air_CO2/C_sat_CO2*F_vent_ex-CO2_fix_sched)*t_gap_h/(V_L_m3+Vg_CO2)</f>
        <v>-0.139866823543</v>
      </c>
      <c r="E375" s="67" t="inlineStr">
        <is>
          <t xml:space="preserve">Pool concentration change over one gap if the decay were linear: CO₂ carried in by exchanged air (air is 0.04 % CO₂) minus carbon fixed, spread over the liquid plus headspace-equivalent volume. Negative = loss.</t>
        </is>
      </c>
    </row>
    <row r="376">
      <c r="A376" s="17" t="inlineStr">
        <is>
          <t xml:space="preserve">Pool turnovers per gap</t>
        </is>
      </c>
      <c r="B376" s="18" t="inlineStr">
        <is>
          <t xml:space="preserve">pool_x</t>
        </is>
      </c>
      <c r="C376" s="19" t="inlineStr">
        <is>
          <t xml:space="preserve">-</t>
        </is>
      </c>
      <c r="D376" s="48">
        <f>k_eff_CO2*t_off_CO2</f>
        <v>0.009083630066</v>
      </c>
      <c r="E376" s="67" t="inlineStr">
        <is>
          <t xml:space="preserve">k_eff·t_gap; pool_e (D197) is exp(−this).</t>
        </is>
      </c>
    </row>
    <row r="377">
      <c r="A377" s="17" t="inlineStr">
        <is>
          <t xml:space="preserve">Φ(x) — pool</t>
        </is>
      </c>
      <c r="B377" s="18" t="inlineStr">
        <is>
          <t xml:space="preserve">pool_phi</t>
        </is>
      </c>
      <c r="C377" s="19" t="inlineStr">
        <is>
          <t xml:space="preserve">-</t>
        </is>
      </c>
      <c r="D377" s="48">
        <f>IF(pool_x&gt;0,(1-EXP(-pool_x))/pool_x,1)</f>
        <v>0.99547190585</v>
      </c>
      <c r="E377" s="67" t="inlineStr">
        <is>
          <t xml:space="preserve">As phi_hs; limit 1 at x → 0 so an outflow-only growth headspace (nothing vented between pulses) stays singularity-free.</t>
        </is>
      </c>
    </row>
    <row r="378">
      <c r="A378" s="17" t="inlineStr">
        <is>
          <t xml:space="preserve">Ψ(x) — pool</t>
        </is>
      </c>
      <c r="B378" s="18" t="inlineStr">
        <is>
          <t xml:space="preserve">pool_psi</t>
        </is>
      </c>
      <c r="C378" s="19" t="inlineStr">
        <is>
          <t xml:space="preserve">-</t>
        </is>
      </c>
      <c r="D378" s="48">
        <f>IF(pool_x&gt;0,(pool_x-1+EXP(-pool_x))/pool_x^2,1/2)</f>
        <v>0.498489493433</v>
      </c>
      <c r="E378" s="67" t="inlineStr">
        <is>
          <t xml:space="preserve">As psi_hs; limit ½.</t>
        </is>
      </c>
    </row>
    <row r="379">
      <c r="A379" s="17" t="inlineStr">
        <is>
          <t xml:space="preserve">Gap CO₂ change</t>
        </is>
      </c>
      <c r="B379" s="18" t="inlineStr">
        <is>
          <t xml:space="preserve">pool_D_gap</t>
        </is>
      </c>
      <c r="C379" s="19" t="inlineStr">
        <is>
          <t xml:space="preserve">mol/m³</t>
        </is>
      </c>
      <c r="D379" s="48">
        <f>pool_D_raw*pool_phi</f>
        <v>-0.139233493397</v>
      </c>
      <c r="E379" s="67" t="inlineStr">
        <is>
          <t xml:space="preserve">The asymptote term of the exponential decay, written as D_raw·Φ so it needs no division by k_eff.</t>
        </is>
      </c>
    </row>
    <row r="380">
      <c r="A380" s="17" t="inlineStr">
        <is>
          <t xml:space="preserve">Pool share retained through a pulse</t>
        </is>
      </c>
      <c r="B380" s="18" t="inlineStr">
        <is>
          <t xml:space="preserve">pool_ret</t>
        </is>
      </c>
      <c r="C380" s="19" t="inlineStr">
        <is>
          <t xml:space="preserve">-</t>
        </is>
      </c>
      <c r="D380" s="48">
        <f>pool_a+(1-pool_a)*flush_ret</f>
        <v>0.889045202649</v>
      </c>
      <c r="E380" s="68" t="inlineStr">
        <is>
          <t xml:space="preserve">The liquid share survives the pulse untouched; of the headspace share, flush_ret survives the well-mixed flush. Replaces the hard-coded full displacement (R2-m3).</t>
        </is>
      </c>
    </row>
    <row r="381">
      <c r="A381" s="17" t="inlineStr">
        <is>
          <t xml:space="preserve">Mean-field headspace CO₂ — sizing phase (cross-check)</t>
        </is>
      </c>
      <c r="B381" s="18" t="inlineStr">
        <is>
          <t xml:space="preserve">y_CO2_mf</t>
        </is>
      </c>
      <c r="C381" s="19" t="inlineStr">
        <is>
          <t xml:space="preserve">-</t>
        </is>
      </c>
      <c r="D381" s="48">
        <f>IF(F_vent_ex+CO2_supply+O2_src_sched+H2_src_sched-CO2_fix_sched&gt;0,(CO2_supply-CO2_fix_sched+pCO2_air/P_atm*F_vent_ex)/(F_vent_ex+CO2_supply+O2_src_sched+H2_src_sched-CO2_fix_sched),NA())</f>
        <v>0.929374836165</v>
      </c>
      <c r="E381" s="67" t="inlineStr">
        <is>
          <t xml:space="preserve">The same flux balance as y_O2_mf, for CO₂. Diagnostic: the pool model (D198–D200) and this should agree to within the sawtooth; 96 % CO₂ in "Outflow only" at the optimal schedule.</t>
        </is>
      </c>
    </row>
    <row r="382">
      <c r="A382" s="17" t="inlineStr">
        <is>
          <t xml:space="preserve">Mean-field dissolved CO₂ (cross-check)</t>
        </is>
      </c>
      <c r="B382" s="18" t="inlineStr">
        <is>
          <t xml:space="preserve">C_CO2_mf</t>
        </is>
      </c>
      <c r="C382" s="19" t="inlineStr">
        <is>
          <t xml:space="preserve">mol/m³</t>
        </is>
      </c>
      <c r="D382" s="48">
        <f>y_CO2_mf*C_sat_CO2</f>
        <v>31.075738740549</v>
      </c>
      <c r="E382" s="67" t="inlineStr">
        <is>
          <t xml:space="preserve">Henry equilibrium with the flux-mean headspace CO₂; compare with CO2_cyc_avg_new (D200).</t>
        </is>
      </c>
    </row>
    <row r="383">
      <c r="A383" s="5" t="inlineStr">
        <is>
          <t xml:space="preserve">HEADSPACE BALANCE (cont.) — open vent and air ingress, anodic H₂ oxidation, pre-pulse H₂, vacuum check</t>
        </is>
      </c>
    </row>
    <row r="384">
      <c r="A384" s="17" t="inlineStr">
        <is>
          <t xml:space="preserve">  valid vent model 3</t>
        </is>
      </c>
      <c r="B384" s="18" t="inlineStr">
        <is>
          <t xml:space="preserve">vent_name_3</t>
        </is>
      </c>
      <c r="C384" s="19" t="inlineStr">
        <is>
          <t xml:space="preserve">-</t>
        </is>
      </c>
      <c r="D384" s="131" t="inlineStr">
        <is>
          <t xml:space="preserve">Open vent</t>
        </is>
      </c>
      <c r="E384" s="37" t="inlineStr">
        <is>
          <t xml:space="preserve">A plain needle or tube with no forced flow: air is drawn back after each pulse to refill what the liquid absorbs (no check valve), at the equivalent continuous ingress Q_backdraw (D385). Unsure which vent you have → this one.</t>
        </is>
      </c>
    </row>
    <row r="385">
      <c r="A385" s="17" t="inlineStr">
        <is>
          <t xml:space="preserve">Open-vent back-draw (equivalent continuous air ingress)</t>
        </is>
      </c>
      <c r="B385" s="18" t="inlineStr">
        <is>
          <t xml:space="preserve">Q_backdraw</t>
        </is>
      </c>
      <c r="C385" s="19" t="inlineStr">
        <is>
          <t xml:space="preserve">mL/min</t>
        </is>
      </c>
      <c r="D385" s="131">
        <v>0.015</v>
      </c>
      <c r="E385" s="69" t="inlineStr">
        <is>
          <t xml:space="preserve">ODE-equivalent pressure back-draw at the default schedule (review R4: limit-cycle ODE, open vent, no exchange, ≈0.16 mL of air per 12.7 min cycle). Schedule-dependent, coarse — measure (pressure-decay or headspace-O₂ tracer). Used only when vent_model = "Open vent".</t>
        </is>
      </c>
    </row>
    <row r="386">
      <c r="A386" s="17" t="inlineStr">
        <is>
          <t xml:space="preserve">Air ingress for the vent model in use</t>
        </is>
      </c>
      <c r="B386" s="18" t="inlineStr">
        <is>
          <t xml:space="preserve">Q_vent_used</t>
        </is>
      </c>
      <c r="C386" s="19" t="inlineStr">
        <is>
          <t xml:space="preserve">mL/min</t>
        </is>
      </c>
      <c r="D386" s="48">
        <f>IF(vent_model=vent_name_1,0,IF(vent_model=vent_name_3,Q_backdraw,IF(vent_model=vent_name_2,Q_vent,NA())))</f>
        <v>0.015</v>
      </c>
      <c r="E386" s="69" t="inlineStr">
        <is>
          <t xml:space="preserve">0 for "Outflow only" (check valve), Q_backdraw for "Open vent", the measured Q_vent for "Air exchange"; anything else #N/A by design. The vent is a continuum: 0 is a true check valve. Feeds F_vent_ex (D308) and Summary D113.</t>
        </is>
      </c>
    </row>
    <row r="387">
      <c r="A387" s="20" t="inlineStr">
        <is>
          <t xml:space="preserve">(import) H₂ oxidised at the anode</t>
        </is>
      </c>
      <c r="B387" s="20" t="inlineStr">
        <is>
          <t xml:space="preserve">H2_HOR_mt</t>
        </is>
      </c>
      <c r="C387" s="20" t="inlineStr">
        <is>
          <t xml:space="preserve">mol/h</t>
        </is>
      </c>
      <c r="D387" s="142">
        <f>Electrochemistry!$D$149</f>
        <v>0.0</v>
      </c>
      <c r="E387" s="135" t="inlineStr">
        <is>
          <t xml:space="preserve">Import from Electrochemistry!D149 (r_H2_HOR; 0 while f_HOR_anode is a data gap).</t>
        </is>
      </c>
    </row>
    <row r="388">
      <c r="A388" s="17" t="inlineStr">
        <is>
          <t xml:space="preserve">Headspace H₂ just before a pulse — lag</t>
        </is>
      </c>
      <c r="B388" s="18" t="inlineStr">
        <is>
          <t xml:space="preserve">y_H2_end_l</t>
        </is>
      </c>
      <c r="C388" s="19" t="inlineStr">
        <is>
          <t xml:space="preserve">-</t>
        </is>
      </c>
      <c r="D388" s="48">
        <f>H2_src_l*t_gap_h/n_hs_gas*phi_hs_l/(1-flush_ret*EXP(-x_hs_l))</f>
        <v>0.175164116673</v>
      </c>
      <c r="E388" s="68" t="inlineStr">
        <is>
          <t xml:space="preserve">The H₂ analogue of y_O2_end_l (D358): periodic sawtooth top of the lag headspace at the schedule in use (no H₂ in air). The flammability verdict uses the mean-field mix; this is how high the vial gets before each pulse.</t>
        </is>
      </c>
    </row>
    <row r="389">
      <c r="A389" s="17" t="inlineStr">
        <is>
          <t xml:space="preserve">Headspace pressure sag per cycle if the vent held a vacuum</t>
        </is>
      </c>
      <c r="B389" s="18" t="inlineStr">
        <is>
          <t xml:space="preserve">hs_sag</t>
        </is>
      </c>
      <c r="C389" s="19" t="inlineStr">
        <is>
          <t xml:space="preserve">-</t>
        </is>
      </c>
      <c r="D389" s="48">
        <f>(pool_a*(C_cycle_peak-C_cycle_start)*(V_L_m3+Vg_CO2)+MAX(0,CO2_fix_sched-O2_src_sched-H2_src_sched)*t_gap_h)/n_hs_gas</f>
        <v>0.059351496276</v>
      </c>
      <c r="E389" s="68" t="inlineStr">
        <is>
          <t xml:space="preserve">Upper bound on the per-gap pressure deficit (fraction of 1 atm) that an outflow-only (check-valve) headspace implies: the CO₂ the liquid absorbs after each pulse plus the fixation that outruns gas evolution, over the headspace inventory. The limit-cycle ODE gives somewhat less (≈0.022 vs ≈0.03 at the outflow-only default).</t>
        </is>
      </c>
    </row>
    <row r="390">
      <c r="A390" s="17" t="inlineStr">
        <is>
          <t xml:space="preserve">Largest sag a sealed cap is taken to hold</t>
        </is>
      </c>
      <c r="B390" s="18" t="inlineStr">
        <is>
          <t xml:space="preserve">hs_sag_max</t>
        </is>
      </c>
      <c r="C390" s="19" t="inlineStr">
        <is>
          <t xml:space="preserve">-</t>
        </is>
      </c>
      <c r="D390" s="131">
        <v>0.05</v>
      </c>
      <c r="E390" s="68" t="inlineStr">
        <is>
          <t xml:space="preserve">Design assumption: the per-cycle pressure deficit (≈5 kPa) a check valve or sealed cap is taken to hold without drawing air back. Confirm on the hardware.</t>
        </is>
      </c>
    </row>
    <row r="391">
      <c r="A391" s="20" t="inlineStr">
        <is>
          <t xml:space="preserve">Outflow-only headspace physically plausible?</t>
        </is>
      </c>
      <c r="B391" s="18" t="inlineStr">
        <is>
          <t xml:space="preserve">hs_sag_chk</t>
        </is>
      </c>
      <c r="C391" s="19" t="inlineStr">
        <is>
          <t xml:space="preserve">-</t>
        </is>
      </c>
      <c r="D391" s="28" t="str">
        <f>IF(F_vent_ex&gt;0,"n/a – the vent admits air (Open vent / Air exchange), so the headspace refills",IF(hs_sag&gt;hs_sag_max,"HEADSPACE SAGS "&amp;TEXT(hs_sag,"0%")&amp;" below 1 atm each cycle – a real cap will draw air back: use Open vent or Air exchange","OK – sag "&amp;TEXT(hs_sag,"0%")&amp;" per cycle, within what a sealed cap holds"))</f>
        <v>n/a – the vent admits air (Open vent / Air exchange), so the headspace refills</v>
      </c>
      <c r="E391" s="67" t="inlineStr">
        <is>
          <t xml:space="preserve">Flags the vacuum the check-valve model needs. When it fires, "Outflow only" is not a physical description of the vial.</t>
        </is>
      </c>
    </row>
    <row r="392">
      <c r="A392" s="20" t="inlineStr">
        <is>
          <t xml:space="preserve">(import) sparge duration override</t>
        </is>
      </c>
      <c r="B392" s="20" t="inlineStr">
        <is>
          <t xml:space="preserve">override_spg_dur_s</t>
        </is>
      </c>
      <c r="C392" s="20" t="inlineStr">
        <is>
          <t xml:space="preserve">s</t>
        </is>
      </c>
      <c r="D392" s="142">
        <f>Summary!$G$13</f>
        <v>0.0</v>
      </c>
      <c r="E392" s="135" t="inlineStr">
        <is>
          <t xml:space="preserve">→ Summary (override_spg_dur_s)</t>
        </is>
      </c>
    </row>
    <row r="393">
      <c r="A393" s="20" t="inlineStr">
        <is>
          <t xml:space="preserve">(import) sparge interval override</t>
        </is>
      </c>
      <c r="B393" s="20" t="inlineStr">
        <is>
          <t xml:space="preserve">override_spg_int_min</t>
        </is>
      </c>
      <c r="C393" s="20" t="inlineStr">
        <is>
          <t xml:space="preserve">min</t>
        </is>
      </c>
      <c r="D393" s="142">
        <f>Summary!$G$15</f>
        <v>0.0</v>
      </c>
      <c r="E393" s="135" t="inlineStr">
        <is>
          <t xml:space="preserve">→ Summary (override_spg_int_min)</t>
        </is>
      </c>
    </row>
  </sheetData>
  <conditionalFormatting sqref="D32">
    <cfRule type="colorScale" priority="9">
      <colorScale>
        <cfvo type="num" val="0.1"/>
        <cfvo type="num" val="1"/>
        <cfvo type="num" val="2"/>
        <color rgb="FFF8696B"/>
        <color rgb="FFFFEB84"/>
        <color rgb="FF63BE7B"/>
      </colorScale>
    </cfRule>
  </conditionalFormatting>
  <conditionalFormatting sqref="D39">
    <cfRule type="colorScale" priority="12">
      <colorScale>
        <cfvo type="num" val="0"/>
        <cfvo type="num" val="2"/>
        <cfvo type="num" val="4"/>
        <color rgb="FF63BE7B"/>
        <color rgb="FFFFEB84"/>
        <color rgb="FFF8696B"/>
      </colorScale>
    </cfRule>
  </conditionalFormatting>
  <conditionalFormatting sqref="D41">
    <cfRule type="colorScale" priority="10">
      <colorScale>
        <cfvo type="num" val="5"/>
        <cfvo type="num" val="15"/>
        <cfvo type="num" val="60"/>
        <color rgb="FFF8696B"/>
        <color rgb="FFFFEB84"/>
        <color rgb="FF63BE7B"/>
      </colorScale>
    </cfRule>
  </conditionalFormatting>
  <conditionalFormatting sqref="D51">
    <cfRule type="colorScale" priority="8">
      <colorScale>
        <cfvo type="num" val="0.5"/>
        <cfvo type="num" val="1"/>
        <cfvo type="num" val="3"/>
        <color rgb="FFF8696B"/>
        <color rgb="FFFFEB84"/>
        <color rgb="FF63BE7B"/>
      </colorScale>
    </cfRule>
  </conditionalFormatting>
  <conditionalFormatting sqref="D55">
    <cfRule type="colorScale" priority="7">
      <colorScale>
        <cfvo type="num" val="0.5"/>
        <cfvo type="num" val="1"/>
        <cfvo type="num" val="3"/>
        <color rgb="FFF8696B"/>
        <color rgb="FFFFEB84"/>
        <color rgb="FF63BE7B"/>
      </colorScale>
    </cfRule>
  </conditionalFormatting>
  <conditionalFormatting sqref="D56">
    <cfRule type="colorScale" priority="11">
      <colorScale>
        <cfvo type="num" val="5"/>
        <cfvo type="num" val="15"/>
        <cfvo type="num" val="60"/>
        <color rgb="FFF8696B"/>
        <color rgb="FFFFEB84"/>
        <color rgb="FF63BE7B"/>
      </colorScale>
    </cfRule>
  </conditionalFormatting>
  <conditionalFormatting sqref="D59">
    <cfRule type="cellIs" dxfId="6" priority="1" operator="equal">
      <formula>"OK"</formula>
    </cfRule>
    <cfRule type="cellIs" dxfId="5" priority="2" operator="equal">
      <formula>"RISK"</formula>
    </cfRule>
  </conditionalFormatting>
  <conditionalFormatting sqref="D64">
    <cfRule type="expression" dxfId="4" priority="16">
      <formula>ISNUMBER(SEARCH("OOR",D64))</formula>
    </cfRule>
  </conditionalFormatting>
  <conditionalFormatting sqref="D95">
    <cfRule type="cellIs" dxfId="3" priority="5" operator="equal">
      <formula>"OK"</formula>
    </cfRule>
    <cfRule type="cellIs" dxfId="2" priority="6" operator="equal">
      <formula>"TIGHT"</formula>
    </cfRule>
  </conditionalFormatting>
  <conditionalFormatting sqref="D110:D112">
    <cfRule type="expression" dxfId="1" priority="14">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0" priority="15">
      <formula>OR(ISNUMBER(SEARCH("OK",D110)),ISNUMBER(SEARCH("calibrated",D110)),ISNUMBER(SEARCH("under optimum",D110)),ISNUMBER(SEARCH("above min",D110)),ISNUMBER(SEARCH("exact",D110)))</formula>
    </cfRule>
  </conditionalFormatting>
  <dataValidations count="1">
    <dataValidation type="list" allowBlank="1" showErrorMessage="1" errorTitle="Invalid value" error="Choose Optimal or Manual." sqref="D81">
      <formula1>"Optimal,Manual"</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Q76"/>
  <sheetViews>
    <sheetView workbookViewId="0"/>
  </sheetViews>
  <sheetFormatPr baseColWidth="10" defaultRowHeight="15" x14ac:dyDescent="0.2"/>
  <cols>
    <col min="1" max="9" width="15" customWidth="1"/>
    <col min="10" max="10" width="14.33203125" bestFit="1" customWidth="1"/>
    <col min="12" max="12" width="62.1640625" bestFit="1" customWidth="1"/>
  </cols>
  <sheetData>
    <row r="1" spans="1:17" ht="16" customHeight="1" x14ac:dyDescent="0.2">
      <c r="A1" s="4" t="s">
        <v>0</v>
      </c>
      <c r="B1" s="3"/>
      <c r="C1" s="3"/>
      <c r="D1" s="3"/>
      <c r="E1" s="3"/>
      <c r="F1" s="3"/>
      <c r="G1" s="3"/>
      <c r="H1" s="3"/>
      <c r="I1" s="3"/>
      <c r="J1" s="3"/>
      <c r="K1" s="3"/>
      <c r="L1" s="3"/>
      <c r="M1" s="3"/>
      <c r="N1" s="3"/>
      <c r="O1" s="3"/>
      <c r="P1" s="3"/>
      <c r="Q1" s="3"/>
    </row>
    <row r="2" spans="1:17" x14ac:dyDescent="0.2">
      <c r="A2" s="5" t="s">
        <v>1</v>
      </c>
      <c r="B2" s="5" t="s">
        <v>2</v>
      </c>
      <c r="C2" s="5" t="s">
        <v>3</v>
      </c>
      <c r="D2" s="5" t="s">
        <v>4</v>
      </c>
      <c r="E2" s="5" t="s">
        <v>5</v>
      </c>
      <c r="F2" s="5" t="s">
        <v>6</v>
      </c>
      <c r="G2" s="5" t="s">
        <v>7</v>
      </c>
      <c r="H2" s="5" t="s">
        <v>8</v>
      </c>
      <c r="I2" s="5" t="s">
        <v>9</v>
      </c>
      <c r="J2" s="5" t="s">
        <v>10</v>
      </c>
      <c r="K2" s="3"/>
      <c r="L2" s="7" t="s">
        <v>11</v>
      </c>
      <c r="M2" s="3"/>
      <c r="N2" s="6"/>
      <c r="O2" s="3"/>
      <c r="P2" s="3"/>
      <c r="Q2" s="3"/>
    </row>
    <row r="3" spans="1:17" x14ac:dyDescent="0.2">
      <c r="A3" s="5"/>
      <c r="B3" s="5"/>
      <c r="C3" s="5" t="inlineStr">
        <is>
          <t xml:space="preserve">mL</t>
        </is>
      </c>
      <c r="D3" s="5" t="inlineStr">
        <is>
          <t xml:space="preserve">mL</t>
        </is>
      </c>
      <c r="E3" s="5" t="inlineStr">
        <is>
          <t xml:space="preserve">mL</t>
        </is>
      </c>
      <c r="F3" s="5" t="s">
        <v>13</v>
      </c>
      <c r="G3" s="5" t="inlineStr">
        <is>
          <t xml:space="preserve">mL/s</t>
        </is>
      </c>
      <c r="H3" s="5" t="inlineStr">
        <is>
          <t xml:space="preserve">mL/s</t>
        </is>
      </c>
      <c r="I3" s="5" t="s">
        <v>13</v>
      </c>
      <c r="J3" s="5" t="inlineStr">
        <is>
          <t xml:space="preserve">mL/s</t>
        </is>
      </c>
      <c r="K3" s="3"/>
      <c r="L3" s="8" t="s">
        <v>15</v>
      </c>
      <c r="M3" s="3"/>
      <c r="N3" s="6"/>
      <c r="O3" s="6"/>
      <c r="P3" s="6"/>
      <c r="Q3" s="6"/>
    </row>
    <row r="4" spans="1:17" x14ac:dyDescent="0.2">
      <c r="A4" s="3" t="s">
        <v>16</v>
      </c>
      <c r="B4" s="9">
        <v>46190</v>
      </c>
      <c r="C4" s="3">
        <v>50</v>
      </c>
      <c r="D4" s="3">
        <v>0</v>
      </c>
      <c r="E4" s="3"/>
      <c r="F4" s="3"/>
      <c r="G4" s="3"/>
      <c r="H4" s="3"/>
      <c r="I4" s="3">
        <v>0.25</v>
      </c>
      <c r="J4" s="3">
        <v>3.33</v>
      </c>
      <c r="K4" s="3"/>
      <c r="L4" s="10" t="s">
        <v>17</v>
      </c>
      <c r="M4" s="3"/>
      <c r="N4" s="3"/>
      <c r="O4" s="11"/>
      <c r="P4" s="12"/>
      <c r="Q4" s="3"/>
    </row>
    <row r="5" spans="1:17" x14ac:dyDescent="0.2">
      <c r="A5" s="3" t="s">
        <v>16</v>
      </c>
      <c r="B5" s="9">
        <v>46190</v>
      </c>
      <c r="C5" s="3">
        <v>50</v>
      </c>
      <c r="D5" s="3">
        <v>50</v>
      </c>
      <c r="E5" s="8">
        <f>D5-D4</f>
        <v>50.0</v>
      </c>
      <c r="F5" s="8">
        <v>15</v>
      </c>
      <c r="G5" s="3">
        <f>E5/F5</f>
        <v>3.333333333333</v>
      </c>
      <c r="H5" s="3">
        <f>AVERAGE(G5)</f>
        <v>3.333333333333</v>
      </c>
      <c r="I5" s="3"/>
      <c r="J5" s="3"/>
      <c r="K5" s="3"/>
      <c r="L5" s="3"/>
      <c r="M5" s="3"/>
      <c r="N5" s="13"/>
      <c r="O5" s="3"/>
      <c r="P5" s="3"/>
      <c r="Q5" s="3"/>
    </row>
    <row r="6" spans="1:17" x14ac:dyDescent="0.2">
      <c r="A6" s="3" t="s">
        <v>16</v>
      </c>
      <c r="B6" s="9">
        <v>46190</v>
      </c>
      <c r="C6" s="3">
        <v>50</v>
      </c>
      <c r="D6" s="3">
        <v>0</v>
      </c>
      <c r="E6" s="3"/>
      <c r="F6" s="3"/>
      <c r="G6" s="3"/>
      <c r="H6" s="3"/>
      <c r="I6" s="3"/>
      <c r="J6" s="3"/>
      <c r="K6" s="7" t="s">
        <v>18</v>
      </c>
      <c r="L6" s="7" t="s">
        <v>19</v>
      </c>
      <c r="M6" s="3"/>
      <c r="N6" s="3"/>
      <c r="O6" s="3"/>
      <c r="P6" s="3"/>
      <c r="Q6" s="3"/>
    </row>
    <row r="7" spans="1:17" x14ac:dyDescent="0.2">
      <c r="A7" s="3" t="s">
        <v>16</v>
      </c>
      <c r="B7" s="9">
        <v>46190</v>
      </c>
      <c r="C7" s="3">
        <v>50</v>
      </c>
      <c r="D7" s="3">
        <v>12</v>
      </c>
      <c r="E7" s="3">
        <f>D7-D6</f>
        <v>12.0</v>
      </c>
      <c r="F7" s="3">
        <v>4</v>
      </c>
      <c r="G7" s="3">
        <f>E7/F7</f>
        <v>3.0</v>
      </c>
      <c r="H7" s="3">
        <f>AVERAGE(G7:G9)</f>
        <v>3.333333333333</v>
      </c>
      <c r="I7" s="3"/>
      <c r="J7" s="3"/>
      <c r="K7" s="3" t="s">
        <v>20</v>
      </c>
      <c r="L7" s="3" t="inlineStr">
        <is>
          <t xml:space="preserve">CO2 collected in measuring cylinder over CO2-saturated water</t>
        </is>
      </c>
      <c r="M7" s="3"/>
      <c r="N7" s="6"/>
      <c r="O7" s="3"/>
      <c r="P7" s="3"/>
      <c r="Q7" s="3"/>
    </row>
    <row r="8" spans="1:17" x14ac:dyDescent="0.2">
      <c r="A8" s="3" t="s">
        <v>16</v>
      </c>
      <c r="B8" s="9">
        <v>46190</v>
      </c>
      <c r="C8" s="3">
        <v>50</v>
      </c>
      <c r="D8" s="3">
        <v>26</v>
      </c>
      <c r="E8" s="3">
        <f>D8-D7</f>
        <v>14.0</v>
      </c>
      <c r="F8" s="3">
        <v>4</v>
      </c>
      <c r="G8" s="3">
        <f>E8/F8</f>
        <v>3.5</v>
      </c>
      <c r="H8" s="3"/>
      <c r="I8" s="3"/>
      <c r="J8" s="3"/>
      <c r="K8" s="9">
        <v>46190</v>
      </c>
      <c r="L8" s="3" t="s">
        <v>22</v>
      </c>
      <c r="M8" s="3"/>
      <c r="N8" s="3"/>
      <c r="O8" s="3"/>
      <c r="P8" s="3"/>
      <c r="Q8" s="3"/>
    </row>
    <row r="9" spans="1:17" x14ac:dyDescent="0.2">
      <c r="A9" s="3" t="s">
        <v>16</v>
      </c>
      <c r="B9" s="9">
        <v>46190</v>
      </c>
      <c r="C9" s="3">
        <v>50</v>
      </c>
      <c r="D9" s="3">
        <v>40</v>
      </c>
      <c r="E9" s="3">
        <f>D9-D8</f>
        <v>14.0</v>
      </c>
      <c r="F9" s="3">
        <v>4</v>
      </c>
      <c r="G9" s="3">
        <f>E9/F9</f>
        <v>3.5</v>
      </c>
      <c r="H9" s="3"/>
      <c r="I9" s="3"/>
      <c r="J9" s="3"/>
      <c r="K9" s="9">
        <v>46190</v>
      </c>
      <c r="L9" s="3" t="inlineStr">
        <is>
          <t xml:space="preserve">Collected over saturated NaHCO3 solution</t>
        </is>
      </c>
      <c r="M9" s="3"/>
      <c r="N9" s="3"/>
      <c r="O9" s="3"/>
      <c r="P9" s="3"/>
      <c r="Q9" s="3"/>
    </row>
    <row r="10" spans="1:17" x14ac:dyDescent="0.2">
      <c r="A10" s="3" t="s">
        <v>16</v>
      </c>
      <c r="B10" s="9">
        <v>46190</v>
      </c>
      <c r="C10" s="3">
        <v>50</v>
      </c>
      <c r="D10" s="3">
        <v>0</v>
      </c>
      <c r="E10" s="3"/>
      <c r="F10" s="3"/>
      <c r="G10" s="3"/>
      <c r="H10" s="3"/>
      <c r="I10" s="3"/>
      <c r="J10" s="3"/>
      <c r="K10" s="3"/>
      <c r="L10" s="3"/>
      <c r="M10" s="3"/>
      <c r="N10" s="3"/>
      <c r="O10" s="3"/>
      <c r="P10" s="3"/>
      <c r="Q10" s="3"/>
    </row>
    <row r="11" spans="1:17" x14ac:dyDescent="0.2">
      <c r="A11" s="3" t="s">
        <v>16</v>
      </c>
      <c r="B11" s="9">
        <v>46190</v>
      </c>
      <c r="C11" s="3">
        <v>50</v>
      </c>
      <c r="D11" s="3">
        <v>6</v>
      </c>
      <c r="E11" s="3">
        <f t="shared" ref="E11:E16" si="0">D11-D10</f>
        <v>6.0</v>
      </c>
      <c r="F11" s="3">
        <v>2</v>
      </c>
      <c r="G11" s="3">
        <f t="shared" ref="G11:G16" si="1">E11/F11</f>
        <v>3.0</v>
      </c>
      <c r="H11" s="3">
        <f>AVERAGE(G11:G16)</f>
        <v>3.75</v>
      </c>
      <c r="I11" s="3"/>
      <c r="J11" s="3"/>
      <c r="K11" s="3"/>
      <c r="L11" s="3"/>
      <c r="M11" s="3"/>
      <c r="N11" s="3"/>
      <c r="O11" s="3"/>
      <c r="P11" s="3"/>
      <c r="Q11" s="3"/>
    </row>
    <row r="12" spans="1:17" x14ac:dyDescent="0.2">
      <c r="A12" s="3" t="s">
        <v>16</v>
      </c>
      <c r="B12" s="9">
        <v>46190</v>
      </c>
      <c r="C12" s="3">
        <v>50</v>
      </c>
      <c r="D12" s="3">
        <v>15</v>
      </c>
      <c r="E12" s="3">
        <f t="shared" si="0"/>
        <v>9.0</v>
      </c>
      <c r="F12" s="3">
        <v>2</v>
      </c>
      <c r="G12" s="3">
        <f t="shared" si="1"/>
        <v>4.5</v>
      </c>
      <c r="H12" s="3"/>
      <c r="I12" s="3"/>
      <c r="J12" s="3"/>
      <c r="K12" s="3"/>
      <c r="L12" s="3"/>
      <c r="M12" s="3"/>
      <c r="N12" s="3"/>
      <c r="O12" s="3"/>
      <c r="P12" s="3"/>
      <c r="Q12" s="3"/>
    </row>
    <row r="13" spans="1:17" x14ac:dyDescent="0.2">
      <c r="A13" s="3" t="s">
        <v>16</v>
      </c>
      <c r="B13" s="9">
        <v>46190</v>
      </c>
      <c r="C13" s="3">
        <v>50</v>
      </c>
      <c r="D13" s="3">
        <v>21</v>
      </c>
      <c r="E13" s="3">
        <f t="shared" si="0"/>
        <v>6.0</v>
      </c>
      <c r="F13" s="3">
        <v>2</v>
      </c>
      <c r="G13" s="3">
        <f t="shared" si="1"/>
        <v>3.0</v>
      </c>
      <c r="H13" s="3"/>
      <c r="I13" s="3"/>
      <c r="J13" s="3"/>
      <c r="K13" s="3"/>
      <c r="L13" s="3"/>
      <c r="M13" s="3"/>
      <c r="N13" s="3"/>
      <c r="O13" s="3"/>
      <c r="P13" s="3"/>
      <c r="Q13" s="3"/>
    </row>
    <row r="14" spans="1:17" x14ac:dyDescent="0.2">
      <c r="A14" s="3" t="s">
        <v>16</v>
      </c>
      <c r="B14" s="9">
        <v>46190</v>
      </c>
      <c r="C14" s="3">
        <v>50</v>
      </c>
      <c r="D14" s="3">
        <v>29</v>
      </c>
      <c r="E14" s="3">
        <f t="shared" si="0"/>
        <v>8.0</v>
      </c>
      <c r="F14" s="3">
        <v>2</v>
      </c>
      <c r="G14" s="3">
        <f t="shared" si="1"/>
        <v>4.0</v>
      </c>
      <c r="H14" s="3"/>
      <c r="I14" s="3"/>
      <c r="J14" s="3"/>
      <c r="K14" s="3"/>
      <c r="L14" s="3"/>
      <c r="M14" s="3"/>
      <c r="N14" s="3"/>
      <c r="O14" s="3"/>
      <c r="P14" s="3"/>
      <c r="Q14" s="3"/>
    </row>
    <row r="15" spans="1:17" x14ac:dyDescent="0.2">
      <c r="A15" s="3" t="s">
        <v>16</v>
      </c>
      <c r="B15" s="9">
        <v>46190</v>
      </c>
      <c r="C15" s="3">
        <v>50</v>
      </c>
      <c r="D15" s="3">
        <v>35</v>
      </c>
      <c r="E15" s="3">
        <f t="shared" si="0"/>
        <v>6.0</v>
      </c>
      <c r="F15" s="3">
        <v>2</v>
      </c>
      <c r="G15" s="3">
        <f t="shared" si="1"/>
        <v>3.0</v>
      </c>
      <c r="H15" s="3"/>
      <c r="I15" s="3"/>
      <c r="J15" s="3"/>
      <c r="K15" s="3"/>
      <c r="L15" s="3"/>
      <c r="M15" s="3"/>
      <c r="N15" s="3"/>
      <c r="O15" s="3"/>
      <c r="P15" s="3"/>
      <c r="Q15" s="3"/>
    </row>
    <row r="16" spans="1:17" x14ac:dyDescent="0.2">
      <c r="A16" s="3" t="s">
        <v>16</v>
      </c>
      <c r="B16" s="9">
        <v>46190</v>
      </c>
      <c r="C16" s="3">
        <v>50</v>
      </c>
      <c r="D16" s="3">
        <v>45</v>
      </c>
      <c r="E16" s="3">
        <f t="shared" si="0"/>
        <v>10.0</v>
      </c>
      <c r="F16" s="3">
        <v>2</v>
      </c>
      <c r="G16" s="3">
        <f t="shared" si="1"/>
        <v>5.0</v>
      </c>
      <c r="H16" s="3"/>
      <c r="I16" s="3"/>
      <c r="J16" s="3"/>
      <c r="K16" s="3"/>
      <c r="L16" s="3"/>
      <c r="M16" s="3"/>
      <c r="N16" s="3"/>
      <c r="O16" s="3"/>
      <c r="P16" s="3"/>
      <c r="Q16" s="3"/>
    </row>
    <row r="17" spans="1:17" x14ac:dyDescent="0.2">
      <c r="A17" s="3" t="s">
        <v>16</v>
      </c>
      <c r="B17" s="9">
        <v>46190</v>
      </c>
      <c r="C17" s="3">
        <v>50</v>
      </c>
      <c r="D17" s="3">
        <v>0</v>
      </c>
      <c r="E17" s="3"/>
      <c r="F17" s="3"/>
      <c r="G17" s="3"/>
      <c r="H17" s="3"/>
      <c r="I17" s="3"/>
      <c r="J17" s="3"/>
      <c r="K17" s="3"/>
      <c r="L17" s="3"/>
      <c r="M17" s="3"/>
      <c r="N17" s="3"/>
      <c r="O17" s="3"/>
      <c r="P17" s="3"/>
      <c r="Q17" s="3"/>
    </row>
    <row r="18" spans="1:17" x14ac:dyDescent="0.2">
      <c r="A18" s="3" t="s">
        <v>16</v>
      </c>
      <c r="B18" s="9">
        <v>46190</v>
      </c>
      <c r="C18" s="3">
        <v>50</v>
      </c>
      <c r="D18" s="3">
        <v>4</v>
      </c>
      <c r="E18" s="3">
        <f t="shared" ref="E18:E23" si="2">D18-D17</f>
        <v>4.0</v>
      </c>
      <c r="F18" s="3">
        <v>1</v>
      </c>
      <c r="G18" s="3">
        <f t="shared" ref="G18:G23" si="3">E18/F18</f>
        <v>4.0</v>
      </c>
      <c r="H18" s="3">
        <f>AVERAGE(G18:G23)</f>
        <v>3.833333333333</v>
      </c>
      <c r="I18" s="3"/>
      <c r="J18" s="3"/>
      <c r="K18" s="3"/>
      <c r="L18" s="3"/>
      <c r="M18" s="3"/>
      <c r="N18" s="3"/>
      <c r="O18" s="3"/>
      <c r="P18" s="3"/>
      <c r="Q18" s="3"/>
    </row>
    <row r="19" spans="1:17" x14ac:dyDescent="0.2">
      <c r="A19" s="3" t="s">
        <v>16</v>
      </c>
      <c r="B19" s="9">
        <v>46190</v>
      </c>
      <c r="C19" s="3">
        <v>50</v>
      </c>
      <c r="D19" s="3">
        <v>8</v>
      </c>
      <c r="E19" s="3">
        <f t="shared" si="2"/>
        <v>4.0</v>
      </c>
      <c r="F19" s="3">
        <v>1</v>
      </c>
      <c r="G19" s="3">
        <f t="shared" si="3"/>
        <v>4.0</v>
      </c>
      <c r="H19" s="3"/>
      <c r="I19" s="3"/>
      <c r="J19" s="3"/>
      <c r="K19" s="3"/>
      <c r="L19" s="3"/>
      <c r="M19" s="3"/>
      <c r="N19" s="3"/>
      <c r="O19" s="3"/>
      <c r="P19" s="3"/>
      <c r="Q19" s="3"/>
    </row>
    <row r="20" spans="1:17" x14ac:dyDescent="0.2">
      <c r="A20" s="3" t="s">
        <v>16</v>
      </c>
      <c r="B20" s="9">
        <v>46190</v>
      </c>
      <c r="C20" s="3">
        <v>50</v>
      </c>
      <c r="D20" s="3">
        <v>11</v>
      </c>
      <c r="E20" s="3">
        <f t="shared" si="2"/>
        <v>3.0</v>
      </c>
      <c r="F20" s="3">
        <v>1</v>
      </c>
      <c r="G20" s="3">
        <f t="shared" si="3"/>
        <v>3.0</v>
      </c>
      <c r="H20" s="3"/>
      <c r="I20" s="3"/>
      <c r="J20" s="3"/>
      <c r="K20" s="3"/>
      <c r="L20" s="3"/>
      <c r="M20" s="3"/>
      <c r="N20" s="3"/>
      <c r="O20" s="3"/>
      <c r="P20" s="3"/>
      <c r="Q20" s="3"/>
    </row>
    <row r="21" spans="1:17" x14ac:dyDescent="0.2">
      <c r="A21" s="3" t="s">
        <v>16</v>
      </c>
      <c r="B21" s="9">
        <v>46190</v>
      </c>
      <c r="C21" s="3">
        <v>50</v>
      </c>
      <c r="D21" s="3">
        <v>15</v>
      </c>
      <c r="E21" s="3">
        <f t="shared" si="2"/>
        <v>4.0</v>
      </c>
      <c r="F21" s="3">
        <v>1</v>
      </c>
      <c r="G21" s="3">
        <f t="shared" si="3"/>
        <v>4.0</v>
      </c>
      <c r="H21" s="3"/>
      <c r="I21" s="3"/>
      <c r="J21" s="3"/>
      <c r="K21" s="3"/>
      <c r="L21" s="3"/>
      <c r="M21" s="3"/>
      <c r="N21" s="3"/>
      <c r="O21" s="3"/>
      <c r="P21" s="3"/>
      <c r="Q21" s="3"/>
    </row>
    <row r="22" spans="1:17" x14ac:dyDescent="0.2">
      <c r="A22" s="3" t="s">
        <v>16</v>
      </c>
      <c r="B22" s="9">
        <v>46190</v>
      </c>
      <c r="C22" s="3">
        <v>50</v>
      </c>
      <c r="D22" s="3">
        <v>19</v>
      </c>
      <c r="E22" s="3">
        <f t="shared" si="2"/>
        <v>4.0</v>
      </c>
      <c r="F22" s="3">
        <v>1</v>
      </c>
      <c r="G22" s="3">
        <f t="shared" si="3"/>
        <v>4.0</v>
      </c>
      <c r="H22" s="3"/>
      <c r="I22" s="3"/>
      <c r="J22" s="3"/>
      <c r="K22" s="3"/>
      <c r="L22" s="3"/>
      <c r="M22" s="3"/>
      <c r="N22" s="3"/>
      <c r="O22" s="3"/>
      <c r="P22" s="3"/>
      <c r="Q22" s="3"/>
    </row>
    <row r="23" spans="1:17" x14ac:dyDescent="0.2">
      <c r="A23" s="3" t="s">
        <v>16</v>
      </c>
      <c r="B23" s="9">
        <v>46190</v>
      </c>
      <c r="C23" s="3">
        <v>50</v>
      </c>
      <c r="D23" s="3">
        <v>23</v>
      </c>
      <c r="E23" s="3">
        <f t="shared" si="2"/>
        <v>4.0</v>
      </c>
      <c r="F23" s="3">
        <v>1</v>
      </c>
      <c r="G23" s="3">
        <f t="shared" si="3"/>
        <v>4.0</v>
      </c>
      <c r="H23" s="3"/>
      <c r="I23" s="3"/>
      <c r="J23" s="3"/>
      <c r="K23" s="3"/>
      <c r="L23" s="3"/>
      <c r="M23" s="3"/>
      <c r="N23" s="3"/>
      <c r="O23" s="3"/>
      <c r="P23" s="3"/>
      <c r="Q23" s="3"/>
    </row>
    <row r="24" spans="1:17" x14ac:dyDescent="0.2">
      <c r="A24" s="3" t="s">
        <v>16</v>
      </c>
      <c r="B24" s="9">
        <v>46190</v>
      </c>
      <c r="C24" s="3">
        <v>50</v>
      </c>
      <c r="D24" s="3">
        <v>31</v>
      </c>
      <c r="E24" s="3"/>
      <c r="F24" s="3"/>
      <c r="G24" s="3"/>
      <c r="H24" s="3"/>
      <c r="I24" s="3"/>
      <c r="J24" s="3"/>
      <c r="K24" s="3"/>
      <c r="L24" s="3"/>
      <c r="M24" s="3"/>
      <c r="N24" s="3"/>
      <c r="O24" s="3"/>
      <c r="P24" s="3"/>
      <c r="Q24" s="3"/>
    </row>
    <row r="25" spans="1:17" x14ac:dyDescent="0.2">
      <c r="A25" s="3" t="s">
        <v>16</v>
      </c>
      <c r="B25" s="9">
        <v>46190</v>
      </c>
      <c r="C25" s="3">
        <v>50</v>
      </c>
      <c r="D25" s="3">
        <v>33</v>
      </c>
      <c r="E25" s="3">
        <f t="shared" ref="E25:E39" si="4">D25-D24</f>
        <v>2.0</v>
      </c>
      <c r="F25" s="3">
        <v>0.5</v>
      </c>
      <c r="G25" s="3">
        <f t="shared" ref="G25:G34" si="5">E25/F25</f>
        <v>4.0</v>
      </c>
      <c r="H25" s="3">
        <f>AVERAGE(G25:G29)</f>
        <v>4.0</v>
      </c>
      <c r="I25" s="3"/>
      <c r="J25" s="3"/>
      <c r="K25" s="3"/>
      <c r="L25" s="3"/>
      <c r="M25" s="3"/>
      <c r="N25" s="3"/>
      <c r="O25" s="3"/>
      <c r="P25" s="3"/>
      <c r="Q25" s="3"/>
    </row>
    <row r="26" spans="1:17" x14ac:dyDescent="0.2">
      <c r="A26" s="3" t="s">
        <v>16</v>
      </c>
      <c r="B26" s="9">
        <v>46190</v>
      </c>
      <c r="C26" s="3">
        <v>50</v>
      </c>
      <c r="D26" s="3">
        <v>35</v>
      </c>
      <c r="E26" s="3">
        <f t="shared" si="4"/>
        <v>2.0</v>
      </c>
      <c r="F26" s="3">
        <v>0.5</v>
      </c>
      <c r="G26" s="3">
        <f t="shared" si="5"/>
        <v>4.0</v>
      </c>
      <c r="H26" s="3"/>
      <c r="I26" s="3"/>
      <c r="J26" s="3"/>
      <c r="K26" s="3"/>
      <c r="L26" s="3"/>
      <c r="M26" s="3"/>
      <c r="N26" s="3"/>
      <c r="O26" s="3"/>
      <c r="P26" s="3"/>
      <c r="Q26" s="3"/>
    </row>
    <row r="27" spans="1:17" x14ac:dyDescent="0.2">
      <c r="A27" s="3" t="s">
        <v>16</v>
      </c>
      <c r="B27" s="9">
        <v>46190</v>
      </c>
      <c r="C27" s="3">
        <v>50</v>
      </c>
      <c r="D27" s="3">
        <v>37</v>
      </c>
      <c r="E27" s="3">
        <f t="shared" si="4"/>
        <v>2.0</v>
      </c>
      <c r="F27" s="3">
        <v>0.5</v>
      </c>
      <c r="G27" s="3">
        <f t="shared" si="5"/>
        <v>4.0</v>
      </c>
      <c r="H27" s="3"/>
      <c r="I27" s="3"/>
      <c r="J27" s="3"/>
      <c r="K27" s="3"/>
      <c r="L27" s="3"/>
      <c r="M27" s="3"/>
      <c r="N27" s="3"/>
      <c r="O27" s="3"/>
      <c r="P27" s="3"/>
      <c r="Q27" s="3"/>
    </row>
    <row r="28" spans="1:17" x14ac:dyDescent="0.2">
      <c r="A28" s="3" t="s">
        <v>16</v>
      </c>
      <c r="B28" s="9">
        <v>46190</v>
      </c>
      <c r="C28" s="3">
        <v>50</v>
      </c>
      <c r="D28" s="3">
        <v>39</v>
      </c>
      <c r="E28" s="3">
        <f t="shared" si="4"/>
        <v>2.0</v>
      </c>
      <c r="F28" s="3">
        <v>0.5</v>
      </c>
      <c r="G28" s="3">
        <f t="shared" si="5"/>
        <v>4.0</v>
      </c>
      <c r="H28" s="3"/>
      <c r="I28" s="3"/>
      <c r="J28" s="3"/>
      <c r="K28" s="3"/>
      <c r="L28" s="3"/>
      <c r="M28" s="3"/>
      <c r="N28" s="3"/>
      <c r="O28" s="3"/>
      <c r="P28" s="3"/>
      <c r="Q28" s="3"/>
    </row>
    <row r="29" spans="1:17" x14ac:dyDescent="0.2">
      <c r="A29" s="3" t="s">
        <v>16</v>
      </c>
      <c r="B29" s="9">
        <v>46190</v>
      </c>
      <c r="C29" s="3">
        <v>50</v>
      </c>
      <c r="D29" s="3">
        <v>41</v>
      </c>
      <c r="E29" s="3">
        <f t="shared" si="4"/>
        <v>2.0</v>
      </c>
      <c r="F29" s="3">
        <v>0.5</v>
      </c>
      <c r="G29" s="3">
        <f t="shared" si="5"/>
        <v>4.0</v>
      </c>
      <c r="H29" s="3"/>
      <c r="I29" s="3"/>
      <c r="J29" s="3"/>
      <c r="K29" s="3"/>
      <c r="L29" s="3"/>
      <c r="M29" s="3"/>
      <c r="N29" s="3"/>
      <c r="O29" s="3"/>
      <c r="P29" s="3"/>
      <c r="Q29" s="3"/>
    </row>
    <row r="30" spans="1:17" x14ac:dyDescent="0.2">
      <c r="A30" s="3" t="s">
        <v>16</v>
      </c>
      <c r="B30" s="9">
        <v>46190</v>
      </c>
      <c r="C30" s="3">
        <v>50</v>
      </c>
      <c r="D30" s="3">
        <v>42</v>
      </c>
      <c r="E30" s="3">
        <f t="shared" si="4"/>
        <v>1.0</v>
      </c>
      <c r="F30" s="3">
        <v>0.25</v>
      </c>
      <c r="G30" s="3">
        <f t="shared" si="5"/>
        <v>4.0</v>
      </c>
      <c r="H30" s="3">
        <f>AVERAGE(G30:G34)</f>
        <v>4.0</v>
      </c>
      <c r="I30" s="3"/>
      <c r="J30" s="3"/>
      <c r="K30" s="3"/>
      <c r="L30" s="3"/>
      <c r="M30" s="3"/>
      <c r="N30" s="3"/>
      <c r="O30" s="3"/>
      <c r="P30" s="3"/>
      <c r="Q30" s="3"/>
    </row>
    <row r="31" spans="1:17" x14ac:dyDescent="0.2">
      <c r="A31" s="3" t="s">
        <v>16</v>
      </c>
      <c r="B31" s="9">
        <v>46190</v>
      </c>
      <c r="C31" s="3">
        <v>50</v>
      </c>
      <c r="D31" s="3">
        <v>43</v>
      </c>
      <c r="E31" s="3">
        <f t="shared" si="4"/>
        <v>1.0</v>
      </c>
      <c r="F31" s="3">
        <v>0.25</v>
      </c>
      <c r="G31" s="3">
        <f t="shared" si="5"/>
        <v>4.0</v>
      </c>
      <c r="H31" s="3"/>
      <c r="I31" s="3"/>
      <c r="J31" s="3"/>
      <c r="K31" s="3"/>
      <c r="L31" s="3"/>
      <c r="M31" s="3"/>
      <c r="N31" s="3"/>
      <c r="O31" s="3"/>
      <c r="P31" s="3"/>
      <c r="Q31" s="3"/>
    </row>
    <row r="32" spans="1:17" x14ac:dyDescent="0.2">
      <c r="A32" s="3" t="s">
        <v>16</v>
      </c>
      <c r="B32" s="9">
        <v>46190</v>
      </c>
      <c r="C32" s="3">
        <v>50</v>
      </c>
      <c r="D32" s="3">
        <v>44</v>
      </c>
      <c r="E32" s="3">
        <f t="shared" si="4"/>
        <v>1.0</v>
      </c>
      <c r="F32" s="3">
        <v>0.25</v>
      </c>
      <c r="G32" s="3">
        <f t="shared" si="5"/>
        <v>4.0</v>
      </c>
      <c r="H32" s="3"/>
      <c r="I32" s="3"/>
      <c r="J32" s="3"/>
      <c r="K32" s="3"/>
      <c r="L32" s="3"/>
      <c r="M32" s="3"/>
      <c r="N32" s="3"/>
      <c r="O32" s="3"/>
      <c r="P32" s="3"/>
      <c r="Q32" s="3"/>
    </row>
    <row r="33" spans="1:17" x14ac:dyDescent="0.2">
      <c r="A33" s="3" t="s">
        <v>16</v>
      </c>
      <c r="B33" s="9">
        <v>46190</v>
      </c>
      <c r="C33" s="3">
        <v>50</v>
      </c>
      <c r="D33" s="3">
        <v>45</v>
      </c>
      <c r="E33" s="3">
        <f t="shared" si="4"/>
        <v>1.0</v>
      </c>
      <c r="F33" s="3">
        <v>0.25</v>
      </c>
      <c r="G33" s="3">
        <f t="shared" si="5"/>
        <v>4.0</v>
      </c>
      <c r="H33" s="3"/>
      <c r="I33" s="3"/>
      <c r="J33" s="3"/>
      <c r="K33" s="3"/>
      <c r="L33" s="3"/>
      <c r="M33" s="3"/>
      <c r="N33" s="3"/>
      <c r="O33" s="3"/>
      <c r="P33" s="3"/>
      <c r="Q33" s="3"/>
    </row>
    <row r="34" spans="1:17" x14ac:dyDescent="0.2">
      <c r="A34" s="3" t="s">
        <v>16</v>
      </c>
      <c r="B34" s="9">
        <v>46190</v>
      </c>
      <c r="C34" s="3">
        <v>50</v>
      </c>
      <c r="D34" s="3">
        <v>46</v>
      </c>
      <c r="E34" s="3">
        <f t="shared" si="4"/>
        <v>1.0</v>
      </c>
      <c r="F34" s="3">
        <v>0.25</v>
      </c>
      <c r="G34" s="3">
        <f t="shared" si="5"/>
        <v>4.0</v>
      </c>
      <c r="H34" s="3"/>
      <c r="I34" s="3"/>
      <c r="J34" s="3"/>
      <c r="K34" s="3"/>
      <c r="L34" s="3"/>
      <c r="M34" s="3"/>
      <c r="N34" s="3"/>
      <c r="O34" s="3"/>
      <c r="P34" s="3"/>
      <c r="Q34" s="3"/>
    </row>
    <row r="35" spans="1:17" x14ac:dyDescent="0.2">
      <c r="A35" s="3" t="s">
        <v>16</v>
      </c>
      <c r="B35" s="9">
        <v>46190</v>
      </c>
      <c r="C35" s="3">
        <v>10</v>
      </c>
      <c r="D35" s="3">
        <v>0</v>
      </c>
      <c r="E35" s="3">
        <f t="shared" si="4"/>
        <v>-46.0</v>
      </c>
      <c r="F35" s="3"/>
      <c r="G35" s="3"/>
      <c r="H35" s="3"/>
      <c r="I35" s="3"/>
      <c r="J35" s="3"/>
      <c r="K35" s="3"/>
      <c r="L35" s="3"/>
      <c r="M35" s="3"/>
      <c r="N35" s="3"/>
      <c r="O35" s="3"/>
      <c r="P35" s="3"/>
      <c r="Q35" s="3"/>
    </row>
    <row r="36" spans="1:17" x14ac:dyDescent="0.2">
      <c r="A36" s="3" t="s">
        <v>16</v>
      </c>
      <c r="B36" s="9">
        <v>46190</v>
      </c>
      <c r="C36" s="3">
        <v>10</v>
      </c>
      <c r="D36" s="3">
        <v>0.4</v>
      </c>
      <c r="E36" s="3">
        <f t="shared" si="4"/>
        <v>0.4</v>
      </c>
      <c r="F36" s="3">
        <v>0.2</v>
      </c>
      <c r="G36" s="10">
        <f>E36/F36</f>
        <v>2.0</v>
      </c>
      <c r="H36" s="3"/>
      <c r="I36" s="3"/>
      <c r="J36" s="3"/>
      <c r="K36" s="3"/>
      <c r="L36" s="3"/>
      <c r="M36" s="3"/>
      <c r="N36" s="3"/>
      <c r="O36" s="3"/>
      <c r="P36" s="3"/>
      <c r="Q36" s="3"/>
    </row>
    <row r="37" spans="1:17" x14ac:dyDescent="0.2">
      <c r="A37" s="3" t="s">
        <v>16</v>
      </c>
      <c r="B37" s="9">
        <v>46190</v>
      </c>
      <c r="C37" s="3">
        <v>10</v>
      </c>
      <c r="D37" s="3">
        <v>1.2</v>
      </c>
      <c r="E37" s="3">
        <f t="shared" si="4"/>
        <v>0.8</v>
      </c>
      <c r="F37" s="3">
        <v>0.2</v>
      </c>
      <c r="G37" s="3">
        <f>E37/F37</f>
        <v>4.0</v>
      </c>
      <c r="H37" s="3">
        <f>AVERAGE(G37:G39)</f>
        <v>4.333333333333</v>
      </c>
      <c r="I37" s="3"/>
      <c r="J37" s="3"/>
      <c r="K37" s="3"/>
      <c r="L37" s="3"/>
      <c r="M37" s="3"/>
      <c r="N37" s="3"/>
      <c r="O37" s="3"/>
      <c r="P37" s="3"/>
      <c r="Q37" s="3"/>
    </row>
    <row r="38" spans="1:17" x14ac:dyDescent="0.2">
      <c r="A38" s="3" t="s">
        <v>16</v>
      </c>
      <c r="B38" s="9">
        <v>46190</v>
      </c>
      <c r="C38" s="3">
        <v>10</v>
      </c>
      <c r="D38" s="3">
        <v>2.2000000000000002</v>
      </c>
      <c r="E38" s="3">
        <f t="shared" si="4"/>
        <v>1.0</v>
      </c>
      <c r="F38" s="3">
        <v>0.2</v>
      </c>
      <c r="G38" s="3">
        <f>E38/F38</f>
        <v>5.0</v>
      </c>
      <c r="H38" s="3"/>
      <c r="I38" s="3"/>
      <c r="J38" s="3"/>
      <c r="K38" s="3"/>
      <c r="L38" s="3"/>
      <c r="M38" s="3"/>
      <c r="N38" s="3"/>
      <c r="O38" s="3"/>
      <c r="P38" s="3"/>
      <c r="Q38" s="3"/>
    </row>
    <row r="39" spans="1:17" x14ac:dyDescent="0.2">
      <c r="A39" s="3" t="s">
        <v>16</v>
      </c>
      <c r="B39" s="9">
        <v>46190</v>
      </c>
      <c r="C39" s="3">
        <v>10</v>
      </c>
      <c r="D39" s="3">
        <v>3</v>
      </c>
      <c r="E39" s="3">
        <f t="shared" si="4"/>
        <v>0.8</v>
      </c>
      <c r="F39" s="3">
        <v>0.2</v>
      </c>
      <c r="G39" s="3">
        <f>E39/F39</f>
        <v>4.0</v>
      </c>
      <c r="H39" s="3"/>
      <c r="I39" s="3"/>
      <c r="J39" s="3"/>
      <c r="K39" s="3"/>
      <c r="L39" s="3"/>
      <c r="M39" s="3"/>
      <c r="N39" s="3"/>
      <c r="O39" s="3"/>
      <c r="P39" s="3"/>
      <c r="Q39" s="3"/>
    </row>
    <row r="40" spans="1:17" x14ac:dyDescent="0.2">
      <c r="A40" s="3" t="s">
        <v>16</v>
      </c>
      <c r="B40" s="9">
        <v>46190</v>
      </c>
      <c r="C40" s="3">
        <v>10</v>
      </c>
      <c r="D40" s="3">
        <v>0</v>
      </c>
      <c r="E40" s="3"/>
      <c r="F40" s="3"/>
      <c r="G40" s="3"/>
      <c r="H40" s="3"/>
      <c r="I40" s="3"/>
      <c r="J40" s="3"/>
      <c r="K40" s="3"/>
      <c r="L40" s="3"/>
      <c r="M40" s="3"/>
      <c r="N40" s="3"/>
      <c r="O40" s="3"/>
      <c r="P40" s="3"/>
      <c r="Q40" s="3"/>
    </row>
    <row r="41" spans="1:17" x14ac:dyDescent="0.2">
      <c r="A41" s="3" t="s">
        <v>16</v>
      </c>
      <c r="B41" s="9">
        <v>46190</v>
      </c>
      <c r="C41" s="3">
        <v>10</v>
      </c>
      <c r="D41" s="3">
        <v>0.4</v>
      </c>
      <c r="E41" s="3">
        <f t="shared" ref="E41:E46" si="6">D41-D40</f>
        <v>0.4</v>
      </c>
      <c r="F41" s="3">
        <v>0.1</v>
      </c>
      <c r="G41" s="3">
        <f t="shared" ref="G41:G46" si="7">E41/F41</f>
        <v>4.0</v>
      </c>
      <c r="H41" s="3">
        <f>AVERAGE(G41:G45)</f>
        <v>5.2</v>
      </c>
      <c r="I41" s="3"/>
      <c r="J41" s="3"/>
      <c r="K41" s="3"/>
      <c r="L41" s="3"/>
      <c r="M41" s="3"/>
      <c r="N41" s="3"/>
      <c r="O41" s="3"/>
      <c r="P41" s="3"/>
      <c r="Q41" s="3"/>
    </row>
    <row r="42" spans="1:17" x14ac:dyDescent="0.2">
      <c r="A42" s="3" t="s">
        <v>16</v>
      </c>
      <c r="B42" s="9">
        <v>46190</v>
      </c>
      <c r="C42" s="3">
        <v>10</v>
      </c>
      <c r="D42" s="3">
        <v>0.8</v>
      </c>
      <c r="E42" s="3">
        <f t="shared" si="6"/>
        <v>0.4</v>
      </c>
      <c r="F42" s="3">
        <v>0.1</v>
      </c>
      <c r="G42" s="3">
        <f t="shared" si="7"/>
        <v>4.0</v>
      </c>
      <c r="H42" s="3"/>
      <c r="I42" s="3"/>
      <c r="J42" s="3"/>
      <c r="K42" s="3"/>
      <c r="L42" s="3"/>
      <c r="M42" s="3"/>
      <c r="N42" s="3"/>
      <c r="O42" s="3"/>
      <c r="P42" s="3"/>
      <c r="Q42" s="3"/>
    </row>
    <row r="43" spans="1:17" x14ac:dyDescent="0.2">
      <c r="A43" s="3" t="s">
        <v>16</v>
      </c>
      <c r="B43" s="9">
        <v>46190</v>
      </c>
      <c r="C43" s="3">
        <v>10</v>
      </c>
      <c r="D43" s="3">
        <v>1.4</v>
      </c>
      <c r="E43" s="3">
        <f t="shared" si="6"/>
        <v>0.6</v>
      </c>
      <c r="F43" s="3">
        <v>0.1</v>
      </c>
      <c r="G43" s="3">
        <f t="shared" si="7"/>
        <v>6.0</v>
      </c>
      <c r="H43" s="3"/>
      <c r="I43" s="3"/>
      <c r="J43" s="3"/>
      <c r="K43" s="3"/>
      <c r="L43" s="3"/>
      <c r="M43" s="3"/>
      <c r="N43" s="3"/>
      <c r="O43" s="3"/>
      <c r="P43" s="3"/>
      <c r="Q43" s="3"/>
    </row>
    <row r="44" spans="1:17" x14ac:dyDescent="0.2">
      <c r="A44" s="3" t="s">
        <v>16</v>
      </c>
      <c r="B44" s="9">
        <v>46190</v>
      </c>
      <c r="C44" s="3">
        <v>10</v>
      </c>
      <c r="D44" s="3">
        <v>2</v>
      </c>
      <c r="E44" s="3">
        <f t="shared" si="6"/>
        <v>0.6</v>
      </c>
      <c r="F44" s="3">
        <v>0.1</v>
      </c>
      <c r="G44" s="3">
        <f t="shared" si="7"/>
        <v>6.0</v>
      </c>
      <c r="H44" s="3"/>
      <c r="I44" s="3"/>
      <c r="J44" s="3"/>
      <c r="K44" s="3"/>
      <c r="L44" s="3"/>
      <c r="M44" s="3"/>
      <c r="N44" s="3"/>
      <c r="O44" s="3"/>
      <c r="P44" s="3"/>
      <c r="Q44" s="3"/>
    </row>
    <row r="45" spans="1:17" x14ac:dyDescent="0.2">
      <c r="A45" s="3" t="s">
        <v>16</v>
      </c>
      <c r="B45" s="9">
        <v>46190</v>
      </c>
      <c r="C45" s="3">
        <v>10</v>
      </c>
      <c r="D45" s="3">
        <v>2.6</v>
      </c>
      <c r="E45" s="3">
        <f t="shared" si="6"/>
        <v>0.6</v>
      </c>
      <c r="F45" s="3">
        <v>0.1</v>
      </c>
      <c r="G45" s="3">
        <f t="shared" si="7"/>
        <v>6.0</v>
      </c>
      <c r="H45" s="3"/>
      <c r="I45" s="3"/>
      <c r="J45" s="3"/>
      <c r="K45" s="3"/>
      <c r="L45" s="3"/>
      <c r="M45" s="3"/>
      <c r="N45" s="3"/>
      <c r="O45" s="3"/>
      <c r="P45" s="3"/>
      <c r="Q45" s="3"/>
    </row>
    <row r="46" spans="1:17" x14ac:dyDescent="0.2">
      <c r="A46" s="3" t="s">
        <v>16</v>
      </c>
      <c r="B46" s="9">
        <v>46190</v>
      </c>
      <c r="C46" s="3">
        <v>10</v>
      </c>
      <c r="D46" s="3">
        <v>2.8</v>
      </c>
      <c r="E46" s="3">
        <f t="shared" si="6"/>
        <v>0.2</v>
      </c>
      <c r="F46" s="3">
        <v>0.1</v>
      </c>
      <c r="G46" s="10">
        <f t="shared" si="7"/>
        <v>2.0</v>
      </c>
      <c r="H46" s="3"/>
      <c r="I46" s="3"/>
      <c r="J46" s="3"/>
      <c r="K46" s="3"/>
      <c r="L46" s="3"/>
      <c r="M46" s="3"/>
      <c r="N46" s="3"/>
      <c r="O46" s="3"/>
      <c r="P46" s="3"/>
      <c r="Q46" s="3"/>
    </row>
    <row r="47" spans="1:17" x14ac:dyDescent="0.2">
      <c r="A47" s="3"/>
      <c r="B47" s="9"/>
      <c r="C47" s="3"/>
      <c r="D47" s="3"/>
      <c r="E47" s="3"/>
      <c r="F47" s="3"/>
      <c r="G47" s="3"/>
      <c r="H47" s="3"/>
      <c r="I47" s="3"/>
      <c r="J47" s="3"/>
      <c r="K47" s="3"/>
      <c r="L47" s="3"/>
      <c r="M47" s="3"/>
      <c r="N47" s="3"/>
      <c r="O47" s="3"/>
      <c r="P47" s="3"/>
      <c r="Q47" s="3"/>
    </row>
    <row r="48" spans="1:17" x14ac:dyDescent="0.2">
      <c r="A48" s="3"/>
      <c r="B48" s="3"/>
      <c r="C48" s="3"/>
      <c r="D48" s="3"/>
      <c r="E48" s="3"/>
      <c r="F48" s="3"/>
      <c r="G48" s="3"/>
      <c r="H48" s="3"/>
      <c r="I48" s="3"/>
      <c r="J48" s="3"/>
      <c r="K48" s="3"/>
      <c r="L48" s="3"/>
      <c r="M48" s="3"/>
      <c r="N48" s="3"/>
      <c r="O48" s="3"/>
      <c r="P48" s="3"/>
      <c r="Q48" s="3"/>
    </row>
    <row r="49" spans="1:17" x14ac:dyDescent="0.2">
      <c r="A49" s="14"/>
      <c r="B49" s="3"/>
      <c r="C49" s="3"/>
      <c r="D49" s="3"/>
      <c r="E49" s="3"/>
      <c r="F49" s="3"/>
      <c r="G49" s="3"/>
      <c r="H49" s="3"/>
      <c r="I49" s="3"/>
      <c r="J49" s="3"/>
      <c r="K49" s="3"/>
      <c r="L49" s="3"/>
      <c r="M49" s="3"/>
      <c r="N49" s="3"/>
      <c r="O49" s="3"/>
      <c r="P49" s="3"/>
      <c r="Q49" s="3"/>
    </row>
    <row r="50" spans="1:17" x14ac:dyDescent="0.2">
      <c r="A50" s="6"/>
      <c r="B50" s="6"/>
      <c r="C50" s="6"/>
      <c r="D50" s="6"/>
      <c r="E50" s="6"/>
      <c r="F50" s="3"/>
      <c r="G50" s="3"/>
      <c r="H50" s="3"/>
      <c r="I50" s="3"/>
      <c r="J50" s="3"/>
      <c r="K50" s="3"/>
      <c r="L50" s="3"/>
      <c r="M50" s="3"/>
      <c r="N50" s="3"/>
      <c r="O50" s="3"/>
      <c r="P50" s="3"/>
      <c r="Q50" s="3"/>
    </row>
    <row r="51" spans="1:17" x14ac:dyDescent="0.2">
      <c r="A51" s="3"/>
      <c r="B51" s="11"/>
      <c r="C51" s="3"/>
      <c r="D51" s="3"/>
      <c r="E51" s="3"/>
      <c r="F51" s="3"/>
      <c r="G51" s="3"/>
      <c r="H51" s="3"/>
      <c r="I51" s="3"/>
      <c r="J51" s="3"/>
      <c r="K51" s="3"/>
      <c r="L51" s="3"/>
      <c r="M51" s="3"/>
      <c r="N51" s="3"/>
      <c r="O51" s="3"/>
      <c r="P51" s="3"/>
      <c r="Q51" s="3"/>
    </row>
    <row r="52" spans="1:17" x14ac:dyDescent="0.2">
      <c r="A52" s="13"/>
      <c r="B52" s="3"/>
      <c r="C52" s="3"/>
      <c r="D52" s="3"/>
      <c r="E52" s="3"/>
      <c r="F52" s="3"/>
      <c r="G52" s="3"/>
      <c r="H52" s="3"/>
      <c r="I52" s="3"/>
      <c r="J52" s="3"/>
      <c r="K52" s="3"/>
      <c r="L52" s="3"/>
      <c r="M52" s="3"/>
      <c r="N52" s="3"/>
      <c r="O52" s="3"/>
      <c r="P52" s="3"/>
      <c r="Q52" s="3"/>
    </row>
    <row r="53" spans="1:17" x14ac:dyDescent="0.2">
      <c r="A53" s="3"/>
      <c r="B53" s="3"/>
      <c r="C53" s="3"/>
      <c r="D53" s="3"/>
      <c r="E53" s="3"/>
      <c r="F53" s="3"/>
      <c r="G53" s="3"/>
      <c r="H53" s="3"/>
      <c r="I53" s="3"/>
      <c r="J53" s="3"/>
      <c r="K53" s="3"/>
      <c r="L53" s="3"/>
      <c r="M53" s="3"/>
      <c r="N53" s="3"/>
      <c r="O53" s="3"/>
      <c r="P53" s="3"/>
      <c r="Q53" s="3"/>
    </row>
    <row r="54" spans="1:17" x14ac:dyDescent="0.2">
      <c r="A54" s="14"/>
      <c r="B54" s="3"/>
      <c r="C54" s="3"/>
      <c r="D54" s="3"/>
      <c r="E54" s="3"/>
      <c r="F54" s="3"/>
      <c r="G54" s="3"/>
      <c r="H54" s="3"/>
      <c r="I54" s="3"/>
      <c r="J54" s="3"/>
      <c r="K54" s="3"/>
      <c r="L54" s="3"/>
      <c r="M54" s="3"/>
      <c r="N54" s="3"/>
      <c r="O54" s="3"/>
      <c r="P54" s="3"/>
      <c r="Q54" s="3"/>
    </row>
    <row r="55" spans="1:17" x14ac:dyDescent="0.2">
      <c r="A55" s="3"/>
      <c r="B55" s="3"/>
      <c r="C55" s="3"/>
      <c r="D55" s="3"/>
      <c r="E55" s="3"/>
      <c r="F55" s="3"/>
      <c r="G55" s="3"/>
      <c r="H55" s="3"/>
      <c r="I55" s="3"/>
      <c r="J55" s="3"/>
      <c r="K55" s="3"/>
      <c r="L55" s="3"/>
      <c r="M55" s="3"/>
      <c r="N55" s="3"/>
      <c r="O55" s="3"/>
      <c r="P55" s="3"/>
      <c r="Q55" s="3"/>
    </row>
    <row r="56" spans="1:17" x14ac:dyDescent="0.2">
      <c r="A56" s="3"/>
      <c r="B56" s="3"/>
      <c r="C56" s="3"/>
      <c r="D56" s="3"/>
      <c r="E56" s="3"/>
      <c r="F56" s="3"/>
      <c r="G56" s="3"/>
      <c r="H56" s="3"/>
      <c r="I56" s="3"/>
      <c r="J56" s="3"/>
      <c r="K56" s="3"/>
      <c r="L56" s="3"/>
      <c r="M56" s="3"/>
      <c r="N56" s="3"/>
      <c r="O56" s="3"/>
      <c r="P56" s="3"/>
      <c r="Q56" s="3"/>
    </row>
    <row r="57" spans="1:17" x14ac:dyDescent="0.2">
      <c r="A57" s="3"/>
      <c r="B57" s="3"/>
      <c r="C57" s="3"/>
      <c r="D57" s="3"/>
      <c r="E57" s="3"/>
      <c r="F57" s="3"/>
      <c r="G57" s="3"/>
      <c r="H57" s="3"/>
      <c r="I57" s="3"/>
      <c r="J57" s="3"/>
      <c r="K57" s="3"/>
      <c r="L57" s="3"/>
      <c r="M57" s="3"/>
      <c r="N57" s="3"/>
      <c r="O57" s="3"/>
      <c r="P57" s="3"/>
      <c r="Q57" s="3"/>
    </row>
    <row r="58" spans="1:17" x14ac:dyDescent="0.2">
      <c r="A58" s="3"/>
      <c r="B58" s="3"/>
      <c r="C58" s="3"/>
      <c r="D58" s="3"/>
      <c r="E58" s="3"/>
      <c r="F58" s="3"/>
      <c r="G58" s="3"/>
      <c r="H58" s="3"/>
      <c r="I58" s="3"/>
      <c r="J58" s="3"/>
      <c r="K58" s="3"/>
      <c r="L58" s="3"/>
      <c r="M58" s="3"/>
      <c r="N58" s="3"/>
      <c r="O58" s="3"/>
      <c r="P58" s="3"/>
      <c r="Q58" s="3"/>
    </row>
    <row r="59" spans="1:17" x14ac:dyDescent="0.2">
      <c r="A59" s="3"/>
      <c r="B59" s="3"/>
      <c r="C59" s="3"/>
      <c r="D59" s="3"/>
      <c r="E59" s="3"/>
      <c r="F59" s="3"/>
      <c r="G59" s="3"/>
      <c r="H59" s="3"/>
      <c r="I59" s="3"/>
      <c r="J59" s="3"/>
      <c r="K59" s="3"/>
      <c r="L59" s="3"/>
      <c r="M59" s="3"/>
      <c r="N59" s="3"/>
      <c r="O59" s="3"/>
      <c r="P59" s="3"/>
      <c r="Q59" s="3"/>
    </row>
    <row r="60" spans="1:17" x14ac:dyDescent="0.2">
      <c r="A60" s="3"/>
      <c r="B60" s="3"/>
      <c r="C60" s="3"/>
      <c r="D60" s="3"/>
      <c r="E60" s="3"/>
      <c r="F60" s="3"/>
      <c r="G60" s="3"/>
      <c r="H60" s="3"/>
      <c r="I60" s="3"/>
      <c r="J60" s="3"/>
      <c r="K60" s="3"/>
      <c r="L60" s="3"/>
      <c r="M60" s="3"/>
      <c r="N60" s="3"/>
      <c r="O60" s="3"/>
      <c r="P60" s="3"/>
      <c r="Q60" s="3"/>
    </row>
    <row r="61" spans="1:17" x14ac:dyDescent="0.2">
      <c r="A61" s="3"/>
      <c r="B61" s="3"/>
      <c r="C61" s="3"/>
      <c r="D61" s="3"/>
      <c r="E61" s="3"/>
      <c r="F61" s="3"/>
      <c r="G61" s="3"/>
      <c r="H61" s="3"/>
      <c r="I61" s="3"/>
      <c r="J61" s="3"/>
      <c r="K61" s="3"/>
      <c r="L61" s="3"/>
      <c r="M61" s="3"/>
      <c r="N61" s="3"/>
      <c r="O61" s="3"/>
      <c r="P61" s="3"/>
      <c r="Q61" s="3"/>
    </row>
    <row r="62" spans="1:17" x14ac:dyDescent="0.2">
      <c r="A62" s="3"/>
      <c r="B62" s="3"/>
      <c r="C62" s="3"/>
      <c r="D62" s="3"/>
      <c r="E62" s="3"/>
      <c r="F62" s="3"/>
      <c r="G62" s="3"/>
      <c r="H62" s="3"/>
      <c r="I62" s="3"/>
      <c r="J62" s="3"/>
      <c r="K62" s="3"/>
      <c r="L62" s="3"/>
      <c r="M62" s="3"/>
      <c r="N62" s="3"/>
      <c r="O62" s="3"/>
      <c r="P62" s="3"/>
      <c r="Q62" s="3"/>
    </row>
    <row r="63" spans="1:17" x14ac:dyDescent="0.2">
      <c r="A63" s="3"/>
      <c r="B63" s="3"/>
      <c r="C63" s="3"/>
      <c r="D63" s="3"/>
      <c r="E63" s="3"/>
      <c r="F63" s="3"/>
      <c r="G63" s="3"/>
      <c r="H63" s="3"/>
      <c r="I63" s="3"/>
      <c r="J63" s="3"/>
      <c r="K63" s="3"/>
      <c r="L63" s="3"/>
      <c r="M63" s="3"/>
      <c r="N63" s="3"/>
      <c r="O63" s="3"/>
      <c r="P63" s="3"/>
      <c r="Q63" s="3"/>
    </row>
    <row r="64" spans="1:17" x14ac:dyDescent="0.2">
      <c r="A64" s="3"/>
      <c r="B64" s="3"/>
      <c r="C64" s="3"/>
      <c r="D64" s="3"/>
      <c r="E64" s="3"/>
      <c r="F64" s="3"/>
      <c r="G64" s="3"/>
      <c r="H64" s="3"/>
      <c r="I64" s="3"/>
      <c r="J64" s="3"/>
      <c r="K64" s="3"/>
      <c r="L64" s="3"/>
      <c r="M64" s="3"/>
      <c r="N64" s="3"/>
      <c r="O64" s="3"/>
      <c r="P64" s="3"/>
      <c r="Q64" s="3"/>
    </row>
    <row r="65" spans="1:17" x14ac:dyDescent="0.2">
      <c r="A65" s="3"/>
      <c r="B65" s="3"/>
      <c r="C65" s="3"/>
      <c r="D65" s="3"/>
      <c r="E65" s="3"/>
      <c r="F65" s="3"/>
      <c r="G65" s="3"/>
      <c r="H65" s="3"/>
      <c r="I65" s="3"/>
      <c r="J65" s="3"/>
      <c r="K65" s="3"/>
      <c r="L65" s="3"/>
      <c r="M65" s="3"/>
      <c r="N65" s="3"/>
      <c r="O65" s="3"/>
      <c r="P65" s="3"/>
      <c r="Q65" s="3"/>
    </row>
    <row r="66" spans="1:17" x14ac:dyDescent="0.2">
      <c r="A66" s="3"/>
      <c r="B66" s="3"/>
      <c r="C66" s="3"/>
      <c r="D66" s="3"/>
      <c r="E66" s="3"/>
      <c r="F66" s="3"/>
      <c r="G66" s="3"/>
      <c r="H66" s="3"/>
      <c r="I66" s="3"/>
      <c r="J66" s="3"/>
      <c r="K66" s="3"/>
      <c r="L66" s="3"/>
      <c r="M66" s="3"/>
      <c r="N66" s="3"/>
      <c r="O66" s="3"/>
      <c r="P66" s="3"/>
      <c r="Q66" s="3"/>
    </row>
    <row r="67" spans="1:17" x14ac:dyDescent="0.2">
      <c r="A67" s="3"/>
      <c r="B67" s="3"/>
      <c r="C67" s="3"/>
      <c r="D67" s="3"/>
      <c r="E67" s="3"/>
      <c r="F67" s="3"/>
      <c r="G67" s="3"/>
      <c r="H67" s="3"/>
      <c r="I67" s="3"/>
      <c r="J67" s="3"/>
      <c r="K67" s="3"/>
      <c r="L67" s="3"/>
      <c r="M67" s="3"/>
      <c r="N67" s="3"/>
      <c r="O67" s="3"/>
      <c r="P67" s="3"/>
      <c r="Q67" s="3"/>
    </row>
    <row r="68" spans="1:17" x14ac:dyDescent="0.2">
      <c r="A68" s="3"/>
      <c r="B68" s="3"/>
      <c r="C68" s="3"/>
      <c r="D68" s="3"/>
      <c r="E68" s="3"/>
      <c r="F68" s="3"/>
      <c r="G68" s="3"/>
      <c r="H68" s="3"/>
      <c r="I68" s="3"/>
      <c r="J68" s="3"/>
      <c r="K68" s="3"/>
      <c r="L68" s="3"/>
      <c r="M68" s="3"/>
      <c r="N68" s="3"/>
      <c r="O68" s="3"/>
      <c r="P68" s="3"/>
      <c r="Q68" s="3"/>
    </row>
    <row r="69" spans="1:17" x14ac:dyDescent="0.2">
      <c r="A69" s="3"/>
      <c r="B69" s="3"/>
      <c r="C69" s="3"/>
      <c r="D69" s="3"/>
      <c r="E69" s="3"/>
      <c r="F69" s="3"/>
      <c r="G69" s="3"/>
      <c r="H69" s="3"/>
      <c r="I69" s="3"/>
      <c r="J69" s="3"/>
      <c r="K69" s="3"/>
      <c r="L69" s="3"/>
      <c r="M69" s="3"/>
      <c r="N69" s="3"/>
      <c r="O69" s="3"/>
      <c r="P69" s="3"/>
      <c r="Q69" s="3"/>
    </row>
    <row r="70" spans="1:17" x14ac:dyDescent="0.2">
      <c r="A70" s="3"/>
      <c r="B70" s="3"/>
      <c r="C70" s="3"/>
      <c r="D70" s="3"/>
      <c r="E70" s="3"/>
      <c r="F70" s="3"/>
      <c r="G70" s="3"/>
      <c r="H70" s="3"/>
      <c r="I70" s="3"/>
      <c r="J70" s="3"/>
      <c r="K70" s="3"/>
      <c r="L70" s="3"/>
      <c r="M70" s="3"/>
      <c r="N70" s="3"/>
      <c r="O70" s="3"/>
      <c r="P70" s="3"/>
      <c r="Q70" s="3"/>
    </row>
    <row r="71" spans="1:17" x14ac:dyDescent="0.2">
      <c r="A71" s="3"/>
      <c r="B71" s="3"/>
      <c r="C71" s="3"/>
      <c r="D71" s="3"/>
      <c r="E71" s="3"/>
      <c r="F71" s="3"/>
      <c r="G71" s="3"/>
      <c r="H71" s="3"/>
      <c r="I71" s="3"/>
      <c r="J71" s="3"/>
      <c r="K71" s="3"/>
      <c r="L71" s="3"/>
      <c r="M71" s="3"/>
      <c r="N71" s="3"/>
      <c r="O71" s="3"/>
      <c r="P71" s="3"/>
      <c r="Q71" s="3"/>
    </row>
    <row r="72" spans="1:17" x14ac:dyDescent="0.2">
      <c r="A72" s="13"/>
      <c r="B72" s="3"/>
      <c r="C72" s="3"/>
      <c r="D72" s="3"/>
      <c r="E72" s="3"/>
      <c r="F72" s="3"/>
      <c r="G72" s="3"/>
      <c r="H72" s="3"/>
      <c r="I72" s="3"/>
      <c r="J72" s="3"/>
      <c r="K72" s="3"/>
      <c r="L72" s="3"/>
      <c r="M72" s="3"/>
      <c r="N72" s="3"/>
      <c r="O72" s="3"/>
      <c r="P72" s="3"/>
      <c r="Q72" s="3"/>
    </row>
    <row r="73" spans="1:17" x14ac:dyDescent="0.2">
      <c r="A73" s="13"/>
      <c r="B73" s="3"/>
      <c r="C73" s="3"/>
      <c r="D73" s="3"/>
      <c r="E73" s="3"/>
      <c r="F73" s="3"/>
      <c r="G73" s="3"/>
      <c r="H73" s="3"/>
      <c r="I73" s="3"/>
      <c r="J73" s="3"/>
      <c r="K73" s="3"/>
      <c r="L73" s="3"/>
      <c r="M73" s="3"/>
      <c r="N73" s="3"/>
      <c r="O73" s="3"/>
      <c r="P73" s="3"/>
      <c r="Q73" s="3"/>
    </row>
    <row r="74" spans="1:17" x14ac:dyDescent="0.2">
      <c r="A74" s="3"/>
      <c r="B74" s="3"/>
      <c r="C74" s="3"/>
      <c r="D74" s="3"/>
      <c r="E74" s="3"/>
      <c r="F74" s="3"/>
      <c r="G74" s="3"/>
      <c r="H74" s="3"/>
      <c r="I74" s="3"/>
      <c r="J74" s="3"/>
      <c r="K74" s="3"/>
      <c r="L74" s="3"/>
      <c r="M74" s="3"/>
      <c r="N74" s="3"/>
      <c r="O74" s="3"/>
      <c r="P74" s="3"/>
      <c r="Q74" s="3"/>
    </row>
    <row r="75" spans="1:17" x14ac:dyDescent="0.2">
      <c r="A75" s="14"/>
      <c r="B75" s="3"/>
      <c r="C75" s="3"/>
      <c r="D75" s="3"/>
      <c r="E75" s="3"/>
      <c r="F75" s="3"/>
      <c r="G75" s="3"/>
      <c r="H75" s="3"/>
      <c r="I75" s="3"/>
      <c r="J75" s="3"/>
      <c r="K75" s="3"/>
      <c r="L75" s="3"/>
      <c r="M75" s="3"/>
      <c r="N75" s="3"/>
      <c r="O75" s="3"/>
      <c r="P75" s="3"/>
      <c r="Q75" s="3"/>
    </row>
    <row r="76" spans="1:17" x14ac:dyDescent="0.2">
      <c r="A76" s="1"/>
    </row>
  </sheetData>
  <conditionalFormatting sqref="G5:G47 I5:I48">
    <cfRule type="dataBar" priority="21">
      <dataBar>
        <cfvo type="min"/>
        <cfvo type="max"/>
        <color rgb="FF638EC6"/>
      </dataBar>
    </cfRule>
  </conditionalFormatting>
  <conditionalFormatting sqref="H5:H47">
    <cfRule type="dataBar" priority="25">
      <dataBar>
        <cfvo type="min"/>
        <cfvo type="max"/>
        <color rgb="FF638EC6"/>
      </dataBar>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39"/>
  <sheetViews>
    <sheetView topLeftCell="A98" workbookViewId="0">
      <selection activeCell="H130" sqref="H130"/>
    </sheetView>
  </sheetViews>
  <sheetFormatPr baseColWidth="10" defaultColWidth="8.83203125" defaultRowHeight="15" x14ac:dyDescent="0.2"/>
  <cols>
    <col min="1" max="16" width="12" customWidth="1"/>
  </cols>
  <sheetData>
    <row r="1" spans="1:8" ht="16" x14ac:dyDescent="0.2">
      <c r="A1" s="4" t="s">
        <v>1393</v>
      </c>
    </row>
    <row r="2" spans="1:8" x14ac:dyDescent="0.2">
      <c r="A2" t="s">
        <v>1394</v>
      </c>
    </row>
    <row r="3" spans="1:8" x14ac:dyDescent="0.2">
      <c r="A3" t="s">
        <v>1395</v>
      </c>
    </row>
    <row r="5" spans="1:8" ht="16" x14ac:dyDescent="0.2">
      <c r="A5" s="4" t="str">
        <f>HYPERLINK("https://github.com/amy-bo/electroPioreactor/blob/AEP02/Media/protocols/gerrit-current.md","ELECTROLYSIS CURRENT")</f>
        <v>ELECTROLYSIS CURRENT</v>
      </c>
    </row>
    <row r="6" spans="1:8" x14ac:dyDescent="0.2">
      <c r="A6" t="s">
        <v>1396</v>
      </c>
    </row>
    <row r="7" spans="1:8" x14ac:dyDescent="0.2">
      <c r="A7" s="16" t="s">
        <v>1397</v>
      </c>
      <c r="B7" s="16" t="s">
        <v>1398</v>
      </c>
      <c r="C7" s="16" t="s">
        <v>1</v>
      </c>
      <c r="D7" s="16" t="s">
        <v>1399</v>
      </c>
      <c r="E7" s="16" t="s">
        <v>1400</v>
      </c>
      <c r="F7" s="16" t="s">
        <v>1401</v>
      </c>
      <c r="G7" s="16" t="s">
        <v>1402</v>
      </c>
      <c r="H7" s="16" t="s">
        <v>1403</v>
      </c>
    </row>
    <row r="8" spans="1:8" x14ac:dyDescent="0.2">
      <c r="A8" s="122"/>
      <c r="B8" s="123"/>
      <c r="C8" s="122"/>
      <c r="D8" s="123"/>
      <c r="E8" s="123"/>
      <c r="F8" s="129" t="str">
        <f>IFERROR(VLOOKUP(C8,Geometry!$A$59:$B$80,2,FALSE),"")</f>
        <v/>
      </c>
      <c r="G8" s="122"/>
      <c r="H8" s="122"/>
    </row>
    <row r="9" spans="1:8" x14ac:dyDescent="0.2">
      <c r="A9" s="122"/>
      <c r="B9" s="123"/>
      <c r="C9" s="122"/>
      <c r="D9" s="123"/>
      <c r="E9" s="123"/>
      <c r="F9" s="129" t="str">
        <f>IFERROR(VLOOKUP(C9,Geometry!$A$59:$B$80,2,FALSE),"")</f>
        <v/>
      </c>
      <c r="G9" s="122"/>
      <c r="H9" s="122"/>
    </row>
    <row r="10" spans="1:8" x14ac:dyDescent="0.2">
      <c r="A10" s="122"/>
      <c r="B10" s="123"/>
      <c r="C10" s="122"/>
      <c r="D10" s="123"/>
      <c r="E10" s="123"/>
      <c r="F10" s="129" t="str">
        <f>IFERROR(VLOOKUP(C10,Geometry!$A$59:$B$80,2,FALSE),"")</f>
        <v/>
      </c>
      <c r="G10" s="122"/>
      <c r="H10" s="122"/>
    </row>
    <row r="11" spans="1:8" x14ac:dyDescent="0.2">
      <c r="A11" s="122"/>
      <c r="B11" s="123"/>
      <c r="C11" s="122"/>
      <c r="D11" s="123"/>
      <c r="E11" s="123"/>
      <c r="F11" s="129" t="str">
        <f>IFERROR(VLOOKUP(C11,Geometry!$A$59:$B$80,2,FALSE),"")</f>
        <v/>
      </c>
      <c r="G11" s="122"/>
      <c r="H11" s="122"/>
    </row>
    <row r="12" spans="1:8" x14ac:dyDescent="0.2">
      <c r="A12" s="122"/>
      <c r="B12" s="123"/>
      <c r="C12" s="122"/>
      <c r="D12" s="123"/>
      <c r="E12" s="123"/>
      <c r="F12" s="129" t="str">
        <f>IFERROR(VLOOKUP(C12,Geometry!$A$59:$B$80,2,FALSE),"")</f>
        <v/>
      </c>
      <c r="G12" s="122"/>
      <c r="H12" s="122"/>
    </row>
    <row r="13" spans="1:8" x14ac:dyDescent="0.2">
      <c r="A13" s="122"/>
      <c r="B13" s="123"/>
      <c r="C13" s="122"/>
      <c r="D13" s="123"/>
      <c r="E13" s="123"/>
      <c r="F13" s="129" t="str">
        <f>IFERROR(VLOOKUP(C13,Geometry!$A$59:$B$80,2,FALSE),"")</f>
        <v/>
      </c>
      <c r="G13" s="122"/>
      <c r="H13" s="122"/>
    </row>
    <row r="14" spans="1:8" x14ac:dyDescent="0.2">
      <c r="A14" s="122"/>
      <c r="B14" s="123"/>
      <c r="C14" s="122"/>
      <c r="D14" s="123"/>
      <c r="E14" s="123"/>
      <c r="F14" s="129" t="str">
        <f>IFERROR(VLOOKUP(C14,Geometry!$A$59:$B$80,2,FALSE),"")</f>
        <v/>
      </c>
      <c r="G14" s="122"/>
      <c r="H14" s="122"/>
    </row>
    <row r="15" spans="1:8" x14ac:dyDescent="0.2">
      <c r="A15" s="122"/>
      <c r="B15" s="123"/>
      <c r="C15" s="122"/>
      <c r="D15" s="123"/>
      <c r="E15" s="123"/>
      <c r="F15" s="129" t="str">
        <f>IFERROR(VLOOKUP(C15,Geometry!$A$59:$B$80,2,FALSE),"")</f>
        <v/>
      </c>
      <c r="G15" s="122"/>
      <c r="H15" s="122"/>
    </row>
    <row r="16" spans="1:8" x14ac:dyDescent="0.2">
      <c r="A16" s="17" t="s">
        <v>1404</v>
      </c>
      <c r="C16" s="19" t="s">
        <v>321</v>
      </c>
      <c r="D16" s="48" t="str">
        <f>IFERROR((COUNTIFS(C8:C15,Reactor_sel,G8:G15,"y")*SUMPRODUCT((C8:C15=Reactor_sel)*(G8:G15="y")*D8:D15*E8:E15)-SUMIFS(D8:D15,C8:C15,Reactor_sel,G8:G15,"y")*SUMIFS(E8:E15,C8:C15,Reactor_sel,G8:G15,"y"))/(COUNTIFS(C8:C15,Reactor_sel,G8:G15,"y")*SUMPRODUCT((C8:C15=Reactor_sel)*(G8:G15="y")*D8:D15*D8:D15)-SUMIFS(D8:D15,C8:C15,Reactor_sel,G8:G15,"y")*SUMIFS(D8:D15,C8:C15,Reactor_sel,G8:G15,"y")),"no included runs — model uses its default")</f>
        <v>no included runs — model uses its default</v>
      </c>
    </row>
    <row r="17" spans="1:13" x14ac:dyDescent="0.2">
      <c r="A17" s="17" t="s">
        <v>1405</v>
      </c>
      <c r="C17" s="19" t="s">
        <v>325</v>
      </c>
      <c r="D17" s="48" t="str">
        <f>IFERROR((SUMIFS(E8:E15,C8:C15,Reactor_sel,G8:G15,"y")-((COUNTIFS(C8:C15,Reactor_sel,G8:G15,"y")*SUMPRODUCT((C8:C15=Reactor_sel)*(G8:G15="y")*D8:D15*E8:E15)-SUMIFS(D8:D15,C8:C15,Reactor_sel,G8:G15,"y")*SUMIFS(E8:E15,C8:C15,Reactor_sel,G8:G15,"y"))/(COUNTIFS(C8:C15,Reactor_sel,G8:G15,"y")*SUMPRODUCT((C8:C15=Reactor_sel)*(G8:G15="y")*D8:D15*D8:D15)-SUMIFS(D8:D15,C8:C15,Reactor_sel,G8:G15,"y")*SUMIFS(D8:D15,C8:C15,Reactor_sel,G8:G15,"y")))*SUMIFS(D8:D15,C8:C15,Reactor_sel,G8:G15,"y"))/COUNTIFS(C8:C15,Reactor_sel,G8:G15,"y"),"no included runs — model uses its default")</f>
        <v>no included runs — model uses its default</v>
      </c>
    </row>
    <row r="20" spans="1:13" ht="16" x14ac:dyDescent="0.2">
      <c r="A20" s="4" t="str">
        <f>HYPERLINK("https://github.com/amy-bo/electroPioreactor/blob/AEP02/Media/protocols/faradaic-efficiency.md","FARADAIC EFFICIENCY  (cathodic etaF, anodic etaF_OER)")</f>
        <v>FARADAIC EFFICIENCY  (cathodic etaF, anodic etaF_OER)</v>
      </c>
    </row>
    <row r="21" spans="1:13" x14ac:dyDescent="0.2">
      <c r="A21" t="s">
        <v>1923</v>
      </c>
    </row>
    <row r="22" spans="1:13" x14ac:dyDescent="0.2">
      <c r="A22" s="16" t="s">
        <v>1397</v>
      </c>
      <c r="B22" s="16" t="s">
        <v>1398</v>
      </c>
      <c r="C22" s="16" t="s">
        <v>1</v>
      </c>
      <c r="D22" s="16" t="s">
        <v>1406</v>
      </c>
      <c r="E22" s="16" t="s">
        <v>1407</v>
      </c>
      <c r="F22" s="16" t="s">
        <v>1408</v>
      </c>
      <c r="G22" s="16" t="s">
        <v>1409</v>
      </c>
      <c r="H22" s="16" t="s">
        <v>33</v>
      </c>
      <c r="I22" s="16" t="s">
        <v>1410</v>
      </c>
      <c r="J22" s="16" t="s">
        <v>1401</v>
      </c>
      <c r="K22" s="16" t="s">
        <v>1402</v>
      </c>
      <c r="L22" s="16" t="s">
        <v>1403</v>
      </c>
    </row>
    <row r="23" spans="1:13" x14ac:dyDescent="0.2">
      <c r="A23" s="122"/>
      <c r="B23" s="123"/>
      <c r="C23" s="122"/>
      <c r="D23" s="123"/>
      <c r="E23" s="123"/>
      <c r="F23" s="123"/>
      <c r="G23" s="123"/>
      <c r="H23" s="123"/>
      <c r="I23" s="129" t="str">
        <f>IFERROR(((G23-p_sat_w)*(E23/1000000)/(R_gas*(F23+T_zero_C)))/(D23/(IF(H23="H2",z_e_H2,IF(H23="O2",z_e_O2,NA()))*F_const)),"")</f>
        <v/>
      </c>
      <c r="J23" s="129" t="str">
        <f>IFERROR(VLOOKUP(C23,Geometry!$A$59:$B$80,2,FALSE),"")</f>
        <v/>
      </c>
      <c r="K23" s="122"/>
      <c r="L23" s="122"/>
      <c r="M23" s="97"/>
    </row>
    <row r="24" spans="1:13" x14ac:dyDescent="0.2">
      <c r="A24" s="122"/>
      <c r="B24" s="123"/>
      <c r="C24" s="122"/>
      <c r="D24" s="123"/>
      <c r="E24" s="123"/>
      <c r="F24" s="123"/>
      <c r="G24" s="123"/>
      <c r="H24" s="123"/>
      <c r="I24" s="129" t="str">
        <f>IFERROR(((G24-p_sat_w)*(E24/1000000)/(R_gas*(F24+T_zero_C)))/(D24/(IF(H24="H2",z_e_H2,IF(H24="O2",z_e_O2,NA()))*F_const)),"")</f>
        <v/>
      </c>
      <c r="J24" s="129" t="str">
        <f>IFERROR(VLOOKUP(C24,Geometry!$A$59:$B$80,2,FALSE),"")</f>
        <v/>
      </c>
      <c r="K24" s="122"/>
      <c r="L24" s="122"/>
      <c r="M24" s="97"/>
    </row>
    <row r="25" spans="1:13" x14ac:dyDescent="0.2">
      <c r="A25" s="122"/>
      <c r="B25" s="123"/>
      <c r="C25" s="122"/>
      <c r="D25" s="123"/>
      <c r="E25" s="123"/>
      <c r="F25" s="123"/>
      <c r="G25" s="123"/>
      <c r="H25" s="123"/>
      <c r="I25" s="129" t="str">
        <f>IFERROR(((G25-p_sat_w)*(E25/1000000)/(R_gas*(F25+T_zero_C)))/(D25/(IF(H25="H2",z_e_H2,IF(H25="O2",z_e_O2,NA()))*F_const)),"")</f>
        <v/>
      </c>
      <c r="J25" s="129" t="str">
        <f>IFERROR(VLOOKUP(C25,Geometry!$A$59:$B$80,2,FALSE),"")</f>
        <v/>
      </c>
      <c r="K25" s="122"/>
      <c r="L25" s="122"/>
      <c r="M25" s="97"/>
    </row>
    <row r="26" spans="1:13" x14ac:dyDescent="0.2">
      <c r="A26" s="122"/>
      <c r="B26" s="123"/>
      <c r="C26" s="122"/>
      <c r="D26" s="123"/>
      <c r="E26" s="123"/>
      <c r="F26" s="123"/>
      <c r="G26" s="123"/>
      <c r="H26" s="123"/>
      <c r="I26" s="129" t="str">
        <f>IFERROR(((G26-p_sat_w)*(E26/1000000)/(R_gas*(F26+T_zero_C)))/(D26/(IF(H26="H2",z_e_H2,IF(H26="O2",z_e_O2,NA()))*F_const)),"")</f>
        <v/>
      </c>
      <c r="J26" s="129" t="str">
        <f>IFERROR(VLOOKUP(C26,Geometry!$A$59:$B$80,2,FALSE),"")</f>
        <v/>
      </c>
      <c r="K26" s="122"/>
      <c r="L26" s="122"/>
      <c r="M26" s="97"/>
    </row>
    <row r="27" spans="1:13" x14ac:dyDescent="0.2">
      <c r="A27" s="122"/>
      <c r="B27" s="123"/>
      <c r="C27" s="122"/>
      <c r="D27" s="123"/>
      <c r="E27" s="123"/>
      <c r="F27" s="123"/>
      <c r="G27" s="123"/>
      <c r="H27" s="123"/>
      <c r="I27" s="129" t="str">
        <f>IFERROR(((G27-p_sat_w)*(E27/1000000)/(R_gas*(F27+T_zero_C)))/(D27/(IF(H27="H2",z_e_H2,IF(H27="O2",z_e_O2,NA()))*F_const)),"")</f>
        <v/>
      </c>
      <c r="J27" s="129" t="str">
        <f>IFERROR(VLOOKUP(C27,Geometry!$A$59:$B$80,2,FALSE),"")</f>
        <v/>
      </c>
      <c r="K27" s="122"/>
      <c r="L27" s="122"/>
      <c r="M27" s="97"/>
    </row>
    <row r="28" spans="1:13" x14ac:dyDescent="0.2">
      <c r="A28" s="122"/>
      <c r="B28" s="123"/>
      <c r="C28" s="122"/>
      <c r="D28" s="123"/>
      <c r="E28" s="123"/>
      <c r="F28" s="123"/>
      <c r="G28" s="123"/>
      <c r="H28" s="123"/>
      <c r="I28" s="129" t="str">
        <f>IFERROR(((G28-p_sat_w)*(E28/1000000)/(R_gas*(F28+T_zero_C)))/(D28/(IF(H28="H2",z_e_H2,IF(H28="O2",z_e_O2,NA()))*F_const)),"")</f>
        <v/>
      </c>
      <c r="J28" s="129" t="str">
        <f>IFERROR(VLOOKUP(C28,Geometry!$A$59:$B$80,2,FALSE),"")</f>
        <v/>
      </c>
      <c r="K28" s="122"/>
      <c r="L28" s="122"/>
      <c r="M28" s="97"/>
    </row>
    <row r="29" spans="1:13" x14ac:dyDescent="0.2">
      <c r="A29" s="122"/>
      <c r="B29" s="123"/>
      <c r="C29" s="122"/>
      <c r="D29" s="123"/>
      <c r="E29" s="123"/>
      <c r="F29" s="123"/>
      <c r="G29" s="123"/>
      <c r="H29" s="123"/>
      <c r="I29" s="129" t="str">
        <f>IFERROR(((G29-p_sat_w)*(E29/1000000)/(R_gas*(F29+T_zero_C)))/(D29/(IF(H29="H2",z_e_H2,IF(H29="O2",z_e_O2,NA()))*F_const)),"")</f>
        <v/>
      </c>
      <c r="J29" s="129" t="str">
        <f>IFERROR(VLOOKUP(C29,Geometry!$A$59:$B$80,2,FALSE),"")</f>
        <v/>
      </c>
      <c r="K29" s="122"/>
      <c r="L29" s="122"/>
      <c r="M29" s="97"/>
    </row>
    <row r="30" spans="1:13" x14ac:dyDescent="0.2">
      <c r="A30" s="122"/>
      <c r="B30" s="123"/>
      <c r="C30" s="122"/>
      <c r="D30" s="123"/>
      <c r="E30" s="123"/>
      <c r="F30" s="123"/>
      <c r="G30" s="123"/>
      <c r="H30" s="123"/>
      <c r="I30" s="129" t="str">
        <f>IFERROR(((G30-p_sat_w)*(E30/1000000)/(R_gas*(F30+T_zero_C)))/(D30/(IF(H30="H2",z_e_H2,IF(H30="O2",z_e_O2,NA()))*F_const)),"")</f>
        <v/>
      </c>
      <c r="J30" s="129" t="str">
        <f>IFERROR(VLOOKUP(C30,Geometry!$A$59:$B$80,2,FALSE),"")</f>
        <v/>
      </c>
      <c r="K30" s="122"/>
      <c r="L30" s="122"/>
      <c r="M30" s="97"/>
    </row>
    <row r="31" spans="1:13" x14ac:dyDescent="0.2">
      <c r="A31" s="125" t="s">
        <v>1411</v>
      </c>
      <c r="B31" s="97"/>
      <c r="C31" s="126" t="s">
        <v>135</v>
      </c>
      <c r="D31" s="124" t="str">
        <f>IFERROR(AVERAGEIFS(I23:I30,C23:C30,Reactor_sel,K23:K30,"y",H23:H30,"H2"),"no included runs — model uses its default")</f>
        <v>no included runs — model uses its default</v>
      </c>
      <c r="E31" s="97"/>
      <c r="F31" s="97"/>
      <c r="G31" s="97"/>
      <c r="H31" s="97"/>
      <c r="I31" s="97"/>
      <c r="J31" s="97"/>
      <c r="K31" s="97"/>
      <c r="L31" s="97"/>
      <c r="M31" s="97"/>
    </row>
    <row r="32" spans="1:13" x14ac:dyDescent="0.2">
      <c r="A32" s="125" t="s">
        <v>1412</v>
      </c>
      <c r="B32" s="97"/>
      <c r="C32" s="126" t="s">
        <v>135</v>
      </c>
      <c r="D32" s="124" t="str">
        <f>IFERROR(AVERAGEIFS(I23:I30,C23:C30,Reactor_sel,K23:K30,"y",H23:H30,"O2"),"no included runs — model uses its default")</f>
        <v>no included runs — model uses its default</v>
      </c>
      <c r="E32" s="97"/>
      <c r="F32" s="97"/>
      <c r="G32" s="97"/>
      <c r="H32" s="97"/>
      <c r="I32" s="97"/>
      <c r="J32" s="97"/>
      <c r="K32" s="97"/>
      <c r="L32" s="97"/>
      <c r="M32" s="97"/>
    </row>
    <row r="33" spans="1:13" x14ac:dyDescent="0.2">
      <c r="A33" s="97"/>
      <c r="B33" s="97"/>
      <c r="C33" s="97"/>
      <c r="D33" s="97"/>
      <c r="E33" s="97"/>
      <c r="F33" s="97"/>
      <c r="G33" s="97"/>
      <c r="H33" s="97"/>
      <c r="I33" s="97"/>
      <c r="J33" s="97"/>
      <c r="K33" s="97"/>
      <c r="L33" s="97"/>
      <c r="M33" s="97"/>
    </row>
    <row r="34" spans="1:13" x14ac:dyDescent="0.2">
      <c r="A34" s="97"/>
      <c r="B34" s="97"/>
      <c r="C34" s="97"/>
      <c r="D34" s="97"/>
      <c r="E34" s="97"/>
      <c r="F34" s="97"/>
      <c r="G34" s="97"/>
      <c r="H34" s="97"/>
      <c r="I34" s="97"/>
      <c r="J34" s="97"/>
      <c r="K34" s="97"/>
      <c r="L34" s="97"/>
      <c r="M34" s="97"/>
    </row>
    <row r="35" spans="1:13" ht="16" x14ac:dyDescent="0.2">
      <c r="A35" s="127" t="str">
        <f>HYPERLINK("https://github.com/amy-bo/electroPioreactor/blob/AEP02/Media/protocols/surface-kla.md","SURFACE kLa  (oxygen surface transfer)")</f>
        <v>SURFACE kLa  (oxygen surface transfer)</v>
      </c>
      <c r="B35" s="97"/>
      <c r="C35" s="97"/>
      <c r="D35" s="97"/>
      <c r="E35" s="97"/>
      <c r="F35" s="97"/>
      <c r="G35" s="97"/>
      <c r="H35" s="97"/>
      <c r="I35" s="97"/>
      <c r="J35" s="97"/>
      <c r="K35" s="97"/>
      <c r="L35" s="97"/>
      <c r="M35" s="97"/>
    </row>
    <row r="36" spans="1:13" x14ac:dyDescent="0.2">
      <c r="A36" s="97" t="s">
        <v>1413</v>
      </c>
      <c r="B36" s="97"/>
      <c r="C36" s="97"/>
      <c r="D36" s="97"/>
      <c r="E36" s="97"/>
      <c r="F36" s="97"/>
      <c r="G36" s="97"/>
      <c r="H36" s="97"/>
      <c r="I36" s="97"/>
      <c r="J36" s="97"/>
      <c r="K36" s="97"/>
      <c r="L36" s="97"/>
      <c r="M36" s="97"/>
    </row>
    <row r="37" spans="1:13" x14ac:dyDescent="0.2">
      <c r="A37" s="128" t="s">
        <v>1397</v>
      </c>
      <c r="B37" s="128" t="s">
        <v>1398</v>
      </c>
      <c r="C37" s="128" t="s">
        <v>1</v>
      </c>
      <c r="D37" s="128" t="s">
        <v>1414</v>
      </c>
      <c r="E37" s="128" t="s">
        <v>1401</v>
      </c>
      <c r="F37" s="128" t="s">
        <v>1402</v>
      </c>
      <c r="G37" s="128" t="s">
        <v>1403</v>
      </c>
      <c r="H37" s="97"/>
      <c r="I37" s="97"/>
      <c r="J37" s="97"/>
      <c r="K37" s="97"/>
      <c r="L37" s="97"/>
      <c r="M37" s="97"/>
    </row>
    <row r="38" spans="1:13" x14ac:dyDescent="0.2">
      <c r="A38" s="122"/>
      <c r="B38" s="123"/>
      <c r="C38" s="122"/>
      <c r="D38" s="123"/>
      <c r="E38" s="129" t="str">
        <f>IFERROR(VLOOKUP(C38,Geometry!$A$59:$B$80,2,FALSE),"")</f>
        <v/>
      </c>
      <c r="F38" s="122"/>
      <c r="G38" s="122"/>
      <c r="H38" s="97"/>
      <c r="I38" s="97"/>
      <c r="J38" s="97"/>
      <c r="K38" s="97"/>
      <c r="L38" s="97"/>
      <c r="M38" s="97"/>
    </row>
    <row r="39" spans="1:13" x14ac:dyDescent="0.2">
      <c r="A39" s="122"/>
      <c r="B39" s="123"/>
      <c r="C39" s="122"/>
      <c r="D39" s="123"/>
      <c r="E39" s="129" t="str">
        <f>IFERROR(VLOOKUP(C39,Geometry!$A$59:$B$80,2,FALSE),"")</f>
        <v/>
      </c>
      <c r="F39" s="122"/>
      <c r="G39" s="122"/>
      <c r="H39" s="97"/>
      <c r="I39" s="97"/>
      <c r="J39" s="97"/>
      <c r="K39" s="97"/>
      <c r="L39" s="97"/>
      <c r="M39" s="97"/>
    </row>
    <row r="40" spans="1:13" x14ac:dyDescent="0.2">
      <c r="A40" s="122"/>
      <c r="B40" s="123"/>
      <c r="C40" s="122"/>
      <c r="D40" s="123"/>
      <c r="E40" s="129" t="str">
        <f>IFERROR(VLOOKUP(C40,Geometry!$A$59:$B$80,2,FALSE),"")</f>
        <v/>
      </c>
      <c r="F40" s="122"/>
      <c r="G40" s="122"/>
      <c r="H40" s="97"/>
      <c r="I40" s="97"/>
      <c r="J40" s="97"/>
      <c r="K40" s="97"/>
      <c r="L40" s="97"/>
      <c r="M40" s="97"/>
    </row>
    <row r="41" spans="1:13" x14ac:dyDescent="0.2">
      <c r="A41" s="122"/>
      <c r="B41" s="123"/>
      <c r="C41" s="122"/>
      <c r="D41" s="123"/>
      <c r="E41" s="129" t="str">
        <f>IFERROR(VLOOKUP(C41,Geometry!$A$59:$B$80,2,FALSE),"")</f>
        <v/>
      </c>
      <c r="F41" s="122"/>
      <c r="G41" s="122"/>
      <c r="H41" s="97"/>
      <c r="I41" s="97"/>
      <c r="J41" s="97"/>
      <c r="K41" s="97"/>
      <c r="L41" s="97"/>
      <c r="M41" s="97"/>
    </row>
    <row r="42" spans="1:13" x14ac:dyDescent="0.2">
      <c r="A42" s="122"/>
      <c r="B42" s="123"/>
      <c r="C42" s="122"/>
      <c r="D42" s="123"/>
      <c r="E42" s="129" t="str">
        <f>IFERROR(VLOOKUP(C42,Geometry!$A$59:$B$80,2,FALSE),"")</f>
        <v/>
      </c>
      <c r="F42" s="122"/>
      <c r="G42" s="122"/>
      <c r="H42" s="97"/>
      <c r="I42" s="97"/>
      <c r="J42" s="97"/>
      <c r="K42" s="97"/>
      <c r="L42" s="97"/>
      <c r="M42" s="97"/>
    </row>
    <row r="43" spans="1:13" x14ac:dyDescent="0.2">
      <c r="A43" s="122"/>
      <c r="B43" s="123"/>
      <c r="C43" s="122"/>
      <c r="D43" s="123"/>
      <c r="E43" s="129" t="str">
        <f>IFERROR(VLOOKUP(C43,Geometry!$A$59:$B$80,2,FALSE),"")</f>
        <v/>
      </c>
      <c r="F43" s="122"/>
      <c r="G43" s="122"/>
      <c r="H43" s="97"/>
      <c r="I43" s="97"/>
      <c r="J43" s="97"/>
      <c r="K43" s="97"/>
      <c r="L43" s="97"/>
      <c r="M43" s="97"/>
    </row>
    <row r="44" spans="1:13" x14ac:dyDescent="0.2">
      <c r="A44" s="122"/>
      <c r="B44" s="123"/>
      <c r="C44" s="122"/>
      <c r="D44" s="123"/>
      <c r="E44" s="129" t="str">
        <f>IFERROR(VLOOKUP(C44,Geometry!$A$59:$B$80,2,FALSE),"")</f>
        <v/>
      </c>
      <c r="F44" s="122"/>
      <c r="G44" s="122"/>
      <c r="H44" s="97"/>
      <c r="I44" s="97"/>
      <c r="J44" s="97"/>
      <c r="K44" s="97"/>
      <c r="L44" s="97"/>
      <c r="M44" s="97"/>
    </row>
    <row r="45" spans="1:13" x14ac:dyDescent="0.2">
      <c r="A45" s="122"/>
      <c r="B45" s="123"/>
      <c r="C45" s="122"/>
      <c r="D45" s="123"/>
      <c r="E45" s="129" t="str">
        <f>IFERROR(VLOOKUP(C45,Geometry!$A$59:$B$80,2,FALSE),"")</f>
        <v/>
      </c>
      <c r="F45" s="122"/>
      <c r="G45" s="122"/>
      <c r="H45" s="97"/>
      <c r="I45" s="97"/>
      <c r="J45" s="97"/>
      <c r="K45" s="97"/>
      <c r="L45" s="97"/>
      <c r="M45" s="97"/>
    </row>
    <row r="46" spans="1:13" x14ac:dyDescent="0.2">
      <c r="A46" s="125" t="s">
        <v>1415</v>
      </c>
      <c r="B46" s="97"/>
      <c r="C46" s="126" t="s">
        <v>507</v>
      </c>
      <c r="D46" s="124" t="str">
        <f>IFERROR(AVERAGEIFS(D38:D45,C38:C45,Reactor_sel,F38:F45,"y"),"no included runs — model uses its default")</f>
        <v>no included runs — model uses its default</v>
      </c>
      <c r="E46" s="97"/>
      <c r="F46" s="97"/>
      <c r="G46" s="97"/>
      <c r="H46" s="97"/>
      <c r="I46" s="97"/>
      <c r="J46" s="97"/>
      <c r="K46" s="97"/>
      <c r="L46" s="97"/>
      <c r="M46" s="97"/>
    </row>
    <row r="47" spans="1:13" x14ac:dyDescent="0.2">
      <c r="A47" s="97"/>
      <c r="B47" s="97"/>
      <c r="C47" s="97"/>
      <c r="D47" s="97"/>
      <c r="E47" s="97"/>
      <c r="F47" s="97"/>
      <c r="G47" s="97"/>
      <c r="H47" s="97"/>
      <c r="I47" s="97"/>
      <c r="J47" s="97"/>
      <c r="K47" s="97"/>
      <c r="L47" s="97"/>
      <c r="M47" s="97"/>
    </row>
    <row r="48" spans="1:13" x14ac:dyDescent="0.2">
      <c r="A48" s="97"/>
      <c r="B48" s="97"/>
      <c r="C48" s="97"/>
      <c r="D48" s="97"/>
      <c r="E48" s="97"/>
      <c r="F48" s="97"/>
      <c r="G48" s="97"/>
      <c r="H48" s="97"/>
      <c r="I48" s="97"/>
      <c r="J48" s="97"/>
      <c r="K48" s="97"/>
      <c r="L48" s="97"/>
      <c r="M48" s="97"/>
    </row>
    <row r="49" spans="1:13" ht="16" x14ac:dyDescent="0.2">
      <c r="A49" s="127" t="str">
        <f>HYPERLINK("https://github.com/amy-bo/electroPioreactor/blob/AEP02/Media/protocols/flow-calibration.md","CO2 FLOW  (dosing flow rate)")</f>
        <v>CO2 FLOW  (dosing flow rate)</v>
      </c>
      <c r="B49" s="97"/>
      <c r="C49" s="97"/>
      <c r="D49" s="97"/>
      <c r="E49" s="97"/>
      <c r="F49" s="97"/>
      <c r="G49" s="97"/>
      <c r="H49" s="97"/>
      <c r="I49" s="97"/>
      <c r="J49" s="97"/>
      <c r="K49" s="97"/>
      <c r="L49" s="97"/>
      <c r="M49" s="97"/>
    </row>
    <row r="50" spans="1:13" x14ac:dyDescent="0.2">
      <c r="A50" s="97" t="s">
        <v>1416</v>
      </c>
      <c r="B50" s="97"/>
      <c r="C50" s="97"/>
      <c r="D50" s="97"/>
      <c r="E50" s="97"/>
      <c r="F50" s="97"/>
      <c r="G50" s="97"/>
      <c r="H50" s="97"/>
      <c r="I50" s="97"/>
      <c r="J50" s="97"/>
      <c r="K50" s="97"/>
      <c r="L50" s="97"/>
      <c r="M50" s="97"/>
    </row>
    <row r="51" spans="1:13" x14ac:dyDescent="0.2">
      <c r="A51" s="128" t="s">
        <v>1397</v>
      </c>
      <c r="B51" s="128" t="s">
        <v>1398</v>
      </c>
      <c r="C51" s="128" t="s">
        <v>1</v>
      </c>
      <c r="D51" s="128" t="s">
        <v>1417</v>
      </c>
      <c r="E51" s="128" t="s">
        <v>1418</v>
      </c>
      <c r="F51" s="128" t="s">
        <v>1419</v>
      </c>
      <c r="G51" s="128" t="s">
        <v>1401</v>
      </c>
      <c r="H51" s="128" t="s">
        <v>1402</v>
      </c>
      <c r="I51" s="128" t="s">
        <v>1403</v>
      </c>
      <c r="J51" s="97"/>
      <c r="K51" s="97"/>
      <c r="L51" s="97"/>
      <c r="M51" s="97"/>
    </row>
    <row r="52" spans="1:13" x14ac:dyDescent="0.2">
      <c r="A52" s="122"/>
      <c r="B52" s="123"/>
      <c r="C52" s="122"/>
      <c r="D52" s="123"/>
      <c r="E52" s="123"/>
      <c r="F52" s="129" t="str">
        <f t="shared" ref="F52:F59" si="0">IFERROR(D52/E52,"")</f>
        <v/>
      </c>
      <c r="G52" s="129" t="str">
        <f>IFERROR(VLOOKUP(C52,Geometry!$A$59:$B$80,2,FALSE),"")</f>
        <v/>
      </c>
      <c r="H52" s="122"/>
      <c r="I52" s="122"/>
      <c r="J52" s="97"/>
      <c r="K52" s="97"/>
      <c r="L52" s="97"/>
      <c r="M52" s="97"/>
    </row>
    <row r="53" spans="1:13" x14ac:dyDescent="0.2">
      <c r="A53" s="122"/>
      <c r="B53" s="123"/>
      <c r="C53" s="122"/>
      <c r="D53" s="123"/>
      <c r="E53" s="123"/>
      <c r="F53" s="129" t="str">
        <f t="shared" si="0"/>
        <v/>
      </c>
      <c r="G53" s="129" t="str">
        <f>IFERROR(VLOOKUP(C53,Geometry!$A$59:$B$80,2,FALSE),"")</f>
        <v/>
      </c>
      <c r="H53" s="122"/>
      <c r="I53" s="122"/>
      <c r="J53" s="97"/>
      <c r="K53" s="97"/>
      <c r="L53" s="97"/>
      <c r="M53" s="97"/>
    </row>
    <row r="54" spans="1:13" x14ac:dyDescent="0.2">
      <c r="A54" s="122"/>
      <c r="B54" s="123"/>
      <c r="C54" s="122"/>
      <c r="D54" s="123"/>
      <c r="E54" s="123"/>
      <c r="F54" s="129" t="str">
        <f t="shared" si="0"/>
        <v/>
      </c>
      <c r="G54" s="129" t="str">
        <f>IFERROR(VLOOKUP(C54,Geometry!$A$59:$B$80,2,FALSE),"")</f>
        <v/>
      </c>
      <c r="H54" s="122"/>
      <c r="I54" s="122"/>
      <c r="J54" s="97"/>
      <c r="K54" s="97"/>
      <c r="L54" s="97"/>
      <c r="M54" s="97"/>
    </row>
    <row r="55" spans="1:13" x14ac:dyDescent="0.2">
      <c r="A55" s="122"/>
      <c r="B55" s="123"/>
      <c r="C55" s="122"/>
      <c r="D55" s="123"/>
      <c r="E55" s="123"/>
      <c r="F55" s="129" t="str">
        <f t="shared" si="0"/>
        <v/>
      </c>
      <c r="G55" s="129" t="str">
        <f>IFERROR(VLOOKUP(C55,Geometry!$A$59:$B$80,2,FALSE),"")</f>
        <v/>
      </c>
      <c r="H55" s="122"/>
      <c r="I55" s="122"/>
      <c r="J55" s="97"/>
      <c r="K55" s="97"/>
      <c r="L55" s="97"/>
      <c r="M55" s="97"/>
    </row>
    <row r="56" spans="1:13" x14ac:dyDescent="0.2">
      <c r="A56" s="122"/>
      <c r="B56" s="123"/>
      <c r="C56" s="122"/>
      <c r="D56" s="123"/>
      <c r="E56" s="123"/>
      <c r="F56" s="129" t="str">
        <f t="shared" si="0"/>
        <v/>
      </c>
      <c r="G56" s="129" t="str">
        <f>IFERROR(VLOOKUP(C56,Geometry!$A$59:$B$80,2,FALSE),"")</f>
        <v/>
      </c>
      <c r="H56" s="122"/>
      <c r="I56" s="122"/>
      <c r="J56" s="97"/>
      <c r="K56" s="97"/>
      <c r="L56" s="97"/>
      <c r="M56" s="97"/>
    </row>
    <row r="57" spans="1:13" x14ac:dyDescent="0.2">
      <c r="A57" s="122"/>
      <c r="B57" s="123"/>
      <c r="C57" s="122"/>
      <c r="D57" s="123"/>
      <c r="E57" s="123"/>
      <c r="F57" s="129" t="str">
        <f t="shared" si="0"/>
        <v/>
      </c>
      <c r="G57" s="129" t="str">
        <f>IFERROR(VLOOKUP(C57,Geometry!$A$59:$B$80,2,FALSE),"")</f>
        <v/>
      </c>
      <c r="H57" s="122"/>
      <c r="I57" s="122"/>
      <c r="J57" s="97"/>
      <c r="K57" s="97"/>
      <c r="L57" s="97"/>
      <c r="M57" s="97"/>
    </row>
    <row r="58" spans="1:13" x14ac:dyDescent="0.2">
      <c r="A58" s="122"/>
      <c r="B58" s="123"/>
      <c r="C58" s="122"/>
      <c r="D58" s="123"/>
      <c r="E58" s="123"/>
      <c r="F58" s="129" t="str">
        <f t="shared" si="0"/>
        <v/>
      </c>
      <c r="G58" s="129" t="str">
        <f>IFERROR(VLOOKUP(C58,Geometry!$A$59:$B$80,2,FALSE),"")</f>
        <v/>
      </c>
      <c r="H58" s="122"/>
      <c r="I58" s="122"/>
      <c r="J58" s="97"/>
      <c r="K58" s="97"/>
      <c r="L58" s="97"/>
      <c r="M58" s="97"/>
    </row>
    <row r="59" spans="1:13" x14ac:dyDescent="0.2">
      <c r="A59" s="122"/>
      <c r="B59" s="123"/>
      <c r="C59" s="122"/>
      <c r="D59" s="123"/>
      <c r="E59" s="123"/>
      <c r="F59" s="129" t="str">
        <f t="shared" si="0"/>
        <v/>
      </c>
      <c r="G59" s="129" t="str">
        <f>IFERROR(VLOOKUP(C59,Geometry!$A$59:$B$80,2,FALSE),"")</f>
        <v/>
      </c>
      <c r="H59" s="122"/>
      <c r="I59" s="122"/>
      <c r="J59" s="97"/>
      <c r="K59" s="97"/>
      <c r="L59" s="97"/>
      <c r="M59" s="97"/>
    </row>
    <row r="60" spans="1:13" x14ac:dyDescent="0.2">
      <c r="A60" s="125" t="s">
        <v>1420</v>
      </c>
      <c r="B60" s="97"/>
      <c r="C60" s="126" t="s">
        <v>1421</v>
      </c>
      <c r="D60" s="124" t="str">
        <f>IFERROR(AVERAGEIFS(F52:F59,C52:C59,Reactor_sel,H52:H59,"y",B52:B59,SUMPRODUCT(MAX((C52:C59=Reactor_sel)*(H52:H59="y")*B52:B59))),"no included runs — model uses its default")</f>
        <v>no included runs — model uses its default</v>
      </c>
      <c r="E60" s="97"/>
      <c r="F60" s="97"/>
      <c r="G60" s="97"/>
      <c r="H60" s="97"/>
      <c r="I60" s="97"/>
      <c r="J60" s="97"/>
      <c r="K60" s="97"/>
      <c r="L60" s="97"/>
      <c r="M60" s="97"/>
    </row>
    <row r="61" spans="1:13" x14ac:dyDescent="0.2">
      <c r="A61" s="97"/>
      <c r="B61" s="97"/>
      <c r="C61" s="97"/>
      <c r="D61" s="97"/>
      <c r="E61" s="97"/>
      <c r="F61" s="97"/>
      <c r="G61" s="97"/>
      <c r="H61" s="97"/>
      <c r="I61" s="97"/>
      <c r="J61" s="97"/>
      <c r="K61" s="97"/>
      <c r="L61" s="97"/>
      <c r="M61" s="97"/>
    </row>
    <row r="62" spans="1:13" x14ac:dyDescent="0.2">
      <c r="A62" s="97"/>
      <c r="B62" s="97"/>
      <c r="C62" s="97"/>
      <c r="D62" s="97"/>
      <c r="E62" s="97"/>
      <c r="F62" s="97"/>
      <c r="G62" s="97"/>
      <c r="H62" s="97"/>
      <c r="I62" s="97"/>
      <c r="J62" s="97"/>
      <c r="K62" s="97"/>
      <c r="L62" s="97"/>
      <c r="M62" s="97"/>
    </row>
    <row r="63" spans="1:13" ht="16" x14ac:dyDescent="0.2">
      <c r="A63" s="127" t="str">
        <f>HYPERLINK("https://github.com/amy-bo/electroPioreactor/blob/AEP02/Media/protocols/vial-geometry.md","VIAL GEOMETRY  (true volume &amp; bore depth)")</f>
        <v>VIAL GEOMETRY  (true volume &amp; bore depth)</v>
      </c>
      <c r="B63" s="97"/>
      <c r="C63" s="97"/>
      <c r="D63" s="97"/>
      <c r="E63" s="97"/>
      <c r="F63" s="97"/>
      <c r="G63" s="97"/>
      <c r="H63" s="97"/>
      <c r="I63" s="97"/>
      <c r="J63" s="97"/>
      <c r="K63" s="97"/>
      <c r="L63" s="97"/>
      <c r="M63" s="97"/>
    </row>
    <row r="64" spans="1:13" x14ac:dyDescent="0.2">
      <c r="A64" s="97" t="s">
        <v>1422</v>
      </c>
      <c r="B64" s="97"/>
      <c r="C64" s="97"/>
      <c r="D64" s="97"/>
      <c r="E64" s="97"/>
      <c r="F64" s="97"/>
      <c r="G64" s="97"/>
      <c r="H64" s="97"/>
      <c r="I64" s="97"/>
      <c r="J64" s="97"/>
      <c r="K64" s="97"/>
      <c r="L64" s="97"/>
      <c r="M64" s="97"/>
    </row>
    <row r="65" x14ac:dyDescent="0.2">
      <c r="A65" s="128" t="s">
        <v>1397</v>
      </c>
      <c r="B65" s="128" t="s">
        <v>1398</v>
      </c>
      <c r="C65" s="128" t="s">
        <v>1</v>
      </c>
      <c r="D65" s="128" t="s">
        <v>1423</v>
      </c>
      <c r="E65" s="128" t="s">
        <v>1424</v>
      </c>
      <c r="F65" s="128" t="s">
        <v>1408</v>
      </c>
      <c r="G65" s="128" t="s">
        <v>1425</v>
      </c>
      <c r="H65" s="128" t="s">
        <v>1426</v>
      </c>
      <c r="I65" s="128" t="s">
        <v>1401</v>
      </c>
      <c r="J65" s="128" t="s">
        <v>1402</v>
      </c>
      <c r="K65" s="128" t="s">
        <v>1403</v>
      </c>
      <c r="L65" s="128" t="inlineStr">
        <is>
          <t xml:space="preserve">Headspace (computed)</t>
        </is>
      </c>
      <c r="M65" s="128" t="inlineStr">
        <is>
          <t xml:space="preserve">Working-fill mass</t>
        </is>
      </c>
      <c r="N65" s="128" t="inlineStr">
        <is>
          <t xml:space="preserve">Working fill (computed)</t>
        </is>
      </c>
    </row>
    <row r="66" x14ac:dyDescent="0.2">
      <c r="A66" s="122"/>
      <c r="B66" s="123"/>
      <c r="C66" s="122"/>
      <c r="D66" s="123"/>
      <c r="E66" s="123"/>
      <c r="F66" s="123"/>
      <c r="G66" s="129" t="str">
        <f>IF(E66="","",IFERROR(E66/((ca_rho_0+ca_rho_k*F66)/1000),""))</f>
        <v/>
      </c>
      <c r="H66" s="129" t="str">
        <f>IF(E66="","",IFERROR((E66/((ca_rho_0+ca_rho_k*F66)/1000))*1000/A_x,""))</f>
        <v/>
      </c>
      <c r="I66" s="129" t="str">
        <f>IFERROR(VLOOKUP(C66,Geometry!$A$59:$B$80,2,FALSE),"")</f>
        <v/>
      </c>
      <c r="J66" s="122"/>
      <c r="K66" s="122"/>
      <c r="L66" s="129" t="str">
        <f>IF(D66="","",IFERROR(D66/((ca_rho_0+ca_rho_k*F66)/1000),""))</f>
        <v/>
      </c>
      <c r="M66" s="123"/>
      <c r="N66" s="129" t="str">
        <f>IF(M66="","",IFERROR(M66/((ca_rho_0+ca_rho_k*F66)/1000),""))</f>
        <v/>
      </c>
    </row>
    <row r="67" x14ac:dyDescent="0.2">
      <c r="A67" s="122"/>
      <c r="B67" s="123"/>
      <c r="C67" s="122"/>
      <c r="D67" s="123"/>
      <c r="E67" s="123"/>
      <c r="F67" s="123"/>
      <c r="G67" s="129" t="str">
        <f>IF(E67="","",IFERROR(E67/((ca_rho_0+ca_rho_k*F67)/1000),""))</f>
        <v/>
      </c>
      <c r="H67" s="129" t="str">
        <f>IF(E67="","",IFERROR((E67/((ca_rho_0+ca_rho_k*F67)/1000))*1000/A_x,""))</f>
        <v/>
      </c>
      <c r="I67" s="129" t="str">
        <f>IFERROR(VLOOKUP(C67,Geometry!$A$59:$B$80,2,FALSE),"")</f>
        <v/>
      </c>
      <c r="J67" s="122"/>
      <c r="K67" s="122"/>
      <c r="L67" s="129" t="str">
        <f>IF(D67="","",IFERROR(D67/((ca_rho_0+ca_rho_k*F67)/1000),""))</f>
        <v/>
      </c>
      <c r="M67" s="123"/>
      <c r="N67" s="129" t="str">
        <f>IF(M67="","",IFERROR(M67/((ca_rho_0+ca_rho_k*F67)/1000),""))</f>
        <v/>
      </c>
    </row>
    <row r="68" x14ac:dyDescent="0.2">
      <c r="A68" s="122"/>
      <c r="B68" s="123"/>
      <c r="C68" s="122"/>
      <c r="D68" s="123"/>
      <c r="E68" s="123"/>
      <c r="F68" s="123"/>
      <c r="G68" s="129" t="str">
        <f>IF(E68="","",IFERROR(E68/((ca_rho_0+ca_rho_k*F68)/1000),""))</f>
        <v/>
      </c>
      <c r="H68" s="129" t="str">
        <f>IF(E68="","",IFERROR((E68/((ca_rho_0+ca_rho_k*F68)/1000))*1000/A_x,""))</f>
        <v/>
      </c>
      <c r="I68" s="129" t="str">
        <f>IFERROR(VLOOKUP(C68,Geometry!$A$59:$B$80,2,FALSE),"")</f>
        <v/>
      </c>
      <c r="J68" s="122"/>
      <c r="K68" s="122"/>
      <c r="L68" s="129" t="str">
        <f>IF(D68="","",IFERROR(D68/((ca_rho_0+ca_rho_k*F68)/1000),""))</f>
        <v/>
      </c>
      <c r="M68" s="123"/>
      <c r="N68" s="129" t="str">
        <f>IF(M68="","",IFERROR(M68/((ca_rho_0+ca_rho_k*F68)/1000),""))</f>
        <v/>
      </c>
    </row>
    <row r="69" x14ac:dyDescent="0.2">
      <c r="A69" s="122"/>
      <c r="B69" s="123"/>
      <c r="C69" s="122"/>
      <c r="D69" s="123"/>
      <c r="E69" s="123"/>
      <c r="F69" s="123"/>
      <c r="G69" s="129" t="str">
        <f>IF(E69="","",IFERROR(E69/((ca_rho_0+ca_rho_k*F69)/1000),""))</f>
        <v/>
      </c>
      <c r="H69" s="129" t="str">
        <f>IF(E69="","",IFERROR((E69/((ca_rho_0+ca_rho_k*F69)/1000))*1000/A_x,""))</f>
        <v/>
      </c>
      <c r="I69" s="129" t="str">
        <f>IFERROR(VLOOKUP(C69,Geometry!$A$59:$B$80,2,FALSE),"")</f>
        <v/>
      </c>
      <c r="J69" s="122"/>
      <c r="K69" s="122"/>
      <c r="L69" s="129" t="str">
        <f>IF(D69="","",IFERROR(D69/((ca_rho_0+ca_rho_k*F69)/1000),""))</f>
        <v/>
      </c>
      <c r="M69" s="123"/>
      <c r="N69" s="129" t="str">
        <f>IF(M69="","",IFERROR(M69/((ca_rho_0+ca_rho_k*F69)/1000),""))</f>
        <v/>
      </c>
    </row>
    <row r="70" x14ac:dyDescent="0.2">
      <c r="A70" s="122"/>
      <c r="B70" s="123"/>
      <c r="C70" s="122"/>
      <c r="D70" s="123"/>
      <c r="E70" s="123"/>
      <c r="F70" s="123"/>
      <c r="G70" s="129" t="str">
        <f>IF(E70="","",IFERROR(E70/((ca_rho_0+ca_rho_k*F70)/1000),""))</f>
        <v/>
      </c>
      <c r="H70" s="129" t="str">
        <f>IF(E70="","",IFERROR((E70/((ca_rho_0+ca_rho_k*F70)/1000))*1000/A_x,""))</f>
        <v/>
      </c>
      <c r="I70" s="129" t="str">
        <f>IFERROR(VLOOKUP(C70,Geometry!$A$59:$B$80,2,FALSE),"")</f>
        <v/>
      </c>
      <c r="J70" s="122"/>
      <c r="K70" s="122"/>
      <c r="L70" s="129" t="str">
        <f>IF(D70="","",IFERROR(D70/((ca_rho_0+ca_rho_k*F70)/1000),""))</f>
        <v/>
      </c>
      <c r="M70" s="123"/>
      <c r="N70" s="129" t="str">
        <f>IF(M70="","",IFERROR(M70/((ca_rho_0+ca_rho_k*F70)/1000),""))</f>
        <v/>
      </c>
    </row>
    <row r="71" x14ac:dyDescent="0.2">
      <c r="A71" s="122"/>
      <c r="B71" s="123"/>
      <c r="C71" s="122"/>
      <c r="D71" s="123"/>
      <c r="E71" s="123"/>
      <c r="F71" s="123"/>
      <c r="G71" s="129" t="str">
        <f>IF(E71="","",IFERROR(E71/((ca_rho_0+ca_rho_k*F71)/1000),""))</f>
        <v/>
      </c>
      <c r="H71" s="129" t="str">
        <f>IF(E71="","",IFERROR((E71/((ca_rho_0+ca_rho_k*F71)/1000))*1000/A_x,""))</f>
        <v/>
      </c>
      <c r="I71" s="129" t="str">
        <f>IFERROR(VLOOKUP(C71,Geometry!$A$59:$B$80,2,FALSE),"")</f>
        <v/>
      </c>
      <c r="J71" s="122"/>
      <c r="K71" s="122"/>
      <c r="L71" s="129" t="str">
        <f>IF(D71="","",IFERROR(D71/((ca_rho_0+ca_rho_k*F71)/1000),""))</f>
        <v/>
      </c>
      <c r="M71" s="123"/>
      <c r="N71" s="129" t="str">
        <f>IF(M71="","",IFERROR(M71/((ca_rho_0+ca_rho_k*F71)/1000),""))</f>
        <v/>
      </c>
    </row>
    <row r="72" x14ac:dyDescent="0.2">
      <c r="A72" s="122"/>
      <c r="B72" s="123"/>
      <c r="C72" s="122"/>
      <c r="D72" s="123"/>
      <c r="E72" s="123"/>
      <c r="F72" s="123"/>
      <c r="G72" s="129" t="str">
        <f>IF(E72="","",IFERROR(E72/((ca_rho_0+ca_rho_k*F72)/1000),""))</f>
        <v/>
      </c>
      <c r="H72" s="129" t="str">
        <f>IF(E72="","",IFERROR((E72/((ca_rho_0+ca_rho_k*F72)/1000))*1000/A_x,""))</f>
        <v/>
      </c>
      <c r="I72" s="129" t="str">
        <f>IFERROR(VLOOKUP(C72,Geometry!$A$59:$B$80,2,FALSE),"")</f>
        <v/>
      </c>
      <c r="J72" s="122"/>
      <c r="K72" s="122"/>
      <c r="L72" s="129" t="str">
        <f>IF(D72="","",IFERROR(D72/((ca_rho_0+ca_rho_k*F72)/1000),""))</f>
        <v/>
      </c>
      <c r="M72" s="123"/>
      <c r="N72" s="129" t="str">
        <f>IF(M72="","",IFERROR(M72/((ca_rho_0+ca_rho_k*F72)/1000),""))</f>
        <v/>
      </c>
    </row>
    <row r="73" x14ac:dyDescent="0.2">
      <c r="A73" s="122"/>
      <c r="B73" s="123"/>
      <c r="C73" s="122"/>
      <c r="D73" s="123"/>
      <c r="E73" s="123"/>
      <c r="F73" s="123"/>
      <c r="G73" s="129" t="str">
        <f>IF(E73="","",IFERROR(E73/((ca_rho_0+ca_rho_k*F73)/1000),""))</f>
        <v/>
      </c>
      <c r="H73" s="129" t="str">
        <f>IF(E73="","",IFERROR((E73/((ca_rho_0+ca_rho_k*F73)/1000))*1000/A_x,""))</f>
        <v/>
      </c>
      <c r="I73" s="129" t="str">
        <f>IFERROR(VLOOKUP(C73,Geometry!$A$59:$B$80,2,FALSE),"")</f>
        <v/>
      </c>
      <c r="J73" s="122"/>
      <c r="K73" s="122"/>
      <c r="L73" s="129" t="str">
        <f>IF(D73="","",IFERROR(D73/((ca_rho_0+ca_rho_k*F73)/1000),""))</f>
        <v/>
      </c>
      <c r="M73" s="123"/>
      <c r="N73" s="129" t="str">
        <f>IF(M73="","",IFERROR(M73/((ca_rho_0+ca_rho_k*F73)/1000),""))</f>
        <v/>
      </c>
    </row>
    <row r="74" spans="1:13" x14ac:dyDescent="0.2">
      <c r="A74" s="125" t="s">
        <v>1427</v>
      </c>
      <c r="B74" s="97"/>
      <c r="C74" s="126" t="s">
        <v>57</v>
      </c>
      <c r="D74" s="124" t="str">
        <f>IFERROR(AVERAGEIFS(G66:G73,I66:I73,rx_ver,J66:J73,"y"),"no included runs — model uses its default")</f>
        <v>no included runs — model uses its default</v>
      </c>
      <c r="E74" s="97"/>
      <c r="F74" s="97"/>
      <c r="G74" s="97"/>
      <c r="H74" s="97"/>
      <c r="I74" s="97"/>
      <c r="J74" s="97"/>
      <c r="K74" s="97"/>
      <c r="L74" s="97"/>
      <c r="M74" s="97"/>
    </row>
    <row r="75" spans="1:13" x14ac:dyDescent="0.2">
      <c r="A75" s="125" t="s">
        <v>1428</v>
      </c>
      <c r="B75" s="97"/>
      <c r="C75" s="126" t="s">
        <v>146</v>
      </c>
      <c r="D75" s="124" t="str">
        <f>IFERROR(AVERAGEIFS(H66:H73,I66:I73,rx_ver,J66:J73,"y"),"no included runs — model uses its default")</f>
        <v>no included runs — model uses its default</v>
      </c>
      <c r="E75" s="97"/>
      <c r="F75" s="97"/>
      <c r="G75" s="97"/>
      <c r="H75" s="97"/>
      <c r="I75" s="97"/>
      <c r="J75" s="97"/>
      <c r="K75" s="97"/>
      <c r="L75" s="97"/>
      <c r="M75" s="97"/>
    </row>
    <row r="76" spans="1:13" x14ac:dyDescent="0.2">
      <c r="A76" s="125" t="inlineStr">
        <is>
          <t xml:space="preserve">Value in use - headspace at working fill</t>
        </is>
      </c>
      <c r="B76" s="97"/>
      <c r="C76" s="126" t="inlineStr">
        <is>
          <t xml:space="preserve">mL</t>
        </is>
      </c>
      <c r="D76" s="124" t="str">
        <f>IFERROR(AVERAGEIFS(L66:L73,I66:I73,rx_ver,J66:J73,"y"),"no included runs — model uses its default")</f>
        <v>no included runs — model uses its default</v>
      </c>
      <c r="E76" s="97"/>
      <c r="F76" s="97"/>
      <c r="G76" s="97"/>
      <c r="H76" s="97"/>
      <c r="I76" s="97"/>
      <c r="J76" s="97"/>
      <c r="K76" s="97"/>
      <c r="L76" s="97"/>
      <c r="M76" s="97"/>
    </row>
    <row r="77" spans="1:13" x14ac:dyDescent="0.2">
      <c r="A77" s="125" t="inlineStr">
        <is>
          <t xml:space="preserve">Value in use - working fill behind that headspace</t>
        </is>
      </c>
      <c r="B77" s="97"/>
      <c r="C77" s="126" t="inlineStr">
        <is>
          <t xml:space="preserve">mL</t>
        </is>
      </c>
      <c r="D77" s="124" t="str">
        <f>IFERROR(AVERAGEIFS(N66:N73,I66:I73,rx_ver,J66:J73,"y"),"no included runs — model uses its default")</f>
        <v>no included runs — model uses its default</v>
      </c>
      <c r="E77" s="97"/>
      <c r="F77" s="97"/>
      <c r="G77" s="97"/>
      <c r="H77" s="97"/>
      <c r="I77" s="97"/>
      <c r="J77" s="97"/>
      <c r="K77" s="97"/>
      <c r="L77" s="97"/>
      <c r="M77" s="97"/>
    </row>
    <row r="78" spans="1:13" ht="16" x14ac:dyDescent="0.2">
      <c r="A78" s="127" t="str">
        <f>HYPERLINK("https://github.com/amy-bo/electroPioreactor/blob/AEP02/Media/protocols/sinter-porosity.md","SINTER POROSITY  (sparger frit grade)")</f>
        <v>SINTER POROSITY  (sparger frit grade)</v>
      </c>
      <c r="B78" s="97"/>
      <c r="C78" s="97"/>
      <c r="D78" s="97"/>
      <c r="E78" s="97"/>
      <c r="F78" s="97"/>
      <c r="G78" s="97"/>
      <c r="H78" s="97"/>
      <c r="I78" s="97"/>
      <c r="J78" s="97"/>
      <c r="K78" s="97"/>
      <c r="L78" s="97"/>
      <c r="M78" s="97"/>
    </row>
    <row r="79" spans="1:13" x14ac:dyDescent="0.2">
      <c r="A79" s="97" t="s">
        <v>1429</v>
      </c>
      <c r="B79" s="97"/>
      <c r="C79" s="97"/>
      <c r="D79" s="97"/>
      <c r="E79" s="97"/>
      <c r="F79" s="123"/>
      <c r="G79" s="97"/>
      <c r="H79" s="97"/>
      <c r="I79" s="97"/>
      <c r="J79" s="97"/>
      <c r="K79" s="97"/>
      <c r="L79" s="97"/>
      <c r="M79" s="97"/>
    </row>
    <row r="80" spans="1:13" x14ac:dyDescent="0.2">
      <c r="A80" s="128" t="s">
        <v>1397</v>
      </c>
      <c r="B80" s="128" t="s">
        <v>1398</v>
      </c>
      <c r="C80" s="128" t="s">
        <v>1</v>
      </c>
      <c r="D80" s="128" t="s">
        <v>1430</v>
      </c>
      <c r="E80" s="128" t="s">
        <v>1431</v>
      </c>
      <c r="F80" s="128" t="s">
        <v>1401</v>
      </c>
      <c r="G80" s="128" t="s">
        <v>1402</v>
      </c>
      <c r="H80" s="128" t="s">
        <v>1403</v>
      </c>
      <c r="I80" s="97"/>
      <c r="J80" s="97"/>
      <c r="K80" s="97"/>
      <c r="L80" s="97"/>
      <c r="M80" s="97"/>
    </row>
    <row r="81" spans="1:13" x14ac:dyDescent="0.2">
      <c r="A81" s="122"/>
      <c r="B81" s="123"/>
      <c r="C81" s="122"/>
      <c r="D81" s="123"/>
      <c r="E81" s="129" t="str">
        <f>IFERROR(IF((bp_const/D81)&gt;por_break_1,0,IF((bp_const/D81)&gt;por_break_2,1,IF((bp_const/D81)&gt;por_break_3,2,IF((bp_const/D81)&gt;por_break_4,3,IF((bp_const/D81)&gt;por_break_5,4,5))))),"")</f>
        <v/>
      </c>
      <c r="F81" s="129" t="str">
        <f>IFERROR(VLOOKUP(C81,Geometry!$A$59:$B$80,2,FALSE),"")</f>
        <v/>
      </c>
      <c r="G81" s="122"/>
      <c r="H81" s="122"/>
      <c r="I81" s="97"/>
      <c r="J81" s="97"/>
      <c r="K81" s="97"/>
      <c r="L81" s="97"/>
      <c r="M81" s="97"/>
    </row>
    <row r="82" spans="1:13" x14ac:dyDescent="0.2">
      <c r="A82" s="122"/>
      <c r="B82" s="123"/>
      <c r="C82" s="122"/>
      <c r="D82" s="123"/>
      <c r="E82" s="129" t="str">
        <f>IFERROR(IF((bp_const/D82)&gt;por_break_1,0,IF((bp_const/D82)&gt;por_break_2,1,IF((bp_const/D82)&gt;por_break_3,2,IF((bp_const/D82)&gt;por_break_4,3,IF((bp_const/D82)&gt;por_break_5,4,5))))),"")</f>
        <v/>
      </c>
      <c r="F82" s="130" t="str">
        <f>IFERROR(VLOOKUP(C82,Geometry!$A$59:$B$80,2,FALSE),"")</f>
        <v/>
      </c>
      <c r="G82" s="122"/>
      <c r="H82" s="122"/>
      <c r="I82" s="97"/>
      <c r="J82" s="97"/>
      <c r="K82" s="97"/>
      <c r="L82" s="97"/>
      <c r="M82" s="97"/>
    </row>
    <row r="83" spans="1:13" x14ac:dyDescent="0.2">
      <c r="A83" s="122"/>
      <c r="B83" s="123"/>
      <c r="C83" s="122"/>
      <c r="D83" s="123"/>
      <c r="E83" s="129" t="str">
        <f>IFERROR(IF((bp_const/D83)&gt;por_break_1,0,IF((bp_const/D83)&gt;por_break_2,1,IF((bp_const/D83)&gt;por_break_3,2,IF((bp_const/D83)&gt;por_break_4,3,IF((bp_const/D83)&gt;por_break_5,4,5))))),"")</f>
        <v/>
      </c>
      <c r="F83" s="130" t="str">
        <f>IFERROR(VLOOKUP(C83,Geometry!$A$59:$B$80,2,FALSE),"")</f>
        <v/>
      </c>
      <c r="G83" s="122"/>
      <c r="H83" s="122"/>
      <c r="I83" s="97"/>
      <c r="J83" s="97"/>
      <c r="K83" s="97"/>
      <c r="L83" s="97"/>
      <c r="M83" s="97"/>
    </row>
    <row r="84" spans="1:13" x14ac:dyDescent="0.2">
      <c r="A84" s="122"/>
      <c r="B84" s="123"/>
      <c r="C84" s="122"/>
      <c r="D84" s="123"/>
      <c r="E84" s="129" t="str">
        <f>IFERROR(IF((bp_const/D84)&gt;por_break_1,0,IF((bp_const/D84)&gt;por_break_2,1,IF((bp_const/D84)&gt;por_break_3,2,IF((bp_const/D84)&gt;por_break_4,3,IF((bp_const/D84)&gt;por_break_5,4,5))))),"")</f>
        <v/>
      </c>
      <c r="F84" s="130" t="str">
        <f>IFERROR(VLOOKUP(C84,Geometry!$A$59:$B$80,2,FALSE),"")</f>
        <v/>
      </c>
      <c r="G84" s="122"/>
      <c r="H84" s="122"/>
      <c r="I84" s="97"/>
      <c r="J84" s="97"/>
      <c r="K84" s="97"/>
      <c r="L84" s="97"/>
      <c r="M84" s="97"/>
    </row>
    <row r="85" spans="1:13" x14ac:dyDescent="0.2">
      <c r="A85" s="122"/>
      <c r="B85" s="123"/>
      <c r="C85" s="122"/>
      <c r="D85" s="123"/>
      <c r="E85" s="129" t="str">
        <f>IFERROR(IF((bp_const/D85)&gt;por_break_1,0,IF((bp_const/D85)&gt;por_break_2,1,IF((bp_const/D85)&gt;por_break_3,2,IF((bp_const/D85)&gt;por_break_4,3,IF((bp_const/D85)&gt;por_break_5,4,5))))),"")</f>
        <v/>
      </c>
      <c r="F85" s="130" t="str">
        <f>IFERROR(VLOOKUP(C85,Geometry!$A$59:$B$80,2,FALSE),"")</f>
        <v/>
      </c>
      <c r="G85" s="122"/>
      <c r="H85" s="122"/>
      <c r="I85" s="97"/>
      <c r="J85" s="97"/>
      <c r="K85" s="97"/>
      <c r="L85" s="97"/>
      <c r="M85" s="97"/>
    </row>
    <row r="86" spans="1:13" x14ac:dyDescent="0.2">
      <c r="A86" s="122"/>
      <c r="B86" s="123"/>
      <c r="C86" s="122"/>
      <c r="D86" s="123"/>
      <c r="E86" s="129" t="str">
        <f>IFERROR(IF((bp_const/D86)&gt;por_break_1,0,IF((bp_const/D86)&gt;por_break_2,1,IF((bp_const/D86)&gt;por_break_3,2,IF((bp_const/D86)&gt;por_break_4,3,IF((bp_const/D86)&gt;por_break_5,4,5))))),"")</f>
        <v/>
      </c>
      <c r="F86" s="129" t="str">
        <f>IFERROR(VLOOKUP(C86,Geometry!$A$59:$B$80,2,FALSE),"")</f>
        <v/>
      </c>
      <c r="G86" s="122"/>
      <c r="H86" s="122"/>
      <c r="I86" s="97"/>
      <c r="J86" s="97"/>
      <c r="K86" s="97"/>
      <c r="L86" s="97"/>
      <c r="M86" s="97"/>
    </row>
    <row r="87" spans="1:13" x14ac:dyDescent="0.2">
      <c r="A87" s="122"/>
      <c r="B87" s="123"/>
      <c r="C87" s="122"/>
      <c r="D87" s="123"/>
      <c r="E87" s="129" t="str">
        <f>IFERROR(IF((bp_const/D87)&gt;por_break_1,0,IF((bp_const/D87)&gt;por_break_2,1,IF((bp_const/D87)&gt;por_break_3,2,IF((bp_const/D87)&gt;por_break_4,3,IF((bp_const/D87)&gt;por_break_5,4,5))))),"")</f>
        <v/>
      </c>
      <c r="F87" s="129" t="str">
        <f>IFERROR(VLOOKUP(C87,Geometry!$A$59:$B$80,2,FALSE),"")</f>
        <v/>
      </c>
      <c r="G87" s="122"/>
      <c r="H87" s="122"/>
      <c r="I87" s="97"/>
      <c r="J87" s="97"/>
      <c r="K87" s="97"/>
      <c r="L87" s="97"/>
      <c r="M87" s="97"/>
    </row>
    <row r="88" spans="1:13" x14ac:dyDescent="0.2">
      <c r="A88" s="122"/>
      <c r="B88" s="123"/>
      <c r="C88" s="122"/>
      <c r="D88" s="123"/>
      <c r="E88" s="129" t="str">
        <f>IFERROR(IF((bp_const/D88)&gt;por_break_1,0,IF((bp_const/D88)&gt;por_break_2,1,IF((bp_const/D88)&gt;por_break_3,2,IF((bp_const/D88)&gt;por_break_4,3,IF((bp_const/D88)&gt;por_break_5,4,5))))),"")</f>
        <v/>
      </c>
      <c r="F88" s="129" t="str">
        <f>IFERROR(VLOOKUP(C88,Geometry!$A$59:$B$80,2,FALSE),"")</f>
        <v/>
      </c>
      <c r="G88" s="122"/>
      <c r="H88" s="122"/>
      <c r="I88" s="97"/>
      <c r="J88" s="97"/>
      <c r="K88" s="97"/>
      <c r="L88" s="97"/>
      <c r="M88" s="97"/>
    </row>
    <row r="89" spans="1:13" x14ac:dyDescent="0.2">
      <c r="A89" s="125" t="s">
        <v>1432</v>
      </c>
      <c r="B89" s="97"/>
      <c r="C89" s="126" t="s">
        <v>553</v>
      </c>
      <c r="D89" s="124" t="str">
        <f>IFERROR(AVERAGEIFS(E81:E88,C81:C88,Reactor_sel,G81:G88,"y",B81:B88,SUMPRODUCT(MAX((C81:C88=Reactor_sel)*(G81:G88="y")*B81:B88))),"no included runs — model uses its default")</f>
        <v>no included runs — model uses its default</v>
      </c>
      <c r="E89" s="97"/>
      <c r="F89" s="97"/>
      <c r="G89" s="97"/>
      <c r="H89" s="97"/>
      <c r="I89" s="97"/>
      <c r="J89" s="97"/>
      <c r="K89" s="97"/>
      <c r="L89" s="97"/>
      <c r="M89" s="97"/>
    </row>
    <row r="90" spans="1:13" x14ac:dyDescent="0.2">
      <c r="A90" s="97"/>
      <c r="B90" s="97"/>
      <c r="C90" s="97"/>
      <c r="D90" s="97"/>
      <c r="E90" s="97"/>
      <c r="F90" s="97"/>
      <c r="G90" s="97"/>
      <c r="H90" s="97"/>
      <c r="I90" s="97"/>
      <c r="J90" s="97"/>
      <c r="K90" s="97"/>
      <c r="L90" s="97"/>
      <c r="M90" s="97"/>
    </row>
    <row r="91" spans="1:13" x14ac:dyDescent="0.2">
      <c r="A91" s="97"/>
      <c r="B91" s="97"/>
      <c r="C91" s="97"/>
      <c r="D91" s="97"/>
      <c r="E91" s="97"/>
      <c r="F91" s="97"/>
      <c r="G91" s="97"/>
      <c r="H91" s="97"/>
      <c r="I91" s="97"/>
      <c r="J91" s="97"/>
      <c r="K91" s="97"/>
      <c r="L91" s="97"/>
      <c r="M91" s="97"/>
    </row>
    <row r="92" spans="1:13" ht="16" x14ac:dyDescent="0.2">
      <c r="A92" s="127" t="str">
        <f>HYPERLINK("https://github.com/amy-bo/electroPioreactor/blob/AEP02/Media/protocols/dissolved-oxygen.md","DISSOLVED-OXYGEN THRESHOLDS  (per organism)")</f>
        <v>DISSOLVED-OXYGEN THRESHOLDS  (per organism)</v>
      </c>
      <c r="B92" s="97"/>
      <c r="C92" s="97"/>
      <c r="D92" s="97"/>
      <c r="E92" s="97"/>
      <c r="F92" s="97"/>
      <c r="G92" s="97"/>
      <c r="H92" s="97"/>
      <c r="I92" s="97"/>
      <c r="J92" s="97"/>
      <c r="K92" s="97"/>
      <c r="L92" s="97"/>
      <c r="M92" s="97"/>
    </row>
    <row r="93" spans="1:13" x14ac:dyDescent="0.2">
      <c r="A93" s="97" t="s">
        <v>1433</v>
      </c>
      <c r="B93" s="97"/>
      <c r="C93" s="97"/>
      <c r="D93" s="97"/>
      <c r="E93" s="97"/>
      <c r="F93" s="97"/>
      <c r="G93" s="97"/>
      <c r="H93" s="97"/>
      <c r="I93" s="97"/>
      <c r="J93" s="97"/>
      <c r="K93" s="97"/>
      <c r="L93" s="97"/>
      <c r="M93" s="97"/>
    </row>
    <row r="94" spans="1:13" x14ac:dyDescent="0.2">
      <c r="A94" s="128" t="s">
        <v>1397</v>
      </c>
      <c r="B94" s="128" t="s">
        <v>1398</v>
      </c>
      <c r="C94" s="128" t="s">
        <v>522</v>
      </c>
      <c r="D94" s="128" t="s">
        <v>1434</v>
      </c>
      <c r="E94" s="128" t="s">
        <v>1435</v>
      </c>
      <c r="F94" s="128" t="s">
        <v>1436</v>
      </c>
      <c r="G94" s="128" t="s">
        <v>1437</v>
      </c>
      <c r="H94" s="128" t="s">
        <v>1402</v>
      </c>
      <c r="I94" s="128" t="s">
        <v>1403</v>
      </c>
      <c r="J94" s="97"/>
      <c r="K94" s="97"/>
      <c r="L94" s="97"/>
      <c r="M94" s="97"/>
    </row>
    <row r="95" spans="1:13" x14ac:dyDescent="0.2">
      <c r="A95" s="122"/>
      <c r="B95" s="123"/>
      <c r="C95" s="122"/>
      <c r="D95" s="123"/>
      <c r="E95" s="123"/>
      <c r="F95" s="123"/>
      <c r="G95" s="123"/>
      <c r="H95" s="122"/>
      <c r="I95" s="122"/>
      <c r="J95" s="97"/>
      <c r="K95" s="97"/>
      <c r="L95" s="97"/>
      <c r="M95" s="97"/>
    </row>
    <row r="96" spans="1:13" x14ac:dyDescent="0.2">
      <c r="A96" s="122"/>
      <c r="B96" s="123"/>
      <c r="C96" s="122"/>
      <c r="D96" s="123"/>
      <c r="E96" s="123"/>
      <c r="F96" s="123"/>
      <c r="G96" s="123"/>
      <c r="H96" s="122"/>
      <c r="I96" s="122"/>
      <c r="J96" s="97"/>
      <c r="K96" s="97"/>
      <c r="L96" s="97"/>
      <c r="M96" s="97"/>
    </row>
    <row r="97" spans="1:13" x14ac:dyDescent="0.2">
      <c r="A97" s="122"/>
      <c r="B97" s="123"/>
      <c r="C97" s="122"/>
      <c r="D97" s="123"/>
      <c r="E97" s="123"/>
      <c r="F97" s="123"/>
      <c r="G97" s="123"/>
      <c r="H97" s="122"/>
      <c r="I97" s="122"/>
      <c r="J97" s="97"/>
      <c r="K97" s="97"/>
      <c r="L97" s="97"/>
      <c r="M97" s="97"/>
    </row>
    <row r="98" spans="1:13" x14ac:dyDescent="0.2">
      <c r="A98" s="122"/>
      <c r="B98" s="123"/>
      <c r="C98" s="122"/>
      <c r="D98" s="123"/>
      <c r="E98" s="123"/>
      <c r="F98" s="123"/>
      <c r="G98" s="123"/>
      <c r="H98" s="122"/>
      <c r="I98" s="122"/>
      <c r="J98" s="97"/>
      <c r="K98" s="97"/>
      <c r="L98" s="97"/>
      <c r="M98" s="97"/>
    </row>
    <row r="99" spans="1:13" x14ac:dyDescent="0.2">
      <c r="A99" s="122"/>
      <c r="B99" s="123"/>
      <c r="C99" s="122"/>
      <c r="D99" s="123"/>
      <c r="E99" s="123"/>
      <c r="F99" s="123"/>
      <c r="G99" s="123"/>
      <c r="H99" s="122"/>
      <c r="I99" s="122"/>
      <c r="J99" s="97"/>
      <c r="K99" s="97"/>
      <c r="L99" s="97"/>
      <c r="M99" s="97"/>
    </row>
    <row r="100" spans="1:13" x14ac:dyDescent="0.2">
      <c r="A100" s="122"/>
      <c r="B100" s="123"/>
      <c r="C100" s="122"/>
      <c r="D100" s="123"/>
      <c r="E100" s="123"/>
      <c r="F100" s="123"/>
      <c r="G100" s="123"/>
      <c r="H100" s="122"/>
      <c r="I100" s="122"/>
      <c r="J100" s="97"/>
      <c r="K100" s="97"/>
      <c r="L100" s="97"/>
      <c r="M100" s="97"/>
    </row>
    <row r="101" spans="1:13" x14ac:dyDescent="0.2">
      <c r="A101" s="122"/>
      <c r="B101" s="123"/>
      <c r="C101" s="122"/>
      <c r="D101" s="123"/>
      <c r="E101" s="123"/>
      <c r="F101" s="123"/>
      <c r="G101" s="123"/>
      <c r="H101" s="122"/>
      <c r="I101" s="122"/>
      <c r="J101" s="97"/>
      <c r="K101" s="97"/>
      <c r="L101" s="97"/>
      <c r="M101" s="97"/>
    </row>
    <row r="102" spans="1:13" x14ac:dyDescent="0.2">
      <c r="A102" s="122"/>
      <c r="B102" s="123"/>
      <c r="C102" s="122"/>
      <c r="D102" s="123"/>
      <c r="E102" s="123"/>
      <c r="F102" s="123"/>
      <c r="G102" s="123"/>
      <c r="H102" s="122"/>
      <c r="I102" s="122"/>
      <c r="J102" s="97"/>
      <c r="K102" s="97"/>
      <c r="L102" s="97"/>
      <c r="M102" s="97"/>
    </row>
    <row r="103" spans="1:13" x14ac:dyDescent="0.2">
      <c r="A103" s="125" t="s">
        <v>1438</v>
      </c>
      <c r="B103" s="97"/>
      <c r="C103" s="126" t="s">
        <v>102</v>
      </c>
      <c r="D103" s="124" t="str">
        <f>IFERROR(AVERAGEIFS(D95:D102,C95:C102,organism_sel,H95:H102,"y"),"no included runs — model uses its default")</f>
        <v>no included runs — model uses its default</v>
      </c>
      <c r="E103" s="97"/>
      <c r="F103" s="97"/>
      <c r="G103" s="97"/>
      <c r="H103" s="97"/>
      <c r="I103" s="97"/>
      <c r="J103" s="97"/>
      <c r="K103" s="97"/>
      <c r="L103" s="97"/>
      <c r="M103" s="97"/>
    </row>
    <row r="104" spans="1:13" x14ac:dyDescent="0.2">
      <c r="A104" s="125" t="s">
        <v>1439</v>
      </c>
      <c r="B104" s="97"/>
      <c r="C104" s="126" t="s">
        <v>102</v>
      </c>
      <c r="D104" s="124" t="str">
        <f>IFERROR(AVERAGEIFS(E95:E102,C95:C102,organism_sel,H95:H102,"y"),"no included runs — model uses its default")</f>
        <v>no included runs — model uses its default</v>
      </c>
      <c r="E104" s="97"/>
      <c r="F104" s="97"/>
      <c r="G104" s="97"/>
      <c r="H104" s="97"/>
      <c r="I104" s="97"/>
      <c r="J104" s="97"/>
      <c r="K104" s="97"/>
      <c r="L104" s="97"/>
      <c r="M104" s="97"/>
    </row>
    <row r="105" spans="1:13" x14ac:dyDescent="0.2">
      <c r="A105" s="125" t="s">
        <v>1440</v>
      </c>
      <c r="B105" s="97"/>
      <c r="C105" s="126" t="s">
        <v>102</v>
      </c>
      <c r="D105" s="124" t="str">
        <f>IFERROR(AVERAGEIFS(F95:F102,C95:C102,organism_sel,H95:H102,"y"),"no included runs — model uses its default")</f>
        <v>no included runs — model uses its default</v>
      </c>
      <c r="E105" s="97"/>
      <c r="F105" s="97"/>
      <c r="G105" s="97"/>
      <c r="H105" s="97"/>
      <c r="I105" s="97"/>
      <c r="J105" s="97"/>
      <c r="K105" s="97"/>
      <c r="L105" s="97"/>
      <c r="M105" s="97"/>
    </row>
    <row r="106" spans="1:13" x14ac:dyDescent="0.2">
      <c r="A106" s="125" t="s">
        <v>1441</v>
      </c>
      <c r="B106" s="97"/>
      <c r="C106" s="126" t="s">
        <v>102</v>
      </c>
      <c r="D106" s="124" t="str">
        <f>IFERROR(AVERAGEIFS(G95:G102,C95:C102,organism_sel,H95:H102,"y"),"no included runs — model uses its default")</f>
        <v>no included runs — model uses its default</v>
      </c>
      <c r="E106" s="97"/>
      <c r="F106" s="97"/>
      <c r="G106" s="97"/>
      <c r="H106" s="97"/>
      <c r="I106" s="97"/>
      <c r="J106" s="97"/>
      <c r="K106" s="97"/>
      <c r="L106" s="97"/>
      <c r="M106" s="97"/>
    </row>
    <row r="107" spans="1:13" x14ac:dyDescent="0.2">
      <c r="A107" s="97"/>
      <c r="B107" s="97"/>
      <c r="C107" s="97"/>
      <c r="D107" s="97"/>
      <c r="E107" s="97"/>
      <c r="F107" s="97"/>
      <c r="G107" s="97"/>
      <c r="H107" s="97"/>
      <c r="I107" s="97"/>
      <c r="J107" s="97"/>
      <c r="K107" s="97"/>
      <c r="L107" s="97"/>
      <c r="M107" s="97"/>
    </row>
    <row r="108" spans="1:13" x14ac:dyDescent="0.2">
      <c r="A108" s="97"/>
      <c r="B108" s="97"/>
      <c r="C108" s="97"/>
      <c r="D108" s="97"/>
      <c r="E108" s="97"/>
      <c r="F108" s="97"/>
      <c r="G108" s="97"/>
      <c r="H108" s="97"/>
      <c r="I108" s="97"/>
      <c r="J108" s="97"/>
      <c r="K108" s="97"/>
      <c r="L108" s="97"/>
      <c r="M108" s="97"/>
    </row>
    <row r="109" spans="1:13" ht="16" x14ac:dyDescent="0.2">
      <c r="A109" s="127" t="str">
        <f>HYPERLINK("https://github.com/amy-bo/electroPioreactor/blob/AEP02/Media/protocols/knallgas-stoichiometry.md","KNALLGAS UPTAKE RATIO  (per organism)")</f>
        <v>KNALLGAS UPTAKE RATIO  (per organism)</v>
      </c>
      <c r="B109" s="97"/>
      <c r="C109" s="97"/>
      <c r="D109" s="97"/>
      <c r="E109" s="97"/>
      <c r="F109" s="97"/>
      <c r="G109" s="97"/>
      <c r="H109" s="97"/>
      <c r="I109" s="97"/>
      <c r="J109" s="97"/>
      <c r="K109" s="97"/>
      <c r="L109" s="97"/>
      <c r="M109" s="97"/>
    </row>
    <row r="110" spans="1:13" x14ac:dyDescent="0.2">
      <c r="A110" s="97" t="s">
        <v>1442</v>
      </c>
      <c r="B110" s="97"/>
      <c r="C110" s="97"/>
      <c r="D110" s="97"/>
      <c r="E110" s="97"/>
      <c r="F110" s="97"/>
      <c r="G110" s="97"/>
      <c r="H110" s="97"/>
      <c r="I110" s="97"/>
      <c r="J110" s="97"/>
      <c r="K110" s="97"/>
      <c r="L110" s="97"/>
      <c r="M110" s="97"/>
    </row>
    <row r="111" spans="1:13" x14ac:dyDescent="0.2">
      <c r="A111" s="128" t="s">
        <v>1397</v>
      </c>
      <c r="B111" s="128" t="s">
        <v>1398</v>
      </c>
      <c r="C111" s="128" t="s">
        <v>522</v>
      </c>
      <c r="D111" s="128" t="s">
        <v>1443</v>
      </c>
      <c r="E111" s="128" t="s">
        <v>1444</v>
      </c>
      <c r="F111" s="128" t="s">
        <v>1445</v>
      </c>
      <c r="G111" s="128" t="s">
        <v>1402</v>
      </c>
      <c r="H111" s="128" t="s">
        <v>1403</v>
      </c>
      <c r="I111" s="97"/>
      <c r="J111" s="97"/>
      <c r="K111" s="97"/>
      <c r="L111" s="97"/>
      <c r="M111" s="97"/>
    </row>
    <row r="112" spans="1:13" x14ac:dyDescent="0.2">
      <c r="A112" s="122"/>
      <c r="B112" s="123"/>
      <c r="C112" s="122"/>
      <c r="D112" s="123"/>
      <c r="E112" s="123"/>
      <c r="F112" s="123"/>
      <c r="G112" s="122"/>
      <c r="H112" s="122"/>
      <c r="I112" s="97"/>
      <c r="J112" s="97"/>
      <c r="K112" s="97"/>
      <c r="L112" s="97"/>
      <c r="M112" s="97"/>
    </row>
    <row r="113" spans="1:13" x14ac:dyDescent="0.2">
      <c r="A113" s="122"/>
      <c r="B113" s="123"/>
      <c r="C113" s="122"/>
      <c r="D113" s="123"/>
      <c r="E113" s="123"/>
      <c r="F113" s="123"/>
      <c r="G113" s="122"/>
      <c r="H113" s="122"/>
      <c r="I113" s="97"/>
      <c r="J113" s="97"/>
      <c r="K113" s="97"/>
      <c r="L113" s="97"/>
      <c r="M113" s="97"/>
    </row>
    <row r="114" spans="1:13" x14ac:dyDescent="0.2">
      <c r="A114" s="122"/>
      <c r="B114" s="123"/>
      <c r="C114" s="122"/>
      <c r="D114" s="123"/>
      <c r="E114" s="123"/>
      <c r="F114" s="123"/>
      <c r="G114" s="122"/>
      <c r="H114" s="122"/>
      <c r="I114" s="97"/>
      <c r="J114" s="97"/>
      <c r="K114" s="97"/>
      <c r="L114" s="97"/>
      <c r="M114" s="97"/>
    </row>
    <row r="115" spans="1:13" x14ac:dyDescent="0.2">
      <c r="A115" s="122"/>
      <c r="B115" s="123"/>
      <c r="C115" s="122"/>
      <c r="D115" s="123"/>
      <c r="E115" s="123"/>
      <c r="F115" s="123"/>
      <c r="G115" s="122"/>
      <c r="H115" s="122"/>
      <c r="I115" s="97"/>
      <c r="J115" s="97"/>
      <c r="K115" s="97"/>
      <c r="L115" s="97"/>
      <c r="M115" s="97"/>
    </row>
    <row r="116" spans="1:13" x14ac:dyDescent="0.2">
      <c r="A116" s="122"/>
      <c r="B116" s="123"/>
      <c r="C116" s="122"/>
      <c r="D116" s="123"/>
      <c r="E116" s="123"/>
      <c r="F116" s="123"/>
      <c r="G116" s="122"/>
      <c r="H116" s="122"/>
      <c r="I116" s="97"/>
      <c r="J116" s="97"/>
      <c r="K116" s="97"/>
      <c r="L116" s="97"/>
      <c r="M116" s="97"/>
    </row>
    <row r="117" spans="1:13" x14ac:dyDescent="0.2">
      <c r="A117" s="122"/>
      <c r="B117" s="123"/>
      <c r="C117" s="122"/>
      <c r="D117" s="123"/>
      <c r="E117" s="123"/>
      <c r="F117" s="123"/>
      <c r="G117" s="122"/>
      <c r="H117" s="122"/>
      <c r="I117" s="97"/>
      <c r="J117" s="97"/>
      <c r="K117" s="97"/>
      <c r="L117" s="97"/>
      <c r="M117" s="97"/>
    </row>
    <row r="118" spans="1:13" x14ac:dyDescent="0.2">
      <c r="A118" s="122"/>
      <c r="B118" s="123"/>
      <c r="C118" s="122"/>
      <c r="D118" s="123"/>
      <c r="E118" s="123"/>
      <c r="F118" s="123"/>
      <c r="G118" s="122"/>
      <c r="H118" s="122"/>
      <c r="I118" s="97"/>
      <c r="J118" s="97"/>
      <c r="K118" s="97"/>
      <c r="L118" s="97"/>
      <c r="M118" s="97"/>
    </row>
    <row r="119" spans="1:13" x14ac:dyDescent="0.2">
      <c r="A119" s="122"/>
      <c r="B119" s="123"/>
      <c r="C119" s="122"/>
      <c r="D119" s="123"/>
      <c r="E119" s="123"/>
      <c r="F119" s="123"/>
      <c r="G119" s="122"/>
      <c r="H119" s="122"/>
      <c r="I119" s="97"/>
      <c r="J119" s="97"/>
      <c r="K119" s="97"/>
      <c r="L119" s="97"/>
      <c r="M119" s="97"/>
    </row>
    <row r="120" spans="1:13" x14ac:dyDescent="0.2">
      <c r="A120" s="125" t="s">
        <v>1446</v>
      </c>
      <c r="B120" s="97"/>
      <c r="C120" s="126" t="s">
        <v>1447</v>
      </c>
      <c r="D120" s="124" t="str">
        <f>IFERROR(AVERAGEIFS(D112:D119,C112:C119,organism_sel,G112:G119,"y"),"no included runs — model uses its default")</f>
        <v>no included runs — model uses its default</v>
      </c>
      <c r="E120" s="97"/>
      <c r="F120" s="97"/>
      <c r="G120" s="97"/>
      <c r="H120" s="97"/>
      <c r="I120" s="97"/>
      <c r="J120" s="97"/>
      <c r="K120" s="97"/>
      <c r="L120" s="97"/>
      <c r="M120" s="97"/>
    </row>
    <row r="121" spans="1:13" x14ac:dyDescent="0.2">
      <c r="A121" s="125" t="s">
        <v>1448</v>
      </c>
      <c r="B121" s="97"/>
      <c r="C121" s="126" t="s">
        <v>1447</v>
      </c>
      <c r="D121" s="124" t="str">
        <f>IFERROR(AVERAGEIFS(E112:E119,C112:C119,organism_sel,G112:G119,"y"),"no included runs — model uses its default")</f>
        <v>no included runs — model uses its default</v>
      </c>
      <c r="E121" s="97"/>
      <c r="F121" s="97"/>
      <c r="G121" s="97"/>
      <c r="H121" s="97"/>
      <c r="I121" s="97"/>
      <c r="J121" s="97"/>
      <c r="K121" s="97"/>
      <c r="L121" s="97"/>
      <c r="M121" s="97"/>
    </row>
    <row r="122" spans="1:13" x14ac:dyDescent="0.2">
      <c r="A122" s="125" t="s">
        <v>1449</v>
      </c>
      <c r="B122" s="97"/>
      <c r="C122" s="126" t="s">
        <v>1447</v>
      </c>
      <c r="D122" s="124" t="str">
        <f>IFERROR(AVERAGEIFS(F112:F119,C112:C119,organism_sel,G112:G119,"y"),"no included runs — model uses its default")</f>
        <v>no included runs — model uses its default</v>
      </c>
      <c r="E122" s="97"/>
      <c r="F122" s="97"/>
      <c r="G122" s="97"/>
      <c r="H122" s="97"/>
      <c r="I122" s="97"/>
      <c r="J122" s="97"/>
      <c r="K122" s="97"/>
      <c r="L122" s="97"/>
      <c r="M122" s="97"/>
    </row>
    <row r="123" spans="1:13" x14ac:dyDescent="0.2">
      <c r="A123" s="97"/>
      <c r="B123" s="97"/>
      <c r="C123" s="97"/>
      <c r="D123" s="97"/>
      <c r="E123" s="97"/>
      <c r="F123" s="97"/>
      <c r="G123" s="97"/>
      <c r="H123" s="97"/>
      <c r="I123" s="97"/>
      <c r="J123" s="97"/>
      <c r="K123" s="97"/>
      <c r="L123" s="97"/>
      <c r="M123" s="97"/>
    </row>
    <row r="124" spans="1:13" x14ac:dyDescent="0.2">
      <c r="A124" s="97"/>
      <c r="B124" s="97"/>
      <c r="C124" s="97"/>
      <c r="D124" s="97"/>
      <c r="E124" s="97"/>
      <c r="F124" s="97"/>
      <c r="G124" s="97"/>
      <c r="H124" s="97"/>
      <c r="I124" s="97"/>
      <c r="J124" s="97"/>
      <c r="K124" s="97"/>
      <c r="L124" s="97"/>
      <c r="M124" s="97"/>
    </row>
    <row r="125" spans="1:13" ht="16" x14ac:dyDescent="0.2">
      <c r="A125" s="127" t="str">
        <f>HYPERLINK("https://github.com/amy-bo/electroPioreactor/blob/AEP02/Media/protocols/current-density-screen.md","CURRENT-DENSITY TOLERANCE  (per organism)")</f>
        <v>CURRENT-DENSITY TOLERANCE  (per organism)</v>
      </c>
      <c r="B125" s="97"/>
      <c r="C125" s="97"/>
      <c r="D125" s="97"/>
      <c r="E125" s="97"/>
      <c r="F125" s="97"/>
      <c r="G125" s="97"/>
      <c r="H125" s="97"/>
      <c r="I125" s="97"/>
      <c r="J125" s="97"/>
      <c r="K125" s="97"/>
      <c r="L125" s="97"/>
      <c r="M125" s="97"/>
    </row>
    <row r="126" spans="1:13" x14ac:dyDescent="0.2">
      <c r="A126" s="97" t="s">
        <v>1450</v>
      </c>
      <c r="B126" s="97"/>
      <c r="C126" s="97"/>
      <c r="D126" s="97"/>
      <c r="E126" s="97"/>
      <c r="F126" s="97"/>
      <c r="G126" s="97"/>
      <c r="H126" s="97"/>
      <c r="I126" s="97"/>
      <c r="J126" s="97"/>
      <c r="K126" s="97"/>
      <c r="L126" s="97"/>
      <c r="M126" s="97"/>
    </row>
    <row r="127" spans="1:13" x14ac:dyDescent="0.2">
      <c r="A127" s="128" t="s">
        <v>1397</v>
      </c>
      <c r="B127" s="128" t="s">
        <v>1398</v>
      </c>
      <c r="C127" s="128" t="s">
        <v>522</v>
      </c>
      <c r="D127" s="128" t="s">
        <v>1451</v>
      </c>
      <c r="E127" s="128" t="s">
        <v>1452</v>
      </c>
      <c r="F127" s="128" t="s">
        <v>1402</v>
      </c>
      <c r="G127" s="128" t="s">
        <v>1403</v>
      </c>
      <c r="H127" s="97"/>
      <c r="I127" s="97"/>
      <c r="J127" s="97"/>
      <c r="K127" s="97"/>
      <c r="L127" s="97"/>
      <c r="M127" s="97"/>
    </row>
    <row r="128" spans="1:13" x14ac:dyDescent="0.2">
      <c r="A128" s="122"/>
      <c r="B128" s="123"/>
      <c r="C128" s="122"/>
      <c r="D128" s="123"/>
      <c r="E128" s="123"/>
      <c r="F128" s="122"/>
      <c r="G128" s="122"/>
      <c r="H128" s="97"/>
      <c r="I128" s="97"/>
      <c r="J128" s="97"/>
      <c r="K128" s="97"/>
      <c r="L128" s="97"/>
      <c r="M128" s="97"/>
    </row>
    <row r="129" spans="1:13" x14ac:dyDescent="0.2">
      <c r="A129" s="122"/>
      <c r="B129" s="123"/>
      <c r="C129" s="122"/>
      <c r="D129" s="123"/>
      <c r="E129" s="123"/>
      <c r="F129" s="122"/>
      <c r="G129" s="122"/>
      <c r="H129" s="97"/>
      <c r="I129" s="97"/>
      <c r="J129" s="97"/>
      <c r="K129" s="97"/>
      <c r="L129" s="97"/>
      <c r="M129" s="97"/>
    </row>
    <row r="130" spans="1:13" x14ac:dyDescent="0.2">
      <c r="A130" s="122"/>
      <c r="B130" s="123"/>
      <c r="C130" s="122"/>
      <c r="D130" s="123"/>
      <c r="E130" s="123"/>
      <c r="F130" s="122"/>
      <c r="G130" s="122"/>
      <c r="H130" s="97"/>
      <c r="I130" s="97"/>
      <c r="J130" s="97"/>
      <c r="K130" s="97"/>
      <c r="L130" s="97"/>
      <c r="M130" s="97"/>
    </row>
    <row r="131" spans="1:13" x14ac:dyDescent="0.2">
      <c r="A131" s="122"/>
      <c r="B131" s="123"/>
      <c r="C131" s="122"/>
      <c r="D131" s="123"/>
      <c r="E131" s="123"/>
      <c r="F131" s="122"/>
      <c r="G131" s="122"/>
      <c r="H131" s="97"/>
      <c r="I131" s="97"/>
      <c r="J131" s="97"/>
      <c r="K131" s="97"/>
      <c r="L131" s="97"/>
      <c r="M131" s="97"/>
    </row>
    <row r="132" spans="1:13" x14ac:dyDescent="0.2">
      <c r="A132" s="122"/>
      <c r="B132" s="123"/>
      <c r="C132" s="122"/>
      <c r="D132" s="123"/>
      <c r="E132" s="123"/>
      <c r="F132" s="122"/>
      <c r="G132" s="122"/>
      <c r="H132" s="97"/>
      <c r="I132" s="97"/>
      <c r="J132" s="97"/>
      <c r="K132" s="97"/>
      <c r="L132" s="97"/>
      <c r="M132" s="97"/>
    </row>
    <row r="133" spans="1:13" x14ac:dyDescent="0.2">
      <c r="A133" s="122"/>
      <c r="B133" s="123"/>
      <c r="C133" s="122"/>
      <c r="D133" s="123"/>
      <c r="E133" s="123"/>
      <c r="F133" s="122"/>
      <c r="G133" s="122"/>
      <c r="H133" s="97"/>
      <c r="I133" s="97"/>
      <c r="J133" s="97"/>
      <c r="K133" s="97"/>
      <c r="L133" s="97"/>
      <c r="M133" s="97"/>
    </row>
    <row r="134" spans="1:13" x14ac:dyDescent="0.2">
      <c r="A134" s="122"/>
      <c r="B134" s="123"/>
      <c r="C134" s="122"/>
      <c r="D134" s="123"/>
      <c r="E134" s="123"/>
      <c r="F134" s="122"/>
      <c r="G134" s="122"/>
      <c r="H134" s="97"/>
      <c r="I134" s="97"/>
      <c r="J134" s="97"/>
      <c r="K134" s="97"/>
      <c r="L134" s="97"/>
      <c r="M134" s="97"/>
    </row>
    <row r="135" spans="1:13" x14ac:dyDescent="0.2">
      <c r="A135" s="122"/>
      <c r="B135" s="123"/>
      <c r="C135" s="122"/>
      <c r="D135" s="123"/>
      <c r="E135" s="123"/>
      <c r="F135" s="122"/>
      <c r="G135" s="122"/>
      <c r="H135" s="97"/>
      <c r="I135" s="97"/>
      <c r="J135" s="97"/>
      <c r="K135" s="97"/>
      <c r="L135" s="97"/>
      <c r="M135" s="97"/>
    </row>
    <row r="136" spans="1:13" x14ac:dyDescent="0.2">
      <c r="A136" s="125" t="s">
        <v>1453</v>
      </c>
      <c r="B136" s="97"/>
      <c r="C136" s="126" t="s">
        <v>1282</v>
      </c>
      <c r="D136" s="124" t="str">
        <f>IFERROR(AVERAGEIFS(D128:D135,C128:C135,organism_sel,F128:F135,"y"),"no included runs — model uses its default")</f>
        <v>no included runs — model uses its default</v>
      </c>
      <c r="E136" s="97"/>
      <c r="F136" s="97"/>
      <c r="G136" s="97"/>
      <c r="H136" s="97"/>
      <c r="I136" s="97"/>
      <c r="J136" s="97"/>
      <c r="K136" s="97"/>
      <c r="L136" s="97"/>
      <c r="M136" s="97"/>
    </row>
    <row r="137" spans="1:13" x14ac:dyDescent="0.2">
      <c r="A137" s="125" t="s">
        <v>1454</v>
      </c>
      <c r="B137" s="97"/>
      <c r="C137" s="126" t="s">
        <v>1282</v>
      </c>
      <c r="D137" s="124" t="str">
        <f>IFERROR(AVERAGEIFS(E128:E135,C128:C135,organism_sel,F128:F135,"y"),"no included runs — model uses its default")</f>
        <v>no included runs — model uses its default</v>
      </c>
      <c r="E137" s="97"/>
      <c r="F137" s="97"/>
      <c r="G137" s="97"/>
      <c r="H137" s="97"/>
      <c r="I137" s="97"/>
      <c r="J137" s="97"/>
      <c r="K137" s="97"/>
      <c r="L137" s="97"/>
      <c r="M137" s="97"/>
    </row>
    <row r="138" spans="1:13" x14ac:dyDescent="0.2">
      <c r="A138" s="97"/>
      <c r="B138" s="97"/>
      <c r="C138" s="97"/>
      <c r="D138" s="97"/>
      <c r="E138" s="97"/>
      <c r="F138" s="97"/>
      <c r="G138" s="97"/>
      <c r="H138" s="97"/>
      <c r="I138" s="97"/>
      <c r="J138" s="97"/>
      <c r="K138" s="97"/>
      <c r="L138" s="97"/>
      <c r="M138" s="97"/>
    </row>
    <row r="139" spans="1:13" x14ac:dyDescent="0.2">
      <c r="A139" s="4" t="inlineStr">
        <is>
          <t xml:space="preserve">NAMED CONSTANTS AND IMPORTS</t>
        </is>
      </c>
      <c r="B139" s="97"/>
      <c r="C139" s="97"/>
      <c r="D139" s="97"/>
      <c r="E139" s="97"/>
      <c r="F139" s="97"/>
      <c r="G139" s="97"/>
      <c r="H139" s="97"/>
      <c r="I139" s="97"/>
      <c r="J139" s="97"/>
      <c r="K139" s="97"/>
      <c r="L139" s="97"/>
      <c r="M139" s="97"/>
    </row>
    <row r="140">
      <c r="A140" s="17" t="inlineStr">
        <is>
          <t xml:space="preserve">Bubble-point constant (water)</t>
        </is>
      </c>
      <c r="B140" s="97" t="inlineStr">
        <is>
          <t xml:space="preserve">bp_const</t>
        </is>
      </c>
      <c r="C140" s="19" t="inlineStr">
        <is>
          <t xml:space="preserve">µm·kPa</t>
        </is>
      </c>
      <c r="D140" s="163">
        <v>291.2</v>
      </c>
      <c r="E140" s="97" t="inlineStr">
        <is>
          <t xml:space="preserve">Bubble-point law d = 4σ/ΔP for water (σ = 72.8 mN/m, θ = 0): d in µm with ΔP in kPa.</t>
        </is>
      </c>
    </row>
    <row r="141">
      <c r="A141" s="17" t="inlineStr">
        <is>
          <t xml:space="preserve">Sinter grade boundary P0/P1</t>
        </is>
      </c>
      <c r="B141" s="97" t="inlineStr">
        <is>
          <t xml:space="preserve">por_break_1</t>
        </is>
      </c>
      <c r="C141" s="19" t="inlineStr">
        <is>
          <t xml:space="preserve">µm</t>
        </is>
      </c>
      <c r="D141" s="163">
        <v>160</v>
      </c>
      <c r="E141" s="97" t="inlineStr">
        <is>
          <t xml:space="preserve">ISO 4793 / DURAN pore-size grade boundary between P0 and P1 (Mass Transfer E33:E38).</t>
        </is>
      </c>
    </row>
    <row r="142">
      <c r="A142" s="17" t="inlineStr">
        <is>
          <t xml:space="preserve">Sinter grade boundary P1/P2</t>
        </is>
      </c>
      <c r="B142" s="97" t="inlineStr">
        <is>
          <t xml:space="preserve">por_break_2</t>
        </is>
      </c>
      <c r="C142" s="19" t="inlineStr">
        <is>
          <t xml:space="preserve">µm</t>
        </is>
      </c>
      <c r="D142" s="163">
        <v>100</v>
      </c>
      <c r="E142" s="97" t="inlineStr">
        <is>
          <t xml:space="preserve">ISO 4793 / DURAN pore-size grade boundary between P1 and P2 (Mass Transfer E33:E38).</t>
        </is>
      </c>
    </row>
    <row r="143">
      <c r="A143" s="17" t="inlineStr">
        <is>
          <t xml:space="preserve">Sinter grade boundary P2/P3</t>
        </is>
      </c>
      <c r="B143" s="97" t="inlineStr">
        <is>
          <t xml:space="preserve">por_break_3</t>
        </is>
      </c>
      <c r="C143" s="19" t="inlineStr">
        <is>
          <t xml:space="preserve">µm</t>
        </is>
      </c>
      <c r="D143" s="163">
        <v>40</v>
      </c>
      <c r="E143" s="97" t="inlineStr">
        <is>
          <t xml:space="preserve">ISO 4793 / DURAN pore-size grade boundary between P2 and P3 (Mass Transfer E33:E38).</t>
        </is>
      </c>
    </row>
    <row r="144">
      <c r="A144" s="17" t="inlineStr">
        <is>
          <t xml:space="preserve">Sinter grade boundary P3/P4</t>
        </is>
      </c>
      <c r="B144" s="97" t="inlineStr">
        <is>
          <t xml:space="preserve">por_break_4</t>
        </is>
      </c>
      <c r="C144" s="19" t="inlineStr">
        <is>
          <t xml:space="preserve">µm</t>
        </is>
      </c>
      <c r="D144" s="163">
        <v>16</v>
      </c>
      <c r="E144" s="97" t="inlineStr">
        <is>
          <t xml:space="preserve">ISO 4793 / DURAN pore-size grade boundary between P3 and P4 (Mass Transfer E33:E38).</t>
        </is>
      </c>
    </row>
    <row r="145">
      <c r="A145" s="17" t="inlineStr">
        <is>
          <t xml:space="preserve">Sinter grade boundary P4/P5</t>
        </is>
      </c>
      <c r="B145" s="97" t="inlineStr">
        <is>
          <t xml:space="preserve">por_break_5</t>
        </is>
      </c>
      <c r="C145" s="19" t="inlineStr">
        <is>
          <t xml:space="preserve">µm</t>
        </is>
      </c>
      <c r="D145" s="163">
        <v>10</v>
      </c>
      <c r="E145" s="97" t="inlineStr">
        <is>
          <t xml:space="preserve">ISO 4793 / DURAN pore-size grade boundary between P4 and P5 (Mass Transfer E33:E38).</t>
        </is>
      </c>
    </row>
    <row r="146">
      <c r="A146" s="17" t="inlineStr">
        <is>
          <t xml:space="preserve">(import) Electrons per H₂</t>
        </is>
      </c>
      <c r="B146" s="97" t="inlineStr">
        <is>
          <t xml:space="preserve">z_e_H2</t>
        </is>
      </c>
      <c r="C146" s="19" t="inlineStr">
        <is>
          <t xml:space="preserve">-</t>
        </is>
      </c>
      <c r="D146" s="164">
        <f>Electrochemistry!$D$16</f>
        <v>2.0</v>
      </c>
      <c r="E146" s="165" t="inlineStr">
        <is>
          <t xml:space="preserve">Import from Electrochemistry!D16</t>
        </is>
      </c>
    </row>
    <row r="147">
      <c r="A147" s="17" t="inlineStr">
        <is>
          <t xml:space="preserve">(import) Electrons per O₂</t>
        </is>
      </c>
      <c r="B147" s="97" t="inlineStr">
        <is>
          <t xml:space="preserve">z_e_O2</t>
        </is>
      </c>
      <c r="C147" s="19" t="inlineStr">
        <is>
          <t xml:space="preserve">-</t>
        </is>
      </c>
      <c r="D147" s="164">
        <f>Electrochemistry!$D$17</f>
        <v>4.0</v>
      </c>
      <c r="E147" s="165" t="inlineStr">
        <is>
          <t xml:space="preserve">Import from Electrochemistry!D17</t>
        </is>
      </c>
    </row>
    <row r="148">
      <c r="A148" s="17" t="inlineStr">
        <is>
          <t xml:space="preserve">(import) Celsius-to-kelvin offset</t>
        </is>
      </c>
      <c r="B148" s="97" t="inlineStr">
        <is>
          <t xml:space="preserve">T_zero_C</t>
        </is>
      </c>
      <c r="C148" s="19" t="inlineStr">
        <is>
          <t xml:space="preserve">K</t>
        </is>
      </c>
      <c r="D148" s="164">
        <f>Biology!$D$66</f>
        <v>273.15</v>
      </c>
      <c r="E148" s="165" t="inlineStr">
        <is>
          <t xml:space="preserve">Import from Biology!D66</t>
        </is>
      </c>
    </row>
    <row r="155">
      <c r="A155" s="17" t="inlineStr">
        <is>
          <t xml:space="preserve">(import) Liquid density intercept</t>
        </is>
      </c>
      <c r="B155" s="97" t="inlineStr">
        <is>
          <t xml:space="preserve">ca_rho_0</t>
        </is>
      </c>
      <c r="C155" s="19" t="inlineStr">
        <is>
          <t xml:space="preserve">kg/m³</t>
        </is>
      </c>
      <c r="D155" s="164">
        <f>'Mass Transfer'!$D$169</f>
        <v>1003.33</v>
      </c>
      <c r="E155" s="165" t="inlineStr">
        <is>
          <t xml:space="preserve">Import from Mass Transfer!D169 (rho_0; density law ρ = ρ₀ + k·T[°C])</t>
        </is>
      </c>
    </row>
    <row r="156">
      <c r="A156" s="17" t="inlineStr">
        <is>
          <t xml:space="preserve">(import) Liquid density slope</t>
        </is>
      </c>
      <c r="B156" s="97" t="inlineStr">
        <is>
          <t xml:space="preserve">ca_rho_k</t>
        </is>
      </c>
      <c r="C156" s="19" t="inlineStr">
        <is>
          <t xml:space="preserve">kg/m³/K</t>
        </is>
      </c>
      <c r="D156" s="164">
        <f>'Mass Transfer'!$D$170</f>
        <v>-0.2556</v>
      </c>
      <c r="E156" s="165" t="inlineStr">
        <is>
          <t xml:space="preserve">Import from Mass Transfer!D170 (rho_k)</t>
        </is>
      </c>
    </row>
    <row r="157">
      <c r="A157" s="17" t="inlineStr">
        <is>
          <t xml:space="preserve">(import) Reactor selected on Summary</t>
        </is>
      </c>
      <c r="B157" s="97" t="inlineStr">
        <is>
          <t xml:space="preserve">Reactor_sel</t>
        </is>
      </c>
      <c r="C157" s="19" t="inlineStr">
        <is>
          <t xml:space="preserve">-</t>
        </is>
      </c>
      <c r="D157" s="164" t="str">
        <f>Summary!$D$2</f>
        <v>ed04</v>
      </c>
      <c r="E157" s="165" t="inlineStr">
        <is>
          <t xml:space="preserve">Import from Summary!D2 (Reactor_sel)</t>
        </is>
      </c>
    </row>
    <row r="158">
      <c r="A158" s="17" t="inlineStr">
        <is>
          <t xml:space="preserve">(import) Organism selected on Summary</t>
        </is>
      </c>
      <c r="B158" s="97" t="inlineStr">
        <is>
          <t xml:space="preserve">organism_sel</t>
        </is>
      </c>
      <c r="C158" s="19" t="inlineStr">
        <is>
          <t xml:space="preserve">-</t>
        </is>
      </c>
      <c r="D158" s="164" t="str">
        <f>Summary!$D$4</f>
        <v>UdG (mixed)</v>
      </c>
      <c r="E158" s="165" t="inlineStr">
        <is>
          <t xml:space="preserve">Import from Summary!D4 (organism_sel)</t>
        </is>
      </c>
    </row>
    <row r="159">
      <c r="A159" s="17" t="inlineStr">
        <is>
          <t xml:space="preserve">(import) Reactor type (resolved from reactor)</t>
        </is>
      </c>
      <c r="B159" s="97" t="inlineStr">
        <is>
          <t xml:space="preserve">rx_ver</t>
        </is>
      </c>
      <c r="C159" s="19" t="inlineStr">
        <is>
          <t xml:space="preserve">-</t>
        </is>
      </c>
      <c r="D159" s="164" t="str">
        <f>Geometry!$D$51</f>
        <v>MEP0.3</v>
      </c>
      <c r="E159" s="165" t="inlineStr">
        <is>
          <t xml:space="preserve">Import from Geometry!D51 (rx_ver)</t>
        </is>
      </c>
    </row>
    <row r="160">
      <c r="A160" s="17" t="inlineStr">
        <is>
          <t xml:space="preserve">(import) Internal cross-sectional area</t>
        </is>
      </c>
      <c r="B160" s="97" t="inlineStr">
        <is>
          <t xml:space="preserve">A_x</t>
        </is>
      </c>
      <c r="C160" s="19" t="inlineStr">
        <is>
          <t xml:space="preserve">mm²</t>
        </is>
      </c>
      <c r="D160" s="164">
        <f>Geometry!$D$21</f>
        <v>501.93100162698</v>
      </c>
      <c r="E160" s="165" t="inlineStr">
        <is>
          <t xml:space="preserve">Import from Geometry!D21 (A_x)</t>
        </is>
      </c>
    </row>
    <row r="161">
      <c r="A161" s="17" t="inlineStr">
        <is>
          <t xml:space="preserve">(import) Molar gas constant</t>
        </is>
      </c>
      <c r="B161" s="97" t="inlineStr">
        <is>
          <t xml:space="preserve">R_gas</t>
        </is>
      </c>
      <c r="C161" s="19" t="inlineStr">
        <is>
          <t xml:space="preserve">J/mol/K</t>
        </is>
      </c>
      <c r="D161" s="164">
        <f>'Mass Transfer'!$D$101</f>
        <v>8.314462618</v>
      </c>
      <c r="E161" s="165" t="inlineStr">
        <is>
          <t xml:space="preserve">Import from Mass Transfer!D101 (R_gas)</t>
        </is>
      </c>
    </row>
    <row r="162">
      <c r="A162" s="17" t="inlineStr">
        <is>
          <t xml:space="preserve">(import) Faraday constant</t>
        </is>
      </c>
      <c r="B162" s="97" t="inlineStr">
        <is>
          <t xml:space="preserve">F_const</t>
        </is>
      </c>
      <c r="C162" s="19" t="inlineStr">
        <is>
          <t xml:space="preserve">C/mol</t>
        </is>
      </c>
      <c r="D162" s="164">
        <f>Electrochemistry!$D$15</f>
        <v>96485.33212</v>
      </c>
      <c r="E162" s="165" t="inlineStr">
        <is>
          <t xml:space="preserve">Import from Electrochemistry!D15 (F_const)</t>
        </is>
      </c>
    </row>
    <row r="163">
      <c r="A163" s="17" t="inlineStr">
        <is>
          <t xml:space="preserve">(import) Saturated water vapour pressure at reactor T</t>
        </is>
      </c>
      <c r="B163" s="97" t="inlineStr">
        <is>
          <t xml:space="preserve">p_sat_w</t>
        </is>
      </c>
      <c r="C163" s="19" t="inlineStr">
        <is>
          <t xml:space="preserve">Pa</t>
        </is>
      </c>
      <c r="D163" s="164">
        <f>'Mass Transfer'!$D$206</f>
        <v>3161.736035696692</v>
      </c>
      <c r="E163" s="165" t="inlineStr">
        <is>
          <t xml:space="preserve">Import from Mass Transfer!D206 (p_sat_w)</t>
        </is>
      </c>
    </row>
  </sheetData>
  <dataValidations count="4">
    <dataValidation type="list" allowBlank="1" showInputMessage="1" showErrorMessage="1" sqref="C8:C15 C81:C88 C66:C73 C52:C59 C38:C45 C23:C30" xr:uid="{00000000-0002-0000-0700-000000000000}">
      <formula1>ReactorList</formula1>
    </dataValidation>
    <dataValidation type="list" allowBlank="1" showInputMessage="1" showErrorMessage="1" sqref="G8:G15 F128:F135 G112:G119 H95:H102 G81:G88 J66:J73 H52:H59 F38:F45 K23:K30" xr:uid="{00000000-0002-0000-0700-000001000000}">
      <formula1>"y,n"</formula1>
    </dataValidation>
    <dataValidation type="list" allowBlank="1" showInputMessage="1" showErrorMessage="1" sqref="H23:H30" xr:uid="{00000000-0002-0000-0700-000004000000}">
      <formula1>"H2,O2"</formula1>
    </dataValidation>
    <dataValidation type="list" allowBlank="1" showInputMessage="1" showErrorMessage="1" sqref="C95:C102 C128:C135 C112:C119" xr:uid="{00000000-0002-0000-0700-00000D000000}">
      <formula1>OrganismList</formula1>
    </dataValidation>
  </dataValidations>
  <pageMargins left="0.75" right="0.75" top="1" bottom="1" header="0.5" footer="0.5"/>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8</vt:i4>
      </vt:variant>
      <vt:variant>
        <vt:lpstr>Named Ranges</vt:lpstr>
      </vt:variant>
      <vt:variant>
        <vt:i4>557</vt:i4>
      </vt:variant>
    </vt:vector>
  </HeadingPairs>
  <TitlesOfParts>
    <vt:vector size="565" baseType="lpstr">
      <vt:lpstr>Summary</vt:lpstr>
      <vt:lpstr>Geometry</vt:lpstr>
      <vt:lpstr>Electrochemistry</vt:lpstr>
      <vt:lpstr>Chemistry</vt:lpstr>
      <vt:lpstr>Biology</vt:lpstr>
      <vt:lpstr>Mass Transfer</vt:lpstr>
      <vt:lpstr>CO2 flows</vt:lpstr>
      <vt:lpstr>Calibrations</vt:lpstr>
      <vt:lpstr>Chemistry!A_anode</vt:lpstr>
      <vt:lpstr>Electrochemistry!A_anode_wet</vt:lpstr>
      <vt:lpstr>Electrochemistry!A_cath_wet</vt:lpstr>
      <vt:lpstr>Chemistry!A_DH</vt:lpstr>
      <vt:lpstr>'Mass Transfer'!a_int</vt:lpstr>
      <vt:lpstr>'Mass Transfer'!a_surf</vt:lpstr>
      <vt:lpstr>Geometry!A_x</vt:lpstr>
      <vt:lpstr>'Mass Transfer'!A_x</vt:lpstr>
      <vt:lpstr>Electrochemistry!anode_dia</vt:lpstr>
      <vt:lpstr>Electrochemistry!anode_j_cont</vt:lpstr>
      <vt:lpstr>Electrochemistry!anode_j_max</vt:lpstr>
      <vt:lpstr>Electrochemistry!anode_material</vt:lpstr>
      <vt:lpstr>Electrochemistry!anode_shape</vt:lpstr>
      <vt:lpstr>Electrochemistry!b_anode</vt:lpstr>
      <vt:lpstr>Electrochemistry!b_cath</vt:lpstr>
      <vt:lpstr>Biology!bio_CO2</vt:lpstr>
      <vt:lpstr>Biology!bio_H2</vt:lpstr>
      <vt:lpstr>Biology!bio_O2</vt:lpstr>
      <vt:lpstr>Chemistry!bleach_flag</vt:lpstr>
      <vt:lpstr>Chemistry!bleach_rate</vt:lpstr>
      <vt:lpstr>Chemistry!bleach_t1ppm</vt:lpstr>
      <vt:lpstr>'Mass Transfer'!bubble_regime</vt:lpstr>
      <vt:lpstr>Chemistry!buffer_flag</vt:lpstr>
      <vt:lpstr>'Mass Transfer'!C_air_CO2</vt:lpstr>
      <vt:lpstr>'Mass Transfer'!C_cycle_peak</vt:lpstr>
      <vt:lpstr>'Mass Transfer'!C_cycle_start</vt:lpstr>
      <vt:lpstr>Chemistry!C_eff</vt:lpstr>
      <vt:lpstr>Chemistry!C_eff_Cl2</vt:lpstr>
      <vt:lpstr>Chemistry!C_eff_hi</vt:lpstr>
      <vt:lpstr>Chemistry!C_eff_lo</vt:lpstr>
      <vt:lpstr>Biology!C_H2_sat</vt:lpstr>
      <vt:lpstr>'Mass Transfer'!C_sat_CO2</vt:lpstr>
      <vt:lpstr>'Mass Transfer'!Ca_CO2</vt:lpstr>
      <vt:lpstr>cal_Dint</vt:lpstr>
      <vt:lpstr>cal_DO_impair</vt:lpstr>
      <vt:lpstr>cal_DO_min</vt:lpstr>
      <vt:lpstr>cal_DO_opt</vt:lpstr>
      <vt:lpstr>cal_DO_toxic</vt:lpstr>
      <vt:lpstr>cal_etaF</vt:lpstr>
      <vt:lpstr>cal_etaF_OER</vt:lpstr>
      <vt:lpstr>cal_flow</vt:lpstr>
      <vt:lpstr>cal_gerrit_int</vt:lpstr>
      <vt:lpstr>cal_gerrit_slope</vt:lpstr>
      <vt:lpstr>cal_j_ceiling</vt:lpstr>
      <vt:lpstr>cal_j_opt</vt:lpstr>
      <vt:lpstr>cal_kLa</vt:lpstr>
      <vt:lpstr>cal_knall_CO2</vt:lpstr>
      <vt:lpstr>cal_knall_H2</vt:lpstr>
      <vt:lpstr>cal_knall_O2</vt:lpstr>
      <vt:lpstr>cal_sinter</vt:lpstr>
      <vt:lpstr>cal_Vtot</vt:lpstr>
      <vt:lpstr>'Mass Transfer'!cal_warning</vt:lpstr>
      <vt:lpstr>'Mass Transfer'!carbon_margin_min</vt:lpstr>
      <vt:lpstr>'Mass Transfer'!carry_flag</vt:lpstr>
      <vt:lpstr>Electrochemistry!cath_j_cont</vt:lpstr>
      <vt:lpstr>Electrochemistry!cath_j_max</vt:lpstr>
      <vt:lpstr>Electrochemistry!cathode_dia</vt:lpstr>
      <vt:lpstr>Electrochemistry!cathode_shape</vt:lpstr>
      <vt:lpstr>'Mass Transfer'!Cb_CO2</vt:lpstr>
      <vt:lpstr>Chemistry!Cl_kill</vt:lpstr>
      <vt:lpstr>Chemistry!Cl_mc02</vt:lpstr>
      <vt:lpstr>Chemistry!Cl_onset</vt:lpstr>
      <vt:lpstr>Chemistry!cl_per_N</vt:lpstr>
      <vt:lpstr>Chemistry!Cl_pool_mgL</vt:lpstr>
      <vt:lpstr>Chemistry!Cl_udg</vt:lpstr>
      <vt:lpstr>Biology!CO2_carbon_margin</vt:lpstr>
      <vt:lpstr>Biology!CO2_cons</vt:lpstr>
      <vt:lpstr>'Mass Transfer'!CO2_cons</vt:lpstr>
      <vt:lpstr>'Mass Transfer'!CO2_cyc_avg</vt:lpstr>
      <vt:lpstr>'Mass Transfer'!CO2_cyc_avg_new</vt:lpstr>
      <vt:lpstr>Biology!CO2_diss</vt:lpstr>
      <vt:lpstr>'Mass Transfer'!CO2_int_off</vt:lpstr>
      <vt:lpstr>'Mass Transfer'!CO2_int_on</vt:lpstr>
      <vt:lpstr>'Mass Transfer'!CO2_pulse</vt:lpstr>
      <vt:lpstr>'Mass Transfer'!CO2_rate_full</vt:lpstr>
      <vt:lpstr>'Mass Transfer'!CO2_sd_ratio</vt:lpstr>
      <vt:lpstr>'Mass Transfer'!CO2_supply</vt:lpstr>
      <vt:lpstr>Chemistry!CO2aqc</vt:lpstr>
      <vt:lpstr>'Mass Transfer'!CO2aqc_ss</vt:lpstr>
      <vt:lpstr>'Mass Transfer'!coef_CO2</vt:lpstr>
      <vt:lpstr>Chemistry!corr_I_frac</vt:lpstr>
      <vt:lpstr>'Mass Transfer'!d_bubble</vt:lpstr>
      <vt:lpstr>'Mass Transfer'!d_bubble_mm</vt:lpstr>
      <vt:lpstr>'Mass Transfer'!D_CO2</vt:lpstr>
      <vt:lpstr>'Mass Transfer'!D_CO2_ref</vt:lpstr>
      <vt:lpstr>Chemistry!D_HPO4</vt:lpstr>
      <vt:lpstr>Geometry!D_int</vt:lpstr>
      <vt:lpstr>Geometry!D_int_1</vt:lpstr>
      <vt:lpstr>Geometry!D_int_2</vt:lpstr>
      <vt:lpstr>'Mass Transfer'!D_O2</vt:lpstr>
      <vt:lpstr>'Mass Transfer'!d_orifice</vt:lpstr>
      <vt:lpstr>Chemistry!delta_diff</vt:lpstr>
      <vt:lpstr>Geometry!depth_warn</vt:lpstr>
      <vt:lpstr>Geometry!disp_tot</vt:lpstr>
      <vt:lpstr>Biology!DO_frac_fallback</vt:lpstr>
      <vt:lpstr>Biology!DO_frac_target</vt:lpstr>
      <vt:lpstr>'Mass Transfer'!DO_hs_floor</vt:lpstr>
      <vt:lpstr>Biology!DO_impair</vt:lpstr>
      <vt:lpstr>'Mass Transfer'!DO_impair</vt:lpstr>
      <vt:lpstr>Biology!DO_min</vt:lpstr>
      <vt:lpstr>'Mass Transfer'!DO_min</vt:lpstr>
      <vt:lpstr>Biology!DO_opt</vt:lpstr>
      <vt:lpstr>'Mass Transfer'!DO_opt</vt:lpstr>
      <vt:lpstr>'Mass Transfer'!DO_ss</vt:lpstr>
      <vt:lpstr>'Mass Transfer'!DO_ss_sawtooth</vt:lpstr>
      <vt:lpstr>'Mass Transfer'!DO_ss_sawtooth_lag</vt:lpstr>
      <vt:lpstr>'Mass Transfer'!DO_ss_vs_min</vt:lpstr>
      <vt:lpstr>'Mass Transfer'!DO_ss_vs_opt</vt:lpstr>
      <vt:lpstr>'Mass Transfer'!DO_surf_excess</vt:lpstr>
      <vt:lpstr>'Mass Transfer'!DO_surf_excess_lag</vt:lpstr>
      <vt:lpstr>'Mass Transfer'!DO_target</vt:lpstr>
      <vt:lpstr>Biology!DO_toxic</vt:lpstr>
      <vt:lpstr>'Mass Transfer'!DO_toxic</vt:lpstr>
      <vt:lpstr>'Mass Transfer'!DO_vent_eq</vt:lpstr>
      <vt:lpstr>'Mass Transfer'!dur_ok</vt:lpstr>
      <vt:lpstr>'Mass Transfer'!duty</vt:lpstr>
      <vt:lpstr>'Mass Transfer'!duty_actual</vt:lpstr>
      <vt:lpstr>'Mass Transfer'!duty_carbon</vt:lpstr>
      <vt:lpstr>'Mass Transfer'!duty_DO</vt:lpstr>
      <vt:lpstr>'Mass Transfer'!duty_O2vent</vt:lpstr>
      <vt:lpstr>'Mass Transfer'!duty_opt</vt:lpstr>
      <vt:lpstr>Chemistry!E_Cl_margin</vt:lpstr>
      <vt:lpstr>Chemistry!E_Cl2</vt:lpstr>
      <vt:lpstr>Chemistry!E_Cu_margin</vt:lpstr>
      <vt:lpstr>Chemistry!E_HER</vt:lpstr>
      <vt:lpstr>Chemistry!E_OER</vt:lpstr>
      <vt:lpstr>Chemistry!E_ORR2</vt:lpstr>
      <vt:lpstr>Chemistry!E0_Cl2</vt:lpstr>
      <vt:lpstr>Chemistry!E0_Cu</vt:lpstr>
      <vt:lpstr>Chemistry!E0_HER</vt:lpstr>
      <vt:lpstr>Chemistry!E0_OER</vt:lpstr>
      <vt:lpstr>Chemistry!E0_ORR2</vt:lpstr>
      <vt:lpstr>'Mass Transfer'!e1_CO2</vt:lpstr>
      <vt:lpstr>'Mass Transfer'!e2_CO2</vt:lpstr>
      <vt:lpstr>'Mass Transfer'!Ea_D_CO2</vt:lpstr>
      <vt:lpstr>Electrochemistry!ec_corr_I</vt:lpstr>
      <vt:lpstr>Electrochemistry!ec_D_O2</vt:lpstr>
      <vt:lpstr>Electrochemistry!ec_DO_design</vt:lpstr>
      <vt:lpstr>Electrochemistry!ec_DO_frac</vt:lpstr>
      <vt:lpstr>Electrochemistry!ec_E_rev</vt:lpstr>
      <vt:lpstr>Electrochemistry!ec_gap</vt:lpstr>
      <vt:lpstr>Electrochemistry!ec_I_Cl</vt:lpstr>
      <vt:lpstr>Electrochemistry!ec_kappa</vt:lpstr>
      <vt:lpstr>Electrochemistry!ec_O2_ceil</vt:lpstr>
      <vt:lpstr>Electrochemistry!ec_V_L</vt:lpstr>
      <vt:lpstr>Geometry!eff_disp</vt:lpstr>
      <vt:lpstr>Geometry!eff_ID</vt:lpstr>
      <vt:lpstr>Geometry!eff_OD</vt:lpstr>
      <vt:lpstr>Geometry!eff_sub_L</vt:lpstr>
      <vt:lpstr>Geometry!elec_clear</vt:lpstr>
      <vt:lpstr>Geometry!elec_disp</vt:lpstr>
      <vt:lpstr>Geometry!elec_gap</vt:lpstr>
      <vt:lpstr>Geometry!elec_ins</vt:lpstr>
      <vt:lpstr>Geometry!elec_sub_L</vt:lpstr>
      <vt:lpstr>Geometry!elec_sub_L_act</vt:lpstr>
      <vt:lpstr>Electrochemistry!electrode_sel</vt:lpstr>
      <vt:lpstr>Summary!electrode_sel</vt:lpstr>
      <vt:lpstr>ElectrodeList</vt:lpstr>
      <vt:lpstr>'Mass Transfer'!eon_CO2</vt:lpstr>
      <vt:lpstr>Electrochemistry!eta_anode</vt:lpstr>
      <vt:lpstr>Electrochemistry!eta_cath</vt:lpstr>
      <vt:lpstr>Electrochemistry!etaF</vt:lpstr>
      <vt:lpstr>Electrochemistry!etaF_calc</vt:lpstr>
      <vt:lpstr>Electrochemistry!etaF_calc_min</vt:lpstr>
      <vt:lpstr>Electrochemistry!etaF_OER</vt:lpstr>
      <vt:lpstr>Electrochemistry!etaF_OER_calc</vt:lpstr>
      <vt:lpstr>Electrochemistry!f_Cl_anode</vt:lpstr>
      <vt:lpstr>Electrochemistry!F_const</vt:lpstr>
      <vt:lpstr>Electrochemistry!f_HOOH</vt:lpstr>
      <vt:lpstr>Chemistry!f_local</vt:lpstr>
      <vt:lpstr>Chemistry!Fcc</vt:lpstr>
      <vt:lpstr>Chemistry!FE_CER</vt:lpstr>
      <vt:lpstr>'Mass Transfer'!flowrate_cal</vt:lpstr>
      <vt:lpstr>'Mass Transfer'!flush_factor</vt:lpstr>
      <vt:lpstr>'Mass Transfer'!g_const</vt:lpstr>
      <vt:lpstr>Chemistry!gamma_1</vt:lpstr>
      <vt:lpstr>Chemistry!gamma_2</vt:lpstr>
      <vt:lpstr>Chemistry!gamma_3</vt:lpstr>
      <vt:lpstr>Geometry!geom_check</vt:lpstr>
      <vt:lpstr>Electrochemistry!gerrit_int</vt:lpstr>
      <vt:lpstr>Electrochemistry!gerrit_max</vt:lpstr>
      <vt:lpstr>Electrochemistry!gerrit_min</vt:lpstr>
      <vt:lpstr>Electrochemistry!gerrit_slope</vt:lpstr>
      <vt:lpstr>Geometry!h_actual</vt:lpstr>
      <vt:lpstr>Biology!H_CO2_T</vt:lpstr>
      <vt:lpstr>Biology!H_CO2ref</vt:lpstr>
      <vt:lpstr>Biology!H_CO2T</vt:lpstr>
      <vt:lpstr>Geometry!h_datum</vt:lpstr>
      <vt:lpstr>Biology!H_H2_T</vt:lpstr>
      <vt:lpstr>Biology!H_H2ref</vt:lpstr>
      <vt:lpstr>Biology!H_H2T</vt:lpstr>
      <vt:lpstr>Biology!H_O2_T</vt:lpstr>
      <vt:lpstr>'Mass Transfer'!H_O2_T</vt:lpstr>
      <vt:lpstr>Biology!H_O2ref</vt:lpstr>
      <vt:lpstr>Biology!H_O2T</vt:lpstr>
      <vt:lpstr>Biology!H2_cons</vt:lpstr>
      <vt:lpstr>Biology!H2_safety</vt:lpstr>
      <vt:lpstr>Biology!H2_turnover</vt:lpstr>
      <vt:lpstr>Electrochemistry!H2O2_flag</vt:lpstr>
      <vt:lpstr>Electrochemistry!H2O2_lag_1h</vt:lpstr>
      <vt:lpstr>Electrochemistry!H2O2_ss</vt:lpstr>
      <vt:lpstr>Electrochemistry!H2O2_thresh</vt:lpstr>
      <vt:lpstr>'Mass Transfer'!has_cal</vt:lpstr>
      <vt:lpstr>'Mass Transfer'!HB_a</vt:lpstr>
      <vt:lpstr>'Mass Transfer'!HB_b</vt:lpstr>
      <vt:lpstr>'Mass Transfer'!HB_c</vt:lpstr>
      <vt:lpstr>Geometry!headspace_V</vt:lpstr>
      <vt:lpstr>'Mass Transfer'!headspace_V</vt:lpstr>
      <vt:lpstr>'Mass Transfer'!headspace_V_m3</vt:lpstr>
      <vt:lpstr>Chemistry!HOCl_max</vt:lpstr>
      <vt:lpstr>Chemistry!HOCl_ss</vt:lpstr>
      <vt:lpstr>Chemistry!HOCl_ss_mgL</vt:lpstr>
      <vt:lpstr>'Mass Transfer'!holdup</vt:lpstr>
      <vt:lpstr>'Mass Transfer'!hs_flush_time</vt:lpstr>
      <vt:lpstr>'Mass Transfer'!hs_H_CO2</vt:lpstr>
      <vt:lpstr>'Mass Transfer'!hs_O2_allow</vt:lpstr>
      <vt:lpstr>Electrochemistry!I_app</vt:lpstr>
      <vt:lpstr>Chemistry!I_Cl</vt:lpstr>
      <vt:lpstr>Chemistry!I_Cl_FE</vt:lpstr>
      <vt:lpstr>Chemistry!I_Cl_mt</vt:lpstr>
      <vt:lpstr>Chemistry!I_ionic</vt:lpstr>
      <vt:lpstr>Electrochemistry!I_max</vt:lpstr>
      <vt:lpstr>Chemistry!I_mc02</vt:lpstr>
      <vt:lpstr>Electrochemistry!i_ORR_ceiling</vt:lpstr>
      <vt:lpstr>Electrochemistry!i_ORR_design</vt:lpstr>
      <vt:lpstr>Chemistry!I_udg</vt:lpstr>
      <vt:lpstr>Electrochemistry!I_valid</vt:lpstr>
      <vt:lpstr>Chemistry!Iappc</vt:lpstr>
      <vt:lpstr>Electrochemistry!intensity</vt:lpstr>
      <vt:lpstr>Geometry!interface_A</vt:lpstr>
      <vt:lpstr>'Mass Transfer'!interface_A</vt:lpstr>
      <vt:lpstr>Electrochemistry!j_anode</vt:lpstr>
      <vt:lpstr>Chemistry!j_anode_c</vt:lpstr>
      <vt:lpstr>Electrochemistry!j_anode_max</vt:lpstr>
      <vt:lpstr>Electrochemistry!j_bio_flag</vt:lpstr>
      <vt:lpstr>Chemistry!j_buffer_lim</vt:lpstr>
      <vt:lpstr>Chemistry!j_buffer_ratio</vt:lpstr>
      <vt:lpstr>Electrochemistry!j_cath_flag</vt:lpstr>
      <vt:lpstr>Electrochemistry!j_cathode</vt:lpstr>
      <vt:lpstr>Electrochemistry!j_ceiling_default</vt:lpstr>
      <vt:lpstr>Electrochemistry!j_ceiling_strain</vt:lpstr>
      <vt:lpstr>Electrochemistry!j_flag</vt:lpstr>
      <vt:lpstr>Electrochemistry!j_flag_max</vt:lpstr>
      <vt:lpstr>Electrochemistry!j_mat_flag</vt:lpstr>
      <vt:lpstr>Electrochemistry!j_opt_default</vt:lpstr>
      <vt:lpstr>Electrochemistry!j_opt_strain</vt:lpstr>
      <vt:lpstr>Electrochemistry!j_strain_conf</vt:lpstr>
      <vt:lpstr>Electrochemistry!j0_anode</vt:lpstr>
      <vt:lpstr>Electrochemistry!j0_cath</vt:lpstr>
      <vt:lpstr>Electrochemistry!k_cat_cells</vt:lpstr>
      <vt:lpstr>'Mass Transfer'!k_eff_CO2</vt:lpstr>
      <vt:lpstr>Electrochemistry!k_geom</vt:lpstr>
      <vt:lpstr>'Mass Transfer'!k_vent</vt:lpstr>
      <vt:lpstr>Chemistry!k1_NH2Cl</vt:lpstr>
      <vt:lpstr>Chemistry!Ka_HOCl</vt:lpstr>
      <vt:lpstr>Chemistry!Ka_NH4</vt:lpstr>
      <vt:lpstr>Biology!Ka1_carb</vt:lpstr>
      <vt:lpstr>Chemistry!Ka1c</vt:lpstr>
      <vt:lpstr>Chemistry!Ka1c_c</vt:lpstr>
      <vt:lpstr>Chemistry!Ka1p</vt:lpstr>
      <vt:lpstr>Chemistry!Ka1p_c</vt:lpstr>
      <vt:lpstr>Chemistry!Ka2c</vt:lpstr>
      <vt:lpstr>Chemistry!Ka2c_c</vt:lpstr>
      <vt:lpstr>Chemistry!Ka2p</vt:lpstr>
      <vt:lpstr>Chemistry!Ka2p_c</vt:lpstr>
      <vt:lpstr>Chemistry!Ka3p</vt:lpstr>
      <vt:lpstr>Chemistry!Ka3p_c</vt:lpstr>
      <vt:lpstr>Chemistry!KaHOCl_c</vt:lpstr>
      <vt:lpstr>Chemistry!KaN_c</vt:lpstr>
      <vt:lpstr>Chemistry!kappa_fI</vt:lpstr>
      <vt:lpstr>Chemistry!kappa_med</vt:lpstr>
      <vt:lpstr>Chemistry!kappa_TC</vt:lpstr>
      <vt:lpstr>Chemistry!kappa0_mc02</vt:lpstr>
      <vt:lpstr>Chemistry!kappa0_udg</vt:lpstr>
      <vt:lpstr>'Mass Transfer'!kinetic_caveat</vt:lpstr>
      <vt:lpstr>'Mass Transfer'!kL</vt:lpstr>
      <vt:lpstr>'Mass Transfer'!kL_surf</vt:lpstr>
      <vt:lpstr>'Mass Transfer'!kL_surf_crit</vt:lpstr>
      <vt:lpstr>'Mass Transfer'!kLa_avg</vt:lpstr>
      <vt:lpstr>'Mass Transfer'!kLa_CO2_off</vt:lpstr>
      <vt:lpstr>'Mass Transfer'!kLa_meas</vt:lpstr>
      <vt:lpstr>'Mass Transfer'!kLa_req</vt:lpstr>
      <vt:lpstr>'Mass Transfer'!kLa_sparge</vt:lpstr>
      <vt:lpstr>'Mass Transfer'!kLa_surf</vt:lpstr>
      <vt:lpstr>'Mass Transfer'!kLa_surf_req</vt:lpstr>
      <vt:lpstr>'Mass Transfer'!kLa_surf_used</vt:lpstr>
      <vt:lpstr>Chemistry!km_Cl</vt:lpstr>
      <vt:lpstr>Biology!Km_CO2</vt:lpstr>
      <vt:lpstr>Electrochemistry!km_exp</vt:lpstr>
      <vt:lpstr>Electrochemistry!km_O2</vt:lpstr>
      <vt:lpstr>Chemistry!Kw_c</vt:lpstr>
      <vt:lpstr>Chemistry!Kw_w</vt:lpstr>
      <vt:lpstr>Electrochemistry!L_sub</vt:lpstr>
      <vt:lpstr>Chemistry!lam_Ca</vt:lpstr>
      <vt:lpstr>Chemistry!lam_Cl</vt:lpstr>
      <vt:lpstr>Chemistry!lam_H2PO4</vt:lpstr>
      <vt:lpstr>Chemistry!lam_HCO3</vt:lpstr>
      <vt:lpstr>Chemistry!lam_HPO4</vt:lpstr>
      <vt:lpstr>Chemistry!lam_K</vt:lpstr>
      <vt:lpstr>Chemistry!lam_Mg</vt:lpstr>
      <vt:lpstr>Chemistry!lam_Na</vt:lpstr>
      <vt:lpstr>Chemistry!lam_NH4</vt:lpstr>
      <vt:lpstr>Chemistry!lam_SO4</vt:lpstr>
      <vt:lpstr>'Mass Transfer'!latest_date</vt:lpstr>
      <vt:lpstr>Summary!led_intensity</vt:lpstr>
      <vt:lpstr>Chemistry!M_Cl2</vt:lpstr>
      <vt:lpstr>'Mass Transfer'!M_CO2</vt:lpstr>
      <vt:lpstr>Electrochemistry!M_H2O2</vt:lpstr>
      <vt:lpstr>Chemistry!M_HOCl</vt:lpstr>
      <vt:lpstr>Chemistry!mc_CaSO4_2H2O</vt:lpstr>
      <vt:lpstr>Chemistry!mc_K2SO4</vt:lpstr>
      <vt:lpstr>Chemistry!mc_MgSO4_7H2O</vt:lpstr>
      <vt:lpstr>Chemistry!mc_Na2HPO4</vt:lpstr>
      <vt:lpstr>Chemistry!mc_NaH2PO4_2H2O</vt:lpstr>
      <vt:lpstr>Chemistry!mc_NH42SO4</vt:lpstr>
      <vt:lpstr>Summary!media_sel</vt:lpstr>
      <vt:lpstr>Geometry!media_vol_warn</vt:lpstr>
      <vt:lpstr>Geometry!media_volume</vt:lpstr>
      <vt:lpstr>Summary!media_volume</vt:lpstr>
      <vt:lpstr>MediaList</vt:lpstr>
      <vt:lpstr>'Mass Transfer'!mend_a</vt:lpstr>
      <vt:lpstr>'Mass Transfer'!mend_b</vt:lpstr>
      <vt:lpstr>Chemistry!metal_flag</vt:lpstr>
      <vt:lpstr>Chemistry!metal_leach_rate</vt:lpstr>
      <vt:lpstr>Chemistry!metal_MW</vt:lpstr>
      <vt:lpstr>Chemistry!metal_tox_thresh</vt:lpstr>
      <vt:lpstr>Chemistry!metal_z</vt:lpstr>
      <vt:lpstr>'Mass Transfer'!min_sparge_cal</vt:lpstr>
      <vt:lpstr>Chemistry!MW_CaCl2</vt:lpstr>
      <vt:lpstr>Chemistry!MW_CaSO4_2H2O</vt:lpstr>
      <vt:lpstr>Chemistry!MW_K2SO4</vt:lpstr>
      <vt:lpstr>Chemistry!MW_KH2PO4</vt:lpstr>
      <vt:lpstr>Chemistry!MW_MgSO4_7H2O</vt:lpstr>
      <vt:lpstr>Chemistry!MW_N</vt:lpstr>
      <vt:lpstr>Chemistry!MW_Na2HPO4</vt:lpstr>
      <vt:lpstr>Chemistry!MW_NaH2PO4_2H2O</vt:lpstr>
      <vt:lpstr>Chemistry!MW_NaHCO3</vt:lpstr>
      <vt:lpstr>Chemistry!MW_NH42SO4</vt:lpstr>
      <vt:lpstr>Chemistry!n_cross</vt:lpstr>
      <vt:lpstr>Chemistry!n_e_Cl</vt:lpstr>
      <vt:lpstr>'Mass Transfer'!n_hs_gas</vt:lpstr>
      <vt:lpstr>'Mass Transfer'!n_pores_active</vt:lpstr>
      <vt:lpstr>'Mass Transfer'!nCO2_rate</vt:lpstr>
      <vt:lpstr>Chemistry!nernst_slope</vt:lpstr>
      <vt:lpstr>Chemistry!NH2Cl_hi</vt:lpstr>
      <vt:lpstr>Chemistry!NH2Cl_lo</vt:lpstr>
      <vt:lpstr>Chemistry!NH2Cl_mgL</vt:lpstr>
      <vt:lpstr>Chemistry!NH3_free</vt:lpstr>
      <vt:lpstr>Chemistry!NH3_N</vt:lpstr>
      <vt:lpstr>Chemistry!NT_mc02</vt:lpstr>
      <vt:lpstr>Chemistry!NT_udg</vt:lpstr>
      <vt:lpstr>'Mass Transfer'!O2_accum</vt:lpstr>
      <vt:lpstr>Electrochemistry!O2_cathode_ORR</vt:lpstr>
      <vt:lpstr>Biology!O2_ceil_atm</vt:lpstr>
      <vt:lpstr>Biology!O2_ceil_C</vt:lpstr>
      <vt:lpstr>'Mass Transfer'!O2_ceil_C</vt:lpstr>
      <vt:lpstr>Biology!O2_ceil_Pa</vt:lpstr>
      <vt:lpstr>'Mass Transfer'!O2_ceil_Pa</vt:lpstr>
      <vt:lpstr>Biology!O2_ceil_uM</vt:lpstr>
      <vt:lpstr>Biology!O2_cons</vt:lpstr>
      <vt:lpstr>Biology!O2_excess</vt:lpstr>
      <vt:lpstr>'Mass Transfer'!O2_excess</vt:lpstr>
      <vt:lpstr>Biology!O2_net_gen</vt:lpstr>
      <vt:lpstr>Electrochemistry!O2_net_gen</vt:lpstr>
      <vt:lpstr>'Mass Transfer'!O2_net_gen</vt:lpstr>
      <vt:lpstr>'Mass Transfer'!O2_removal_ratio</vt:lpstr>
      <vt:lpstr>'Mass Transfer'!O2_src_guard</vt:lpstr>
      <vt:lpstr>'Mass Transfer'!O2_strip_pulse</vt:lpstr>
      <vt:lpstr>'Mass Transfer'!od_ok</vt:lpstr>
      <vt:lpstr>'Mass Transfer'!opt_binding</vt:lpstr>
      <vt:lpstr>Biology!organism_sel</vt:lpstr>
      <vt:lpstr>Summary!organism_sel</vt:lpstr>
      <vt:lpstr>OrganismList</vt:lpstr>
      <vt:lpstr>Biology!P_atm</vt:lpstr>
      <vt:lpstr>Electrochemistry!P_atm</vt:lpstr>
      <vt:lpstr>'Mass Transfer'!P_atm</vt:lpstr>
      <vt:lpstr>Summary!P_atm_set</vt:lpstr>
      <vt:lpstr>Biology!p_CO2_sparge</vt:lpstr>
      <vt:lpstr>Chemistry!P_HOCl</vt:lpstr>
      <vt:lpstr>'Mass Transfer'!p_sat_w</vt:lpstr>
      <vt:lpstr>Biology!Pa_per_atm</vt:lpstr>
      <vt:lpstr>Electrochemistry!pcet_credit</vt:lpstr>
      <vt:lpstr>'Mass Transfer'!pCO2_air</vt:lpstr>
      <vt:lpstr>Chemistry!pH_band_flag</vt:lpstr>
      <vt:lpstr>Chemistry!pH_Cl</vt:lpstr>
      <vt:lpstr>Biology!pH_CO2_unbuf</vt:lpstr>
      <vt:lpstr>Chemistry!pH_fHOCl</vt:lpstr>
      <vt:lpstr>Chemistry!pH_meas</vt:lpstr>
      <vt:lpstr>Chemistry!pH_NT</vt:lpstr>
      <vt:lpstr>Chemistry!pH_op</vt:lpstr>
      <vt:lpstr>Chemistry!pH_PT</vt:lpstr>
      <vt:lpstr>Chemistry!pH_SID</vt:lpstr>
      <vt:lpstr>Chemistry!pKa_HOCl</vt:lpstr>
      <vt:lpstr>Chemistry!pKa_NH4</vt:lpstr>
      <vt:lpstr>'Mass Transfer'!pool_a</vt:lpstr>
      <vt:lpstr>'Mass Transfer'!pool_b</vt:lpstr>
      <vt:lpstr>'Mass Transfer'!pool_beta_ratio</vt:lpstr>
      <vt:lpstr>'Mass Transfer'!pool_e</vt:lpstr>
      <vt:lpstr>'Mass Transfer'!por_grade</vt:lpstr>
      <vt:lpstr>Electrochemistry!por_grade_e</vt:lpstr>
      <vt:lpstr>'Mass Transfer'!por_pore</vt:lpstr>
      <vt:lpstr>'Mass Transfer'!por0_um</vt:lpstr>
      <vt:lpstr>'Mass Transfer'!por1_um</vt:lpstr>
      <vt:lpstr>'Mass Transfer'!por2_um</vt:lpstr>
      <vt:lpstr>'Mass Transfer'!por3_um</vt:lpstr>
      <vt:lpstr>'Mass Transfer'!por4_um</vt:lpstr>
      <vt:lpstr>'Mass Transfer'!por5_um</vt:lpstr>
      <vt:lpstr>Electrochemistry!power_max</vt:lpstr>
      <vt:lpstr>Chemistry!PT_mc02</vt:lpstr>
      <vt:lpstr>Chemistry!PT_udg</vt:lpstr>
      <vt:lpstr>'Mass Transfer'!pulse_floor</vt:lpstr>
      <vt:lpstr>'Mass Transfer'!pulses_d</vt:lpstr>
      <vt:lpstr>'Mass Transfer'!pulses_h</vt:lpstr>
      <vt:lpstr>'Mass Transfer'!pw_A</vt:lpstr>
      <vt:lpstr>'Mass Transfer'!pw_B</vt:lpstr>
      <vt:lpstr>'Mass Transfer'!pw_C</vt:lpstr>
      <vt:lpstr>'Mass Transfer'!Q_CO2</vt:lpstr>
      <vt:lpstr>'Mass Transfer'!Q_vent</vt:lpstr>
      <vt:lpstr>Electrochemistry!R_cell</vt:lpstr>
      <vt:lpstr>Chemistry!R_chloramine</vt:lpstr>
      <vt:lpstr>Chemistry!R_chloramine_hi</vt:lpstr>
      <vt:lpstr>Chemistry!R_chloramine_lo</vt:lpstr>
      <vt:lpstr>Chemistry!R_gas</vt:lpstr>
      <vt:lpstr>Electrochemistry!R_gas</vt:lpstr>
      <vt:lpstr>'Mass Transfer'!R_gas</vt:lpstr>
      <vt:lpstr>Electrochemistry!r_H2O2</vt:lpstr>
      <vt:lpstr>'Mass Transfer'!Reactor</vt:lpstr>
      <vt:lpstr>Geometry!reactor_sel</vt:lpstr>
      <vt:lpstr>Summary!Reactor_sel</vt:lpstr>
      <vt:lpstr>ReactorList</vt:lpstr>
      <vt:lpstr>Biology!rH2_gen</vt:lpstr>
      <vt:lpstr>Electrochemistry!rH2_gen</vt:lpstr>
      <vt:lpstr>'Mass Transfer'!rho_0</vt:lpstr>
      <vt:lpstr>'Mass Transfer'!rho_CO2</vt:lpstr>
      <vt:lpstr>'Mass Transfer'!rho_k</vt:lpstr>
      <vt:lpstr>'Mass Transfer'!rho_L</vt:lpstr>
      <vt:lpstr>Electrochemistry!rO2_gen</vt:lpstr>
      <vt:lpstr>Geometry!rod_d</vt:lpstr>
      <vt:lpstr>Geometry!rod_n</vt:lpstr>
      <vt:lpstr>Geometry!rx_ver</vt:lpstr>
      <vt:lpstr>'Mass Transfer'!s_renew</vt:lpstr>
      <vt:lpstr>'Mass Transfer'!sched_bal</vt:lpstr>
      <vt:lpstr>'Mass Transfer'!sched_mode</vt:lpstr>
      <vt:lpstr>'Mass Transfer'!sched_regime</vt:lpstr>
      <vt:lpstr>'Mass Transfer'!sched_valid</vt:lpstr>
      <vt:lpstr>Chemistry!SID_mc02</vt:lpstr>
      <vt:lpstr>Chemistry!SID_udg</vt:lpstr>
      <vt:lpstr>'Mass Transfer'!sigma</vt:lpstr>
      <vt:lpstr>'Mass Transfer'!sigma_0</vt:lpstr>
      <vt:lpstr>'Mass Transfer'!sigma_k</vt:lpstr>
      <vt:lpstr>Geometry!sparge_depth</vt:lpstr>
      <vt:lpstr>'Mass Transfer'!sparger</vt:lpstr>
      <vt:lpstr>Electrochemistry!sparger_e</vt:lpstr>
      <vt:lpstr>Geometry!spg_disp</vt:lpstr>
      <vt:lpstr>'Mass Transfer'!spg_dur</vt:lpstr>
      <vt:lpstr>'Mass Transfer'!spg_dur_man</vt:lpstr>
      <vt:lpstr>'Mass Transfer'!spg_dur_opt</vt:lpstr>
      <vt:lpstr>Geometry!spg_ID</vt:lpstr>
      <vt:lpstr>'Mass Transfer'!spg_ID</vt:lpstr>
      <vt:lpstr>'Mass Transfer'!spg_int</vt:lpstr>
      <vt:lpstr>'Mass Transfer'!spg_int_carbon</vt:lpstr>
      <vt:lpstr>'Mass Transfer'!spg_int_DO</vt:lpstr>
      <vt:lpstr>'Mass Transfer'!spg_int_man</vt:lpstr>
      <vt:lpstr>'Mass Transfer'!spg_int_max</vt:lpstr>
      <vt:lpstr>'Mass Transfer'!spg_int_opt</vt:lpstr>
      <vt:lpstr>'Mass Transfer'!spg_int_opt_s</vt:lpstr>
      <vt:lpstr>'Mass Transfer'!spg_int_regime</vt:lpstr>
      <vt:lpstr>Geometry!spg_len</vt:lpstr>
      <vt:lpstr>'Mass Transfer'!spg_name_1</vt:lpstr>
      <vt:lpstr>'Mass Transfer'!spg_name_2</vt:lpstr>
      <vt:lpstr>Geometry!spg_OD</vt:lpstr>
      <vt:lpstr>Geometry!spg_tip_h</vt:lpstr>
      <vt:lpstr>'Mass Transfer'!sqrtD_CO2</vt:lpstr>
      <vt:lpstr>Geometry!stir_bar_L</vt:lpstr>
      <vt:lpstr>'Mass Transfer'!stir_len</vt:lpstr>
      <vt:lpstr>'Mass Transfer'!stir_rpm</vt:lpstr>
      <vt:lpstr>Summary!stir_rpm_set</vt:lpstr>
      <vt:lpstr>'Mass Transfer'!strip_avg</vt:lpstr>
      <vt:lpstr>'Mass Transfer'!strip_ratio</vt:lpstr>
      <vt:lpstr>'Mass Transfer'!strip_sparge</vt:lpstr>
      <vt:lpstr>'Mass Transfer'!surf_ratio</vt:lpstr>
      <vt:lpstr>'Mass Transfer'!surf_strip</vt:lpstr>
      <vt:lpstr>Biology!T_C</vt:lpstr>
      <vt:lpstr>'Mass Transfer'!t_contact</vt:lpstr>
      <vt:lpstr>Biology!t_H2_sat</vt:lpstr>
      <vt:lpstr>Electrochemistry!t_H2O2_thresh</vt:lpstr>
      <vt:lpstr>Biology!T_K</vt:lpstr>
      <vt:lpstr>Electrochemistry!T_K</vt:lpstr>
      <vt:lpstr>'Mass Transfer'!T_K</vt:lpstr>
      <vt:lpstr>'Mass Transfer'!t_O2_ceiling</vt:lpstr>
      <vt:lpstr>'Mass Transfer'!t_O2_ceiling_lag</vt:lpstr>
      <vt:lpstr>'Mass Transfer'!t_O2_ceiling_rem</vt:lpstr>
      <vt:lpstr>'Mass Transfer'!t_O2_ceiling_strip</vt:lpstr>
      <vt:lpstr>'Mass Transfer'!t_off_CO2</vt:lpstr>
      <vt:lpstr>'Mass Transfer'!t_on_CO2</vt:lpstr>
      <vt:lpstr>Biology!T_ref</vt:lpstr>
      <vt:lpstr>'Mass Transfer'!target_DO_frac</vt:lpstr>
      <vt:lpstr>'Mass Transfer'!tau_hs</vt:lpstr>
      <vt:lpstr>Chemistry!tau_NH2Cl</vt:lpstr>
      <vt:lpstr>Chemistry!tau_NH2Cl_hi</vt:lpstr>
      <vt:lpstr>Chemistry!tau_NH2Cl_lo</vt:lpstr>
      <vt:lpstr>'Mass Transfer'!tau_surf_floor</vt:lpstr>
      <vt:lpstr>Summary!temp_C</vt:lpstr>
      <vt:lpstr>'Mass Transfer'!tip_speed</vt:lpstr>
      <vt:lpstr>'Mass Transfer'!tip_warn</vt:lpstr>
      <vt:lpstr>Chemistry!TKc</vt:lpstr>
      <vt:lpstr>'Mass Transfer'!tube_d_m</vt:lpstr>
      <vt:lpstr>'Mass Transfer'!u_g_max</vt:lpstr>
      <vt:lpstr>'Mass Transfer'!u_rise</vt:lpstr>
      <vt:lpstr>'Mass Transfer'!u_sg</vt:lpstr>
      <vt:lpstr>Chemistry!udg_CaCl2</vt:lpstr>
      <vt:lpstr>Chemistry!udg_KH2PO4</vt:lpstr>
      <vt:lpstr>Chemistry!udg_MgSO4_7H2O</vt:lpstr>
      <vt:lpstr>Chemistry!udg_Na2HPO4</vt:lpstr>
      <vt:lpstr>Chemistry!udg_NaHCO3</vt:lpstr>
      <vt:lpstr>Chemistry!udg_NH42SO4</vt:lpstr>
      <vt:lpstr>Electrochemistry!V_cell_est</vt:lpstr>
      <vt:lpstr>Biology!V_charge</vt:lpstr>
      <vt:lpstr>Geometry!V_charge</vt:lpstr>
      <vt:lpstr>'Mass Transfer'!V_charge</vt:lpstr>
      <vt:lpstr>Electrochemistry!V_flag</vt:lpstr>
      <vt:lpstr>Electrochemistry!V_gas_total</vt:lpstr>
      <vt:lpstr>Electrochemistry!V_H2_gen</vt:lpstr>
      <vt:lpstr>Electrochemistry!V_headroom</vt:lpstr>
      <vt:lpstr>Geometry!V_inserts</vt:lpstr>
      <vt:lpstr>Electrochemistry!V_IR</vt:lpstr>
      <vt:lpstr>'Mass Transfer'!V_L_m3</vt:lpstr>
      <vt:lpstr>Geometry!V_max</vt:lpstr>
      <vt:lpstr>Electrochemistry!V_O2_gen</vt:lpstr>
      <vt:lpstr>'Mass Transfer'!v_orifice</vt:lpstr>
      <vt:lpstr>Electrochemistry!V_rail</vt:lpstr>
      <vt:lpstr>Geometry!V_vial_total</vt:lpstr>
      <vt:lpstr>'Mass Transfer'!vent_floor_chk</vt:lpstr>
      <vt:lpstr>Geometry!ver_name_1</vt:lpstr>
      <vt:lpstr>Geometry!ver_name_2</vt:lpstr>
      <vt:lpstr>'Mass Transfer'!Vg_CO2</vt:lpstr>
      <vt:lpstr>Geometry!vial_ID</vt:lpstr>
      <vt:lpstr>'Mass Transfer'!vial_ID</vt:lpstr>
      <vt:lpstr>Geometry!vial_OD</vt:lpstr>
      <vt:lpstr>Geometry!vial_OD_1</vt:lpstr>
      <vt:lpstr>Geometry!vial_OD_2</vt:lpstr>
      <vt:lpstr>Geometry!vial_wall</vt:lpstr>
      <vt:lpstr>Chemistry!VLc</vt:lpstr>
      <vt:lpstr>Geometry!Vmax_1</vt:lpstr>
      <vt:lpstr>Geometry!Vmax_2</vt:lpstr>
      <vt:lpstr>Geometry!Vtot_1</vt:lpstr>
      <vt:lpstr>Geometry!Vtot_2</vt:lpstr>
      <vt:lpstr>'Mass Transfer'!We_orifice</vt:lpstr>
      <vt:lpstr>Geometry!xtube_n</vt:lpstr>
      <vt:lpstr>Geometry!xtube_OD</vt:lpstr>
      <vt:lpstr>Geometry!xtube_pro</vt:lpstr>
      <vt:lpstr>'Mass Transfer'!y_O2_actual</vt:lpstr>
      <vt:lpstr>'Mass Transfer'!y_O2_star</vt:lpstr>
      <vt:lpstr>'Mass Transfer'!y_O2_vent</vt:lpstr>
      <vt:lpstr>Electrochemistry!z_e_H2</vt:lpstr>
      <vt:lpstr>Electrochemistry!z_e_O2</vt:lpstr>
      <vt:lpstr>Electrochemistry!z_e_ORR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2026-08-12T13:10:48Z</dcterms:modified>
  <dc:language>en-US</dc:language>
</cp:coreProperties>
</file>